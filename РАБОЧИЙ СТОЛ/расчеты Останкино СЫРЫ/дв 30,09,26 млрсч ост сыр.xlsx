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РАБОЧИЙ СТОЛ\расчеты Останкино СЫРЫ\"/>
    </mc:Choice>
  </mc:AlternateContent>
  <xr:revisionPtr revIDLastSave="0" documentId="13_ncr:1_{F55796AB-31D4-4B19-9F96-775374EA961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Sheet!$A$3:$AE$51</definedName>
  </definedNames>
  <calcPr calcId="191029"/>
</workbook>
</file>

<file path=xl/calcChain.xml><?xml version="1.0" encoding="utf-8"?>
<calcChain xmlns="http://schemas.openxmlformats.org/spreadsheetml/2006/main">
  <c r="P40" i="1" l="1"/>
  <c r="AE34" i="1"/>
  <c r="AE31" i="1"/>
  <c r="AE26" i="1"/>
  <c r="AE25" i="1"/>
  <c r="AE14" i="1"/>
  <c r="AE13" i="1"/>
  <c r="AE7" i="1"/>
  <c r="AE6" i="1"/>
  <c r="P51" i="1"/>
  <c r="S51" i="1" s="1"/>
  <c r="L51" i="1"/>
  <c r="F50" i="1"/>
  <c r="E50" i="1"/>
  <c r="P50" i="1" s="1"/>
  <c r="Q50" i="1" s="1"/>
  <c r="AE50" i="1" s="1"/>
  <c r="P49" i="1"/>
  <c r="S49" i="1" s="1"/>
  <c r="L49" i="1"/>
  <c r="P48" i="1"/>
  <c r="S48" i="1" s="1"/>
  <c r="L48" i="1"/>
  <c r="P47" i="1"/>
  <c r="S47" i="1" s="1"/>
  <c r="L47" i="1"/>
  <c r="P46" i="1"/>
  <c r="S46" i="1" s="1"/>
  <c r="L46" i="1"/>
  <c r="P45" i="1"/>
  <c r="S45" i="1" s="1"/>
  <c r="L45" i="1"/>
  <c r="P44" i="1"/>
  <c r="AE44" i="1" s="1"/>
  <c r="L44" i="1"/>
  <c r="P43" i="1"/>
  <c r="S43" i="1" s="1"/>
  <c r="L43" i="1"/>
  <c r="P42" i="1"/>
  <c r="S42" i="1" s="1"/>
  <c r="L42" i="1"/>
  <c r="P41" i="1"/>
  <c r="S41" i="1" s="1"/>
  <c r="L41" i="1"/>
  <c r="L40" i="1"/>
  <c r="P39" i="1"/>
  <c r="S39" i="1" s="1"/>
  <c r="L39" i="1"/>
  <c r="P38" i="1"/>
  <c r="Q38" i="1" s="1"/>
  <c r="AE38" i="1" s="1"/>
  <c r="L38" i="1"/>
  <c r="P37" i="1"/>
  <c r="S37" i="1" s="1"/>
  <c r="L37" i="1"/>
  <c r="P36" i="1"/>
  <c r="AE36" i="1" s="1"/>
  <c r="L36" i="1"/>
  <c r="P35" i="1"/>
  <c r="S35" i="1" s="1"/>
  <c r="L35" i="1"/>
  <c r="P34" i="1"/>
  <c r="L34" i="1"/>
  <c r="AE33" i="1"/>
  <c r="P33" i="1"/>
  <c r="S33" i="1" s="1"/>
  <c r="L33" i="1"/>
  <c r="P32" i="1"/>
  <c r="AE32" i="1" s="1"/>
  <c r="L32" i="1"/>
  <c r="P31" i="1"/>
  <c r="S31" i="1" s="1"/>
  <c r="L31" i="1"/>
  <c r="P30" i="1"/>
  <c r="S30" i="1" s="1"/>
  <c r="L30" i="1"/>
  <c r="P29" i="1"/>
  <c r="S29" i="1" s="1"/>
  <c r="L29" i="1"/>
  <c r="AE28" i="1"/>
  <c r="P28" i="1"/>
  <c r="L28" i="1"/>
  <c r="P27" i="1"/>
  <c r="S27" i="1" s="1"/>
  <c r="L27" i="1"/>
  <c r="P26" i="1"/>
  <c r="S26" i="1" s="1"/>
  <c r="L26" i="1"/>
  <c r="P25" i="1"/>
  <c r="S25" i="1" s="1"/>
  <c r="L25" i="1"/>
  <c r="P24" i="1"/>
  <c r="S24" i="1" s="1"/>
  <c r="L24" i="1"/>
  <c r="P23" i="1"/>
  <c r="S23" i="1" s="1"/>
  <c r="L23" i="1"/>
  <c r="P22" i="1"/>
  <c r="S22" i="1" s="1"/>
  <c r="L22" i="1"/>
  <c r="AE21" i="1"/>
  <c r="P21" i="1"/>
  <c r="S21" i="1" s="1"/>
  <c r="L21" i="1"/>
  <c r="P20" i="1"/>
  <c r="S20" i="1" s="1"/>
  <c r="L20" i="1"/>
  <c r="P19" i="1"/>
  <c r="S19" i="1" s="1"/>
  <c r="L19" i="1"/>
  <c r="P18" i="1"/>
  <c r="L18" i="1"/>
  <c r="P17" i="1"/>
  <c r="S17" i="1" s="1"/>
  <c r="L17" i="1"/>
  <c r="P16" i="1"/>
  <c r="Q16" i="1" s="1"/>
  <c r="AE16" i="1" s="1"/>
  <c r="L16" i="1"/>
  <c r="P15" i="1"/>
  <c r="S15" i="1" s="1"/>
  <c r="L15" i="1"/>
  <c r="P14" i="1"/>
  <c r="S14" i="1" s="1"/>
  <c r="L14" i="1"/>
  <c r="P13" i="1"/>
  <c r="S13" i="1" s="1"/>
  <c r="L13" i="1"/>
  <c r="P12" i="1"/>
  <c r="S12" i="1" s="1"/>
  <c r="L12" i="1"/>
  <c r="P11" i="1"/>
  <c r="S11" i="1" s="1"/>
  <c r="L11" i="1"/>
  <c r="P10" i="1"/>
  <c r="S10" i="1" s="1"/>
  <c r="L10" i="1"/>
  <c r="P9" i="1"/>
  <c r="S9" i="1" s="1"/>
  <c r="L9" i="1"/>
  <c r="AE8" i="1"/>
  <c r="P8" i="1"/>
  <c r="S8" i="1" s="1"/>
  <c r="L8" i="1"/>
  <c r="P7" i="1"/>
  <c r="S7" i="1" s="1"/>
  <c r="L7" i="1"/>
  <c r="P6" i="1"/>
  <c r="L6" i="1"/>
  <c r="AC5" i="1"/>
  <c r="AB5" i="1"/>
  <c r="AA5" i="1"/>
  <c r="Z5" i="1"/>
  <c r="Y5" i="1"/>
  <c r="X5" i="1"/>
  <c r="W5" i="1"/>
  <c r="V5" i="1"/>
  <c r="U5" i="1"/>
  <c r="T5" i="1"/>
  <c r="O5" i="1"/>
  <c r="N5" i="1"/>
  <c r="M5" i="1"/>
  <c r="K5" i="1"/>
  <c r="Q41" i="1" l="1"/>
  <c r="Q43" i="1"/>
  <c r="Q42" i="1"/>
  <c r="AE42" i="1" s="1"/>
  <c r="Q17" i="1"/>
  <c r="AE17" i="1" s="1"/>
  <c r="Q35" i="1"/>
  <c r="AE35" i="1" s="1"/>
  <c r="Q46" i="1"/>
  <c r="AE46" i="1" s="1"/>
  <c r="Q48" i="1"/>
  <c r="AE48" i="1" s="1"/>
  <c r="AE12" i="1"/>
  <c r="AE10" i="1"/>
  <c r="Q15" i="1"/>
  <c r="AE15" i="1" s="1"/>
  <c r="AE37" i="1"/>
  <c r="AE18" i="1"/>
  <c r="Q39" i="1"/>
  <c r="AE39" i="1" s="1"/>
  <c r="R6" i="1"/>
  <c r="Q19" i="1"/>
  <c r="AE40" i="1"/>
  <c r="R34" i="1"/>
  <c r="R27" i="1"/>
  <c r="AE41" i="1"/>
  <c r="R38" i="1"/>
  <c r="AE22" i="1"/>
  <c r="AE43" i="1"/>
  <c r="R28" i="1"/>
  <c r="E5" i="1"/>
  <c r="S28" i="1"/>
  <c r="AE23" i="1"/>
  <c r="Q24" i="1"/>
  <c r="AE24" i="1" s="1"/>
  <c r="AE45" i="1"/>
  <c r="Q47" i="1"/>
  <c r="AE47" i="1" s="1"/>
  <c r="R16" i="1"/>
  <c r="S16" i="1"/>
  <c r="R44" i="1"/>
  <c r="AE29" i="1"/>
  <c r="AE9" i="1"/>
  <c r="AE30" i="1"/>
  <c r="AE51" i="1"/>
  <c r="R36" i="1"/>
  <c r="R32" i="1"/>
  <c r="S40" i="1"/>
  <c r="R12" i="1"/>
  <c r="R7" i="1"/>
  <c r="R23" i="1"/>
  <c r="P5" i="1"/>
  <c r="R8" i="1"/>
  <c r="S36" i="1"/>
  <c r="S50" i="1"/>
  <c r="L50" i="1"/>
  <c r="L5" i="1" s="1"/>
  <c r="S44" i="1"/>
  <c r="S32" i="1"/>
  <c r="F5" i="1"/>
  <c r="R10" i="1"/>
  <c r="R26" i="1"/>
  <c r="S34" i="1"/>
  <c r="S6" i="1"/>
  <c r="S18" i="1"/>
  <c r="R33" i="1"/>
  <c r="R37" i="1"/>
  <c r="R45" i="1"/>
  <c r="R49" i="1"/>
  <c r="S38" i="1"/>
  <c r="R14" i="1"/>
  <c r="R9" i="1"/>
  <c r="R13" i="1"/>
  <c r="R17" i="1"/>
  <c r="R21" i="1"/>
  <c r="R25" i="1"/>
  <c r="R50" i="1"/>
  <c r="R31" i="1"/>
  <c r="R48" i="1" l="1"/>
  <c r="R39" i="1"/>
  <c r="R46" i="1"/>
  <c r="R42" i="1"/>
  <c r="R43" i="1"/>
  <c r="R35" i="1"/>
  <c r="R22" i="1"/>
  <c r="R15" i="1"/>
  <c r="Q5" i="1"/>
  <c r="AE19" i="1"/>
  <c r="R19" i="1"/>
  <c r="R41" i="1"/>
  <c r="R40" i="1"/>
  <c r="AE20" i="1"/>
  <c r="R20" i="1"/>
  <c r="R51" i="1"/>
  <c r="R30" i="1"/>
  <c r="R29" i="1"/>
  <c r="R24" i="1"/>
  <c r="R47" i="1"/>
  <c r="R18" i="1"/>
  <c r="R11" i="1"/>
  <c r="AE11" i="1"/>
  <c r="AE5" i="1" l="1"/>
</calcChain>
</file>

<file path=xl/sharedStrings.xml><?xml version="1.0" encoding="utf-8"?>
<sst xmlns="http://schemas.openxmlformats.org/spreadsheetml/2006/main" count="159" uniqueCount="96">
  <si>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</si>
  <si>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</si>
  <si>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</si>
  <si>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</si>
  <si>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</si>
  <si>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</si>
  <si>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</si>
  <si>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</si>
  <si>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</si>
  <si>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</si>
  <si>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</si>
  <si>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</si>
  <si>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</si>
  <si>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</si>
  <si>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</si>
  <si>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</si>
  <si>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</si>
  <si>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</si>
  <si>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</si>
  <si>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</si>
  <si>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</si>
  <si>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</si>
  <si>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28,09,</t>
  </si>
  <si>
    <t>30,09,</t>
  </si>
  <si>
    <t>23,09,</t>
  </si>
  <si>
    <t>16,09,</t>
  </si>
  <si>
    <t>08,09,</t>
  </si>
  <si>
    <t>01,09,</t>
  </si>
  <si>
    <t>25,08,</t>
  </si>
  <si>
    <t>19,08,</t>
  </si>
  <si>
    <t>11,08,</t>
  </si>
  <si>
    <t>04,08,</t>
  </si>
  <si>
    <t>28,07,</t>
  </si>
  <si>
    <t>21,07,</t>
  </si>
  <si>
    <t>3323 Сыр Российский цилиндр 1/4 пленка ЮКМП м.д.ж. 50%  ОСТАНКИНО</t>
  </si>
  <si>
    <t>кг</t>
  </si>
  <si>
    <t>нужно увеличить продажи</t>
  </si>
  <si>
    <t>4421577 Спред растительно-сливочный "Сливочный вкус" 82,5% 180гр  Останкино</t>
  </si>
  <si>
    <t>шт</t>
  </si>
  <si>
    <t>24,09,26 - нет на заводе / 17,09,26 - нет на заводе / 10,09,26 - нет на заводе / 03,09,26 - нет на заводе / 30,07,26 - нет на заводе</t>
  </si>
  <si>
    <t>4421584 Спред растительно-сливочный "Сливочный вкус" 72,5% 180гр  Останкино</t>
  </si>
  <si>
    <t>4931  Сыр полутвердый "Купеческий" с ароматом топленого молока, с м.д.ж. 50% ОСТАНКИНО</t>
  </si>
  <si>
    <t>6948249 Майонезный соус провансаль 824,5гр деликатес.с массовой долей жирн.25% Коровино Останкино</t>
  </si>
  <si>
    <t>нужно увеличить продажи!!!</t>
  </si>
  <si>
    <t>6948256 Майонез провансаль классич.оливковый Папа может 372гр с массовой долей жирн. 67% Останкино</t>
  </si>
  <si>
    <t>6948263 Майонез провансаль классич.оливковый Папа может 744гр с массовой долей жирн. 67% Останкино</t>
  </si>
  <si>
    <t>6948270 Майонез провансаль классич.Папа может 372гр с массовой долей жирн. 67% Останкино</t>
  </si>
  <si>
    <t>6948287 Майонез провансаль классич.Папа может 744гр с массовой долей жирн. 67% Останкино</t>
  </si>
  <si>
    <t>9988421 Творожный Сыр 60 % С маринованными огурчиками и укропом  Останкино</t>
  </si>
  <si>
    <t>219шт в уценку (04,08,26)</t>
  </si>
  <si>
    <t>9988438 Плавленый Сыр 45% "С ветчиной" СТМ"ПапаМожет" 180гр  Останкино</t>
  </si>
  <si>
    <t>9988445 Плавленый Сыр 45%"С грибами" СТМ"ПапаМожет" 180 гр  Останкино</t>
  </si>
  <si>
    <t>Cыр Перлини копченый 40% 100гр (8шт)  Останкино</t>
  </si>
  <si>
    <t>Cыр Перлини со вкусом Васаби 40% 100гр (8шт)  Останкино</t>
  </si>
  <si>
    <t>Масло "Папа может" 82,5% 180гр  Останкино</t>
  </si>
  <si>
    <t>Масло сливочное 72,5 % 180 гр.(10 шт) СЛАВЯНА  Останкино</t>
  </si>
  <si>
    <t>Плавленый Сыр колбасный копченый 40% СТМ"ПапаМожет"400гр  Останкино</t>
  </si>
  <si>
    <t>Плавленый продукт с Сыром колбасный копченый 40% СТМ "Коровино" 400гр  Останкино</t>
  </si>
  <si>
    <t>Плавленый сыр "Шоколадный" 30% 180гр Папа Может Останкино</t>
  </si>
  <si>
    <t>Продукт По-Росийски Классический с ЗМЖ 50% 200г Коровино Останкино</t>
  </si>
  <si>
    <t>Продукт По-Росийски Классический с ЗМЖ 50% ВЕС Коровино Останкино</t>
  </si>
  <si>
    <t>Продукт белково-жировой Сметанковый 50% ВЕС Коровино Останкино</t>
  </si>
  <si>
    <t>нет потребности / 50кг в уценку (15,07,26)</t>
  </si>
  <si>
    <t>Сыр "Пармезан" 40% кусок 180 гр  ОСТАНКИНО</t>
  </si>
  <si>
    <t>Сыр Боккончини копченый 40% 100 гр.  ОСТАНКИНО</t>
  </si>
  <si>
    <t>Сыр Косичка сырная 45% 100г/8шт Папа Может Останкино</t>
  </si>
  <si>
    <t>Сыр Косичка сырная копченая 43% 100г/8шт Папа Может Останкино</t>
  </si>
  <si>
    <t>Сыр ПАПА МОЖЕТ "Гауда Голд" 45 % 180 гр (10шт) Останкино</t>
  </si>
  <si>
    <t>202шт списано (12,09,26 инвенторизация)</t>
  </si>
  <si>
    <t>Сыр ПАПА МОЖЕТ "Голландский традиционный" 45% 180 гр (10шт)  Останкино</t>
  </si>
  <si>
    <t>Сыр ПАПА МОЖЕТ "Министерский" 180 г фасованный массовая  Останкино</t>
  </si>
  <si>
    <t>Сыр ПАПА МОЖЕТ "Папин завтрак"  45% 180 г  Останкино</t>
  </si>
  <si>
    <t>Сыр ПАПА МОЖЕТ "Российский традиционный"45 % 180 г Останкино</t>
  </si>
  <si>
    <t>Сыр ПАПА МОЖЕТ "Тильзитер" фасованный массовая доля жира в сухом веществе 45%, 180г  Останкино</t>
  </si>
  <si>
    <t>13шт в уценку (16,09,26)</t>
  </si>
  <si>
    <t>Сыр Творожный с зеленью 60% Папа может 140 гр.  Останкино</t>
  </si>
  <si>
    <t>Сыр плавленный Сливочный ж.45% 180г ТМ Папа может (16шт)  Останкино</t>
  </si>
  <si>
    <t>Сыр полутвердый "Гауда" с массовой долей жира в пересчете на сухое вещество 45%,   Останкино</t>
  </si>
  <si>
    <t>Сыр полутвердый "Голландский" с массовой долей жира в пересчете на сухое  Останкино</t>
  </si>
  <si>
    <t>Сыр полутвердый "Сметанковый", с масс долей жира в пересчете на сухое вещес50%, брус  Останкино</t>
  </si>
  <si>
    <t>Сыр полутвердый "Тильзитер" с массовой долей жира в пересчете на сухое вещество 45%. 1/5  Останкино</t>
  </si>
  <si>
    <t>Сыр рассольный жирный Чечил 45% 100 гр  ОСТАНКИНО</t>
  </si>
  <si>
    <t>108шт в уценку (16,09,26)</t>
  </si>
  <si>
    <t>Сыр рассольный жирный Чечил копченый 43% 100 гр  Останкино</t>
  </si>
  <si>
    <t>Сыр творожный Сливочный 140 гр.  Останкино</t>
  </si>
  <si>
    <t>Сыч/Прод Коровино Российский 50% 200г НОВАЯ СЗМЖ  ОСТАНКИНО</t>
  </si>
  <si>
    <t>Сыч/Прод Коровино Российский Оригин 50% ВЕС НОВАЯ (3,5 кг)  ОСТАНКИНО</t>
  </si>
  <si>
    <t>Сыч/Прод Коровино Тильзитер 50% 200г НОВАЯ СЗМЖ  ОСТАНКИНО</t>
  </si>
  <si>
    <t>дубль</t>
  </si>
  <si>
    <t>Сыч/Прод Коровино Тильзитер 50% 200г СЗМЖ  ОСТАНКИНО</t>
  </si>
  <si>
    <t>Сыч/Прод Коровино Тильзитер Оригин 50% ВЕС (3,5 кг брус) СЗМЖ  Останкино</t>
  </si>
  <si>
    <r>
      <rPr>
        <b/>
        <sz val="10"/>
        <color rgb="FFFF0000"/>
        <rFont val="Arial"/>
        <family val="2"/>
        <charset val="204"/>
      </rPr>
      <t xml:space="preserve">нужно увеличить продажи!!! </t>
    </r>
    <r>
      <rPr>
        <sz val="10"/>
        <rFont val="Arial"/>
      </rPr>
      <t>/ 58шт в уценку (16,09,26)</t>
    </r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</si>
  <si>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</rPr>
      <t xml:space="preserve"> / 205кг в уценку (06,08,26)</t>
    </r>
  </si>
  <si>
    <t>43кг списано (12,09,26 инвенторизация)</t>
  </si>
  <si>
    <t>192шт в уценку (29,09,26) / 94шт в уценку (16,09,26)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</si>
  <si>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102кг перемещение в Крым (24,09,26)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</si>
</sst>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7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5" borderId="1" xfId="1" applyNumberFormat="1" applyFont="1" applyFill="1"/>
    <xf numFmtId="164" fontId="1" fillId="6" borderId="1" xfId="1" applyNumberFormat="1" applyFill="1"/>
    <xf numFmtId="164" fontId="5" fillId="6" borderId="1" xfId="1" applyNumberFormat="1" applyFont="1" applyFill="1"/>
    <xf numFmtId="164" fontId="6" fillId="6" borderId="1" xfId="1" applyNumberFormat="1" applyFont="1" applyFill="1"/>
    <xf numFmtId="164" fontId="6" fillId="0" borderId="1" xfId="1" applyNumberFormat="1" applyFon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D5" sqref="AD5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6.42578125" customWidth="1"/>
    <col min="10" max="10" width="1" customWidth="1"/>
    <col min="11" max="12" width="7" customWidth="1"/>
    <col min="13" max="14" width="0.42578125" customWidth="1"/>
    <col min="15" max="17" width="7" customWidth="1"/>
    <col min="18" max="19" width="5" customWidth="1"/>
    <col min="20" max="29" width="6" customWidth="1"/>
    <col min="30" max="30" width="67.5703125" customWidth="1"/>
    <col min="31" max="31" width="7" customWidth="1"/>
    <col min="32" max="48" width="3" customWidth="1"/>
  </cols>
  <sheetData>
    <row r="1" spans="1:48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2" t="s">
        <v>17</v>
      </c>
      <c r="S3" s="2" t="s">
        <v>18</v>
      </c>
      <c r="T3" s="2" t="s">
        <v>19</v>
      </c>
      <c r="U3" s="2" t="s">
        <v>19</v>
      </c>
      <c r="V3" s="2" t="s">
        <v>19</v>
      </c>
      <c r="W3" s="2" t="s">
        <v>19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20</v>
      </c>
      <c r="AE3" s="2" t="s">
        <v>21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/>
      <c r="R4" s="1"/>
      <c r="S4" s="1"/>
      <c r="T4" s="1" t="s">
        <v>24</v>
      </c>
      <c r="U4" s="1" t="s">
        <v>25</v>
      </c>
      <c r="V4" s="1" t="s">
        <v>26</v>
      </c>
      <c r="W4" s="1" t="s">
        <v>27</v>
      </c>
      <c r="X4" s="1" t="s">
        <v>28</v>
      </c>
      <c r="Y4" s="1" t="s">
        <v>29</v>
      </c>
      <c r="Z4" s="1" t="s">
        <v>30</v>
      </c>
      <c r="AA4" s="1" t="s">
        <v>31</v>
      </c>
      <c r="AB4" s="1" t="s">
        <v>32</v>
      </c>
      <c r="AC4" s="1" t="s">
        <v>33</v>
      </c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x14ac:dyDescent="0.25">
      <c r="A5" s="1"/>
      <c r="B5" s="1"/>
      <c r="C5" s="1"/>
      <c r="D5" s="1"/>
      <c r="E5" s="4">
        <f>SUM(E6:E500)</f>
        <v>2259.7720000000004</v>
      </c>
      <c r="F5" s="4">
        <f>SUM(F6:F500)</f>
        <v>5466.5809999999992</v>
      </c>
      <c r="G5" s="7"/>
      <c r="H5" s="1"/>
      <c r="I5" s="1"/>
      <c r="J5" s="1"/>
      <c r="K5" s="4">
        <f t="shared" ref="K5:Q5" si="0">SUM(K6:K500)</f>
        <v>2184.6219999999998</v>
      </c>
      <c r="L5" s="4">
        <f t="shared" si="0"/>
        <v>75.150000000000006</v>
      </c>
      <c r="M5" s="4">
        <f t="shared" si="0"/>
        <v>0</v>
      </c>
      <c r="N5" s="4">
        <f t="shared" si="0"/>
        <v>0</v>
      </c>
      <c r="O5" s="4">
        <f t="shared" si="0"/>
        <v>3415</v>
      </c>
      <c r="P5" s="4">
        <f t="shared" si="0"/>
        <v>431.55439999999999</v>
      </c>
      <c r="Q5" s="4">
        <f t="shared" si="0"/>
        <v>1361.7367999999999</v>
      </c>
      <c r="R5" s="1"/>
      <c r="S5" s="1"/>
      <c r="T5" s="4">
        <f t="shared" ref="T5:AC5" si="1">SUM(T6:T500)</f>
        <v>461.428</v>
      </c>
      <c r="U5" s="4">
        <f t="shared" si="1"/>
        <v>581.45000000000027</v>
      </c>
      <c r="V5" s="4">
        <f t="shared" si="1"/>
        <v>298.04300000000001</v>
      </c>
      <c r="W5" s="4">
        <f t="shared" si="1"/>
        <v>685.64299999999992</v>
      </c>
      <c r="X5" s="4">
        <f t="shared" si="1"/>
        <v>442.04200000000003</v>
      </c>
      <c r="Y5" s="4">
        <f t="shared" si="1"/>
        <v>538.97160000000008</v>
      </c>
      <c r="Z5" s="4">
        <f t="shared" si="1"/>
        <v>474.34359999999998</v>
      </c>
      <c r="AA5" s="4">
        <f t="shared" si="1"/>
        <v>818.0404000000002</v>
      </c>
      <c r="AB5" s="4">
        <f t="shared" si="1"/>
        <v>429.74199999999996</v>
      </c>
      <c r="AC5" s="4">
        <f t="shared" si="1"/>
        <v>968.17379999999991</v>
      </c>
      <c r="AD5" s="1"/>
      <c r="AE5" s="4">
        <f>SUM(AE6:AE500)</f>
        <v>521.80079999999998</v>
      </c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</row>
    <row r="6" spans="1:48" x14ac:dyDescent="0.25">
      <c r="A6" s="1" t="s">
        <v>34</v>
      </c>
      <c r="B6" s="1" t="s">
        <v>35</v>
      </c>
      <c r="C6" s="1">
        <v>55.966000000000001</v>
      </c>
      <c r="D6" s="1">
        <v>150.73599999999999</v>
      </c>
      <c r="E6" s="1">
        <v>29.885999999999999</v>
      </c>
      <c r="F6" s="1">
        <v>171.756</v>
      </c>
      <c r="G6" s="7">
        <v>1</v>
      </c>
      <c r="H6" s="1">
        <v>120</v>
      </c>
      <c r="I6" s="1"/>
      <c r="J6" s="1"/>
      <c r="K6" s="1">
        <v>23.2</v>
      </c>
      <c r="L6" s="1">
        <f t="shared" ref="L6:L51" si="2">E6-K6</f>
        <v>6.6859999999999999</v>
      </c>
      <c r="M6" s="1"/>
      <c r="N6" s="1"/>
      <c r="O6" s="1"/>
      <c r="P6" s="1">
        <f t="shared" ref="P6:P51" si="3">E6/5</f>
        <v>5.9771999999999998</v>
      </c>
      <c r="Q6" s="5"/>
      <c r="R6" s="1">
        <f t="shared" ref="R6:R51" si="4">(F6+O6+Q6)/P6</f>
        <v>28.735193736197552</v>
      </c>
      <c r="S6" s="1">
        <f t="shared" ref="S6:S51" si="5">(F6+O6)/P6</f>
        <v>28.735193736197552</v>
      </c>
      <c r="T6" s="1">
        <v>2.7707999999999999</v>
      </c>
      <c r="U6" s="1">
        <v>12.927199999999999</v>
      </c>
      <c r="V6" s="1">
        <v>2.9577499999999999</v>
      </c>
      <c r="W6" s="1">
        <v>5.5456000000000003</v>
      </c>
      <c r="X6" s="1">
        <v>0.79279999999999995</v>
      </c>
      <c r="Y6" s="1">
        <v>15.164400000000001</v>
      </c>
      <c r="Z6" s="1">
        <v>6.3544</v>
      </c>
      <c r="AA6" s="1">
        <v>6.45</v>
      </c>
      <c r="AB6" s="1">
        <v>4.4615999999999998</v>
      </c>
      <c r="AC6" s="1">
        <v>2.0552000000000001</v>
      </c>
      <c r="AD6" s="13" t="s">
        <v>36</v>
      </c>
      <c r="AE6" s="1">
        <f t="shared" ref="AE6:AE26" si="6">G6*Q6</f>
        <v>0</v>
      </c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</row>
    <row r="7" spans="1:48" x14ac:dyDescent="0.25">
      <c r="A7" s="1" t="s">
        <v>37</v>
      </c>
      <c r="B7" s="1" t="s">
        <v>38</v>
      </c>
      <c r="C7" s="1"/>
      <c r="D7" s="1"/>
      <c r="E7" s="1"/>
      <c r="F7" s="1"/>
      <c r="G7" s="7">
        <v>0.18</v>
      </c>
      <c r="H7" s="1">
        <v>180</v>
      </c>
      <c r="I7" s="1"/>
      <c r="J7" s="1"/>
      <c r="K7" s="1"/>
      <c r="L7" s="1">
        <f t="shared" si="2"/>
        <v>0</v>
      </c>
      <c r="M7" s="1"/>
      <c r="N7" s="1"/>
      <c r="O7" s="1">
        <v>0</v>
      </c>
      <c r="P7" s="1">
        <f t="shared" si="3"/>
        <v>0</v>
      </c>
      <c r="Q7" s="5">
        <v>12</v>
      </c>
      <c r="R7" s="1" t="e">
        <f t="shared" si="4"/>
        <v>#DIV/0!</v>
      </c>
      <c r="S7" s="1" t="e">
        <f t="shared" si="5"/>
        <v>#DIV/0!</v>
      </c>
      <c r="T7" s="1">
        <v>0</v>
      </c>
      <c r="U7" s="1">
        <v>0</v>
      </c>
      <c r="V7" s="1">
        <v>0</v>
      </c>
      <c r="W7" s="1">
        <v>0</v>
      </c>
      <c r="X7" s="1">
        <v>-2.4</v>
      </c>
      <c r="Y7" s="1">
        <v>0</v>
      </c>
      <c r="Z7" s="1">
        <v>-1.8</v>
      </c>
      <c r="AA7" s="1">
        <v>0</v>
      </c>
      <c r="AB7" s="1">
        <v>0</v>
      </c>
      <c r="AC7" s="1">
        <v>5.2</v>
      </c>
      <c r="AD7" s="1" t="s">
        <v>39</v>
      </c>
      <c r="AE7" s="1">
        <f t="shared" si="6"/>
        <v>2.16</v>
      </c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</row>
    <row r="8" spans="1:48" x14ac:dyDescent="0.25">
      <c r="A8" s="1" t="s">
        <v>40</v>
      </c>
      <c r="B8" s="1" t="s">
        <v>38</v>
      </c>
      <c r="C8" s="1"/>
      <c r="D8" s="1"/>
      <c r="E8" s="1">
        <v>-2</v>
      </c>
      <c r="F8" s="1"/>
      <c r="G8" s="7">
        <v>0.18</v>
      </c>
      <c r="H8" s="1">
        <v>180</v>
      </c>
      <c r="I8" s="1"/>
      <c r="J8" s="1"/>
      <c r="K8" s="1"/>
      <c r="L8" s="1">
        <f t="shared" si="2"/>
        <v>-2</v>
      </c>
      <c r="M8" s="1"/>
      <c r="N8" s="1"/>
      <c r="O8" s="1">
        <v>0</v>
      </c>
      <c r="P8" s="1">
        <f t="shared" si="3"/>
        <v>-0.4</v>
      </c>
      <c r="Q8" s="5">
        <v>12</v>
      </c>
      <c r="R8" s="1">
        <f t="shared" si="4"/>
        <v>-30</v>
      </c>
      <c r="S8" s="1">
        <f t="shared" si="5"/>
        <v>0</v>
      </c>
      <c r="T8" s="1">
        <v>0</v>
      </c>
      <c r="U8" s="1">
        <v>0</v>
      </c>
      <c r="V8" s="1">
        <v>-1.375</v>
      </c>
      <c r="W8" s="1">
        <v>0</v>
      </c>
      <c r="X8" s="1">
        <v>-2.4</v>
      </c>
      <c r="Y8" s="1">
        <v>-0.4</v>
      </c>
      <c r="Z8" s="1">
        <v>-2.2000000000000002</v>
      </c>
      <c r="AA8" s="1">
        <v>0</v>
      </c>
      <c r="AB8" s="1">
        <v>-4</v>
      </c>
      <c r="AC8" s="1">
        <v>2.8</v>
      </c>
      <c r="AD8" s="1" t="s">
        <v>39</v>
      </c>
      <c r="AE8" s="1">
        <f t="shared" si="6"/>
        <v>2.16</v>
      </c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</row>
    <row r="9" spans="1:48" x14ac:dyDescent="0.25">
      <c r="A9" s="1" t="s">
        <v>41</v>
      </c>
      <c r="B9" s="1" t="s">
        <v>35</v>
      </c>
      <c r="C9" s="1">
        <v>25.297999999999998</v>
      </c>
      <c r="D9" s="1">
        <v>14.53</v>
      </c>
      <c r="E9" s="1">
        <v>3.05</v>
      </c>
      <c r="F9" s="1">
        <v>33.630000000000003</v>
      </c>
      <c r="G9" s="7">
        <v>1</v>
      </c>
      <c r="H9" s="1">
        <v>180</v>
      </c>
      <c r="I9" s="1"/>
      <c r="J9" s="1"/>
      <c r="K9" s="1">
        <v>3</v>
      </c>
      <c r="L9" s="1">
        <f t="shared" si="2"/>
        <v>4.9999999999999822E-2</v>
      </c>
      <c r="M9" s="1"/>
      <c r="N9" s="1"/>
      <c r="O9" s="1">
        <v>16</v>
      </c>
      <c r="P9" s="1">
        <f t="shared" si="3"/>
        <v>0.61</v>
      </c>
      <c r="Q9" s="5"/>
      <c r="R9" s="1">
        <f t="shared" si="4"/>
        <v>81.360655737704917</v>
      </c>
      <c r="S9" s="1">
        <f t="shared" si="5"/>
        <v>81.360655737704917</v>
      </c>
      <c r="T9" s="1">
        <v>1.9416</v>
      </c>
      <c r="U9" s="1">
        <v>1.9372</v>
      </c>
      <c r="V9" s="1">
        <v>0.40425</v>
      </c>
      <c r="W9" s="1">
        <v>0.65439999999999998</v>
      </c>
      <c r="X9" s="1">
        <v>3.2088000000000001</v>
      </c>
      <c r="Y9" s="1">
        <v>3.1692</v>
      </c>
      <c r="Z9" s="1">
        <v>0</v>
      </c>
      <c r="AA9" s="1">
        <v>2.6052</v>
      </c>
      <c r="AB9" s="1">
        <v>1.2527999999999999</v>
      </c>
      <c r="AC9" s="1">
        <v>0.64640000000000009</v>
      </c>
      <c r="AD9" s="14" t="s">
        <v>43</v>
      </c>
      <c r="AE9" s="1">
        <f t="shared" si="6"/>
        <v>0</v>
      </c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</row>
    <row r="10" spans="1:48" x14ac:dyDescent="0.25">
      <c r="A10" s="1" t="s">
        <v>42</v>
      </c>
      <c r="B10" s="1" t="s">
        <v>38</v>
      </c>
      <c r="C10" s="1">
        <v>149</v>
      </c>
      <c r="D10" s="1"/>
      <c r="E10" s="1">
        <v>1</v>
      </c>
      <c r="F10" s="1">
        <v>148</v>
      </c>
      <c r="G10" s="7">
        <v>0.82450000000000001</v>
      </c>
      <c r="H10" s="1">
        <v>180</v>
      </c>
      <c r="I10" s="1"/>
      <c r="J10" s="1"/>
      <c r="K10" s="1">
        <v>1</v>
      </c>
      <c r="L10" s="1">
        <f t="shared" si="2"/>
        <v>0</v>
      </c>
      <c r="M10" s="1"/>
      <c r="N10" s="1"/>
      <c r="O10" s="1"/>
      <c r="P10" s="1">
        <f t="shared" si="3"/>
        <v>0.2</v>
      </c>
      <c r="Q10" s="5"/>
      <c r="R10" s="1">
        <f t="shared" si="4"/>
        <v>740</v>
      </c>
      <c r="S10" s="1">
        <f t="shared" si="5"/>
        <v>740</v>
      </c>
      <c r="T10" s="1">
        <v>0</v>
      </c>
      <c r="U10" s="1">
        <v>0.4</v>
      </c>
      <c r="V10" s="1">
        <v>0</v>
      </c>
      <c r="W10" s="1">
        <v>2.4</v>
      </c>
      <c r="X10" s="1">
        <v>0</v>
      </c>
      <c r="Y10" s="1">
        <v>1</v>
      </c>
      <c r="Z10" s="1">
        <v>0.2</v>
      </c>
      <c r="AA10" s="1">
        <v>4.8</v>
      </c>
      <c r="AB10" s="1">
        <v>0</v>
      </c>
      <c r="AC10" s="1">
        <v>0</v>
      </c>
      <c r="AD10" s="14" t="s">
        <v>43</v>
      </c>
      <c r="AE10" s="1">
        <f t="shared" si="6"/>
        <v>0</v>
      </c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</row>
    <row r="11" spans="1:48" x14ac:dyDescent="0.25">
      <c r="A11" s="1" t="s">
        <v>44</v>
      </c>
      <c r="B11" s="1" t="s">
        <v>38</v>
      </c>
      <c r="C11" s="1">
        <v>218</v>
      </c>
      <c r="D11" s="1"/>
      <c r="E11" s="1">
        <v>16</v>
      </c>
      <c r="F11" s="1">
        <v>199</v>
      </c>
      <c r="G11" s="7">
        <v>0.372</v>
      </c>
      <c r="H11" s="1">
        <v>180</v>
      </c>
      <c r="I11" s="1"/>
      <c r="J11" s="1"/>
      <c r="K11" s="1">
        <v>14</v>
      </c>
      <c r="L11" s="1">
        <f t="shared" si="2"/>
        <v>2</v>
      </c>
      <c r="M11" s="1"/>
      <c r="N11" s="1"/>
      <c r="O11" s="1"/>
      <c r="P11" s="1">
        <f t="shared" si="3"/>
        <v>3.2</v>
      </c>
      <c r="Q11" s="5"/>
      <c r="R11" s="1">
        <f t="shared" si="4"/>
        <v>62.1875</v>
      </c>
      <c r="S11" s="1">
        <f t="shared" si="5"/>
        <v>62.1875</v>
      </c>
      <c r="T11" s="1">
        <v>0</v>
      </c>
      <c r="U11" s="1">
        <v>13.2</v>
      </c>
      <c r="V11" s="1">
        <v>7.375</v>
      </c>
      <c r="W11" s="1">
        <v>16.8</v>
      </c>
      <c r="X11" s="1">
        <v>11.2</v>
      </c>
      <c r="Y11" s="1">
        <v>17.399999999999999</v>
      </c>
      <c r="Z11" s="1">
        <v>5.8</v>
      </c>
      <c r="AA11" s="1">
        <v>33.4</v>
      </c>
      <c r="AB11" s="1">
        <v>12.8</v>
      </c>
      <c r="AC11" s="1">
        <v>16.8</v>
      </c>
      <c r="AD11" s="14" t="s">
        <v>43</v>
      </c>
      <c r="AE11" s="1">
        <f t="shared" si="6"/>
        <v>0</v>
      </c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</row>
    <row r="12" spans="1:48" x14ac:dyDescent="0.25">
      <c r="A12" s="1" t="s">
        <v>45</v>
      </c>
      <c r="B12" s="1" t="s">
        <v>38</v>
      </c>
      <c r="C12" s="1">
        <v>206</v>
      </c>
      <c r="D12" s="1"/>
      <c r="E12" s="1">
        <v>14</v>
      </c>
      <c r="F12" s="1"/>
      <c r="G12" s="7">
        <v>0.74399999999999999</v>
      </c>
      <c r="H12" s="1">
        <v>180</v>
      </c>
      <c r="I12" s="1"/>
      <c r="J12" s="1"/>
      <c r="K12" s="1">
        <v>14</v>
      </c>
      <c r="L12" s="1">
        <f t="shared" si="2"/>
        <v>0</v>
      </c>
      <c r="M12" s="1"/>
      <c r="N12" s="1"/>
      <c r="O12" s="1"/>
      <c r="P12" s="1">
        <f t="shared" si="3"/>
        <v>2.8</v>
      </c>
      <c r="Q12" s="5">
        <v>30</v>
      </c>
      <c r="R12" s="1">
        <f t="shared" si="4"/>
        <v>10.714285714285715</v>
      </c>
      <c r="S12" s="1">
        <f t="shared" si="5"/>
        <v>0</v>
      </c>
      <c r="T12" s="1">
        <v>2.4</v>
      </c>
      <c r="U12" s="1">
        <v>13.8</v>
      </c>
      <c r="V12" s="1">
        <v>4.75</v>
      </c>
      <c r="W12" s="1">
        <v>9.1999999999999993</v>
      </c>
      <c r="X12" s="1">
        <v>1.2</v>
      </c>
      <c r="Y12" s="1">
        <v>10.6</v>
      </c>
      <c r="Z12" s="1">
        <v>1.6</v>
      </c>
      <c r="AA12" s="1">
        <v>31.6</v>
      </c>
      <c r="AB12" s="1">
        <v>4.2</v>
      </c>
      <c r="AC12" s="1">
        <v>6.4</v>
      </c>
      <c r="AD12" s="16" t="s">
        <v>94</v>
      </c>
      <c r="AE12" s="1">
        <f t="shared" si="6"/>
        <v>22.32</v>
      </c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</row>
    <row r="13" spans="1:48" x14ac:dyDescent="0.25">
      <c r="A13" s="1" t="s">
        <v>46</v>
      </c>
      <c r="B13" s="1" t="s">
        <v>38</v>
      </c>
      <c r="C13" s="1">
        <v>185</v>
      </c>
      <c r="D13" s="1"/>
      <c r="E13" s="1">
        <v>44</v>
      </c>
      <c r="F13" s="1">
        <v>134</v>
      </c>
      <c r="G13" s="7">
        <v>0.372</v>
      </c>
      <c r="H13" s="1">
        <v>180</v>
      </c>
      <c r="I13" s="1"/>
      <c r="J13" s="1"/>
      <c r="K13" s="1">
        <v>42</v>
      </c>
      <c r="L13" s="1">
        <f t="shared" si="2"/>
        <v>2</v>
      </c>
      <c r="M13" s="1"/>
      <c r="N13" s="1"/>
      <c r="O13" s="1">
        <v>204</v>
      </c>
      <c r="P13" s="1">
        <f t="shared" si="3"/>
        <v>8.8000000000000007</v>
      </c>
      <c r="Q13" s="5"/>
      <c r="R13" s="1">
        <f t="shared" si="4"/>
        <v>38.409090909090907</v>
      </c>
      <c r="S13" s="1">
        <f t="shared" si="5"/>
        <v>38.409090909090907</v>
      </c>
      <c r="T13" s="1">
        <v>17.2</v>
      </c>
      <c r="U13" s="1">
        <v>17.399999999999999</v>
      </c>
      <c r="V13" s="1">
        <v>12.75</v>
      </c>
      <c r="W13" s="1">
        <v>37.4</v>
      </c>
      <c r="X13" s="1">
        <v>17</v>
      </c>
      <c r="Y13" s="1">
        <v>25.8</v>
      </c>
      <c r="Z13" s="1">
        <v>26.8</v>
      </c>
      <c r="AA13" s="1">
        <v>39.4</v>
      </c>
      <c r="AB13" s="1">
        <v>30.6</v>
      </c>
      <c r="AC13" s="1">
        <v>19.600000000000001</v>
      </c>
      <c r="AD13" s="13" t="s">
        <v>36</v>
      </c>
      <c r="AE13" s="1">
        <f t="shared" si="6"/>
        <v>0</v>
      </c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</row>
    <row r="14" spans="1:48" x14ac:dyDescent="0.25">
      <c r="A14" s="1" t="s">
        <v>47</v>
      </c>
      <c r="B14" s="1" t="s">
        <v>38</v>
      </c>
      <c r="C14" s="1">
        <v>228</v>
      </c>
      <c r="D14" s="1">
        <v>84</v>
      </c>
      <c r="E14" s="1">
        <v>59</v>
      </c>
      <c r="F14" s="1">
        <v>262</v>
      </c>
      <c r="G14" s="7">
        <v>0.74399999999999999</v>
      </c>
      <c r="H14" s="1">
        <v>180</v>
      </c>
      <c r="I14" s="1"/>
      <c r="J14" s="1"/>
      <c r="K14" s="1">
        <v>44</v>
      </c>
      <c r="L14" s="1">
        <f t="shared" si="2"/>
        <v>15</v>
      </c>
      <c r="M14" s="1"/>
      <c r="N14" s="1"/>
      <c r="O14" s="1"/>
      <c r="P14" s="1">
        <f t="shared" si="3"/>
        <v>11.8</v>
      </c>
      <c r="Q14" s="5"/>
      <c r="R14" s="1">
        <f t="shared" si="4"/>
        <v>22.203389830508474</v>
      </c>
      <c r="S14" s="1">
        <f t="shared" si="5"/>
        <v>22.203389830508474</v>
      </c>
      <c r="T14" s="1">
        <v>3.4</v>
      </c>
      <c r="U14" s="1">
        <v>20.2</v>
      </c>
      <c r="V14" s="1">
        <v>17.375</v>
      </c>
      <c r="W14" s="1">
        <v>29.4</v>
      </c>
      <c r="X14" s="1">
        <v>8</v>
      </c>
      <c r="Y14" s="1">
        <v>16</v>
      </c>
      <c r="Z14" s="1">
        <v>5.6</v>
      </c>
      <c r="AA14" s="1">
        <v>42.6</v>
      </c>
      <c r="AB14" s="1">
        <v>39.799999999999997</v>
      </c>
      <c r="AC14" s="1">
        <v>23.2</v>
      </c>
      <c r="AD14" s="13" t="s">
        <v>36</v>
      </c>
      <c r="AE14" s="1">
        <f t="shared" si="6"/>
        <v>0</v>
      </c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</row>
    <row r="15" spans="1:48" x14ac:dyDescent="0.25">
      <c r="A15" s="1" t="s">
        <v>48</v>
      </c>
      <c r="B15" s="1" t="s">
        <v>38</v>
      </c>
      <c r="C15" s="1">
        <v>74</v>
      </c>
      <c r="D15" s="1"/>
      <c r="E15" s="1">
        <v>25</v>
      </c>
      <c r="F15" s="1">
        <v>49</v>
      </c>
      <c r="G15" s="7">
        <v>0.14000000000000001</v>
      </c>
      <c r="H15" s="1">
        <v>180</v>
      </c>
      <c r="I15" s="1"/>
      <c r="J15" s="1"/>
      <c r="K15" s="1">
        <v>19</v>
      </c>
      <c r="L15" s="1">
        <f t="shared" si="2"/>
        <v>6</v>
      </c>
      <c r="M15" s="1"/>
      <c r="N15" s="1"/>
      <c r="O15" s="1"/>
      <c r="P15" s="1">
        <f t="shared" si="3"/>
        <v>5</v>
      </c>
      <c r="Q15" s="5">
        <f t="shared" ref="Q7:Q26" si="7">18*P15-O15-F15</f>
        <v>41</v>
      </c>
      <c r="R15" s="1">
        <f t="shared" si="4"/>
        <v>18</v>
      </c>
      <c r="S15" s="1">
        <f t="shared" si="5"/>
        <v>9.8000000000000007</v>
      </c>
      <c r="T15" s="1">
        <v>3</v>
      </c>
      <c r="U15" s="1">
        <v>4</v>
      </c>
      <c r="V15" s="1">
        <v>0</v>
      </c>
      <c r="W15" s="1">
        <v>3</v>
      </c>
      <c r="X15" s="1">
        <v>3</v>
      </c>
      <c r="Y15" s="1">
        <v>0</v>
      </c>
      <c r="Z15" s="1">
        <v>1.8</v>
      </c>
      <c r="AA15" s="1">
        <v>11</v>
      </c>
      <c r="AB15" s="1">
        <v>2</v>
      </c>
      <c r="AC15" s="1">
        <v>15.6</v>
      </c>
      <c r="AD15" s="1" t="s">
        <v>49</v>
      </c>
      <c r="AE15" s="1">
        <f t="shared" si="6"/>
        <v>5.74</v>
      </c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</row>
    <row r="16" spans="1:48" x14ac:dyDescent="0.25">
      <c r="A16" s="1" t="s">
        <v>50</v>
      </c>
      <c r="B16" s="1" t="s">
        <v>38</v>
      </c>
      <c r="C16" s="1">
        <v>126</v>
      </c>
      <c r="D16" s="1"/>
      <c r="E16" s="1">
        <v>75</v>
      </c>
      <c r="F16" s="1">
        <v>48</v>
      </c>
      <c r="G16" s="7">
        <v>0.18</v>
      </c>
      <c r="H16" s="1">
        <v>270</v>
      </c>
      <c r="I16" s="1"/>
      <c r="J16" s="1"/>
      <c r="K16" s="1">
        <v>65</v>
      </c>
      <c r="L16" s="1">
        <f t="shared" si="2"/>
        <v>10</v>
      </c>
      <c r="M16" s="1"/>
      <c r="N16" s="1"/>
      <c r="O16" s="1">
        <v>48</v>
      </c>
      <c r="P16" s="1">
        <f t="shared" si="3"/>
        <v>15</v>
      </c>
      <c r="Q16" s="5">
        <f t="shared" si="7"/>
        <v>174</v>
      </c>
      <c r="R16" s="1">
        <f t="shared" si="4"/>
        <v>18</v>
      </c>
      <c r="S16" s="1">
        <f t="shared" si="5"/>
        <v>6.4</v>
      </c>
      <c r="T16" s="1">
        <v>7.4</v>
      </c>
      <c r="U16" s="1">
        <v>2.4</v>
      </c>
      <c r="V16" s="1">
        <v>12.125</v>
      </c>
      <c r="W16" s="1">
        <v>13.8</v>
      </c>
      <c r="X16" s="1">
        <v>13.4</v>
      </c>
      <c r="Y16" s="1">
        <v>15</v>
      </c>
      <c r="Z16" s="1">
        <v>11.6</v>
      </c>
      <c r="AA16" s="1">
        <v>15.8</v>
      </c>
      <c r="AB16" s="1">
        <v>9.1999999999999993</v>
      </c>
      <c r="AC16" s="1">
        <v>21.2</v>
      </c>
      <c r="AD16" s="1"/>
      <c r="AE16" s="1">
        <f t="shared" si="6"/>
        <v>31.32</v>
      </c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</row>
    <row r="17" spans="1:48" x14ac:dyDescent="0.25">
      <c r="A17" s="1" t="s">
        <v>51</v>
      </c>
      <c r="B17" s="1" t="s">
        <v>38</v>
      </c>
      <c r="C17" s="1">
        <v>147</v>
      </c>
      <c r="D17" s="1"/>
      <c r="E17" s="1">
        <v>74</v>
      </c>
      <c r="F17" s="1">
        <v>70</v>
      </c>
      <c r="G17" s="7">
        <v>0.18</v>
      </c>
      <c r="H17" s="1">
        <v>270</v>
      </c>
      <c r="I17" s="1"/>
      <c r="J17" s="1"/>
      <c r="K17" s="1">
        <v>64</v>
      </c>
      <c r="L17" s="1">
        <f t="shared" si="2"/>
        <v>10</v>
      </c>
      <c r="M17" s="1"/>
      <c r="N17" s="1"/>
      <c r="O17" s="1">
        <v>16</v>
      </c>
      <c r="P17" s="1">
        <f t="shared" si="3"/>
        <v>14.8</v>
      </c>
      <c r="Q17" s="5">
        <f t="shared" si="7"/>
        <v>180.40000000000003</v>
      </c>
      <c r="R17" s="1">
        <f t="shared" si="4"/>
        <v>18</v>
      </c>
      <c r="S17" s="1">
        <f t="shared" si="5"/>
        <v>5.8108108108108105</v>
      </c>
      <c r="T17" s="1">
        <v>7</v>
      </c>
      <c r="U17" s="1">
        <v>1.4</v>
      </c>
      <c r="V17" s="1">
        <v>12.625</v>
      </c>
      <c r="W17" s="1">
        <v>14.2</v>
      </c>
      <c r="X17" s="1">
        <v>13.2</v>
      </c>
      <c r="Y17" s="1">
        <v>11.8</v>
      </c>
      <c r="Z17" s="1">
        <v>7.4</v>
      </c>
      <c r="AA17" s="1">
        <v>18</v>
      </c>
      <c r="AB17" s="1">
        <v>11.4</v>
      </c>
      <c r="AC17" s="1">
        <v>21.2</v>
      </c>
      <c r="AD17" s="1"/>
      <c r="AE17" s="1">
        <f t="shared" si="6"/>
        <v>32.472000000000008</v>
      </c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</row>
    <row r="18" spans="1:48" x14ac:dyDescent="0.25">
      <c r="A18" s="1" t="s">
        <v>52</v>
      </c>
      <c r="B18" s="1" t="s">
        <v>38</v>
      </c>
      <c r="C18" s="1">
        <v>94</v>
      </c>
      <c r="D18" s="1"/>
      <c r="E18" s="1">
        <v>8</v>
      </c>
      <c r="F18" s="1">
        <v>85</v>
      </c>
      <c r="G18" s="7">
        <v>0.1</v>
      </c>
      <c r="H18" s="1"/>
      <c r="I18" s="1"/>
      <c r="J18" s="1"/>
      <c r="K18" s="1">
        <v>7</v>
      </c>
      <c r="L18" s="1">
        <f t="shared" si="2"/>
        <v>1</v>
      </c>
      <c r="M18" s="1"/>
      <c r="N18" s="1"/>
      <c r="O18" s="1"/>
      <c r="P18" s="1">
        <f t="shared" si="3"/>
        <v>1.6</v>
      </c>
      <c r="Q18" s="5"/>
      <c r="R18" s="1">
        <f t="shared" si="4"/>
        <v>53.125</v>
      </c>
      <c r="S18" s="1">
        <f t="shared" si="5"/>
        <v>53.125</v>
      </c>
      <c r="T18" s="1">
        <v>0.4</v>
      </c>
      <c r="U18" s="1">
        <v>5.4</v>
      </c>
      <c r="V18" s="1">
        <v>1.5</v>
      </c>
      <c r="W18" s="1">
        <v>3.2</v>
      </c>
      <c r="X18" s="1">
        <v>3.4</v>
      </c>
      <c r="Y18" s="1">
        <v>13.2</v>
      </c>
      <c r="Z18" s="1">
        <v>2</v>
      </c>
      <c r="AA18" s="1">
        <v>0</v>
      </c>
      <c r="AB18" s="1">
        <v>1.8</v>
      </c>
      <c r="AC18" s="1">
        <v>17.8</v>
      </c>
      <c r="AD18" s="14" t="s">
        <v>43</v>
      </c>
      <c r="AE18" s="1">
        <f t="shared" si="6"/>
        <v>0</v>
      </c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</row>
    <row r="19" spans="1:48" x14ac:dyDescent="0.25">
      <c r="A19" s="1" t="s">
        <v>53</v>
      </c>
      <c r="B19" s="1" t="s">
        <v>38</v>
      </c>
      <c r="C19" s="1">
        <v>19</v>
      </c>
      <c r="D19" s="1">
        <v>16</v>
      </c>
      <c r="E19" s="1">
        <v>9</v>
      </c>
      <c r="F19" s="1">
        <v>25</v>
      </c>
      <c r="G19" s="7">
        <v>0.1</v>
      </c>
      <c r="H19" s="1">
        <v>60</v>
      </c>
      <c r="I19" s="1"/>
      <c r="J19" s="1"/>
      <c r="K19" s="1">
        <v>8</v>
      </c>
      <c r="L19" s="1">
        <f t="shared" si="2"/>
        <v>1</v>
      </c>
      <c r="M19" s="1"/>
      <c r="N19" s="1"/>
      <c r="O19" s="1"/>
      <c r="P19" s="1">
        <f t="shared" si="3"/>
        <v>1.8</v>
      </c>
      <c r="Q19" s="5">
        <f t="shared" si="7"/>
        <v>7.3999999999999986</v>
      </c>
      <c r="R19" s="1">
        <f t="shared" si="4"/>
        <v>18</v>
      </c>
      <c r="S19" s="1">
        <f t="shared" si="5"/>
        <v>13.888888888888889</v>
      </c>
      <c r="T19" s="1">
        <v>0.6</v>
      </c>
      <c r="U19" s="1">
        <v>2.4</v>
      </c>
      <c r="V19" s="1">
        <v>1.75</v>
      </c>
      <c r="W19" s="1">
        <v>3.2</v>
      </c>
      <c r="X19" s="1">
        <v>2.6</v>
      </c>
      <c r="Y19" s="1">
        <v>0</v>
      </c>
      <c r="Z19" s="1">
        <v>2.2000000000000002</v>
      </c>
      <c r="AA19" s="1">
        <v>3.2</v>
      </c>
      <c r="AB19" s="1">
        <v>1.6</v>
      </c>
      <c r="AC19" s="1">
        <v>1.6</v>
      </c>
      <c r="AD19" s="1"/>
      <c r="AE19" s="1">
        <f t="shared" si="6"/>
        <v>0.73999999999999988</v>
      </c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</row>
    <row r="20" spans="1:48" x14ac:dyDescent="0.25">
      <c r="A20" s="1" t="s">
        <v>54</v>
      </c>
      <c r="B20" s="1" t="s">
        <v>38</v>
      </c>
      <c r="C20" s="1">
        <v>-4</v>
      </c>
      <c r="D20" s="1">
        <v>1700</v>
      </c>
      <c r="E20" s="1">
        <v>333</v>
      </c>
      <c r="F20" s="1">
        <v>1211</v>
      </c>
      <c r="G20" s="7">
        <v>0.18</v>
      </c>
      <c r="H20" s="1">
        <v>180</v>
      </c>
      <c r="I20" s="1"/>
      <c r="J20" s="1"/>
      <c r="K20" s="1">
        <v>342</v>
      </c>
      <c r="L20" s="1">
        <f t="shared" si="2"/>
        <v>-9</v>
      </c>
      <c r="M20" s="1"/>
      <c r="N20" s="1"/>
      <c r="O20" s="1">
        <v>1000</v>
      </c>
      <c r="P20" s="1">
        <f t="shared" si="3"/>
        <v>66.599999999999994</v>
      </c>
      <c r="Q20" s="5"/>
      <c r="R20" s="1">
        <f t="shared" si="4"/>
        <v>33.198198198198199</v>
      </c>
      <c r="S20" s="1">
        <f t="shared" si="5"/>
        <v>33.198198198198199</v>
      </c>
      <c r="T20" s="1">
        <v>99</v>
      </c>
      <c r="U20" s="1">
        <v>135.80000000000001</v>
      </c>
      <c r="V20" s="1">
        <v>26.625</v>
      </c>
      <c r="W20" s="1">
        <v>99.6</v>
      </c>
      <c r="X20" s="1">
        <v>81.599999999999994</v>
      </c>
      <c r="Y20" s="1">
        <v>48</v>
      </c>
      <c r="Z20" s="1">
        <v>74.8</v>
      </c>
      <c r="AA20" s="1">
        <v>25.2</v>
      </c>
      <c r="AB20" s="1">
        <v>7.4</v>
      </c>
      <c r="AC20" s="1">
        <v>142.19999999999999</v>
      </c>
      <c r="AD20" s="1"/>
      <c r="AE20" s="1">
        <f t="shared" si="6"/>
        <v>0</v>
      </c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</row>
    <row r="21" spans="1:48" x14ac:dyDescent="0.25">
      <c r="A21" s="1" t="s">
        <v>55</v>
      </c>
      <c r="B21" s="1" t="s">
        <v>38</v>
      </c>
      <c r="C21" s="1">
        <v>23</v>
      </c>
      <c r="D21" s="1">
        <v>1000</v>
      </c>
      <c r="E21" s="1">
        <v>447</v>
      </c>
      <c r="F21" s="1">
        <v>458</v>
      </c>
      <c r="G21" s="7">
        <v>0.18</v>
      </c>
      <c r="H21" s="1">
        <v>180</v>
      </c>
      <c r="I21" s="1"/>
      <c r="J21" s="1"/>
      <c r="K21" s="1">
        <v>452</v>
      </c>
      <c r="L21" s="1">
        <f t="shared" si="2"/>
        <v>-5</v>
      </c>
      <c r="M21" s="1"/>
      <c r="N21" s="1"/>
      <c r="O21" s="1">
        <v>1500</v>
      </c>
      <c r="P21" s="1">
        <f t="shared" si="3"/>
        <v>89.4</v>
      </c>
      <c r="Q21" s="5"/>
      <c r="R21" s="1">
        <f t="shared" si="4"/>
        <v>21.901565995525726</v>
      </c>
      <c r="S21" s="1">
        <f t="shared" si="5"/>
        <v>21.901565995525726</v>
      </c>
      <c r="T21" s="1">
        <v>103.4</v>
      </c>
      <c r="U21" s="1">
        <v>66.2</v>
      </c>
      <c r="V21" s="1">
        <v>45.625</v>
      </c>
      <c r="W21" s="1">
        <v>116</v>
      </c>
      <c r="X21" s="1">
        <v>16.2</v>
      </c>
      <c r="Y21" s="1">
        <v>42.8</v>
      </c>
      <c r="Z21" s="1">
        <v>110.8</v>
      </c>
      <c r="AA21" s="1">
        <v>32.4</v>
      </c>
      <c r="AB21" s="1">
        <v>-2.2000000000000002</v>
      </c>
      <c r="AC21" s="1">
        <v>130.6</v>
      </c>
      <c r="AD21" s="1"/>
      <c r="AE21" s="1">
        <f t="shared" si="6"/>
        <v>0</v>
      </c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</row>
    <row r="22" spans="1:48" x14ac:dyDescent="0.25">
      <c r="A22" s="1" t="s">
        <v>56</v>
      </c>
      <c r="B22" s="1" t="s">
        <v>38</v>
      </c>
      <c r="C22" s="1">
        <v>40</v>
      </c>
      <c r="D22" s="1"/>
      <c r="E22" s="1">
        <v>9</v>
      </c>
      <c r="F22" s="1">
        <v>29</v>
      </c>
      <c r="G22" s="7">
        <v>0.4</v>
      </c>
      <c r="H22" s="1">
        <v>270</v>
      </c>
      <c r="I22" s="1"/>
      <c r="J22" s="1"/>
      <c r="K22" s="1">
        <v>9</v>
      </c>
      <c r="L22" s="1">
        <f t="shared" si="2"/>
        <v>0</v>
      </c>
      <c r="M22" s="1"/>
      <c r="N22" s="1"/>
      <c r="O22" s="1"/>
      <c r="P22" s="1">
        <f t="shared" si="3"/>
        <v>1.8</v>
      </c>
      <c r="Q22" s="5"/>
      <c r="R22" s="1">
        <f t="shared" si="4"/>
        <v>16.111111111111111</v>
      </c>
      <c r="S22" s="1">
        <f t="shared" si="5"/>
        <v>16.111111111111111</v>
      </c>
      <c r="T22" s="1">
        <v>0.8</v>
      </c>
      <c r="U22" s="1">
        <v>2.8</v>
      </c>
      <c r="V22" s="1">
        <v>2.375</v>
      </c>
      <c r="W22" s="1">
        <v>1</v>
      </c>
      <c r="X22" s="1">
        <v>5.2</v>
      </c>
      <c r="Y22" s="1">
        <v>7</v>
      </c>
      <c r="Z22" s="1">
        <v>1.6</v>
      </c>
      <c r="AA22" s="1">
        <v>0.8</v>
      </c>
      <c r="AB22" s="1">
        <v>1.8</v>
      </c>
      <c r="AC22" s="1">
        <v>7.4</v>
      </c>
      <c r="AD22" s="1"/>
      <c r="AE22" s="1">
        <f t="shared" si="6"/>
        <v>0</v>
      </c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</row>
    <row r="23" spans="1:48" x14ac:dyDescent="0.25">
      <c r="A23" s="1" t="s">
        <v>57</v>
      </c>
      <c r="B23" s="1" t="s">
        <v>38</v>
      </c>
      <c r="C23" s="1">
        <v>28</v>
      </c>
      <c r="D23" s="1"/>
      <c r="E23" s="1">
        <v>6</v>
      </c>
      <c r="F23" s="1">
        <v>20</v>
      </c>
      <c r="G23" s="7">
        <v>0.4</v>
      </c>
      <c r="H23" s="1">
        <v>270</v>
      </c>
      <c r="I23" s="1"/>
      <c r="J23" s="1"/>
      <c r="K23" s="1">
        <v>6</v>
      </c>
      <c r="L23" s="1">
        <f t="shared" si="2"/>
        <v>0</v>
      </c>
      <c r="M23" s="1"/>
      <c r="N23" s="1"/>
      <c r="O23" s="1">
        <v>28</v>
      </c>
      <c r="P23" s="1">
        <f t="shared" si="3"/>
        <v>1.2</v>
      </c>
      <c r="Q23" s="5"/>
      <c r="R23" s="1">
        <f t="shared" si="4"/>
        <v>40</v>
      </c>
      <c r="S23" s="1">
        <f t="shared" si="5"/>
        <v>40</v>
      </c>
      <c r="T23" s="1">
        <v>4</v>
      </c>
      <c r="U23" s="1">
        <v>2.6</v>
      </c>
      <c r="V23" s="1">
        <v>3.5</v>
      </c>
      <c r="W23" s="1">
        <v>3</v>
      </c>
      <c r="X23" s="1">
        <v>3</v>
      </c>
      <c r="Y23" s="1">
        <v>0</v>
      </c>
      <c r="Z23" s="1">
        <v>3.8</v>
      </c>
      <c r="AA23" s="1">
        <v>1</v>
      </c>
      <c r="AB23" s="1">
        <v>2.2000000000000002</v>
      </c>
      <c r="AC23" s="1">
        <v>0.8</v>
      </c>
      <c r="AD23" s="13" t="s">
        <v>36</v>
      </c>
      <c r="AE23" s="1">
        <f t="shared" si="6"/>
        <v>0</v>
      </c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</row>
    <row r="24" spans="1:48" x14ac:dyDescent="0.25">
      <c r="A24" s="1" t="s">
        <v>58</v>
      </c>
      <c r="B24" s="1" t="s">
        <v>38</v>
      </c>
      <c r="C24" s="1">
        <v>26</v>
      </c>
      <c r="D24" s="1">
        <v>32</v>
      </c>
      <c r="E24" s="1">
        <v>18</v>
      </c>
      <c r="F24" s="1">
        <v>39</v>
      </c>
      <c r="G24" s="7">
        <v>0.18</v>
      </c>
      <c r="H24" s="1">
        <v>270</v>
      </c>
      <c r="I24" s="1"/>
      <c r="J24" s="1"/>
      <c r="K24" s="1">
        <v>12</v>
      </c>
      <c r="L24" s="1">
        <f t="shared" si="2"/>
        <v>6</v>
      </c>
      <c r="M24" s="1"/>
      <c r="N24" s="1"/>
      <c r="O24" s="1"/>
      <c r="P24" s="1">
        <f t="shared" si="3"/>
        <v>3.6</v>
      </c>
      <c r="Q24" s="5">
        <f t="shared" si="7"/>
        <v>25.799999999999997</v>
      </c>
      <c r="R24" s="1">
        <f t="shared" si="4"/>
        <v>18</v>
      </c>
      <c r="S24" s="1">
        <f t="shared" si="5"/>
        <v>10.833333333333334</v>
      </c>
      <c r="T24" s="1">
        <v>0</v>
      </c>
      <c r="U24" s="1">
        <v>3.8</v>
      </c>
      <c r="V24" s="1">
        <v>3.25</v>
      </c>
      <c r="W24" s="1">
        <v>1.8</v>
      </c>
      <c r="X24" s="1">
        <v>5.2</v>
      </c>
      <c r="Y24" s="1">
        <v>7</v>
      </c>
      <c r="Z24" s="1">
        <v>5</v>
      </c>
      <c r="AA24" s="1">
        <v>3.2</v>
      </c>
      <c r="AB24" s="1">
        <v>5.2</v>
      </c>
      <c r="AC24" s="1">
        <v>12</v>
      </c>
      <c r="AD24" s="1"/>
      <c r="AE24" s="1">
        <f t="shared" si="6"/>
        <v>4.6439999999999992</v>
      </c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</row>
    <row r="25" spans="1:48" x14ac:dyDescent="0.25">
      <c r="A25" s="1" t="s">
        <v>59</v>
      </c>
      <c r="B25" s="1" t="s">
        <v>38</v>
      </c>
      <c r="C25" s="1">
        <v>67</v>
      </c>
      <c r="D25" s="1">
        <v>3</v>
      </c>
      <c r="E25" s="1"/>
      <c r="F25" s="1">
        <v>49</v>
      </c>
      <c r="G25" s="7">
        <v>0.2</v>
      </c>
      <c r="H25" s="1">
        <v>120</v>
      </c>
      <c r="I25" s="1"/>
      <c r="J25" s="1"/>
      <c r="K25" s="1"/>
      <c r="L25" s="1">
        <f t="shared" si="2"/>
        <v>0</v>
      </c>
      <c r="M25" s="1"/>
      <c r="N25" s="1"/>
      <c r="O25" s="1"/>
      <c r="P25" s="1">
        <f t="shared" si="3"/>
        <v>0</v>
      </c>
      <c r="Q25" s="5"/>
      <c r="R25" s="1" t="e">
        <f t="shared" si="4"/>
        <v>#DIV/0!</v>
      </c>
      <c r="S25" s="1" t="e">
        <f t="shared" si="5"/>
        <v>#DIV/0!</v>
      </c>
      <c r="T25" s="1">
        <v>1.6</v>
      </c>
      <c r="U25" s="1">
        <v>3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14.4</v>
      </c>
      <c r="AB25" s="1">
        <v>0</v>
      </c>
      <c r="AC25" s="1">
        <v>0.6</v>
      </c>
      <c r="AD25" s="15" t="s">
        <v>91</v>
      </c>
      <c r="AE25" s="1">
        <f t="shared" si="6"/>
        <v>0</v>
      </c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</row>
    <row r="26" spans="1:48" x14ac:dyDescent="0.25">
      <c r="A26" s="1" t="s">
        <v>60</v>
      </c>
      <c r="B26" s="1" t="s">
        <v>35</v>
      </c>
      <c r="C26" s="1">
        <v>17.07</v>
      </c>
      <c r="D26" s="1"/>
      <c r="E26" s="1"/>
      <c r="F26" s="1">
        <v>17.07</v>
      </c>
      <c r="G26" s="7">
        <v>1</v>
      </c>
      <c r="H26" s="1">
        <v>180</v>
      </c>
      <c r="I26" s="1"/>
      <c r="J26" s="1"/>
      <c r="K26" s="1"/>
      <c r="L26" s="1">
        <f t="shared" si="2"/>
        <v>0</v>
      </c>
      <c r="M26" s="1"/>
      <c r="N26" s="1"/>
      <c r="O26" s="1"/>
      <c r="P26" s="1">
        <f t="shared" si="3"/>
        <v>0</v>
      </c>
      <c r="Q26" s="5"/>
      <c r="R26" s="1" t="e">
        <f t="shared" si="4"/>
        <v>#DIV/0!</v>
      </c>
      <c r="S26" s="1" t="e">
        <f t="shared" si="5"/>
        <v>#DIV/0!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5" t="s">
        <v>92</v>
      </c>
      <c r="AE26" s="1">
        <f t="shared" si="6"/>
        <v>0</v>
      </c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</row>
    <row r="27" spans="1:48" x14ac:dyDescent="0.25">
      <c r="A27" s="9" t="s">
        <v>61</v>
      </c>
      <c r="B27" s="9" t="s">
        <v>35</v>
      </c>
      <c r="C27" s="9"/>
      <c r="D27" s="9"/>
      <c r="E27" s="9"/>
      <c r="F27" s="9"/>
      <c r="G27" s="10">
        <v>0</v>
      </c>
      <c r="H27" s="9">
        <v>180</v>
      </c>
      <c r="I27" s="9"/>
      <c r="J27" s="9"/>
      <c r="K27" s="9"/>
      <c r="L27" s="9">
        <f t="shared" si="2"/>
        <v>0</v>
      </c>
      <c r="M27" s="9"/>
      <c r="N27" s="9"/>
      <c r="O27" s="9"/>
      <c r="P27" s="9">
        <f t="shared" si="3"/>
        <v>0</v>
      </c>
      <c r="Q27" s="11"/>
      <c r="R27" s="9" t="e">
        <f t="shared" si="4"/>
        <v>#DIV/0!</v>
      </c>
      <c r="S27" s="9" t="e">
        <f t="shared" si="5"/>
        <v>#DIV/0!</v>
      </c>
      <c r="T27" s="9">
        <v>0</v>
      </c>
      <c r="U27" s="9">
        <v>0</v>
      </c>
      <c r="V27" s="9">
        <v>0</v>
      </c>
      <c r="W27" s="9">
        <v>0</v>
      </c>
      <c r="X27" s="9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 t="s">
        <v>62</v>
      </c>
      <c r="AE27" s="9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</row>
    <row r="28" spans="1:48" x14ac:dyDescent="0.25">
      <c r="A28" s="1" t="s">
        <v>63</v>
      </c>
      <c r="B28" s="1" t="s">
        <v>38</v>
      </c>
      <c r="C28" s="1">
        <v>100</v>
      </c>
      <c r="D28" s="1"/>
      <c r="E28" s="1">
        <v>15</v>
      </c>
      <c r="F28" s="1">
        <v>83</v>
      </c>
      <c r="G28" s="7">
        <v>0.18</v>
      </c>
      <c r="H28" s="1">
        <v>150</v>
      </c>
      <c r="I28" s="1"/>
      <c r="J28" s="1"/>
      <c r="K28" s="1">
        <v>15</v>
      </c>
      <c r="L28" s="1">
        <f t="shared" si="2"/>
        <v>0</v>
      </c>
      <c r="M28" s="1"/>
      <c r="N28" s="1"/>
      <c r="O28" s="1"/>
      <c r="P28" s="1">
        <f t="shared" si="3"/>
        <v>3</v>
      </c>
      <c r="Q28" s="5"/>
      <c r="R28" s="1">
        <f t="shared" si="4"/>
        <v>27.666666666666668</v>
      </c>
      <c r="S28" s="1">
        <f t="shared" si="5"/>
        <v>27.666666666666668</v>
      </c>
      <c r="T28" s="1">
        <v>6</v>
      </c>
      <c r="U28" s="1">
        <v>11.2</v>
      </c>
      <c r="V28" s="1">
        <v>3.5</v>
      </c>
      <c r="W28" s="1">
        <v>15.6</v>
      </c>
      <c r="X28" s="1">
        <v>4.5999999999999996</v>
      </c>
      <c r="Y28" s="1">
        <v>1.2</v>
      </c>
      <c r="Z28" s="1">
        <v>0.8</v>
      </c>
      <c r="AA28" s="1">
        <v>24.6</v>
      </c>
      <c r="AB28" s="1">
        <v>3.4</v>
      </c>
      <c r="AC28" s="1">
        <v>6.2</v>
      </c>
      <c r="AD28" s="1"/>
      <c r="AE28" s="1">
        <f t="shared" ref="AE28:AE48" si="8">G28*Q28</f>
        <v>0</v>
      </c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</row>
    <row r="29" spans="1:48" x14ac:dyDescent="0.25">
      <c r="A29" s="1" t="s">
        <v>64</v>
      </c>
      <c r="B29" s="1" t="s">
        <v>38</v>
      </c>
      <c r="C29" s="1">
        <v>11</v>
      </c>
      <c r="D29" s="1">
        <v>72</v>
      </c>
      <c r="E29" s="1">
        <v>9</v>
      </c>
      <c r="F29" s="1">
        <v>74</v>
      </c>
      <c r="G29" s="7">
        <v>0.1</v>
      </c>
      <c r="H29" s="1">
        <v>90</v>
      </c>
      <c r="I29" s="1"/>
      <c r="J29" s="1"/>
      <c r="K29" s="1">
        <v>6</v>
      </c>
      <c r="L29" s="1">
        <f t="shared" si="2"/>
        <v>3</v>
      </c>
      <c r="M29" s="1"/>
      <c r="N29" s="1"/>
      <c r="O29" s="1"/>
      <c r="P29" s="1">
        <f t="shared" si="3"/>
        <v>1.8</v>
      </c>
      <c r="Q29" s="5"/>
      <c r="R29" s="1">
        <f t="shared" si="4"/>
        <v>41.111111111111107</v>
      </c>
      <c r="S29" s="1">
        <f t="shared" si="5"/>
        <v>41.111111111111107</v>
      </c>
      <c r="T29" s="1">
        <v>-0.2</v>
      </c>
      <c r="U29" s="1">
        <v>8.6</v>
      </c>
      <c r="V29" s="1">
        <v>1.375</v>
      </c>
      <c r="W29" s="1">
        <v>2.6</v>
      </c>
      <c r="X29" s="1">
        <v>3.8</v>
      </c>
      <c r="Y29" s="1">
        <v>1</v>
      </c>
      <c r="Z29" s="1">
        <v>0.4</v>
      </c>
      <c r="AA29" s="1">
        <v>8.6</v>
      </c>
      <c r="AB29" s="1">
        <v>2</v>
      </c>
      <c r="AC29" s="1">
        <v>3.6</v>
      </c>
      <c r="AD29" s="13" t="s">
        <v>36</v>
      </c>
      <c r="AE29" s="1">
        <f t="shared" si="8"/>
        <v>0</v>
      </c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</row>
    <row r="30" spans="1:48" x14ac:dyDescent="0.25">
      <c r="A30" s="1" t="s">
        <v>65</v>
      </c>
      <c r="B30" s="1" t="s">
        <v>38</v>
      </c>
      <c r="C30" s="1">
        <v>11</v>
      </c>
      <c r="D30" s="1">
        <v>41</v>
      </c>
      <c r="E30" s="1">
        <v>11</v>
      </c>
      <c r="F30" s="1">
        <v>40</v>
      </c>
      <c r="G30" s="7">
        <v>0.1</v>
      </c>
      <c r="H30" s="1">
        <v>60</v>
      </c>
      <c r="I30" s="1"/>
      <c r="J30" s="1"/>
      <c r="K30" s="1">
        <v>10</v>
      </c>
      <c r="L30" s="1">
        <f t="shared" si="2"/>
        <v>1</v>
      </c>
      <c r="M30" s="1"/>
      <c r="N30" s="1"/>
      <c r="O30" s="1"/>
      <c r="P30" s="1">
        <f t="shared" si="3"/>
        <v>2.2000000000000002</v>
      </c>
      <c r="Q30" s="5"/>
      <c r="R30" s="1">
        <f t="shared" si="4"/>
        <v>18.18181818181818</v>
      </c>
      <c r="S30" s="1">
        <f t="shared" si="5"/>
        <v>18.18181818181818</v>
      </c>
      <c r="T30" s="1">
        <v>2.2000000000000002</v>
      </c>
      <c r="U30" s="1">
        <v>3.2</v>
      </c>
      <c r="V30" s="1">
        <v>0.375</v>
      </c>
      <c r="W30" s="1">
        <v>6.4</v>
      </c>
      <c r="X30" s="1">
        <v>1.6</v>
      </c>
      <c r="Y30" s="1">
        <v>1.6</v>
      </c>
      <c r="Z30" s="1">
        <v>4.8</v>
      </c>
      <c r="AA30" s="1">
        <v>0</v>
      </c>
      <c r="AB30" s="1">
        <v>1.6</v>
      </c>
      <c r="AC30" s="1">
        <v>1.6</v>
      </c>
      <c r="AD30" s="1"/>
      <c r="AE30" s="1">
        <f t="shared" si="8"/>
        <v>0</v>
      </c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</row>
    <row r="31" spans="1:48" x14ac:dyDescent="0.25">
      <c r="A31" s="1" t="s">
        <v>66</v>
      </c>
      <c r="B31" s="1" t="s">
        <v>38</v>
      </c>
      <c r="C31" s="1">
        <v>50</v>
      </c>
      <c r="D31" s="1">
        <v>88</v>
      </c>
      <c r="E31" s="1">
        <v>19</v>
      </c>
      <c r="F31" s="1">
        <v>119</v>
      </c>
      <c r="G31" s="7">
        <v>0.1</v>
      </c>
      <c r="H31" s="1">
        <v>90</v>
      </c>
      <c r="I31" s="1"/>
      <c r="J31" s="1"/>
      <c r="K31" s="1">
        <v>14</v>
      </c>
      <c r="L31" s="1">
        <f t="shared" si="2"/>
        <v>5</v>
      </c>
      <c r="M31" s="1"/>
      <c r="N31" s="1"/>
      <c r="O31" s="1"/>
      <c r="P31" s="1">
        <f t="shared" si="3"/>
        <v>3.8</v>
      </c>
      <c r="Q31" s="5"/>
      <c r="R31" s="1">
        <f t="shared" si="4"/>
        <v>31.315789473684212</v>
      </c>
      <c r="S31" s="1">
        <f t="shared" si="5"/>
        <v>31.315789473684212</v>
      </c>
      <c r="T31" s="1">
        <v>6.2</v>
      </c>
      <c r="U31" s="1">
        <v>14.4</v>
      </c>
      <c r="V31" s="1">
        <v>3</v>
      </c>
      <c r="W31" s="1">
        <v>4.5999999999999996</v>
      </c>
      <c r="X31" s="1">
        <v>0</v>
      </c>
      <c r="Y31" s="1">
        <v>14.8</v>
      </c>
      <c r="Z31" s="1">
        <v>10.8</v>
      </c>
      <c r="AA31" s="1">
        <v>1</v>
      </c>
      <c r="AB31" s="1">
        <v>2</v>
      </c>
      <c r="AC31" s="1">
        <v>14</v>
      </c>
      <c r="AD31" s="13" t="s">
        <v>36</v>
      </c>
      <c r="AE31" s="1">
        <f t="shared" si="8"/>
        <v>0</v>
      </c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</row>
    <row r="32" spans="1:48" x14ac:dyDescent="0.25">
      <c r="A32" s="1" t="s">
        <v>67</v>
      </c>
      <c r="B32" s="1" t="s">
        <v>38</v>
      </c>
      <c r="C32" s="1"/>
      <c r="D32" s="1">
        <v>100</v>
      </c>
      <c r="E32" s="1">
        <v>-11</v>
      </c>
      <c r="F32" s="1">
        <v>90</v>
      </c>
      <c r="G32" s="7">
        <v>0.18</v>
      </c>
      <c r="H32" s="1">
        <v>150</v>
      </c>
      <c r="I32" s="1"/>
      <c r="J32" s="1"/>
      <c r="K32" s="1">
        <v>16</v>
      </c>
      <c r="L32" s="1">
        <f t="shared" si="2"/>
        <v>-27</v>
      </c>
      <c r="M32" s="1"/>
      <c r="N32" s="1"/>
      <c r="O32" s="1"/>
      <c r="P32" s="1">
        <f t="shared" si="3"/>
        <v>-2.2000000000000002</v>
      </c>
      <c r="Q32" s="5"/>
      <c r="R32" s="1">
        <f t="shared" si="4"/>
        <v>-40.909090909090907</v>
      </c>
      <c r="S32" s="1">
        <f t="shared" si="5"/>
        <v>-40.909090909090907</v>
      </c>
      <c r="T32" s="1">
        <v>0</v>
      </c>
      <c r="U32" s="1">
        <v>1.6</v>
      </c>
      <c r="V32" s="1">
        <v>3.75</v>
      </c>
      <c r="W32" s="1">
        <v>-1.6</v>
      </c>
      <c r="X32" s="1">
        <v>17.8</v>
      </c>
      <c r="Y32" s="1">
        <v>20.399999999999999</v>
      </c>
      <c r="Z32" s="1">
        <v>18.399999999999999</v>
      </c>
      <c r="AA32" s="1">
        <v>52.2</v>
      </c>
      <c r="AB32" s="1">
        <v>37.6</v>
      </c>
      <c r="AC32" s="1">
        <v>51.4</v>
      </c>
      <c r="AD32" s="1" t="s">
        <v>68</v>
      </c>
      <c r="AE32" s="1">
        <f t="shared" si="8"/>
        <v>0</v>
      </c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</row>
    <row r="33" spans="1:48" x14ac:dyDescent="0.25">
      <c r="A33" s="1" t="s">
        <v>69</v>
      </c>
      <c r="B33" s="1" t="s">
        <v>38</v>
      </c>
      <c r="C33" s="1">
        <v>226</v>
      </c>
      <c r="D33" s="1">
        <v>1</v>
      </c>
      <c r="E33" s="1">
        <v>71</v>
      </c>
      <c r="F33" s="1">
        <v>129</v>
      </c>
      <c r="G33" s="7">
        <v>0.18</v>
      </c>
      <c r="H33" s="1">
        <v>150</v>
      </c>
      <c r="I33" s="1"/>
      <c r="J33" s="1"/>
      <c r="K33" s="1">
        <v>84</v>
      </c>
      <c r="L33" s="1">
        <f t="shared" si="2"/>
        <v>-13</v>
      </c>
      <c r="M33" s="1"/>
      <c r="N33" s="1"/>
      <c r="O33" s="1">
        <v>200</v>
      </c>
      <c r="P33" s="1">
        <f t="shared" si="3"/>
        <v>14.2</v>
      </c>
      <c r="Q33" s="5"/>
      <c r="R33" s="1">
        <f t="shared" si="4"/>
        <v>23.169014084507044</v>
      </c>
      <c r="S33" s="1">
        <f t="shared" si="5"/>
        <v>23.169014084507044</v>
      </c>
      <c r="T33" s="1">
        <v>20</v>
      </c>
      <c r="U33" s="1">
        <v>24.2</v>
      </c>
      <c r="V33" s="1">
        <v>13.625</v>
      </c>
      <c r="W33" s="1">
        <v>37</v>
      </c>
      <c r="X33" s="1">
        <v>34.4</v>
      </c>
      <c r="Y33" s="1">
        <v>28.6</v>
      </c>
      <c r="Z33" s="1">
        <v>23.2</v>
      </c>
      <c r="AA33" s="1">
        <v>62</v>
      </c>
      <c r="AB33" s="1">
        <v>43.2</v>
      </c>
      <c r="AC33" s="1">
        <v>53.8</v>
      </c>
      <c r="AD33" s="1"/>
      <c r="AE33" s="1">
        <f t="shared" si="8"/>
        <v>0</v>
      </c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</row>
    <row r="34" spans="1:48" x14ac:dyDescent="0.25">
      <c r="A34" s="1" t="s">
        <v>70</v>
      </c>
      <c r="B34" s="1" t="s">
        <v>38</v>
      </c>
      <c r="C34" s="1">
        <v>167</v>
      </c>
      <c r="D34" s="1">
        <v>150</v>
      </c>
      <c r="E34" s="1">
        <v>55</v>
      </c>
      <c r="F34" s="1">
        <v>261</v>
      </c>
      <c r="G34" s="7">
        <v>0.18</v>
      </c>
      <c r="H34" s="1">
        <v>150</v>
      </c>
      <c r="I34" s="1"/>
      <c r="J34" s="1"/>
      <c r="K34" s="1">
        <v>55</v>
      </c>
      <c r="L34" s="1">
        <f t="shared" si="2"/>
        <v>0</v>
      </c>
      <c r="M34" s="1"/>
      <c r="N34" s="1"/>
      <c r="O34" s="1"/>
      <c r="P34" s="1">
        <f t="shared" si="3"/>
        <v>11</v>
      </c>
      <c r="Q34" s="5"/>
      <c r="R34" s="1">
        <f t="shared" si="4"/>
        <v>23.727272727272727</v>
      </c>
      <c r="S34" s="1">
        <f t="shared" si="5"/>
        <v>23.727272727272727</v>
      </c>
      <c r="T34" s="1">
        <v>10.4</v>
      </c>
      <c r="U34" s="1">
        <v>23</v>
      </c>
      <c r="V34" s="1">
        <v>5.625</v>
      </c>
      <c r="W34" s="1">
        <v>25.4</v>
      </c>
      <c r="X34" s="1">
        <v>21.8</v>
      </c>
      <c r="Y34" s="1">
        <v>18.8</v>
      </c>
      <c r="Z34" s="1">
        <v>15.2</v>
      </c>
      <c r="AA34" s="1">
        <v>39.4</v>
      </c>
      <c r="AB34" s="1">
        <v>20.8</v>
      </c>
      <c r="AC34" s="1">
        <v>30.2</v>
      </c>
      <c r="AD34" s="1"/>
      <c r="AE34" s="1">
        <f t="shared" si="8"/>
        <v>0</v>
      </c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</row>
    <row r="35" spans="1:48" x14ac:dyDescent="0.25">
      <c r="A35" s="1" t="s">
        <v>71</v>
      </c>
      <c r="B35" s="1" t="s">
        <v>38</v>
      </c>
      <c r="C35" s="1">
        <v>109</v>
      </c>
      <c r="D35" s="1">
        <v>100</v>
      </c>
      <c r="E35" s="1">
        <v>51</v>
      </c>
      <c r="F35" s="1">
        <v>156</v>
      </c>
      <c r="G35" s="7">
        <v>0.18</v>
      </c>
      <c r="H35" s="1">
        <v>150</v>
      </c>
      <c r="I35" s="1"/>
      <c r="J35" s="1"/>
      <c r="K35" s="1">
        <v>51</v>
      </c>
      <c r="L35" s="1">
        <f t="shared" si="2"/>
        <v>0</v>
      </c>
      <c r="M35" s="1"/>
      <c r="N35" s="1"/>
      <c r="O35" s="1">
        <v>20</v>
      </c>
      <c r="P35" s="1">
        <f t="shared" si="3"/>
        <v>10.199999999999999</v>
      </c>
      <c r="Q35" s="5">
        <f t="shared" ref="Q28:Q48" si="9">18*P35-O35-F35</f>
        <v>7.5999999999999943</v>
      </c>
      <c r="R35" s="1">
        <f t="shared" si="4"/>
        <v>18</v>
      </c>
      <c r="S35" s="1">
        <f t="shared" si="5"/>
        <v>17.254901960784316</v>
      </c>
      <c r="T35" s="1">
        <v>9.8000000000000007</v>
      </c>
      <c r="U35" s="1">
        <v>16.8</v>
      </c>
      <c r="V35" s="1">
        <v>5.125</v>
      </c>
      <c r="W35" s="1">
        <v>25</v>
      </c>
      <c r="X35" s="1">
        <v>14.4</v>
      </c>
      <c r="Y35" s="1">
        <v>19.2</v>
      </c>
      <c r="Z35" s="1">
        <v>15</v>
      </c>
      <c r="AA35" s="1">
        <v>36.200000000000003</v>
      </c>
      <c r="AB35" s="1">
        <v>10.6</v>
      </c>
      <c r="AC35" s="1">
        <v>37.200000000000003</v>
      </c>
      <c r="AD35" s="1"/>
      <c r="AE35" s="1">
        <f t="shared" si="8"/>
        <v>1.367999999999999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</row>
    <row r="36" spans="1:48" x14ac:dyDescent="0.25">
      <c r="A36" s="1" t="s">
        <v>72</v>
      </c>
      <c r="B36" s="1" t="s">
        <v>38</v>
      </c>
      <c r="C36" s="1">
        <v>211</v>
      </c>
      <c r="D36" s="1">
        <v>251</v>
      </c>
      <c r="E36" s="1">
        <v>98</v>
      </c>
      <c r="F36" s="1">
        <v>333</v>
      </c>
      <c r="G36" s="7">
        <v>0.18</v>
      </c>
      <c r="H36" s="1">
        <v>150</v>
      </c>
      <c r="I36" s="1"/>
      <c r="J36" s="1"/>
      <c r="K36" s="1">
        <v>107</v>
      </c>
      <c r="L36" s="1">
        <f t="shared" si="2"/>
        <v>-9</v>
      </c>
      <c r="M36" s="1"/>
      <c r="N36" s="1"/>
      <c r="O36" s="1">
        <v>20</v>
      </c>
      <c r="P36" s="1">
        <f t="shared" si="3"/>
        <v>19.600000000000001</v>
      </c>
      <c r="Q36" s="5"/>
      <c r="R36" s="1">
        <f t="shared" si="4"/>
        <v>18.010204081632651</v>
      </c>
      <c r="S36" s="1">
        <f t="shared" si="5"/>
        <v>18.010204081632651</v>
      </c>
      <c r="T36" s="1">
        <v>31.4</v>
      </c>
      <c r="U36" s="1">
        <v>36.200000000000003</v>
      </c>
      <c r="V36" s="1">
        <v>11.5</v>
      </c>
      <c r="W36" s="1">
        <v>44.2</v>
      </c>
      <c r="X36" s="1">
        <v>43</v>
      </c>
      <c r="Y36" s="1">
        <v>37</v>
      </c>
      <c r="Z36" s="1">
        <v>32.200000000000003</v>
      </c>
      <c r="AA36" s="1">
        <v>64.599999999999994</v>
      </c>
      <c r="AB36" s="1">
        <v>52.6</v>
      </c>
      <c r="AC36" s="1">
        <v>94.8</v>
      </c>
      <c r="AD36" s="1"/>
      <c r="AE36" s="1">
        <f t="shared" si="8"/>
        <v>0</v>
      </c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</row>
    <row r="37" spans="1:48" x14ac:dyDescent="0.25">
      <c r="A37" s="1" t="s">
        <v>73</v>
      </c>
      <c r="B37" s="1" t="s">
        <v>38</v>
      </c>
      <c r="C37" s="1">
        <v>220</v>
      </c>
      <c r="D37" s="1"/>
      <c r="E37" s="1">
        <v>30</v>
      </c>
      <c r="F37" s="1">
        <v>184</v>
      </c>
      <c r="G37" s="7">
        <v>0.18</v>
      </c>
      <c r="H37" s="1">
        <v>150</v>
      </c>
      <c r="I37" s="1"/>
      <c r="J37" s="1"/>
      <c r="K37" s="1">
        <v>32</v>
      </c>
      <c r="L37" s="1">
        <f t="shared" si="2"/>
        <v>-2</v>
      </c>
      <c r="M37" s="1"/>
      <c r="N37" s="1"/>
      <c r="O37" s="1"/>
      <c r="P37" s="1">
        <f t="shared" si="3"/>
        <v>6</v>
      </c>
      <c r="Q37" s="5"/>
      <c r="R37" s="1">
        <f t="shared" si="4"/>
        <v>30.666666666666668</v>
      </c>
      <c r="S37" s="1">
        <f t="shared" si="5"/>
        <v>30.666666666666668</v>
      </c>
      <c r="T37" s="1">
        <v>10.8</v>
      </c>
      <c r="U37" s="1">
        <v>17.600000000000001</v>
      </c>
      <c r="V37" s="1">
        <v>5.625</v>
      </c>
      <c r="W37" s="1">
        <v>29</v>
      </c>
      <c r="X37" s="1">
        <v>22.6</v>
      </c>
      <c r="Y37" s="1">
        <v>3.4</v>
      </c>
      <c r="Z37" s="1">
        <v>8.6</v>
      </c>
      <c r="AA37" s="1">
        <v>39.6</v>
      </c>
      <c r="AB37" s="1">
        <v>19</v>
      </c>
      <c r="AC37" s="1">
        <v>35.200000000000003</v>
      </c>
      <c r="AD37" s="1" t="s">
        <v>74</v>
      </c>
      <c r="AE37" s="1">
        <f t="shared" si="8"/>
        <v>0</v>
      </c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</row>
    <row r="38" spans="1:48" x14ac:dyDescent="0.25">
      <c r="A38" s="1" t="s">
        <v>75</v>
      </c>
      <c r="B38" s="1" t="s">
        <v>38</v>
      </c>
      <c r="C38" s="1">
        <v>72</v>
      </c>
      <c r="D38" s="1">
        <v>32</v>
      </c>
      <c r="E38" s="1">
        <v>38</v>
      </c>
      <c r="F38" s="1">
        <v>66</v>
      </c>
      <c r="G38" s="7">
        <v>0.14000000000000001</v>
      </c>
      <c r="H38" s="1">
        <v>180</v>
      </c>
      <c r="I38" s="1"/>
      <c r="J38" s="1"/>
      <c r="K38" s="1">
        <v>32</v>
      </c>
      <c r="L38" s="1">
        <f t="shared" si="2"/>
        <v>6</v>
      </c>
      <c r="M38" s="1"/>
      <c r="N38" s="1"/>
      <c r="O38" s="1"/>
      <c r="P38" s="1">
        <f t="shared" si="3"/>
        <v>7.6</v>
      </c>
      <c r="Q38" s="5">
        <f t="shared" si="9"/>
        <v>70.799999999999983</v>
      </c>
      <c r="R38" s="1">
        <f t="shared" si="4"/>
        <v>18</v>
      </c>
      <c r="S38" s="1">
        <f t="shared" si="5"/>
        <v>8.6842105263157894</v>
      </c>
      <c r="T38" s="1">
        <v>5.6</v>
      </c>
      <c r="U38" s="1">
        <v>8.8000000000000007</v>
      </c>
      <c r="V38" s="1">
        <v>7.5</v>
      </c>
      <c r="W38" s="1">
        <v>11.8</v>
      </c>
      <c r="X38" s="1">
        <v>6.6</v>
      </c>
      <c r="Y38" s="1">
        <v>9.6</v>
      </c>
      <c r="Z38" s="1">
        <v>3.6</v>
      </c>
      <c r="AA38" s="1">
        <v>17.2</v>
      </c>
      <c r="AB38" s="1">
        <v>5</v>
      </c>
      <c r="AC38" s="1">
        <v>14.2</v>
      </c>
      <c r="AD38" s="1"/>
      <c r="AE38" s="1">
        <f t="shared" si="8"/>
        <v>9.911999999999999</v>
      </c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</row>
    <row r="39" spans="1:48" x14ac:dyDescent="0.25">
      <c r="A39" s="1" t="s">
        <v>76</v>
      </c>
      <c r="B39" s="1" t="s">
        <v>38</v>
      </c>
      <c r="C39" s="1">
        <v>231</v>
      </c>
      <c r="D39" s="1">
        <v>96</v>
      </c>
      <c r="E39" s="1">
        <v>91</v>
      </c>
      <c r="F39" s="1">
        <v>233</v>
      </c>
      <c r="G39" s="7">
        <v>0.18</v>
      </c>
      <c r="H39" s="1">
        <v>270</v>
      </c>
      <c r="I39" s="1"/>
      <c r="J39" s="1"/>
      <c r="K39" s="1">
        <v>85</v>
      </c>
      <c r="L39" s="1">
        <f t="shared" si="2"/>
        <v>6</v>
      </c>
      <c r="M39" s="1"/>
      <c r="N39" s="1"/>
      <c r="O39" s="1"/>
      <c r="P39" s="1">
        <f t="shared" si="3"/>
        <v>18.2</v>
      </c>
      <c r="Q39" s="5">
        <f t="shared" si="9"/>
        <v>94.599999999999966</v>
      </c>
      <c r="R39" s="1">
        <f t="shared" si="4"/>
        <v>18</v>
      </c>
      <c r="S39" s="1">
        <f t="shared" si="5"/>
        <v>12.802197802197803</v>
      </c>
      <c r="T39" s="1">
        <v>15.6</v>
      </c>
      <c r="U39" s="1">
        <v>30.2</v>
      </c>
      <c r="V39" s="1">
        <v>12.625</v>
      </c>
      <c r="W39" s="1">
        <v>23.8</v>
      </c>
      <c r="X39" s="1">
        <v>17</v>
      </c>
      <c r="Y39" s="1">
        <v>16.8</v>
      </c>
      <c r="Z39" s="1">
        <v>12</v>
      </c>
      <c r="AA39" s="1">
        <v>63.2</v>
      </c>
      <c r="AB39" s="1">
        <v>16</v>
      </c>
      <c r="AC39" s="1">
        <v>23.4</v>
      </c>
      <c r="AD39" s="1"/>
      <c r="AE39" s="1">
        <f t="shared" si="8"/>
        <v>17.027999999999992</v>
      </c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</row>
    <row r="40" spans="1:48" x14ac:dyDescent="0.25">
      <c r="A40" s="1" t="s">
        <v>77</v>
      </c>
      <c r="B40" s="1" t="s">
        <v>35</v>
      </c>
      <c r="C40" s="1">
        <v>252.25899999999999</v>
      </c>
      <c r="D40" s="1"/>
      <c r="E40" s="1">
        <v>112.108</v>
      </c>
      <c r="F40" s="1">
        <v>140.191</v>
      </c>
      <c r="G40" s="7">
        <v>1</v>
      </c>
      <c r="H40" s="1">
        <v>180</v>
      </c>
      <c r="I40" s="1"/>
      <c r="J40" s="1"/>
      <c r="K40" s="1">
        <v>107.836</v>
      </c>
      <c r="L40" s="1">
        <f t="shared" si="2"/>
        <v>4.2720000000000056</v>
      </c>
      <c r="M40" s="1"/>
      <c r="N40" s="1"/>
      <c r="O40" s="1"/>
      <c r="P40" s="1">
        <f>E40/5-102/5</f>
        <v>2.021600000000003</v>
      </c>
      <c r="Q40" s="5"/>
      <c r="R40" s="1">
        <f t="shared" si="4"/>
        <v>69.346557182429663</v>
      </c>
      <c r="S40" s="1">
        <f t="shared" si="5"/>
        <v>69.346557182429663</v>
      </c>
      <c r="T40" s="1">
        <v>4.7628000000000004</v>
      </c>
      <c r="U40" s="1">
        <v>3.9140000000000001</v>
      </c>
      <c r="V40" s="1">
        <v>-0.14599999999999999</v>
      </c>
      <c r="W40" s="1">
        <v>1.9807999999999999</v>
      </c>
      <c r="X40" s="1">
        <v>5.8959999999999999</v>
      </c>
      <c r="Y40" s="1">
        <v>11.202400000000001</v>
      </c>
      <c r="Z40" s="1">
        <v>0.59640000000000004</v>
      </c>
      <c r="AA40" s="1">
        <v>4.7052000000000023</v>
      </c>
      <c r="AB40" s="1">
        <v>2.4363999999999999</v>
      </c>
      <c r="AC40" s="1">
        <v>6.0962000000000014</v>
      </c>
      <c r="AD40" s="15" t="s">
        <v>95</v>
      </c>
      <c r="AE40" s="1">
        <f t="shared" si="8"/>
        <v>0</v>
      </c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</row>
    <row r="41" spans="1:48" x14ac:dyDescent="0.25">
      <c r="A41" s="1" t="s">
        <v>78</v>
      </c>
      <c r="B41" s="1" t="s">
        <v>35</v>
      </c>
      <c r="C41" s="1">
        <v>78.171999999999997</v>
      </c>
      <c r="D41" s="1"/>
      <c r="E41" s="1">
        <v>37.014000000000003</v>
      </c>
      <c r="F41" s="1">
        <v>41.192</v>
      </c>
      <c r="G41" s="7">
        <v>1</v>
      </c>
      <c r="H41" s="1">
        <v>180</v>
      </c>
      <c r="I41" s="1"/>
      <c r="J41" s="1"/>
      <c r="K41" s="1">
        <v>29</v>
      </c>
      <c r="L41" s="1">
        <f t="shared" si="2"/>
        <v>8.0140000000000029</v>
      </c>
      <c r="M41" s="1"/>
      <c r="N41" s="1"/>
      <c r="O41" s="1"/>
      <c r="P41" s="1">
        <f t="shared" si="3"/>
        <v>7.4028000000000009</v>
      </c>
      <c r="Q41" s="5">
        <f>15*P41-O41-F41</f>
        <v>69.850000000000023</v>
      </c>
      <c r="R41" s="1">
        <f t="shared" si="4"/>
        <v>15.000000000000002</v>
      </c>
      <c r="S41" s="1">
        <f t="shared" si="5"/>
        <v>5.5643810450099958</v>
      </c>
      <c r="T41" s="1">
        <v>2.5592000000000001</v>
      </c>
      <c r="U41" s="1">
        <v>4.2371999999999996</v>
      </c>
      <c r="V41" s="1">
        <v>0.37724999999999997</v>
      </c>
      <c r="W41" s="1">
        <v>2.8822000000000001</v>
      </c>
      <c r="X41" s="1">
        <v>3.1503999999999999</v>
      </c>
      <c r="Y41" s="1">
        <v>11.279199999999999</v>
      </c>
      <c r="Z41" s="1">
        <v>0.66520000000000001</v>
      </c>
      <c r="AA41" s="1">
        <v>3.1896</v>
      </c>
      <c r="AB41" s="1">
        <v>1.9787999999999999</v>
      </c>
      <c r="AC41" s="1">
        <v>11.616400000000001</v>
      </c>
      <c r="AD41" s="16"/>
      <c r="AE41" s="1">
        <f t="shared" si="8"/>
        <v>69.850000000000023</v>
      </c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</row>
    <row r="42" spans="1:48" x14ac:dyDescent="0.25">
      <c r="A42" s="1" t="s">
        <v>79</v>
      </c>
      <c r="B42" s="1" t="s">
        <v>35</v>
      </c>
      <c r="C42" s="1">
        <v>47.537999999999997</v>
      </c>
      <c r="D42" s="1"/>
      <c r="E42" s="1">
        <v>34.526000000000003</v>
      </c>
      <c r="F42" s="1">
        <v>13.012</v>
      </c>
      <c r="G42" s="7">
        <v>1</v>
      </c>
      <c r="H42" s="1">
        <v>180</v>
      </c>
      <c r="I42" s="1"/>
      <c r="J42" s="1"/>
      <c r="K42" s="1">
        <v>36</v>
      </c>
      <c r="L42" s="1">
        <f t="shared" si="2"/>
        <v>-1.4739999999999966</v>
      </c>
      <c r="M42" s="1"/>
      <c r="N42" s="1"/>
      <c r="O42" s="1"/>
      <c r="P42" s="1">
        <f t="shared" si="3"/>
        <v>6.9052000000000007</v>
      </c>
      <c r="Q42" s="5">
        <f>14*P42-O42-F42</f>
        <v>83.660800000000009</v>
      </c>
      <c r="R42" s="1">
        <f t="shared" si="4"/>
        <v>14</v>
      </c>
      <c r="S42" s="1">
        <f t="shared" si="5"/>
        <v>1.8843769912529686</v>
      </c>
      <c r="T42" s="1">
        <v>8.6327999999999996</v>
      </c>
      <c r="U42" s="1">
        <v>15.0528</v>
      </c>
      <c r="V42" s="1">
        <v>7.5694999999999997</v>
      </c>
      <c r="W42" s="1">
        <v>8.8867999999999991</v>
      </c>
      <c r="X42" s="1">
        <v>15.4922</v>
      </c>
      <c r="Y42" s="1">
        <v>22.800799999999999</v>
      </c>
      <c r="Z42" s="1">
        <v>6.4355999999999991</v>
      </c>
      <c r="AA42" s="1">
        <v>19.065200000000001</v>
      </c>
      <c r="AB42" s="1">
        <v>13.9216</v>
      </c>
      <c r="AC42" s="1">
        <v>26.305</v>
      </c>
      <c r="AD42" s="1"/>
      <c r="AE42" s="1">
        <f t="shared" si="8"/>
        <v>83.660800000000009</v>
      </c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</row>
    <row r="43" spans="1:48" x14ac:dyDescent="0.25">
      <c r="A43" s="1" t="s">
        <v>80</v>
      </c>
      <c r="B43" s="1" t="s">
        <v>35</v>
      </c>
      <c r="C43" s="1">
        <v>46.787999999999997</v>
      </c>
      <c r="D43" s="1"/>
      <c r="E43" s="1">
        <v>25.54</v>
      </c>
      <c r="F43" s="1">
        <v>14.36</v>
      </c>
      <c r="G43" s="7">
        <v>1</v>
      </c>
      <c r="H43" s="1">
        <v>180</v>
      </c>
      <c r="I43" s="1"/>
      <c r="J43" s="1"/>
      <c r="K43" s="1">
        <v>25</v>
      </c>
      <c r="L43" s="1">
        <f t="shared" si="2"/>
        <v>0.53999999999999915</v>
      </c>
      <c r="M43" s="1"/>
      <c r="N43" s="1"/>
      <c r="O43" s="1"/>
      <c r="P43" s="1">
        <f t="shared" si="3"/>
        <v>5.1079999999999997</v>
      </c>
      <c r="Q43" s="5">
        <f>15*P43-O43-F43</f>
        <v>62.259999999999991</v>
      </c>
      <c r="R43" s="1">
        <f t="shared" si="4"/>
        <v>15</v>
      </c>
      <c r="S43" s="1">
        <f t="shared" si="5"/>
        <v>2.8112764291307752</v>
      </c>
      <c r="T43" s="1">
        <v>1.2136</v>
      </c>
      <c r="U43" s="1">
        <v>3.7988</v>
      </c>
      <c r="V43" s="1">
        <v>1.1657500000000001</v>
      </c>
      <c r="W43" s="1">
        <v>1.1679999999999999</v>
      </c>
      <c r="X43" s="1">
        <v>2.3679999999999999</v>
      </c>
      <c r="Y43" s="1">
        <v>10.242800000000001</v>
      </c>
      <c r="Z43" s="1">
        <v>0.70119999999999993</v>
      </c>
      <c r="AA43" s="1">
        <v>2.5988000000000002</v>
      </c>
      <c r="AB43" s="1">
        <v>1.3056000000000001</v>
      </c>
      <c r="AC43" s="1">
        <v>1.4044000000000001</v>
      </c>
      <c r="AD43" s="1"/>
      <c r="AE43" s="1">
        <f t="shared" si="8"/>
        <v>62.259999999999991</v>
      </c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</row>
    <row r="44" spans="1:48" x14ac:dyDescent="0.25">
      <c r="A44" s="1" t="s">
        <v>81</v>
      </c>
      <c r="B44" s="1" t="s">
        <v>38</v>
      </c>
      <c r="C44" s="1">
        <v>7</v>
      </c>
      <c r="D44" s="1">
        <v>150</v>
      </c>
      <c r="E44" s="1">
        <v>-1</v>
      </c>
      <c r="F44" s="1">
        <v>139</v>
      </c>
      <c r="G44" s="7">
        <v>0.1</v>
      </c>
      <c r="H44" s="1">
        <v>60</v>
      </c>
      <c r="I44" s="1"/>
      <c r="J44" s="1"/>
      <c r="K44" s="1"/>
      <c r="L44" s="1">
        <f t="shared" si="2"/>
        <v>-1</v>
      </c>
      <c r="M44" s="1"/>
      <c r="N44" s="1"/>
      <c r="O44" s="1"/>
      <c r="P44" s="1">
        <f t="shared" si="3"/>
        <v>-0.2</v>
      </c>
      <c r="Q44" s="5"/>
      <c r="R44" s="1">
        <f t="shared" si="4"/>
        <v>-695</v>
      </c>
      <c r="S44" s="1">
        <f t="shared" si="5"/>
        <v>-695</v>
      </c>
      <c r="T44" s="1">
        <v>-0.2</v>
      </c>
      <c r="U44" s="1">
        <v>12.6</v>
      </c>
      <c r="V44" s="1">
        <v>7.375</v>
      </c>
      <c r="W44" s="1">
        <v>6.8</v>
      </c>
      <c r="X44" s="1">
        <v>4.5999999999999996</v>
      </c>
      <c r="Y44" s="1">
        <v>21.2</v>
      </c>
      <c r="Z44" s="1">
        <v>5</v>
      </c>
      <c r="AA44" s="1">
        <v>14.2</v>
      </c>
      <c r="AB44" s="1">
        <v>13</v>
      </c>
      <c r="AC44" s="1">
        <v>18.399999999999999</v>
      </c>
      <c r="AD44" s="1" t="s">
        <v>82</v>
      </c>
      <c r="AE44" s="1">
        <f t="shared" si="8"/>
        <v>0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</row>
    <row r="45" spans="1:48" x14ac:dyDescent="0.25">
      <c r="A45" s="1" t="s">
        <v>83</v>
      </c>
      <c r="B45" s="1" t="s">
        <v>38</v>
      </c>
      <c r="C45" s="1">
        <v>45</v>
      </c>
      <c r="D45" s="1">
        <v>120</v>
      </c>
      <c r="E45" s="1">
        <v>28</v>
      </c>
      <c r="F45" s="1">
        <v>125</v>
      </c>
      <c r="G45" s="7">
        <v>0.1</v>
      </c>
      <c r="H45" s="1">
        <v>90</v>
      </c>
      <c r="I45" s="1"/>
      <c r="J45" s="1"/>
      <c r="K45" s="1">
        <v>27</v>
      </c>
      <c r="L45" s="1">
        <f t="shared" si="2"/>
        <v>1</v>
      </c>
      <c r="M45" s="1"/>
      <c r="N45" s="1"/>
      <c r="O45" s="1"/>
      <c r="P45" s="1">
        <f t="shared" si="3"/>
        <v>5.6</v>
      </c>
      <c r="Q45" s="5"/>
      <c r="R45" s="1">
        <f t="shared" si="4"/>
        <v>22.321428571428573</v>
      </c>
      <c r="S45" s="1">
        <f t="shared" si="5"/>
        <v>22.321428571428573</v>
      </c>
      <c r="T45" s="1">
        <v>6.6</v>
      </c>
      <c r="U45" s="1">
        <v>14.2</v>
      </c>
      <c r="V45" s="1">
        <v>7.625</v>
      </c>
      <c r="W45" s="1">
        <v>8</v>
      </c>
      <c r="X45" s="1">
        <v>3.4</v>
      </c>
      <c r="Y45" s="1">
        <v>19.600000000000001</v>
      </c>
      <c r="Z45" s="1">
        <v>4.2</v>
      </c>
      <c r="AA45" s="1">
        <v>14.8</v>
      </c>
      <c r="AB45" s="1">
        <v>12</v>
      </c>
      <c r="AC45" s="1">
        <v>22.6</v>
      </c>
      <c r="AD45" s="1"/>
      <c r="AE45" s="1">
        <f t="shared" si="8"/>
        <v>0</v>
      </c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</row>
    <row r="46" spans="1:48" x14ac:dyDescent="0.25">
      <c r="A46" s="1" t="s">
        <v>84</v>
      </c>
      <c r="B46" s="1" t="s">
        <v>38</v>
      </c>
      <c r="C46" s="1">
        <v>58</v>
      </c>
      <c r="D46" s="1">
        <v>48</v>
      </c>
      <c r="E46" s="1">
        <v>35</v>
      </c>
      <c r="F46" s="1">
        <v>68</v>
      </c>
      <c r="G46" s="7">
        <v>0.14000000000000001</v>
      </c>
      <c r="H46" s="1">
        <v>180</v>
      </c>
      <c r="I46" s="1"/>
      <c r="J46" s="1"/>
      <c r="K46" s="1">
        <v>35</v>
      </c>
      <c r="L46" s="1">
        <f t="shared" si="2"/>
        <v>0</v>
      </c>
      <c r="M46" s="1"/>
      <c r="N46" s="1"/>
      <c r="O46" s="1">
        <v>48</v>
      </c>
      <c r="P46" s="1">
        <f t="shared" si="3"/>
        <v>7</v>
      </c>
      <c r="Q46" s="5">
        <f t="shared" si="9"/>
        <v>10</v>
      </c>
      <c r="R46" s="1">
        <f t="shared" si="4"/>
        <v>18</v>
      </c>
      <c r="S46" s="1">
        <f t="shared" si="5"/>
        <v>16.571428571428573</v>
      </c>
      <c r="T46" s="1">
        <v>10</v>
      </c>
      <c r="U46" s="1">
        <v>10.6</v>
      </c>
      <c r="V46" s="1">
        <v>11.125</v>
      </c>
      <c r="W46" s="1">
        <v>14.4</v>
      </c>
      <c r="X46" s="1">
        <v>6</v>
      </c>
      <c r="Y46" s="1">
        <v>15.6</v>
      </c>
      <c r="Z46" s="1">
        <v>12.4</v>
      </c>
      <c r="AA46" s="1">
        <v>8</v>
      </c>
      <c r="AB46" s="1">
        <v>6.8</v>
      </c>
      <c r="AC46" s="1">
        <v>17.399999999999999</v>
      </c>
      <c r="AD46" s="1"/>
      <c r="AE46" s="1">
        <f t="shared" si="8"/>
        <v>1.4000000000000001</v>
      </c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</row>
    <row r="47" spans="1:48" x14ac:dyDescent="0.25">
      <c r="A47" s="1" t="s">
        <v>85</v>
      </c>
      <c r="B47" s="1" t="s">
        <v>38</v>
      </c>
      <c r="C47" s="1">
        <v>95</v>
      </c>
      <c r="D47" s="1"/>
      <c r="E47" s="1">
        <v>95</v>
      </c>
      <c r="F47" s="1"/>
      <c r="G47" s="7">
        <v>0.2</v>
      </c>
      <c r="H47" s="1">
        <v>120</v>
      </c>
      <c r="I47" s="1"/>
      <c r="J47" s="1"/>
      <c r="K47" s="1">
        <v>123</v>
      </c>
      <c r="L47" s="1">
        <f t="shared" si="2"/>
        <v>-28</v>
      </c>
      <c r="M47" s="1"/>
      <c r="N47" s="1"/>
      <c r="O47" s="1">
        <v>130</v>
      </c>
      <c r="P47" s="1">
        <f t="shared" si="3"/>
        <v>19</v>
      </c>
      <c r="Q47" s="5">
        <f t="shared" si="9"/>
        <v>212</v>
      </c>
      <c r="R47" s="1">
        <f t="shared" si="4"/>
        <v>18</v>
      </c>
      <c r="S47" s="1">
        <f t="shared" si="5"/>
        <v>6.8421052631578947</v>
      </c>
      <c r="T47" s="1">
        <v>13</v>
      </c>
      <c r="U47" s="1">
        <v>0</v>
      </c>
      <c r="V47" s="1">
        <v>11</v>
      </c>
      <c r="W47" s="1">
        <v>14.8</v>
      </c>
      <c r="X47" s="1">
        <v>11</v>
      </c>
      <c r="Y47" s="1">
        <v>10.199999999999999</v>
      </c>
      <c r="Z47" s="1">
        <v>13.8</v>
      </c>
      <c r="AA47" s="1">
        <v>12.6</v>
      </c>
      <c r="AB47" s="1">
        <v>11.2</v>
      </c>
      <c r="AC47" s="1">
        <v>21.4</v>
      </c>
      <c r="AD47" s="1"/>
      <c r="AE47" s="1">
        <f t="shared" si="8"/>
        <v>42.400000000000006</v>
      </c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</row>
    <row r="48" spans="1:48" x14ac:dyDescent="0.25">
      <c r="A48" s="1" t="s">
        <v>86</v>
      </c>
      <c r="B48" s="1" t="s">
        <v>35</v>
      </c>
      <c r="C48" s="1">
        <v>124.86799999999999</v>
      </c>
      <c r="D48" s="1"/>
      <c r="E48" s="1">
        <v>40.81</v>
      </c>
      <c r="F48" s="1">
        <v>33.549999999999997</v>
      </c>
      <c r="G48" s="7">
        <v>1</v>
      </c>
      <c r="H48" s="1">
        <v>120</v>
      </c>
      <c r="I48" s="1"/>
      <c r="J48" s="1"/>
      <c r="K48" s="1">
        <v>38.585999999999999</v>
      </c>
      <c r="L48" s="1">
        <f t="shared" si="2"/>
        <v>2.2240000000000038</v>
      </c>
      <c r="M48" s="1"/>
      <c r="N48" s="1"/>
      <c r="O48" s="1">
        <v>15</v>
      </c>
      <c r="P48" s="1">
        <f t="shared" si="3"/>
        <v>8.1620000000000008</v>
      </c>
      <c r="Q48" s="5">
        <f t="shared" si="9"/>
        <v>98.366000000000028</v>
      </c>
      <c r="R48" s="1">
        <f t="shared" si="4"/>
        <v>18</v>
      </c>
      <c r="S48" s="1">
        <f t="shared" si="5"/>
        <v>5.9482969860328341</v>
      </c>
      <c r="T48" s="1">
        <v>8.3360000000000003</v>
      </c>
      <c r="U48" s="1">
        <v>3.8024</v>
      </c>
      <c r="V48" s="1">
        <v>0</v>
      </c>
      <c r="W48" s="1">
        <v>13.5252</v>
      </c>
      <c r="X48" s="1">
        <v>4.6395999999999997</v>
      </c>
      <c r="Y48" s="1">
        <v>0</v>
      </c>
      <c r="Z48" s="1">
        <v>0</v>
      </c>
      <c r="AA48" s="1">
        <v>15.441599999999999</v>
      </c>
      <c r="AB48" s="1">
        <v>3.9432</v>
      </c>
      <c r="AC48" s="1">
        <v>4.5633999999999997</v>
      </c>
      <c r="AD48" s="1"/>
      <c r="AE48" s="1">
        <f t="shared" si="8"/>
        <v>98.366000000000028</v>
      </c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</row>
    <row r="49" spans="1:48" x14ac:dyDescent="0.25">
      <c r="A49" s="9" t="s">
        <v>87</v>
      </c>
      <c r="B49" s="9" t="s">
        <v>38</v>
      </c>
      <c r="C49" s="9">
        <v>101</v>
      </c>
      <c r="D49" s="9"/>
      <c r="E49" s="12">
        <v>95</v>
      </c>
      <c r="F49" s="12">
        <v>5</v>
      </c>
      <c r="G49" s="10">
        <v>0</v>
      </c>
      <c r="H49" s="9"/>
      <c r="I49" s="9" t="s">
        <v>88</v>
      </c>
      <c r="J49" s="9" t="s">
        <v>89</v>
      </c>
      <c r="K49" s="9">
        <v>114</v>
      </c>
      <c r="L49" s="9">
        <f t="shared" si="2"/>
        <v>-19</v>
      </c>
      <c r="M49" s="9"/>
      <c r="N49" s="9"/>
      <c r="O49" s="9"/>
      <c r="P49" s="9">
        <f t="shared" si="3"/>
        <v>19</v>
      </c>
      <c r="Q49" s="11"/>
      <c r="R49" s="9">
        <f t="shared" si="4"/>
        <v>0.26315789473684209</v>
      </c>
      <c r="S49" s="9">
        <f t="shared" si="5"/>
        <v>0.26315789473684209</v>
      </c>
      <c r="T49" s="9">
        <v>16.2</v>
      </c>
      <c r="U49" s="9">
        <v>0</v>
      </c>
      <c r="V49" s="9">
        <v>11.5</v>
      </c>
      <c r="W49" s="9">
        <v>14.6</v>
      </c>
      <c r="X49" s="9">
        <v>4.5999999999999996</v>
      </c>
      <c r="Y49" s="9">
        <v>0.6</v>
      </c>
      <c r="Z49" s="9">
        <v>8.4</v>
      </c>
      <c r="AA49" s="9">
        <v>12.6</v>
      </c>
      <c r="AB49" s="9">
        <v>5</v>
      </c>
      <c r="AC49" s="9">
        <v>5.8</v>
      </c>
      <c r="AD49" s="9"/>
      <c r="AE49" s="9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</row>
    <row r="50" spans="1:48" x14ac:dyDescent="0.25">
      <c r="A50" s="1" t="s">
        <v>89</v>
      </c>
      <c r="B50" s="1" t="s">
        <v>38</v>
      </c>
      <c r="C50" s="1">
        <v>-3</v>
      </c>
      <c r="D50" s="1"/>
      <c r="E50" s="12">
        <f>0+E49</f>
        <v>95</v>
      </c>
      <c r="F50" s="12">
        <f>-3+F49</f>
        <v>2</v>
      </c>
      <c r="G50" s="7">
        <v>0.2</v>
      </c>
      <c r="H50" s="1">
        <v>120</v>
      </c>
      <c r="I50" s="1"/>
      <c r="J50" s="1"/>
      <c r="K50" s="1"/>
      <c r="L50" s="1">
        <f t="shared" si="2"/>
        <v>95</v>
      </c>
      <c r="M50" s="1"/>
      <c r="N50" s="1"/>
      <c r="O50" s="1">
        <v>170</v>
      </c>
      <c r="P50" s="1">
        <f t="shared" si="3"/>
        <v>19</v>
      </c>
      <c r="Q50" s="5">
        <f t="shared" ref="Q50:Q51" si="10">18*P50-O50-F50</f>
        <v>170</v>
      </c>
      <c r="R50" s="1">
        <f t="shared" si="4"/>
        <v>18</v>
      </c>
      <c r="S50" s="1">
        <f t="shared" si="5"/>
        <v>9.0526315789473681</v>
      </c>
      <c r="T50" s="1">
        <v>16.2</v>
      </c>
      <c r="U50" s="1">
        <v>1</v>
      </c>
      <c r="V50" s="1">
        <v>11.5</v>
      </c>
      <c r="W50" s="1">
        <v>14.6</v>
      </c>
      <c r="X50" s="1">
        <v>4.5999999999999996</v>
      </c>
      <c r="Y50" s="1">
        <v>0.6</v>
      </c>
      <c r="Z50" s="1">
        <v>8.4</v>
      </c>
      <c r="AA50" s="1">
        <v>16.600000000000001</v>
      </c>
      <c r="AB50" s="1">
        <v>5</v>
      </c>
      <c r="AC50" s="1">
        <v>5.8</v>
      </c>
      <c r="AD50" s="1"/>
      <c r="AE50" s="1">
        <f>G50*Q50</f>
        <v>34</v>
      </c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</row>
    <row r="51" spans="1:48" x14ac:dyDescent="0.25">
      <c r="A51" s="1" t="s">
        <v>90</v>
      </c>
      <c r="B51" s="1" t="s">
        <v>35</v>
      </c>
      <c r="C51" s="1">
        <v>26.972000000000001</v>
      </c>
      <c r="D51" s="1">
        <v>58.686</v>
      </c>
      <c r="E51" s="1">
        <v>16.838000000000001</v>
      </c>
      <c r="F51" s="1">
        <v>68.819999999999993</v>
      </c>
      <c r="G51" s="7">
        <v>1</v>
      </c>
      <c r="H51" s="1">
        <v>120</v>
      </c>
      <c r="I51" s="1"/>
      <c r="J51" s="1"/>
      <c r="K51" s="1">
        <v>17</v>
      </c>
      <c r="L51" s="1">
        <f t="shared" si="2"/>
        <v>-0.16199999999999903</v>
      </c>
      <c r="M51" s="1"/>
      <c r="N51" s="1"/>
      <c r="O51" s="1"/>
      <c r="P51" s="1">
        <f t="shared" si="3"/>
        <v>3.3676000000000004</v>
      </c>
      <c r="Q51" s="5"/>
      <c r="R51" s="1">
        <f t="shared" si="4"/>
        <v>20.435918755196575</v>
      </c>
      <c r="S51" s="1">
        <f t="shared" si="5"/>
        <v>20.435918755196575</v>
      </c>
      <c r="T51" s="1">
        <v>1.4112</v>
      </c>
      <c r="U51" s="1">
        <v>6.7804000000000002</v>
      </c>
      <c r="V51" s="1">
        <v>1.7144999999999999</v>
      </c>
      <c r="W51" s="1">
        <v>0</v>
      </c>
      <c r="X51" s="1">
        <v>5.2942</v>
      </c>
      <c r="Y51" s="1">
        <v>9.7127999999999997</v>
      </c>
      <c r="Z51" s="1">
        <v>5.3907999999999996</v>
      </c>
      <c r="AA51" s="1">
        <v>-0.2151999999999987</v>
      </c>
      <c r="AB51" s="1">
        <v>9.8420000000000005</v>
      </c>
      <c r="AC51" s="1">
        <v>13.486800000000001</v>
      </c>
      <c r="AD51" s="16" t="s">
        <v>93</v>
      </c>
      <c r="AE51" s="1">
        <f>G51*Q51</f>
        <v>0</v>
      </c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</row>
    <row r="52" spans="1:48" x14ac:dyDescent="0.25">
      <c r="A52" s="1"/>
      <c r="B52" s="1"/>
      <c r="C52" s="1"/>
      <c r="D52" s="1"/>
      <c r="E52" s="1"/>
      <c r="F52" s="1"/>
      <c r="G52" s="7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</row>
    <row r="53" spans="1:48" x14ac:dyDescent="0.25">
      <c r="A53" s="1"/>
      <c r="B53" s="1"/>
      <c r="C53" s="1"/>
      <c r="D53" s="1"/>
      <c r="E53" s="1"/>
      <c r="F53" s="1"/>
      <c r="G53" s="7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</row>
    <row r="54" spans="1:48" x14ac:dyDescent="0.25">
      <c r="A54" s="1"/>
      <c r="B54" s="1"/>
      <c r="C54" s="1"/>
      <c r="D54" s="1"/>
      <c r="E54" s="1"/>
      <c r="F54" s="1"/>
      <c r="G54" s="7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</row>
    <row r="55" spans="1:48" x14ac:dyDescent="0.25">
      <c r="A55" s="1"/>
      <c r="B55" s="1"/>
      <c r="C55" s="1"/>
      <c r="D55" s="1"/>
      <c r="E55" s="1"/>
      <c r="F55" s="1"/>
      <c r="G55" s="7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</row>
    <row r="56" spans="1:48" x14ac:dyDescent="0.25">
      <c r="A56" s="1"/>
      <c r="B56" s="1"/>
      <c r="C56" s="1"/>
      <c r="D56" s="1"/>
      <c r="E56" s="1"/>
      <c r="F56" s="1"/>
      <c r="G56" s="7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</row>
    <row r="57" spans="1:48" x14ac:dyDescent="0.25">
      <c r="A57" s="1"/>
      <c r="B57" s="1"/>
      <c r="C57" s="1"/>
      <c r="D57" s="1"/>
      <c r="E57" s="1"/>
      <c r="F57" s="1"/>
      <c r="G57" s="7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</row>
    <row r="58" spans="1:48" x14ac:dyDescent="0.25">
      <c r="A58" s="1"/>
      <c r="B58" s="1"/>
      <c r="C58" s="1"/>
      <c r="D58" s="1"/>
      <c r="E58" s="1"/>
      <c r="F58" s="1"/>
      <c r="G58" s="7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</row>
    <row r="59" spans="1:48" x14ac:dyDescent="0.25">
      <c r="A59" s="1"/>
      <c r="B59" s="1"/>
      <c r="C59" s="1"/>
      <c r="D59" s="1"/>
      <c r="E59" s="1"/>
      <c r="F59" s="1"/>
      <c r="G59" s="7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</row>
    <row r="60" spans="1:48" x14ac:dyDescent="0.25">
      <c r="A60" s="1"/>
      <c r="B60" s="1"/>
      <c r="C60" s="1"/>
      <c r="D60" s="1"/>
      <c r="E60" s="1"/>
      <c r="F60" s="1"/>
      <c r="G60" s="7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</row>
    <row r="61" spans="1:48" x14ac:dyDescent="0.25">
      <c r="A61" s="1"/>
      <c r="B61" s="1"/>
      <c r="C61" s="1"/>
      <c r="D61" s="1"/>
      <c r="E61" s="1"/>
      <c r="F61" s="1"/>
      <c r="G61" s="7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</row>
    <row r="62" spans="1:48" x14ac:dyDescent="0.25">
      <c r="A62" s="1"/>
      <c r="B62" s="1"/>
      <c r="C62" s="1"/>
      <c r="D62" s="1"/>
      <c r="E62" s="1"/>
      <c r="F62" s="1"/>
      <c r="G62" s="7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</row>
    <row r="63" spans="1:48" x14ac:dyDescent="0.25">
      <c r="A63" s="1"/>
      <c r="B63" s="1"/>
      <c r="C63" s="1"/>
      <c r="D63" s="1"/>
      <c r="E63" s="1"/>
      <c r="F63" s="1"/>
      <c r="G63" s="7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</row>
    <row r="64" spans="1:48" x14ac:dyDescent="0.25">
      <c r="A64" s="1"/>
      <c r="B64" s="1"/>
      <c r="C64" s="1"/>
      <c r="D64" s="1"/>
      <c r="E64" s="1"/>
      <c r="F64" s="1"/>
      <c r="G64" s="7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</row>
    <row r="65" spans="1:48" x14ac:dyDescent="0.25">
      <c r="A65" s="1"/>
      <c r="B65" s="1"/>
      <c r="C65" s="1"/>
      <c r="D65" s="1"/>
      <c r="E65" s="1"/>
      <c r="F65" s="1"/>
      <c r="G65" s="7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</row>
    <row r="66" spans="1:48" x14ac:dyDescent="0.25">
      <c r="A66" s="1"/>
      <c r="B66" s="1"/>
      <c r="C66" s="1"/>
      <c r="D66" s="1"/>
      <c r="E66" s="1"/>
      <c r="F66" s="1"/>
      <c r="G66" s="7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</row>
    <row r="67" spans="1:48" x14ac:dyDescent="0.25">
      <c r="A67" s="1"/>
      <c r="B67" s="1"/>
      <c r="C67" s="1"/>
      <c r="D67" s="1"/>
      <c r="E67" s="1"/>
      <c r="F67" s="1"/>
      <c r="G67" s="7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</row>
    <row r="68" spans="1:48" x14ac:dyDescent="0.25">
      <c r="A68" s="1"/>
      <c r="B68" s="1"/>
      <c r="C68" s="1"/>
      <c r="D68" s="1"/>
      <c r="E68" s="1"/>
      <c r="F68" s="1"/>
      <c r="G68" s="7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</row>
    <row r="69" spans="1:48" x14ac:dyDescent="0.25">
      <c r="A69" s="1"/>
      <c r="B69" s="1"/>
      <c r="C69" s="1"/>
      <c r="D69" s="1"/>
      <c r="E69" s="1"/>
      <c r="F69" s="1"/>
      <c r="G69" s="7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</row>
    <row r="70" spans="1:48" x14ac:dyDescent="0.25">
      <c r="A70" s="1"/>
      <c r="B70" s="1"/>
      <c r="C70" s="1"/>
      <c r="D70" s="1"/>
      <c r="E70" s="1"/>
      <c r="F70" s="1"/>
      <c r="G70" s="7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</row>
    <row r="71" spans="1:48" x14ac:dyDescent="0.25">
      <c r="A71" s="1"/>
      <c r="B71" s="1"/>
      <c r="C71" s="1"/>
      <c r="D71" s="1"/>
      <c r="E71" s="1"/>
      <c r="F71" s="1"/>
      <c r="G71" s="7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</row>
    <row r="72" spans="1:48" x14ac:dyDescent="0.25">
      <c r="A72" s="1"/>
      <c r="B72" s="1"/>
      <c r="C72" s="1"/>
      <c r="D72" s="1"/>
      <c r="E72" s="1"/>
      <c r="F72" s="1"/>
      <c r="G72" s="7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</row>
    <row r="73" spans="1:48" x14ac:dyDescent="0.25">
      <c r="A73" s="1"/>
      <c r="B73" s="1"/>
      <c r="C73" s="1"/>
      <c r="D73" s="1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</row>
    <row r="74" spans="1:48" x14ac:dyDescent="0.25">
      <c r="A74" s="1"/>
      <c r="B74" s="1"/>
      <c r="C74" s="1"/>
      <c r="D74" s="1"/>
      <c r="E74" s="1"/>
      <c r="F74" s="1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</row>
    <row r="75" spans="1:48" x14ac:dyDescent="0.25">
      <c r="A75" s="1"/>
      <c r="B75" s="1"/>
      <c r="C75" s="1"/>
      <c r="D75" s="1"/>
      <c r="E75" s="1"/>
      <c r="F75" s="1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</row>
    <row r="76" spans="1:48" x14ac:dyDescent="0.25">
      <c r="A76" s="1"/>
      <c r="B76" s="1"/>
      <c r="C76" s="1"/>
      <c r="D76" s="1"/>
      <c r="E76" s="1"/>
      <c r="F76" s="1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</row>
    <row r="77" spans="1:48" x14ac:dyDescent="0.25">
      <c r="A77" s="1"/>
      <c r="B77" s="1"/>
      <c r="C77" s="1"/>
      <c r="D77" s="1"/>
      <c r="E77" s="1"/>
      <c r="F77" s="1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</row>
    <row r="78" spans="1:48" x14ac:dyDescent="0.25">
      <c r="A78" s="1"/>
      <c r="B78" s="1"/>
      <c r="C78" s="1"/>
      <c r="D78" s="1"/>
      <c r="E78" s="1"/>
      <c r="F78" s="1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</row>
    <row r="79" spans="1:48" x14ac:dyDescent="0.25">
      <c r="A79" s="1"/>
      <c r="B79" s="1"/>
      <c r="C79" s="1"/>
      <c r="D79" s="1"/>
      <c r="E79" s="1"/>
      <c r="F79" s="1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</row>
    <row r="80" spans="1:48" x14ac:dyDescent="0.25">
      <c r="A80" s="1"/>
      <c r="B80" s="1"/>
      <c r="C80" s="1"/>
      <c r="D80" s="1"/>
      <c r="E80" s="1"/>
      <c r="F80" s="1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</row>
    <row r="81" spans="1:48" x14ac:dyDescent="0.25">
      <c r="A81" s="1"/>
      <c r="B81" s="1"/>
      <c r="C81" s="1"/>
      <c r="D81" s="1"/>
      <c r="E81" s="1"/>
      <c r="F81" s="1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</row>
    <row r="82" spans="1:48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</row>
    <row r="83" spans="1:48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</row>
    <row r="84" spans="1:48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</row>
    <row r="85" spans="1:48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</row>
    <row r="86" spans="1:48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</row>
    <row r="87" spans="1:48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</row>
    <row r="88" spans="1:48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</row>
    <row r="89" spans="1:48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</row>
    <row r="90" spans="1:48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</row>
    <row r="91" spans="1:48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</row>
    <row r="92" spans="1:48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</row>
    <row r="93" spans="1:48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</row>
    <row r="94" spans="1:48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</row>
    <row r="95" spans="1:48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</row>
    <row r="96" spans="1:48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</row>
    <row r="97" spans="1:48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</row>
    <row r="98" spans="1:48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</row>
    <row r="99" spans="1:48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</row>
    <row r="100" spans="1:48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</row>
    <row r="101" spans="1:48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</row>
    <row r="102" spans="1:48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</row>
    <row r="103" spans="1:48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</row>
    <row r="104" spans="1:48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</row>
    <row r="105" spans="1:48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</row>
    <row r="106" spans="1:48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</row>
    <row r="107" spans="1:48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spans="1:48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spans="1:48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spans="1:48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spans="1:48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</row>
    <row r="112" spans="1:48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spans="1:48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</row>
    <row r="114" spans="1:48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</row>
    <row r="115" spans="1:48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</row>
    <row r="116" spans="1:48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spans="1:48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spans="1:48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spans="1:48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</row>
    <row r="120" spans="1:48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</row>
    <row r="121" spans="1:48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</row>
    <row r="122" spans="1:48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spans="1:48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spans="1:48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spans="1:48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</row>
    <row r="126" spans="1:48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</row>
    <row r="127" spans="1:48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spans="1:48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spans="1:48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</row>
    <row r="130" spans="1:48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spans="1:48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spans="1:48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spans="1:48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spans="1:48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spans="1:48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spans="1:48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spans="1:48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spans="1:48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spans="1:48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spans="1:48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spans="1:48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spans="1:48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spans="1:48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spans="1:48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spans="1:48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spans="1:48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spans="1:48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spans="1:48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spans="1:48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spans="1:48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spans="1:48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spans="1:48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spans="1:48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spans="1:48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spans="1:48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spans="1:48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spans="1:48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spans="1:48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spans="1:48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spans="1:48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spans="1:48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spans="1:48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spans="1:48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spans="1:48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spans="1:48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spans="1:48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spans="1:48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spans="1:48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spans="1:48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spans="1:48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spans="1:48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spans="1:48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spans="1:48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spans="1:48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spans="1:48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spans="1:48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</row>
    <row r="177" spans="1:48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</row>
    <row r="178" spans="1:48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</row>
    <row r="179" spans="1:48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</row>
    <row r="180" spans="1:48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</row>
    <row r="181" spans="1:48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</row>
    <row r="182" spans="1:48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</row>
    <row r="183" spans="1:48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</row>
    <row r="184" spans="1:48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</row>
    <row r="185" spans="1:48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</row>
    <row r="186" spans="1:48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</row>
    <row r="187" spans="1:48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</row>
    <row r="188" spans="1:48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</row>
    <row r="189" spans="1:48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</row>
    <row r="190" spans="1:48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</row>
    <row r="191" spans="1:48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</row>
    <row r="192" spans="1:48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</row>
    <row r="193" spans="1:48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</row>
    <row r="194" spans="1:48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</row>
    <row r="195" spans="1:48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</row>
    <row r="196" spans="1:48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</row>
    <row r="197" spans="1:48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</row>
    <row r="198" spans="1:48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</row>
    <row r="199" spans="1:48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</row>
    <row r="200" spans="1:48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</row>
    <row r="201" spans="1:48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</row>
    <row r="202" spans="1:48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</row>
    <row r="203" spans="1:48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</row>
    <row r="204" spans="1:48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</row>
    <row r="205" spans="1:48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</row>
    <row r="206" spans="1:48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</row>
    <row r="207" spans="1:48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</row>
    <row r="208" spans="1:48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</row>
    <row r="209" spans="1:48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</row>
    <row r="210" spans="1:48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</row>
    <row r="211" spans="1:48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</row>
    <row r="212" spans="1:48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</row>
    <row r="213" spans="1:48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</row>
    <row r="214" spans="1:48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</row>
    <row r="215" spans="1:48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</row>
    <row r="216" spans="1:48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</row>
    <row r="217" spans="1:48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</row>
    <row r="218" spans="1:48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</row>
    <row r="219" spans="1:48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</row>
    <row r="220" spans="1:48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</row>
    <row r="221" spans="1:48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</row>
    <row r="222" spans="1:48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</row>
    <row r="223" spans="1:48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</row>
    <row r="224" spans="1:48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</row>
    <row r="225" spans="1:48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</row>
    <row r="226" spans="1:48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</row>
    <row r="227" spans="1:48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</row>
    <row r="228" spans="1:48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</row>
    <row r="229" spans="1:48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</row>
    <row r="230" spans="1:48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</row>
    <row r="231" spans="1:48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</row>
    <row r="232" spans="1:48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</row>
    <row r="233" spans="1:48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</row>
    <row r="234" spans="1:48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</row>
    <row r="235" spans="1:48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</row>
    <row r="236" spans="1:48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</row>
    <row r="237" spans="1:48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</row>
    <row r="238" spans="1:48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spans="1:48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spans="1:48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spans="1:48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spans="1:48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spans="1:48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spans="1:48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spans="1:48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spans="1:48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spans="1:48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spans="1:48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spans="1:48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spans="1:48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spans="1:48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spans="1:48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spans="1:48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spans="1:48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spans="1:48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spans="1:48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spans="1:48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spans="1:48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spans="1:48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spans="1:48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spans="1:48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spans="1:48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spans="1:48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spans="1:48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spans="1:48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spans="1:48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</row>
    <row r="267" spans="1:48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</row>
    <row r="268" spans="1:48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</row>
    <row r="269" spans="1:48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</row>
    <row r="270" spans="1:48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</row>
    <row r="271" spans="1:48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</row>
    <row r="272" spans="1:48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</row>
    <row r="273" spans="1:48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</row>
    <row r="274" spans="1:48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</row>
    <row r="275" spans="1:48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</row>
    <row r="276" spans="1:48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</row>
    <row r="277" spans="1:48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</row>
    <row r="278" spans="1:48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</row>
    <row r="279" spans="1:48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</row>
    <row r="280" spans="1:48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</row>
    <row r="281" spans="1:48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</row>
    <row r="282" spans="1:48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</row>
    <row r="283" spans="1:48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</row>
    <row r="284" spans="1:48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</row>
    <row r="285" spans="1:48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</row>
    <row r="286" spans="1:48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</row>
    <row r="287" spans="1:48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</row>
    <row r="288" spans="1:48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</row>
    <row r="289" spans="1:48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</row>
    <row r="290" spans="1:48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</row>
    <row r="291" spans="1:48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</row>
    <row r="292" spans="1:48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</row>
    <row r="293" spans="1:48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</row>
    <row r="294" spans="1:48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</row>
    <row r="295" spans="1:48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</row>
    <row r="296" spans="1:48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</row>
    <row r="297" spans="1:48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</row>
    <row r="298" spans="1:48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</row>
    <row r="299" spans="1:48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</row>
    <row r="300" spans="1:48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</row>
    <row r="301" spans="1:48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</row>
    <row r="302" spans="1:48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</row>
    <row r="303" spans="1:48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</row>
    <row r="304" spans="1:48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</row>
    <row r="305" spans="1:48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</row>
    <row r="306" spans="1:48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</row>
    <row r="307" spans="1:48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</row>
    <row r="308" spans="1:48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</row>
    <row r="309" spans="1:48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</row>
    <row r="310" spans="1:48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</row>
    <row r="311" spans="1:48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</row>
    <row r="312" spans="1:48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</row>
    <row r="313" spans="1:48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</row>
    <row r="314" spans="1:48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</row>
    <row r="315" spans="1:48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</row>
    <row r="316" spans="1:48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</row>
    <row r="317" spans="1:48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</row>
    <row r="318" spans="1:48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</row>
    <row r="319" spans="1:48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</row>
    <row r="320" spans="1:48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</row>
    <row r="321" spans="1:48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</row>
    <row r="322" spans="1:48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</row>
    <row r="323" spans="1:48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</row>
    <row r="324" spans="1:48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</row>
    <row r="325" spans="1:48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</row>
    <row r="326" spans="1:48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</row>
    <row r="327" spans="1:48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</row>
    <row r="328" spans="1:48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</row>
    <row r="329" spans="1:48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</row>
    <row r="330" spans="1:48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</row>
    <row r="331" spans="1:48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</row>
    <row r="332" spans="1:48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</row>
    <row r="333" spans="1:48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</row>
    <row r="334" spans="1:48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</row>
    <row r="335" spans="1:48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</row>
    <row r="336" spans="1:48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</row>
    <row r="337" spans="1:48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</row>
    <row r="338" spans="1:48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</row>
    <row r="339" spans="1:48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</row>
    <row r="340" spans="1:48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</row>
    <row r="341" spans="1:48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</row>
    <row r="342" spans="1:48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</row>
    <row r="343" spans="1:48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</row>
    <row r="344" spans="1:48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</row>
    <row r="345" spans="1:48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</row>
    <row r="346" spans="1:48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</row>
    <row r="347" spans="1:48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</row>
    <row r="348" spans="1:48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</row>
    <row r="349" spans="1:48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</row>
    <row r="350" spans="1:48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</row>
    <row r="351" spans="1:48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</row>
    <row r="352" spans="1:48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</row>
    <row r="353" spans="1:48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</row>
    <row r="354" spans="1:48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</row>
    <row r="355" spans="1:48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</row>
    <row r="356" spans="1:48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</row>
    <row r="357" spans="1:48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</row>
    <row r="358" spans="1:48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</row>
    <row r="359" spans="1:48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</row>
    <row r="360" spans="1:48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</row>
    <row r="361" spans="1:48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</row>
    <row r="362" spans="1:48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</row>
    <row r="363" spans="1:48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</row>
    <row r="364" spans="1:48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</row>
    <row r="365" spans="1:48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</row>
    <row r="366" spans="1:48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</row>
    <row r="367" spans="1:48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</row>
    <row r="368" spans="1:48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</row>
    <row r="369" spans="1:48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</row>
    <row r="370" spans="1:48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</row>
    <row r="371" spans="1:48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</row>
    <row r="372" spans="1:48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</row>
    <row r="373" spans="1:48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</row>
    <row r="374" spans="1:48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</row>
    <row r="375" spans="1:48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</row>
    <row r="376" spans="1:48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</row>
    <row r="377" spans="1:48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</row>
    <row r="378" spans="1:48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</row>
    <row r="379" spans="1:48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</row>
    <row r="380" spans="1:48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</row>
    <row r="381" spans="1:48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</row>
    <row r="382" spans="1:48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</row>
    <row r="383" spans="1:48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</row>
    <row r="384" spans="1:48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</row>
    <row r="385" spans="1:48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</row>
    <row r="386" spans="1:48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</row>
    <row r="387" spans="1:48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</row>
    <row r="388" spans="1:48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</row>
    <row r="389" spans="1:48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</row>
    <row r="390" spans="1:48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</row>
    <row r="391" spans="1:48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</row>
    <row r="392" spans="1:48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</row>
    <row r="393" spans="1:48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</row>
    <row r="394" spans="1:48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</row>
    <row r="395" spans="1:48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</row>
    <row r="396" spans="1:48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</row>
    <row r="397" spans="1:48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</row>
    <row r="398" spans="1:48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</row>
    <row r="399" spans="1:48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</row>
    <row r="400" spans="1:48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</row>
    <row r="401" spans="1:48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</row>
    <row r="402" spans="1:48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</row>
    <row r="403" spans="1:48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</row>
    <row r="404" spans="1:48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</row>
    <row r="405" spans="1:48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</row>
    <row r="406" spans="1:48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</row>
    <row r="407" spans="1:48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</row>
    <row r="408" spans="1:48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</row>
    <row r="409" spans="1:48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</row>
    <row r="410" spans="1:48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</row>
    <row r="411" spans="1:48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</row>
    <row r="412" spans="1:48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</row>
    <row r="413" spans="1:48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</row>
    <row r="414" spans="1:48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</row>
    <row r="415" spans="1:48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</row>
    <row r="416" spans="1:48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</row>
    <row r="417" spans="1:48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</row>
    <row r="418" spans="1:48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</row>
    <row r="419" spans="1:48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</row>
    <row r="420" spans="1:48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</row>
    <row r="421" spans="1:48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</row>
    <row r="422" spans="1:48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</row>
    <row r="423" spans="1:48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</row>
    <row r="424" spans="1:48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</row>
    <row r="425" spans="1:48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</row>
    <row r="426" spans="1:48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</row>
    <row r="427" spans="1:48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</row>
    <row r="428" spans="1:48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</row>
    <row r="429" spans="1:48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</row>
    <row r="430" spans="1:48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</row>
    <row r="431" spans="1:48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</row>
    <row r="432" spans="1:48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</row>
    <row r="433" spans="1:48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</row>
    <row r="434" spans="1:48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</row>
    <row r="435" spans="1:48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</row>
    <row r="436" spans="1:48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</row>
    <row r="437" spans="1:48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</row>
    <row r="438" spans="1:48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</row>
    <row r="439" spans="1:48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</row>
    <row r="440" spans="1:48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</row>
    <row r="441" spans="1:48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</row>
    <row r="442" spans="1:48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</row>
    <row r="443" spans="1:48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</row>
    <row r="444" spans="1:48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</row>
    <row r="445" spans="1:48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</row>
    <row r="446" spans="1:48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</row>
    <row r="447" spans="1:48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</row>
    <row r="448" spans="1:48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</row>
    <row r="449" spans="1:48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</row>
    <row r="450" spans="1:48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</row>
    <row r="451" spans="1:48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</row>
    <row r="452" spans="1:48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</row>
    <row r="453" spans="1:48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</row>
    <row r="454" spans="1:48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</row>
    <row r="455" spans="1:48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</row>
    <row r="456" spans="1:48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</row>
    <row r="457" spans="1:48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</row>
    <row r="458" spans="1:48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</row>
    <row r="459" spans="1:48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</row>
    <row r="460" spans="1:48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</row>
    <row r="461" spans="1:48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</row>
    <row r="462" spans="1:48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</row>
    <row r="463" spans="1:48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</row>
    <row r="464" spans="1:48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</row>
    <row r="465" spans="1:48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</row>
    <row r="466" spans="1:48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</row>
    <row r="467" spans="1:48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</row>
    <row r="468" spans="1:48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</row>
    <row r="469" spans="1:48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</row>
    <row r="470" spans="1:48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</row>
    <row r="471" spans="1:48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</row>
    <row r="472" spans="1:48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</row>
    <row r="473" spans="1:48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</row>
    <row r="474" spans="1:48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</row>
    <row r="475" spans="1:48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</row>
    <row r="476" spans="1:48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</row>
    <row r="477" spans="1:48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</row>
    <row r="478" spans="1:48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</row>
    <row r="479" spans="1:48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</row>
    <row r="480" spans="1:48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</row>
    <row r="481" spans="1:48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</row>
    <row r="482" spans="1:48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</row>
    <row r="483" spans="1:48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</row>
    <row r="484" spans="1:48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</row>
    <row r="485" spans="1:48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</row>
    <row r="486" spans="1:48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</row>
    <row r="487" spans="1:48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</row>
    <row r="488" spans="1:48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</row>
    <row r="489" spans="1:48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</row>
    <row r="490" spans="1:48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</row>
    <row r="491" spans="1:48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</row>
    <row r="492" spans="1:48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</row>
    <row r="493" spans="1:48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</row>
    <row r="494" spans="1:48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</row>
    <row r="495" spans="1:48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</row>
    <row r="496" spans="1:48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</row>
    <row r="497" spans="1:48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</row>
    <row r="498" spans="1:48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</row>
    <row r="499" spans="1:48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</row>
    <row r="500" spans="1:48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</row>
  </sheetData>
  <autoFilter ref="A3:AE51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2026-09-30T17:29:19Z</dcterms:created>
  <dcterms:modified xsi:type="dcterms:W3CDTF">2026-09-30T17:39:16Z</dcterms:modified>
</cp:coreProperties>
</file>