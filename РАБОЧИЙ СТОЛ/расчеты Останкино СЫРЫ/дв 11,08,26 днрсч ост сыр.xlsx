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СЫРЫ\"/>
    </mc:Choice>
  </mc:AlternateContent>
  <xr:revisionPtr revIDLastSave="0" documentId="13_ncr:1_{CE137189-D42C-4623-8D3B-9D1AD8A8FD9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Sheet!$A$3:$AF$47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F25" i="1" l="1"/>
  <c r="AF37" i="1"/>
  <c r="P7" i="1"/>
  <c r="T7" i="1" s="1"/>
  <c r="P8" i="1"/>
  <c r="Q8" i="1" s="1"/>
  <c r="P9" i="1"/>
  <c r="P10" i="1"/>
  <c r="T10" i="1" s="1"/>
  <c r="P11" i="1"/>
  <c r="S11" i="1" s="1"/>
  <c r="P12" i="1"/>
  <c r="P13" i="1"/>
  <c r="P14" i="1"/>
  <c r="P15" i="1"/>
  <c r="P16" i="1"/>
  <c r="S16" i="1" s="1"/>
  <c r="P17" i="1"/>
  <c r="T17" i="1" s="1"/>
  <c r="P18" i="1"/>
  <c r="T18" i="1" s="1"/>
  <c r="P19" i="1"/>
  <c r="T19" i="1" s="1"/>
  <c r="P20" i="1"/>
  <c r="Q20" i="1" s="1"/>
  <c r="P21" i="1"/>
  <c r="T21" i="1" s="1"/>
  <c r="P22" i="1"/>
  <c r="S22" i="1" s="1"/>
  <c r="P23" i="1"/>
  <c r="T23" i="1" s="1"/>
  <c r="P24" i="1"/>
  <c r="T24" i="1" s="1"/>
  <c r="P25" i="1"/>
  <c r="T25" i="1" s="1"/>
  <c r="P26" i="1"/>
  <c r="T26" i="1" s="1"/>
  <c r="P27" i="1"/>
  <c r="Q27" i="1" s="1"/>
  <c r="P28" i="1"/>
  <c r="T28" i="1" s="1"/>
  <c r="P29" i="1"/>
  <c r="T29" i="1" s="1"/>
  <c r="P30" i="1"/>
  <c r="T30" i="1" s="1"/>
  <c r="P31" i="1"/>
  <c r="T31" i="1" s="1"/>
  <c r="P32" i="1"/>
  <c r="T32" i="1" s="1"/>
  <c r="P33" i="1"/>
  <c r="P34" i="1"/>
  <c r="Q34" i="1" s="1"/>
  <c r="P35" i="1"/>
  <c r="P36" i="1"/>
  <c r="T36" i="1" s="1"/>
  <c r="P37" i="1"/>
  <c r="S37" i="1" s="1"/>
  <c r="P38" i="1"/>
  <c r="S38" i="1" s="1"/>
  <c r="P39" i="1"/>
  <c r="T39" i="1" s="1"/>
  <c r="P40" i="1"/>
  <c r="T40" i="1" s="1"/>
  <c r="P41" i="1"/>
  <c r="T41" i="1" s="1"/>
  <c r="P42" i="1"/>
  <c r="T42" i="1" s="1"/>
  <c r="P43" i="1"/>
  <c r="T43" i="1" s="1"/>
  <c r="P44" i="1"/>
  <c r="T44" i="1" s="1"/>
  <c r="P45" i="1"/>
  <c r="T45" i="1" s="1"/>
  <c r="P46" i="1"/>
  <c r="T46" i="1" s="1"/>
  <c r="P47" i="1"/>
  <c r="T47" i="1" s="1"/>
  <c r="P6" i="1"/>
  <c r="T6" i="1" s="1"/>
  <c r="L47" i="1"/>
  <c r="L46" i="1"/>
  <c r="L45" i="1"/>
  <c r="L44" i="1"/>
  <c r="AF43" i="1"/>
  <c r="L43" i="1"/>
  <c r="L42" i="1"/>
  <c r="L41" i="1"/>
  <c r="L40" i="1"/>
  <c r="L39" i="1"/>
  <c r="AF38" i="1"/>
  <c r="L38" i="1"/>
  <c r="L37" i="1"/>
  <c r="AF36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AF23" i="1"/>
  <c r="L23" i="1"/>
  <c r="AF22" i="1"/>
  <c r="L22" i="1"/>
  <c r="L21" i="1"/>
  <c r="L20" i="1"/>
  <c r="L19" i="1"/>
  <c r="L18" i="1"/>
  <c r="AF17" i="1"/>
  <c r="L17" i="1"/>
  <c r="AF16" i="1"/>
  <c r="L16" i="1"/>
  <c r="L15" i="1"/>
  <c r="L14" i="1"/>
  <c r="L13" i="1"/>
  <c r="L12" i="1"/>
  <c r="AF11" i="1"/>
  <c r="L11" i="1"/>
  <c r="L10" i="1"/>
  <c r="L9" i="1"/>
  <c r="L8" i="1"/>
  <c r="L7" i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F5" i="1"/>
  <c r="E5" i="1"/>
  <c r="Q18" i="1" l="1"/>
  <c r="Q19" i="1"/>
  <c r="Q21" i="1"/>
  <c r="T27" i="1"/>
  <c r="T22" i="1"/>
  <c r="T20" i="1"/>
  <c r="T38" i="1"/>
  <c r="S17" i="1"/>
  <c r="T16" i="1"/>
  <c r="S23" i="1"/>
  <c r="T8" i="1"/>
  <c r="S46" i="1"/>
  <c r="S45" i="1"/>
  <c r="S43" i="1"/>
  <c r="S42" i="1"/>
  <c r="T37" i="1"/>
  <c r="S36" i="1"/>
  <c r="Q26" i="1"/>
  <c r="S26" i="1" s="1"/>
  <c r="AF8" i="1"/>
  <c r="S8" i="1"/>
  <c r="AF28" i="1"/>
  <c r="S28" i="1"/>
  <c r="AF9" i="1"/>
  <c r="S9" i="1"/>
  <c r="S47" i="1"/>
  <c r="AF47" i="1"/>
  <c r="AF20" i="1"/>
  <c r="S20" i="1"/>
  <c r="AF39" i="1"/>
  <c r="S39" i="1"/>
  <c r="S7" i="1"/>
  <c r="AF7" i="1"/>
  <c r="S6" i="1"/>
  <c r="AF40" i="1"/>
  <c r="S40" i="1"/>
  <c r="AF15" i="1"/>
  <c r="S15" i="1"/>
  <c r="AF14" i="1"/>
  <c r="S14" i="1"/>
  <c r="S33" i="1"/>
  <c r="AF33" i="1"/>
  <c r="S13" i="1"/>
  <c r="AF13" i="1"/>
  <c r="AF27" i="1"/>
  <c r="S27" i="1"/>
  <c r="S35" i="1"/>
  <c r="AF35" i="1"/>
  <c r="S34" i="1"/>
  <c r="AF34" i="1"/>
  <c r="S12" i="1"/>
  <c r="AF12" i="1"/>
  <c r="Q24" i="1"/>
  <c r="AF45" i="1"/>
  <c r="T15" i="1"/>
  <c r="T14" i="1"/>
  <c r="S25" i="1"/>
  <c r="T13" i="1"/>
  <c r="P5" i="1"/>
  <c r="T12" i="1"/>
  <c r="T35" i="1"/>
  <c r="T11" i="1"/>
  <c r="T34" i="1"/>
  <c r="T9" i="1"/>
  <c r="T33" i="1"/>
  <c r="AF42" i="1"/>
  <c r="AF46" i="1"/>
  <c r="S10" i="1"/>
  <c r="AF10" i="1"/>
  <c r="AF6" i="1"/>
  <c r="L5" i="1"/>
  <c r="Q5" i="1" l="1"/>
  <c r="AF26" i="1"/>
  <c r="S18" i="1"/>
  <c r="AF18" i="1"/>
  <c r="AF44" i="1"/>
  <c r="S44" i="1"/>
  <c r="AF30" i="1"/>
  <c r="S30" i="1"/>
  <c r="AF41" i="1"/>
  <c r="S41" i="1"/>
  <c r="AF29" i="1"/>
  <c r="S29" i="1"/>
  <c r="S31" i="1"/>
  <c r="AF31" i="1"/>
  <c r="AF24" i="1"/>
  <c r="S24" i="1"/>
  <c r="S32" i="1"/>
  <c r="AF32" i="1"/>
  <c r="AF19" i="1"/>
  <c r="S19" i="1"/>
  <c r="S21" i="1"/>
  <c r="AF21" i="1"/>
  <c r="AF5" i="1" l="1"/>
</calcChain>
</file>

<file path=xl/sharedStrings.xml><?xml version="1.0" encoding="utf-8"?>
<sst xmlns="http://schemas.openxmlformats.org/spreadsheetml/2006/main" count="157" uniqueCount="87">
  <si>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</si>
  <si>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</si>
  <si>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</si>
  <si>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</si>
  <si>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</si>
  <si>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</si>
  <si>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</si>
  <si>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</si>
  <si>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</si>
  <si>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</si>
  <si>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</si>
  <si>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</si>
  <si>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</si>
  <si>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</si>
  <si>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</si>
  <si>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</si>
  <si>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</si>
  <si>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</si>
  <si>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</si>
  <si>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</si>
  <si>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</si>
  <si>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</si>
  <si>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04,08,</t>
  </si>
  <si>
    <t>10,08,</t>
  </si>
  <si>
    <t>11,08,</t>
  </si>
  <si>
    <t>28,07,</t>
  </si>
  <si>
    <t>21,07,</t>
  </si>
  <si>
    <t>14,07,</t>
  </si>
  <si>
    <t>07,07,</t>
  </si>
  <si>
    <t>29,06,</t>
  </si>
  <si>
    <t>22,06,</t>
  </si>
  <si>
    <t>15,06,</t>
  </si>
  <si>
    <t>08,06,</t>
  </si>
  <si>
    <t>01,06,</t>
  </si>
  <si>
    <t>1103201 Сыр копченый "Косичка" мини ПАПА МОЖЕТ 55г лоток  ОСТАНКИНО</t>
  </si>
  <si>
    <t>шт</t>
  </si>
  <si>
    <t>новинка</t>
  </si>
  <si>
    <t>2103201 БЖП, произведенный по технологии сыра копченый "Косичка" мини Ассорти  ОСТАНКИНО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</si>
  <si>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</si>
  <si>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</si>
  <si>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</si>
  <si>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4421577 Спред растительно-сливочный "Сливочный вкус" 82,5% 180гр  Останкино</t>
  </si>
  <si>
    <t>30,07,26 - нет на заводе / 62шт в уценку (28,07,26)</t>
  </si>
  <si>
    <t>4421584 Спред растительно-сливочный "Сливочный вкус" 72,5% 180гр  Останкино</t>
  </si>
  <si>
    <t>30,07,26 - нет на заводе / 34шт в уценку (28,07,26)</t>
  </si>
  <si>
    <t>4931  Сыр полутвердый "Купеческий" с ароматом топленого молока, с м.д.ж. 50% ОСТАНКИНО</t>
  </si>
  <si>
    <t>нужно увеличить продажи!!!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</si>
  <si>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</si>
  <si>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</si>
  <si>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</si>
  <si>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</si>
  <si>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</si>
  <si>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</si>
  <si>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</si>
  <si>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</si>
  <si>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</si>
  <si>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</si>
  <si>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</si>
  <si>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нужно увеличить продажи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</si>
  <si>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</si>
  <si>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</si>
  <si>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</si>
  <si>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</si>
  <si>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</si>
  <si>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</si>
  <si>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</si>
  <si>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</si>
  <si>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</si>
  <si>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</si>
  <si>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</si>
  <si>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</si>
  <si>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</si>
  <si>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</si>
  <si>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</si>
  <si>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</si>
  <si>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</si>
  <si>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</si>
  <si>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твердый "Пармезан", с масовой долей жира 35%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</si>
  <si>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</si>
  <si>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</si>
  <si>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</si>
  <si>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</si>
  <si>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Оригин 50% ВЕС НОВАЯ (5 кг брус) СЗМЖ  ОСТАНКИНО</t>
  </si>
  <si>
    <t>32кг в уценку (06,08,26)</t>
  </si>
  <si>
    <t>ТК</t>
  </si>
  <si>
    <t>Титенок</t>
  </si>
  <si>
    <t>200шт сети Обжора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</si>
</sst>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6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6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0" borderId="1" xfId="1" applyNumberFormat="1" applyFill="1"/>
    <xf numFmtId="164" fontId="4" fillId="4" borderId="1" xfId="1" applyNumberFormat="1" applyFont="1" applyFill="1"/>
    <xf numFmtId="164" fontId="5" fillId="0" borderId="1" xfId="1" applyNumberFormat="1" applyFont="1"/>
    <xf numFmtId="164" fontId="5" fillId="4" borderId="1" xfId="1" applyNumberFormat="1" applyFont="1" applyFill="1"/>
    <xf numFmtId="164" fontId="1" fillId="0" borderId="1" xfId="1" applyNumberFormat="1" applyBorder="1"/>
    <xf numFmtId="0" fontId="0" fillId="0" borderId="1" xfId="0" applyBorder="1"/>
    <xf numFmtId="164" fontId="1" fillId="5" borderId="1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R24" sqref="R2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7.85546875" customWidth="1"/>
    <col min="10" max="10" width="1" customWidth="1"/>
    <col min="11" max="12" width="7" customWidth="1"/>
    <col min="13" max="14" width="0.7109375" customWidth="1"/>
    <col min="15" max="17" width="7" customWidth="1"/>
    <col min="18" max="18" width="18.5703125" style="14" bestFit="1" customWidth="1"/>
    <col min="19" max="20" width="5" customWidth="1"/>
    <col min="21" max="30" width="6" customWidth="1"/>
    <col min="31" max="31" width="43" customWidth="1"/>
    <col min="32" max="32" width="7" customWidth="1"/>
    <col min="33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84</v>
      </c>
      <c r="S3" s="2" t="s">
        <v>17</v>
      </c>
      <c r="T3" s="2" t="s">
        <v>18</v>
      </c>
      <c r="U3" s="2" t="s">
        <v>19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20</v>
      </c>
      <c r="AF3" s="2" t="s">
        <v>21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23</v>
      </c>
      <c r="P4" s="1" t="s">
        <v>24</v>
      </c>
      <c r="Q4" s="1"/>
      <c r="R4" s="1" t="s">
        <v>85</v>
      </c>
      <c r="S4" s="1"/>
      <c r="T4" s="1"/>
      <c r="U4" s="1" t="s">
        <v>22</v>
      </c>
      <c r="V4" s="1" t="s">
        <v>25</v>
      </c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SUM(E6:E498)</f>
        <v>1797.3630000000003</v>
      </c>
      <c r="F5" s="4">
        <f>SUM(F6:F498)</f>
        <v>7577.4240000000009</v>
      </c>
      <c r="G5" s="7"/>
      <c r="H5" s="1"/>
      <c r="I5" s="1"/>
      <c r="J5" s="1"/>
      <c r="K5" s="4">
        <f t="shared" ref="K5:Q5" si="0">SUM(K6:K498)</f>
        <v>3913.826</v>
      </c>
      <c r="L5" s="4">
        <f t="shared" si="0"/>
        <v>-2116.4629999999997</v>
      </c>
      <c r="M5" s="4">
        <f t="shared" si="0"/>
        <v>0</v>
      </c>
      <c r="N5" s="4">
        <f t="shared" si="0"/>
        <v>0</v>
      </c>
      <c r="O5" s="4">
        <f t="shared" si="0"/>
        <v>2392</v>
      </c>
      <c r="P5" s="4">
        <f t="shared" si="0"/>
        <v>359.47259999999989</v>
      </c>
      <c r="Q5" s="4">
        <f t="shared" si="0"/>
        <v>993.19399999999996</v>
      </c>
      <c r="R5" s="4"/>
      <c r="S5" s="1"/>
      <c r="T5" s="1"/>
      <c r="U5" s="4">
        <f t="shared" ref="U5:AD5" si="1">SUM(U6:U498)</f>
        <v>466.03420000000006</v>
      </c>
      <c r="V5" s="4">
        <f t="shared" si="1"/>
        <v>440.05199999999996</v>
      </c>
      <c r="W5" s="4">
        <f t="shared" si="1"/>
        <v>293.5243999999999</v>
      </c>
      <c r="X5" s="4">
        <f t="shared" si="1"/>
        <v>493.16799999999995</v>
      </c>
      <c r="Y5" s="4">
        <f t="shared" si="1"/>
        <v>453.59320000000014</v>
      </c>
      <c r="Z5" s="4">
        <f t="shared" si="1"/>
        <v>562.35560000000009</v>
      </c>
      <c r="AA5" s="4">
        <f t="shared" si="1"/>
        <v>611.33759999999995</v>
      </c>
      <c r="AB5" s="4">
        <f t="shared" si="1"/>
        <v>375.51</v>
      </c>
      <c r="AC5" s="4">
        <f t="shared" si="1"/>
        <v>391.67239999999998</v>
      </c>
      <c r="AD5" s="4">
        <f t="shared" si="1"/>
        <v>516.0128000000002</v>
      </c>
      <c r="AE5" s="1"/>
      <c r="AF5" s="4">
        <f>SUM(AF6:AF498)</f>
        <v>163.65491999999998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34</v>
      </c>
      <c r="B6" s="1" t="s">
        <v>35</v>
      </c>
      <c r="C6" s="1"/>
      <c r="D6" s="1">
        <v>48</v>
      </c>
      <c r="E6" s="1"/>
      <c r="F6" s="1">
        <v>47</v>
      </c>
      <c r="G6" s="7">
        <v>5.5E-2</v>
      </c>
      <c r="H6" s="1">
        <v>120</v>
      </c>
      <c r="I6" s="1"/>
      <c r="J6" s="1"/>
      <c r="K6" s="1">
        <v>2</v>
      </c>
      <c r="L6" s="1">
        <f t="shared" ref="L6:L47" si="2">E6-K6</f>
        <v>-2</v>
      </c>
      <c r="M6" s="1"/>
      <c r="N6" s="1"/>
      <c r="O6" s="1">
        <v>72</v>
      </c>
      <c r="P6" s="1">
        <f>E6/5</f>
        <v>0</v>
      </c>
      <c r="Q6" s="5"/>
      <c r="R6" s="13"/>
      <c r="S6" s="1" t="e">
        <f>(F6+O6+Q6)/P6</f>
        <v>#DIV/0!</v>
      </c>
      <c r="T6" s="1" t="e">
        <f>(F6+O6)/P6</f>
        <v>#DIV/0!</v>
      </c>
      <c r="U6" s="1">
        <v>6.4</v>
      </c>
      <c r="V6" s="1">
        <v>3.2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 t="s">
        <v>36</v>
      </c>
      <c r="AF6" s="1">
        <f t="shared" ref="AF6:AF47" si="3">G6*Q6</f>
        <v>0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37</v>
      </c>
      <c r="B7" s="1" t="s">
        <v>35</v>
      </c>
      <c r="C7" s="1">
        <v>3</v>
      </c>
      <c r="D7" s="1">
        <v>27</v>
      </c>
      <c r="E7" s="1">
        <v>5</v>
      </c>
      <c r="F7" s="1">
        <v>20</v>
      </c>
      <c r="G7" s="7">
        <v>0.1</v>
      </c>
      <c r="H7" s="1">
        <v>120</v>
      </c>
      <c r="I7" s="1"/>
      <c r="J7" s="1"/>
      <c r="K7" s="1">
        <v>14</v>
      </c>
      <c r="L7" s="1">
        <f t="shared" si="2"/>
        <v>-9</v>
      </c>
      <c r="M7" s="1"/>
      <c r="N7" s="1"/>
      <c r="O7" s="1">
        <v>96</v>
      </c>
      <c r="P7" s="1">
        <f t="shared" ref="P7:P47" si="4">E7/5</f>
        <v>1</v>
      </c>
      <c r="Q7" s="5"/>
      <c r="R7" s="13"/>
      <c r="S7" s="1">
        <f t="shared" ref="S7:S47" si="5">(F7+O7+Q7)/P7</f>
        <v>116</v>
      </c>
      <c r="T7" s="1">
        <f t="shared" ref="T7:T47" si="6">(F7+O7)/P7</f>
        <v>116</v>
      </c>
      <c r="U7" s="1">
        <v>6</v>
      </c>
      <c r="V7" s="1">
        <v>3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 t="s">
        <v>36</v>
      </c>
      <c r="AF7" s="1">
        <f t="shared" si="3"/>
        <v>0</v>
      </c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38</v>
      </c>
      <c r="B8" s="1" t="s">
        <v>35</v>
      </c>
      <c r="C8" s="1">
        <v>25</v>
      </c>
      <c r="D8" s="1">
        <v>27</v>
      </c>
      <c r="E8" s="1">
        <v>15</v>
      </c>
      <c r="F8" s="1">
        <v>32</v>
      </c>
      <c r="G8" s="7">
        <v>0.1</v>
      </c>
      <c r="H8" s="1">
        <v>120</v>
      </c>
      <c r="I8" s="1"/>
      <c r="J8" s="1"/>
      <c r="K8" s="1">
        <v>18</v>
      </c>
      <c r="L8" s="1">
        <f t="shared" si="2"/>
        <v>-3</v>
      </c>
      <c r="M8" s="1"/>
      <c r="N8" s="1"/>
      <c r="O8" s="1"/>
      <c r="P8" s="1">
        <f t="shared" si="4"/>
        <v>3</v>
      </c>
      <c r="Q8" s="5">
        <f t="shared" ref="Q8:Q34" si="7">16*P8-O8-F8</f>
        <v>16</v>
      </c>
      <c r="R8" s="13"/>
      <c r="S8" s="1">
        <f t="shared" si="5"/>
        <v>16</v>
      </c>
      <c r="T8" s="1">
        <f t="shared" si="6"/>
        <v>10.666666666666666</v>
      </c>
      <c r="U8" s="1">
        <v>2.2000000000000002</v>
      </c>
      <c r="V8" s="1">
        <v>2.4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 t="s">
        <v>36</v>
      </c>
      <c r="AF8" s="1">
        <f t="shared" si="3"/>
        <v>1.6</v>
      </c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39</v>
      </c>
      <c r="B9" s="1" t="s">
        <v>40</v>
      </c>
      <c r="C9" s="1">
        <v>32.313000000000002</v>
      </c>
      <c r="D9" s="1">
        <v>101.66</v>
      </c>
      <c r="E9" s="1">
        <v>12.448</v>
      </c>
      <c r="F9" s="1">
        <v>113.369</v>
      </c>
      <c r="G9" s="7">
        <v>1</v>
      </c>
      <c r="H9" s="1">
        <v>120</v>
      </c>
      <c r="I9" s="1"/>
      <c r="J9" s="1"/>
      <c r="K9" s="1">
        <v>18.181999999999999</v>
      </c>
      <c r="L9" s="1">
        <f t="shared" si="2"/>
        <v>-5.7339999999999982</v>
      </c>
      <c r="M9" s="1"/>
      <c r="N9" s="1"/>
      <c r="O9" s="1"/>
      <c r="P9" s="1">
        <f t="shared" si="4"/>
        <v>2.4896000000000003</v>
      </c>
      <c r="Q9" s="5"/>
      <c r="R9" s="13"/>
      <c r="S9" s="1">
        <f t="shared" si="5"/>
        <v>45.537034061696652</v>
      </c>
      <c r="T9" s="1">
        <f t="shared" si="6"/>
        <v>45.537034061696652</v>
      </c>
      <c r="U9" s="1">
        <v>4.2826000000000004</v>
      </c>
      <c r="V9" s="1">
        <v>8.3127999999999993</v>
      </c>
      <c r="W9" s="1">
        <v>1.8976</v>
      </c>
      <c r="X9" s="1">
        <v>7.5635999999999992</v>
      </c>
      <c r="Y9" s="1">
        <v>6.4903999999999993</v>
      </c>
      <c r="Z9" s="1">
        <v>13.103199999999999</v>
      </c>
      <c r="AA9" s="1">
        <v>10.0276</v>
      </c>
      <c r="AB9" s="1">
        <v>4.4912000000000001</v>
      </c>
      <c r="AC9" s="1">
        <v>5.9976000000000003</v>
      </c>
      <c r="AD9" s="1">
        <v>6.2723999999999993</v>
      </c>
      <c r="AE9" s="10" t="s">
        <v>46</v>
      </c>
      <c r="AF9" s="1">
        <f t="shared" si="3"/>
        <v>0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9" t="s">
        <v>41</v>
      </c>
      <c r="B10" s="1" t="s">
        <v>35</v>
      </c>
      <c r="C10" s="1"/>
      <c r="D10" s="1"/>
      <c r="E10" s="1"/>
      <c r="F10" s="1"/>
      <c r="G10" s="7">
        <v>0.18</v>
      </c>
      <c r="H10" s="1">
        <v>180</v>
      </c>
      <c r="I10" s="1"/>
      <c r="J10" s="1"/>
      <c r="K10" s="1">
        <v>28</v>
      </c>
      <c r="L10" s="1">
        <f t="shared" si="2"/>
        <v>-28</v>
      </c>
      <c r="M10" s="1"/>
      <c r="N10" s="1"/>
      <c r="O10" s="1">
        <v>24</v>
      </c>
      <c r="P10" s="1">
        <f t="shared" si="4"/>
        <v>0</v>
      </c>
      <c r="Q10" s="5">
        <v>24</v>
      </c>
      <c r="R10" s="13"/>
      <c r="S10" s="1" t="e">
        <f t="shared" si="5"/>
        <v>#DIV/0!</v>
      </c>
      <c r="T10" s="1" t="e">
        <f t="shared" si="6"/>
        <v>#DIV/0!</v>
      </c>
      <c r="U10" s="1">
        <v>0</v>
      </c>
      <c r="V10" s="1">
        <v>2</v>
      </c>
      <c r="W10" s="1">
        <v>0</v>
      </c>
      <c r="X10" s="1">
        <v>2</v>
      </c>
      <c r="Y10" s="1">
        <v>0.6</v>
      </c>
      <c r="Z10" s="1">
        <v>1.8</v>
      </c>
      <c r="AA10" s="1">
        <v>0.4</v>
      </c>
      <c r="AB10" s="1">
        <v>0.6</v>
      </c>
      <c r="AC10" s="1">
        <v>2.6</v>
      </c>
      <c r="AD10" s="1">
        <v>4.2</v>
      </c>
      <c r="AE10" s="1" t="s">
        <v>42</v>
      </c>
      <c r="AF10" s="1">
        <f t="shared" si="3"/>
        <v>4.32</v>
      </c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9" t="s">
        <v>43</v>
      </c>
      <c r="B11" s="1" t="s">
        <v>35</v>
      </c>
      <c r="C11" s="1"/>
      <c r="D11" s="1"/>
      <c r="E11" s="1"/>
      <c r="F11" s="1"/>
      <c r="G11" s="7">
        <v>0.18</v>
      </c>
      <c r="H11" s="1">
        <v>180</v>
      </c>
      <c r="I11" s="1"/>
      <c r="J11" s="1"/>
      <c r="K11" s="1">
        <v>28</v>
      </c>
      <c r="L11" s="1">
        <f t="shared" si="2"/>
        <v>-28</v>
      </c>
      <c r="M11" s="1"/>
      <c r="N11" s="1"/>
      <c r="O11" s="1">
        <v>24</v>
      </c>
      <c r="P11" s="1">
        <f t="shared" si="4"/>
        <v>0</v>
      </c>
      <c r="Q11" s="5">
        <v>24</v>
      </c>
      <c r="R11" s="13"/>
      <c r="S11" s="1" t="e">
        <f t="shared" si="5"/>
        <v>#DIV/0!</v>
      </c>
      <c r="T11" s="1" t="e">
        <f t="shared" si="6"/>
        <v>#DIV/0!</v>
      </c>
      <c r="U11" s="1">
        <v>0</v>
      </c>
      <c r="V11" s="1">
        <v>3</v>
      </c>
      <c r="W11" s="1">
        <v>0</v>
      </c>
      <c r="X11" s="1">
        <v>1.2</v>
      </c>
      <c r="Y11" s="1">
        <v>0</v>
      </c>
      <c r="Z11" s="1">
        <v>2</v>
      </c>
      <c r="AA11" s="1">
        <v>0.4</v>
      </c>
      <c r="AB11" s="1">
        <v>0.6</v>
      </c>
      <c r="AC11" s="1">
        <v>2.6</v>
      </c>
      <c r="AD11" s="1">
        <v>3.6</v>
      </c>
      <c r="AE11" s="1" t="s">
        <v>44</v>
      </c>
      <c r="AF11" s="1">
        <f t="shared" si="3"/>
        <v>4.32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45</v>
      </c>
      <c r="B12" s="1" t="s">
        <v>40</v>
      </c>
      <c r="C12" s="1">
        <v>103.212</v>
      </c>
      <c r="D12" s="1"/>
      <c r="E12" s="1">
        <v>6.4640000000000004</v>
      </c>
      <c r="F12" s="1">
        <v>96.748000000000005</v>
      </c>
      <c r="G12" s="7">
        <v>1</v>
      </c>
      <c r="H12" s="1">
        <v>180</v>
      </c>
      <c r="I12" s="1"/>
      <c r="J12" s="1"/>
      <c r="K12" s="1">
        <v>6.5039999999999996</v>
      </c>
      <c r="L12" s="1">
        <f t="shared" si="2"/>
        <v>-3.9999999999999147E-2</v>
      </c>
      <c r="M12" s="1"/>
      <c r="N12" s="1"/>
      <c r="O12" s="1"/>
      <c r="P12" s="1">
        <f t="shared" si="4"/>
        <v>1.2928000000000002</v>
      </c>
      <c r="Q12" s="5"/>
      <c r="R12" s="13"/>
      <c r="S12" s="1">
        <f t="shared" si="5"/>
        <v>74.836014851485146</v>
      </c>
      <c r="T12" s="1">
        <f t="shared" si="6"/>
        <v>74.836014851485146</v>
      </c>
      <c r="U12" s="1">
        <v>0.72399999999999998</v>
      </c>
      <c r="V12" s="1">
        <v>1.9139999999999999</v>
      </c>
      <c r="W12" s="1">
        <v>0.628</v>
      </c>
      <c r="X12" s="1">
        <v>6.628400000000001</v>
      </c>
      <c r="Y12" s="1">
        <v>1.3204</v>
      </c>
      <c r="Z12" s="1">
        <v>5.8715999999999999</v>
      </c>
      <c r="AA12" s="1">
        <v>3.3479999999999999</v>
      </c>
      <c r="AB12" s="1">
        <v>2.6175999999999999</v>
      </c>
      <c r="AC12" s="1">
        <v>0</v>
      </c>
      <c r="AD12" s="1">
        <v>0</v>
      </c>
      <c r="AE12" s="10" t="s">
        <v>46</v>
      </c>
      <c r="AF12" s="1">
        <f t="shared" si="3"/>
        <v>0</v>
      </c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47</v>
      </c>
      <c r="B13" s="1" t="s">
        <v>35</v>
      </c>
      <c r="C13" s="1">
        <v>142</v>
      </c>
      <c r="D13" s="1"/>
      <c r="E13" s="1"/>
      <c r="F13" s="1">
        <v>142</v>
      </c>
      <c r="G13" s="7">
        <v>0.82450000000000001</v>
      </c>
      <c r="H13" s="1">
        <v>180</v>
      </c>
      <c r="I13" s="1"/>
      <c r="J13" s="1"/>
      <c r="K13" s="1"/>
      <c r="L13" s="1">
        <f t="shared" si="2"/>
        <v>0</v>
      </c>
      <c r="M13" s="1"/>
      <c r="N13" s="1"/>
      <c r="O13" s="1"/>
      <c r="P13" s="1">
        <f t="shared" si="4"/>
        <v>0</v>
      </c>
      <c r="Q13" s="5"/>
      <c r="R13" s="13"/>
      <c r="S13" s="1" t="e">
        <f t="shared" si="5"/>
        <v>#DIV/0!</v>
      </c>
      <c r="T13" s="1" t="e">
        <f t="shared" si="6"/>
        <v>#DIV/0!</v>
      </c>
      <c r="U13" s="1">
        <v>0</v>
      </c>
      <c r="V13" s="1">
        <v>0.6</v>
      </c>
      <c r="W13" s="1">
        <v>0</v>
      </c>
      <c r="X13" s="1">
        <v>0</v>
      </c>
      <c r="Y13" s="1">
        <v>0</v>
      </c>
      <c r="Z13" s="1">
        <v>0</v>
      </c>
      <c r="AA13" s="1">
        <v>0.6</v>
      </c>
      <c r="AB13" s="1">
        <v>0.2</v>
      </c>
      <c r="AC13" s="1">
        <v>1</v>
      </c>
      <c r="AD13" s="1">
        <v>0.4</v>
      </c>
      <c r="AE13" s="10" t="s">
        <v>46</v>
      </c>
      <c r="AF13" s="1">
        <f t="shared" si="3"/>
        <v>0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48</v>
      </c>
      <c r="B14" s="1" t="s">
        <v>35</v>
      </c>
      <c r="C14" s="1">
        <v>358</v>
      </c>
      <c r="D14" s="1">
        <v>94</v>
      </c>
      <c r="E14" s="1">
        <v>81</v>
      </c>
      <c r="F14" s="1">
        <v>350</v>
      </c>
      <c r="G14" s="7">
        <v>0.372</v>
      </c>
      <c r="H14" s="1">
        <v>180</v>
      </c>
      <c r="I14" s="1"/>
      <c r="J14" s="1"/>
      <c r="K14" s="1">
        <v>91</v>
      </c>
      <c r="L14" s="1">
        <f t="shared" si="2"/>
        <v>-10</v>
      </c>
      <c r="M14" s="1"/>
      <c r="N14" s="1"/>
      <c r="O14" s="1"/>
      <c r="P14" s="1">
        <f t="shared" si="4"/>
        <v>16.2</v>
      </c>
      <c r="Q14" s="5"/>
      <c r="R14" s="13"/>
      <c r="S14" s="1">
        <f t="shared" si="5"/>
        <v>21.60493827160494</v>
      </c>
      <c r="T14" s="1">
        <f t="shared" si="6"/>
        <v>21.60493827160494</v>
      </c>
      <c r="U14" s="1">
        <v>15.2</v>
      </c>
      <c r="V14" s="1">
        <v>4.5999999999999996</v>
      </c>
      <c r="W14" s="1">
        <v>5</v>
      </c>
      <c r="X14" s="1">
        <v>16</v>
      </c>
      <c r="Y14" s="1">
        <v>2.6</v>
      </c>
      <c r="Z14" s="1">
        <v>29.8</v>
      </c>
      <c r="AA14" s="1">
        <v>4.4000000000000004</v>
      </c>
      <c r="AB14" s="1">
        <v>10.4</v>
      </c>
      <c r="AC14" s="1">
        <v>10.6</v>
      </c>
      <c r="AD14" s="1">
        <v>10</v>
      </c>
      <c r="AE14" s="10" t="s">
        <v>46</v>
      </c>
      <c r="AF14" s="1">
        <f t="shared" si="3"/>
        <v>0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49</v>
      </c>
      <c r="B15" s="1" t="s">
        <v>35</v>
      </c>
      <c r="C15" s="1">
        <v>356</v>
      </c>
      <c r="D15" s="1">
        <v>8</v>
      </c>
      <c r="E15" s="1">
        <v>14</v>
      </c>
      <c r="F15" s="1">
        <v>339</v>
      </c>
      <c r="G15" s="7">
        <v>0.74399999999999999</v>
      </c>
      <c r="H15" s="1">
        <v>180</v>
      </c>
      <c r="I15" s="1"/>
      <c r="J15" s="1"/>
      <c r="K15" s="1">
        <v>25</v>
      </c>
      <c r="L15" s="1">
        <f t="shared" si="2"/>
        <v>-11</v>
      </c>
      <c r="M15" s="1"/>
      <c r="N15" s="1"/>
      <c r="O15" s="1"/>
      <c r="P15" s="1">
        <f t="shared" si="4"/>
        <v>2.8</v>
      </c>
      <c r="Q15" s="5"/>
      <c r="R15" s="13"/>
      <c r="S15" s="1">
        <f t="shared" si="5"/>
        <v>121.07142857142858</v>
      </c>
      <c r="T15" s="1">
        <f t="shared" si="6"/>
        <v>121.07142857142858</v>
      </c>
      <c r="U15" s="1">
        <v>2.6</v>
      </c>
      <c r="V15" s="1">
        <v>4</v>
      </c>
      <c r="W15" s="1">
        <v>2.6</v>
      </c>
      <c r="X15" s="1">
        <v>4</v>
      </c>
      <c r="Y15" s="1">
        <v>2.4</v>
      </c>
      <c r="Z15" s="1">
        <v>8.4</v>
      </c>
      <c r="AA15" s="1">
        <v>3.2</v>
      </c>
      <c r="AB15" s="1">
        <v>2.4</v>
      </c>
      <c r="AC15" s="1">
        <v>4.2</v>
      </c>
      <c r="AD15" s="1">
        <v>4</v>
      </c>
      <c r="AE15" s="10" t="s">
        <v>46</v>
      </c>
      <c r="AF15" s="1">
        <f t="shared" si="3"/>
        <v>0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50</v>
      </c>
      <c r="B16" s="1" t="s">
        <v>35</v>
      </c>
      <c r="C16" s="1">
        <v>566</v>
      </c>
      <c r="D16" s="1">
        <v>13</v>
      </c>
      <c r="E16" s="1">
        <v>39</v>
      </c>
      <c r="F16" s="1">
        <v>510</v>
      </c>
      <c r="G16" s="7">
        <v>0.372</v>
      </c>
      <c r="H16" s="1">
        <v>180</v>
      </c>
      <c r="I16" s="1"/>
      <c r="J16" s="1"/>
      <c r="K16" s="1">
        <v>112</v>
      </c>
      <c r="L16" s="1">
        <f t="shared" si="2"/>
        <v>-73</v>
      </c>
      <c r="M16" s="1"/>
      <c r="N16" s="1"/>
      <c r="O16" s="1"/>
      <c r="P16" s="1">
        <f t="shared" si="4"/>
        <v>7.8</v>
      </c>
      <c r="Q16" s="5"/>
      <c r="R16" s="13"/>
      <c r="S16" s="1">
        <f t="shared" si="5"/>
        <v>65.384615384615387</v>
      </c>
      <c r="T16" s="1">
        <f t="shared" si="6"/>
        <v>65.384615384615387</v>
      </c>
      <c r="U16" s="1">
        <v>15.4</v>
      </c>
      <c r="V16" s="1">
        <v>15.8</v>
      </c>
      <c r="W16" s="1">
        <v>10</v>
      </c>
      <c r="X16" s="1">
        <v>20.399999999999999</v>
      </c>
      <c r="Y16" s="1">
        <v>8.8000000000000007</v>
      </c>
      <c r="Z16" s="1">
        <v>42.8</v>
      </c>
      <c r="AA16" s="1">
        <v>12</v>
      </c>
      <c r="AB16" s="1">
        <v>17</v>
      </c>
      <c r="AC16" s="1">
        <v>16.399999999999999</v>
      </c>
      <c r="AD16" s="1">
        <v>21.4</v>
      </c>
      <c r="AE16" s="10" t="s">
        <v>46</v>
      </c>
      <c r="AF16" s="1">
        <f t="shared" si="3"/>
        <v>0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51</v>
      </c>
      <c r="B17" s="1" t="s">
        <v>35</v>
      </c>
      <c r="C17" s="1">
        <v>139</v>
      </c>
      <c r="D17" s="1">
        <v>17</v>
      </c>
      <c r="E17" s="1">
        <v>16</v>
      </c>
      <c r="F17" s="1">
        <v>118</v>
      </c>
      <c r="G17" s="7">
        <v>0.74399999999999999</v>
      </c>
      <c r="H17" s="1">
        <v>180</v>
      </c>
      <c r="I17" s="1"/>
      <c r="J17" s="1"/>
      <c r="K17" s="1">
        <v>34</v>
      </c>
      <c r="L17" s="1">
        <f t="shared" si="2"/>
        <v>-18</v>
      </c>
      <c r="M17" s="1"/>
      <c r="N17" s="1"/>
      <c r="O17" s="1">
        <v>96</v>
      </c>
      <c r="P17" s="1">
        <f t="shared" si="4"/>
        <v>3.2</v>
      </c>
      <c r="Q17" s="5"/>
      <c r="R17" s="13"/>
      <c r="S17" s="1">
        <f t="shared" si="5"/>
        <v>66.875</v>
      </c>
      <c r="T17" s="1">
        <f t="shared" si="6"/>
        <v>66.875</v>
      </c>
      <c r="U17" s="1">
        <v>12.4</v>
      </c>
      <c r="V17" s="1">
        <v>1.8</v>
      </c>
      <c r="W17" s="1">
        <v>5.8</v>
      </c>
      <c r="X17" s="1">
        <v>6.2</v>
      </c>
      <c r="Y17" s="1">
        <v>7</v>
      </c>
      <c r="Z17" s="1">
        <v>15.8</v>
      </c>
      <c r="AA17" s="1">
        <v>7.2</v>
      </c>
      <c r="AB17" s="1">
        <v>9.6</v>
      </c>
      <c r="AC17" s="1">
        <v>4.4000000000000004</v>
      </c>
      <c r="AD17" s="1">
        <v>3.6</v>
      </c>
      <c r="AE17" s="10" t="s">
        <v>46</v>
      </c>
      <c r="AF17" s="1">
        <f t="shared" si="3"/>
        <v>0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52</v>
      </c>
      <c r="B18" s="1" t="s">
        <v>35</v>
      </c>
      <c r="C18" s="1">
        <v>62</v>
      </c>
      <c r="D18" s="1">
        <v>9</v>
      </c>
      <c r="E18" s="1">
        <v>45</v>
      </c>
      <c r="F18" s="1">
        <v>10</v>
      </c>
      <c r="G18" s="7">
        <v>0.18</v>
      </c>
      <c r="H18" s="1">
        <v>270</v>
      </c>
      <c r="I18" s="1"/>
      <c r="J18" s="1"/>
      <c r="K18" s="1">
        <v>53</v>
      </c>
      <c r="L18" s="1">
        <f t="shared" si="2"/>
        <v>-8</v>
      </c>
      <c r="M18" s="1"/>
      <c r="N18" s="1"/>
      <c r="O18" s="1">
        <v>48</v>
      </c>
      <c r="P18" s="1">
        <f t="shared" si="4"/>
        <v>9</v>
      </c>
      <c r="Q18" s="5">
        <f>14*P18-O18-F18</f>
        <v>68</v>
      </c>
      <c r="R18" s="13"/>
      <c r="S18" s="1">
        <f t="shared" si="5"/>
        <v>14</v>
      </c>
      <c r="T18" s="1">
        <f t="shared" si="6"/>
        <v>6.4444444444444446</v>
      </c>
      <c r="U18" s="1">
        <v>5.8</v>
      </c>
      <c r="V18" s="1">
        <v>4.4000000000000004</v>
      </c>
      <c r="W18" s="1">
        <v>2</v>
      </c>
      <c r="X18" s="1">
        <v>3.6</v>
      </c>
      <c r="Y18" s="1">
        <v>6.2</v>
      </c>
      <c r="Z18" s="1">
        <v>9.1999999999999993</v>
      </c>
      <c r="AA18" s="1">
        <v>7</v>
      </c>
      <c r="AB18" s="1">
        <v>6.4</v>
      </c>
      <c r="AC18" s="1">
        <v>9.1999999999999993</v>
      </c>
      <c r="AD18" s="1">
        <v>5.8</v>
      </c>
      <c r="AE18" s="1"/>
      <c r="AF18" s="1">
        <f t="shared" si="3"/>
        <v>12.24</v>
      </c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53</v>
      </c>
      <c r="B19" s="1" t="s">
        <v>35</v>
      </c>
      <c r="C19" s="1">
        <v>59</v>
      </c>
      <c r="D19" s="1">
        <v>25</v>
      </c>
      <c r="E19" s="1">
        <v>46</v>
      </c>
      <c r="F19" s="1">
        <v>25</v>
      </c>
      <c r="G19" s="7">
        <v>0.18</v>
      </c>
      <c r="H19" s="1">
        <v>270</v>
      </c>
      <c r="I19" s="1"/>
      <c r="J19" s="1"/>
      <c r="K19" s="1">
        <v>54</v>
      </c>
      <c r="L19" s="1">
        <f t="shared" si="2"/>
        <v>-8</v>
      </c>
      <c r="M19" s="1"/>
      <c r="N19" s="1"/>
      <c r="O19" s="1">
        <v>32</v>
      </c>
      <c r="P19" s="1">
        <f t="shared" si="4"/>
        <v>9.1999999999999993</v>
      </c>
      <c r="Q19" s="5">
        <f>14*P19-O19-F19</f>
        <v>71.799999999999983</v>
      </c>
      <c r="R19" s="13"/>
      <c r="S19" s="1">
        <f t="shared" si="5"/>
        <v>14</v>
      </c>
      <c r="T19" s="1">
        <f t="shared" si="6"/>
        <v>6.1956521739130439</v>
      </c>
      <c r="U19" s="1">
        <v>5.2</v>
      </c>
      <c r="V19" s="1">
        <v>4.4000000000000004</v>
      </c>
      <c r="W19" s="1">
        <v>3.2</v>
      </c>
      <c r="X19" s="1">
        <v>5.4</v>
      </c>
      <c r="Y19" s="1">
        <v>6.6</v>
      </c>
      <c r="Z19" s="1">
        <v>9.6</v>
      </c>
      <c r="AA19" s="1">
        <v>9</v>
      </c>
      <c r="AB19" s="1">
        <v>5.8</v>
      </c>
      <c r="AC19" s="1">
        <v>7.8</v>
      </c>
      <c r="AD19" s="1">
        <v>6.8</v>
      </c>
      <c r="AE19" s="1"/>
      <c r="AF19" s="1">
        <f t="shared" si="3"/>
        <v>12.923999999999996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54</v>
      </c>
      <c r="B20" s="1" t="s">
        <v>35</v>
      </c>
      <c r="C20" s="1">
        <v>531.60599999999999</v>
      </c>
      <c r="D20" s="1">
        <v>36</v>
      </c>
      <c r="E20" s="1">
        <v>190</v>
      </c>
      <c r="F20" s="1">
        <v>296.60599999999999</v>
      </c>
      <c r="G20" s="7">
        <v>0.18</v>
      </c>
      <c r="H20" s="1">
        <v>180</v>
      </c>
      <c r="I20" s="1"/>
      <c r="J20" s="1"/>
      <c r="K20" s="1">
        <v>224</v>
      </c>
      <c r="L20" s="1">
        <f t="shared" si="2"/>
        <v>-34</v>
      </c>
      <c r="M20" s="1"/>
      <c r="N20" s="1"/>
      <c r="O20" s="1">
        <v>100</v>
      </c>
      <c r="P20" s="1">
        <f t="shared" si="4"/>
        <v>38</v>
      </c>
      <c r="Q20" s="5">
        <f t="shared" si="7"/>
        <v>211.39400000000001</v>
      </c>
      <c r="R20" s="13"/>
      <c r="S20" s="1">
        <f t="shared" si="5"/>
        <v>16</v>
      </c>
      <c r="T20" s="1">
        <f t="shared" si="6"/>
        <v>10.436999999999999</v>
      </c>
      <c r="U20" s="1">
        <v>34</v>
      </c>
      <c r="V20" s="1">
        <v>30.078800000000001</v>
      </c>
      <c r="W20" s="1">
        <v>33.799999999999997</v>
      </c>
      <c r="X20" s="1">
        <v>46</v>
      </c>
      <c r="Y20" s="1">
        <v>63</v>
      </c>
      <c r="Z20" s="1">
        <v>56.6</v>
      </c>
      <c r="AA20" s="1">
        <v>59</v>
      </c>
      <c r="AB20" s="1">
        <v>34.6</v>
      </c>
      <c r="AC20" s="1">
        <v>34.799999999999997</v>
      </c>
      <c r="AD20" s="1">
        <v>64.8</v>
      </c>
      <c r="AE20" s="1"/>
      <c r="AF20" s="1">
        <f t="shared" si="3"/>
        <v>38.050919999999998</v>
      </c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55</v>
      </c>
      <c r="B21" s="1" t="s">
        <v>35</v>
      </c>
      <c r="C21" s="1">
        <v>321</v>
      </c>
      <c r="D21" s="1">
        <v>42</v>
      </c>
      <c r="E21" s="1">
        <v>153</v>
      </c>
      <c r="F21" s="1">
        <v>139</v>
      </c>
      <c r="G21" s="7">
        <v>0.18</v>
      </c>
      <c r="H21" s="1">
        <v>180</v>
      </c>
      <c r="I21" s="1"/>
      <c r="J21" s="1"/>
      <c r="K21" s="1">
        <v>205</v>
      </c>
      <c r="L21" s="1">
        <f t="shared" si="2"/>
        <v>-52</v>
      </c>
      <c r="M21" s="1"/>
      <c r="N21" s="1"/>
      <c r="O21" s="1">
        <v>10</v>
      </c>
      <c r="P21" s="1">
        <f t="shared" si="4"/>
        <v>30.6</v>
      </c>
      <c r="Q21" s="5">
        <f>13*P21-O21-F21</f>
        <v>248.8</v>
      </c>
      <c r="R21" s="13"/>
      <c r="S21" s="1">
        <f t="shared" si="5"/>
        <v>13</v>
      </c>
      <c r="T21" s="1">
        <f t="shared" si="6"/>
        <v>4.8692810457516336</v>
      </c>
      <c r="U21" s="1">
        <v>17.600000000000001</v>
      </c>
      <c r="V21" s="1">
        <v>16.2</v>
      </c>
      <c r="W21" s="1">
        <v>9.1999999999999993</v>
      </c>
      <c r="X21" s="1">
        <v>27.6</v>
      </c>
      <c r="Y21" s="1">
        <v>28.4</v>
      </c>
      <c r="Z21" s="1">
        <v>18.8</v>
      </c>
      <c r="AA21" s="1">
        <v>28.6</v>
      </c>
      <c r="AB21" s="1">
        <v>11.4</v>
      </c>
      <c r="AC21" s="1">
        <v>10.4</v>
      </c>
      <c r="AD21" s="1">
        <v>37</v>
      </c>
      <c r="AE21" s="1"/>
      <c r="AF21" s="1">
        <f t="shared" si="3"/>
        <v>44.783999999999999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56</v>
      </c>
      <c r="B22" s="1" t="s">
        <v>35</v>
      </c>
      <c r="C22" s="1">
        <v>37</v>
      </c>
      <c r="D22" s="1"/>
      <c r="E22" s="1"/>
      <c r="F22" s="1">
        <v>37</v>
      </c>
      <c r="G22" s="7">
        <v>0.4</v>
      </c>
      <c r="H22" s="1">
        <v>270</v>
      </c>
      <c r="I22" s="1"/>
      <c r="J22" s="1"/>
      <c r="K22" s="1">
        <v>8</v>
      </c>
      <c r="L22" s="1">
        <f t="shared" si="2"/>
        <v>-8</v>
      </c>
      <c r="M22" s="1"/>
      <c r="N22" s="1"/>
      <c r="O22" s="1"/>
      <c r="P22" s="1">
        <f t="shared" si="4"/>
        <v>0</v>
      </c>
      <c r="Q22" s="5"/>
      <c r="R22" s="13"/>
      <c r="S22" s="1" t="e">
        <f t="shared" si="5"/>
        <v>#DIV/0!</v>
      </c>
      <c r="T22" s="1" t="e">
        <f t="shared" si="6"/>
        <v>#DIV/0!</v>
      </c>
      <c r="U22" s="1">
        <v>-0.4</v>
      </c>
      <c r="V22" s="1">
        <v>0</v>
      </c>
      <c r="W22" s="1">
        <v>0.4</v>
      </c>
      <c r="X22" s="1">
        <v>0.4</v>
      </c>
      <c r="Y22" s="1">
        <v>0.4</v>
      </c>
      <c r="Z22" s="1">
        <v>0.8</v>
      </c>
      <c r="AA22" s="1">
        <v>0.2</v>
      </c>
      <c r="AB22" s="1">
        <v>1.6</v>
      </c>
      <c r="AC22" s="1">
        <v>2</v>
      </c>
      <c r="AD22" s="1">
        <v>0.8</v>
      </c>
      <c r="AE22" s="10" t="s">
        <v>46</v>
      </c>
      <c r="AF22" s="1">
        <f t="shared" si="3"/>
        <v>0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57</v>
      </c>
      <c r="B23" s="1" t="s">
        <v>35</v>
      </c>
      <c r="C23" s="1">
        <v>8</v>
      </c>
      <c r="D23" s="1"/>
      <c r="E23" s="1">
        <v>2</v>
      </c>
      <c r="F23" s="1">
        <v>6</v>
      </c>
      <c r="G23" s="7">
        <v>0.4</v>
      </c>
      <c r="H23" s="1">
        <v>270</v>
      </c>
      <c r="I23" s="1"/>
      <c r="J23" s="1"/>
      <c r="K23" s="1">
        <v>3</v>
      </c>
      <c r="L23" s="1">
        <f t="shared" si="2"/>
        <v>-1</v>
      </c>
      <c r="M23" s="1"/>
      <c r="N23" s="1"/>
      <c r="O23" s="1"/>
      <c r="P23" s="1">
        <f t="shared" si="4"/>
        <v>0.4</v>
      </c>
      <c r="Q23" s="5"/>
      <c r="R23" s="13"/>
      <c r="S23" s="1">
        <f t="shared" si="5"/>
        <v>15</v>
      </c>
      <c r="T23" s="1">
        <f t="shared" si="6"/>
        <v>15</v>
      </c>
      <c r="U23" s="1">
        <v>0.4</v>
      </c>
      <c r="V23" s="1">
        <v>0</v>
      </c>
      <c r="W23" s="1">
        <v>0</v>
      </c>
      <c r="X23" s="1">
        <v>1.6</v>
      </c>
      <c r="Y23" s="1">
        <v>0.8</v>
      </c>
      <c r="Z23" s="1">
        <v>1</v>
      </c>
      <c r="AA23" s="1">
        <v>1.6</v>
      </c>
      <c r="AB23" s="1">
        <v>1</v>
      </c>
      <c r="AC23" s="1">
        <v>0.2</v>
      </c>
      <c r="AD23" s="1">
        <v>2.2000000000000002</v>
      </c>
      <c r="AE23" s="1"/>
      <c r="AF23" s="1">
        <f t="shared" si="3"/>
        <v>0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59</v>
      </c>
      <c r="B24" s="1" t="s">
        <v>35</v>
      </c>
      <c r="C24" s="1">
        <v>150</v>
      </c>
      <c r="D24" s="1">
        <v>68</v>
      </c>
      <c r="E24" s="1">
        <v>13</v>
      </c>
      <c r="F24" s="1">
        <v>30</v>
      </c>
      <c r="G24" s="7">
        <v>0.18</v>
      </c>
      <c r="H24" s="1">
        <v>150</v>
      </c>
      <c r="I24" s="1"/>
      <c r="J24" s="1"/>
      <c r="K24" s="1">
        <v>145</v>
      </c>
      <c r="L24" s="1">
        <f t="shared" si="2"/>
        <v>-132</v>
      </c>
      <c r="M24" s="1"/>
      <c r="N24" s="1"/>
      <c r="O24" s="1"/>
      <c r="P24" s="1">
        <f t="shared" si="4"/>
        <v>2.6</v>
      </c>
      <c r="Q24" s="5">
        <f t="shared" si="7"/>
        <v>11.600000000000001</v>
      </c>
      <c r="R24" s="13"/>
      <c r="S24" s="1">
        <f t="shared" si="5"/>
        <v>16</v>
      </c>
      <c r="T24" s="1">
        <f t="shared" si="6"/>
        <v>11.538461538461538</v>
      </c>
      <c r="U24" s="1">
        <v>6.8</v>
      </c>
      <c r="V24" s="1">
        <v>13.2</v>
      </c>
      <c r="W24" s="1">
        <v>10.6</v>
      </c>
      <c r="X24" s="1">
        <v>12.2</v>
      </c>
      <c r="Y24" s="1">
        <v>8.8000000000000007</v>
      </c>
      <c r="Z24" s="1">
        <v>5.8</v>
      </c>
      <c r="AA24" s="1">
        <v>5.4</v>
      </c>
      <c r="AB24" s="1">
        <v>8.4</v>
      </c>
      <c r="AC24" s="1">
        <v>13.8</v>
      </c>
      <c r="AD24" s="1">
        <v>5.4</v>
      </c>
      <c r="AE24" s="1"/>
      <c r="AF24" s="1">
        <f t="shared" si="3"/>
        <v>2.0880000000000001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60</v>
      </c>
      <c r="B25" s="1" t="s">
        <v>35</v>
      </c>
      <c r="C25" s="1">
        <v>44</v>
      </c>
      <c r="D25" s="1">
        <v>270</v>
      </c>
      <c r="E25" s="1">
        <v>55</v>
      </c>
      <c r="F25" s="1">
        <v>164</v>
      </c>
      <c r="G25" s="7">
        <v>0.1</v>
      </c>
      <c r="H25" s="1">
        <v>90</v>
      </c>
      <c r="I25" s="1"/>
      <c r="J25" s="1"/>
      <c r="K25" s="1">
        <v>267</v>
      </c>
      <c r="L25" s="1">
        <f t="shared" si="2"/>
        <v>-212</v>
      </c>
      <c r="M25" s="1"/>
      <c r="N25" s="1"/>
      <c r="O25" s="1">
        <v>408</v>
      </c>
      <c r="P25" s="1">
        <f t="shared" si="4"/>
        <v>11</v>
      </c>
      <c r="Q25" s="5"/>
      <c r="R25" s="13"/>
      <c r="S25" s="1">
        <f t="shared" si="5"/>
        <v>52</v>
      </c>
      <c r="T25" s="1">
        <f t="shared" si="6"/>
        <v>52</v>
      </c>
      <c r="U25" s="1">
        <v>36.4</v>
      </c>
      <c r="V25" s="1">
        <v>20</v>
      </c>
      <c r="W25" s="1">
        <v>16.2</v>
      </c>
      <c r="X25" s="1">
        <v>20.8</v>
      </c>
      <c r="Y25" s="1">
        <v>14</v>
      </c>
      <c r="Z25" s="1">
        <v>21.4</v>
      </c>
      <c r="AA25" s="1">
        <v>19.600000000000001</v>
      </c>
      <c r="AB25" s="1">
        <v>23.2</v>
      </c>
      <c r="AC25" s="1">
        <v>20</v>
      </c>
      <c r="AD25" s="1">
        <v>20.399999999999999</v>
      </c>
      <c r="AE25" s="1"/>
      <c r="AF25" s="1">
        <f t="shared" si="3"/>
        <v>0</v>
      </c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61</v>
      </c>
      <c r="B26" s="1" t="s">
        <v>35</v>
      </c>
      <c r="C26" s="1">
        <v>132</v>
      </c>
      <c r="D26" s="1">
        <v>78</v>
      </c>
      <c r="E26" s="1">
        <v>127</v>
      </c>
      <c r="F26" s="1">
        <v>8</v>
      </c>
      <c r="G26" s="7">
        <v>0.1</v>
      </c>
      <c r="H26" s="1">
        <v>60</v>
      </c>
      <c r="I26" s="1"/>
      <c r="J26" s="1"/>
      <c r="K26" s="1">
        <v>178</v>
      </c>
      <c r="L26" s="1">
        <f t="shared" si="2"/>
        <v>-51</v>
      </c>
      <c r="M26" s="1"/>
      <c r="N26" s="1"/>
      <c r="O26" s="1">
        <v>320</v>
      </c>
      <c r="P26" s="1">
        <f t="shared" si="4"/>
        <v>25.4</v>
      </c>
      <c r="Q26" s="5">
        <f t="shared" si="7"/>
        <v>78.399999999999977</v>
      </c>
      <c r="R26" s="13"/>
      <c r="S26" s="1">
        <f t="shared" si="5"/>
        <v>16</v>
      </c>
      <c r="T26" s="1">
        <f t="shared" si="6"/>
        <v>12.913385826771654</v>
      </c>
      <c r="U26" s="1">
        <v>25.2</v>
      </c>
      <c r="V26" s="1">
        <v>12.2</v>
      </c>
      <c r="W26" s="1">
        <v>6.6</v>
      </c>
      <c r="X26" s="1">
        <v>17.600000000000001</v>
      </c>
      <c r="Y26" s="1">
        <v>8</v>
      </c>
      <c r="Z26" s="1">
        <v>5.2</v>
      </c>
      <c r="AA26" s="1">
        <v>22</v>
      </c>
      <c r="AB26" s="1">
        <v>12</v>
      </c>
      <c r="AC26" s="1">
        <v>10.8</v>
      </c>
      <c r="AD26" s="1">
        <v>12.8</v>
      </c>
      <c r="AE26" s="1"/>
      <c r="AF26" s="1">
        <f t="shared" si="3"/>
        <v>7.8399999999999981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62</v>
      </c>
      <c r="B27" s="1" t="s">
        <v>35</v>
      </c>
      <c r="C27" s="1">
        <v>130</v>
      </c>
      <c r="D27" s="1">
        <v>42</v>
      </c>
      <c r="E27" s="1">
        <v>105</v>
      </c>
      <c r="F27" s="1">
        <v>-22</v>
      </c>
      <c r="G27" s="7">
        <v>0.1</v>
      </c>
      <c r="H27" s="1">
        <v>90</v>
      </c>
      <c r="I27" s="1"/>
      <c r="J27" s="1"/>
      <c r="K27" s="1">
        <v>157</v>
      </c>
      <c r="L27" s="1">
        <f t="shared" si="2"/>
        <v>-52</v>
      </c>
      <c r="M27" s="1"/>
      <c r="N27" s="1"/>
      <c r="O27" s="1">
        <v>88</v>
      </c>
      <c r="P27" s="1">
        <f t="shared" si="4"/>
        <v>21</v>
      </c>
      <c r="Q27" s="5">
        <f>11*P27-O27-F27</f>
        <v>165</v>
      </c>
      <c r="R27" s="13"/>
      <c r="S27" s="1">
        <f t="shared" si="5"/>
        <v>11</v>
      </c>
      <c r="T27" s="1">
        <f t="shared" si="6"/>
        <v>3.1428571428571428</v>
      </c>
      <c r="U27" s="1">
        <v>16.600000000000001</v>
      </c>
      <c r="V27" s="1">
        <v>15</v>
      </c>
      <c r="W27" s="1">
        <v>13.2</v>
      </c>
      <c r="X27" s="1">
        <v>17.600000000000001</v>
      </c>
      <c r="Y27" s="1">
        <v>10</v>
      </c>
      <c r="Z27" s="1">
        <v>18.2</v>
      </c>
      <c r="AA27" s="1">
        <v>19</v>
      </c>
      <c r="AB27" s="1">
        <v>12.8</v>
      </c>
      <c r="AC27" s="1">
        <v>10</v>
      </c>
      <c r="AD27" s="1">
        <v>9.8000000000000007</v>
      </c>
      <c r="AE27" s="1"/>
      <c r="AF27" s="1">
        <f t="shared" si="3"/>
        <v>16.5</v>
      </c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63</v>
      </c>
      <c r="B28" s="1" t="s">
        <v>35</v>
      </c>
      <c r="C28" s="1">
        <v>407</v>
      </c>
      <c r="D28" s="1">
        <v>21</v>
      </c>
      <c r="E28" s="1">
        <v>81</v>
      </c>
      <c r="F28" s="1">
        <v>303</v>
      </c>
      <c r="G28" s="7">
        <v>0.18</v>
      </c>
      <c r="H28" s="1">
        <v>150</v>
      </c>
      <c r="I28" s="1"/>
      <c r="J28" s="1"/>
      <c r="K28" s="1">
        <v>104</v>
      </c>
      <c r="L28" s="1">
        <f t="shared" si="2"/>
        <v>-23</v>
      </c>
      <c r="M28" s="1"/>
      <c r="N28" s="1"/>
      <c r="O28" s="1"/>
      <c r="P28" s="1">
        <f t="shared" si="4"/>
        <v>16.2</v>
      </c>
      <c r="Q28" s="5"/>
      <c r="R28" s="13"/>
      <c r="S28" s="1">
        <f t="shared" si="5"/>
        <v>18.703703703703706</v>
      </c>
      <c r="T28" s="1">
        <f t="shared" si="6"/>
        <v>18.703703703703706</v>
      </c>
      <c r="U28" s="1">
        <v>13.8</v>
      </c>
      <c r="V28" s="1">
        <v>5.2</v>
      </c>
      <c r="W28" s="1">
        <v>8.4</v>
      </c>
      <c r="X28" s="1">
        <v>11.2</v>
      </c>
      <c r="Y28" s="1">
        <v>17.8</v>
      </c>
      <c r="Z28" s="1">
        <v>14.6</v>
      </c>
      <c r="AA28" s="1">
        <v>19</v>
      </c>
      <c r="AB28" s="1">
        <v>12.2</v>
      </c>
      <c r="AC28" s="1">
        <v>11.8</v>
      </c>
      <c r="AD28" s="1">
        <v>15.8</v>
      </c>
      <c r="AE28" s="12" t="s">
        <v>58</v>
      </c>
      <c r="AF28" s="1">
        <f t="shared" si="3"/>
        <v>0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64</v>
      </c>
      <c r="B29" s="1" t="s">
        <v>35</v>
      </c>
      <c r="C29" s="1">
        <v>354</v>
      </c>
      <c r="D29" s="1">
        <v>902</v>
      </c>
      <c r="E29" s="1">
        <v>150</v>
      </c>
      <c r="F29" s="1">
        <v>916</v>
      </c>
      <c r="G29" s="7">
        <v>0.18</v>
      </c>
      <c r="H29" s="1">
        <v>150</v>
      </c>
      <c r="I29" s="1"/>
      <c r="J29" s="1"/>
      <c r="K29" s="1">
        <v>366</v>
      </c>
      <c r="L29" s="1">
        <f t="shared" si="2"/>
        <v>-216</v>
      </c>
      <c r="M29" s="1"/>
      <c r="N29" s="1"/>
      <c r="O29" s="1"/>
      <c r="P29" s="1">
        <f t="shared" si="4"/>
        <v>30</v>
      </c>
      <c r="Q29" s="5"/>
      <c r="R29" s="13"/>
      <c r="S29" s="1">
        <f t="shared" si="5"/>
        <v>30.533333333333335</v>
      </c>
      <c r="T29" s="1">
        <f t="shared" si="6"/>
        <v>30.533333333333335</v>
      </c>
      <c r="U29" s="1">
        <v>58</v>
      </c>
      <c r="V29" s="1">
        <v>69</v>
      </c>
      <c r="W29" s="1">
        <v>36</v>
      </c>
      <c r="X29" s="1">
        <v>58.4</v>
      </c>
      <c r="Y29" s="1">
        <v>37</v>
      </c>
      <c r="Z29" s="1">
        <v>51.2</v>
      </c>
      <c r="AA29" s="1">
        <v>64.599999999999994</v>
      </c>
      <c r="AB29" s="1">
        <v>25.4</v>
      </c>
      <c r="AC29" s="1">
        <v>37.799999999999997</v>
      </c>
      <c r="AD29" s="1">
        <v>32.200000000000003</v>
      </c>
      <c r="AE29" s="12" t="s">
        <v>58</v>
      </c>
      <c r="AF29" s="1">
        <f t="shared" si="3"/>
        <v>0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65</v>
      </c>
      <c r="B30" s="1" t="s">
        <v>35</v>
      </c>
      <c r="C30" s="1">
        <v>346</v>
      </c>
      <c r="D30" s="1">
        <v>18</v>
      </c>
      <c r="E30" s="1">
        <v>44</v>
      </c>
      <c r="F30" s="1">
        <v>295</v>
      </c>
      <c r="G30" s="7">
        <v>0.18</v>
      </c>
      <c r="H30" s="1">
        <v>150</v>
      </c>
      <c r="I30" s="1"/>
      <c r="J30" s="1"/>
      <c r="K30" s="1">
        <v>64</v>
      </c>
      <c r="L30" s="1">
        <f t="shared" si="2"/>
        <v>-20</v>
      </c>
      <c r="M30" s="1"/>
      <c r="N30" s="1"/>
      <c r="O30" s="1"/>
      <c r="P30" s="1">
        <f t="shared" si="4"/>
        <v>8.8000000000000007</v>
      </c>
      <c r="Q30" s="5"/>
      <c r="R30" s="13"/>
      <c r="S30" s="1">
        <f t="shared" si="5"/>
        <v>33.522727272727273</v>
      </c>
      <c r="T30" s="1">
        <f t="shared" si="6"/>
        <v>33.522727272727273</v>
      </c>
      <c r="U30" s="1">
        <v>5.6</v>
      </c>
      <c r="V30" s="1">
        <v>4.5999999999999996</v>
      </c>
      <c r="W30" s="1">
        <v>3.4</v>
      </c>
      <c r="X30" s="1">
        <v>5.6</v>
      </c>
      <c r="Y30" s="1">
        <v>2.8</v>
      </c>
      <c r="Z30" s="1">
        <v>6.2</v>
      </c>
      <c r="AA30" s="1">
        <v>3.4</v>
      </c>
      <c r="AB30" s="1">
        <v>0.2</v>
      </c>
      <c r="AC30" s="1">
        <v>0.2</v>
      </c>
      <c r="AD30" s="1">
        <v>11.2</v>
      </c>
      <c r="AE30" s="10" t="s">
        <v>46</v>
      </c>
      <c r="AF30" s="1">
        <f t="shared" si="3"/>
        <v>0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66</v>
      </c>
      <c r="B31" s="1" t="s">
        <v>35</v>
      </c>
      <c r="C31" s="1">
        <v>158</v>
      </c>
      <c r="D31" s="1">
        <v>10</v>
      </c>
      <c r="E31" s="1">
        <v>22</v>
      </c>
      <c r="F31" s="1">
        <v>132</v>
      </c>
      <c r="G31" s="7">
        <v>0.18</v>
      </c>
      <c r="H31" s="1">
        <v>150</v>
      </c>
      <c r="I31" s="1"/>
      <c r="J31" s="1"/>
      <c r="K31" s="1">
        <v>34</v>
      </c>
      <c r="L31" s="1">
        <f t="shared" si="2"/>
        <v>-12</v>
      </c>
      <c r="M31" s="1"/>
      <c r="N31" s="1"/>
      <c r="O31" s="1"/>
      <c r="P31" s="1">
        <f t="shared" si="4"/>
        <v>4.4000000000000004</v>
      </c>
      <c r="Q31" s="5"/>
      <c r="R31" s="13"/>
      <c r="S31" s="1">
        <f t="shared" si="5"/>
        <v>29.999999999999996</v>
      </c>
      <c r="T31" s="1">
        <f t="shared" si="6"/>
        <v>29.999999999999996</v>
      </c>
      <c r="U31" s="1">
        <v>2.8</v>
      </c>
      <c r="V31" s="1">
        <v>2.6</v>
      </c>
      <c r="W31" s="1">
        <v>2.6</v>
      </c>
      <c r="X31" s="1">
        <v>3.2</v>
      </c>
      <c r="Y31" s="1">
        <v>0.8</v>
      </c>
      <c r="Z31" s="1">
        <v>3.6</v>
      </c>
      <c r="AA31" s="1">
        <v>1.4</v>
      </c>
      <c r="AB31" s="1">
        <v>1.8</v>
      </c>
      <c r="AC31" s="1">
        <v>5.4</v>
      </c>
      <c r="AD31" s="1">
        <v>4</v>
      </c>
      <c r="AE31" s="10" t="s">
        <v>46</v>
      </c>
      <c r="AF31" s="1">
        <f t="shared" si="3"/>
        <v>0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67</v>
      </c>
      <c r="B32" s="1" t="s">
        <v>35</v>
      </c>
      <c r="C32" s="1">
        <v>483</v>
      </c>
      <c r="D32" s="1">
        <v>1298</v>
      </c>
      <c r="E32" s="1">
        <v>154</v>
      </c>
      <c r="F32" s="1">
        <v>1447</v>
      </c>
      <c r="G32" s="7">
        <v>0.18</v>
      </c>
      <c r="H32" s="1">
        <v>150</v>
      </c>
      <c r="I32" s="1"/>
      <c r="J32" s="1"/>
      <c r="K32" s="1">
        <v>469</v>
      </c>
      <c r="L32" s="1">
        <f t="shared" si="2"/>
        <v>-315</v>
      </c>
      <c r="M32" s="1"/>
      <c r="N32" s="1"/>
      <c r="O32" s="1"/>
      <c r="P32" s="1">
        <f t="shared" si="4"/>
        <v>30.8</v>
      </c>
      <c r="Q32" s="5"/>
      <c r="R32" s="13"/>
      <c r="S32" s="1">
        <f t="shared" si="5"/>
        <v>46.980519480519476</v>
      </c>
      <c r="T32" s="1">
        <f t="shared" si="6"/>
        <v>46.980519480519476</v>
      </c>
      <c r="U32" s="1">
        <v>47.2</v>
      </c>
      <c r="V32" s="1">
        <v>91</v>
      </c>
      <c r="W32" s="1">
        <v>44.8</v>
      </c>
      <c r="X32" s="1">
        <v>74.599999999999994</v>
      </c>
      <c r="Y32" s="1">
        <v>64.400000000000006</v>
      </c>
      <c r="Z32" s="1">
        <v>50.2</v>
      </c>
      <c r="AA32" s="1">
        <v>126.4</v>
      </c>
      <c r="AB32" s="1">
        <v>47.6</v>
      </c>
      <c r="AC32" s="1">
        <v>15</v>
      </c>
      <c r="AD32" s="1">
        <v>69.8</v>
      </c>
      <c r="AE32" s="10" t="s">
        <v>46</v>
      </c>
      <c r="AF32" s="1">
        <f t="shared" si="3"/>
        <v>0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68</v>
      </c>
      <c r="B33" s="1" t="s">
        <v>35</v>
      </c>
      <c r="C33" s="1">
        <v>241</v>
      </c>
      <c r="D33" s="1">
        <v>310</v>
      </c>
      <c r="E33" s="1">
        <v>42</v>
      </c>
      <c r="F33" s="1">
        <v>483</v>
      </c>
      <c r="G33" s="7">
        <v>0.18</v>
      </c>
      <c r="H33" s="1">
        <v>150</v>
      </c>
      <c r="I33" s="1"/>
      <c r="J33" s="1"/>
      <c r="K33" s="1">
        <v>357</v>
      </c>
      <c r="L33" s="1">
        <f t="shared" si="2"/>
        <v>-315</v>
      </c>
      <c r="M33" s="1"/>
      <c r="N33" s="1"/>
      <c r="O33" s="1"/>
      <c r="P33" s="1">
        <f t="shared" si="4"/>
        <v>8.4</v>
      </c>
      <c r="Q33" s="5"/>
      <c r="R33" s="15" t="s">
        <v>86</v>
      </c>
      <c r="S33" s="1">
        <f t="shared" si="5"/>
        <v>57.5</v>
      </c>
      <c r="T33" s="1">
        <f t="shared" si="6"/>
        <v>57.5</v>
      </c>
      <c r="U33" s="1">
        <v>6.4</v>
      </c>
      <c r="V33" s="1">
        <v>5.4</v>
      </c>
      <c r="W33" s="1">
        <v>17</v>
      </c>
      <c r="X33" s="1">
        <v>11.8</v>
      </c>
      <c r="Y33" s="1">
        <v>27.6</v>
      </c>
      <c r="Z33" s="1">
        <v>9</v>
      </c>
      <c r="AA33" s="1">
        <v>26.2</v>
      </c>
      <c r="AB33" s="1">
        <v>6.6</v>
      </c>
      <c r="AC33" s="1">
        <v>13.4</v>
      </c>
      <c r="AD33" s="1">
        <v>18.2</v>
      </c>
      <c r="AE33" s="10" t="s">
        <v>46</v>
      </c>
      <c r="AF33" s="1">
        <f t="shared" si="3"/>
        <v>0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69</v>
      </c>
      <c r="B34" s="1" t="s">
        <v>35</v>
      </c>
      <c r="C34" s="1">
        <v>71</v>
      </c>
      <c r="D34" s="1">
        <v>28</v>
      </c>
      <c r="E34" s="1">
        <v>46</v>
      </c>
      <c r="F34" s="1">
        <v>35</v>
      </c>
      <c r="G34" s="7">
        <v>0.14000000000000001</v>
      </c>
      <c r="H34" s="1">
        <v>180</v>
      </c>
      <c r="I34" s="1"/>
      <c r="J34" s="1"/>
      <c r="K34" s="1">
        <v>57</v>
      </c>
      <c r="L34" s="1">
        <f t="shared" si="2"/>
        <v>-11</v>
      </c>
      <c r="M34" s="1"/>
      <c r="N34" s="1"/>
      <c r="O34" s="1">
        <v>48</v>
      </c>
      <c r="P34" s="1">
        <f t="shared" si="4"/>
        <v>9.1999999999999993</v>
      </c>
      <c r="Q34" s="5">
        <f t="shared" si="7"/>
        <v>64.199999999999989</v>
      </c>
      <c r="R34" s="13"/>
      <c r="S34" s="1">
        <f t="shared" si="5"/>
        <v>16</v>
      </c>
      <c r="T34" s="1">
        <f t="shared" si="6"/>
        <v>9.0217391304347831</v>
      </c>
      <c r="U34" s="1">
        <v>6.8</v>
      </c>
      <c r="V34" s="1">
        <v>6</v>
      </c>
      <c r="W34" s="1">
        <v>1.6</v>
      </c>
      <c r="X34" s="1">
        <v>5.4</v>
      </c>
      <c r="Y34" s="1">
        <v>8.6</v>
      </c>
      <c r="Z34" s="1">
        <v>9</v>
      </c>
      <c r="AA34" s="1">
        <v>8.8000000000000007</v>
      </c>
      <c r="AB34" s="1">
        <v>3</v>
      </c>
      <c r="AC34" s="1">
        <v>5</v>
      </c>
      <c r="AD34" s="1">
        <v>4.8</v>
      </c>
      <c r="AE34" s="1"/>
      <c r="AF34" s="1">
        <f t="shared" si="3"/>
        <v>8.9879999999999995</v>
      </c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70</v>
      </c>
      <c r="B35" s="1" t="s">
        <v>35</v>
      </c>
      <c r="C35" s="1">
        <v>31</v>
      </c>
      <c r="D35" s="1">
        <v>75</v>
      </c>
      <c r="E35" s="1">
        <v>41</v>
      </c>
      <c r="F35" s="1">
        <v>48</v>
      </c>
      <c r="G35" s="7">
        <v>0.18</v>
      </c>
      <c r="H35" s="1">
        <v>270</v>
      </c>
      <c r="I35" s="1"/>
      <c r="J35" s="1"/>
      <c r="K35" s="1">
        <v>54</v>
      </c>
      <c r="L35" s="1">
        <f t="shared" si="2"/>
        <v>-13</v>
      </c>
      <c r="M35" s="1"/>
      <c r="N35" s="1"/>
      <c r="O35" s="1">
        <v>80</v>
      </c>
      <c r="P35" s="1">
        <f t="shared" si="4"/>
        <v>8.1999999999999993</v>
      </c>
      <c r="Q35" s="5"/>
      <c r="R35" s="13"/>
      <c r="S35" s="1">
        <f t="shared" si="5"/>
        <v>15.609756097560977</v>
      </c>
      <c r="T35" s="1">
        <f t="shared" si="6"/>
        <v>15.609756097560977</v>
      </c>
      <c r="U35" s="1">
        <v>9</v>
      </c>
      <c r="V35" s="1">
        <v>7</v>
      </c>
      <c r="W35" s="1">
        <v>5.4</v>
      </c>
      <c r="X35" s="1">
        <v>5.8</v>
      </c>
      <c r="Y35" s="1">
        <v>8.8000000000000007</v>
      </c>
      <c r="Z35" s="1">
        <v>9</v>
      </c>
      <c r="AA35" s="1">
        <v>9.4</v>
      </c>
      <c r="AB35" s="1">
        <v>5.8</v>
      </c>
      <c r="AC35" s="1">
        <v>9.8000000000000007</v>
      </c>
      <c r="AD35" s="1">
        <v>12.6</v>
      </c>
      <c r="AE35" s="1"/>
      <c r="AF35" s="1">
        <f t="shared" si="3"/>
        <v>0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71</v>
      </c>
      <c r="B36" s="1" t="s">
        <v>40</v>
      </c>
      <c r="C36" s="1">
        <v>112.12</v>
      </c>
      <c r="D36" s="1">
        <v>3.3439999999999999</v>
      </c>
      <c r="E36" s="1"/>
      <c r="F36" s="1">
        <v>112.12</v>
      </c>
      <c r="G36" s="7">
        <v>1</v>
      </c>
      <c r="H36" s="1">
        <v>180</v>
      </c>
      <c r="I36" s="1"/>
      <c r="J36" s="1"/>
      <c r="K36" s="1">
        <v>2.5</v>
      </c>
      <c r="L36" s="1">
        <f t="shared" si="2"/>
        <v>-2.5</v>
      </c>
      <c r="M36" s="1"/>
      <c r="N36" s="1"/>
      <c r="O36" s="1"/>
      <c r="P36" s="1">
        <f t="shared" si="4"/>
        <v>0</v>
      </c>
      <c r="Q36" s="5"/>
      <c r="R36" s="13"/>
      <c r="S36" s="1" t="e">
        <f t="shared" si="5"/>
        <v>#DIV/0!</v>
      </c>
      <c r="T36" s="1" t="e">
        <f t="shared" si="6"/>
        <v>#DIV/0!</v>
      </c>
      <c r="U36" s="1">
        <v>0.76879999999999993</v>
      </c>
      <c r="V36" s="1">
        <v>2.5832000000000002</v>
      </c>
      <c r="W36" s="1">
        <v>0.69920000000000004</v>
      </c>
      <c r="X36" s="1">
        <v>0.72199999999999998</v>
      </c>
      <c r="Y36" s="1">
        <v>0.67720000000000002</v>
      </c>
      <c r="Z36" s="1">
        <v>0.67120000000000002</v>
      </c>
      <c r="AA36" s="1">
        <v>2.7471999999999999</v>
      </c>
      <c r="AB36" s="1">
        <v>1.3408</v>
      </c>
      <c r="AC36" s="1">
        <v>3.39</v>
      </c>
      <c r="AD36" s="1">
        <v>8.0055999999999994</v>
      </c>
      <c r="AE36" s="10" t="s">
        <v>46</v>
      </c>
      <c r="AF36" s="1">
        <f t="shared" si="3"/>
        <v>0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72</v>
      </c>
      <c r="B37" s="1" t="s">
        <v>40</v>
      </c>
      <c r="C37" s="1">
        <v>43.002000000000002</v>
      </c>
      <c r="D37" s="1">
        <v>23.463999999999999</v>
      </c>
      <c r="E37" s="1">
        <v>9.7780000000000005</v>
      </c>
      <c r="F37" s="1">
        <v>50.078000000000003</v>
      </c>
      <c r="G37" s="7">
        <v>1</v>
      </c>
      <c r="H37" s="1">
        <v>180</v>
      </c>
      <c r="I37" s="1"/>
      <c r="J37" s="1"/>
      <c r="K37" s="1">
        <v>13.24</v>
      </c>
      <c r="L37" s="1">
        <f t="shared" si="2"/>
        <v>-3.4619999999999997</v>
      </c>
      <c r="M37" s="1"/>
      <c r="N37" s="1"/>
      <c r="O37" s="1"/>
      <c r="P37" s="1">
        <f t="shared" si="4"/>
        <v>1.9556</v>
      </c>
      <c r="Q37" s="5"/>
      <c r="R37" s="13"/>
      <c r="S37" s="1">
        <f t="shared" si="5"/>
        <v>25.607486193495603</v>
      </c>
      <c r="T37" s="1">
        <f t="shared" si="6"/>
        <v>25.607486193495603</v>
      </c>
      <c r="U37" s="1">
        <v>0.49800000000000011</v>
      </c>
      <c r="V37" s="1">
        <v>3.7759999999999998</v>
      </c>
      <c r="W37" s="1">
        <v>0</v>
      </c>
      <c r="X37" s="1">
        <v>2.0184000000000002</v>
      </c>
      <c r="Y37" s="1">
        <v>0</v>
      </c>
      <c r="Z37" s="1">
        <v>3.8391999999999999</v>
      </c>
      <c r="AA37" s="1">
        <v>0</v>
      </c>
      <c r="AB37" s="1">
        <v>0.61119999999999997</v>
      </c>
      <c r="AC37" s="1">
        <v>0.67199999999999993</v>
      </c>
      <c r="AD37" s="1">
        <v>0</v>
      </c>
      <c r="AE37" s="10" t="s">
        <v>46</v>
      </c>
      <c r="AF37" s="1">
        <f t="shared" si="3"/>
        <v>0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73</v>
      </c>
      <c r="B38" s="1" t="s">
        <v>40</v>
      </c>
      <c r="C38" s="1">
        <v>19.006</v>
      </c>
      <c r="D38" s="1">
        <v>79.150000000000006</v>
      </c>
      <c r="E38" s="1">
        <v>9.5760000000000005</v>
      </c>
      <c r="F38" s="1">
        <v>71.616</v>
      </c>
      <c r="G38" s="7">
        <v>1</v>
      </c>
      <c r="H38" s="1">
        <v>180</v>
      </c>
      <c r="I38" s="1"/>
      <c r="J38" s="1"/>
      <c r="K38" s="1">
        <v>25.5</v>
      </c>
      <c r="L38" s="1">
        <f t="shared" si="2"/>
        <v>-15.923999999999999</v>
      </c>
      <c r="M38" s="1"/>
      <c r="N38" s="1"/>
      <c r="O38" s="1"/>
      <c r="P38" s="1">
        <f t="shared" si="4"/>
        <v>1.9152</v>
      </c>
      <c r="Q38" s="5"/>
      <c r="R38" s="13"/>
      <c r="S38" s="1">
        <f t="shared" si="5"/>
        <v>37.393483709273184</v>
      </c>
      <c r="T38" s="1">
        <f t="shared" si="6"/>
        <v>37.393483709273184</v>
      </c>
      <c r="U38" s="1">
        <v>3.4420000000000002</v>
      </c>
      <c r="V38" s="1">
        <v>4.5936000000000003</v>
      </c>
      <c r="W38" s="1">
        <v>1.9608000000000001</v>
      </c>
      <c r="X38" s="1">
        <v>3.0720000000000001</v>
      </c>
      <c r="Y38" s="1">
        <v>3.2115999999999998</v>
      </c>
      <c r="Z38" s="1">
        <v>9.9192</v>
      </c>
      <c r="AA38" s="1">
        <v>6.0739999999999998</v>
      </c>
      <c r="AB38" s="1">
        <v>2.6676000000000002</v>
      </c>
      <c r="AC38" s="1">
        <v>7.4495999999999993</v>
      </c>
      <c r="AD38" s="1">
        <v>8.7568000000000001</v>
      </c>
      <c r="AE38" s="1"/>
      <c r="AF38" s="1">
        <f t="shared" si="3"/>
        <v>0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74</v>
      </c>
      <c r="B39" s="1" t="s">
        <v>40</v>
      </c>
      <c r="C39" s="1">
        <v>134.03800000000001</v>
      </c>
      <c r="D39" s="1"/>
      <c r="E39" s="1"/>
      <c r="F39" s="1">
        <v>134.03800000000001</v>
      </c>
      <c r="G39" s="7">
        <v>1</v>
      </c>
      <c r="H39" s="1">
        <v>180</v>
      </c>
      <c r="I39" s="1"/>
      <c r="J39" s="1"/>
      <c r="K39" s="1"/>
      <c r="L39" s="1">
        <f t="shared" si="2"/>
        <v>0</v>
      </c>
      <c r="M39" s="1"/>
      <c r="N39" s="1"/>
      <c r="O39" s="1"/>
      <c r="P39" s="1">
        <f t="shared" si="4"/>
        <v>0</v>
      </c>
      <c r="Q39" s="5"/>
      <c r="R39" s="13"/>
      <c r="S39" s="1" t="e">
        <f t="shared" si="5"/>
        <v>#DIV/0!</v>
      </c>
      <c r="T39" s="1" t="e">
        <f t="shared" si="6"/>
        <v>#DIV/0!</v>
      </c>
      <c r="U39" s="1">
        <v>0.61199999999999999</v>
      </c>
      <c r="V39" s="1">
        <v>2.6760000000000002</v>
      </c>
      <c r="W39" s="1">
        <v>0.63880000000000003</v>
      </c>
      <c r="X39" s="1">
        <v>0</v>
      </c>
      <c r="Y39" s="1">
        <v>0.61919999999999997</v>
      </c>
      <c r="Z39" s="1">
        <v>4.4596</v>
      </c>
      <c r="AA39" s="1">
        <v>0.64160000000000006</v>
      </c>
      <c r="AB39" s="1">
        <v>0</v>
      </c>
      <c r="AC39" s="1">
        <v>3.8592</v>
      </c>
      <c r="AD39" s="1">
        <v>3.2023999999999999</v>
      </c>
      <c r="AE39" s="10" t="s">
        <v>46</v>
      </c>
      <c r="AF39" s="1">
        <f t="shared" si="3"/>
        <v>0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75</v>
      </c>
      <c r="B40" s="1" t="s">
        <v>35</v>
      </c>
      <c r="C40" s="1">
        <v>-6</v>
      </c>
      <c r="D40" s="1">
        <v>303</v>
      </c>
      <c r="E40" s="1"/>
      <c r="F40" s="1">
        <v>190</v>
      </c>
      <c r="G40" s="7">
        <v>0.1</v>
      </c>
      <c r="H40" s="1">
        <v>60</v>
      </c>
      <c r="I40" s="1"/>
      <c r="J40" s="1"/>
      <c r="K40" s="1">
        <v>272</v>
      </c>
      <c r="L40" s="1">
        <f t="shared" si="2"/>
        <v>-272</v>
      </c>
      <c r="M40" s="1"/>
      <c r="N40" s="1"/>
      <c r="O40" s="1">
        <v>252</v>
      </c>
      <c r="P40" s="1">
        <f t="shared" si="4"/>
        <v>0</v>
      </c>
      <c r="Q40" s="5"/>
      <c r="R40" s="13"/>
      <c r="S40" s="1" t="e">
        <f t="shared" si="5"/>
        <v>#DIV/0!</v>
      </c>
      <c r="T40" s="1" t="e">
        <f t="shared" si="6"/>
        <v>#DIV/0!</v>
      </c>
      <c r="U40" s="1">
        <v>0.8</v>
      </c>
      <c r="V40" s="1">
        <v>-0.4</v>
      </c>
      <c r="W40" s="1">
        <v>-0.4</v>
      </c>
      <c r="X40" s="1">
        <v>26.8</v>
      </c>
      <c r="Y40" s="1">
        <v>38.6</v>
      </c>
      <c r="Z40" s="1">
        <v>41.4</v>
      </c>
      <c r="AA40" s="1">
        <v>48.2</v>
      </c>
      <c r="AB40" s="1">
        <v>20</v>
      </c>
      <c r="AC40" s="1">
        <v>24.8</v>
      </c>
      <c r="AD40" s="1">
        <v>45.6</v>
      </c>
      <c r="AE40" s="1"/>
      <c r="AF40" s="1">
        <f t="shared" si="3"/>
        <v>0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76</v>
      </c>
      <c r="B41" s="1" t="s">
        <v>35</v>
      </c>
      <c r="C41" s="1">
        <v>177</v>
      </c>
      <c r="D41" s="1">
        <v>520</v>
      </c>
      <c r="E41" s="1">
        <v>167</v>
      </c>
      <c r="F41" s="1">
        <v>359</v>
      </c>
      <c r="G41" s="7">
        <v>0.1</v>
      </c>
      <c r="H41" s="1">
        <v>90</v>
      </c>
      <c r="I41" s="1"/>
      <c r="J41" s="1"/>
      <c r="K41" s="1">
        <v>297</v>
      </c>
      <c r="L41" s="1">
        <f t="shared" si="2"/>
        <v>-130</v>
      </c>
      <c r="M41" s="1"/>
      <c r="N41" s="1"/>
      <c r="O41" s="1">
        <v>552</v>
      </c>
      <c r="P41" s="1">
        <f t="shared" si="4"/>
        <v>33.4</v>
      </c>
      <c r="Q41" s="5"/>
      <c r="R41" s="13"/>
      <c r="S41" s="1">
        <f t="shared" si="5"/>
        <v>27.275449101796408</v>
      </c>
      <c r="T41" s="1">
        <f t="shared" si="6"/>
        <v>27.275449101796408</v>
      </c>
      <c r="U41" s="1">
        <v>67</v>
      </c>
      <c r="V41" s="1">
        <v>49</v>
      </c>
      <c r="W41" s="1">
        <v>35.4</v>
      </c>
      <c r="X41" s="1">
        <v>47.8</v>
      </c>
      <c r="Y41" s="1">
        <v>31.6</v>
      </c>
      <c r="Z41" s="1">
        <v>38.200000000000003</v>
      </c>
      <c r="AA41" s="1">
        <v>44.8</v>
      </c>
      <c r="AB41" s="1">
        <v>44.2</v>
      </c>
      <c r="AC41" s="1">
        <v>47</v>
      </c>
      <c r="AD41" s="1">
        <v>39.6</v>
      </c>
      <c r="AE41" s="1"/>
      <c r="AF41" s="1">
        <f t="shared" si="3"/>
        <v>0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77</v>
      </c>
      <c r="B42" s="1" t="s">
        <v>40</v>
      </c>
      <c r="C42" s="1">
        <v>33.603999999999999</v>
      </c>
      <c r="D42" s="1"/>
      <c r="E42" s="1">
        <v>1.2470000000000001</v>
      </c>
      <c r="F42" s="1">
        <v>2.7E-2</v>
      </c>
      <c r="G42" s="7">
        <v>1</v>
      </c>
      <c r="H42" s="1"/>
      <c r="I42" s="1"/>
      <c r="J42" s="1"/>
      <c r="K42" s="1">
        <v>1.4</v>
      </c>
      <c r="L42" s="1">
        <f t="shared" si="2"/>
        <v>-0.1529999999999998</v>
      </c>
      <c r="M42" s="1"/>
      <c r="N42" s="1"/>
      <c r="O42" s="1"/>
      <c r="P42" s="1">
        <f t="shared" si="4"/>
        <v>0.24940000000000001</v>
      </c>
      <c r="Q42" s="5">
        <v>10</v>
      </c>
      <c r="R42" s="13"/>
      <c r="S42" s="1">
        <f t="shared" si="5"/>
        <v>40.204490777866873</v>
      </c>
      <c r="T42" s="1">
        <f t="shared" si="6"/>
        <v>0.1082598235765838</v>
      </c>
      <c r="U42" s="1">
        <v>0.54160000000000008</v>
      </c>
      <c r="V42" s="1">
        <v>0</v>
      </c>
      <c r="W42" s="1">
        <v>0</v>
      </c>
      <c r="X42" s="1">
        <v>3.5344000000000002</v>
      </c>
      <c r="Y42" s="1">
        <v>0</v>
      </c>
      <c r="Z42" s="1">
        <v>1.3344</v>
      </c>
      <c r="AA42" s="1">
        <v>0.9012</v>
      </c>
      <c r="AB42" s="1">
        <v>0</v>
      </c>
      <c r="AC42" s="1">
        <v>0</v>
      </c>
      <c r="AD42" s="1">
        <v>1.0096000000000001</v>
      </c>
      <c r="AE42" s="11" t="s">
        <v>83</v>
      </c>
      <c r="AF42" s="1">
        <f t="shared" si="3"/>
        <v>10</v>
      </c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78</v>
      </c>
      <c r="B43" s="1" t="s">
        <v>35</v>
      </c>
      <c r="C43" s="1">
        <v>38</v>
      </c>
      <c r="D43" s="1">
        <v>127</v>
      </c>
      <c r="E43" s="1">
        <v>61</v>
      </c>
      <c r="F43" s="1">
        <v>85</v>
      </c>
      <c r="G43" s="7">
        <v>0.14000000000000001</v>
      </c>
      <c r="H43" s="1">
        <v>180</v>
      </c>
      <c r="I43" s="1"/>
      <c r="J43" s="1"/>
      <c r="K43" s="1">
        <v>70</v>
      </c>
      <c r="L43" s="1">
        <f t="shared" si="2"/>
        <v>-9</v>
      </c>
      <c r="M43" s="1"/>
      <c r="N43" s="1"/>
      <c r="O43" s="1">
        <v>112</v>
      </c>
      <c r="P43" s="1">
        <f t="shared" si="4"/>
        <v>12.2</v>
      </c>
      <c r="Q43" s="5"/>
      <c r="R43" s="13"/>
      <c r="S43" s="1">
        <f t="shared" si="5"/>
        <v>16.147540983606557</v>
      </c>
      <c r="T43" s="1">
        <f t="shared" si="6"/>
        <v>16.147540983606557</v>
      </c>
      <c r="U43" s="1">
        <v>14.8</v>
      </c>
      <c r="V43" s="1">
        <v>10.6</v>
      </c>
      <c r="W43" s="1">
        <v>8</v>
      </c>
      <c r="X43" s="1">
        <v>10.4</v>
      </c>
      <c r="Y43" s="1">
        <v>9.1999999999999993</v>
      </c>
      <c r="Z43" s="1">
        <v>16</v>
      </c>
      <c r="AA43" s="1">
        <v>11.6</v>
      </c>
      <c r="AB43" s="1">
        <v>9.1999999999999993</v>
      </c>
      <c r="AC43" s="1">
        <v>7.4</v>
      </c>
      <c r="AD43" s="1">
        <v>7.2</v>
      </c>
      <c r="AE43" s="1"/>
      <c r="AF43" s="1">
        <f t="shared" si="3"/>
        <v>0</v>
      </c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79</v>
      </c>
      <c r="B44" s="1" t="s">
        <v>35</v>
      </c>
      <c r="C44" s="1">
        <v>166</v>
      </c>
      <c r="D44" s="1">
        <v>6</v>
      </c>
      <c r="E44" s="1">
        <v>12</v>
      </c>
      <c r="F44" s="1">
        <v>138</v>
      </c>
      <c r="G44" s="7">
        <v>0.2</v>
      </c>
      <c r="H44" s="1">
        <v>120</v>
      </c>
      <c r="I44" s="1"/>
      <c r="J44" s="1"/>
      <c r="K44" s="1">
        <v>18</v>
      </c>
      <c r="L44" s="1">
        <f t="shared" si="2"/>
        <v>-6</v>
      </c>
      <c r="M44" s="1"/>
      <c r="N44" s="1"/>
      <c r="O44" s="1"/>
      <c r="P44" s="1">
        <f t="shared" si="4"/>
        <v>2.4</v>
      </c>
      <c r="Q44" s="5"/>
      <c r="R44" s="13"/>
      <c r="S44" s="1">
        <f t="shared" si="5"/>
        <v>57.5</v>
      </c>
      <c r="T44" s="1">
        <f t="shared" si="6"/>
        <v>57.5</v>
      </c>
      <c r="U44" s="1">
        <v>4</v>
      </c>
      <c r="V44" s="1">
        <v>1.2</v>
      </c>
      <c r="W44" s="1">
        <v>2.4</v>
      </c>
      <c r="X44" s="1">
        <v>0.4</v>
      </c>
      <c r="Y44" s="1">
        <v>9.8000000000000007</v>
      </c>
      <c r="Z44" s="1">
        <v>11.2</v>
      </c>
      <c r="AA44" s="1">
        <v>10</v>
      </c>
      <c r="AB44" s="1">
        <v>9.1999999999999993</v>
      </c>
      <c r="AC44" s="1">
        <v>5.6</v>
      </c>
      <c r="AD44" s="1">
        <v>3.8</v>
      </c>
      <c r="AE44" s="10" t="s">
        <v>46</v>
      </c>
      <c r="AF44" s="1">
        <f t="shared" si="3"/>
        <v>0</v>
      </c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80</v>
      </c>
      <c r="B45" s="1" t="s">
        <v>40</v>
      </c>
      <c r="C45" s="1">
        <v>90.037999999999997</v>
      </c>
      <c r="D45" s="1"/>
      <c r="E45" s="1">
        <v>6.1879999999999997</v>
      </c>
      <c r="F45" s="1">
        <v>80.486000000000004</v>
      </c>
      <c r="G45" s="7">
        <v>1</v>
      </c>
      <c r="H45" s="1">
        <v>120</v>
      </c>
      <c r="I45" s="1"/>
      <c r="J45" s="1"/>
      <c r="K45" s="1">
        <v>7</v>
      </c>
      <c r="L45" s="1">
        <f t="shared" si="2"/>
        <v>-0.81200000000000028</v>
      </c>
      <c r="M45" s="1"/>
      <c r="N45" s="1"/>
      <c r="O45" s="1"/>
      <c r="P45" s="1">
        <f t="shared" si="4"/>
        <v>1.2376</v>
      </c>
      <c r="Q45" s="5"/>
      <c r="R45" s="13"/>
      <c r="S45" s="1">
        <f t="shared" si="5"/>
        <v>65.033936651583716</v>
      </c>
      <c r="T45" s="1">
        <f t="shared" si="6"/>
        <v>65.033936651583716</v>
      </c>
      <c r="U45" s="1">
        <v>0.64039999999999997</v>
      </c>
      <c r="V45" s="1">
        <v>0</v>
      </c>
      <c r="W45" s="1">
        <v>0.67400000000000004</v>
      </c>
      <c r="X45" s="1">
        <v>0.58240000000000003</v>
      </c>
      <c r="Y45" s="1">
        <v>2.5568</v>
      </c>
      <c r="Z45" s="1">
        <v>5.3572000000000006</v>
      </c>
      <c r="AA45" s="1">
        <v>0.70960000000000001</v>
      </c>
      <c r="AB45" s="1">
        <v>0</v>
      </c>
      <c r="AC45" s="1">
        <v>1.8264</v>
      </c>
      <c r="AD45" s="1">
        <v>0</v>
      </c>
      <c r="AE45" s="10" t="s">
        <v>46</v>
      </c>
      <c r="AF45" s="1">
        <f t="shared" si="3"/>
        <v>0</v>
      </c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81</v>
      </c>
      <c r="B46" s="1" t="s">
        <v>35</v>
      </c>
      <c r="C46" s="1">
        <v>193</v>
      </c>
      <c r="D46" s="1">
        <v>6</v>
      </c>
      <c r="E46" s="1">
        <v>22</v>
      </c>
      <c r="F46" s="1">
        <v>156</v>
      </c>
      <c r="G46" s="7">
        <v>0.2</v>
      </c>
      <c r="H46" s="1">
        <v>120</v>
      </c>
      <c r="I46" s="1"/>
      <c r="J46" s="1"/>
      <c r="K46" s="1">
        <v>28</v>
      </c>
      <c r="L46" s="1">
        <f t="shared" si="2"/>
        <v>-6</v>
      </c>
      <c r="M46" s="1"/>
      <c r="N46" s="1"/>
      <c r="O46" s="1"/>
      <c r="P46" s="1">
        <f t="shared" si="4"/>
        <v>4.4000000000000004</v>
      </c>
      <c r="Q46" s="5"/>
      <c r="R46" s="13"/>
      <c r="S46" s="1">
        <f t="shared" si="5"/>
        <v>35.454545454545453</v>
      </c>
      <c r="T46" s="1">
        <f t="shared" si="6"/>
        <v>35.454545454545453</v>
      </c>
      <c r="U46" s="1">
        <v>4.2</v>
      </c>
      <c r="V46" s="1">
        <v>2.8</v>
      </c>
      <c r="W46" s="1">
        <v>2.4</v>
      </c>
      <c r="X46" s="1">
        <v>1.4</v>
      </c>
      <c r="Y46" s="1">
        <v>12</v>
      </c>
      <c r="Z46" s="1">
        <v>11</v>
      </c>
      <c r="AA46" s="1">
        <v>12.8</v>
      </c>
      <c r="AB46" s="1">
        <v>12.8</v>
      </c>
      <c r="AC46" s="1">
        <v>14.6</v>
      </c>
      <c r="AD46" s="1">
        <v>7.4</v>
      </c>
      <c r="AE46" s="10" t="s">
        <v>46</v>
      </c>
      <c r="AF46" s="1">
        <f t="shared" si="3"/>
        <v>0</v>
      </c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82</v>
      </c>
      <c r="B47" s="1" t="s">
        <v>40</v>
      </c>
      <c r="C47" s="1">
        <v>13.38</v>
      </c>
      <c r="D47" s="1">
        <v>70.617999999999995</v>
      </c>
      <c r="E47" s="1">
        <v>3.6619999999999999</v>
      </c>
      <c r="F47" s="1">
        <v>80.335999999999999</v>
      </c>
      <c r="G47" s="7">
        <v>1</v>
      </c>
      <c r="H47" s="1">
        <v>120</v>
      </c>
      <c r="I47" s="1"/>
      <c r="J47" s="1"/>
      <c r="K47" s="1">
        <v>3.5</v>
      </c>
      <c r="L47" s="1">
        <f t="shared" si="2"/>
        <v>0.16199999999999992</v>
      </c>
      <c r="M47" s="1"/>
      <c r="N47" s="1"/>
      <c r="O47" s="1">
        <v>30</v>
      </c>
      <c r="P47" s="1">
        <f t="shared" si="4"/>
        <v>0.73239999999999994</v>
      </c>
      <c r="Q47" s="5"/>
      <c r="R47" s="13"/>
      <c r="S47" s="1">
        <f t="shared" si="5"/>
        <v>150.64991807755325</v>
      </c>
      <c r="T47" s="1">
        <f t="shared" si="6"/>
        <v>150.64991807755325</v>
      </c>
      <c r="U47" s="1">
        <v>6.3247999999999998</v>
      </c>
      <c r="V47" s="1">
        <v>6.3176000000000014</v>
      </c>
      <c r="W47" s="1">
        <v>1.4259999999999999</v>
      </c>
      <c r="X47" s="1">
        <v>3.6467999999999998</v>
      </c>
      <c r="Y47" s="1">
        <v>2.1175999999999999</v>
      </c>
      <c r="Z47" s="1">
        <v>0</v>
      </c>
      <c r="AA47" s="1">
        <v>0.68840000000000001</v>
      </c>
      <c r="AB47" s="1">
        <v>7.7816000000000001</v>
      </c>
      <c r="AC47" s="1">
        <v>9.8775999999999993</v>
      </c>
      <c r="AD47" s="1">
        <v>3.5659999999999998</v>
      </c>
      <c r="AE47" s="10" t="s">
        <v>46</v>
      </c>
      <c r="AF47" s="1">
        <f t="shared" si="3"/>
        <v>0</v>
      </c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</sheetData>
  <autoFilter ref="A3:AF47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2026-08-11T17:25:25Z</dcterms:created>
  <dcterms:modified xsi:type="dcterms:W3CDTF">2026-08-12T11:25:24Z</dcterms:modified>
</cp:coreProperties>
</file>