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CD24CB06-FC15-4C15-9F2E-4E7DD84EA5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Sheet!$A$3:$AF$47</definedName>
  </definedNames>
  <calcPr calcId="191029"/>
</workbook>
</file>

<file path=xl/calcChain.xml><?xml version="1.0" encoding="utf-8"?>
<calcChain xmlns="http://schemas.openxmlformats.org/spreadsheetml/2006/main">
  <c r="Q20" i="1" l="1"/>
  <c r="AF22" i="1"/>
  <c r="AF33" i="1"/>
  <c r="AF46" i="1"/>
  <c r="Q7" i="1"/>
  <c r="S7" i="1" s="1"/>
  <c r="Q8" i="1"/>
  <c r="R8" i="1" s="1"/>
  <c r="Q9" i="1"/>
  <c r="Q10" i="1"/>
  <c r="Q11" i="1"/>
  <c r="Q12" i="1"/>
  <c r="Q13" i="1"/>
  <c r="Q14" i="1"/>
  <c r="T14" i="1" s="1"/>
  <c r="Q15" i="1"/>
  <c r="S15" i="1" s="1"/>
  <c r="Q16" i="1"/>
  <c r="S16" i="1" s="1"/>
  <c r="Q17" i="1"/>
  <c r="T17" i="1" s="1"/>
  <c r="Q18" i="1"/>
  <c r="T18" i="1" s="1"/>
  <c r="Q19" i="1"/>
  <c r="T19" i="1" s="1"/>
  <c r="T20" i="1"/>
  <c r="Q21" i="1"/>
  <c r="T21" i="1" s="1"/>
  <c r="Q22" i="1"/>
  <c r="T22" i="1" s="1"/>
  <c r="Q23" i="1"/>
  <c r="T23" i="1" s="1"/>
  <c r="Q24" i="1"/>
  <c r="T24" i="1" s="1"/>
  <c r="Q25" i="1"/>
  <c r="T25" i="1" s="1"/>
  <c r="Q26" i="1"/>
  <c r="S26" i="1" s="1"/>
  <c r="Q27" i="1"/>
  <c r="S27" i="1" s="1"/>
  <c r="Q28" i="1"/>
  <c r="Q29" i="1"/>
  <c r="T29" i="1" s="1"/>
  <c r="Q30" i="1"/>
  <c r="T30" i="1" s="1"/>
  <c r="Q31" i="1"/>
  <c r="T31" i="1" s="1"/>
  <c r="Q32" i="1"/>
  <c r="T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R38" i="1" s="1"/>
  <c r="Q39" i="1"/>
  <c r="Q40" i="1"/>
  <c r="T40" i="1" s="1"/>
  <c r="Q41" i="1"/>
  <c r="T41" i="1" s="1"/>
  <c r="Q42" i="1"/>
  <c r="T42" i="1" s="1"/>
  <c r="Q43" i="1"/>
  <c r="T43" i="1" s="1"/>
  <c r="Q44" i="1"/>
  <c r="T44" i="1" s="1"/>
  <c r="Q45" i="1"/>
  <c r="T45" i="1" s="1"/>
  <c r="Q46" i="1"/>
  <c r="T46" i="1" s="1"/>
  <c r="Q47" i="1"/>
  <c r="R47" i="1" s="1"/>
  <c r="S47" i="1" s="1"/>
  <c r="Q6" i="1"/>
  <c r="L47" i="1"/>
  <c r="L46" i="1"/>
  <c r="L45" i="1"/>
  <c r="L44" i="1"/>
  <c r="L43" i="1"/>
  <c r="L42" i="1"/>
  <c r="L41" i="1"/>
  <c r="L40" i="1"/>
  <c r="L39" i="1"/>
  <c r="L38" i="1"/>
  <c r="AF37" i="1"/>
  <c r="L37" i="1"/>
  <c r="AF36" i="1"/>
  <c r="L36" i="1"/>
  <c r="AF35" i="1"/>
  <c r="L35" i="1"/>
  <c r="AF34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AF17" i="1"/>
  <c r="L17" i="1"/>
  <c r="AF16" i="1"/>
  <c r="L16" i="1"/>
  <c r="AF15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T37" i="1" l="1"/>
  <c r="S17" i="1"/>
  <c r="T33" i="1"/>
  <c r="T27" i="1"/>
  <c r="T26" i="1"/>
  <c r="S13" i="1"/>
  <c r="AF13" i="1"/>
  <c r="T16" i="1"/>
  <c r="T15" i="1"/>
  <c r="T39" i="1"/>
  <c r="T13" i="1"/>
  <c r="T36" i="1"/>
  <c r="S42" i="1"/>
  <c r="T35" i="1"/>
  <c r="T34" i="1"/>
  <c r="AF10" i="1"/>
  <c r="S10" i="1"/>
  <c r="S9" i="1"/>
  <c r="AF9" i="1"/>
  <c r="AF6" i="1"/>
  <c r="S6" i="1"/>
  <c r="S39" i="1"/>
  <c r="AF39" i="1"/>
  <c r="S8" i="1"/>
  <c r="AF8" i="1"/>
  <c r="S40" i="1"/>
  <c r="AF40" i="1"/>
  <c r="AF38" i="1"/>
  <c r="S38" i="1"/>
  <c r="S14" i="1"/>
  <c r="AF14" i="1"/>
  <c r="S29" i="1"/>
  <c r="AF29" i="1"/>
  <c r="AF28" i="1"/>
  <c r="S28" i="1"/>
  <c r="AF12" i="1"/>
  <c r="S12" i="1"/>
  <c r="AF11" i="1"/>
  <c r="S11" i="1"/>
  <c r="T28" i="1"/>
  <c r="T38" i="1"/>
  <c r="Q5" i="1"/>
  <c r="T6" i="1"/>
  <c r="T47" i="1"/>
  <c r="T12" i="1"/>
  <c r="S46" i="1"/>
  <c r="T11" i="1"/>
  <c r="S22" i="1"/>
  <c r="T10" i="1"/>
  <c r="T9" i="1"/>
  <c r="AF42" i="1"/>
  <c r="T8" i="1"/>
  <c r="T7" i="1"/>
  <c r="AF7" i="1"/>
  <c r="AF27" i="1"/>
  <c r="AF47" i="1"/>
  <c r="AF26" i="1"/>
  <c r="L5" i="1"/>
  <c r="S18" i="1" l="1"/>
  <c r="AF18" i="1"/>
  <c r="S19" i="1"/>
  <c r="AF19" i="1"/>
  <c r="AF44" i="1"/>
  <c r="S44" i="1"/>
  <c r="S23" i="1"/>
  <c r="AF23" i="1"/>
  <c r="S20" i="1"/>
  <c r="AF20" i="1"/>
  <c r="AF43" i="1"/>
  <c r="S43" i="1"/>
  <c r="S31" i="1"/>
  <c r="AF31" i="1"/>
  <c r="AF45" i="1"/>
  <c r="S45" i="1"/>
  <c r="S24" i="1"/>
  <c r="AF24" i="1"/>
  <c r="AF25" i="1"/>
  <c r="S25" i="1"/>
  <c r="AF21" i="1"/>
  <c r="S21" i="1"/>
  <c r="AF30" i="1"/>
  <c r="S30" i="1"/>
  <c r="R5" i="1"/>
  <c r="AF41" i="1"/>
  <c r="S41" i="1"/>
  <c r="S32" i="1"/>
  <c r="AF32" i="1"/>
  <c r="AF5" i="1" l="1"/>
</calcChain>
</file>

<file path=xl/sharedStrings.xml><?xml version="1.0" encoding="utf-8"?>
<sst xmlns="http://schemas.openxmlformats.org/spreadsheetml/2006/main" count="188" uniqueCount="102">
  <si>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</si>
  <si>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</si>
  <si>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</si>
  <si>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</si>
  <si>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</si>
  <si>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</si>
  <si>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</si>
  <si>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</si>
  <si>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</si>
  <si>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</si>
  <si>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</si>
  <si>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</si>
  <si>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</si>
  <si>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</si>
  <si>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</si>
  <si>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</si>
  <si>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</si>
  <si>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</si>
  <si>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</si>
  <si>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</si>
  <si>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</si>
  <si>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</si>
  <si>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</si>
  <si>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12,10,сети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</si>
  <si>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</si>
  <si>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</si>
  <si>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</si>
  <si>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</si>
  <si>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</si>
  <si>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</si>
  <si>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</si>
  <si>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</si>
  <si>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</si>
  <si>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</si>
  <si>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</si>
  <si>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</si>
  <si>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</si>
  <si>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</si>
  <si>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</si>
  <si>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</si>
  <si>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нужно увеличить продажи</t>
  </si>
  <si>
    <t>3323 Сыр Российский цилиндр 1/4 пленка ЮКМП м.д.ж. 50%  ОСТАНКИНО</t>
  </si>
  <si>
    <t>кг</t>
  </si>
  <si>
    <t>ТЗ 14дн+1нд доставка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</si>
  <si>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</si>
  <si>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</si>
  <si>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</si>
  <si>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</si>
  <si>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</si>
  <si>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</si>
  <si>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ВНИМАНИЕ / ТЗ 14дн+1нд доставка</t>
  </si>
  <si>
    <t>1200шт заказ ЮгТех (08,10,26)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</si>
  <si>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</si>
  <si>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</si>
  <si>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нужно увеличить продажи / 500шт заказ ЮгТех (08,10,26)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</si>
  <si>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</si>
  <si>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</si>
  <si>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</si>
  <si>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</si>
  <si>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</si>
  <si>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</si>
  <si>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</si>
  <si>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</si>
  <si>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</si>
  <si>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</si>
  <si>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сети</t>
  </si>
  <si>
    <t>Сыр Косичка сырная 45% 100г/8шт Папа Может Останкино</t>
  </si>
  <si>
    <t>134шт в уценку (01,10,26)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</si>
  <si>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</si>
  <si>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</si>
  <si>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</si>
  <si>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</si>
  <si>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сети / ТЗ 14дн+1нд доставка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</si>
  <si>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</si>
  <si>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</si>
  <si>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</si>
  <si>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</si>
  <si>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</si>
  <si>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</si>
  <si>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</si>
  <si>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</si>
  <si>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</si>
  <si>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</si>
  <si>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</si>
  <si>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</si>
  <si>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</si>
  <si>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</si>
  <si>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</si>
  <si>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</si>
  <si>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</si>
  <si>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</si>
  <si>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</si>
  <si>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</si>
  <si>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</si>
  <si>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</si>
  <si>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285шт в уценку (27,08,26)</t>
  </si>
  <si>
    <t>89шт в уценку (12,10,26)</t>
  </si>
  <si>
    <t>нужно увеличить продажи / 130шт в уценку (27,08,26)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</si>
  <si>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16кг в уценку (27,08,26)</t>
    </r>
  </si>
  <si>
    <t>96шт в уценку (07,10,26)</t>
  </si>
  <si>
    <t>86кг в уцекну (13,10,26)</t>
  </si>
  <si>
    <t>47шт в уценке (13,10,26)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</si>
</sst>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7" sqref="AJ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43.42578125" customWidth="1"/>
    <col min="32" max="32" width="7" customWidth="1"/>
    <col min="33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SUM(E6:E500)</f>
        <v>1207.3820000000001</v>
      </c>
      <c r="F5" s="4">
        <f>SUM(F6:F500)</f>
        <v>8183.329999999999</v>
      </c>
      <c r="G5" s="7"/>
      <c r="H5" s="1"/>
      <c r="I5" s="1"/>
      <c r="J5" s="1"/>
      <c r="K5" s="4">
        <f t="shared" ref="K5:R5" si="0">SUM(K6:K500)</f>
        <v>2552.7999999999997</v>
      </c>
      <c r="L5" s="4">
        <f t="shared" si="0"/>
        <v>-1345.4179999999999</v>
      </c>
      <c r="M5" s="4">
        <f t="shared" si="0"/>
        <v>0</v>
      </c>
      <c r="N5" s="4">
        <f t="shared" si="0"/>
        <v>0</v>
      </c>
      <c r="O5" s="4">
        <f t="shared" si="0"/>
        <v>1968</v>
      </c>
      <c r="P5" s="4">
        <f t="shared" si="0"/>
        <v>1704</v>
      </c>
      <c r="Q5" s="4">
        <f t="shared" si="0"/>
        <v>241.47639999999996</v>
      </c>
      <c r="R5" s="4">
        <f t="shared" si="0"/>
        <v>162.04840000000002</v>
      </c>
      <c r="S5" s="1"/>
      <c r="T5" s="1"/>
      <c r="U5" s="4">
        <f t="shared" ref="U5:AD5" si="1">SUM(U6:U500)</f>
        <v>520.30040000000008</v>
      </c>
      <c r="V5" s="4">
        <f t="shared" si="1"/>
        <v>483.19639999999998</v>
      </c>
      <c r="W5" s="4">
        <f t="shared" si="1"/>
        <v>491.88599999999991</v>
      </c>
      <c r="X5" s="4">
        <f t="shared" si="1"/>
        <v>558.01999999999987</v>
      </c>
      <c r="Y5" s="4">
        <f t="shared" si="1"/>
        <v>559.98599999999999</v>
      </c>
      <c r="Z5" s="4">
        <f t="shared" si="1"/>
        <v>430.42060000000004</v>
      </c>
      <c r="AA5" s="4">
        <f t="shared" si="1"/>
        <v>432.49839999999995</v>
      </c>
      <c r="AB5" s="4">
        <f t="shared" si="1"/>
        <v>540.87959999999975</v>
      </c>
      <c r="AC5" s="4">
        <f t="shared" si="1"/>
        <v>359.47259999999989</v>
      </c>
      <c r="AD5" s="4">
        <f t="shared" si="1"/>
        <v>466.03420000000006</v>
      </c>
      <c r="AE5" s="1"/>
      <c r="AF5" s="4">
        <f>SUM(AF6:AF500)</f>
        <v>79.053399999999982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35</v>
      </c>
      <c r="B6" s="1" t="s">
        <v>36</v>
      </c>
      <c r="C6" s="1">
        <v>53</v>
      </c>
      <c r="D6" s="1"/>
      <c r="E6" s="1">
        <v>1</v>
      </c>
      <c r="F6" s="1">
        <v>52</v>
      </c>
      <c r="G6" s="7">
        <v>5.5E-2</v>
      </c>
      <c r="H6" s="1">
        <v>120</v>
      </c>
      <c r="I6" s="1"/>
      <c r="J6" s="1"/>
      <c r="K6" s="1">
        <v>1</v>
      </c>
      <c r="L6" s="1">
        <f t="shared" ref="L6:L47" si="2">E6-K6</f>
        <v>0</v>
      </c>
      <c r="M6" s="1"/>
      <c r="N6" s="1"/>
      <c r="O6" s="1"/>
      <c r="P6" s="1"/>
      <c r="Q6" s="1">
        <f>E6/5</f>
        <v>0.2</v>
      </c>
      <c r="R6" s="5"/>
      <c r="S6" s="1">
        <f>(F6+O6+P6+R6)/Q6</f>
        <v>260</v>
      </c>
      <c r="T6" s="1">
        <f>(F6+O6+P6)/Q6</f>
        <v>260</v>
      </c>
      <c r="U6" s="1">
        <v>0.4</v>
      </c>
      <c r="V6" s="1">
        <v>0.6</v>
      </c>
      <c r="W6" s="1">
        <v>1.4</v>
      </c>
      <c r="X6" s="1">
        <v>1</v>
      </c>
      <c r="Y6" s="1">
        <v>0.8</v>
      </c>
      <c r="Z6" s="1">
        <v>3.6</v>
      </c>
      <c r="AA6" s="1">
        <v>3.2</v>
      </c>
      <c r="AB6" s="1">
        <v>3.2</v>
      </c>
      <c r="AC6" s="1">
        <v>0</v>
      </c>
      <c r="AD6" s="1">
        <v>6.4</v>
      </c>
      <c r="AE6" s="11" t="s">
        <v>37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38</v>
      </c>
      <c r="B7" s="1" t="s">
        <v>36</v>
      </c>
      <c r="C7" s="1">
        <v>49</v>
      </c>
      <c r="D7" s="1"/>
      <c r="E7" s="1">
        <v>4</v>
      </c>
      <c r="F7" s="1">
        <v>-2</v>
      </c>
      <c r="G7" s="7">
        <v>0.1</v>
      </c>
      <c r="H7" s="1">
        <v>120</v>
      </c>
      <c r="I7" s="1"/>
      <c r="J7" s="1"/>
      <c r="K7" s="1">
        <v>4</v>
      </c>
      <c r="L7" s="1">
        <f t="shared" si="2"/>
        <v>0</v>
      </c>
      <c r="M7" s="1"/>
      <c r="N7" s="1"/>
      <c r="O7" s="1"/>
      <c r="P7" s="1"/>
      <c r="Q7" s="1">
        <f t="shared" ref="Q7:Q47" si="3">E7/5</f>
        <v>0.8</v>
      </c>
      <c r="R7" s="5">
        <v>8</v>
      </c>
      <c r="S7" s="1">
        <f t="shared" ref="S7:S47" si="4">(F7+O7+P7+R7)/Q7</f>
        <v>7.5</v>
      </c>
      <c r="T7" s="1">
        <f t="shared" ref="T7:T47" si="5">(F7+O7+P7)/Q7</f>
        <v>-2.5</v>
      </c>
      <c r="U7" s="1">
        <v>1.6</v>
      </c>
      <c r="V7" s="1">
        <v>0.4</v>
      </c>
      <c r="W7" s="1">
        <v>2</v>
      </c>
      <c r="X7" s="1">
        <v>3.2</v>
      </c>
      <c r="Y7" s="1">
        <v>1.4</v>
      </c>
      <c r="Z7" s="1">
        <v>2</v>
      </c>
      <c r="AA7" s="1">
        <v>6</v>
      </c>
      <c r="AB7" s="1">
        <v>2.6</v>
      </c>
      <c r="AC7" s="1">
        <v>1</v>
      </c>
      <c r="AD7" s="1">
        <v>6</v>
      </c>
      <c r="AE7" s="12" t="s">
        <v>101</v>
      </c>
      <c r="AF7" s="1">
        <f>G7*R7</f>
        <v>0.8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39</v>
      </c>
      <c r="B8" s="1" t="s">
        <v>36</v>
      </c>
      <c r="C8" s="1">
        <v>20</v>
      </c>
      <c r="D8" s="1">
        <v>24</v>
      </c>
      <c r="E8" s="1">
        <v>11</v>
      </c>
      <c r="F8" s="1">
        <v>17</v>
      </c>
      <c r="G8" s="7">
        <v>0.1</v>
      </c>
      <c r="H8" s="1">
        <v>120</v>
      </c>
      <c r="I8" s="1"/>
      <c r="J8" s="1"/>
      <c r="K8" s="1">
        <v>11</v>
      </c>
      <c r="L8" s="1">
        <f t="shared" si="2"/>
        <v>0</v>
      </c>
      <c r="M8" s="1"/>
      <c r="N8" s="1"/>
      <c r="O8" s="1"/>
      <c r="P8" s="1"/>
      <c r="Q8" s="1">
        <f t="shared" si="3"/>
        <v>2.2000000000000002</v>
      </c>
      <c r="R8" s="5">
        <f t="shared" ref="R7:R47" si="6">17*Q8-P8-O8-F8</f>
        <v>20.400000000000006</v>
      </c>
      <c r="S8" s="1">
        <f t="shared" si="4"/>
        <v>17</v>
      </c>
      <c r="T8" s="1">
        <f t="shared" si="5"/>
        <v>7.7272727272727266</v>
      </c>
      <c r="U8" s="1">
        <v>0.8</v>
      </c>
      <c r="V8" s="1">
        <v>1.8</v>
      </c>
      <c r="W8" s="1">
        <v>3</v>
      </c>
      <c r="X8" s="1">
        <v>2.4</v>
      </c>
      <c r="Y8" s="1">
        <v>2.2000000000000002</v>
      </c>
      <c r="Z8" s="1">
        <v>1.2</v>
      </c>
      <c r="AA8" s="1">
        <v>3.2</v>
      </c>
      <c r="AB8" s="1">
        <v>1.4</v>
      </c>
      <c r="AC8" s="1">
        <v>3</v>
      </c>
      <c r="AD8" s="1">
        <v>2.2000000000000002</v>
      </c>
      <c r="AE8" s="1"/>
      <c r="AF8" s="1">
        <f>G8*R8</f>
        <v>2.0400000000000005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" t="s">
        <v>41</v>
      </c>
      <c r="B9" s="1" t="s">
        <v>42</v>
      </c>
      <c r="C9" s="1">
        <v>24.344000000000001</v>
      </c>
      <c r="D9" s="1">
        <v>106</v>
      </c>
      <c r="E9" s="1">
        <v>23.17</v>
      </c>
      <c r="F9" s="1">
        <v>103.538</v>
      </c>
      <c r="G9" s="7">
        <v>1</v>
      </c>
      <c r="H9" s="1">
        <v>120</v>
      </c>
      <c r="I9" s="1" t="s">
        <v>43</v>
      </c>
      <c r="J9" s="1"/>
      <c r="K9" s="1">
        <v>27.1</v>
      </c>
      <c r="L9" s="1">
        <f t="shared" si="2"/>
        <v>-3.9299999999999997</v>
      </c>
      <c r="M9" s="1"/>
      <c r="N9" s="1"/>
      <c r="O9" s="1">
        <v>10</v>
      </c>
      <c r="P9" s="1"/>
      <c r="Q9" s="1">
        <f t="shared" si="3"/>
        <v>4.6340000000000003</v>
      </c>
      <c r="R9" s="5"/>
      <c r="S9" s="1">
        <f t="shared" si="4"/>
        <v>24.501078981441516</v>
      </c>
      <c r="T9" s="1">
        <f t="shared" si="5"/>
        <v>24.501078981441516</v>
      </c>
      <c r="U9" s="1">
        <v>6.3124000000000002</v>
      </c>
      <c r="V9" s="1">
        <v>6.6395999999999997</v>
      </c>
      <c r="W9" s="1">
        <v>8.668000000000001</v>
      </c>
      <c r="X9" s="1">
        <v>7.4079999999999986</v>
      </c>
      <c r="Y9" s="1">
        <v>6.5135999999999994</v>
      </c>
      <c r="Z9" s="1">
        <v>8.3613999999999997</v>
      </c>
      <c r="AA9" s="1">
        <v>5.9184000000000001</v>
      </c>
      <c r="AB9" s="1">
        <v>5.1240000000000014</v>
      </c>
      <c r="AC9" s="1">
        <v>2.4895999999999998</v>
      </c>
      <c r="AD9" s="1">
        <v>4.2826000000000004</v>
      </c>
      <c r="AE9" s="1"/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9" t="s">
        <v>44</v>
      </c>
      <c r="B10" s="1" t="s">
        <v>36</v>
      </c>
      <c r="C10" s="1"/>
      <c r="D10" s="1"/>
      <c r="E10" s="1"/>
      <c r="F10" s="1"/>
      <c r="G10" s="7">
        <v>0.18</v>
      </c>
      <c r="H10" s="1">
        <v>180</v>
      </c>
      <c r="I10" s="1" t="s">
        <v>43</v>
      </c>
      <c r="J10" s="1"/>
      <c r="K10" s="1">
        <v>1</v>
      </c>
      <c r="L10" s="1">
        <f t="shared" si="2"/>
        <v>-1</v>
      </c>
      <c r="M10" s="1"/>
      <c r="N10" s="1"/>
      <c r="O10" s="1">
        <v>0</v>
      </c>
      <c r="P10" s="1"/>
      <c r="Q10" s="1">
        <f t="shared" si="3"/>
        <v>0</v>
      </c>
      <c r="R10" s="5">
        <v>12</v>
      </c>
      <c r="S10" s="1" t="e">
        <f t="shared" si="4"/>
        <v>#DIV/0!</v>
      </c>
      <c r="T10" s="1" t="e">
        <f t="shared" si="5"/>
        <v>#DIV/0!</v>
      </c>
      <c r="U10" s="1">
        <v>0</v>
      </c>
      <c r="V10" s="1">
        <v>0</v>
      </c>
      <c r="W10" s="1">
        <v>-0.2</v>
      </c>
      <c r="X10" s="1">
        <v>0</v>
      </c>
      <c r="Y10" s="1">
        <v>-0.4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 t="s">
        <v>45</v>
      </c>
      <c r="AF10" s="1">
        <f>G10*R10</f>
        <v>2.16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9" t="s">
        <v>46</v>
      </c>
      <c r="B11" s="1" t="s">
        <v>36</v>
      </c>
      <c r="C11" s="1"/>
      <c r="D11" s="1"/>
      <c r="E11" s="1"/>
      <c r="F11" s="1"/>
      <c r="G11" s="7">
        <v>0.18</v>
      </c>
      <c r="H11" s="1">
        <v>180</v>
      </c>
      <c r="I11" s="1" t="s">
        <v>43</v>
      </c>
      <c r="J11" s="1"/>
      <c r="K11" s="1">
        <v>1</v>
      </c>
      <c r="L11" s="1">
        <f t="shared" si="2"/>
        <v>-1</v>
      </c>
      <c r="M11" s="1"/>
      <c r="N11" s="1"/>
      <c r="O11" s="1">
        <v>0</v>
      </c>
      <c r="P11" s="1"/>
      <c r="Q11" s="1">
        <f t="shared" si="3"/>
        <v>0</v>
      </c>
      <c r="R11" s="5">
        <v>12</v>
      </c>
      <c r="S11" s="1" t="e">
        <f t="shared" si="4"/>
        <v>#DIV/0!</v>
      </c>
      <c r="T11" s="1" t="e">
        <f t="shared" si="5"/>
        <v>#DIV/0!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 t="s">
        <v>45</v>
      </c>
      <c r="AF11" s="1">
        <f>G11*R11</f>
        <v>2.16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47</v>
      </c>
      <c r="B12" s="1" t="s">
        <v>42</v>
      </c>
      <c r="C12" s="1">
        <v>25.494</v>
      </c>
      <c r="D12" s="1">
        <v>14.596</v>
      </c>
      <c r="E12" s="1">
        <v>9.51</v>
      </c>
      <c r="F12" s="1">
        <v>30.58</v>
      </c>
      <c r="G12" s="7">
        <v>1</v>
      </c>
      <c r="H12" s="1">
        <v>180</v>
      </c>
      <c r="I12" s="1" t="s">
        <v>43</v>
      </c>
      <c r="J12" s="1"/>
      <c r="K12" s="1">
        <v>9.1999999999999993</v>
      </c>
      <c r="L12" s="1">
        <f t="shared" si="2"/>
        <v>0.3100000000000005</v>
      </c>
      <c r="M12" s="1"/>
      <c r="N12" s="1"/>
      <c r="O12" s="1"/>
      <c r="P12" s="1"/>
      <c r="Q12" s="1">
        <f t="shared" si="3"/>
        <v>1.9019999999999999</v>
      </c>
      <c r="R12" s="5"/>
      <c r="S12" s="1">
        <f t="shared" si="4"/>
        <v>16.077812828601473</v>
      </c>
      <c r="T12" s="1">
        <f t="shared" si="5"/>
        <v>16.077812828601473</v>
      </c>
      <c r="U12" s="1">
        <v>1.3715999999999999</v>
      </c>
      <c r="V12" s="1">
        <v>1.2524</v>
      </c>
      <c r="W12" s="1">
        <v>2.61</v>
      </c>
      <c r="X12" s="1">
        <v>2.4996</v>
      </c>
      <c r="Y12" s="1">
        <v>3.8992</v>
      </c>
      <c r="Z12" s="1">
        <v>1.3051999999999999</v>
      </c>
      <c r="AA12" s="1">
        <v>0.63680000000000003</v>
      </c>
      <c r="AB12" s="1">
        <v>1.2988</v>
      </c>
      <c r="AC12" s="1">
        <v>1.2927999999999999</v>
      </c>
      <c r="AD12" s="1">
        <v>0.72399999999999998</v>
      </c>
      <c r="AE12" s="1"/>
      <c r="AF12" s="1">
        <f>G12*R12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48</v>
      </c>
      <c r="B13" s="1" t="s">
        <v>36</v>
      </c>
      <c r="C13" s="1">
        <v>88</v>
      </c>
      <c r="D13" s="1">
        <v>8</v>
      </c>
      <c r="E13" s="1"/>
      <c r="F13" s="1"/>
      <c r="G13" s="7">
        <v>0.82450000000000001</v>
      </c>
      <c r="H13" s="1">
        <v>180</v>
      </c>
      <c r="I13" s="1" t="s">
        <v>43</v>
      </c>
      <c r="J13" s="1"/>
      <c r="K13" s="1"/>
      <c r="L13" s="1">
        <f t="shared" si="2"/>
        <v>0</v>
      </c>
      <c r="M13" s="1"/>
      <c r="N13" s="1"/>
      <c r="O13" s="1"/>
      <c r="P13" s="1"/>
      <c r="Q13" s="1">
        <f t="shared" si="3"/>
        <v>0</v>
      </c>
      <c r="R13" s="5">
        <v>10</v>
      </c>
      <c r="S13" s="1" t="e">
        <f t="shared" si="4"/>
        <v>#DIV/0!</v>
      </c>
      <c r="T13" s="1" t="e">
        <f t="shared" si="5"/>
        <v>#DIV/0!</v>
      </c>
      <c r="U13" s="1">
        <v>0</v>
      </c>
      <c r="V13" s="1">
        <v>0</v>
      </c>
      <c r="W13" s="1">
        <v>0</v>
      </c>
      <c r="X13" s="1">
        <v>0.8</v>
      </c>
      <c r="Y13" s="1">
        <v>1.4</v>
      </c>
      <c r="Z13" s="1">
        <v>0</v>
      </c>
      <c r="AA13" s="1">
        <v>0.4</v>
      </c>
      <c r="AB13" s="1">
        <v>0</v>
      </c>
      <c r="AC13" s="1">
        <v>0</v>
      </c>
      <c r="AD13" s="1">
        <v>0</v>
      </c>
      <c r="AE13" s="12" t="s">
        <v>99</v>
      </c>
      <c r="AF13" s="1">
        <f>G13*R13</f>
        <v>8.245000000000001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49</v>
      </c>
      <c r="B14" s="1" t="s">
        <v>36</v>
      </c>
      <c r="C14" s="1">
        <v>150</v>
      </c>
      <c r="D14" s="1">
        <v>351</v>
      </c>
      <c r="E14" s="1">
        <v>126</v>
      </c>
      <c r="F14" s="1">
        <v>370</v>
      </c>
      <c r="G14" s="7">
        <v>0.372</v>
      </c>
      <c r="H14" s="1">
        <v>180</v>
      </c>
      <c r="I14" s="1" t="s">
        <v>50</v>
      </c>
      <c r="J14" s="1"/>
      <c r="K14" s="1">
        <v>191</v>
      </c>
      <c r="L14" s="1">
        <f t="shared" si="2"/>
        <v>-65</v>
      </c>
      <c r="M14" s="1"/>
      <c r="N14" s="1"/>
      <c r="O14" s="1">
        <v>324</v>
      </c>
      <c r="P14" s="1">
        <v>1200</v>
      </c>
      <c r="Q14" s="1">
        <f t="shared" si="3"/>
        <v>25.2</v>
      </c>
      <c r="R14" s="5"/>
      <c r="S14" s="1">
        <f t="shared" si="4"/>
        <v>75.158730158730165</v>
      </c>
      <c r="T14" s="1">
        <f t="shared" si="5"/>
        <v>75.158730158730165</v>
      </c>
      <c r="U14" s="1">
        <v>30.2</v>
      </c>
      <c r="V14" s="1">
        <v>10.6</v>
      </c>
      <c r="W14" s="1">
        <v>17.600000000000001</v>
      </c>
      <c r="X14" s="1">
        <v>32.4</v>
      </c>
      <c r="Y14" s="1">
        <v>18.600000000000001</v>
      </c>
      <c r="Z14" s="1">
        <v>7.6</v>
      </c>
      <c r="AA14" s="1">
        <v>2.4</v>
      </c>
      <c r="AB14" s="1">
        <v>9.8000000000000007</v>
      </c>
      <c r="AC14" s="1">
        <v>16.2</v>
      </c>
      <c r="AD14" s="1">
        <v>15.2</v>
      </c>
      <c r="AE14" s="1" t="s">
        <v>51</v>
      </c>
      <c r="AF14" s="1">
        <f>G14*R14</f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" t="s">
        <v>52</v>
      </c>
      <c r="B15" s="1" t="s">
        <v>36</v>
      </c>
      <c r="C15" s="1">
        <v>184</v>
      </c>
      <c r="D15" s="1">
        <v>63</v>
      </c>
      <c r="E15" s="1">
        <v>47</v>
      </c>
      <c r="F15" s="1">
        <v>192</v>
      </c>
      <c r="G15" s="7">
        <v>0.74399999999999999</v>
      </c>
      <c r="H15" s="1">
        <v>180</v>
      </c>
      <c r="I15" s="1" t="s">
        <v>43</v>
      </c>
      <c r="J15" s="1"/>
      <c r="K15" s="1">
        <v>50</v>
      </c>
      <c r="L15" s="1">
        <f t="shared" si="2"/>
        <v>-3</v>
      </c>
      <c r="M15" s="1"/>
      <c r="N15" s="1"/>
      <c r="O15" s="1"/>
      <c r="P15" s="1"/>
      <c r="Q15" s="1">
        <f t="shared" si="3"/>
        <v>9.4</v>
      </c>
      <c r="R15" s="5"/>
      <c r="S15" s="1">
        <f t="shared" si="4"/>
        <v>20.425531914893615</v>
      </c>
      <c r="T15" s="1">
        <f t="shared" si="5"/>
        <v>20.425531914893615</v>
      </c>
      <c r="U15" s="1">
        <v>4.4000000000000004</v>
      </c>
      <c r="V15" s="1">
        <v>5.4</v>
      </c>
      <c r="W15" s="1">
        <v>2.4</v>
      </c>
      <c r="X15" s="1">
        <v>4.2</v>
      </c>
      <c r="Y15" s="1">
        <v>0</v>
      </c>
      <c r="Z15" s="1">
        <v>1</v>
      </c>
      <c r="AA15" s="1">
        <v>6.6</v>
      </c>
      <c r="AB15" s="1">
        <v>6.4</v>
      </c>
      <c r="AC15" s="1">
        <v>2.8</v>
      </c>
      <c r="AD15" s="1">
        <v>2.6</v>
      </c>
      <c r="AE15" s="13" t="s">
        <v>95</v>
      </c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53</v>
      </c>
      <c r="B16" s="1" t="s">
        <v>36</v>
      </c>
      <c r="C16" s="1">
        <v>236</v>
      </c>
      <c r="D16" s="1">
        <v>663</v>
      </c>
      <c r="E16" s="1">
        <v>163</v>
      </c>
      <c r="F16" s="1">
        <v>708</v>
      </c>
      <c r="G16" s="7">
        <v>0.372</v>
      </c>
      <c r="H16" s="1">
        <v>180</v>
      </c>
      <c r="I16" s="1" t="s">
        <v>50</v>
      </c>
      <c r="J16" s="1"/>
      <c r="K16" s="1">
        <v>166</v>
      </c>
      <c r="L16" s="1">
        <f t="shared" si="2"/>
        <v>-3</v>
      </c>
      <c r="M16" s="1"/>
      <c r="N16" s="1"/>
      <c r="O16" s="1"/>
      <c r="P16" s="1">
        <v>504</v>
      </c>
      <c r="Q16" s="1">
        <f t="shared" si="3"/>
        <v>32.6</v>
      </c>
      <c r="R16" s="5"/>
      <c r="S16" s="1">
        <f t="shared" si="4"/>
        <v>37.177914110429448</v>
      </c>
      <c r="T16" s="1">
        <f t="shared" si="5"/>
        <v>37.177914110429448</v>
      </c>
      <c r="U16" s="1">
        <v>29</v>
      </c>
      <c r="V16" s="1">
        <v>52.4</v>
      </c>
      <c r="W16" s="1">
        <v>13</v>
      </c>
      <c r="X16" s="1">
        <v>56.6</v>
      </c>
      <c r="Y16" s="1">
        <v>35.200000000000003</v>
      </c>
      <c r="Z16" s="1">
        <v>11.6</v>
      </c>
      <c r="AA16" s="1">
        <v>10.199999999999999</v>
      </c>
      <c r="AB16" s="1">
        <v>16.2</v>
      </c>
      <c r="AC16" s="1">
        <v>7.8</v>
      </c>
      <c r="AD16" s="1">
        <v>15.4</v>
      </c>
      <c r="AE16" s="10" t="s">
        <v>54</v>
      </c>
      <c r="AF16" s="1">
        <f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55</v>
      </c>
      <c r="B17" s="1" t="s">
        <v>36</v>
      </c>
      <c r="C17" s="1">
        <v>47</v>
      </c>
      <c r="D17" s="1">
        <v>231</v>
      </c>
      <c r="E17" s="1">
        <v>40</v>
      </c>
      <c r="F17" s="1">
        <v>224</v>
      </c>
      <c r="G17" s="7">
        <v>0.74399999999999999</v>
      </c>
      <c r="H17" s="1">
        <v>180</v>
      </c>
      <c r="I17" s="1" t="s">
        <v>43</v>
      </c>
      <c r="J17" s="1"/>
      <c r="K17" s="1">
        <v>48</v>
      </c>
      <c r="L17" s="1">
        <f t="shared" si="2"/>
        <v>-8</v>
      </c>
      <c r="M17" s="1"/>
      <c r="N17" s="1"/>
      <c r="O17" s="1">
        <v>24</v>
      </c>
      <c r="P17" s="1"/>
      <c r="Q17" s="1">
        <f t="shared" si="3"/>
        <v>8</v>
      </c>
      <c r="R17" s="5"/>
      <c r="S17" s="1">
        <f t="shared" si="4"/>
        <v>31</v>
      </c>
      <c r="T17" s="1">
        <f t="shared" si="5"/>
        <v>31</v>
      </c>
      <c r="U17" s="1">
        <v>13.4</v>
      </c>
      <c r="V17" s="1">
        <v>17.399999999999999</v>
      </c>
      <c r="W17" s="1">
        <v>6.4</v>
      </c>
      <c r="X17" s="1">
        <v>1.6</v>
      </c>
      <c r="Y17" s="1">
        <v>11.8</v>
      </c>
      <c r="Z17" s="1">
        <v>4</v>
      </c>
      <c r="AA17" s="1">
        <v>11</v>
      </c>
      <c r="AB17" s="1">
        <v>8.4</v>
      </c>
      <c r="AC17" s="1">
        <v>3.2</v>
      </c>
      <c r="AD17" s="1">
        <v>12.4</v>
      </c>
      <c r="AE17" s="1"/>
      <c r="AF17" s="1">
        <f>G17*R17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56</v>
      </c>
      <c r="B18" s="1" t="s">
        <v>36</v>
      </c>
      <c r="C18" s="1">
        <v>28</v>
      </c>
      <c r="D18" s="1">
        <v>96</v>
      </c>
      <c r="E18" s="1">
        <v>19</v>
      </c>
      <c r="F18" s="1">
        <v>95</v>
      </c>
      <c r="G18" s="7">
        <v>0.18</v>
      </c>
      <c r="H18" s="1">
        <v>270</v>
      </c>
      <c r="I18" s="1" t="s">
        <v>43</v>
      </c>
      <c r="J18" s="1"/>
      <c r="K18" s="1">
        <v>20</v>
      </c>
      <c r="L18" s="1">
        <f t="shared" si="2"/>
        <v>-1</v>
      </c>
      <c r="M18" s="1"/>
      <c r="N18" s="1"/>
      <c r="O18" s="1"/>
      <c r="P18" s="1"/>
      <c r="Q18" s="1">
        <f t="shared" si="3"/>
        <v>3.8</v>
      </c>
      <c r="R18" s="5"/>
      <c r="S18" s="1">
        <f t="shared" si="4"/>
        <v>25</v>
      </c>
      <c r="T18" s="1">
        <f t="shared" si="5"/>
        <v>25</v>
      </c>
      <c r="U18" s="1">
        <v>6</v>
      </c>
      <c r="V18" s="1">
        <v>6.6</v>
      </c>
      <c r="W18" s="1">
        <v>5.2</v>
      </c>
      <c r="X18" s="1">
        <v>7.2</v>
      </c>
      <c r="Y18" s="1">
        <v>5.8</v>
      </c>
      <c r="Z18" s="1">
        <v>5</v>
      </c>
      <c r="AA18" s="1">
        <v>5.8</v>
      </c>
      <c r="AB18" s="1">
        <v>6.8</v>
      </c>
      <c r="AC18" s="1">
        <v>9</v>
      </c>
      <c r="AD18" s="1">
        <v>5.8</v>
      </c>
      <c r="AE18" s="1"/>
      <c r="AF18" s="1">
        <f>G18*R18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57</v>
      </c>
      <c r="B19" s="1" t="s">
        <v>36</v>
      </c>
      <c r="C19" s="1">
        <v>27</v>
      </c>
      <c r="D19" s="1">
        <v>96</v>
      </c>
      <c r="E19" s="1">
        <v>20</v>
      </c>
      <c r="F19" s="1">
        <v>91</v>
      </c>
      <c r="G19" s="7">
        <v>0.18</v>
      </c>
      <c r="H19" s="1">
        <v>270</v>
      </c>
      <c r="I19" s="1" t="s">
        <v>43</v>
      </c>
      <c r="J19" s="1"/>
      <c r="K19" s="1">
        <v>23</v>
      </c>
      <c r="L19" s="1">
        <f t="shared" si="2"/>
        <v>-3</v>
      </c>
      <c r="M19" s="1"/>
      <c r="N19" s="1"/>
      <c r="O19" s="1">
        <v>16</v>
      </c>
      <c r="P19" s="1"/>
      <c r="Q19" s="1">
        <f t="shared" si="3"/>
        <v>4</v>
      </c>
      <c r="R19" s="5"/>
      <c r="S19" s="1">
        <f t="shared" si="4"/>
        <v>26.75</v>
      </c>
      <c r="T19" s="1">
        <f t="shared" si="5"/>
        <v>26.75</v>
      </c>
      <c r="U19" s="1">
        <v>6.8</v>
      </c>
      <c r="V19" s="1">
        <v>6.4</v>
      </c>
      <c r="W19" s="1">
        <v>3.2</v>
      </c>
      <c r="X19" s="1">
        <v>6.8</v>
      </c>
      <c r="Y19" s="1">
        <v>7.6</v>
      </c>
      <c r="Z19" s="1">
        <v>4.8</v>
      </c>
      <c r="AA19" s="1">
        <v>5.8</v>
      </c>
      <c r="AB19" s="1">
        <v>5.8</v>
      </c>
      <c r="AC19" s="1">
        <v>9.1999999999999993</v>
      </c>
      <c r="AD19" s="1">
        <v>5.2</v>
      </c>
      <c r="AE19" s="1"/>
      <c r="AF19" s="1">
        <f>G19*R19</f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58</v>
      </c>
      <c r="B20" s="1" t="s">
        <v>36</v>
      </c>
      <c r="C20" s="1">
        <v>62</v>
      </c>
      <c r="D20" s="1">
        <v>743</v>
      </c>
      <c r="E20" s="1">
        <v>44</v>
      </c>
      <c r="F20" s="1">
        <v>607</v>
      </c>
      <c r="G20" s="7">
        <v>0.18</v>
      </c>
      <c r="H20" s="1">
        <v>180</v>
      </c>
      <c r="I20" s="1" t="s">
        <v>43</v>
      </c>
      <c r="J20" s="1"/>
      <c r="K20" s="1">
        <v>210</v>
      </c>
      <c r="L20" s="1">
        <f t="shared" si="2"/>
        <v>-166</v>
      </c>
      <c r="M20" s="1"/>
      <c r="N20" s="1"/>
      <c r="O20" s="1">
        <v>190</v>
      </c>
      <c r="P20" s="1"/>
      <c r="Q20" s="1">
        <f t="shared" si="3"/>
        <v>8.8000000000000007</v>
      </c>
      <c r="R20" s="5"/>
      <c r="S20" s="1">
        <f t="shared" si="4"/>
        <v>90.568181818181813</v>
      </c>
      <c r="T20" s="1">
        <f t="shared" si="5"/>
        <v>90.568181818181813</v>
      </c>
      <c r="U20" s="1">
        <v>46.4</v>
      </c>
      <c r="V20" s="1">
        <v>47.4</v>
      </c>
      <c r="W20" s="1">
        <v>48.4</v>
      </c>
      <c r="X20" s="1">
        <v>49</v>
      </c>
      <c r="Y20" s="1">
        <v>39.200000000000003</v>
      </c>
      <c r="Z20" s="1">
        <v>38.6</v>
      </c>
      <c r="AA20" s="1">
        <v>36.6</v>
      </c>
      <c r="AB20" s="1">
        <v>46.2</v>
      </c>
      <c r="AC20" s="1">
        <v>38</v>
      </c>
      <c r="AD20" s="1">
        <v>34</v>
      </c>
      <c r="AE20" s="1"/>
      <c r="AF20" s="1">
        <f>G20*R20</f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59</v>
      </c>
      <c r="B21" s="1" t="s">
        <v>36</v>
      </c>
      <c r="C21" s="1">
        <v>-1</v>
      </c>
      <c r="D21" s="1">
        <v>392</v>
      </c>
      <c r="E21" s="1"/>
      <c r="F21" s="1">
        <v>368</v>
      </c>
      <c r="G21" s="7">
        <v>0.18</v>
      </c>
      <c r="H21" s="1">
        <v>180</v>
      </c>
      <c r="I21" s="1" t="s">
        <v>43</v>
      </c>
      <c r="J21" s="1"/>
      <c r="K21" s="1">
        <v>93</v>
      </c>
      <c r="L21" s="1">
        <f t="shared" si="2"/>
        <v>-93</v>
      </c>
      <c r="M21" s="1"/>
      <c r="N21" s="1"/>
      <c r="O21" s="1">
        <v>40</v>
      </c>
      <c r="P21" s="1"/>
      <c r="Q21" s="1">
        <f t="shared" si="3"/>
        <v>0</v>
      </c>
      <c r="R21" s="5"/>
      <c r="S21" s="1" t="e">
        <f t="shared" si="4"/>
        <v>#DIV/0!</v>
      </c>
      <c r="T21" s="1" t="e">
        <f t="shared" si="5"/>
        <v>#DIV/0!</v>
      </c>
      <c r="U21" s="1">
        <v>17.600000000000001</v>
      </c>
      <c r="V21" s="1">
        <v>22.8</v>
      </c>
      <c r="W21" s="1">
        <v>25</v>
      </c>
      <c r="X21" s="1">
        <v>21.2</v>
      </c>
      <c r="Y21" s="1">
        <v>20.6</v>
      </c>
      <c r="Z21" s="1">
        <v>19.2</v>
      </c>
      <c r="AA21" s="1">
        <v>15</v>
      </c>
      <c r="AB21" s="1">
        <v>26.6</v>
      </c>
      <c r="AC21" s="1">
        <v>30.6</v>
      </c>
      <c r="AD21" s="1">
        <v>17.600000000000001</v>
      </c>
      <c r="AE21" s="1"/>
      <c r="AF21" s="1">
        <f>G21*R21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60</v>
      </c>
      <c r="B22" s="1" t="s">
        <v>36</v>
      </c>
      <c r="C22" s="1"/>
      <c r="D22" s="1">
        <v>32</v>
      </c>
      <c r="E22" s="1"/>
      <c r="F22" s="1">
        <v>30</v>
      </c>
      <c r="G22" s="7">
        <v>0.4</v>
      </c>
      <c r="H22" s="1">
        <v>270</v>
      </c>
      <c r="I22" s="1" t="s">
        <v>43</v>
      </c>
      <c r="J22" s="1"/>
      <c r="K22" s="1">
        <v>5</v>
      </c>
      <c r="L22" s="1">
        <f t="shared" si="2"/>
        <v>-5</v>
      </c>
      <c r="M22" s="1"/>
      <c r="N22" s="1"/>
      <c r="O22" s="1"/>
      <c r="P22" s="1"/>
      <c r="Q22" s="1">
        <f t="shared" si="3"/>
        <v>0</v>
      </c>
      <c r="R22" s="5"/>
      <c r="S22" s="1" t="e">
        <f t="shared" si="4"/>
        <v>#DIV/0!</v>
      </c>
      <c r="T22" s="1" t="e">
        <f t="shared" si="5"/>
        <v>#DIV/0!</v>
      </c>
      <c r="U22" s="1">
        <v>0</v>
      </c>
      <c r="V22" s="1">
        <v>0</v>
      </c>
      <c r="W22" s="1">
        <v>-0.8</v>
      </c>
      <c r="X22" s="1">
        <v>0</v>
      </c>
      <c r="Y22" s="1">
        <v>-0.4</v>
      </c>
      <c r="Z22" s="1">
        <v>-0.4</v>
      </c>
      <c r="AA22" s="1">
        <v>0</v>
      </c>
      <c r="AB22" s="1">
        <v>0</v>
      </c>
      <c r="AC22" s="1">
        <v>0</v>
      </c>
      <c r="AD22" s="1">
        <v>-0.4</v>
      </c>
      <c r="AE22" s="1" t="s">
        <v>61</v>
      </c>
      <c r="AF22" s="1">
        <f>G22*R22</f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62</v>
      </c>
      <c r="B23" s="1" t="s">
        <v>36</v>
      </c>
      <c r="C23" s="1">
        <v>44</v>
      </c>
      <c r="D23" s="1"/>
      <c r="E23" s="1">
        <v>8</v>
      </c>
      <c r="F23" s="1">
        <v>36</v>
      </c>
      <c r="G23" s="7">
        <v>0.4</v>
      </c>
      <c r="H23" s="1">
        <v>270</v>
      </c>
      <c r="I23" s="1" t="s">
        <v>43</v>
      </c>
      <c r="J23" s="1"/>
      <c r="K23" s="1">
        <v>10</v>
      </c>
      <c r="L23" s="1">
        <f t="shared" si="2"/>
        <v>-2</v>
      </c>
      <c r="M23" s="1"/>
      <c r="N23" s="1"/>
      <c r="O23" s="1">
        <v>28</v>
      </c>
      <c r="P23" s="1"/>
      <c r="Q23" s="1">
        <f t="shared" si="3"/>
        <v>1.6</v>
      </c>
      <c r="R23" s="5"/>
      <c r="S23" s="1">
        <f t="shared" si="4"/>
        <v>40</v>
      </c>
      <c r="T23" s="1">
        <f t="shared" si="5"/>
        <v>40</v>
      </c>
      <c r="U23" s="1">
        <v>2.8</v>
      </c>
      <c r="V23" s="1">
        <v>1.4</v>
      </c>
      <c r="W23" s="1">
        <v>1.6</v>
      </c>
      <c r="X23" s="1">
        <v>1.8</v>
      </c>
      <c r="Y23" s="1">
        <v>1.2</v>
      </c>
      <c r="Z23" s="1">
        <v>0.4</v>
      </c>
      <c r="AA23" s="1">
        <v>2</v>
      </c>
      <c r="AB23" s="1">
        <v>0.6</v>
      </c>
      <c r="AC23" s="1">
        <v>0.4</v>
      </c>
      <c r="AD23" s="1">
        <v>0.4</v>
      </c>
      <c r="AE23" s="11" t="s">
        <v>37</v>
      </c>
      <c r="AF23" s="1">
        <f>G23*R23</f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" t="s">
        <v>63</v>
      </c>
      <c r="B24" s="1" t="s">
        <v>36</v>
      </c>
      <c r="C24" s="1">
        <v>158</v>
      </c>
      <c r="D24" s="1">
        <v>102</v>
      </c>
      <c r="E24" s="1">
        <v>46</v>
      </c>
      <c r="F24" s="1">
        <v>186</v>
      </c>
      <c r="G24" s="7">
        <v>0.18</v>
      </c>
      <c r="H24" s="1">
        <v>150</v>
      </c>
      <c r="I24" s="1" t="s">
        <v>43</v>
      </c>
      <c r="J24" s="1"/>
      <c r="K24" s="1">
        <v>51</v>
      </c>
      <c r="L24" s="1">
        <f t="shared" si="2"/>
        <v>-5</v>
      </c>
      <c r="M24" s="1"/>
      <c r="N24" s="1"/>
      <c r="O24" s="1">
        <v>120</v>
      </c>
      <c r="P24" s="1"/>
      <c r="Q24" s="1">
        <f t="shared" si="3"/>
        <v>9.1999999999999993</v>
      </c>
      <c r="R24" s="5"/>
      <c r="S24" s="1">
        <f t="shared" si="4"/>
        <v>33.260869565217391</v>
      </c>
      <c r="T24" s="1">
        <f t="shared" si="5"/>
        <v>33.260869565217391</v>
      </c>
      <c r="U24" s="1">
        <v>20.399999999999999</v>
      </c>
      <c r="V24" s="1">
        <v>15.8</v>
      </c>
      <c r="W24" s="1">
        <v>14.2</v>
      </c>
      <c r="X24" s="1">
        <v>26.4</v>
      </c>
      <c r="Y24" s="1">
        <v>17.600000000000001</v>
      </c>
      <c r="Z24" s="1">
        <v>1.6</v>
      </c>
      <c r="AA24" s="1">
        <v>1</v>
      </c>
      <c r="AB24" s="1">
        <v>11.8</v>
      </c>
      <c r="AC24" s="1">
        <v>2.6</v>
      </c>
      <c r="AD24" s="1">
        <v>6.8</v>
      </c>
      <c r="AE24" s="1"/>
      <c r="AF24" s="1">
        <f>G24*R24</f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" t="s">
        <v>64</v>
      </c>
      <c r="B25" s="1" t="s">
        <v>36</v>
      </c>
      <c r="C25" s="1">
        <v>107</v>
      </c>
      <c r="D25" s="1">
        <v>498</v>
      </c>
      <c r="E25" s="1">
        <v>15</v>
      </c>
      <c r="F25" s="1">
        <v>458</v>
      </c>
      <c r="G25" s="7">
        <v>0.1</v>
      </c>
      <c r="H25" s="1">
        <v>90</v>
      </c>
      <c r="I25" s="1" t="s">
        <v>65</v>
      </c>
      <c r="J25" s="1"/>
      <c r="K25" s="1">
        <v>60</v>
      </c>
      <c r="L25" s="1">
        <f t="shared" si="2"/>
        <v>-45</v>
      </c>
      <c r="M25" s="1"/>
      <c r="N25" s="1"/>
      <c r="O25" s="1"/>
      <c r="P25" s="1"/>
      <c r="Q25" s="1">
        <f t="shared" si="3"/>
        <v>3</v>
      </c>
      <c r="R25" s="5"/>
      <c r="S25" s="1">
        <f t="shared" si="4"/>
        <v>152.66666666666666</v>
      </c>
      <c r="T25" s="1">
        <f t="shared" si="5"/>
        <v>152.66666666666666</v>
      </c>
      <c r="U25" s="1">
        <v>19.8</v>
      </c>
      <c r="V25" s="1">
        <v>26.2</v>
      </c>
      <c r="W25" s="1">
        <v>9.1999999999999993</v>
      </c>
      <c r="X25" s="1">
        <v>12</v>
      </c>
      <c r="Y25" s="1">
        <v>25</v>
      </c>
      <c r="Z25" s="1">
        <v>22.4</v>
      </c>
      <c r="AA25" s="1">
        <v>14.6</v>
      </c>
      <c r="AB25" s="1">
        <v>17.399999999999999</v>
      </c>
      <c r="AC25" s="1">
        <v>11</v>
      </c>
      <c r="AD25" s="1">
        <v>36.4</v>
      </c>
      <c r="AE25" s="12" t="s">
        <v>96</v>
      </c>
      <c r="AF25" s="1">
        <f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66</v>
      </c>
      <c r="B26" s="1" t="s">
        <v>36</v>
      </c>
      <c r="C26" s="1">
        <v>-1</v>
      </c>
      <c r="D26" s="1">
        <v>168</v>
      </c>
      <c r="E26" s="1">
        <v>-7</v>
      </c>
      <c r="F26" s="1">
        <v>143</v>
      </c>
      <c r="G26" s="7">
        <v>0.1</v>
      </c>
      <c r="H26" s="1">
        <v>60</v>
      </c>
      <c r="I26" s="1"/>
      <c r="J26" s="1"/>
      <c r="K26" s="1">
        <v>107</v>
      </c>
      <c r="L26" s="1">
        <f t="shared" si="2"/>
        <v>-114</v>
      </c>
      <c r="M26" s="1"/>
      <c r="N26" s="1"/>
      <c r="O26" s="1">
        <v>32</v>
      </c>
      <c r="P26" s="1"/>
      <c r="Q26" s="1">
        <f t="shared" si="3"/>
        <v>-1.4</v>
      </c>
      <c r="R26" s="5">
        <v>40</v>
      </c>
      <c r="S26" s="1">
        <f t="shared" si="4"/>
        <v>-153.57142857142858</v>
      </c>
      <c r="T26" s="1">
        <f t="shared" si="5"/>
        <v>-125.00000000000001</v>
      </c>
      <c r="U26" s="1">
        <v>6</v>
      </c>
      <c r="V26" s="1">
        <v>16.8</v>
      </c>
      <c r="W26" s="1">
        <v>24.2</v>
      </c>
      <c r="X26" s="1">
        <v>16</v>
      </c>
      <c r="Y26" s="1">
        <v>27</v>
      </c>
      <c r="Z26" s="1">
        <v>15.8</v>
      </c>
      <c r="AA26" s="1">
        <v>26.2</v>
      </c>
      <c r="AB26" s="1">
        <v>15</v>
      </c>
      <c r="AC26" s="1">
        <v>25.4</v>
      </c>
      <c r="AD26" s="1">
        <v>25.2</v>
      </c>
      <c r="AE26" s="1" t="s">
        <v>67</v>
      </c>
      <c r="AF26" s="1">
        <f>G26*R26</f>
        <v>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68</v>
      </c>
      <c r="B27" s="1" t="s">
        <v>36</v>
      </c>
      <c r="C27" s="1">
        <v>5</v>
      </c>
      <c r="D27" s="1">
        <v>186</v>
      </c>
      <c r="E27" s="1">
        <v>4</v>
      </c>
      <c r="F27" s="1">
        <v>156</v>
      </c>
      <c r="G27" s="7">
        <v>0.1</v>
      </c>
      <c r="H27" s="1">
        <v>90</v>
      </c>
      <c r="I27" s="1"/>
      <c r="J27" s="1"/>
      <c r="K27" s="1">
        <v>80</v>
      </c>
      <c r="L27" s="1">
        <f t="shared" si="2"/>
        <v>-76</v>
      </c>
      <c r="M27" s="1"/>
      <c r="N27" s="1"/>
      <c r="O27" s="1">
        <v>120</v>
      </c>
      <c r="P27" s="1"/>
      <c r="Q27" s="1">
        <f t="shared" si="3"/>
        <v>0.8</v>
      </c>
      <c r="R27" s="5"/>
      <c r="S27" s="1">
        <f t="shared" si="4"/>
        <v>345</v>
      </c>
      <c r="T27" s="1">
        <f t="shared" si="5"/>
        <v>345</v>
      </c>
      <c r="U27" s="1">
        <v>16.8</v>
      </c>
      <c r="V27" s="1">
        <v>14.2</v>
      </c>
      <c r="W27" s="1">
        <v>17.8</v>
      </c>
      <c r="X27" s="1">
        <v>13.4</v>
      </c>
      <c r="Y27" s="1">
        <v>18.399999999999999</v>
      </c>
      <c r="Z27" s="1">
        <v>16.8</v>
      </c>
      <c r="AA27" s="1">
        <v>11.2</v>
      </c>
      <c r="AB27" s="1">
        <v>17.8</v>
      </c>
      <c r="AC27" s="1">
        <v>21</v>
      </c>
      <c r="AD27" s="1">
        <v>16.600000000000001</v>
      </c>
      <c r="AE27" s="1"/>
      <c r="AF27" s="1">
        <f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69</v>
      </c>
      <c r="B28" s="1" t="s">
        <v>36</v>
      </c>
      <c r="C28" s="1">
        <v>36</v>
      </c>
      <c r="D28" s="1">
        <v>130</v>
      </c>
      <c r="E28" s="1">
        <v>34</v>
      </c>
      <c r="F28" s="1">
        <v>121</v>
      </c>
      <c r="G28" s="7">
        <v>0.18</v>
      </c>
      <c r="H28" s="1">
        <v>150</v>
      </c>
      <c r="I28" s="1" t="s">
        <v>43</v>
      </c>
      <c r="J28" s="1"/>
      <c r="K28" s="1">
        <v>67</v>
      </c>
      <c r="L28" s="1">
        <f t="shared" si="2"/>
        <v>-33</v>
      </c>
      <c r="M28" s="1"/>
      <c r="N28" s="1"/>
      <c r="O28" s="1"/>
      <c r="P28" s="1"/>
      <c r="Q28" s="1">
        <f t="shared" si="3"/>
        <v>6.8</v>
      </c>
      <c r="R28" s="5"/>
      <c r="S28" s="1">
        <f t="shared" si="4"/>
        <v>17.794117647058822</v>
      </c>
      <c r="T28" s="1">
        <f t="shared" si="5"/>
        <v>17.794117647058822</v>
      </c>
      <c r="U28" s="1">
        <v>8.4</v>
      </c>
      <c r="V28" s="1">
        <v>10.6</v>
      </c>
      <c r="W28" s="1">
        <v>4.8</v>
      </c>
      <c r="X28" s="1">
        <v>0.2</v>
      </c>
      <c r="Y28" s="1">
        <v>12.4</v>
      </c>
      <c r="Z28" s="1">
        <v>2</v>
      </c>
      <c r="AA28" s="1">
        <v>7</v>
      </c>
      <c r="AB28" s="1">
        <v>19</v>
      </c>
      <c r="AC28" s="1">
        <v>16.2</v>
      </c>
      <c r="AD28" s="1">
        <v>13.8</v>
      </c>
      <c r="AE28" s="1" t="s">
        <v>70</v>
      </c>
      <c r="AF28" s="1">
        <f>G28*R28</f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71</v>
      </c>
      <c r="B29" s="1" t="s">
        <v>36</v>
      </c>
      <c r="C29" s="1">
        <v>42</v>
      </c>
      <c r="D29" s="1">
        <v>1170</v>
      </c>
      <c r="E29" s="1">
        <v>37</v>
      </c>
      <c r="F29" s="1">
        <v>1047</v>
      </c>
      <c r="G29" s="7">
        <v>0.18</v>
      </c>
      <c r="H29" s="1">
        <v>150</v>
      </c>
      <c r="I29" s="1" t="s">
        <v>72</v>
      </c>
      <c r="J29" s="1"/>
      <c r="K29" s="1">
        <v>84</v>
      </c>
      <c r="L29" s="1">
        <f t="shared" si="2"/>
        <v>-47</v>
      </c>
      <c r="M29" s="1"/>
      <c r="N29" s="1"/>
      <c r="O29" s="1">
        <v>100</v>
      </c>
      <c r="P29" s="1"/>
      <c r="Q29" s="1">
        <f t="shared" si="3"/>
        <v>7.4</v>
      </c>
      <c r="R29" s="5"/>
      <c r="S29" s="1">
        <f t="shared" si="4"/>
        <v>155</v>
      </c>
      <c r="T29" s="1">
        <f t="shared" si="5"/>
        <v>155</v>
      </c>
      <c r="U29" s="1">
        <v>61.2</v>
      </c>
      <c r="V29" s="1">
        <v>54</v>
      </c>
      <c r="W29" s="1">
        <v>65.2</v>
      </c>
      <c r="X29" s="1">
        <v>54.8</v>
      </c>
      <c r="Y29" s="1">
        <v>71.599999999999994</v>
      </c>
      <c r="Z29" s="1">
        <v>57.6</v>
      </c>
      <c r="AA29" s="1">
        <v>47.8</v>
      </c>
      <c r="AB29" s="1">
        <v>68.599999999999994</v>
      </c>
      <c r="AC29" s="1">
        <v>30</v>
      </c>
      <c r="AD29" s="1">
        <v>58</v>
      </c>
      <c r="AE29" s="13" t="s">
        <v>97</v>
      </c>
      <c r="AF29" s="1">
        <f>G29*R29</f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" t="s">
        <v>73</v>
      </c>
      <c r="B30" s="1" t="s">
        <v>36</v>
      </c>
      <c r="C30" s="1"/>
      <c r="D30" s="1">
        <v>70</v>
      </c>
      <c r="E30" s="1">
        <v>-2</v>
      </c>
      <c r="F30" s="1">
        <v>70</v>
      </c>
      <c r="G30" s="7">
        <v>0.18</v>
      </c>
      <c r="H30" s="1">
        <v>150</v>
      </c>
      <c r="I30" s="1" t="s">
        <v>43</v>
      </c>
      <c r="J30" s="1"/>
      <c r="K30" s="1">
        <v>25</v>
      </c>
      <c r="L30" s="1">
        <f t="shared" si="2"/>
        <v>-27</v>
      </c>
      <c r="M30" s="1"/>
      <c r="N30" s="1"/>
      <c r="O30" s="1"/>
      <c r="P30" s="1"/>
      <c r="Q30" s="1">
        <f t="shared" si="3"/>
        <v>-0.4</v>
      </c>
      <c r="R30" s="5"/>
      <c r="S30" s="1">
        <f t="shared" si="4"/>
        <v>-175</v>
      </c>
      <c r="T30" s="1">
        <f t="shared" si="5"/>
        <v>-175</v>
      </c>
      <c r="U30" s="1">
        <v>-0.2</v>
      </c>
      <c r="V30" s="1">
        <v>0</v>
      </c>
      <c r="W30" s="1">
        <v>0.4</v>
      </c>
      <c r="X30" s="1">
        <v>3.4</v>
      </c>
      <c r="Y30" s="1">
        <v>4.4000000000000004</v>
      </c>
      <c r="Z30" s="1">
        <v>4.8</v>
      </c>
      <c r="AA30" s="1">
        <v>6</v>
      </c>
      <c r="AB30" s="1">
        <v>9</v>
      </c>
      <c r="AC30" s="1">
        <v>8.8000000000000007</v>
      </c>
      <c r="AD30" s="1">
        <v>5.6</v>
      </c>
      <c r="AE30" s="1" t="s">
        <v>74</v>
      </c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" t="s">
        <v>75</v>
      </c>
      <c r="B31" s="1" t="s">
        <v>36</v>
      </c>
      <c r="C31" s="1"/>
      <c r="D31" s="1">
        <v>40</v>
      </c>
      <c r="E31" s="1">
        <v>-2</v>
      </c>
      <c r="F31" s="1">
        <v>35</v>
      </c>
      <c r="G31" s="7">
        <v>0.18</v>
      </c>
      <c r="H31" s="1">
        <v>150</v>
      </c>
      <c r="I31" s="1" t="s">
        <v>43</v>
      </c>
      <c r="J31" s="1"/>
      <c r="K31" s="1">
        <v>23</v>
      </c>
      <c r="L31" s="1">
        <f t="shared" si="2"/>
        <v>-25</v>
      </c>
      <c r="M31" s="1"/>
      <c r="N31" s="1"/>
      <c r="O31" s="1"/>
      <c r="P31" s="1"/>
      <c r="Q31" s="1">
        <f t="shared" si="3"/>
        <v>-0.4</v>
      </c>
      <c r="R31" s="5"/>
      <c r="S31" s="1">
        <f t="shared" si="4"/>
        <v>-87.5</v>
      </c>
      <c r="T31" s="1">
        <f t="shared" si="5"/>
        <v>-87.5</v>
      </c>
      <c r="U31" s="1">
        <v>0</v>
      </c>
      <c r="V31" s="1">
        <v>2.4</v>
      </c>
      <c r="W31" s="1">
        <v>3.8</v>
      </c>
      <c r="X31" s="1">
        <v>1.8</v>
      </c>
      <c r="Y31" s="1">
        <v>0</v>
      </c>
      <c r="Z31" s="1">
        <v>0.8</v>
      </c>
      <c r="AA31" s="1">
        <v>2.6</v>
      </c>
      <c r="AB31" s="1">
        <v>4.4000000000000004</v>
      </c>
      <c r="AC31" s="1">
        <v>4.4000000000000004</v>
      </c>
      <c r="AD31" s="1">
        <v>2.8</v>
      </c>
      <c r="AE31" s="1" t="s">
        <v>76</v>
      </c>
      <c r="AF31" s="1">
        <f>G31*R31</f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77</v>
      </c>
      <c r="B32" s="1" t="s">
        <v>36</v>
      </c>
      <c r="C32" s="1">
        <v>262</v>
      </c>
      <c r="D32" s="1">
        <v>872</v>
      </c>
      <c r="E32" s="1">
        <v>75</v>
      </c>
      <c r="F32" s="1">
        <v>943</v>
      </c>
      <c r="G32" s="7">
        <v>0.18</v>
      </c>
      <c r="H32" s="1">
        <v>150</v>
      </c>
      <c r="I32" s="1" t="s">
        <v>43</v>
      </c>
      <c r="J32" s="1"/>
      <c r="K32" s="1">
        <v>151</v>
      </c>
      <c r="L32" s="1">
        <f t="shared" si="2"/>
        <v>-76</v>
      </c>
      <c r="M32" s="1"/>
      <c r="N32" s="1"/>
      <c r="O32" s="1"/>
      <c r="P32" s="1"/>
      <c r="Q32" s="1">
        <f t="shared" si="3"/>
        <v>15</v>
      </c>
      <c r="R32" s="5"/>
      <c r="S32" s="1">
        <f t="shared" si="4"/>
        <v>62.866666666666667</v>
      </c>
      <c r="T32" s="1">
        <f t="shared" si="5"/>
        <v>62.866666666666667</v>
      </c>
      <c r="U32" s="1">
        <v>60.8</v>
      </c>
      <c r="V32" s="1">
        <v>44.8</v>
      </c>
      <c r="W32" s="1">
        <v>95.6</v>
      </c>
      <c r="X32" s="1">
        <v>75.8</v>
      </c>
      <c r="Y32" s="1">
        <v>75.400000000000006</v>
      </c>
      <c r="Z32" s="1">
        <v>73.2</v>
      </c>
      <c r="AA32" s="1">
        <v>55.8</v>
      </c>
      <c r="AB32" s="1">
        <v>91.6</v>
      </c>
      <c r="AC32" s="1">
        <v>30.8</v>
      </c>
      <c r="AD32" s="1">
        <v>47.2</v>
      </c>
      <c r="AE32" s="11" t="s">
        <v>37</v>
      </c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" t="s">
        <v>78</v>
      </c>
      <c r="B33" s="1" t="s">
        <v>36</v>
      </c>
      <c r="C33" s="1">
        <v>232</v>
      </c>
      <c r="D33" s="1">
        <v>352</v>
      </c>
      <c r="E33" s="1">
        <v>49</v>
      </c>
      <c r="F33" s="1">
        <v>519</v>
      </c>
      <c r="G33" s="7">
        <v>0.18</v>
      </c>
      <c r="H33" s="1">
        <v>150</v>
      </c>
      <c r="I33" s="1" t="s">
        <v>72</v>
      </c>
      <c r="J33" s="1"/>
      <c r="K33" s="1">
        <v>273</v>
      </c>
      <c r="L33" s="1">
        <f t="shared" si="2"/>
        <v>-224</v>
      </c>
      <c r="M33" s="1"/>
      <c r="N33" s="1"/>
      <c r="O33" s="1"/>
      <c r="P33" s="1"/>
      <c r="Q33" s="1">
        <f t="shared" si="3"/>
        <v>9.8000000000000007</v>
      </c>
      <c r="R33" s="5"/>
      <c r="S33" s="1">
        <f t="shared" si="4"/>
        <v>52.959183673469383</v>
      </c>
      <c r="T33" s="1">
        <f t="shared" si="5"/>
        <v>52.959183673469383</v>
      </c>
      <c r="U33" s="1">
        <v>9.4</v>
      </c>
      <c r="V33" s="1">
        <v>9.8000000000000007</v>
      </c>
      <c r="W33" s="1">
        <v>11</v>
      </c>
      <c r="X33" s="1">
        <v>9.4</v>
      </c>
      <c r="Y33" s="1">
        <v>10</v>
      </c>
      <c r="Z33" s="1">
        <v>14</v>
      </c>
      <c r="AA33" s="1">
        <v>34</v>
      </c>
      <c r="AB33" s="1">
        <v>14.2</v>
      </c>
      <c r="AC33" s="1">
        <v>8.4</v>
      </c>
      <c r="AD33" s="1">
        <v>6.4</v>
      </c>
      <c r="AE33" s="11" t="s">
        <v>37</v>
      </c>
      <c r="AF33" s="1">
        <f>G33*R33</f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79</v>
      </c>
      <c r="B34" s="1" t="s">
        <v>36</v>
      </c>
      <c r="C34" s="1">
        <v>15</v>
      </c>
      <c r="D34" s="1">
        <v>96</v>
      </c>
      <c r="E34" s="1">
        <v>13</v>
      </c>
      <c r="F34" s="1">
        <v>89</v>
      </c>
      <c r="G34" s="7">
        <v>0.14000000000000001</v>
      </c>
      <c r="H34" s="1">
        <v>180</v>
      </c>
      <c r="I34" s="1" t="s">
        <v>43</v>
      </c>
      <c r="J34" s="1"/>
      <c r="K34" s="1">
        <v>20</v>
      </c>
      <c r="L34" s="1">
        <f t="shared" si="2"/>
        <v>-7</v>
      </c>
      <c r="M34" s="1"/>
      <c r="N34" s="1"/>
      <c r="O34" s="1">
        <v>48</v>
      </c>
      <c r="P34" s="1"/>
      <c r="Q34" s="1">
        <f t="shared" si="3"/>
        <v>2.6</v>
      </c>
      <c r="R34" s="5"/>
      <c r="S34" s="1">
        <f t="shared" si="4"/>
        <v>52.692307692307693</v>
      </c>
      <c r="T34" s="1">
        <f t="shared" si="5"/>
        <v>52.692307692307693</v>
      </c>
      <c r="U34" s="1">
        <v>8.6</v>
      </c>
      <c r="V34" s="1">
        <v>7</v>
      </c>
      <c r="W34" s="1">
        <v>2.2000000000000002</v>
      </c>
      <c r="X34" s="1">
        <v>6.2</v>
      </c>
      <c r="Y34" s="1">
        <v>8.4</v>
      </c>
      <c r="Z34" s="1">
        <v>5.2</v>
      </c>
      <c r="AA34" s="1">
        <v>3</v>
      </c>
      <c r="AB34" s="1">
        <v>7.6</v>
      </c>
      <c r="AC34" s="1">
        <v>9.1999999999999993</v>
      </c>
      <c r="AD34" s="1">
        <v>6.8</v>
      </c>
      <c r="AE34" s="1"/>
      <c r="AF34" s="1">
        <f>G34*R34</f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" t="s">
        <v>80</v>
      </c>
      <c r="B35" s="1" t="s">
        <v>36</v>
      </c>
      <c r="C35" s="1">
        <v>46</v>
      </c>
      <c r="D35" s="1">
        <v>80</v>
      </c>
      <c r="E35" s="1">
        <v>37</v>
      </c>
      <c r="F35" s="1">
        <v>77</v>
      </c>
      <c r="G35" s="7">
        <v>0.18</v>
      </c>
      <c r="H35" s="1">
        <v>270</v>
      </c>
      <c r="I35" s="1" t="s">
        <v>43</v>
      </c>
      <c r="J35" s="1"/>
      <c r="K35" s="1">
        <v>45</v>
      </c>
      <c r="L35" s="1">
        <f t="shared" si="2"/>
        <v>-8</v>
      </c>
      <c r="M35" s="1"/>
      <c r="N35" s="1"/>
      <c r="O35" s="1">
        <v>64</v>
      </c>
      <c r="P35" s="1"/>
      <c r="Q35" s="1">
        <f t="shared" si="3"/>
        <v>7.4</v>
      </c>
      <c r="R35" s="5"/>
      <c r="S35" s="1">
        <f t="shared" si="4"/>
        <v>19.054054054054053</v>
      </c>
      <c r="T35" s="1">
        <f t="shared" si="5"/>
        <v>19.054054054054053</v>
      </c>
      <c r="U35" s="1">
        <v>9.8000000000000007</v>
      </c>
      <c r="V35" s="1">
        <v>8.4</v>
      </c>
      <c r="W35" s="1">
        <v>5.4</v>
      </c>
      <c r="X35" s="1">
        <v>10</v>
      </c>
      <c r="Y35" s="1">
        <v>8.8000000000000007</v>
      </c>
      <c r="Z35" s="1">
        <v>7</v>
      </c>
      <c r="AA35" s="1">
        <v>8</v>
      </c>
      <c r="AB35" s="1">
        <v>8</v>
      </c>
      <c r="AC35" s="1">
        <v>8.1999999999999993</v>
      </c>
      <c r="AD35" s="1">
        <v>9</v>
      </c>
      <c r="AE35" s="1"/>
      <c r="AF35" s="1">
        <f>G35*R35</f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" t="s">
        <v>81</v>
      </c>
      <c r="B36" s="1" t="s">
        <v>42</v>
      </c>
      <c r="C36" s="1">
        <v>19.315999999999999</v>
      </c>
      <c r="D36" s="1">
        <v>76.933999999999997</v>
      </c>
      <c r="E36" s="1">
        <v>3.3860000000000001</v>
      </c>
      <c r="F36" s="1">
        <v>92.864000000000004</v>
      </c>
      <c r="G36" s="7">
        <v>1</v>
      </c>
      <c r="H36" s="1">
        <v>180</v>
      </c>
      <c r="I36" s="1" t="s">
        <v>43</v>
      </c>
      <c r="J36" s="1"/>
      <c r="K36" s="1">
        <v>2.5</v>
      </c>
      <c r="L36" s="1">
        <f t="shared" si="2"/>
        <v>0.88600000000000012</v>
      </c>
      <c r="M36" s="1"/>
      <c r="N36" s="1"/>
      <c r="O36" s="1"/>
      <c r="P36" s="1"/>
      <c r="Q36" s="1">
        <f t="shared" si="3"/>
        <v>0.67720000000000002</v>
      </c>
      <c r="R36" s="5"/>
      <c r="S36" s="1">
        <f t="shared" si="4"/>
        <v>137.1293561724749</v>
      </c>
      <c r="T36" s="1">
        <f t="shared" si="5"/>
        <v>137.1293561724749</v>
      </c>
      <c r="U36" s="1">
        <v>2.0004</v>
      </c>
      <c r="V36" s="1">
        <v>5.3651999999999997</v>
      </c>
      <c r="W36" s="1">
        <v>3.3832</v>
      </c>
      <c r="X36" s="1">
        <v>4.6584000000000003</v>
      </c>
      <c r="Y36" s="1">
        <v>2.7492000000000001</v>
      </c>
      <c r="Z36" s="1">
        <v>1.3732</v>
      </c>
      <c r="AA36" s="1">
        <v>2.7864</v>
      </c>
      <c r="AB36" s="1">
        <v>2.1147999999999998</v>
      </c>
      <c r="AC36" s="1">
        <v>0</v>
      </c>
      <c r="AD36" s="1">
        <v>0.76879999999999993</v>
      </c>
      <c r="AE36" s="11" t="s">
        <v>37</v>
      </c>
      <c r="AF36" s="1">
        <f>G36*R36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82</v>
      </c>
      <c r="B37" s="1" t="s">
        <v>42</v>
      </c>
      <c r="C37" s="1">
        <v>3.2240000000000002</v>
      </c>
      <c r="D37" s="1">
        <v>31.364000000000001</v>
      </c>
      <c r="E37" s="1"/>
      <c r="F37" s="1">
        <v>34.588000000000001</v>
      </c>
      <c r="G37" s="7">
        <v>1</v>
      </c>
      <c r="H37" s="1">
        <v>180</v>
      </c>
      <c r="I37" s="1" t="s">
        <v>43</v>
      </c>
      <c r="J37" s="1"/>
      <c r="K37" s="1">
        <v>5</v>
      </c>
      <c r="L37" s="1">
        <f t="shared" si="2"/>
        <v>-5</v>
      </c>
      <c r="M37" s="1"/>
      <c r="N37" s="1"/>
      <c r="O37" s="1">
        <v>16</v>
      </c>
      <c r="P37" s="1"/>
      <c r="Q37" s="1">
        <f t="shared" si="3"/>
        <v>0</v>
      </c>
      <c r="R37" s="5"/>
      <c r="S37" s="1" t="e">
        <f t="shared" si="4"/>
        <v>#DIV/0!</v>
      </c>
      <c r="T37" s="1" t="e">
        <f t="shared" si="5"/>
        <v>#DIV/0!</v>
      </c>
      <c r="U37" s="1">
        <v>2.0691999999999999</v>
      </c>
      <c r="V37" s="1">
        <v>0.60799999999999998</v>
      </c>
      <c r="W37" s="1">
        <v>3.1823999999999999</v>
      </c>
      <c r="X37" s="1">
        <v>0.65959999999999996</v>
      </c>
      <c r="Y37" s="1">
        <v>1.3371999999999999</v>
      </c>
      <c r="Z37" s="1">
        <v>2.06</v>
      </c>
      <c r="AA37" s="1">
        <v>2.5316000000000001</v>
      </c>
      <c r="AB37" s="1">
        <v>0.67400000000000004</v>
      </c>
      <c r="AC37" s="1">
        <v>1.9556</v>
      </c>
      <c r="AD37" s="1">
        <v>0.49800000000000011</v>
      </c>
      <c r="AE37" s="13" t="s">
        <v>98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83</v>
      </c>
      <c r="B38" s="1" t="s">
        <v>42</v>
      </c>
      <c r="C38" s="1">
        <v>19.911999999999999</v>
      </c>
      <c r="D38" s="1">
        <v>29.602</v>
      </c>
      <c r="E38" s="1">
        <v>16.698</v>
      </c>
      <c r="F38" s="1">
        <v>32.816000000000003</v>
      </c>
      <c r="G38" s="7">
        <v>1</v>
      </c>
      <c r="H38" s="1">
        <v>180</v>
      </c>
      <c r="I38" s="1" t="s">
        <v>43</v>
      </c>
      <c r="J38" s="1"/>
      <c r="K38" s="1">
        <v>16.3</v>
      </c>
      <c r="L38" s="1">
        <f t="shared" si="2"/>
        <v>0.39799999999999969</v>
      </c>
      <c r="M38" s="1"/>
      <c r="N38" s="1"/>
      <c r="O38" s="1">
        <v>16</v>
      </c>
      <c r="P38" s="1"/>
      <c r="Q38" s="1">
        <f t="shared" si="3"/>
        <v>3.3395999999999999</v>
      </c>
      <c r="R38" s="5">
        <f t="shared" si="6"/>
        <v>7.9571999999999932</v>
      </c>
      <c r="S38" s="1">
        <f t="shared" si="4"/>
        <v>17</v>
      </c>
      <c r="T38" s="1">
        <f t="shared" si="5"/>
        <v>14.617319439453828</v>
      </c>
      <c r="U38" s="1">
        <v>3.3304</v>
      </c>
      <c r="V38" s="1">
        <v>3.7604000000000002</v>
      </c>
      <c r="W38" s="1">
        <v>1.1832</v>
      </c>
      <c r="X38" s="1">
        <v>6.6988000000000003</v>
      </c>
      <c r="Y38" s="1">
        <v>5.6875999999999998</v>
      </c>
      <c r="Z38" s="1">
        <v>3.0771999999999999</v>
      </c>
      <c r="AA38" s="1">
        <v>4.3231999999999999</v>
      </c>
      <c r="AB38" s="1">
        <v>6.6019999999999994</v>
      </c>
      <c r="AC38" s="1">
        <v>1.9152</v>
      </c>
      <c r="AD38" s="1">
        <v>3.4420000000000002</v>
      </c>
      <c r="AE38" s="1"/>
      <c r="AF38" s="1">
        <f>G38*R38</f>
        <v>7.9571999999999932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84</v>
      </c>
      <c r="B39" s="1" t="s">
        <v>42</v>
      </c>
      <c r="C39" s="1">
        <v>83.251999999999995</v>
      </c>
      <c r="D39" s="1">
        <v>3.1219999999999999</v>
      </c>
      <c r="E39" s="1"/>
      <c r="F39" s="1"/>
      <c r="G39" s="7">
        <v>1</v>
      </c>
      <c r="H39" s="1">
        <v>180</v>
      </c>
      <c r="I39" s="1" t="s">
        <v>43</v>
      </c>
      <c r="J39" s="1"/>
      <c r="K39" s="1">
        <v>2.5</v>
      </c>
      <c r="L39" s="1">
        <f t="shared" si="2"/>
        <v>-2.5</v>
      </c>
      <c r="M39" s="1"/>
      <c r="N39" s="1"/>
      <c r="O39" s="1"/>
      <c r="P39" s="1"/>
      <c r="Q39" s="1">
        <f t="shared" si="3"/>
        <v>0</v>
      </c>
      <c r="R39" s="5">
        <v>10</v>
      </c>
      <c r="S39" s="1" t="e">
        <f t="shared" si="4"/>
        <v>#DIV/0!</v>
      </c>
      <c r="T39" s="1" t="e">
        <f t="shared" si="5"/>
        <v>#DIV/0!</v>
      </c>
      <c r="U39" s="1">
        <v>1.1779999999999999</v>
      </c>
      <c r="V39" s="1">
        <v>1.2692000000000001</v>
      </c>
      <c r="W39" s="1">
        <v>1.8360000000000001</v>
      </c>
      <c r="X39" s="1">
        <v>2.9596</v>
      </c>
      <c r="Y39" s="1">
        <v>1.1559999999999999</v>
      </c>
      <c r="Z39" s="1">
        <v>0.69520000000000004</v>
      </c>
      <c r="AA39" s="1">
        <v>0.59960000000000002</v>
      </c>
      <c r="AB39" s="1">
        <v>1.1588000000000001</v>
      </c>
      <c r="AC39" s="1">
        <v>0</v>
      </c>
      <c r="AD39" s="1">
        <v>0.61199999999999999</v>
      </c>
      <c r="AE39" s="12" t="s">
        <v>100</v>
      </c>
      <c r="AF39" s="1">
        <f>G39*R39</f>
        <v>10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85</v>
      </c>
      <c r="B40" s="1" t="s">
        <v>36</v>
      </c>
      <c r="C40" s="1">
        <v>226</v>
      </c>
      <c r="D40" s="1">
        <v>450</v>
      </c>
      <c r="E40" s="1">
        <v>143</v>
      </c>
      <c r="F40" s="1">
        <v>349</v>
      </c>
      <c r="G40" s="7">
        <v>0.1</v>
      </c>
      <c r="H40" s="1">
        <v>60</v>
      </c>
      <c r="I40" s="1"/>
      <c r="J40" s="1"/>
      <c r="K40" s="1">
        <v>185</v>
      </c>
      <c r="L40" s="1">
        <f t="shared" si="2"/>
        <v>-42</v>
      </c>
      <c r="M40" s="1"/>
      <c r="N40" s="1"/>
      <c r="O40" s="1">
        <v>444</v>
      </c>
      <c r="P40" s="1"/>
      <c r="Q40" s="1">
        <f t="shared" si="3"/>
        <v>28.6</v>
      </c>
      <c r="R40" s="5"/>
      <c r="S40" s="1">
        <f t="shared" si="4"/>
        <v>27.727272727272727</v>
      </c>
      <c r="T40" s="1">
        <f t="shared" si="5"/>
        <v>27.727272727272727</v>
      </c>
      <c r="U40" s="1">
        <v>54.8</v>
      </c>
      <c r="V40" s="1">
        <v>38.4</v>
      </c>
      <c r="W40" s="1">
        <v>19.399999999999999</v>
      </c>
      <c r="X40" s="1">
        <v>44.4</v>
      </c>
      <c r="Y40" s="1">
        <v>47</v>
      </c>
      <c r="Z40" s="1">
        <v>30.2</v>
      </c>
      <c r="AA40" s="1">
        <v>36.6</v>
      </c>
      <c r="AB40" s="1">
        <v>49.2</v>
      </c>
      <c r="AC40" s="1">
        <v>0</v>
      </c>
      <c r="AD40" s="1">
        <v>0.8</v>
      </c>
      <c r="AE40" s="10" t="s">
        <v>40</v>
      </c>
      <c r="AF40" s="1">
        <f>G40*R40</f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86</v>
      </c>
      <c r="B41" s="1" t="s">
        <v>36</v>
      </c>
      <c r="C41" s="1">
        <v>127</v>
      </c>
      <c r="D41" s="1">
        <v>653</v>
      </c>
      <c r="E41" s="1">
        <v>113</v>
      </c>
      <c r="F41" s="1">
        <v>623</v>
      </c>
      <c r="G41" s="7">
        <v>0.1</v>
      </c>
      <c r="H41" s="1">
        <v>90</v>
      </c>
      <c r="I41" s="1" t="s">
        <v>65</v>
      </c>
      <c r="J41" s="1"/>
      <c r="K41" s="1">
        <v>359</v>
      </c>
      <c r="L41" s="1">
        <f t="shared" si="2"/>
        <v>-246</v>
      </c>
      <c r="M41" s="1"/>
      <c r="N41" s="1"/>
      <c r="O41" s="1">
        <v>60</v>
      </c>
      <c r="P41" s="1"/>
      <c r="Q41" s="1">
        <f t="shared" si="3"/>
        <v>22.6</v>
      </c>
      <c r="R41" s="5"/>
      <c r="S41" s="1">
        <f t="shared" si="4"/>
        <v>30.221238938053094</v>
      </c>
      <c r="T41" s="1">
        <f t="shared" si="5"/>
        <v>30.221238938053094</v>
      </c>
      <c r="U41" s="1">
        <v>33.4</v>
      </c>
      <c r="V41" s="1">
        <v>23</v>
      </c>
      <c r="W41" s="1">
        <v>48.2</v>
      </c>
      <c r="X41" s="1">
        <v>33.799999999999997</v>
      </c>
      <c r="Y41" s="1">
        <v>32.799999999999997</v>
      </c>
      <c r="Z41" s="1">
        <v>44.8</v>
      </c>
      <c r="AA41" s="1">
        <v>33.799999999999997</v>
      </c>
      <c r="AB41" s="1">
        <v>31.4</v>
      </c>
      <c r="AC41" s="1">
        <v>33.4</v>
      </c>
      <c r="AD41" s="1">
        <v>67</v>
      </c>
      <c r="AE41" s="1"/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87</v>
      </c>
      <c r="B42" s="1" t="s">
        <v>42</v>
      </c>
      <c r="C42" s="1">
        <v>1.53</v>
      </c>
      <c r="D42" s="1">
        <v>13.932</v>
      </c>
      <c r="E42" s="1">
        <v>1.53</v>
      </c>
      <c r="F42" s="1">
        <v>10.936</v>
      </c>
      <c r="G42" s="7">
        <v>1</v>
      </c>
      <c r="H42" s="1"/>
      <c r="I42" s="1" t="s">
        <v>43</v>
      </c>
      <c r="J42" s="1"/>
      <c r="K42" s="1">
        <v>7.1</v>
      </c>
      <c r="L42" s="1">
        <f t="shared" si="2"/>
        <v>-5.5699999999999994</v>
      </c>
      <c r="M42" s="1"/>
      <c r="N42" s="1"/>
      <c r="O42" s="1">
        <v>12</v>
      </c>
      <c r="P42" s="1"/>
      <c r="Q42" s="1">
        <f t="shared" si="3"/>
        <v>0.30599999999999999</v>
      </c>
      <c r="R42" s="5"/>
      <c r="S42" s="1">
        <f t="shared" si="4"/>
        <v>74.954248366013076</v>
      </c>
      <c r="T42" s="1">
        <f t="shared" si="5"/>
        <v>74.954248366013076</v>
      </c>
      <c r="U42" s="1">
        <v>1.1028</v>
      </c>
      <c r="V42" s="1">
        <v>0.46239999999999998</v>
      </c>
      <c r="W42" s="1">
        <v>1.0915999999999999</v>
      </c>
      <c r="X42" s="1">
        <v>0.56600000000000006</v>
      </c>
      <c r="Y42" s="1">
        <v>1.2756000000000001</v>
      </c>
      <c r="Z42" s="1">
        <v>0.79279999999999995</v>
      </c>
      <c r="AA42" s="1">
        <v>0</v>
      </c>
      <c r="AB42" s="1">
        <v>0</v>
      </c>
      <c r="AC42" s="1">
        <v>0.24940000000000001</v>
      </c>
      <c r="AD42" s="1">
        <v>0.54160000000000008</v>
      </c>
      <c r="AE42" s="1" t="s">
        <v>88</v>
      </c>
      <c r="AF42" s="1">
        <f>G42*R42</f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89</v>
      </c>
      <c r="B43" s="1" t="s">
        <v>36</v>
      </c>
      <c r="C43" s="1">
        <v>61</v>
      </c>
      <c r="D43" s="1">
        <v>80</v>
      </c>
      <c r="E43" s="1">
        <v>31</v>
      </c>
      <c r="F43" s="1">
        <v>94</v>
      </c>
      <c r="G43" s="7">
        <v>0.14000000000000001</v>
      </c>
      <c r="H43" s="1">
        <v>180</v>
      </c>
      <c r="I43" s="1" t="s">
        <v>43</v>
      </c>
      <c r="J43" s="1"/>
      <c r="K43" s="1">
        <v>33</v>
      </c>
      <c r="L43" s="1">
        <f t="shared" si="2"/>
        <v>-2</v>
      </c>
      <c r="M43" s="1"/>
      <c r="N43" s="1"/>
      <c r="O43" s="1">
        <v>144</v>
      </c>
      <c r="P43" s="1"/>
      <c r="Q43" s="1">
        <f t="shared" si="3"/>
        <v>6.2</v>
      </c>
      <c r="R43" s="5"/>
      <c r="S43" s="1">
        <f t="shared" si="4"/>
        <v>38.387096774193544</v>
      </c>
      <c r="T43" s="1">
        <f t="shared" si="5"/>
        <v>38.387096774193544</v>
      </c>
      <c r="U43" s="1">
        <v>15.4</v>
      </c>
      <c r="V43" s="1">
        <v>10.4</v>
      </c>
      <c r="W43" s="1">
        <v>2.8</v>
      </c>
      <c r="X43" s="1">
        <v>10.8</v>
      </c>
      <c r="Y43" s="1">
        <v>15.2</v>
      </c>
      <c r="Z43" s="1">
        <v>8.1999999999999993</v>
      </c>
      <c r="AA43" s="1">
        <v>8.4</v>
      </c>
      <c r="AB43" s="1">
        <v>12.8</v>
      </c>
      <c r="AC43" s="1">
        <v>12.2</v>
      </c>
      <c r="AD43" s="1">
        <v>14.8</v>
      </c>
      <c r="AE43" s="10" t="s">
        <v>40</v>
      </c>
      <c r="AF43" s="1">
        <f>G43*R43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90</v>
      </c>
      <c r="B44" s="1" t="s">
        <v>36</v>
      </c>
      <c r="C44" s="1">
        <v>32</v>
      </c>
      <c r="D44" s="1">
        <v>30</v>
      </c>
      <c r="E44" s="1">
        <v>31</v>
      </c>
      <c r="F44" s="1">
        <v>31</v>
      </c>
      <c r="G44" s="7">
        <v>0.2</v>
      </c>
      <c r="H44" s="1">
        <v>120</v>
      </c>
      <c r="I44" s="1"/>
      <c r="J44" s="1"/>
      <c r="K44" s="1">
        <v>31</v>
      </c>
      <c r="L44" s="1">
        <f t="shared" si="2"/>
        <v>0</v>
      </c>
      <c r="M44" s="1"/>
      <c r="N44" s="1"/>
      <c r="O44" s="1">
        <v>100</v>
      </c>
      <c r="P44" s="1"/>
      <c r="Q44" s="1">
        <f t="shared" si="3"/>
        <v>6.2</v>
      </c>
      <c r="R44" s="5"/>
      <c r="S44" s="1">
        <f t="shared" si="4"/>
        <v>21.129032258064516</v>
      </c>
      <c r="T44" s="1">
        <f t="shared" si="5"/>
        <v>21.129032258064516</v>
      </c>
      <c r="U44" s="1">
        <v>9.1999999999999993</v>
      </c>
      <c r="V44" s="1">
        <v>4.4000000000000004</v>
      </c>
      <c r="W44" s="1">
        <v>5</v>
      </c>
      <c r="X44" s="1">
        <v>9</v>
      </c>
      <c r="Y44" s="1">
        <v>7.6</v>
      </c>
      <c r="Z44" s="1">
        <v>2.8</v>
      </c>
      <c r="AA44" s="1">
        <v>4.4000000000000004</v>
      </c>
      <c r="AB44" s="1">
        <v>5.8</v>
      </c>
      <c r="AC44" s="1">
        <v>2.4</v>
      </c>
      <c r="AD44" s="1">
        <v>4</v>
      </c>
      <c r="AE44" s="1"/>
      <c r="AF44" s="1">
        <f>G44*R44</f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91</v>
      </c>
      <c r="B45" s="1" t="s">
        <v>42</v>
      </c>
      <c r="C45" s="1"/>
      <c r="D45" s="1">
        <v>32.200000000000003</v>
      </c>
      <c r="E45" s="1"/>
      <c r="F45" s="1">
        <v>32.200000000000003</v>
      </c>
      <c r="G45" s="7">
        <v>1</v>
      </c>
      <c r="H45" s="1">
        <v>120</v>
      </c>
      <c r="I45" s="1" t="s">
        <v>43</v>
      </c>
      <c r="J45" s="1"/>
      <c r="K45" s="1">
        <v>3.5</v>
      </c>
      <c r="L45" s="1">
        <f t="shared" si="2"/>
        <v>-3.5</v>
      </c>
      <c r="M45" s="1"/>
      <c r="N45" s="1"/>
      <c r="O45" s="1"/>
      <c r="P45" s="1"/>
      <c r="Q45" s="1">
        <f t="shared" si="3"/>
        <v>0</v>
      </c>
      <c r="R45" s="5"/>
      <c r="S45" s="1" t="e">
        <f t="shared" si="4"/>
        <v>#DIV/0!</v>
      </c>
      <c r="T45" s="1" t="e">
        <f t="shared" si="5"/>
        <v>#DIV/0!</v>
      </c>
      <c r="U45" s="1">
        <v>0</v>
      </c>
      <c r="V45" s="1">
        <v>0</v>
      </c>
      <c r="W45" s="1">
        <v>1.3675999999999999</v>
      </c>
      <c r="X45" s="1">
        <v>1.2427999999999999</v>
      </c>
      <c r="Y45" s="1">
        <v>0.55519999999999992</v>
      </c>
      <c r="Z45" s="1">
        <v>0</v>
      </c>
      <c r="AA45" s="1">
        <v>0</v>
      </c>
      <c r="AB45" s="1">
        <v>0.64680000000000004</v>
      </c>
      <c r="AC45" s="1">
        <v>1.2376</v>
      </c>
      <c r="AD45" s="1">
        <v>0.64039999999999997</v>
      </c>
      <c r="AE45" s="1" t="s">
        <v>92</v>
      </c>
      <c r="AF45" s="1">
        <f>G45*R45</f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93</v>
      </c>
      <c r="B46" s="1" t="s">
        <v>36</v>
      </c>
      <c r="C46" s="1">
        <v>46</v>
      </c>
      <c r="D46" s="1">
        <v>20</v>
      </c>
      <c r="E46" s="1">
        <v>20</v>
      </c>
      <c r="F46" s="1">
        <v>46</v>
      </c>
      <c r="G46" s="7">
        <v>0.2</v>
      </c>
      <c r="H46" s="1">
        <v>120</v>
      </c>
      <c r="I46" s="1"/>
      <c r="J46" s="1"/>
      <c r="K46" s="1">
        <v>20</v>
      </c>
      <c r="L46" s="1">
        <f t="shared" si="2"/>
        <v>0</v>
      </c>
      <c r="M46" s="1"/>
      <c r="N46" s="1"/>
      <c r="O46" s="1">
        <v>60</v>
      </c>
      <c r="P46" s="1"/>
      <c r="Q46" s="1">
        <f t="shared" si="3"/>
        <v>4</v>
      </c>
      <c r="R46" s="5"/>
      <c r="S46" s="1">
        <f t="shared" si="4"/>
        <v>26.5</v>
      </c>
      <c r="T46" s="1">
        <f t="shared" si="5"/>
        <v>26.5</v>
      </c>
      <c r="U46" s="1">
        <v>6.8</v>
      </c>
      <c r="V46" s="1">
        <v>3</v>
      </c>
      <c r="W46" s="1">
        <v>8.1999999999999993</v>
      </c>
      <c r="X46" s="1">
        <v>9.8000000000000007</v>
      </c>
      <c r="Y46" s="1">
        <v>7.4</v>
      </c>
      <c r="Z46" s="1">
        <v>2.2000000000000002</v>
      </c>
      <c r="AA46" s="1">
        <v>4.4000000000000004</v>
      </c>
      <c r="AB46" s="1">
        <v>5</v>
      </c>
      <c r="AC46" s="1">
        <v>4.4000000000000004</v>
      </c>
      <c r="AD46" s="1">
        <v>4.2</v>
      </c>
      <c r="AE46" s="1"/>
      <c r="AF46" s="1">
        <f>G46*R46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94</v>
      </c>
      <c r="B47" s="1" t="s">
        <v>42</v>
      </c>
      <c r="C47" s="1">
        <v>44.701999999999998</v>
      </c>
      <c r="D47" s="1">
        <v>59.194000000000003</v>
      </c>
      <c r="E47" s="1">
        <v>33.088000000000001</v>
      </c>
      <c r="F47" s="1">
        <v>70.808000000000007</v>
      </c>
      <c r="G47" s="7">
        <v>1</v>
      </c>
      <c r="H47" s="1">
        <v>120</v>
      </c>
      <c r="I47" s="1" t="s">
        <v>43</v>
      </c>
      <c r="J47" s="1"/>
      <c r="K47" s="1">
        <v>31.6</v>
      </c>
      <c r="L47" s="1">
        <f t="shared" si="2"/>
        <v>1.4879999999999995</v>
      </c>
      <c r="M47" s="1"/>
      <c r="N47" s="1"/>
      <c r="O47" s="1"/>
      <c r="P47" s="1"/>
      <c r="Q47" s="1">
        <f t="shared" si="3"/>
        <v>6.6176000000000004</v>
      </c>
      <c r="R47" s="5">
        <f t="shared" si="6"/>
        <v>41.691199999999995</v>
      </c>
      <c r="S47" s="1">
        <f t="shared" si="4"/>
        <v>17</v>
      </c>
      <c r="T47" s="1">
        <f t="shared" si="5"/>
        <v>10.699951644100581</v>
      </c>
      <c r="U47" s="1">
        <v>2.9356</v>
      </c>
      <c r="V47" s="1">
        <v>1.4392</v>
      </c>
      <c r="W47" s="1">
        <v>2.964</v>
      </c>
      <c r="X47" s="1">
        <v>5.9272</v>
      </c>
      <c r="Y47" s="1">
        <v>2.8123999999999998</v>
      </c>
      <c r="Z47" s="1">
        <v>4.7555999999999994</v>
      </c>
      <c r="AA47" s="1">
        <v>2.7023999999999999</v>
      </c>
      <c r="AB47" s="1">
        <v>0.66039999999999999</v>
      </c>
      <c r="AC47" s="1">
        <v>0.73239999999999994</v>
      </c>
      <c r="AD47" s="1">
        <v>6.3247999999999998</v>
      </c>
      <c r="AE47" s="1"/>
      <c r="AF47" s="1">
        <f>G47*R47</f>
        <v>41.691199999999995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spans="1:45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</sheetData>
  <autoFilter ref="A3:AF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2026-10-13T15:57:31Z</dcterms:created>
  <dcterms:modified xsi:type="dcterms:W3CDTF">2026-10-13T16:10:15Z</dcterms:modified>
</cp:coreProperties>
</file>