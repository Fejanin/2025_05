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0F167B24-CF01-41D5-AF06-A66AFBC857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Sheet!$A$3:$AI$56</definedName>
  </definedNames>
  <calcPr calcId="191029"/>
</workbook>
</file>

<file path=xl/calcChain.xml><?xml version="1.0" encoding="utf-8"?>
<calcChain xmlns="http://schemas.openxmlformats.org/spreadsheetml/2006/main">
  <c r="AJ7" i="1" l="1"/>
  <c r="AJ8" i="1"/>
  <c r="AJ9" i="1"/>
  <c r="AJ10" i="1"/>
  <c r="AJ11" i="1"/>
  <c r="AJ5" i="1" s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6" i="1"/>
  <c r="S56" i="1"/>
  <c r="S53" i="1"/>
  <c r="S52" i="1"/>
  <c r="S51" i="1"/>
  <c r="S50" i="1"/>
  <c r="S49" i="1"/>
  <c r="S48" i="1"/>
  <c r="S47" i="1"/>
  <c r="S46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R53" i="1" l="1"/>
  <c r="R51" i="1"/>
  <c r="R34" i="1"/>
  <c r="F56" i="1"/>
  <c r="F53" i="1"/>
  <c r="G13" i="1"/>
  <c r="G14" i="1"/>
  <c r="G15" i="1"/>
  <c r="G16" i="1"/>
  <c r="G24" i="1"/>
  <c r="G26" i="1"/>
  <c r="G31" i="1"/>
  <c r="G38" i="1"/>
  <c r="G43" i="1"/>
  <c r="G48" i="1"/>
  <c r="G49" i="1"/>
  <c r="Q7" i="1"/>
  <c r="V7" i="1" s="1"/>
  <c r="Q8" i="1"/>
  <c r="V8" i="1" s="1"/>
  <c r="Q9" i="1"/>
  <c r="W9" i="1" s="1"/>
  <c r="Q10" i="1"/>
  <c r="V10" i="1" s="1"/>
  <c r="Q11" i="1"/>
  <c r="W11" i="1" s="1"/>
  <c r="Q12" i="1"/>
  <c r="V12" i="1" s="1"/>
  <c r="Q13" i="1"/>
  <c r="Q14" i="1"/>
  <c r="Q15" i="1"/>
  <c r="Q16" i="1"/>
  <c r="Q17" i="1"/>
  <c r="V17" i="1" s="1"/>
  <c r="Q18" i="1"/>
  <c r="Q19" i="1"/>
  <c r="W19" i="1" s="1"/>
  <c r="Q20" i="1"/>
  <c r="V20" i="1" s="1"/>
  <c r="Q21" i="1"/>
  <c r="Q22" i="1"/>
  <c r="Q23" i="1"/>
  <c r="Q24" i="1"/>
  <c r="Q25" i="1"/>
  <c r="V25" i="1" s="1"/>
  <c r="Q26" i="1"/>
  <c r="W26" i="1" s="1"/>
  <c r="Q27" i="1"/>
  <c r="V27" i="1" s="1"/>
  <c r="Q28" i="1"/>
  <c r="V28" i="1" s="1"/>
  <c r="Q29" i="1"/>
  <c r="W29" i="1" s="1"/>
  <c r="Q30" i="1"/>
  <c r="V30" i="1" s="1"/>
  <c r="Q31" i="1"/>
  <c r="Q32" i="1"/>
  <c r="V32" i="1" s="1"/>
  <c r="Q33" i="1"/>
  <c r="V33" i="1" s="1"/>
  <c r="Q34" i="1"/>
  <c r="V34" i="1" s="1"/>
  <c r="Q35" i="1"/>
  <c r="V35" i="1" s="1"/>
  <c r="Q36" i="1"/>
  <c r="V36" i="1" s="1"/>
  <c r="Q37" i="1"/>
  <c r="R37" i="1" s="1"/>
  <c r="Q38" i="1"/>
  <c r="Q39" i="1"/>
  <c r="W39" i="1" s="1"/>
  <c r="Q40" i="1"/>
  <c r="V40" i="1" s="1"/>
  <c r="Q41" i="1"/>
  <c r="Q42" i="1"/>
  <c r="Q43" i="1"/>
  <c r="Q44" i="1"/>
  <c r="Q45" i="1"/>
  <c r="V45" i="1" s="1"/>
  <c r="Q46" i="1"/>
  <c r="W46" i="1" s="1"/>
  <c r="Q47" i="1"/>
  <c r="V47" i="1" s="1"/>
  <c r="Q48" i="1"/>
  <c r="Q49" i="1"/>
  <c r="Q50" i="1"/>
  <c r="Q51" i="1"/>
  <c r="Q52" i="1"/>
  <c r="V52" i="1" s="1"/>
  <c r="Q53" i="1"/>
  <c r="Q54" i="1"/>
  <c r="V54" i="1" s="1"/>
  <c r="Q55" i="1"/>
  <c r="V55" i="1" s="1"/>
  <c r="Q56" i="1"/>
  <c r="V56" i="1" s="1"/>
  <c r="Q6" i="1"/>
  <c r="W6" i="1" s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AG5" i="1"/>
  <c r="AF5" i="1"/>
  <c r="AE5" i="1"/>
  <c r="AD5" i="1"/>
  <c r="AC5" i="1"/>
  <c r="AB5" i="1"/>
  <c r="AA5" i="1"/>
  <c r="Z5" i="1"/>
  <c r="Y5" i="1"/>
  <c r="X5" i="1"/>
  <c r="P5" i="1"/>
  <c r="O5" i="1"/>
  <c r="N5" i="1"/>
  <c r="L5" i="1"/>
  <c r="F5" i="1"/>
  <c r="E5" i="1"/>
  <c r="T53" i="1" l="1"/>
  <c r="V53" i="1"/>
  <c r="T51" i="1"/>
  <c r="V51" i="1" s="1"/>
  <c r="R38" i="1"/>
  <c r="R15" i="1"/>
  <c r="R49" i="1"/>
  <c r="R30" i="1"/>
  <c r="R48" i="1"/>
  <c r="R16" i="1"/>
  <c r="R18" i="1"/>
  <c r="R39" i="1"/>
  <c r="R19" i="1"/>
  <c r="R40" i="1"/>
  <c r="R20" i="1"/>
  <c r="R41" i="1"/>
  <c r="R21" i="1"/>
  <c r="R42" i="1"/>
  <c r="R22" i="1"/>
  <c r="R23" i="1"/>
  <c r="R44" i="1"/>
  <c r="R6" i="1"/>
  <c r="R27" i="1"/>
  <c r="R50" i="1"/>
  <c r="V31" i="1"/>
  <c r="W16" i="1"/>
  <c r="V13" i="1"/>
  <c r="V29" i="1"/>
  <c r="W28" i="1"/>
  <c r="W12" i="1"/>
  <c r="W56" i="1"/>
  <c r="W52" i="1"/>
  <c r="W51" i="1"/>
  <c r="W36" i="1"/>
  <c r="W32" i="1"/>
  <c r="V43" i="1"/>
  <c r="V26" i="1"/>
  <c r="V24" i="1"/>
  <c r="V11" i="1"/>
  <c r="V14" i="1"/>
  <c r="V9" i="1"/>
  <c r="V46" i="1"/>
  <c r="W55" i="1"/>
  <c r="W45" i="1"/>
  <c r="W35" i="1"/>
  <c r="W25" i="1"/>
  <c r="W15" i="1"/>
  <c r="W54" i="1"/>
  <c r="W44" i="1"/>
  <c r="W34" i="1"/>
  <c r="W24" i="1"/>
  <c r="W14" i="1"/>
  <c r="W53" i="1"/>
  <c r="W43" i="1"/>
  <c r="W33" i="1"/>
  <c r="W23" i="1"/>
  <c r="W13" i="1"/>
  <c r="W42" i="1"/>
  <c r="W22" i="1"/>
  <c r="W41" i="1"/>
  <c r="W31" i="1"/>
  <c r="W21" i="1"/>
  <c r="W50" i="1"/>
  <c r="W40" i="1"/>
  <c r="W30" i="1"/>
  <c r="W20" i="1"/>
  <c r="W10" i="1"/>
  <c r="W49" i="1"/>
  <c r="W48" i="1"/>
  <c r="W38" i="1"/>
  <c r="W18" i="1"/>
  <c r="W8" i="1"/>
  <c r="V6" i="1"/>
  <c r="W47" i="1"/>
  <c r="W37" i="1"/>
  <c r="W27" i="1"/>
  <c r="W17" i="1"/>
  <c r="W7" i="1"/>
  <c r="G5" i="1"/>
  <c r="Q5" i="1"/>
  <c r="M5" i="1"/>
  <c r="U49" i="1" l="1"/>
  <c r="T49" i="1"/>
  <c r="V49" i="1" s="1"/>
  <c r="T22" i="1"/>
  <c r="V22" i="1" s="1"/>
  <c r="U44" i="1"/>
  <c r="T44" i="1"/>
  <c r="V44" i="1" s="1"/>
  <c r="T23" i="1"/>
  <c r="V23" i="1" s="1"/>
  <c r="U41" i="1"/>
  <c r="T41" i="1" s="1"/>
  <c r="V41" i="1" s="1"/>
  <c r="U21" i="1"/>
  <c r="T21" i="1"/>
  <c r="V21" i="1" s="1"/>
  <c r="U39" i="1"/>
  <c r="T39" i="1" s="1"/>
  <c r="V39" i="1" s="1"/>
  <c r="U42" i="1"/>
  <c r="T42" i="1" s="1"/>
  <c r="V42" i="1" s="1"/>
  <c r="U19" i="1"/>
  <c r="T19" i="1"/>
  <c r="V19" i="1" s="1"/>
  <c r="T18" i="1"/>
  <c r="V18" i="1" s="1"/>
  <c r="T38" i="1"/>
  <c r="V38" i="1" s="1"/>
  <c r="U37" i="1"/>
  <c r="T37" i="1"/>
  <c r="V37" i="1" s="1"/>
  <c r="U50" i="1"/>
  <c r="T50" i="1" s="1"/>
  <c r="V50" i="1" s="1"/>
  <c r="U16" i="1"/>
  <c r="T16" i="1" s="1"/>
  <c r="V16" i="1" s="1"/>
  <c r="U15" i="1"/>
  <c r="U48" i="1"/>
  <c r="T48" i="1" s="1"/>
  <c r="V48" i="1" s="1"/>
  <c r="R5" i="1"/>
  <c r="AI5" i="1" l="1"/>
  <c r="U5" i="1"/>
  <c r="T15" i="1"/>
  <c r="T5" i="1" l="1"/>
  <c r="V15" i="1"/>
</calcChain>
</file>

<file path=xl/sharedStrings.xml><?xml version="1.0" encoding="utf-8"?>
<sst xmlns="http://schemas.openxmlformats.org/spreadsheetml/2006/main" count="184" uniqueCount="108">
  <si>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</si>
  <si>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</si>
  <si>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</si>
  <si>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</si>
  <si>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</si>
  <si>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</si>
  <si>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</si>
  <si>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</si>
  <si>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</si>
  <si>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</si>
  <si>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</si>
  <si>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</si>
  <si>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</si>
  <si>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</si>
  <si>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</si>
  <si>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</si>
  <si>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</si>
  <si>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</si>
  <si>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</si>
  <si>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</si>
  <si>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</si>
  <si>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</si>
  <si>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</si>
  <si>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</si>
  <si>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</si>
  <si>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</si>
  <si>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</si>
  <si>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</si>
  <si>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</si>
  <si>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</si>
  <si>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</si>
  <si>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</si>
  <si>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</si>
  <si>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</si>
  <si>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</si>
  <si>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</si>
  <si>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</si>
  <si>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</si>
  <si>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</si>
  <si>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</si>
  <si>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</si>
  <si>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03,09,26 - нет на заводе / 27,08,26 - нет на заводе</t>
  </si>
  <si>
    <t>4421584 Спред растительно-сливочный "Сливочный вкус" 72,5% 180гр  Останкино</t>
  </si>
  <si>
    <t>нужно увеличить продажи!!!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</si>
  <si>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</si>
  <si>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</si>
  <si>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</si>
  <si>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</si>
  <si>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</si>
  <si>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</si>
  <si>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</si>
  <si>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</si>
  <si>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</si>
  <si>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</si>
  <si>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</si>
  <si>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</si>
  <si>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</si>
  <si>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</si>
  <si>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</si>
  <si>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</si>
  <si>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</si>
  <si>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</si>
  <si>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</si>
  <si>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нет потребности / 15кг списано (14,09,26)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</si>
  <si>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</si>
  <si>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</si>
  <si>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</si>
  <si>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</si>
  <si>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</si>
  <si>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</si>
  <si>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</si>
  <si>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</si>
  <si>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121 шт списана (29,08,26 - пересорт)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</si>
  <si>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</si>
  <si>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</si>
  <si>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</si>
  <si>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</si>
  <si>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14шт списано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</si>
  <si>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</si>
  <si>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</si>
  <si>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</si>
  <si>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ВНИМАНИЕ</t>
  </si>
  <si>
    <t>нужно увеличить продажи!!! / не стабильные продажи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</si>
  <si>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</si>
  <si>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</si>
  <si>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</si>
  <si>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</si>
  <si>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</si>
  <si>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</si>
  <si>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</si>
  <si>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</si>
  <si>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</si>
  <si>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</si>
  <si>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</si>
  <si>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</si>
  <si>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</si>
  <si>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</si>
  <si>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Бердянск</t>
  </si>
  <si>
    <t>Мариуполь</t>
  </si>
  <si>
    <t>%</t>
  </si>
  <si>
    <t>итого</t>
  </si>
  <si>
    <t>72шт списано (19,09,26)</t>
  </si>
  <si>
    <t>не стабильные продажи</t>
  </si>
  <si>
    <t>5шт списано (19,09,26) / 19 списано (16,09,26)</t>
  </si>
  <si>
    <t>60шт списано (22,09,26) / 56шт списано (19,09,26)</t>
  </si>
  <si>
    <t>77шт списано (22,09,26) / 18шт списано (19,09,26)</t>
  </si>
  <si>
    <t>9шт списано (19,09,26)</t>
  </si>
  <si>
    <t>34шт списано (22,09,26) / 19шт списано (19,09,26)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</si>
</sst>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6" fillId="4" borderId="1" xfId="1" applyNumberFormat="1" applyFont="1" applyFill="1"/>
    <xf numFmtId="10" fontId="1" fillId="0" borderId="1" xfId="1" applyNumberFormat="1"/>
    <xf numFmtId="10" fontId="5" fillId="2" borderId="1" xfId="1" applyNumberFormat="1" applyFont="1" applyFill="1"/>
    <xf numFmtId="10" fontId="1" fillId="3" borderId="1" xfId="1" applyNumberFormat="1" applyFill="1"/>
    <xf numFmtId="10" fontId="1" fillId="0" borderId="2" xfId="1" applyNumberFormat="1" applyBorder="1"/>
    <xf numFmtId="10" fontId="0" fillId="0" borderId="0" xfId="0" applyNumberFormat="1"/>
    <xf numFmtId="164" fontId="7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56;&#1040;&#1041;&#1054;&#1063;&#1048;&#1049;%20&#1057;&#1058;&#1054;&#1051;\&#1088;&#1072;&#1089;&#1095;&#1077;&#1090;&#1099;%20&#1054;&#1089;&#1090;&#1072;&#1085;&#1082;&#1080;&#1085;&#1086;%20&#1057;&#1067;&#1056;&#1067;\&#1041;&#1077;&#1088;&#1076;&#1103;&#1085;&#1089;&#1082;\&#1076;&#1074;%2023,09,26%20&#1084;&#1088;&#1088;&#1089;&#1095;%20&#1086;&#1089;&#1090;%20&#1089;&#1099;&#1088;.xlsx" TargetMode="External"/><Relationship Id="rId1" Type="http://schemas.openxmlformats.org/officeDocument/2006/relationships/externalLinkPath" Target="&#1041;&#1077;&#1088;&#1076;&#1103;&#1085;&#1089;&#1082;/&#1076;&#1074;%2023,09,26%20&#1084;&#1088;&#1088;&#1089;&#1095;%20&#1086;&#1089;&#1090;%20&#1089;&#1099;&#1088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56;&#1040;&#1041;&#1054;&#1063;&#1048;&#1049;%20&#1057;&#1058;&#1054;&#1051;\&#1088;&#1072;&#1089;&#1095;&#1077;&#1090;&#1099;%20&#1054;&#1089;&#1090;&#1072;&#1085;&#1082;&#1080;&#1085;&#1086;%20&#1057;&#1067;&#1056;&#1067;\&#1041;&#1077;&#1088;&#1076;&#1103;&#1085;&#1089;&#1082;-&#1052;&#1072;&#1088;&#1080;&#1091;&#1087;&#1086;&#1083;&#1100;%20&#1087;&#1077;&#1088;&#1077;&#1084;&#1077;&#1097;&#1077;&#1085;&#1080;&#1077;%20&#1054;&#1089;&#1090;&#1072;&#1085;&#1082;&#1080;&#1085;&#1086;.xlsx" TargetMode="External"/><Relationship Id="rId1" Type="http://schemas.openxmlformats.org/officeDocument/2006/relationships/externalLinkPath" Target="&#1041;&#1077;&#1088;&#1076;&#1103;&#1085;&#1089;&#1082;-&#1052;&#1072;&#1088;&#1080;&#1091;&#1087;&#1086;&#1083;&#1100;%20&#1087;&#1077;&#1088;&#1077;&#1084;&#1077;&#1097;&#1077;&#1085;&#1080;&#1077;%20&#1054;&#1089;&#1090;&#1072;&#1085;&#1082;&#1080;&#1085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C4" t="str">
            <v>Период: 16.09.2026 - 23.09.2026</v>
          </cell>
        </row>
        <row r="5">
          <cell r="C5" t="str">
            <v>Количество товаров: В единицах хранения</v>
          </cell>
        </row>
        <row r="6">
          <cell r="A6" t="str">
            <v>Отбор:</v>
          </cell>
          <cell r="C6" t="str">
            <v>Склад В группе из списка "АСП Мариуполь Молоко Оста..." И
Номенклатура В группе из списка "Останкино (соусы, майонез...; Останкино СЫР"</v>
          </cell>
        </row>
        <row r="8">
          <cell r="A8" t="str">
            <v>Номенклатура</v>
          </cell>
          <cell r="E8" t="str">
            <v>Количество</v>
          </cell>
        </row>
        <row r="9">
          <cell r="E9" t="str">
            <v>Начальный остаток</v>
          </cell>
          <cell r="G9" t="str">
            <v>Приход</v>
          </cell>
          <cell r="H9" t="str">
            <v>Расход</v>
          </cell>
          <cell r="I9" t="str">
            <v>Конечный остаток</v>
          </cell>
        </row>
        <row r="10">
          <cell r="A10" t="str">
            <v>6948249 Майонезный соус провансаль 824,5гр деликатес.с массовой долей жирн.25% Коровино Останкино</v>
          </cell>
          <cell r="G10">
            <v>54</v>
          </cell>
          <cell r="I10">
            <v>54</v>
          </cell>
        </row>
        <row r="11">
          <cell r="A11" t="str">
            <v>6948256 Майонез провансаль классич.оливковый Папа может 372гр с массовой долей жирн. 67% Останкино</v>
          </cell>
          <cell r="G11">
            <v>48</v>
          </cell>
          <cell r="H11">
            <v>5</v>
          </cell>
          <cell r="I11">
            <v>43</v>
          </cell>
        </row>
        <row r="12">
          <cell r="A12" t="str">
            <v>6948263 Майонез провансаль классич.оливковый Папа может 744гр с массовой долей жирн. 67% Останкино</v>
          </cell>
          <cell r="G12">
            <v>24</v>
          </cell>
          <cell r="H12">
            <v>15</v>
          </cell>
          <cell r="I12">
            <v>9</v>
          </cell>
        </row>
        <row r="13">
          <cell r="A13" t="str">
            <v>6948270 Майонез провансаль классич.Папа может 372гр с массовой долей жирн. 67% Останкино</v>
          </cell>
          <cell r="G13">
            <v>36</v>
          </cell>
          <cell r="H13">
            <v>32</v>
          </cell>
          <cell r="I13">
            <v>4</v>
          </cell>
        </row>
        <row r="14">
          <cell r="A14" t="str">
            <v>6948287 Майонез провансаль классич.Папа может 744гр с массовой долей жирн. 67% Останкино</v>
          </cell>
          <cell r="G14">
            <v>12</v>
          </cell>
          <cell r="H14">
            <v>12</v>
          </cell>
        </row>
        <row r="15">
          <cell r="A15" t="str">
            <v>Плавленый сыр "Шоколадный" 30% 180гр Папа Может Останкино</v>
          </cell>
          <cell r="G15">
            <v>32</v>
          </cell>
          <cell r="I15">
            <v>32</v>
          </cell>
        </row>
        <row r="16">
          <cell r="A16" t="str">
            <v>Плавленый Сыр колбасный копченый 40% СТМ"ПапаМожет"400гр  Останкино</v>
          </cell>
          <cell r="G16">
            <v>16</v>
          </cell>
          <cell r="I16">
            <v>16</v>
          </cell>
        </row>
        <row r="17">
          <cell r="A17" t="str">
            <v>Сыр Боккончини копченый 40% 100 гр.  ОСТАНКИНО</v>
          </cell>
          <cell r="G17">
            <v>104</v>
          </cell>
          <cell r="I17">
            <v>104</v>
          </cell>
        </row>
        <row r="18">
          <cell r="A18" t="str">
            <v>Сыр ПАПА МОЖЕТ "Российский традиционный"45 % 180 г Останкино</v>
          </cell>
          <cell r="G18">
            <v>50</v>
          </cell>
          <cell r="H18">
            <v>29</v>
          </cell>
          <cell r="I18">
            <v>21</v>
          </cell>
        </row>
        <row r="19">
          <cell r="A19" t="str">
            <v>Сыр полутвердый "Гауда" с массовой долей жира в пересчете на сухое вещество 45%,   Останкино</v>
          </cell>
          <cell r="G19">
            <v>50.898000000000003</v>
          </cell>
          <cell r="H19">
            <v>6.5659999999999998</v>
          </cell>
          <cell r="I19">
            <v>44.332000000000001</v>
          </cell>
        </row>
        <row r="20">
          <cell r="A20" t="str">
            <v>Сыр рассольный жирный Чечил 45% 100 гр  ОСТАНКИНО</v>
          </cell>
          <cell r="G20">
            <v>162</v>
          </cell>
          <cell r="H20">
            <v>2</v>
          </cell>
          <cell r="I20">
            <v>160</v>
          </cell>
        </row>
        <row r="21">
          <cell r="A21" t="str">
            <v>Сыр рассольный жирный Чечил копченый 43% 100 гр  Останкино</v>
          </cell>
          <cell r="G21">
            <v>150</v>
          </cell>
          <cell r="H21">
            <v>17</v>
          </cell>
          <cell r="I21">
            <v>133</v>
          </cell>
        </row>
        <row r="22">
          <cell r="A22" t="str">
            <v>Итого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Sheet"/>
    </sheetNames>
    <sheetDataSet>
      <sheetData sheetId="0">
        <row r="8">
          <cell r="D8" t="str">
            <v>Номенклатура</v>
          </cell>
          <cell r="G8" t="str">
            <v>Ед. изм.</v>
          </cell>
          <cell r="H8" t="str">
            <v>Количество</v>
          </cell>
          <cell r="I8" t="str">
            <v>Вес (нетто), кг</v>
          </cell>
        </row>
        <row r="9">
          <cell r="D9" t="str">
            <v>Номенклатура</v>
          </cell>
          <cell r="G9" t="str">
            <v>Ед. изм.</v>
          </cell>
          <cell r="H9" t="str">
            <v>Конечный остаток</v>
          </cell>
          <cell r="I9" t="str">
            <v>Конечный остаток</v>
          </cell>
        </row>
        <row r="10">
          <cell r="D10" t="str">
            <v>Останкино ООО</v>
          </cell>
        </row>
        <row r="11">
          <cell r="D11" t="str">
            <v>ООО Останкино-Краснодар</v>
          </cell>
        </row>
        <row r="12">
          <cell r="D12" t="str">
            <v>0614 ПРАЗДНИЧНАЯ с/к в/с дек.спец.мгс  Останкино</v>
          </cell>
          <cell r="G12" t="str">
            <v>кг</v>
          </cell>
          <cell r="H12">
            <v>3.1909999999999998</v>
          </cell>
          <cell r="I12">
            <v>3.1909999999999998</v>
          </cell>
          <cell r="J12">
            <v>0.49718042798394446</v>
          </cell>
        </row>
        <row r="13">
          <cell r="D13" t="str">
            <v>3287 САЛЯМИ ИТАЛЬЯНСКАЯ с/к в/у ОСТАНКИНО</v>
          </cell>
          <cell r="G13" t="str">
            <v>кг</v>
          </cell>
          <cell r="H13">
            <v>251.72499999999999</v>
          </cell>
          <cell r="I13">
            <v>251.72499999999999</v>
          </cell>
          <cell r="J13">
            <v>0.51642644750970512</v>
          </cell>
        </row>
        <row r="14">
          <cell r="D14" t="str">
            <v>4063 МЯСНАЯ Папа может вар п/о_Л   ОСТАНКИНО</v>
          </cell>
          <cell r="G14" t="str">
            <v>кг</v>
          </cell>
          <cell r="H14">
            <v>1300.961</v>
          </cell>
          <cell r="I14">
            <v>1300.961</v>
          </cell>
          <cell r="J14">
            <v>0.63715226215226217</v>
          </cell>
        </row>
        <row r="15">
          <cell r="D15" t="str">
            <v>4117 ЭКСТРА Папа может с/к в/у_Л   ОСТАНКИНО</v>
          </cell>
          <cell r="G15" t="str">
            <v>кг</v>
          </cell>
          <cell r="H15">
            <v>147.78200000000001</v>
          </cell>
          <cell r="I15">
            <v>147.78200000000001</v>
          </cell>
          <cell r="J15">
            <v>0.67659440419256001</v>
          </cell>
        </row>
        <row r="16">
          <cell r="D16" t="str">
            <v>4574 Мясная со шпиком Папа может вар п/о ОСТАНКИНО</v>
          </cell>
          <cell r="G16" t="str">
            <v>кг</v>
          </cell>
          <cell r="H16">
            <v>85.32</v>
          </cell>
          <cell r="I16">
            <v>85.32</v>
          </cell>
          <cell r="J16">
            <v>0.64048501759638832</v>
          </cell>
        </row>
        <row r="17">
          <cell r="D17" t="str">
            <v>4813 ФИЛЕЙНАЯ Папа может вар п/о_Л   ОСТАНКИНО</v>
          </cell>
          <cell r="G17" t="str">
            <v>кг</v>
          </cell>
          <cell r="H17">
            <v>1260.7439999999999</v>
          </cell>
          <cell r="I17">
            <v>1260.7439999999999</v>
          </cell>
          <cell r="J17">
            <v>0.72316201488996323</v>
          </cell>
        </row>
        <row r="18">
          <cell r="D18" t="str">
            <v>5452 ВЕТЧ.МЯСНАЯ Папа может п/о    ОСТАНКИНО</v>
          </cell>
          <cell r="G18" t="str">
            <v>кг</v>
          </cell>
          <cell r="H18">
            <v>464.29399999999998</v>
          </cell>
          <cell r="I18">
            <v>464.29399999999998</v>
          </cell>
          <cell r="J18">
            <v>0.75044648655669566</v>
          </cell>
        </row>
        <row r="19">
          <cell r="D19" t="str">
            <v>5544 Сервелат Финский в/к в/у_45с НОВАЯ ОСТАНКИНО</v>
          </cell>
          <cell r="G19" t="str">
            <v>кг</v>
          </cell>
          <cell r="H19">
            <v>225.53700000000001</v>
          </cell>
          <cell r="I19">
            <v>225.53700000000001</v>
          </cell>
          <cell r="J19">
            <v>0.46306756150407541</v>
          </cell>
        </row>
        <row r="20">
          <cell r="D20" t="str">
            <v>5708 ПОСОЛЬСКАЯ Папа может с/к в/у ОСТАНКИНО</v>
          </cell>
          <cell r="G20" t="str">
            <v>кг</v>
          </cell>
          <cell r="H20">
            <v>101.015</v>
          </cell>
          <cell r="I20">
            <v>101.015</v>
          </cell>
          <cell r="J20">
            <v>0.67197701996579451</v>
          </cell>
        </row>
        <row r="21">
          <cell r="D21" t="str">
            <v>5851 ЭКСТРА Папа может вар п/о   ОСТАНКИНО</v>
          </cell>
          <cell r="G21" t="str">
            <v>кг</v>
          </cell>
          <cell r="H21">
            <v>246.61600000000001</v>
          </cell>
          <cell r="I21">
            <v>246.61600000000001</v>
          </cell>
          <cell r="J21">
            <v>0.55205808835300629</v>
          </cell>
        </row>
        <row r="22">
          <cell r="D22" t="str">
            <v>6008 САЛО СОЛЕНОЕ С ЧЕРНЫМ ПЕРЦЕМ мл/к в/у ОСТАНКИНО</v>
          </cell>
          <cell r="G22" t="str">
            <v>кг</v>
          </cell>
          <cell r="H22">
            <v>1.3819999999999999</v>
          </cell>
          <cell r="I22">
            <v>1.3819999999999999</v>
          </cell>
          <cell r="J22">
            <v>7.5181076372971486E-2</v>
          </cell>
        </row>
        <row r="23">
          <cell r="D23" t="str">
            <v>6025 ВЕТЧ.ФИРМЕННАЯ С ИНДЕЙКОЙ п/о   ОСТАНКИНО</v>
          </cell>
          <cell r="G23" t="str">
            <v>кг</v>
          </cell>
          <cell r="H23">
            <v>39.21</v>
          </cell>
          <cell r="I23">
            <v>39.21</v>
          </cell>
          <cell r="J23">
            <v>0</v>
          </cell>
        </row>
        <row r="24">
          <cell r="D24" t="str">
            <v>6220 ГОВЯЖЬЯ папа может вар п/о  Останкино</v>
          </cell>
          <cell r="G24" t="str">
            <v>кг</v>
          </cell>
          <cell r="H24">
            <v>183.30600000000001</v>
          </cell>
          <cell r="I24">
            <v>183.30600000000001</v>
          </cell>
          <cell r="J24">
            <v>0.61142635621350516</v>
          </cell>
        </row>
        <row r="25">
          <cell r="D25" t="str">
            <v>6303 Мясные Папа может сос п/о мгс 1,5*3  Останкино</v>
          </cell>
          <cell r="G25" t="str">
            <v>кг</v>
          </cell>
          <cell r="H25">
            <v>1480.7539999999999</v>
          </cell>
          <cell r="I25">
            <v>1480.7539999999999</v>
          </cell>
          <cell r="J25">
            <v>0.19659807091924739</v>
          </cell>
        </row>
        <row r="26">
          <cell r="D26" t="str">
            <v>6470 ВЕТЧ.МРАМОРНАЯ в/у_45с  ОСТАНКИНО</v>
          </cell>
          <cell r="G26" t="str">
            <v>кг</v>
          </cell>
          <cell r="H26">
            <v>191.99</v>
          </cell>
          <cell r="I26">
            <v>191.99</v>
          </cell>
          <cell r="J26">
            <v>1</v>
          </cell>
        </row>
        <row r="27">
          <cell r="D27" t="str">
            <v>6498 МОЛОЧНАЯ Папа может вар п/о  ОСТАНКИНО</v>
          </cell>
          <cell r="G27" t="str">
            <v>кг</v>
          </cell>
          <cell r="H27">
            <v>1415.788</v>
          </cell>
          <cell r="I27">
            <v>1415.788</v>
          </cell>
          <cell r="J27">
            <v>0.76191685830446043</v>
          </cell>
        </row>
        <row r="28">
          <cell r="D28" t="str">
            <v>6527 ШПИКАЧКИ СОЧНЫЕ ПМ сар б/о мгс 1*3 45с ОСТАНКИНО</v>
          </cell>
          <cell r="G28" t="str">
            <v>кг</v>
          </cell>
          <cell r="H28">
            <v>98.549000000000007</v>
          </cell>
          <cell r="I28">
            <v>98.549000000000007</v>
          </cell>
          <cell r="J28">
            <v>0.11367880237399236</v>
          </cell>
        </row>
        <row r="29">
          <cell r="D29" t="str">
            <v>6550 МЯСНЫЕ Папа может сар б/о мгс 1*3 О 45с  Останкино</v>
          </cell>
          <cell r="G29" t="str">
            <v>кг</v>
          </cell>
          <cell r="H29">
            <v>313.00400000000002</v>
          </cell>
          <cell r="I29">
            <v>313.00400000000002</v>
          </cell>
          <cell r="J29">
            <v>0.39876802257807226</v>
          </cell>
        </row>
        <row r="30">
          <cell r="D30" t="str">
            <v>6608 С ГОВЯДИНОЙ ОРИГИН. сар б/о мгс 1*3_45с  ОСТАНКИНО</v>
          </cell>
          <cell r="G30" t="str">
            <v>кг</v>
          </cell>
          <cell r="H30">
            <v>153.31299999999999</v>
          </cell>
          <cell r="I30">
            <v>153.31299999999999</v>
          </cell>
          <cell r="J30">
            <v>0.14720124335219406</v>
          </cell>
        </row>
        <row r="31">
          <cell r="D31" t="str">
            <v>6620 РЕБРЫШКИ к/в в/у_30с  Останкино</v>
          </cell>
          <cell r="G31" t="str">
            <v>кг</v>
          </cell>
          <cell r="H31">
            <v>57.542000000000002</v>
          </cell>
          <cell r="I31">
            <v>57.542000000000002</v>
          </cell>
          <cell r="J31">
            <v>0</v>
          </cell>
        </row>
        <row r="32">
          <cell r="D32" t="str">
            <v>6661 СОЧНЫЙ ГРИЛЬ ПМ сос п/о мгс 1,5*4_Маяк Останкино</v>
          </cell>
          <cell r="G32" t="str">
            <v>кг</v>
          </cell>
          <cell r="H32">
            <v>309.73500000000001</v>
          </cell>
          <cell r="I32">
            <v>309.73500000000001</v>
          </cell>
          <cell r="J32">
            <v>0.40149635777271597</v>
          </cell>
        </row>
        <row r="33">
          <cell r="D33" t="str">
            <v>6761 МОЛОЧНЫЕ ГОСТ сос ц/о мгс 1*4  Останкино</v>
          </cell>
          <cell r="G33" t="str">
            <v>кг</v>
          </cell>
          <cell r="H33">
            <v>16.449000000000002</v>
          </cell>
          <cell r="I33">
            <v>16.449000000000002</v>
          </cell>
          <cell r="J33">
            <v>0</v>
          </cell>
        </row>
        <row r="34">
          <cell r="D34" t="str">
            <v>6829  МОЛОЧНЫЕ КЛАССИЧЕСКИЕ сос п/о мгс 2*4 С  Останккино</v>
          </cell>
          <cell r="G34" t="str">
            <v>кг</v>
          </cell>
          <cell r="H34">
            <v>206.52500000000001</v>
          </cell>
          <cell r="I34">
            <v>206.52500000000001</v>
          </cell>
          <cell r="J34">
            <v>0.12663247957849127</v>
          </cell>
        </row>
        <row r="35">
          <cell r="D35" t="str">
            <v>6929 КАРБОНАД ДОМАШНИЙ ПМ к/в кр/к в/у  ОСТАНКИНО</v>
          </cell>
          <cell r="G35" t="str">
            <v>кг</v>
          </cell>
          <cell r="H35">
            <v>84.635999999999996</v>
          </cell>
          <cell r="I35">
            <v>84.635999999999996</v>
          </cell>
          <cell r="J35">
            <v>0</v>
          </cell>
        </row>
        <row r="36">
          <cell r="D36" t="str">
            <v>7001 КЛАССИЧЕСКИЕ Папа может сар б/о мгс 1*3  Останкино</v>
          </cell>
          <cell r="G36" t="str">
            <v>кг</v>
          </cell>
          <cell r="H36">
            <v>62.631</v>
          </cell>
          <cell r="I36">
            <v>62.631</v>
          </cell>
          <cell r="J36">
            <v>0.15956918726214295</v>
          </cell>
        </row>
        <row r="37">
          <cell r="D37" t="str">
            <v>7070 СОЧНЫЕ ПМ сос п/о 1,5*4_А_50с  Останкино</v>
          </cell>
          <cell r="G37" t="str">
            <v>кг</v>
          </cell>
          <cell r="H37">
            <v>630.59900000000005</v>
          </cell>
          <cell r="I37">
            <v>630.59900000000005</v>
          </cell>
          <cell r="J37">
            <v>0.50829720715410276</v>
          </cell>
        </row>
        <row r="38">
          <cell r="D38" t="str">
            <v>7075 МОЛОЧ.ПРЕМИУМ ПМ сос п/о мгс 1,5*4_О_50с  Останкино</v>
          </cell>
          <cell r="G38" t="str">
            <v>кг</v>
          </cell>
          <cell r="H38">
            <v>-9.0760000000000005</v>
          </cell>
          <cell r="I38">
            <v>-9.0760000000000005</v>
          </cell>
          <cell r="J38">
            <v>0</v>
          </cell>
        </row>
        <row r="39">
          <cell r="D39" t="str">
            <v>7083 СЛИВОЧНЫЕ ПМ сос п/о мгс 1.5*4_А_50с  ОСТАНКИНО</v>
          </cell>
          <cell r="G39" t="str">
            <v>кг</v>
          </cell>
          <cell r="H39">
            <v>178.303</v>
          </cell>
          <cell r="I39">
            <v>178.303</v>
          </cell>
          <cell r="J39">
            <v>5.13818006740491E-2</v>
          </cell>
        </row>
        <row r="40">
          <cell r="D40" t="str">
            <v>7157 СЕРВЕЛАТ ЗЕРНИСТЫЙ ПМ в/к в/у_50с  Останкино</v>
          </cell>
          <cell r="G40" t="str">
            <v>кг</v>
          </cell>
          <cell r="H40">
            <v>462.47300000000001</v>
          </cell>
          <cell r="I40">
            <v>462.47300000000001</v>
          </cell>
          <cell r="J40">
            <v>0.49845613343158723</v>
          </cell>
        </row>
        <row r="41">
          <cell r="D41" t="str">
            <v>7166 СЕРВЕЛАТ ОХОТНИЧИЙ ПМ в/к в/у_50с  Останкино</v>
          </cell>
          <cell r="G41" t="str">
            <v>кг</v>
          </cell>
          <cell r="H41">
            <v>617.61</v>
          </cell>
          <cell r="I41">
            <v>617.61</v>
          </cell>
          <cell r="J41">
            <v>0.48903541207700518</v>
          </cell>
        </row>
        <row r="42">
          <cell r="D42" t="str">
            <v>7299 НАБОР ДЛЯ ПИЦЦЫ Папа Может с/к в/у  ОСТАНКИНО</v>
          </cell>
          <cell r="G42" t="str">
            <v>кг</v>
          </cell>
          <cell r="H42">
            <v>45.453000000000003</v>
          </cell>
          <cell r="I42">
            <v>45.453000000000003</v>
          </cell>
          <cell r="J42">
            <v>0.41066279365617847</v>
          </cell>
        </row>
        <row r="43">
          <cell r="D43" t="str">
            <v>7514 ЛЮБИТЕЛЬСКАЯ ОСТАНКИНСКАЯ вар п/о в/у  ОСТАНКИНО</v>
          </cell>
          <cell r="G43" t="str">
            <v>кг</v>
          </cell>
          <cell r="H43">
            <v>85.8</v>
          </cell>
          <cell r="I43">
            <v>85.8</v>
          </cell>
          <cell r="J43">
            <v>0</v>
          </cell>
        </row>
        <row r="44">
          <cell r="D44" t="str">
            <v>7518 ТЕЛЯЧЬЯ ГОСТ Останкино вар п/о в/у  ОСТАНКИНО</v>
          </cell>
          <cell r="G44" t="str">
            <v>кг</v>
          </cell>
          <cell r="H44">
            <v>95.32</v>
          </cell>
          <cell r="I44">
            <v>95.32</v>
          </cell>
          <cell r="J44">
            <v>0</v>
          </cell>
        </row>
        <row r="45">
          <cell r="D45" t="str">
            <v>7562 КРАКОВСКАЯ ГОСТ Останкино п/к н/о мгс  ОСТАНКИНО</v>
          </cell>
          <cell r="G45" t="str">
            <v>кг</v>
          </cell>
          <cell r="H45">
            <v>135.017</v>
          </cell>
          <cell r="I45">
            <v>135.017</v>
          </cell>
          <cell r="J45">
            <v>0.4465351162598869</v>
          </cell>
        </row>
        <row r="46">
          <cell r="D46" t="str">
            <v>7564 Балыковая в/к в/у Останкино Вес  ОСТАНКИНО</v>
          </cell>
          <cell r="G46" t="str">
            <v>кг</v>
          </cell>
          <cell r="H46">
            <v>3.2189999999999999</v>
          </cell>
          <cell r="I46">
            <v>3.2189999999999999</v>
          </cell>
          <cell r="J46">
            <v>0.40681027729125813</v>
          </cell>
        </row>
        <row r="47">
          <cell r="D47" t="str">
            <v>ООО Останкино-Краснодар (ШТ)</v>
          </cell>
        </row>
        <row r="48">
          <cell r="D48" t="str">
            <v>3215 ВЕТЧ.МЯСНАЯ Папа может п/о 0.4кг 8шт.    ОСТАНКИНО</v>
          </cell>
          <cell r="G48" t="str">
            <v>шт</v>
          </cell>
          <cell r="H48">
            <v>490</v>
          </cell>
          <cell r="I48">
            <v>196</v>
          </cell>
          <cell r="J48">
            <v>0.58595041322314056</v>
          </cell>
        </row>
        <row r="49">
          <cell r="D49" t="str">
            <v>3986 Ароматная с/к в/у 1/250 ОСТАНКИНО</v>
          </cell>
          <cell r="G49" t="str">
            <v>шт</v>
          </cell>
          <cell r="H49">
            <v>419</v>
          </cell>
          <cell r="I49">
            <v>104.75</v>
          </cell>
          <cell r="J49">
            <v>0.4478442280945758</v>
          </cell>
        </row>
        <row r="50">
          <cell r="D50" t="str">
            <v>4993 САЛЯМИ ИТАЛЬЯНСКАЯ с/к в/у 1/250*8_120c ОСТАНКИНО</v>
          </cell>
          <cell r="G50" t="str">
            <v>шт</v>
          </cell>
          <cell r="H50">
            <v>589</v>
          </cell>
          <cell r="I50">
            <v>147.25</v>
          </cell>
          <cell r="J50">
            <v>0.67886178861788615</v>
          </cell>
        </row>
        <row r="51">
          <cell r="D51" t="str">
            <v>5483 ЭКСТРА Папа может с/к в/у 1/250 8шт.   ОСТАНКИНО</v>
          </cell>
          <cell r="G51" t="str">
            <v>шт</v>
          </cell>
          <cell r="H51">
            <v>554</v>
          </cell>
          <cell r="I51">
            <v>138.5</v>
          </cell>
          <cell r="J51">
            <v>0.49424552429667518</v>
          </cell>
        </row>
        <row r="52">
          <cell r="D52" t="str">
            <v>5495 ВЕТЧ.С ИНДЕЙКОЙ Папа может п/о 400*6  Останкино</v>
          </cell>
          <cell r="G52" t="str">
            <v>шт</v>
          </cell>
          <cell r="H52">
            <v>435</v>
          </cell>
          <cell r="I52">
            <v>174</v>
          </cell>
          <cell r="J52">
            <v>0.47460087082728591</v>
          </cell>
        </row>
        <row r="53">
          <cell r="D53" t="str">
            <v>5819 Сосиски Папа может 400г Мясные  ОСТАНКИНО</v>
          </cell>
          <cell r="G53" t="str">
            <v>шт</v>
          </cell>
          <cell r="H53">
            <v>356</v>
          </cell>
          <cell r="I53">
            <v>142.4</v>
          </cell>
          <cell r="J53">
            <v>1</v>
          </cell>
        </row>
        <row r="54">
          <cell r="D54" t="str">
            <v>5931 ОХОТНИЧЬЯ Папа может с/к в/у 1/220 8шт.   ОСТАНКИНО</v>
          </cell>
          <cell r="G54" t="str">
            <v>шт</v>
          </cell>
          <cell r="H54">
            <v>657</v>
          </cell>
          <cell r="I54">
            <v>144.54</v>
          </cell>
          <cell r="J54">
            <v>0.52799552071668532</v>
          </cell>
        </row>
        <row r="55">
          <cell r="D55" t="str">
            <v>6221 НЕОПОЛИТАНСКИЙ ДУЭТ с/к с/н мгс 1/90  Останкино</v>
          </cell>
          <cell r="G55" t="str">
            <v>шт</v>
          </cell>
          <cell r="H55">
            <v>342</v>
          </cell>
          <cell r="I55">
            <v>30.78</v>
          </cell>
          <cell r="J55">
            <v>0.43263288009888751</v>
          </cell>
        </row>
        <row r="56">
          <cell r="D56" t="str">
            <v>6222 ИТАЛЬЯНСКОЕ АССОРТИ с/в с/н мгс 1/90 ОСТАНКИНО</v>
          </cell>
          <cell r="G56" t="str">
            <v>шт</v>
          </cell>
          <cell r="H56">
            <v>68</v>
          </cell>
          <cell r="I56">
            <v>6.12</v>
          </cell>
          <cell r="J56">
            <v>1</v>
          </cell>
        </row>
        <row r="57">
          <cell r="D57" t="str">
            <v>6228 МЯСНОЕ АССОРТИ к/з с/н мгс 1/90 10шт  Останкино</v>
          </cell>
          <cell r="G57" t="str">
            <v>шт</v>
          </cell>
          <cell r="H57">
            <v>199</v>
          </cell>
          <cell r="I57">
            <v>17.91</v>
          </cell>
          <cell r="J57">
            <v>0.55172413793103448</v>
          </cell>
        </row>
        <row r="58">
          <cell r="D58" t="str">
            <v>6279 КОРЕЙКА ПО-ОСТ.к/в в/с с/н в/у 1/150_45с  Останкино</v>
          </cell>
          <cell r="G58" t="str">
            <v>шт</v>
          </cell>
          <cell r="H58">
            <v>225</v>
          </cell>
          <cell r="I58">
            <v>33.75</v>
          </cell>
          <cell r="J58">
            <v>0.93548387096774177</v>
          </cell>
        </row>
        <row r="59">
          <cell r="D59" t="str">
            <v>6325 ДОКТОРСКАЯ ПРЕМИУМ вар п/о 0.4кг 8шт.  ОСТАНКИНО</v>
          </cell>
          <cell r="G59" t="str">
            <v>шт</v>
          </cell>
          <cell r="H59">
            <v>129</v>
          </cell>
          <cell r="I59">
            <v>51.6</v>
          </cell>
          <cell r="J59">
            <v>0.56488549618320616</v>
          </cell>
        </row>
        <row r="60">
          <cell r="D60" t="str">
            <v>6333 МЯСНАЯ Папа может вар п/о 0.4кг 8шт.  ОСТАНКИНО</v>
          </cell>
          <cell r="G60" t="str">
            <v>шт</v>
          </cell>
          <cell r="H60">
            <v>836</v>
          </cell>
          <cell r="I60">
            <v>334.4</v>
          </cell>
          <cell r="J60">
            <v>0.56711409395973145</v>
          </cell>
        </row>
        <row r="61">
          <cell r="D61" t="str">
            <v>6364 СЕРВЕЛАТ ЗЕРНИСТЫЙ ПМ в/к в/у 0.35кг  ОСТАНКИНО</v>
          </cell>
          <cell r="G61" t="str">
            <v>шт</v>
          </cell>
          <cell r="H61">
            <v>-1</v>
          </cell>
          <cell r="I61">
            <v>-0.35</v>
          </cell>
          <cell r="J61">
            <v>0</v>
          </cell>
        </row>
        <row r="62">
          <cell r="D62" t="str">
            <v>6392 ФИЛЕЙНАЯ Папа может вар п/о 0,4кг  ОСТАНКИНО</v>
          </cell>
          <cell r="G62" t="str">
            <v>шт</v>
          </cell>
          <cell r="H62">
            <v>779</v>
          </cell>
          <cell r="I62">
            <v>311.60000000000002</v>
          </cell>
          <cell r="J62">
            <v>0.61348077935755663</v>
          </cell>
        </row>
        <row r="63">
          <cell r="D63" t="str">
            <v>6411 ВЕТЧ.РУБЛЕНАЯ ПМ в/у срез 0.3кг 6шт.  ОСТАНКИНО</v>
          </cell>
          <cell r="G63" t="str">
            <v>шт</v>
          </cell>
          <cell r="H63">
            <v>82</v>
          </cell>
          <cell r="I63">
            <v>24.6</v>
          </cell>
          <cell r="J63">
            <v>0.23214285714285712</v>
          </cell>
        </row>
        <row r="64">
          <cell r="D64" t="str">
            <v>6453 ЭКСТРА Папа может с/к с/н в/у 1/100 14шт.   ОСТАНКИНО</v>
          </cell>
          <cell r="G64" t="str">
            <v>шт</v>
          </cell>
          <cell r="H64">
            <v>2</v>
          </cell>
          <cell r="I64">
            <v>0.2</v>
          </cell>
          <cell r="J64">
            <v>0</v>
          </cell>
        </row>
        <row r="65">
          <cell r="D65" t="str">
            <v>6475 Сосиски Папа может 400г С сыром  ОСТАНКИНО</v>
          </cell>
          <cell r="G65" t="str">
            <v>шт</v>
          </cell>
          <cell r="H65">
            <v>270</v>
          </cell>
          <cell r="I65">
            <v>108</v>
          </cell>
          <cell r="J65">
            <v>1</v>
          </cell>
        </row>
        <row r="66">
          <cell r="D66" t="str">
            <v>6495 ВЕТЧ.МРАМОРНАЯ в/у срез 0,3кг 6шт_45с  Останкино</v>
          </cell>
          <cell r="G66" t="str">
            <v>шт</v>
          </cell>
          <cell r="H66">
            <v>332</v>
          </cell>
          <cell r="I66">
            <v>99.6</v>
          </cell>
          <cell r="J66">
            <v>0.49881796690307323</v>
          </cell>
        </row>
        <row r="67">
          <cell r="D67" t="str">
            <v>6616 МОЛОЧНЫЕ КЛАССИЧЕСКИЕ сос п/о в/у 0,3 кг  Останкино</v>
          </cell>
          <cell r="G67" t="str">
            <v>шт</v>
          </cell>
          <cell r="H67">
            <v>501</v>
          </cell>
          <cell r="I67">
            <v>150.30000000000001</v>
          </cell>
          <cell r="J67">
            <v>0.29040404040404044</v>
          </cell>
        </row>
        <row r="68">
          <cell r="D68" t="str">
            <v>6697 СЕРВЕЛАТ ФИНСКИЙ ПМ в/к в/у 0,35кг 8шт  ОСТАНКИНО</v>
          </cell>
          <cell r="G68" t="str">
            <v>шт</v>
          </cell>
          <cell r="H68">
            <v>938</v>
          </cell>
          <cell r="I68">
            <v>328.3</v>
          </cell>
          <cell r="J68">
            <v>0.59639759839893258</v>
          </cell>
        </row>
        <row r="69">
          <cell r="D69" t="str">
            <v>6713 СОЧНЫЙ ГРИЛЬ ПМ сос п/о мгс 0,41кг 8 шт.  ОСТАНКИНО</v>
          </cell>
          <cell r="G69" t="str">
            <v>шт</v>
          </cell>
          <cell r="H69">
            <v>1353</v>
          </cell>
          <cell r="I69">
            <v>554.73</v>
          </cell>
          <cell r="J69">
            <v>0.60706401766004414</v>
          </cell>
        </row>
        <row r="70">
          <cell r="D70" t="str">
            <v>6724 МОЛОЧНЫЕ ПМ сос п/о мгс 0,41кг 10шт  Останкино</v>
          </cell>
          <cell r="G70" t="str">
            <v>шт</v>
          </cell>
          <cell r="H70">
            <v>824</v>
          </cell>
          <cell r="I70">
            <v>337.84</v>
          </cell>
          <cell r="J70">
            <v>0.41992551210428308</v>
          </cell>
        </row>
        <row r="71">
          <cell r="D71" t="str">
            <v>6765 РУБЛЕНЫЕ сос ц/о мгс 0,36кг 6шт  Останкино</v>
          </cell>
          <cell r="G71" t="str">
            <v>шт</v>
          </cell>
          <cell r="H71">
            <v>7</v>
          </cell>
          <cell r="I71">
            <v>2.52</v>
          </cell>
          <cell r="J71">
            <v>8.1967213114754092E-2</v>
          </cell>
        </row>
        <row r="72">
          <cell r="D72" t="str">
            <v>6787 СЕРВЕЛАТ КРЕМЛЕВСКИЙ в/к в/у 0,33кг 8шт  Останкино</v>
          </cell>
          <cell r="G72" t="str">
            <v>шт</v>
          </cell>
          <cell r="H72">
            <v>29</v>
          </cell>
          <cell r="I72">
            <v>9.57</v>
          </cell>
          <cell r="J72">
            <v>0.38644067796610171</v>
          </cell>
        </row>
        <row r="73">
          <cell r="D73" t="str">
            <v>6797 С ИНДЕЙКОЙ Папа может вар п/о 0,4кг 8шт. ОСТАНКИНО</v>
          </cell>
          <cell r="G73" t="str">
            <v>шт</v>
          </cell>
          <cell r="H73">
            <v>59</v>
          </cell>
          <cell r="I73">
            <v>23.6</v>
          </cell>
          <cell r="J73">
            <v>0.50269541778975735</v>
          </cell>
        </row>
        <row r="74">
          <cell r="D74" t="str">
            <v>6807 СЕРВЕЛАТ ЕВРОПЕЙСКИЙ в/к в/у 0,33кг 8шт  Останкино</v>
          </cell>
          <cell r="G74" t="str">
            <v>шт</v>
          </cell>
          <cell r="H74">
            <v>42</v>
          </cell>
          <cell r="I74">
            <v>13.86</v>
          </cell>
          <cell r="J74">
            <v>3.7037037037037035E-2</v>
          </cell>
        </row>
        <row r="75">
          <cell r="D75" t="str">
            <v>6837 ФИЛЕЙНЫЕ Папа Может сос ц/о мгс 0,4кг  Останкино</v>
          </cell>
          <cell r="G75" t="str">
            <v>шт</v>
          </cell>
          <cell r="H75">
            <v>312</v>
          </cell>
          <cell r="I75">
            <v>124.8</v>
          </cell>
          <cell r="J75">
            <v>1</v>
          </cell>
        </row>
        <row r="76">
          <cell r="D76" t="str">
            <v>6925 ВЕТЧ.КЛАССИЧЕСКАЯ в/у 0,6кг 8шт. ОСТАНКИНО</v>
          </cell>
          <cell r="G76" t="str">
            <v>шт</v>
          </cell>
          <cell r="H76">
            <v>44</v>
          </cell>
          <cell r="I76">
            <v>26.4</v>
          </cell>
          <cell r="J76">
            <v>0.39999999999999997</v>
          </cell>
        </row>
        <row r="77">
          <cell r="D77" t="str">
            <v>6937 САЛЯМИ Папа может с/к в/у 1/250 8шт  Останкино</v>
          </cell>
          <cell r="G77" t="str">
            <v>шт</v>
          </cell>
          <cell r="H77">
            <v>119</v>
          </cell>
          <cell r="I77">
            <v>29.75</v>
          </cell>
          <cell r="J77">
            <v>1</v>
          </cell>
        </row>
        <row r="78">
          <cell r="D78" t="str">
            <v>6967 БУРГУНДИЯ Папа может с/к в/у 1/250 8шт  Останкино</v>
          </cell>
          <cell r="G78" t="str">
            <v>шт</v>
          </cell>
          <cell r="H78">
            <v>370</v>
          </cell>
          <cell r="I78">
            <v>92.5</v>
          </cell>
          <cell r="J78">
            <v>0.56802721088435371</v>
          </cell>
        </row>
        <row r="79">
          <cell r="D79" t="str">
            <v>7040 С ИНДЕЙКОЙ ПМ сос ц/о в/у 1/270 8шт.  ОСТАНКИНО</v>
          </cell>
          <cell r="G79" t="str">
            <v>шт</v>
          </cell>
          <cell r="J79">
            <v>5.7142857142857143E-3</v>
          </cell>
        </row>
        <row r="80">
          <cell r="D80" t="str">
            <v>7059 ШПИКАЧКИ СОЧНЫЕ С БЕК. п/о мгс 0,3кг 60с ОСТАНКИНО</v>
          </cell>
          <cell r="G80" t="str">
            <v>шт</v>
          </cell>
          <cell r="H80">
            <v>12</v>
          </cell>
          <cell r="I80">
            <v>3.6</v>
          </cell>
          <cell r="J80">
            <v>0.19747899159663865</v>
          </cell>
        </row>
        <row r="81">
          <cell r="D81" t="str">
            <v>7066 СОЧНЫЕ ПМ сос п/о мгс 0,41кг 10шт 50с  Останкино</v>
          </cell>
          <cell r="G81" t="str">
            <v>шт</v>
          </cell>
          <cell r="H81">
            <v>2661</v>
          </cell>
          <cell r="I81">
            <v>1091.01</v>
          </cell>
          <cell r="J81">
            <v>0.44748274980833119</v>
          </cell>
        </row>
        <row r="82">
          <cell r="D82" t="str">
            <v>7067 СОЧНЫЕ ПМ сос. п/о мгс 0,41кг СНГ 50с ОСТАНКИНО</v>
          </cell>
          <cell r="G82" t="str">
            <v>шт</v>
          </cell>
          <cell r="H82">
            <v>-1</v>
          </cell>
          <cell r="I82">
            <v>-0.41</v>
          </cell>
          <cell r="J82">
            <v>0</v>
          </cell>
        </row>
        <row r="83">
          <cell r="D83" t="str">
            <v>7073 МОЛОЧ.ПРЕМИУМ ПМ сос п/о в/у 1/350_50с  Останкино</v>
          </cell>
          <cell r="G83" t="str">
            <v>шт</v>
          </cell>
          <cell r="H83">
            <v>452</v>
          </cell>
          <cell r="I83">
            <v>158.19999999999999</v>
          </cell>
          <cell r="J83">
            <v>0.62863795110593723</v>
          </cell>
        </row>
        <row r="84">
          <cell r="D84" t="str">
            <v>7080 СЛИВОЧНЫЕ ПМ сос п/о мгс 0,41кг 10шт 50с  Останкино</v>
          </cell>
          <cell r="G84" t="str">
            <v>шт</v>
          </cell>
          <cell r="H84">
            <v>1485</v>
          </cell>
          <cell r="I84">
            <v>608.85</v>
          </cell>
          <cell r="J84">
            <v>0.49294045426642114</v>
          </cell>
        </row>
        <row r="85">
          <cell r="D85" t="str">
            <v>7090 СВИНИНА ПО-ДОМ.к/в мл/к в/у 0,3кг_50с  Останкино</v>
          </cell>
          <cell r="G85" t="str">
            <v>шт</v>
          </cell>
          <cell r="H85">
            <v>481</v>
          </cell>
          <cell r="I85">
            <v>144.30000000000001</v>
          </cell>
          <cell r="J85">
            <v>0.60492379835873389</v>
          </cell>
        </row>
        <row r="86">
          <cell r="D86" t="str">
            <v>7103 БЕКОН Останкино с/к с/н в/у 1/180_50с  Останкино</v>
          </cell>
          <cell r="G86" t="str">
            <v>шт</v>
          </cell>
          <cell r="H86">
            <v>231</v>
          </cell>
          <cell r="I86">
            <v>41.58</v>
          </cell>
          <cell r="J86">
            <v>0.69161290322580649</v>
          </cell>
        </row>
        <row r="87">
          <cell r="D87" t="str">
            <v>7143 БРАУНШВЕЙГСКАЯ ГОСТ с/к в/у 1/220 8шт.  ОСТАНКИНО</v>
          </cell>
          <cell r="G87" t="str">
            <v>шт</v>
          </cell>
          <cell r="H87">
            <v>262</v>
          </cell>
          <cell r="I87">
            <v>57.64</v>
          </cell>
          <cell r="J87">
            <v>0</v>
          </cell>
        </row>
        <row r="88">
          <cell r="D88" t="str">
            <v>7147 САЛЬЧИЧОН Останкино с/к в/у 1/220 8 шт  Останкино</v>
          </cell>
          <cell r="G88" t="str">
            <v>шт</v>
          </cell>
          <cell r="H88">
            <v>144</v>
          </cell>
          <cell r="I88">
            <v>31.68</v>
          </cell>
          <cell r="J88">
            <v>1</v>
          </cell>
        </row>
        <row r="89">
          <cell r="D89" t="str">
            <v>7154 СЕРВЕЛАТ ЗЕРНИСТЫЙ ПМ в/к в/у 0,35кг_50с  Останкино</v>
          </cell>
          <cell r="G89" t="str">
            <v>шт</v>
          </cell>
          <cell r="H89">
            <v>1284</v>
          </cell>
          <cell r="I89">
            <v>449.4</v>
          </cell>
          <cell r="J89">
            <v>0.61917293233082715</v>
          </cell>
        </row>
        <row r="90">
          <cell r="D90" t="str">
            <v>7169 СЕРВЕЛАТ ОХОТНИЧИЙ ПМ в/к в/у 0,35кг_50с  Останкино</v>
          </cell>
          <cell r="G90" t="str">
            <v>шт</v>
          </cell>
          <cell r="H90">
            <v>927</v>
          </cell>
          <cell r="I90">
            <v>324.45</v>
          </cell>
          <cell r="J90">
            <v>0.54810049019607832</v>
          </cell>
        </row>
        <row r="91">
          <cell r="D91" t="str">
            <v>7177 ЧЕСНОЧНАЯ ПМ п/к в/у 0,35кг 8шт_50с  Останкино</v>
          </cell>
          <cell r="G91" t="str">
            <v>шт</v>
          </cell>
          <cell r="H91">
            <v>39</v>
          </cell>
          <cell r="I91">
            <v>13.65</v>
          </cell>
          <cell r="J91">
            <v>0.5960264900662251</v>
          </cell>
        </row>
        <row r="92">
          <cell r="D92" t="str">
            <v>7187 ГРУДИНКА ПРЕМИУМ к/в мл/к в/у 0,3кг_50с  Останкино</v>
          </cell>
          <cell r="G92" t="str">
            <v>шт</v>
          </cell>
          <cell r="H92">
            <v>348</v>
          </cell>
          <cell r="I92">
            <v>104.4</v>
          </cell>
          <cell r="J92">
            <v>0.4534075104311544</v>
          </cell>
        </row>
        <row r="93">
          <cell r="D93" t="str">
            <v>7231 КЛАССИЧЕСКАЯ ПМ вар п/о 0,3кг 8 шт_209к  Останкино</v>
          </cell>
          <cell r="G93" t="str">
            <v>шт</v>
          </cell>
          <cell r="H93">
            <v>6</v>
          </cell>
          <cell r="I93">
            <v>1.8</v>
          </cell>
          <cell r="J93">
            <v>0.20731707317073167</v>
          </cell>
        </row>
        <row r="94">
          <cell r="D94" t="str">
            <v>7232 БОЯNСКАЯ ПМ п/к в/у 0,28кг 8шт_209к  Останкино</v>
          </cell>
          <cell r="G94" t="str">
            <v>шт</v>
          </cell>
          <cell r="H94">
            <v>728</v>
          </cell>
          <cell r="I94">
            <v>203.84</v>
          </cell>
          <cell r="J94">
            <v>0.55424836601307192</v>
          </cell>
        </row>
        <row r="95">
          <cell r="D95" t="str">
            <v>7236 СЕРВЕЛАТ КАРЕЛЬСКИЙ в/к в/у 0,28кг_209к  Останкино</v>
          </cell>
          <cell r="G95" t="str">
            <v>шт</v>
          </cell>
          <cell r="H95">
            <v>852</v>
          </cell>
          <cell r="I95">
            <v>238.56</v>
          </cell>
          <cell r="J95">
            <v>0.65466101694915257</v>
          </cell>
        </row>
        <row r="96">
          <cell r="D96" t="str">
            <v>7238 СЕРВЕЛАТ ОРЕХОВЫЙ в/к в/у 0,31кг_209к  Останкино</v>
          </cell>
          <cell r="G96" t="str">
            <v>шт</v>
          </cell>
          <cell r="H96">
            <v>284</v>
          </cell>
          <cell r="I96">
            <v>88.04</v>
          </cell>
          <cell r="J96">
            <v>1</v>
          </cell>
        </row>
        <row r="97">
          <cell r="D97" t="str">
            <v>7241 САЛЯМИ Папа может п/к в/у 0,28кг ОСТАНКИНО</v>
          </cell>
          <cell r="G97" t="str">
            <v>шт</v>
          </cell>
          <cell r="H97">
            <v>358</v>
          </cell>
          <cell r="I97">
            <v>100.24</v>
          </cell>
          <cell r="J97">
            <v>0.65590062111801239</v>
          </cell>
        </row>
        <row r="98">
          <cell r="D98" t="str">
            <v>7255 МЯСНЫЕ С ГОВЯД.ПМ сос п/о мгс 0.4кг 6шт.  ОСТАНКИНО</v>
          </cell>
          <cell r="G98" t="str">
            <v>шт</v>
          </cell>
          <cell r="H98">
            <v>1883</v>
          </cell>
          <cell r="I98">
            <v>753.2</v>
          </cell>
          <cell r="J98">
            <v>0.53124018838304554</v>
          </cell>
        </row>
        <row r="99">
          <cell r="D99" t="str">
            <v>7284 ДЛЯ ДЕТЕЙ сос п/о мгс 0,33кг 6шт  Останкино</v>
          </cell>
          <cell r="G99" t="str">
            <v>шт</v>
          </cell>
          <cell r="H99">
            <v>-6</v>
          </cell>
          <cell r="I99">
            <v>-1.98</v>
          </cell>
          <cell r="J99">
            <v>0</v>
          </cell>
        </row>
        <row r="100">
          <cell r="D100" t="str">
            <v>7332 БОЯРСКАЯ ПМ п/к в/у 0,28кг ОСТАНКИНО</v>
          </cell>
          <cell r="G100" t="str">
            <v>шт</v>
          </cell>
          <cell r="H100">
            <v>3</v>
          </cell>
          <cell r="I100">
            <v>0.84</v>
          </cell>
          <cell r="J100">
            <v>9.45945945945946E-2</v>
          </cell>
        </row>
        <row r="101">
          <cell r="D101" t="str">
            <v>7334 МЯСНАЯ СО ШПИКОМ ПМ вар п/о 0.4кг 8шт.</v>
          </cell>
          <cell r="G101" t="str">
            <v>шт</v>
          </cell>
          <cell r="H101">
            <v>280</v>
          </cell>
          <cell r="I101">
            <v>112</v>
          </cell>
          <cell r="J101">
            <v>0</v>
          </cell>
        </row>
        <row r="102">
          <cell r="D102" t="str">
            <v>7344 КОНСЕРВЫ МЯС.ГОВЯДИНА ТУШ. В/С 338г_ЧЗ  ОСТАНКИНО</v>
          </cell>
          <cell r="G102" t="str">
            <v>шт</v>
          </cell>
          <cell r="H102">
            <v>248</v>
          </cell>
          <cell r="I102">
            <v>83.823999999999998</v>
          </cell>
          <cell r="J102">
            <v>0</v>
          </cell>
        </row>
        <row r="103">
          <cell r="D103" t="str">
            <v>7345 КОНСЕРВЫ МЯС.СВИНИНА ТУШ. В/С 325г_ЧЗ  ОСТАНКИНО</v>
          </cell>
          <cell r="G103" t="str">
            <v>шт</v>
          </cell>
          <cell r="H103">
            <v>259</v>
          </cell>
          <cell r="I103">
            <v>84.174999999999997</v>
          </cell>
          <cell r="J103">
            <v>0</v>
          </cell>
        </row>
        <row r="104">
          <cell r="D104" t="str">
            <v>7382  САЛЯМИ МЕЛКОЗЕРНЕНАЯ с/к в/у1/120 8шт.  ОСТАНКИНО</v>
          </cell>
          <cell r="G104" t="str">
            <v>шт</v>
          </cell>
          <cell r="H104">
            <v>355</v>
          </cell>
          <cell r="I104">
            <v>42.6</v>
          </cell>
          <cell r="J104">
            <v>0.54972375690607733</v>
          </cell>
        </row>
        <row r="105">
          <cell r="D105" t="str">
            <v>7386 БАРСЕЛОНА ПМ с/к в/у 1/150  ОСТАНКИНО</v>
          </cell>
          <cell r="G105" t="str">
            <v>шт</v>
          </cell>
          <cell r="H105">
            <v>189</v>
          </cell>
          <cell r="I105">
            <v>28.35</v>
          </cell>
          <cell r="J105">
            <v>0.65546218487394947</v>
          </cell>
        </row>
        <row r="106">
          <cell r="D106" t="str">
            <v>7456 САЛЯМИ ФИНСКАЯ Папа может с/к в/у 1/150  ОСТАНКИНО</v>
          </cell>
          <cell r="G106" t="str">
            <v>шт</v>
          </cell>
          <cell r="H106">
            <v>22</v>
          </cell>
          <cell r="I106">
            <v>3.3</v>
          </cell>
          <cell r="J106">
            <v>0.15384615384615385</v>
          </cell>
        </row>
        <row r="107">
          <cell r="D107" t="str">
            <v>7461 ДЛЯ ДЕТЕЙ Папа Может сос п/о мгс 0,33кг ОСТАНКИНО</v>
          </cell>
          <cell r="G107" t="str">
            <v>шт</v>
          </cell>
          <cell r="H107">
            <v>122</v>
          </cell>
          <cell r="I107">
            <v>40.26</v>
          </cell>
          <cell r="J107">
            <v>0.40757575757575754</v>
          </cell>
        </row>
        <row r="108">
          <cell r="D108" t="str">
            <v>7485 РИЕТ МЯСНОЙ С ГРИБАМИ ПМ п/о 1/150  ОСТАНКИНО</v>
          </cell>
          <cell r="G108" t="str">
            <v>шт</v>
          </cell>
          <cell r="H108">
            <v>9</v>
          </cell>
          <cell r="I108">
            <v>1.35</v>
          </cell>
          <cell r="J108">
            <v>0.3141891891891892</v>
          </cell>
        </row>
        <row r="109">
          <cell r="D109" t="str">
            <v>7489 СЫРРРВЕЛАТ Папа Может в/к в/у 0,28кг 8шт. ОСТАНКИНО</v>
          </cell>
          <cell r="G109" t="str">
            <v>шт</v>
          </cell>
          <cell r="H109">
            <v>128</v>
          </cell>
          <cell r="I109">
            <v>35.840000000000003</v>
          </cell>
          <cell r="J109">
            <v>0</v>
          </cell>
        </row>
        <row r="110">
          <cell r="D110" t="str">
            <v>7513 ВОСКРЕСЕНСКАЯ ВЯЛЕНАЯ в/к в/у срез 1/260  ОСТАНКИНО</v>
          </cell>
          <cell r="G110" t="str">
            <v>шт</v>
          </cell>
          <cell r="H110">
            <v>100</v>
          </cell>
          <cell r="I110">
            <v>26</v>
          </cell>
          <cell r="J110">
            <v>0.51412429378531066</v>
          </cell>
        </row>
        <row r="111">
          <cell r="D111" t="str">
            <v>7516 НОВОМОСКОВСКАЯ в/к в/у срез 0.31кг  ОСТАНКИНО</v>
          </cell>
          <cell r="G111" t="str">
            <v>шт</v>
          </cell>
          <cell r="H111">
            <v>91</v>
          </cell>
          <cell r="I111">
            <v>28.21</v>
          </cell>
          <cell r="J111">
            <v>0.4705882352941177</v>
          </cell>
        </row>
        <row r="112">
          <cell r="D112" t="str">
            <v>7523 ГОВЯЖЬЯ Папа Может вар п/о 0,4кг 6шт. ОСТАНКИНО</v>
          </cell>
          <cell r="G112" t="str">
            <v>шт</v>
          </cell>
          <cell r="H112">
            <v>596</v>
          </cell>
          <cell r="I112">
            <v>238.4</v>
          </cell>
          <cell r="J112">
            <v>0.68349514563106806</v>
          </cell>
        </row>
        <row r="113">
          <cell r="D113" t="str">
            <v>7539 ДОКТОРСКАЯ ГОСТ вар п/о 0,35кг ОСТАНКИНО</v>
          </cell>
          <cell r="G113" t="str">
            <v>шт</v>
          </cell>
          <cell r="H113">
            <v>128</v>
          </cell>
          <cell r="I113">
            <v>44.8</v>
          </cell>
          <cell r="J113">
            <v>0.5</v>
          </cell>
        </row>
        <row r="114">
          <cell r="D114" t="str">
            <v>7601 ДЛЯ ДЕТЕЙ Папа может сос п/о мгс 0.264кг  ОСТАНКИНО</v>
          </cell>
          <cell r="G114" t="str">
            <v>шт</v>
          </cell>
          <cell r="H114">
            <v>158</v>
          </cell>
          <cell r="I114">
            <v>41.712000000000003</v>
          </cell>
          <cell r="J114">
            <v>0.42307692307692307</v>
          </cell>
        </row>
        <row r="115">
          <cell r="D115" t="str">
            <v>7603 БАЛЫКОВАЯ в/к в/у 0.33кг 8шт. ОСТАНКИНО</v>
          </cell>
          <cell r="G115" t="str">
            <v>шт</v>
          </cell>
          <cell r="H115">
            <v>316</v>
          </cell>
          <cell r="I115">
            <v>104.28</v>
          </cell>
          <cell r="J115">
            <v>0.7021276595744681</v>
          </cell>
        </row>
        <row r="116">
          <cell r="D116" t="str">
            <v>7608 СЕРВЕЛАТ ШВЕЙЦАРСК.в/к с/н в/у 1/100_Л11  ОСТАНКИНО</v>
          </cell>
          <cell r="G116" t="str">
            <v>шт</v>
          </cell>
          <cell r="H116">
            <v>46</v>
          </cell>
          <cell r="I116">
            <v>4.5999999999999996</v>
          </cell>
          <cell r="J116">
            <v>0.90909090909090906</v>
          </cell>
        </row>
        <row r="117">
          <cell r="D117" t="str">
            <v>7612 БАЛЫК с/к с/н в/у 1/100 10шт_  ОСТАНКИНО</v>
          </cell>
          <cell r="G117" t="str">
            <v>шт</v>
          </cell>
          <cell r="H117">
            <v>154</v>
          </cell>
          <cell r="I117">
            <v>15.4</v>
          </cell>
          <cell r="J117">
            <v>0.51694915254237284</v>
          </cell>
        </row>
        <row r="118">
          <cell r="D118" t="str">
            <v>7613 АРОМАТНАЯ с/к с/н в/у 1/100 10шт_Л10  ОСТАНКИНО</v>
          </cell>
          <cell r="G118" t="str">
            <v>шт</v>
          </cell>
          <cell r="H118">
            <v>278</v>
          </cell>
          <cell r="I118">
            <v>27.8</v>
          </cell>
          <cell r="J118">
            <v>0.24617737003058104</v>
          </cell>
        </row>
        <row r="119">
          <cell r="D119" t="str">
            <v>7616 ЭКСТРА Папа может с/к с/н в/у 1/100_  ОСТАНКИНО</v>
          </cell>
          <cell r="G119" t="str">
            <v>шт</v>
          </cell>
          <cell r="H119">
            <v>211</v>
          </cell>
          <cell r="I119">
            <v>21.1</v>
          </cell>
          <cell r="J119">
            <v>0.50526315789473686</v>
          </cell>
        </row>
        <row r="120">
          <cell r="D120" t="str">
            <v>7626 БРАУНШВЕЙГСКАЯ с/к с/н мгс 1/100_Л10  ОСТАНКИНО</v>
          </cell>
          <cell r="G120" t="str">
            <v>шт</v>
          </cell>
          <cell r="H120">
            <v>-3</v>
          </cell>
          <cell r="I120">
            <v>-0.3</v>
          </cell>
          <cell r="J120">
            <v>0</v>
          </cell>
        </row>
        <row r="121">
          <cell r="D121" t="str">
            <v>7632 ЭКСТРА Папа может вар п/о 0.4кг 8шт_195к  ОСТАНКИНО</v>
          </cell>
          <cell r="G121" t="str">
            <v>шт</v>
          </cell>
          <cell r="H121">
            <v>795</v>
          </cell>
          <cell r="I121">
            <v>318</v>
          </cell>
          <cell r="J121">
            <v>0.34303977272727271</v>
          </cell>
        </row>
        <row r="122">
          <cell r="D122" t="str">
            <v>7647 ХОЧУ ВЕТЧ.ИЗ СВ.ОТРУБА с/н мгс 1/100_Л11  ОСТАНКИНО</v>
          </cell>
          <cell r="G122" t="str">
            <v>шт</v>
          </cell>
          <cell r="H122">
            <v>167</v>
          </cell>
          <cell r="I122">
            <v>16.7</v>
          </cell>
          <cell r="J122">
            <v>0.30463576158940397</v>
          </cell>
        </row>
        <row r="123">
          <cell r="D123" t="str">
            <v>7651 ХОЧУ ВЕТЧ.МРАМОР. ПМ с/н мгс 1/100_Л11  ОСТАНКИНО</v>
          </cell>
          <cell r="G123" t="str">
            <v>шт</v>
          </cell>
          <cell r="H123">
            <v>165</v>
          </cell>
          <cell r="I123">
            <v>16.5</v>
          </cell>
          <cell r="J123">
            <v>0.30722891566265054</v>
          </cell>
        </row>
        <row r="124">
          <cell r="D124" t="str">
            <v>7710 КРАКОВСКАЯ ГОСТ п/к н/о мгс 0.3кг  ОСТАНКИНО</v>
          </cell>
          <cell r="G124" t="str">
            <v>шт</v>
          </cell>
          <cell r="H124">
            <v>105</v>
          </cell>
          <cell r="I124">
            <v>31.5</v>
          </cell>
          <cell r="J124">
            <v>1</v>
          </cell>
        </row>
        <row r="125">
          <cell r="D125" t="str">
            <v>Останкино (соусы, майонезы)</v>
          </cell>
        </row>
        <row r="126">
          <cell r="D126" t="str">
            <v>6948249 Майонезный соус провансаль 824,5гр деликатес.с массовой долей жирн.25% Коровино Останкино</v>
          </cell>
          <cell r="G126" t="str">
            <v>шт</v>
          </cell>
          <cell r="H126">
            <v>128</v>
          </cell>
          <cell r="I126">
            <v>105.47199999999999</v>
          </cell>
          <cell r="J126">
            <v>1</v>
          </cell>
        </row>
        <row r="127">
          <cell r="D127" t="str">
            <v>6948256 Майонез провансаль классич.оливковый Папа может 372гр с массовой долей жирн. 67% Останкино</v>
          </cell>
          <cell r="G127" t="str">
            <v>шт</v>
          </cell>
          <cell r="H127">
            <v>124</v>
          </cell>
          <cell r="I127">
            <v>46.128</v>
          </cell>
          <cell r="J127">
            <v>0.41855203619909498</v>
          </cell>
        </row>
        <row r="128">
          <cell r="D128" t="str">
            <v>6948263 Майонез провансаль классич.оливковый Папа может 744гр с массовой долей жирн. 67% Останкино</v>
          </cell>
          <cell r="G128" t="str">
            <v>шт</v>
          </cell>
          <cell r="H128">
            <v>173</v>
          </cell>
          <cell r="I128">
            <v>128.71199999999999</v>
          </cell>
          <cell r="J128">
            <v>0.31338028169014082</v>
          </cell>
        </row>
        <row r="129">
          <cell r="D129" t="str">
            <v>6948270 Майонез провансаль классич.Папа может 372гр с массовой долей жирн. 67% Останкино</v>
          </cell>
          <cell r="G129" t="str">
            <v>шт</v>
          </cell>
          <cell r="H129">
            <v>299</v>
          </cell>
          <cell r="I129">
            <v>111.22799999999999</v>
          </cell>
          <cell r="J129">
            <v>0.33272394881170014</v>
          </cell>
        </row>
        <row r="130">
          <cell r="D130" t="str">
            <v>6948287 Майонез провансаль классич.Папа может 744гр с массовой долей жирн. 67% Останкино</v>
          </cell>
          <cell r="G130" t="str">
            <v>шт</v>
          </cell>
          <cell r="H130">
            <v>157</v>
          </cell>
          <cell r="I130">
            <v>116.80800000000001</v>
          </cell>
          <cell r="J130">
            <v>0.21840659340659344</v>
          </cell>
        </row>
        <row r="131">
          <cell r="D131" t="str">
            <v>Останкино Заморозка</v>
          </cell>
        </row>
        <row r="132">
          <cell r="D132" t="str">
            <v>5579 БЛИНЧ.КРУГЛЫЕ С САД.ЯБЛОК.пл.1/420 зам. ОСТАНКИНО</v>
          </cell>
          <cell r="G132" t="str">
            <v>шт</v>
          </cell>
          <cell r="H132">
            <v>240</v>
          </cell>
          <cell r="I132">
            <v>100.8</v>
          </cell>
          <cell r="J132">
            <v>1</v>
          </cell>
        </row>
        <row r="133">
          <cell r="D133" t="str">
            <v>5754 БЛИНЧ.КРУГЛЫЕ С МЯСОМ 4,5кг зам. ПМ ОСТАНКИНО</v>
          </cell>
          <cell r="G133" t="str">
            <v>кг</v>
          </cell>
          <cell r="H133">
            <v>78.346000000000004</v>
          </cell>
          <cell r="I133">
            <v>78.346000000000004</v>
          </cell>
          <cell r="J133">
            <v>0.2006630605478974</v>
          </cell>
        </row>
        <row r="134">
          <cell r="D134" t="str">
            <v>5755 БЛИНЧ.КРУГЛЫЕ С ТВОРОГОМ 4,5кг зам. ПМ ОСТАНКИНО</v>
          </cell>
          <cell r="G134" t="str">
            <v>кг</v>
          </cell>
          <cell r="H134">
            <v>316.50400000000002</v>
          </cell>
          <cell r="I134">
            <v>316.50400000000002</v>
          </cell>
          <cell r="J134">
            <v>0.19038059389376827</v>
          </cell>
        </row>
        <row r="135">
          <cell r="D135" t="str">
            <v>5897 БЛИНЧ.КРУГЛЫЕ С ГРУШЕЙ пл.1/420 зам.   ОСТАНКИНО</v>
          </cell>
          <cell r="G135" t="str">
            <v>шт</v>
          </cell>
          <cell r="H135">
            <v>97</v>
          </cell>
          <cell r="I135">
            <v>40.74</v>
          </cell>
          <cell r="J135">
            <v>0.75</v>
          </cell>
        </row>
        <row r="136">
          <cell r="D136" t="str">
            <v>6148 БЛИНЧ.КРУГЛЫЕ С ВЕТЧ.И СЫР. ПМ 1/300 зам. ОСТАНКИНО</v>
          </cell>
          <cell r="G136" t="str">
            <v>шт</v>
          </cell>
          <cell r="H136">
            <v>45</v>
          </cell>
          <cell r="I136">
            <v>13.5</v>
          </cell>
          <cell r="J136">
            <v>0.16216216216216214</v>
          </cell>
        </row>
        <row r="137">
          <cell r="D137" t="str">
            <v>6149 БЛИНЧ.КРУГЛЫЕ С ПЕЧЕНЬЮ ПМ 1/300 зам. ОСТАНКИНО</v>
          </cell>
          <cell r="G137" t="str">
            <v>шт</v>
          </cell>
          <cell r="H137">
            <v>27</v>
          </cell>
          <cell r="I137">
            <v>8.1</v>
          </cell>
          <cell r="J137">
            <v>0.291866028708134</v>
          </cell>
        </row>
        <row r="138">
          <cell r="D138" t="str">
            <v>6168 Блинчики с мясом пл. 1/350 зам. ОСТАНКИНО</v>
          </cell>
          <cell r="G138" t="str">
            <v>шт</v>
          </cell>
          <cell r="H138">
            <v>10</v>
          </cell>
          <cell r="I138">
            <v>3.5</v>
          </cell>
          <cell r="J138">
            <v>0.19414893617021278</v>
          </cell>
        </row>
        <row r="139">
          <cell r="D139" t="str">
            <v>6202 БЛИНЧ.КРУГЛЫЕ С ТВОРОГОМ ПМ 1/300 зам. ОСТАНКИНО</v>
          </cell>
          <cell r="G139" t="str">
            <v>шт</v>
          </cell>
          <cell r="H139">
            <v>6</v>
          </cell>
          <cell r="I139">
            <v>1.8</v>
          </cell>
          <cell r="J139">
            <v>0.23602484472049692</v>
          </cell>
        </row>
        <row r="140">
          <cell r="D140" t="str">
            <v>6209 Блинчики с куриным мясом пл. 1/350 зам. ОСТАНКИНО</v>
          </cell>
          <cell r="G140" t="str">
            <v>шт</v>
          </cell>
          <cell r="H140">
            <v>28</v>
          </cell>
          <cell r="I140">
            <v>9.8000000000000007</v>
          </cell>
          <cell r="J140">
            <v>0.25641025641025639</v>
          </cell>
        </row>
        <row r="141">
          <cell r="D141" t="str">
            <v>6819 БЛИНЧ.КРУГЛЫЕ С САД.ЯБЛОК. пл. 1/300 зам. ОСТАНКИНО</v>
          </cell>
          <cell r="G141" t="str">
            <v>шт</v>
          </cell>
          <cell r="H141">
            <v>100</v>
          </cell>
          <cell r="I141">
            <v>30</v>
          </cell>
          <cell r="J141">
            <v>0</v>
          </cell>
        </row>
        <row r="142">
          <cell r="D142" t="str">
            <v>7216 СОЧНЫЕ СО СЛ.МАСЛ.ПМ пельм пл.0.7кг зам. ОСТАНКИНО</v>
          </cell>
          <cell r="G142" t="str">
            <v>шт</v>
          </cell>
          <cell r="H142">
            <v>83</v>
          </cell>
          <cell r="I142">
            <v>58.1</v>
          </cell>
          <cell r="J142">
            <v>0.15596330275229359</v>
          </cell>
        </row>
        <row r="143">
          <cell r="D143" t="str">
            <v>Останкино КОРОВИНО (ВЕС)</v>
          </cell>
        </row>
        <row r="144">
          <cell r="D144" t="str">
            <v>6866 ВЕТЧ.НЕЖНАЯ Коровино п/о_Маяк  Останкино</v>
          </cell>
          <cell r="G144" t="str">
            <v>кг</v>
          </cell>
          <cell r="H144">
            <v>268.755</v>
          </cell>
          <cell r="I144">
            <v>268.755</v>
          </cell>
          <cell r="J144">
            <v>0.36221305452517327</v>
          </cell>
        </row>
        <row r="145">
          <cell r="D145" t="str">
            <v>Останкино СЫР</v>
          </cell>
        </row>
        <row r="146">
          <cell r="D146" t="str">
            <v>1103201 Сыр копченый "Косичка" мини ПАПА МОЖЕТ 55г лоток  ОСТАНКИНО</v>
          </cell>
          <cell r="G146" t="str">
            <v>шт</v>
          </cell>
          <cell r="H146">
            <v>23</v>
          </cell>
          <cell r="I146">
            <v>1.2649999999999999</v>
          </cell>
          <cell r="J146">
            <v>0</v>
          </cell>
        </row>
        <row r="147">
          <cell r="D147" t="str">
            <v>2103201 БЖП, произведенный по технологии сыра копченый "Косичка" мини Ассорти  ОСТАНКИНО</v>
          </cell>
          <cell r="G147" t="str">
            <v>шт</v>
          </cell>
          <cell r="H147">
            <v>21</v>
          </cell>
          <cell r="I147">
            <v>2.1</v>
          </cell>
          <cell r="J147">
            <v>0</v>
          </cell>
        </row>
        <row r="148">
          <cell r="D148" t="str">
            <v>2105201 БЖП, произведенный по технологии сыра копченый "Балык" резаный 4 вкуса  ОСТАНКИНО</v>
          </cell>
          <cell r="G148" t="str">
            <v>шт</v>
          </cell>
          <cell r="H148">
            <v>27</v>
          </cell>
          <cell r="I148">
            <v>2.7</v>
          </cell>
          <cell r="J148">
            <v>0</v>
          </cell>
        </row>
        <row r="149">
          <cell r="D149" t="str">
            <v>3323 Сыр Российский цилиндр 1/4 пленка ЮКМП м.д.ж. 50%  ОСТАНКИНО</v>
          </cell>
          <cell r="G149" t="str">
            <v>кг</v>
          </cell>
          <cell r="H149">
            <v>60.197000000000003</v>
          </cell>
          <cell r="I149">
            <v>60.197000000000003</v>
          </cell>
          <cell r="J149">
            <v>7.066910019782513E-2</v>
          </cell>
        </row>
        <row r="150">
          <cell r="D150" t="str">
            <v>4421577 Спред растительно-сливочный "Сливочный вкус" 82,5% 180гр  Останкино</v>
          </cell>
          <cell r="G150" t="str">
            <v>шт</v>
          </cell>
          <cell r="H150">
            <v>32</v>
          </cell>
          <cell r="I150">
            <v>5.76</v>
          </cell>
          <cell r="J150">
            <v>0.51138716356107661</v>
          </cell>
        </row>
        <row r="151">
          <cell r="D151" t="str">
            <v>4421584 Спред растительно-сливочный "Сливочный вкус" 72,5% 180гр  Останкино</v>
          </cell>
          <cell r="G151" t="str">
            <v>шт</v>
          </cell>
          <cell r="H151">
            <v>123</v>
          </cell>
          <cell r="I151">
            <v>22.14</v>
          </cell>
          <cell r="J151">
            <v>0.10526315789473684</v>
          </cell>
        </row>
        <row r="152">
          <cell r="D152" t="str">
            <v>4931  Сыр полутвердый "Купеческий" с ароматом топленого молока, с м.д.ж. 50% ОСТАНКИНО</v>
          </cell>
          <cell r="G152" t="str">
            <v>кг</v>
          </cell>
          <cell r="H152">
            <v>9.8439999999999994</v>
          </cell>
          <cell r="I152">
            <v>9.8439999999999994</v>
          </cell>
          <cell r="J152">
            <v>9.3498736503560761E-2</v>
          </cell>
        </row>
        <row r="153">
          <cell r="D153" t="str">
            <v>9988421 Творожный Сыр 60 % С маринованными огурчиками и укропом  Останкино</v>
          </cell>
          <cell r="G153" t="str">
            <v>шт</v>
          </cell>
          <cell r="H153">
            <v>30</v>
          </cell>
          <cell r="I153">
            <v>4.2</v>
          </cell>
          <cell r="J153">
            <v>5.1724137931034489E-2</v>
          </cell>
        </row>
        <row r="154">
          <cell r="D154" t="str">
            <v>9988438 Плавленый Сыр 45% "С ветчиной" СТМ"ПапаМожет" 180гр  Останкино</v>
          </cell>
          <cell r="G154" t="str">
            <v>шт</v>
          </cell>
          <cell r="H154">
            <v>53</v>
          </cell>
          <cell r="I154">
            <v>9.5399999999999991</v>
          </cell>
          <cell r="J154">
            <v>0.15189873417721519</v>
          </cell>
        </row>
        <row r="155">
          <cell r="D155" t="str">
            <v>9988445 Плавленый Сыр 45%"С грибами" СТМ"ПапаМожет" 180 гр  Останкино</v>
          </cell>
          <cell r="G155" t="str">
            <v>шт</v>
          </cell>
          <cell r="H155">
            <v>77</v>
          </cell>
          <cell r="I155">
            <v>13.86</v>
          </cell>
          <cell r="J155">
            <v>0.14150943396226418</v>
          </cell>
        </row>
        <row r="156">
          <cell r="D156" t="str">
            <v>Cыр Перлини со вкусом Васаби 40% 100гр (8шт)  Останкино</v>
          </cell>
          <cell r="G156" t="str">
            <v>шт</v>
          </cell>
          <cell r="H156">
            <v>55</v>
          </cell>
          <cell r="I156">
            <v>5.5</v>
          </cell>
          <cell r="J156">
            <v>0</v>
          </cell>
        </row>
        <row r="157">
          <cell r="D157" t="str">
            <v>Масло "Папа может" 82,5% 180гр  Останкино</v>
          </cell>
          <cell r="G157" t="str">
            <v>шт</v>
          </cell>
          <cell r="H157">
            <v>392</v>
          </cell>
          <cell r="I157">
            <v>70.56</v>
          </cell>
          <cell r="J157">
            <v>0.14578910120311395</v>
          </cell>
        </row>
        <row r="158">
          <cell r="D158" t="str">
            <v>Масло сливочное 72,5 % 180 гр.(10 шт) СЛАВЯНА  Останкино</v>
          </cell>
          <cell r="G158" t="str">
            <v>шт</v>
          </cell>
          <cell r="H158">
            <v>475</v>
          </cell>
          <cell r="I158">
            <v>85.5</v>
          </cell>
          <cell r="J158">
            <v>0.11357702349869452</v>
          </cell>
        </row>
        <row r="159">
          <cell r="D159" t="str">
            <v>Плавленый продукт с Сыром колбасный копченый 40% СТМ "Коровино" 400гр  Останкино</v>
          </cell>
          <cell r="G159" t="str">
            <v>шт</v>
          </cell>
          <cell r="H159">
            <v>85</v>
          </cell>
          <cell r="I159">
            <v>34</v>
          </cell>
          <cell r="J159">
            <v>0</v>
          </cell>
        </row>
        <row r="160">
          <cell r="D160" t="str">
            <v>Плавленый сыр "Шоколадный" 30% 180гр Папа Может Останкино</v>
          </cell>
          <cell r="G160" t="str">
            <v>шт</v>
          </cell>
          <cell r="H160">
            <v>174</v>
          </cell>
          <cell r="I160">
            <v>31.32</v>
          </cell>
          <cell r="J160">
            <v>0.12195121951219513</v>
          </cell>
        </row>
        <row r="161">
          <cell r="D161" t="str">
            <v>Плавленый Сыр колбасный копченый 40% СТМ"ПапаМожет"400гр  Останкино</v>
          </cell>
          <cell r="G161" t="str">
            <v>шт</v>
          </cell>
          <cell r="H161">
            <v>42</v>
          </cell>
          <cell r="I161">
            <v>16.8</v>
          </cell>
          <cell r="J161">
            <v>0.22222222222222224</v>
          </cell>
        </row>
        <row r="162">
          <cell r="D162" t="str">
            <v>Продукт белково-жировой Сметанковый 50% ВЕС Коровино Останкино</v>
          </cell>
          <cell r="G162" t="str">
            <v>кг</v>
          </cell>
          <cell r="H162">
            <v>59.395000000000003</v>
          </cell>
          <cell r="I162">
            <v>59.395000000000003</v>
          </cell>
          <cell r="J162">
            <v>0</v>
          </cell>
        </row>
        <row r="163">
          <cell r="D163" t="str">
            <v>Продукт По-Росийски Классический с ЗМЖ 50% 200г Коровино Останкино</v>
          </cell>
          <cell r="G163" t="str">
            <v>шт</v>
          </cell>
          <cell r="H163">
            <v>24</v>
          </cell>
          <cell r="I163">
            <v>4.8</v>
          </cell>
          <cell r="J163">
            <v>0</v>
          </cell>
        </row>
        <row r="164">
          <cell r="D164" t="str">
            <v>Продукт По-Росийски Классический с ЗМЖ 50% ВЕС Коровино Останкино</v>
          </cell>
          <cell r="G164" t="str">
            <v>кг</v>
          </cell>
          <cell r="H164">
            <v>14.645</v>
          </cell>
          <cell r="I164">
            <v>14.645</v>
          </cell>
          <cell r="J164">
            <v>0</v>
          </cell>
        </row>
        <row r="165">
          <cell r="D165" t="str">
            <v>Сыр "Пармезан" 40% кусок 180 гр  ОСТАНКИНО</v>
          </cell>
          <cell r="G165" t="str">
            <v>шт</v>
          </cell>
          <cell r="H165">
            <v>111</v>
          </cell>
          <cell r="I165">
            <v>19.98</v>
          </cell>
          <cell r="J165">
            <v>1</v>
          </cell>
        </row>
        <row r="166">
          <cell r="D166" t="str">
            <v>Сыр Боккончини копченый 40% 100 гр.  ОСТАНКИНО</v>
          </cell>
          <cell r="G166" t="str">
            <v>шт</v>
          </cell>
          <cell r="H166">
            <v>86</v>
          </cell>
          <cell r="I166">
            <v>8.6</v>
          </cell>
          <cell r="J166">
            <v>0.4763779527559055</v>
          </cell>
        </row>
        <row r="167">
          <cell r="D167" t="str">
            <v>Сыр Косичка сырная 45% 100г/8шт Папа Может Останкино</v>
          </cell>
          <cell r="G167" t="str">
            <v>шт</v>
          </cell>
          <cell r="H167">
            <v>294</v>
          </cell>
          <cell r="I167">
            <v>29.4</v>
          </cell>
          <cell r="J167">
            <v>0.36930860033726814</v>
          </cell>
        </row>
        <row r="168">
          <cell r="D168" t="str">
            <v>Сыр Косичка сырная копченая 43% 100г/8шт Папа Может Останкино</v>
          </cell>
          <cell r="G168" t="str">
            <v>шт</v>
          </cell>
          <cell r="H168">
            <v>64</v>
          </cell>
          <cell r="I168">
            <v>6.4</v>
          </cell>
          <cell r="J168">
            <v>0.38228438228438227</v>
          </cell>
        </row>
        <row r="169">
          <cell r="D169" t="str">
            <v>Сыр ПАПА МОЖЕТ "Гауда Голд" 45 % 180 гр (10шт) Останкино</v>
          </cell>
          <cell r="G169" t="str">
            <v>шт</v>
          </cell>
          <cell r="H169">
            <v>95</v>
          </cell>
          <cell r="I169">
            <v>17.100000000000001</v>
          </cell>
          <cell r="J169">
            <v>9.0909090909090912E-2</v>
          </cell>
        </row>
        <row r="170">
          <cell r="D170" t="str">
            <v>Сыр ПАПА МОЖЕТ "Голландский традиционный" 45% 180 гр (10шт)  Останкино</v>
          </cell>
          <cell r="G170" t="str">
            <v>шт</v>
          </cell>
          <cell r="H170">
            <v>126</v>
          </cell>
          <cell r="I170">
            <v>22.68</v>
          </cell>
          <cell r="J170">
            <v>0.22115384615384617</v>
          </cell>
        </row>
        <row r="171">
          <cell r="D171" t="str">
            <v>Сыр ПАПА МОЖЕТ "Министерский" 180 г фасованный массовая  Останкино</v>
          </cell>
          <cell r="G171" t="str">
            <v>шт</v>
          </cell>
          <cell r="H171">
            <v>3</v>
          </cell>
          <cell r="I171">
            <v>0.54</v>
          </cell>
          <cell r="J171">
            <v>0</v>
          </cell>
        </row>
        <row r="172">
          <cell r="D172" t="str">
            <v>Сыр ПАПА МОЖЕТ "Папин завтрак"  45% 180 г  Останкино</v>
          </cell>
          <cell r="G172" t="str">
            <v>шт</v>
          </cell>
          <cell r="H172">
            <v>106</v>
          </cell>
          <cell r="I172">
            <v>19.079999999999998</v>
          </cell>
          <cell r="J172">
            <v>9.3750000000000014E-2</v>
          </cell>
        </row>
        <row r="173">
          <cell r="D173" t="str">
            <v>Сыр ПАПА МОЖЕТ "Российский традиционный"45 % 180 г Останкино</v>
          </cell>
          <cell r="G173" t="str">
            <v>шт</v>
          </cell>
          <cell r="H173">
            <v>542</v>
          </cell>
          <cell r="I173">
            <v>97.56</v>
          </cell>
          <cell r="J173">
            <v>0.12488928255093003</v>
          </cell>
        </row>
        <row r="174">
          <cell r="D174" t="str">
            <v>Сыр ПАПА МОЖЕТ "Тильзитер" фасованный массовая доля жира в сухом веществе 45%, 180г  Останкино</v>
          </cell>
          <cell r="G174" t="str">
            <v>шт</v>
          </cell>
          <cell r="H174">
            <v>204</v>
          </cell>
          <cell r="I174">
            <v>36.72</v>
          </cell>
          <cell r="J174">
            <v>0.18965517241379309</v>
          </cell>
        </row>
        <row r="175">
          <cell r="D175" t="str">
            <v>Сыр плавленный Сливочный ж.45% 180г ТМ Папа может (16шт)  Останкино</v>
          </cell>
          <cell r="G175" t="str">
            <v>шт</v>
          </cell>
          <cell r="H175">
            <v>142</v>
          </cell>
          <cell r="I175">
            <v>25.56</v>
          </cell>
          <cell r="J175">
            <v>0.11989100817438691</v>
          </cell>
        </row>
        <row r="176">
          <cell r="D176" t="str">
            <v>Сыр полутвердый "Гауда" с массовой долей жира в пересчете на сухое вещество 45%,   Останкино</v>
          </cell>
          <cell r="G176" t="str">
            <v>кг</v>
          </cell>
          <cell r="H176">
            <v>162.59399999999999</v>
          </cell>
          <cell r="I176">
            <v>162.59399999999999</v>
          </cell>
          <cell r="J176">
            <v>0.3927738927738928</v>
          </cell>
        </row>
        <row r="177">
          <cell r="D177" t="str">
            <v>Сыр полутвердый "Голландский" с массовой долей жира в пересчете на сухое  Останкино</v>
          </cell>
          <cell r="G177" t="str">
            <v>кг</v>
          </cell>
          <cell r="H177">
            <v>43.125999999999998</v>
          </cell>
          <cell r="I177">
            <v>43.125999999999998</v>
          </cell>
          <cell r="J177">
            <v>0.47729935258452366</v>
          </cell>
        </row>
        <row r="178">
          <cell r="D178" t="str">
            <v>Сыр полутвердый "Российский" с массовой долей жира 50%  Останкино</v>
          </cell>
          <cell r="G178" t="str">
            <v>кг</v>
          </cell>
          <cell r="H178">
            <v>-13.666</v>
          </cell>
          <cell r="I178">
            <v>-13.666</v>
          </cell>
          <cell r="J178">
            <v>1</v>
          </cell>
        </row>
        <row r="179">
          <cell r="D179" t="str">
            <v>Сыр полутвердый "Сметанковый", с масс долей жира в пересчете на сухое вещес50%, брус  Останкино</v>
          </cell>
          <cell r="G179" t="str">
            <v>кг</v>
          </cell>
          <cell r="H179">
            <v>66.222999999999999</v>
          </cell>
          <cell r="I179">
            <v>66.222999999999999</v>
          </cell>
          <cell r="J179">
            <v>0.36792548174100526</v>
          </cell>
        </row>
        <row r="180">
          <cell r="D180" t="str">
            <v>Сыр полутвердый "Тильзитер" с массовой долей жира в пересчете на сухое вещество 45%. 1/5  Останкино</v>
          </cell>
          <cell r="G180" t="str">
            <v>кг</v>
          </cell>
          <cell r="H180">
            <v>55.496000000000002</v>
          </cell>
          <cell r="I180">
            <v>55.496000000000002</v>
          </cell>
          <cell r="J180">
            <v>0.2718761253150882</v>
          </cell>
        </row>
        <row r="181">
          <cell r="D181" t="str">
            <v>Сыр рассольный жирный Чечил 45% 100 гр  ОСТАНКИНО</v>
          </cell>
          <cell r="G181" t="str">
            <v>шт</v>
          </cell>
          <cell r="H181">
            <v>250</v>
          </cell>
          <cell r="I181">
            <v>25</v>
          </cell>
          <cell r="J181">
            <v>0.35618479880774961</v>
          </cell>
        </row>
        <row r="182">
          <cell r="D182" t="str">
            <v>Сыр рассольный жирный Чечил копченый 43% 100 гр  Останкино</v>
          </cell>
          <cell r="G182" t="str">
            <v>шт</v>
          </cell>
          <cell r="H182">
            <v>235</v>
          </cell>
          <cell r="I182">
            <v>23.5</v>
          </cell>
          <cell r="J182">
            <v>0.38918918918918921</v>
          </cell>
        </row>
        <row r="183">
          <cell r="D183" t="str">
            <v>Сыр Скаморца свежий 100 гр.  ОСТАНКИНО</v>
          </cell>
          <cell r="G183" t="str">
            <v>шт</v>
          </cell>
          <cell r="H183">
            <v>20</v>
          </cell>
          <cell r="I183">
            <v>2</v>
          </cell>
          <cell r="J183">
            <v>0.27777777777777779</v>
          </cell>
        </row>
        <row r="184">
          <cell r="D184" t="str">
            <v>Сыр Творожный с зеленью 60% Папа может 140 гр.  Останкино</v>
          </cell>
          <cell r="G184" t="str">
            <v>шт</v>
          </cell>
          <cell r="H184">
            <v>46</v>
          </cell>
          <cell r="I184">
            <v>6.44</v>
          </cell>
          <cell r="J184">
            <v>0.15116279069767444</v>
          </cell>
        </row>
        <row r="185">
          <cell r="D185" t="str">
            <v>Сыр творожный Сливочный 140 гр.  Останкино</v>
          </cell>
          <cell r="G185" t="str">
            <v>шт</v>
          </cell>
          <cell r="H185">
            <v>29</v>
          </cell>
          <cell r="I185">
            <v>4.0599999999999996</v>
          </cell>
          <cell r="J185">
            <v>0.11486486486486487</v>
          </cell>
        </row>
        <row r="186">
          <cell r="D186" t="str">
            <v>Сыч/Прод Коровино Российский 50% 200г НОВАЯ СЗМЖ  ОСТАНКИНО</v>
          </cell>
          <cell r="G186" t="str">
            <v>шт</v>
          </cell>
          <cell r="H186">
            <v>29</v>
          </cell>
          <cell r="I186">
            <v>5.8</v>
          </cell>
          <cell r="J186">
            <v>4.0816326530612242E-2</v>
          </cell>
        </row>
        <row r="187">
          <cell r="D187" t="str">
            <v>Сыч/Прод Коровино Российский Оригин 50% ВЕС НОВАЯ (3,5 кг)  ОСТАНКИНО</v>
          </cell>
          <cell r="G187" t="str">
            <v>кг</v>
          </cell>
          <cell r="H187">
            <v>58.478000000000002</v>
          </cell>
          <cell r="I187">
            <v>58.478000000000002</v>
          </cell>
          <cell r="J187">
            <v>0.42950654582074521</v>
          </cell>
        </row>
        <row r="188">
          <cell r="D188" t="str">
            <v>Сыч/Прод Коровино Тильзитер 50% 200г НОВАЯ СЗМЖ  ОСТАНКИНО</v>
          </cell>
          <cell r="G188" t="str">
            <v>шт</v>
          </cell>
          <cell r="H188">
            <v>49</v>
          </cell>
          <cell r="I188">
            <v>9.8000000000000007</v>
          </cell>
          <cell r="J188">
            <v>7.6923076923076927E-2</v>
          </cell>
        </row>
        <row r="189">
          <cell r="D189" t="str">
            <v>Сыч/Прод Коровино Тильзитер 50% 200г СЗМЖ  ОСТАНКИНО</v>
          </cell>
          <cell r="G189" t="str">
            <v>шт</v>
          </cell>
          <cell r="H189">
            <v>-19</v>
          </cell>
          <cell r="I189">
            <v>-3.8</v>
          </cell>
          <cell r="J189">
            <v>0</v>
          </cell>
        </row>
        <row r="190">
          <cell r="D190" t="str">
            <v>Сыч/Прод Коровино Тильзитер Оригин 50% ВЕС (5 кг брус) СЗМЖ  ОСТАНКИНО</v>
          </cell>
          <cell r="G190" t="str">
            <v>кг</v>
          </cell>
          <cell r="H190">
            <v>-3.6240000000000001</v>
          </cell>
          <cell r="I190">
            <v>-3.6240000000000001</v>
          </cell>
          <cell r="J190">
            <v>0</v>
          </cell>
        </row>
        <row r="191">
          <cell r="D191" t="str">
            <v>Сыч/Прод Коровино Тильзитер Оригин 50% ВЕС НОВАЯ (5 кг брус) СЗМЖ  ОСТАНКИНО</v>
          </cell>
          <cell r="G191" t="str">
            <v>кг</v>
          </cell>
          <cell r="H191">
            <v>1.5940000000000001</v>
          </cell>
          <cell r="I191">
            <v>1.5940000000000001</v>
          </cell>
          <cell r="J191">
            <v>0.1320820864687543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1" sqref="AH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5" width="7" customWidth="1"/>
    <col min="6" max="7" width="9.7109375" customWidth="1"/>
    <col min="8" max="8" width="5" style="6" customWidth="1"/>
    <col min="9" max="9" width="5" customWidth="1"/>
    <col min="10" max="10" width="8.28515625" customWidth="1"/>
    <col min="11" max="11" width="1" customWidth="1"/>
    <col min="12" max="13" width="7" customWidth="1"/>
    <col min="14" max="15" width="0.28515625" customWidth="1"/>
    <col min="16" max="18" width="7" customWidth="1"/>
    <col min="19" max="19" width="8" style="19" customWidth="1"/>
    <col min="20" max="21" width="11.5703125" customWidth="1"/>
    <col min="22" max="23" width="5" customWidth="1"/>
    <col min="24" max="33" width="6" customWidth="1"/>
    <col min="34" max="34" width="36.42578125" customWidth="1"/>
    <col min="35" max="36" width="7" customWidth="1"/>
    <col min="37" max="52" width="8" customWidth="1"/>
  </cols>
  <sheetData>
    <row r="1" spans="1:52" x14ac:dyDescent="0.25">
      <c r="A1" s="1"/>
      <c r="B1" s="1"/>
      <c r="C1" s="1"/>
      <c r="D1" s="1"/>
      <c r="E1" s="1"/>
      <c r="F1" s="1"/>
      <c r="G1" s="1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5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1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5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5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3" t="s">
        <v>16</v>
      </c>
      <c r="S3" s="16" t="s">
        <v>99</v>
      </c>
      <c r="T3" s="10" t="s">
        <v>100</v>
      </c>
      <c r="U3" s="10" t="s">
        <v>100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9" t="s">
        <v>97</v>
      </c>
      <c r="G4" s="9" t="s">
        <v>98</v>
      </c>
      <c r="H4" s="7"/>
      <c r="I4" s="1"/>
      <c r="J4" s="1"/>
      <c r="K4" s="1"/>
      <c r="L4" s="1"/>
      <c r="M4" s="1"/>
      <c r="N4" s="1"/>
      <c r="O4" s="1"/>
      <c r="P4" s="1" t="s">
        <v>22</v>
      </c>
      <c r="Q4" s="1" t="s">
        <v>23</v>
      </c>
      <c r="R4" s="1"/>
      <c r="S4" s="15"/>
      <c r="T4" s="9" t="s">
        <v>97</v>
      </c>
      <c r="U4" s="9" t="s">
        <v>98</v>
      </c>
      <c r="V4" s="1"/>
      <c r="W4" s="1"/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/>
      <c r="AI4" s="9" t="s">
        <v>97</v>
      </c>
      <c r="AJ4" s="9" t="s">
        <v>98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3445.3009999999999</v>
      </c>
      <c r="F5" s="4">
        <f>SUM(F6:F500)</f>
        <v>1717.4380000000001</v>
      </c>
      <c r="G5" s="4">
        <f>SUM(G6:G500)</f>
        <v>620.33199999999999</v>
      </c>
      <c r="H5" s="7"/>
      <c r="I5" s="1"/>
      <c r="J5" s="1"/>
      <c r="K5" s="1"/>
      <c r="L5" s="4">
        <f t="shared" ref="L5:R5" si="0">SUM(L6:L500)</f>
        <v>4626.6000000000004</v>
      </c>
      <c r="M5" s="4">
        <f t="shared" si="0"/>
        <v>-1181.299</v>
      </c>
      <c r="N5" s="4">
        <f t="shared" si="0"/>
        <v>0</v>
      </c>
      <c r="O5" s="4">
        <f t="shared" si="0"/>
        <v>0</v>
      </c>
      <c r="P5" s="4">
        <f t="shared" si="0"/>
        <v>5830</v>
      </c>
      <c r="Q5" s="4">
        <f t="shared" si="0"/>
        <v>689.0601999999999</v>
      </c>
      <c r="R5" s="4">
        <f t="shared" si="0"/>
        <v>3669.2415999999994</v>
      </c>
      <c r="S5" s="17"/>
      <c r="T5" s="4">
        <f t="shared" ref="T5" si="1">SUM(T6:T500)</f>
        <v>2740.5225273296319</v>
      </c>
      <c r="U5" s="4">
        <f t="shared" ref="U5" si="2">SUM(U6:U500)</f>
        <v>1863.9190726703678</v>
      </c>
      <c r="V5" s="1"/>
      <c r="W5" s="1"/>
      <c r="X5" s="4">
        <f t="shared" ref="X5:AG5" si="3">SUM(X6:X500)</f>
        <v>537.34220000000005</v>
      </c>
      <c r="Y5" s="4">
        <f t="shared" si="3"/>
        <v>486.08820000000009</v>
      </c>
      <c r="Z5" s="4">
        <f t="shared" si="3"/>
        <v>809.48320000000001</v>
      </c>
      <c r="AA5" s="4">
        <f t="shared" si="3"/>
        <v>613.53500000000008</v>
      </c>
      <c r="AB5" s="4">
        <f t="shared" si="3"/>
        <v>554.01200000000017</v>
      </c>
      <c r="AC5" s="4">
        <f t="shared" si="3"/>
        <v>803.35120000000006</v>
      </c>
      <c r="AD5" s="4">
        <f t="shared" si="3"/>
        <v>614.32119999999998</v>
      </c>
      <c r="AE5" s="4">
        <f t="shared" si="3"/>
        <v>721.64419999999996</v>
      </c>
      <c r="AF5" s="4">
        <f t="shared" si="3"/>
        <v>865.60019999999997</v>
      </c>
      <c r="AG5" s="4">
        <f t="shared" si="3"/>
        <v>773.1673999999997</v>
      </c>
      <c r="AH5" s="1"/>
      <c r="AI5" s="4">
        <f>SUM(AI6:AI500)</f>
        <v>581.3886120037738</v>
      </c>
      <c r="AJ5" s="4">
        <f>SUM(AJ6:AJ500)</f>
        <v>548.91798799622632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34</v>
      </c>
      <c r="B6" s="1" t="s">
        <v>35</v>
      </c>
      <c r="C6" s="1">
        <v>23</v>
      </c>
      <c r="D6" s="1"/>
      <c r="E6" s="1">
        <v>7</v>
      </c>
      <c r="F6" s="1">
        <v>7</v>
      </c>
      <c r="G6" s="1"/>
      <c r="H6" s="7">
        <v>5.5E-2</v>
      </c>
      <c r="I6" s="1">
        <v>120</v>
      </c>
      <c r="J6" s="1"/>
      <c r="K6" s="1"/>
      <c r="L6" s="1">
        <v>7</v>
      </c>
      <c r="M6" s="1">
        <f t="shared" ref="M6:M37" si="4">E6-L6</f>
        <v>0</v>
      </c>
      <c r="N6" s="1"/>
      <c r="O6" s="1"/>
      <c r="P6" s="1"/>
      <c r="Q6" s="1">
        <f>E6/5</f>
        <v>1.4</v>
      </c>
      <c r="R6" s="5">
        <f>14*Q6-P6-G6-F6</f>
        <v>12.599999999999998</v>
      </c>
      <c r="S6" s="18">
        <f>VLOOKUP(A6,[2]TDSheet!$D:$J,7,0)</f>
        <v>0</v>
      </c>
      <c r="T6" s="5">
        <v>10</v>
      </c>
      <c r="U6" s="5">
        <v>10</v>
      </c>
      <c r="V6" s="1">
        <f>(F6+G6+P6+T6+U6)/Q6</f>
        <v>19.285714285714288</v>
      </c>
      <c r="W6" s="1">
        <f>(F6+G6+P6)/Q6</f>
        <v>5</v>
      </c>
      <c r="X6" s="1">
        <v>0.2</v>
      </c>
      <c r="Y6" s="1">
        <v>0.6</v>
      </c>
      <c r="Z6" s="1">
        <v>0</v>
      </c>
      <c r="AA6" s="1">
        <v>0.4</v>
      </c>
      <c r="AB6" s="1">
        <v>1.2</v>
      </c>
      <c r="AC6" s="1">
        <v>1</v>
      </c>
      <c r="AD6" s="1">
        <v>1</v>
      </c>
      <c r="AE6" s="1">
        <v>0</v>
      </c>
      <c r="AF6" s="1">
        <v>0</v>
      </c>
      <c r="AG6" s="1">
        <v>0</v>
      </c>
      <c r="AH6" s="9" t="s">
        <v>106</v>
      </c>
      <c r="AI6" s="1">
        <f>H6*T6</f>
        <v>0.55000000000000004</v>
      </c>
      <c r="AJ6" s="1">
        <f>H6*U6</f>
        <v>0.55000000000000004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36</v>
      </c>
      <c r="B7" s="1" t="s">
        <v>35</v>
      </c>
      <c r="C7" s="1">
        <v>21</v>
      </c>
      <c r="D7" s="1">
        <v>7</v>
      </c>
      <c r="E7" s="1">
        <v>6</v>
      </c>
      <c r="F7" s="1">
        <v>17</v>
      </c>
      <c r="G7" s="1"/>
      <c r="H7" s="7">
        <v>0.1</v>
      </c>
      <c r="I7" s="1">
        <v>120</v>
      </c>
      <c r="J7" s="1"/>
      <c r="K7" s="1"/>
      <c r="L7" s="1">
        <v>17</v>
      </c>
      <c r="M7" s="1">
        <f t="shared" si="4"/>
        <v>-11</v>
      </c>
      <c r="N7" s="1"/>
      <c r="O7" s="1"/>
      <c r="P7" s="1">
        <v>24</v>
      </c>
      <c r="Q7" s="1">
        <f t="shared" ref="Q7:Q56" si="5">E7/5</f>
        <v>1.2</v>
      </c>
      <c r="R7" s="5"/>
      <c r="S7" s="18">
        <f>VLOOKUP(A7,[2]TDSheet!$D:$J,7,0)</f>
        <v>0</v>
      </c>
      <c r="T7" s="5"/>
      <c r="U7" s="5">
        <v>8</v>
      </c>
      <c r="V7" s="1">
        <f t="shared" ref="V7:V56" si="6">(F7+G7+P7+T7+U7)/Q7</f>
        <v>40.833333333333336</v>
      </c>
      <c r="W7" s="1">
        <f t="shared" ref="W7:W56" si="7">(F7+G7+P7)/Q7</f>
        <v>34.166666666666671</v>
      </c>
      <c r="X7" s="1">
        <v>1.4</v>
      </c>
      <c r="Y7" s="1">
        <v>0.2</v>
      </c>
      <c r="Z7" s="1">
        <v>0</v>
      </c>
      <c r="AA7" s="1">
        <v>0.4</v>
      </c>
      <c r="AB7" s="1">
        <v>1.6</v>
      </c>
      <c r="AC7" s="1">
        <v>1.2</v>
      </c>
      <c r="AD7" s="1">
        <v>1.2</v>
      </c>
      <c r="AE7" s="1">
        <v>0</v>
      </c>
      <c r="AF7" s="1">
        <v>0</v>
      </c>
      <c r="AG7" s="1">
        <v>0</v>
      </c>
      <c r="AH7" s="1"/>
      <c r="AI7" s="1">
        <f t="shared" ref="AI7:AJ56" si="8">H7*T7</f>
        <v>0</v>
      </c>
      <c r="AJ7" s="1">
        <f t="shared" ref="AJ7:AJ56" si="9">H7*U7</f>
        <v>0.8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37</v>
      </c>
      <c r="B8" s="1" t="s">
        <v>35</v>
      </c>
      <c r="C8" s="1">
        <v>27</v>
      </c>
      <c r="D8" s="1"/>
      <c r="E8" s="1">
        <v>5</v>
      </c>
      <c r="F8" s="1">
        <v>15</v>
      </c>
      <c r="G8" s="1"/>
      <c r="H8" s="7">
        <v>0.1</v>
      </c>
      <c r="I8" s="1">
        <v>120</v>
      </c>
      <c r="J8" s="1"/>
      <c r="K8" s="1"/>
      <c r="L8" s="1">
        <v>16</v>
      </c>
      <c r="M8" s="1">
        <f t="shared" si="4"/>
        <v>-11</v>
      </c>
      <c r="N8" s="1"/>
      <c r="O8" s="1"/>
      <c r="P8" s="1"/>
      <c r="Q8" s="1">
        <f t="shared" si="5"/>
        <v>1</v>
      </c>
      <c r="R8" s="5"/>
      <c r="S8" s="18">
        <f>VLOOKUP(A8,[2]TDSheet!$D:$J,7,0)</f>
        <v>0</v>
      </c>
      <c r="T8" s="5"/>
      <c r="U8" s="5">
        <v>8</v>
      </c>
      <c r="V8" s="1">
        <f t="shared" si="6"/>
        <v>23</v>
      </c>
      <c r="W8" s="1">
        <f t="shared" si="7"/>
        <v>15</v>
      </c>
      <c r="X8" s="1">
        <v>0</v>
      </c>
      <c r="Y8" s="1">
        <v>0.8</v>
      </c>
      <c r="Z8" s="1">
        <v>0</v>
      </c>
      <c r="AA8" s="1">
        <v>0</v>
      </c>
      <c r="AB8" s="1">
        <v>0.8</v>
      </c>
      <c r="AC8" s="1">
        <v>1.2</v>
      </c>
      <c r="AD8" s="1">
        <v>1.6</v>
      </c>
      <c r="AE8" s="1">
        <v>0</v>
      </c>
      <c r="AF8" s="1">
        <v>0</v>
      </c>
      <c r="AG8" s="1">
        <v>0</v>
      </c>
      <c r="AH8" s="1"/>
      <c r="AI8" s="1">
        <f t="shared" si="8"/>
        <v>0</v>
      </c>
      <c r="AJ8" s="1">
        <f t="shared" si="9"/>
        <v>0.8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38</v>
      </c>
      <c r="B9" s="1" t="s">
        <v>39</v>
      </c>
      <c r="C9" s="1">
        <v>60.197000000000003</v>
      </c>
      <c r="D9" s="1">
        <v>28.73</v>
      </c>
      <c r="E9" s="1">
        <v>45.524000000000001</v>
      </c>
      <c r="F9" s="1"/>
      <c r="G9" s="1"/>
      <c r="H9" s="7">
        <v>1</v>
      </c>
      <c r="I9" s="1">
        <v>120</v>
      </c>
      <c r="J9" s="1"/>
      <c r="K9" s="1"/>
      <c r="L9" s="1">
        <v>90.3</v>
      </c>
      <c r="M9" s="1">
        <f t="shared" si="4"/>
        <v>-44.775999999999996</v>
      </c>
      <c r="N9" s="1"/>
      <c r="O9" s="1"/>
      <c r="P9" s="1">
        <v>250</v>
      </c>
      <c r="Q9" s="1">
        <f t="shared" si="5"/>
        <v>9.1048000000000009</v>
      </c>
      <c r="R9" s="5"/>
      <c r="S9" s="18">
        <f>VLOOKUP(A9,[2]TDSheet!$D:$J,7,0)</f>
        <v>7.066910019782513E-2</v>
      </c>
      <c r="T9" s="5"/>
      <c r="U9" s="5">
        <v>30</v>
      </c>
      <c r="V9" s="1">
        <f t="shared" si="6"/>
        <v>30.753009401634301</v>
      </c>
      <c r="W9" s="1">
        <f t="shared" si="7"/>
        <v>27.458044108602053</v>
      </c>
      <c r="X9" s="1">
        <v>18.5504</v>
      </c>
      <c r="Y9" s="1">
        <v>11.003</v>
      </c>
      <c r="Z9" s="1">
        <v>11.139200000000001</v>
      </c>
      <c r="AA9" s="1">
        <v>9.8320000000000007</v>
      </c>
      <c r="AB9" s="1">
        <v>7.8068</v>
      </c>
      <c r="AC9" s="1">
        <v>12.0304</v>
      </c>
      <c r="AD9" s="1">
        <v>13.2544</v>
      </c>
      <c r="AE9" s="1">
        <v>23.414999999999999</v>
      </c>
      <c r="AF9" s="1">
        <v>16.726800000000001</v>
      </c>
      <c r="AG9" s="1">
        <v>14.728400000000001</v>
      </c>
      <c r="AH9" s="1"/>
      <c r="AI9" s="1">
        <f t="shared" si="8"/>
        <v>0</v>
      </c>
      <c r="AJ9" s="1">
        <f t="shared" si="9"/>
        <v>30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40</v>
      </c>
      <c r="B10" s="1" t="s">
        <v>35</v>
      </c>
      <c r="C10" s="1">
        <v>32</v>
      </c>
      <c r="D10" s="1">
        <v>1</v>
      </c>
      <c r="E10" s="1"/>
      <c r="F10" s="1">
        <v>33</v>
      </c>
      <c r="G10" s="1"/>
      <c r="H10" s="7">
        <v>0.18</v>
      </c>
      <c r="I10" s="1">
        <v>180</v>
      </c>
      <c r="J10" s="1"/>
      <c r="K10" s="1"/>
      <c r="L10" s="1">
        <v>17</v>
      </c>
      <c r="M10" s="1">
        <f t="shared" si="4"/>
        <v>-17</v>
      </c>
      <c r="N10" s="1"/>
      <c r="O10" s="1"/>
      <c r="P10" s="1"/>
      <c r="Q10" s="1">
        <f t="shared" si="5"/>
        <v>0</v>
      </c>
      <c r="R10" s="5"/>
      <c r="S10" s="18">
        <f>VLOOKUP(A10,[2]TDSheet!$D:$J,7,0)</f>
        <v>0.51138716356107661</v>
      </c>
      <c r="T10" s="5"/>
      <c r="U10" s="5">
        <v>12</v>
      </c>
      <c r="V10" s="1" t="e">
        <f t="shared" si="6"/>
        <v>#DIV/0!</v>
      </c>
      <c r="W10" s="1" t="e">
        <f t="shared" si="7"/>
        <v>#DIV/0!</v>
      </c>
      <c r="X10" s="1">
        <v>0</v>
      </c>
      <c r="Y10" s="1">
        <v>-9.6</v>
      </c>
      <c r="Z10" s="1">
        <v>-12.6</v>
      </c>
      <c r="AA10" s="1">
        <v>118.8</v>
      </c>
      <c r="AB10" s="1">
        <v>0.6</v>
      </c>
      <c r="AC10" s="1">
        <v>-0.4</v>
      </c>
      <c r="AD10" s="1">
        <v>0</v>
      </c>
      <c r="AE10" s="1">
        <v>2.4</v>
      </c>
      <c r="AF10" s="1">
        <v>6.4</v>
      </c>
      <c r="AG10" s="1">
        <v>5.2</v>
      </c>
      <c r="AH10" s="1" t="s">
        <v>41</v>
      </c>
      <c r="AI10" s="1">
        <f t="shared" si="8"/>
        <v>0</v>
      </c>
      <c r="AJ10" s="1">
        <f t="shared" si="9"/>
        <v>2.16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42</v>
      </c>
      <c r="B11" s="1" t="s">
        <v>35</v>
      </c>
      <c r="C11" s="1">
        <v>123</v>
      </c>
      <c r="D11" s="1"/>
      <c r="E11" s="1"/>
      <c r="F11" s="1">
        <v>123</v>
      </c>
      <c r="G11" s="1"/>
      <c r="H11" s="7">
        <v>0.18</v>
      </c>
      <c r="I11" s="1">
        <v>180</v>
      </c>
      <c r="J11" s="1"/>
      <c r="K11" s="1"/>
      <c r="L11" s="1">
        <v>10</v>
      </c>
      <c r="M11" s="1">
        <f t="shared" si="4"/>
        <v>-10</v>
      </c>
      <c r="N11" s="1"/>
      <c r="O11" s="1"/>
      <c r="P11" s="1"/>
      <c r="Q11" s="1">
        <f t="shared" si="5"/>
        <v>0</v>
      </c>
      <c r="R11" s="5"/>
      <c r="S11" s="18">
        <f>VLOOKUP(A11,[2]TDSheet!$D:$J,7,0)</f>
        <v>0.10526315789473684</v>
      </c>
      <c r="T11" s="5"/>
      <c r="U11" s="5">
        <v>12</v>
      </c>
      <c r="V11" s="1" t="e">
        <f t="shared" si="6"/>
        <v>#DIV/0!</v>
      </c>
      <c r="W11" s="1" t="e">
        <f t="shared" si="7"/>
        <v>#DIV/0!</v>
      </c>
      <c r="X11" s="1">
        <v>0</v>
      </c>
      <c r="Y11" s="1">
        <v>-0.2</v>
      </c>
      <c r="Z11" s="1">
        <v>2.8</v>
      </c>
      <c r="AA11" s="1">
        <v>-0.2</v>
      </c>
      <c r="AB11" s="1">
        <v>1.2</v>
      </c>
      <c r="AC11" s="1">
        <v>23.4</v>
      </c>
      <c r="AD11" s="1">
        <v>-0.4</v>
      </c>
      <c r="AE11" s="1">
        <v>-1.2</v>
      </c>
      <c r="AF11" s="1">
        <v>3.6</v>
      </c>
      <c r="AG11" s="1">
        <v>3</v>
      </c>
      <c r="AH11" s="20" t="s">
        <v>43</v>
      </c>
      <c r="AI11" s="1">
        <f t="shared" si="8"/>
        <v>0</v>
      </c>
      <c r="AJ11" s="1">
        <f t="shared" si="9"/>
        <v>2.16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44</v>
      </c>
      <c r="B12" s="1" t="s">
        <v>39</v>
      </c>
      <c r="C12" s="1">
        <v>9.8439999999999994</v>
      </c>
      <c r="D12" s="1"/>
      <c r="E12" s="1">
        <v>6.5919999999999996</v>
      </c>
      <c r="F12" s="1">
        <v>-3.2519999999999998</v>
      </c>
      <c r="G12" s="1"/>
      <c r="H12" s="7">
        <v>1</v>
      </c>
      <c r="I12" s="1">
        <v>180</v>
      </c>
      <c r="J12" s="1"/>
      <c r="K12" s="1"/>
      <c r="L12" s="1">
        <v>17.2</v>
      </c>
      <c r="M12" s="1">
        <f t="shared" si="4"/>
        <v>-10.608000000000001</v>
      </c>
      <c r="N12" s="1"/>
      <c r="O12" s="1"/>
      <c r="P12" s="1">
        <v>50</v>
      </c>
      <c r="Q12" s="1">
        <f t="shared" si="5"/>
        <v>1.3184</v>
      </c>
      <c r="R12" s="5"/>
      <c r="S12" s="18">
        <f>VLOOKUP(A12,[2]TDSheet!$D:$J,7,0)</f>
        <v>9.3498736503560761E-2</v>
      </c>
      <c r="T12" s="5"/>
      <c r="U12" s="5">
        <v>15</v>
      </c>
      <c r="V12" s="1">
        <f t="shared" si="6"/>
        <v>46.835558252427184</v>
      </c>
      <c r="W12" s="1">
        <f t="shared" si="7"/>
        <v>35.458131067961162</v>
      </c>
      <c r="X12" s="1">
        <v>3.1696</v>
      </c>
      <c r="Y12" s="1">
        <v>1.2887999999999999</v>
      </c>
      <c r="Z12" s="1">
        <v>0.63559999999999994</v>
      </c>
      <c r="AA12" s="1">
        <v>1.2452000000000001</v>
      </c>
      <c r="AB12" s="1">
        <v>0.61959999999999993</v>
      </c>
      <c r="AC12" s="1">
        <v>2.4516</v>
      </c>
      <c r="AD12" s="1">
        <v>3.2412000000000001</v>
      </c>
      <c r="AE12" s="1">
        <v>0</v>
      </c>
      <c r="AF12" s="1">
        <v>0.68120000000000003</v>
      </c>
      <c r="AG12" s="1">
        <v>4.0174000000000003</v>
      </c>
      <c r="AH12" s="1"/>
      <c r="AI12" s="1">
        <f t="shared" si="8"/>
        <v>0</v>
      </c>
      <c r="AJ12" s="1">
        <f t="shared" si="9"/>
        <v>15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45</v>
      </c>
      <c r="B13" s="1" t="s">
        <v>35</v>
      </c>
      <c r="C13" s="1">
        <v>128</v>
      </c>
      <c r="D13" s="1"/>
      <c r="E13" s="1">
        <v>2</v>
      </c>
      <c r="F13" s="1"/>
      <c r="G13" s="1">
        <f>VLOOKUP(A13,[1]TDSheet!$A:$I,9,0)</f>
        <v>54</v>
      </c>
      <c r="H13" s="7">
        <v>0.82450000000000001</v>
      </c>
      <c r="I13" s="1">
        <v>180</v>
      </c>
      <c r="J13" s="1"/>
      <c r="K13" s="1"/>
      <c r="L13" s="1">
        <v>2</v>
      </c>
      <c r="M13" s="1">
        <f t="shared" si="4"/>
        <v>0</v>
      </c>
      <c r="N13" s="1"/>
      <c r="O13" s="1"/>
      <c r="P13" s="1"/>
      <c r="Q13" s="1">
        <f t="shared" si="5"/>
        <v>0.4</v>
      </c>
      <c r="R13" s="5"/>
      <c r="S13" s="18">
        <f>VLOOKUP(A13,[2]TDSheet!$D:$J,7,0)</f>
        <v>1</v>
      </c>
      <c r="T13" s="5">
        <v>10</v>
      </c>
      <c r="U13" s="5"/>
      <c r="V13" s="1">
        <f t="shared" si="6"/>
        <v>160</v>
      </c>
      <c r="W13" s="1">
        <f t="shared" si="7"/>
        <v>135</v>
      </c>
      <c r="X13" s="1">
        <v>0.8</v>
      </c>
      <c r="Y13" s="1">
        <v>0.4</v>
      </c>
      <c r="Z13" s="1">
        <v>0</v>
      </c>
      <c r="AA13" s="1">
        <v>0.2</v>
      </c>
      <c r="AB13" s="1">
        <v>9.6</v>
      </c>
      <c r="AC13" s="1">
        <v>0.4</v>
      </c>
      <c r="AD13" s="1">
        <v>0.6</v>
      </c>
      <c r="AE13" s="1">
        <v>0</v>
      </c>
      <c r="AF13" s="1">
        <v>1.8</v>
      </c>
      <c r="AG13" s="1">
        <v>2.8</v>
      </c>
      <c r="AH13" s="9" t="s">
        <v>101</v>
      </c>
      <c r="AI13" s="1">
        <f t="shared" si="8"/>
        <v>8.245000000000001</v>
      </c>
      <c r="AJ13" s="1">
        <f t="shared" si="9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46</v>
      </c>
      <c r="B14" s="1" t="s">
        <v>35</v>
      </c>
      <c r="C14" s="1">
        <v>130</v>
      </c>
      <c r="D14" s="1">
        <v>86</v>
      </c>
      <c r="E14" s="1">
        <v>93</v>
      </c>
      <c r="F14" s="1">
        <v>29</v>
      </c>
      <c r="G14" s="1">
        <f>VLOOKUP(A14,[1]TDSheet!$A:$I,9,0)</f>
        <v>43</v>
      </c>
      <c r="H14" s="7">
        <v>0.372</v>
      </c>
      <c r="I14" s="1">
        <v>180</v>
      </c>
      <c r="J14" s="1"/>
      <c r="K14" s="1"/>
      <c r="L14" s="1">
        <v>81</v>
      </c>
      <c r="M14" s="1">
        <f t="shared" si="4"/>
        <v>12</v>
      </c>
      <c r="N14" s="1"/>
      <c r="O14" s="1"/>
      <c r="P14" s="1">
        <v>348</v>
      </c>
      <c r="Q14" s="1">
        <f t="shared" si="5"/>
        <v>18.600000000000001</v>
      </c>
      <c r="R14" s="5"/>
      <c r="S14" s="18">
        <f>VLOOKUP(A14,[2]TDSheet!$D:$J,7,0)</f>
        <v>0.41855203619909498</v>
      </c>
      <c r="T14" s="5"/>
      <c r="U14" s="5">
        <v>50</v>
      </c>
      <c r="V14" s="1">
        <f t="shared" si="6"/>
        <v>25.268817204301072</v>
      </c>
      <c r="W14" s="1">
        <f t="shared" si="7"/>
        <v>22.58064516129032</v>
      </c>
      <c r="X14" s="1">
        <v>27.4</v>
      </c>
      <c r="Y14" s="1">
        <v>18</v>
      </c>
      <c r="Z14" s="1">
        <v>35.4</v>
      </c>
      <c r="AA14" s="1">
        <v>16.2</v>
      </c>
      <c r="AB14" s="1">
        <v>25.8</v>
      </c>
      <c r="AC14" s="1">
        <v>10</v>
      </c>
      <c r="AD14" s="1">
        <v>15.2</v>
      </c>
      <c r="AE14" s="1">
        <v>29</v>
      </c>
      <c r="AF14" s="1">
        <v>14.6</v>
      </c>
      <c r="AG14" s="1">
        <v>26.2</v>
      </c>
      <c r="AH14" s="1"/>
      <c r="AI14" s="1">
        <f t="shared" si="8"/>
        <v>0</v>
      </c>
      <c r="AJ14" s="1">
        <f t="shared" si="9"/>
        <v>18.600000000000001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47</v>
      </c>
      <c r="B15" s="1" t="s">
        <v>35</v>
      </c>
      <c r="C15" s="1">
        <v>167</v>
      </c>
      <c r="D15" s="1">
        <v>70</v>
      </c>
      <c r="E15" s="1">
        <v>147</v>
      </c>
      <c r="F15" s="1">
        <v>3</v>
      </c>
      <c r="G15" s="1">
        <f>VLOOKUP(A15,[1]TDSheet!$A:$I,9,0)</f>
        <v>9</v>
      </c>
      <c r="H15" s="7">
        <v>0.74399999999999999</v>
      </c>
      <c r="I15" s="1">
        <v>180</v>
      </c>
      <c r="J15" s="1"/>
      <c r="K15" s="1"/>
      <c r="L15" s="1">
        <v>161</v>
      </c>
      <c r="M15" s="1">
        <f t="shared" si="4"/>
        <v>-14</v>
      </c>
      <c r="N15" s="1"/>
      <c r="O15" s="1"/>
      <c r="P15" s="1">
        <v>180</v>
      </c>
      <c r="Q15" s="1">
        <f t="shared" si="5"/>
        <v>29.4</v>
      </c>
      <c r="R15" s="5">
        <f t="shared" ref="R7:R27" si="10">14*Q15-P15-G15-F15</f>
        <v>219.59999999999997</v>
      </c>
      <c r="S15" s="18">
        <f>VLOOKUP(A15,[2]TDSheet!$D:$J,7,0)</f>
        <v>0.31338028169014082</v>
      </c>
      <c r="T15" s="5">
        <f>R15-U15</f>
        <v>150.78169014084506</v>
      </c>
      <c r="U15" s="5">
        <f>R15*S15</f>
        <v>68.818309859154908</v>
      </c>
      <c r="V15" s="1">
        <f t="shared" si="6"/>
        <v>14</v>
      </c>
      <c r="W15" s="1">
        <f t="shared" si="7"/>
        <v>6.5306122448979593</v>
      </c>
      <c r="X15" s="1">
        <v>18.2</v>
      </c>
      <c r="Y15" s="1">
        <v>11.4</v>
      </c>
      <c r="Z15" s="1">
        <v>27.6</v>
      </c>
      <c r="AA15" s="1">
        <v>7.6</v>
      </c>
      <c r="AB15" s="1">
        <v>7.4</v>
      </c>
      <c r="AC15" s="1">
        <v>3.2</v>
      </c>
      <c r="AD15" s="1">
        <v>21.8</v>
      </c>
      <c r="AE15" s="1">
        <v>17.8</v>
      </c>
      <c r="AF15" s="1">
        <v>5.6</v>
      </c>
      <c r="AG15" s="1">
        <v>21.2</v>
      </c>
      <c r="AH15" s="1"/>
      <c r="AI15" s="1">
        <f t="shared" si="8"/>
        <v>112.18157746478872</v>
      </c>
      <c r="AJ15" s="1">
        <f t="shared" si="9"/>
        <v>51.200822535211252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48</v>
      </c>
      <c r="B16" s="1" t="s">
        <v>35</v>
      </c>
      <c r="C16" s="1">
        <v>299</v>
      </c>
      <c r="D16" s="1">
        <v>146</v>
      </c>
      <c r="E16" s="1">
        <v>186</v>
      </c>
      <c r="F16" s="1"/>
      <c r="G16" s="1">
        <f>VLOOKUP(A16,[1]TDSheet!$A:$I,9,0)</f>
        <v>4</v>
      </c>
      <c r="H16" s="7">
        <v>0.372</v>
      </c>
      <c r="I16" s="1">
        <v>180</v>
      </c>
      <c r="J16" s="1"/>
      <c r="K16" s="1"/>
      <c r="L16" s="1">
        <v>208</v>
      </c>
      <c r="M16" s="1">
        <f t="shared" si="4"/>
        <v>-22</v>
      </c>
      <c r="N16" s="1"/>
      <c r="O16" s="1"/>
      <c r="P16" s="1">
        <v>144</v>
      </c>
      <c r="Q16" s="1">
        <f t="shared" si="5"/>
        <v>37.200000000000003</v>
      </c>
      <c r="R16" s="5">
        <f t="shared" si="10"/>
        <v>372.80000000000007</v>
      </c>
      <c r="S16" s="18">
        <f>VLOOKUP(A16,[2]TDSheet!$D:$J,7,0)</f>
        <v>0.33272394881170014</v>
      </c>
      <c r="T16" s="5">
        <f>R16-U16</f>
        <v>248.76051188299823</v>
      </c>
      <c r="U16" s="5">
        <f>R16*S16</f>
        <v>124.03948811700184</v>
      </c>
      <c r="V16" s="1">
        <f t="shared" si="6"/>
        <v>14</v>
      </c>
      <c r="W16" s="1">
        <f t="shared" si="7"/>
        <v>3.9784946236559136</v>
      </c>
      <c r="X16" s="1">
        <v>22.2</v>
      </c>
      <c r="Y16" s="1">
        <v>25</v>
      </c>
      <c r="Z16" s="1">
        <v>53.2</v>
      </c>
      <c r="AA16" s="1">
        <v>26.4</v>
      </c>
      <c r="AB16" s="1">
        <v>39</v>
      </c>
      <c r="AC16" s="1">
        <v>23</v>
      </c>
      <c r="AD16" s="1">
        <v>32.6</v>
      </c>
      <c r="AE16" s="1">
        <v>49.6</v>
      </c>
      <c r="AF16" s="1">
        <v>62.6</v>
      </c>
      <c r="AG16" s="1">
        <v>42.2</v>
      </c>
      <c r="AH16" s="1"/>
      <c r="AI16" s="1">
        <f t="shared" si="8"/>
        <v>92.538910420475347</v>
      </c>
      <c r="AJ16" s="1">
        <f t="shared" si="9"/>
        <v>46.142689579524685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49</v>
      </c>
      <c r="B17" s="1" t="s">
        <v>35</v>
      </c>
      <c r="C17" s="1">
        <v>157</v>
      </c>
      <c r="D17" s="1">
        <v>205</v>
      </c>
      <c r="E17" s="1">
        <v>186</v>
      </c>
      <c r="F17" s="1"/>
      <c r="G17" s="1"/>
      <c r="H17" s="7">
        <v>0.74399999999999999</v>
      </c>
      <c r="I17" s="1">
        <v>180</v>
      </c>
      <c r="J17" s="1"/>
      <c r="K17" s="1"/>
      <c r="L17" s="1">
        <v>187</v>
      </c>
      <c r="M17" s="1">
        <f t="shared" si="4"/>
        <v>-1</v>
      </c>
      <c r="N17" s="1"/>
      <c r="O17" s="1"/>
      <c r="P17" s="1">
        <v>696</v>
      </c>
      <c r="Q17" s="1">
        <f t="shared" si="5"/>
        <v>37.200000000000003</v>
      </c>
      <c r="R17" s="5"/>
      <c r="S17" s="18">
        <f>VLOOKUP(A17,[2]TDSheet!$D:$J,7,0)</f>
        <v>0.21840659340659344</v>
      </c>
      <c r="T17" s="5"/>
      <c r="U17" s="5">
        <v>100</v>
      </c>
      <c r="V17" s="1">
        <f t="shared" si="6"/>
        <v>21.397849462365588</v>
      </c>
      <c r="W17" s="1">
        <f t="shared" si="7"/>
        <v>18.709677419354836</v>
      </c>
      <c r="X17" s="1">
        <v>50.4</v>
      </c>
      <c r="Y17" s="1">
        <v>33.799999999999997</v>
      </c>
      <c r="Z17" s="1">
        <v>43</v>
      </c>
      <c r="AA17" s="1">
        <v>35.4</v>
      </c>
      <c r="AB17" s="1">
        <v>38.799999999999997</v>
      </c>
      <c r="AC17" s="1">
        <v>30.8</v>
      </c>
      <c r="AD17" s="1">
        <v>20.6</v>
      </c>
      <c r="AE17" s="1">
        <v>48</v>
      </c>
      <c r="AF17" s="1">
        <v>52.8</v>
      </c>
      <c r="AG17" s="1">
        <v>34.200000000000003</v>
      </c>
      <c r="AH17" s="1" t="s">
        <v>50</v>
      </c>
      <c r="AI17" s="1">
        <f t="shared" si="8"/>
        <v>0</v>
      </c>
      <c r="AJ17" s="1">
        <f t="shared" si="9"/>
        <v>74.400000000000006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51</v>
      </c>
      <c r="B18" s="1" t="s">
        <v>35</v>
      </c>
      <c r="C18" s="1">
        <v>30</v>
      </c>
      <c r="D18" s="1">
        <v>39</v>
      </c>
      <c r="E18" s="1">
        <v>13</v>
      </c>
      <c r="F18" s="1">
        <v>26</v>
      </c>
      <c r="G18" s="1"/>
      <c r="H18" s="7">
        <v>0.14000000000000001</v>
      </c>
      <c r="I18" s="1">
        <v>180</v>
      </c>
      <c r="J18" s="1"/>
      <c r="K18" s="1"/>
      <c r="L18" s="1">
        <v>19</v>
      </c>
      <c r="M18" s="1">
        <f t="shared" si="4"/>
        <v>-6</v>
      </c>
      <c r="N18" s="1"/>
      <c r="O18" s="1"/>
      <c r="P18" s="1"/>
      <c r="Q18" s="1">
        <f t="shared" si="5"/>
        <v>2.6</v>
      </c>
      <c r="R18" s="5">
        <f t="shared" si="10"/>
        <v>10.399999999999999</v>
      </c>
      <c r="S18" s="18">
        <f>VLOOKUP(A18,[2]TDSheet!$D:$J,7,0)</f>
        <v>5.1724137931034489E-2</v>
      </c>
      <c r="T18" s="5">
        <f t="shared" ref="T18:T23" si="11">R18-U18</f>
        <v>0.39999999999999858</v>
      </c>
      <c r="U18" s="5">
        <v>10</v>
      </c>
      <c r="V18" s="1">
        <f t="shared" si="6"/>
        <v>13.999999999999998</v>
      </c>
      <c r="W18" s="1">
        <f t="shared" si="7"/>
        <v>10</v>
      </c>
      <c r="X18" s="1">
        <v>0.4</v>
      </c>
      <c r="Y18" s="1">
        <v>3</v>
      </c>
      <c r="Z18" s="1">
        <v>5.8</v>
      </c>
      <c r="AA18" s="1">
        <v>2.8</v>
      </c>
      <c r="AB18" s="1">
        <v>3.6</v>
      </c>
      <c r="AC18" s="1">
        <v>0.8</v>
      </c>
      <c r="AD18" s="1">
        <v>3.8</v>
      </c>
      <c r="AE18" s="1">
        <v>3.8</v>
      </c>
      <c r="AF18" s="1">
        <v>2.2000000000000002</v>
      </c>
      <c r="AG18" s="1">
        <v>4.5999999999999996</v>
      </c>
      <c r="AH18" s="1"/>
      <c r="AI18" s="1">
        <f t="shared" si="8"/>
        <v>5.5999999999999807E-2</v>
      </c>
      <c r="AJ18" s="1">
        <f t="shared" si="9"/>
        <v>1.4000000000000001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52</v>
      </c>
      <c r="B19" s="1" t="s">
        <v>35</v>
      </c>
      <c r="C19" s="1">
        <v>53</v>
      </c>
      <c r="D19" s="1">
        <v>6</v>
      </c>
      <c r="E19" s="1">
        <v>50</v>
      </c>
      <c r="F19" s="1">
        <v>-3</v>
      </c>
      <c r="G19" s="1"/>
      <c r="H19" s="7">
        <v>0.18</v>
      </c>
      <c r="I19" s="1">
        <v>270</v>
      </c>
      <c r="J19" s="1"/>
      <c r="K19" s="1"/>
      <c r="L19" s="1">
        <v>91</v>
      </c>
      <c r="M19" s="1">
        <f t="shared" si="4"/>
        <v>-41</v>
      </c>
      <c r="N19" s="1"/>
      <c r="O19" s="1"/>
      <c r="P19" s="1">
        <v>48</v>
      </c>
      <c r="Q19" s="1">
        <f t="shared" si="5"/>
        <v>10</v>
      </c>
      <c r="R19" s="5">
        <f t="shared" si="10"/>
        <v>95</v>
      </c>
      <c r="S19" s="18">
        <f>VLOOKUP(A19,[2]TDSheet!$D:$J,7,0)</f>
        <v>0.15189873417721519</v>
      </c>
      <c r="T19" s="5">
        <f t="shared" si="11"/>
        <v>80.569620253164558</v>
      </c>
      <c r="U19" s="5">
        <f t="shared" ref="U18:U23" si="12">R19*S19</f>
        <v>14.430379746835444</v>
      </c>
      <c r="V19" s="1">
        <f t="shared" si="6"/>
        <v>14</v>
      </c>
      <c r="W19" s="1">
        <f t="shared" si="7"/>
        <v>4.5</v>
      </c>
      <c r="X19" s="1">
        <v>4.5999999999999996</v>
      </c>
      <c r="Y19" s="1">
        <v>0.4</v>
      </c>
      <c r="Z19" s="1">
        <v>14.8</v>
      </c>
      <c r="AA19" s="1">
        <v>1</v>
      </c>
      <c r="AB19" s="1">
        <v>3.2</v>
      </c>
      <c r="AC19" s="1">
        <v>11</v>
      </c>
      <c r="AD19" s="1">
        <v>2.6</v>
      </c>
      <c r="AE19" s="1">
        <v>0</v>
      </c>
      <c r="AF19" s="1">
        <v>5.2</v>
      </c>
      <c r="AG19" s="1">
        <v>0.2</v>
      </c>
      <c r="AH19" s="1"/>
      <c r="AI19" s="1">
        <f t="shared" si="8"/>
        <v>14.50253164556962</v>
      </c>
      <c r="AJ19" s="1">
        <f t="shared" si="9"/>
        <v>2.5974683544303798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53</v>
      </c>
      <c r="B20" s="1" t="s">
        <v>35</v>
      </c>
      <c r="C20" s="1">
        <v>77</v>
      </c>
      <c r="D20" s="1">
        <v>6</v>
      </c>
      <c r="E20" s="1">
        <v>70</v>
      </c>
      <c r="F20" s="1"/>
      <c r="G20" s="1"/>
      <c r="H20" s="7">
        <v>0.18</v>
      </c>
      <c r="I20" s="1">
        <v>270</v>
      </c>
      <c r="J20" s="1"/>
      <c r="K20" s="1"/>
      <c r="L20" s="1">
        <v>87</v>
      </c>
      <c r="M20" s="1">
        <f t="shared" si="4"/>
        <v>-17</v>
      </c>
      <c r="N20" s="1"/>
      <c r="O20" s="1"/>
      <c r="P20" s="1">
        <v>192</v>
      </c>
      <c r="Q20" s="1">
        <f t="shared" si="5"/>
        <v>14</v>
      </c>
      <c r="R20" s="5">
        <f t="shared" si="10"/>
        <v>4</v>
      </c>
      <c r="S20" s="18">
        <f>VLOOKUP(A20,[2]TDSheet!$D:$J,7,0)</f>
        <v>0.14150943396226418</v>
      </c>
      <c r="T20" s="5">
        <v>0</v>
      </c>
      <c r="U20" s="5">
        <v>20</v>
      </c>
      <c r="V20" s="1">
        <f t="shared" si="6"/>
        <v>15.142857142857142</v>
      </c>
      <c r="W20" s="1">
        <f t="shared" si="7"/>
        <v>13.714285714285714</v>
      </c>
      <c r="X20" s="1">
        <v>12.2</v>
      </c>
      <c r="Y20" s="1">
        <v>3.4</v>
      </c>
      <c r="Z20" s="1">
        <v>12.4</v>
      </c>
      <c r="AA20" s="1">
        <v>12.2</v>
      </c>
      <c r="AB20" s="1">
        <v>8</v>
      </c>
      <c r="AC20" s="1">
        <v>9.6</v>
      </c>
      <c r="AD20" s="1">
        <v>11</v>
      </c>
      <c r="AE20" s="1">
        <v>7.4</v>
      </c>
      <c r="AF20" s="1">
        <v>13</v>
      </c>
      <c r="AG20" s="1">
        <v>9.1999999999999993</v>
      </c>
      <c r="AH20" s="1"/>
      <c r="AI20" s="1">
        <f t="shared" si="8"/>
        <v>0</v>
      </c>
      <c r="AJ20" s="1">
        <f t="shared" si="9"/>
        <v>3.5999999999999996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54</v>
      </c>
      <c r="B21" s="1" t="s">
        <v>35</v>
      </c>
      <c r="C21" s="1">
        <v>55</v>
      </c>
      <c r="D21" s="1">
        <v>19</v>
      </c>
      <c r="E21" s="1">
        <v>19</v>
      </c>
      <c r="F21" s="1">
        <v>37</v>
      </c>
      <c r="G21" s="1"/>
      <c r="H21" s="7">
        <v>0.1</v>
      </c>
      <c r="I21" s="1">
        <v>60</v>
      </c>
      <c r="J21" s="1"/>
      <c r="K21" s="1"/>
      <c r="L21" s="1">
        <v>19</v>
      </c>
      <c r="M21" s="1">
        <f t="shared" si="4"/>
        <v>0</v>
      </c>
      <c r="N21" s="1"/>
      <c r="O21" s="1"/>
      <c r="P21" s="1"/>
      <c r="Q21" s="1">
        <f t="shared" si="5"/>
        <v>3.8</v>
      </c>
      <c r="R21" s="5">
        <f t="shared" si="10"/>
        <v>16.199999999999996</v>
      </c>
      <c r="S21" s="18">
        <f>VLOOKUP(A21,[2]TDSheet!$D:$J,7,0)</f>
        <v>0</v>
      </c>
      <c r="T21" s="5">
        <f t="shared" si="11"/>
        <v>16.199999999999996</v>
      </c>
      <c r="U21" s="5">
        <f t="shared" si="12"/>
        <v>0</v>
      </c>
      <c r="V21" s="1">
        <f t="shared" si="6"/>
        <v>14</v>
      </c>
      <c r="W21" s="1">
        <f t="shared" si="7"/>
        <v>9.7368421052631575</v>
      </c>
      <c r="X21" s="1">
        <v>-0.4</v>
      </c>
      <c r="Y21" s="1">
        <v>1.8</v>
      </c>
      <c r="Z21" s="1">
        <v>2</v>
      </c>
      <c r="AA21" s="1">
        <v>2.4</v>
      </c>
      <c r="AB21" s="1">
        <v>4</v>
      </c>
      <c r="AC21" s="1">
        <v>2.6</v>
      </c>
      <c r="AD21" s="1">
        <v>-0.6</v>
      </c>
      <c r="AE21" s="1">
        <v>4.5999999999999996</v>
      </c>
      <c r="AF21" s="1">
        <v>9.1999999999999993</v>
      </c>
      <c r="AG21" s="1">
        <v>2</v>
      </c>
      <c r="AH21" s="1"/>
      <c r="AI21" s="1">
        <f t="shared" si="8"/>
        <v>1.6199999999999997</v>
      </c>
      <c r="AJ21" s="1">
        <f t="shared" si="9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55</v>
      </c>
      <c r="B22" s="1" t="s">
        <v>35</v>
      </c>
      <c r="C22" s="1">
        <v>392</v>
      </c>
      <c r="D22" s="1">
        <v>833</v>
      </c>
      <c r="E22" s="1">
        <v>586</v>
      </c>
      <c r="F22" s="1">
        <v>354</v>
      </c>
      <c r="G22" s="1"/>
      <c r="H22" s="7">
        <v>0.18</v>
      </c>
      <c r="I22" s="1">
        <v>180</v>
      </c>
      <c r="J22" s="1"/>
      <c r="K22" s="1"/>
      <c r="L22" s="1">
        <v>624</v>
      </c>
      <c r="M22" s="1">
        <f t="shared" si="4"/>
        <v>-38</v>
      </c>
      <c r="N22" s="1"/>
      <c r="O22" s="1"/>
      <c r="P22" s="1">
        <v>800</v>
      </c>
      <c r="Q22" s="1">
        <f t="shared" si="5"/>
        <v>117.2</v>
      </c>
      <c r="R22" s="5">
        <f t="shared" si="10"/>
        <v>486.79999999999995</v>
      </c>
      <c r="S22" s="18">
        <f>VLOOKUP(A22,[2]TDSheet!$D:$J,7,0)</f>
        <v>0.14578910120311395</v>
      </c>
      <c r="T22" s="5">
        <f t="shared" si="11"/>
        <v>336.79999999999995</v>
      </c>
      <c r="U22" s="5">
        <v>150</v>
      </c>
      <c r="V22" s="1">
        <f t="shared" si="6"/>
        <v>14</v>
      </c>
      <c r="W22" s="1">
        <f t="shared" si="7"/>
        <v>9.8464163822525599</v>
      </c>
      <c r="X22" s="1">
        <v>40</v>
      </c>
      <c r="Y22" s="1">
        <v>85.8</v>
      </c>
      <c r="Z22" s="1">
        <v>89.8</v>
      </c>
      <c r="AA22" s="1">
        <v>60.2</v>
      </c>
      <c r="AB22" s="1">
        <v>74.599999999999994</v>
      </c>
      <c r="AC22" s="1">
        <v>55.2</v>
      </c>
      <c r="AD22" s="1">
        <v>65.8</v>
      </c>
      <c r="AE22" s="1">
        <v>79</v>
      </c>
      <c r="AF22" s="1">
        <v>93</v>
      </c>
      <c r="AG22" s="1">
        <v>72.599999999999994</v>
      </c>
      <c r="AH22" s="1"/>
      <c r="AI22" s="1">
        <f t="shared" si="8"/>
        <v>60.623999999999988</v>
      </c>
      <c r="AJ22" s="1">
        <f t="shared" si="9"/>
        <v>27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56</v>
      </c>
      <c r="B23" s="1" t="s">
        <v>35</v>
      </c>
      <c r="C23" s="1">
        <v>475</v>
      </c>
      <c r="D23" s="1">
        <v>1397</v>
      </c>
      <c r="E23" s="1">
        <v>421</v>
      </c>
      <c r="F23" s="1">
        <v>-18</v>
      </c>
      <c r="G23" s="1"/>
      <c r="H23" s="7">
        <v>0.18</v>
      </c>
      <c r="I23" s="1">
        <v>180</v>
      </c>
      <c r="J23" s="1"/>
      <c r="K23" s="1"/>
      <c r="L23" s="1">
        <v>635</v>
      </c>
      <c r="M23" s="1">
        <f t="shared" si="4"/>
        <v>-214</v>
      </c>
      <c r="N23" s="1"/>
      <c r="O23" s="1"/>
      <c r="P23" s="1">
        <v>800</v>
      </c>
      <c r="Q23" s="1">
        <f t="shared" si="5"/>
        <v>84.2</v>
      </c>
      <c r="R23" s="5">
        <f t="shared" si="10"/>
        <v>396.79999999999995</v>
      </c>
      <c r="S23" s="18">
        <f>VLOOKUP(A23,[2]TDSheet!$D:$J,7,0)</f>
        <v>0.11357702349869452</v>
      </c>
      <c r="T23" s="5">
        <f t="shared" si="11"/>
        <v>246.79999999999995</v>
      </c>
      <c r="U23" s="5">
        <v>150</v>
      </c>
      <c r="V23" s="1">
        <f t="shared" si="6"/>
        <v>13.999999999999998</v>
      </c>
      <c r="W23" s="1">
        <f t="shared" si="7"/>
        <v>9.287410926365796</v>
      </c>
      <c r="X23" s="1">
        <v>38.4</v>
      </c>
      <c r="Y23" s="1">
        <v>42</v>
      </c>
      <c r="Z23" s="1">
        <v>110</v>
      </c>
      <c r="AA23" s="1">
        <v>7.4</v>
      </c>
      <c r="AB23" s="1">
        <v>1.6</v>
      </c>
      <c r="AC23" s="1">
        <v>330.4</v>
      </c>
      <c r="AD23" s="1">
        <v>83.4</v>
      </c>
      <c r="AE23" s="1">
        <v>102.2</v>
      </c>
      <c r="AF23" s="1">
        <v>110.8</v>
      </c>
      <c r="AG23" s="1">
        <v>97.8</v>
      </c>
      <c r="AH23" s="1" t="s">
        <v>57</v>
      </c>
      <c r="AI23" s="1">
        <f t="shared" si="8"/>
        <v>44.423999999999992</v>
      </c>
      <c r="AJ23" s="1">
        <f t="shared" si="9"/>
        <v>27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58</v>
      </c>
      <c r="B24" s="1" t="s">
        <v>35</v>
      </c>
      <c r="C24" s="1">
        <v>42</v>
      </c>
      <c r="D24" s="1">
        <v>33</v>
      </c>
      <c r="E24" s="1">
        <v>7</v>
      </c>
      <c r="F24" s="1">
        <v>20</v>
      </c>
      <c r="G24" s="1">
        <f>VLOOKUP(A24,[1]TDSheet!$A:$I,9,0)</f>
        <v>16</v>
      </c>
      <c r="H24" s="7">
        <v>0.4</v>
      </c>
      <c r="I24" s="1">
        <v>270</v>
      </c>
      <c r="J24" s="1"/>
      <c r="K24" s="1"/>
      <c r="L24" s="1">
        <v>7</v>
      </c>
      <c r="M24" s="1">
        <f t="shared" si="4"/>
        <v>0</v>
      </c>
      <c r="N24" s="1"/>
      <c r="O24" s="1"/>
      <c r="P24" s="1"/>
      <c r="Q24" s="1">
        <f t="shared" si="5"/>
        <v>1.4</v>
      </c>
      <c r="R24" s="5"/>
      <c r="S24" s="18">
        <f>VLOOKUP(A24,[2]TDSheet!$D:$J,7,0)</f>
        <v>0.22222222222222224</v>
      </c>
      <c r="T24" s="5"/>
      <c r="U24" s="5"/>
      <c r="V24" s="1">
        <f t="shared" si="6"/>
        <v>25.714285714285715</v>
      </c>
      <c r="W24" s="1">
        <f t="shared" si="7"/>
        <v>25.714285714285715</v>
      </c>
      <c r="X24" s="1">
        <v>0.2</v>
      </c>
      <c r="Y24" s="1">
        <v>1.2</v>
      </c>
      <c r="Z24" s="1">
        <v>1.2</v>
      </c>
      <c r="AA24" s="1">
        <v>1</v>
      </c>
      <c r="AB24" s="1">
        <v>-0.2</v>
      </c>
      <c r="AC24" s="1">
        <v>1.2</v>
      </c>
      <c r="AD24" s="1">
        <v>0.6</v>
      </c>
      <c r="AE24" s="1">
        <v>1</v>
      </c>
      <c r="AF24" s="1">
        <v>3.2</v>
      </c>
      <c r="AG24" s="1">
        <v>2.6</v>
      </c>
      <c r="AH24" s="20" t="s">
        <v>43</v>
      </c>
      <c r="AI24" s="1">
        <f t="shared" si="8"/>
        <v>0</v>
      </c>
      <c r="AJ24" s="1">
        <f t="shared" si="9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59</v>
      </c>
      <c r="B25" s="1" t="s">
        <v>35</v>
      </c>
      <c r="C25" s="1">
        <v>85</v>
      </c>
      <c r="D25" s="1">
        <v>36</v>
      </c>
      <c r="E25" s="1"/>
      <c r="F25" s="1">
        <v>82</v>
      </c>
      <c r="G25" s="1"/>
      <c r="H25" s="7">
        <v>0.4</v>
      </c>
      <c r="I25" s="1">
        <v>270</v>
      </c>
      <c r="J25" s="1"/>
      <c r="K25" s="1"/>
      <c r="L25" s="1"/>
      <c r="M25" s="1">
        <f t="shared" si="4"/>
        <v>0</v>
      </c>
      <c r="N25" s="1"/>
      <c r="O25" s="1"/>
      <c r="P25" s="1"/>
      <c r="Q25" s="1">
        <f t="shared" si="5"/>
        <v>0</v>
      </c>
      <c r="R25" s="5"/>
      <c r="S25" s="18">
        <f>VLOOKUP(A25,[2]TDSheet!$D:$J,7,0)</f>
        <v>0</v>
      </c>
      <c r="T25" s="5"/>
      <c r="U25" s="5"/>
      <c r="V25" s="1" t="e">
        <f t="shared" si="6"/>
        <v>#DIV/0!</v>
      </c>
      <c r="W25" s="1" t="e">
        <f t="shared" si="7"/>
        <v>#DIV/0!</v>
      </c>
      <c r="X25" s="1">
        <v>0.4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0.2</v>
      </c>
      <c r="AH25" s="20" t="s">
        <v>43</v>
      </c>
      <c r="AI25" s="1">
        <f t="shared" si="8"/>
        <v>0</v>
      </c>
      <c r="AJ25" s="1">
        <f t="shared" si="9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60</v>
      </c>
      <c r="B26" s="1" t="s">
        <v>35</v>
      </c>
      <c r="C26" s="1">
        <v>174</v>
      </c>
      <c r="D26" s="1"/>
      <c r="E26" s="1">
        <v>3</v>
      </c>
      <c r="F26" s="1">
        <v>82</v>
      </c>
      <c r="G26" s="1">
        <f>VLOOKUP(A26,[1]TDSheet!$A:$I,9,0)</f>
        <v>32</v>
      </c>
      <c r="H26" s="7">
        <v>0.18</v>
      </c>
      <c r="I26" s="1">
        <v>270</v>
      </c>
      <c r="J26" s="1"/>
      <c r="K26" s="1"/>
      <c r="L26" s="1">
        <v>4</v>
      </c>
      <c r="M26" s="1">
        <f t="shared" si="4"/>
        <v>-1</v>
      </c>
      <c r="N26" s="1"/>
      <c r="O26" s="1"/>
      <c r="P26" s="1"/>
      <c r="Q26" s="1">
        <f t="shared" si="5"/>
        <v>0.6</v>
      </c>
      <c r="R26" s="5"/>
      <c r="S26" s="18">
        <f>VLOOKUP(A26,[2]TDSheet!$D:$J,7,0)</f>
        <v>0.12195121951219513</v>
      </c>
      <c r="T26" s="5"/>
      <c r="U26" s="5"/>
      <c r="V26" s="1">
        <f t="shared" si="6"/>
        <v>190</v>
      </c>
      <c r="W26" s="1">
        <f t="shared" si="7"/>
        <v>190</v>
      </c>
      <c r="X26" s="1">
        <v>1.8</v>
      </c>
      <c r="Y26" s="1">
        <v>0.4</v>
      </c>
      <c r="Z26" s="1">
        <v>3.2</v>
      </c>
      <c r="AA26" s="1">
        <v>0.2</v>
      </c>
      <c r="AB26" s="1">
        <v>19.600000000000001</v>
      </c>
      <c r="AC26" s="1">
        <v>1.4</v>
      </c>
      <c r="AD26" s="1">
        <v>1</v>
      </c>
      <c r="AE26" s="1">
        <v>0.2</v>
      </c>
      <c r="AF26" s="1">
        <v>2.8</v>
      </c>
      <c r="AG26" s="1">
        <v>3.6</v>
      </c>
      <c r="AH26" s="20" t="s">
        <v>43</v>
      </c>
      <c r="AI26" s="1">
        <f t="shared" si="8"/>
        <v>0</v>
      </c>
      <c r="AJ26" s="1">
        <f t="shared" si="9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61</v>
      </c>
      <c r="B27" s="1" t="s">
        <v>35</v>
      </c>
      <c r="C27" s="1">
        <v>24</v>
      </c>
      <c r="D27" s="1"/>
      <c r="E27" s="1"/>
      <c r="F27" s="1"/>
      <c r="G27" s="1"/>
      <c r="H27" s="7">
        <v>0.2</v>
      </c>
      <c r="I27" s="1">
        <v>120</v>
      </c>
      <c r="J27" s="1"/>
      <c r="K27" s="1"/>
      <c r="L27" s="1"/>
      <c r="M27" s="1">
        <f t="shared" si="4"/>
        <v>0</v>
      </c>
      <c r="N27" s="1"/>
      <c r="O27" s="1"/>
      <c r="P27" s="1"/>
      <c r="Q27" s="1">
        <f t="shared" si="5"/>
        <v>0</v>
      </c>
      <c r="R27" s="5">
        <f t="shared" si="10"/>
        <v>0</v>
      </c>
      <c r="S27" s="18">
        <f>VLOOKUP(A27,[2]TDSheet!$D:$J,7,0)</f>
        <v>0</v>
      </c>
      <c r="T27" s="5"/>
      <c r="U27" s="5"/>
      <c r="V27" s="1" t="e">
        <f t="shared" si="6"/>
        <v>#DIV/0!</v>
      </c>
      <c r="W27" s="1" t="e">
        <f t="shared" si="7"/>
        <v>#DIV/0!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9" t="s">
        <v>103</v>
      </c>
      <c r="AI27" s="1">
        <f t="shared" si="8"/>
        <v>0</v>
      </c>
      <c r="AJ27" s="1">
        <f t="shared" si="9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1" t="s">
        <v>62</v>
      </c>
      <c r="B28" s="11" t="s">
        <v>39</v>
      </c>
      <c r="C28" s="11">
        <v>14.645</v>
      </c>
      <c r="D28" s="11"/>
      <c r="E28" s="11"/>
      <c r="F28" s="11"/>
      <c r="G28" s="11"/>
      <c r="H28" s="12">
        <v>0</v>
      </c>
      <c r="I28" s="11">
        <v>180</v>
      </c>
      <c r="J28" s="11"/>
      <c r="K28" s="11"/>
      <c r="L28" s="11"/>
      <c r="M28" s="11">
        <f t="shared" si="4"/>
        <v>0</v>
      </c>
      <c r="N28" s="11"/>
      <c r="O28" s="11"/>
      <c r="P28" s="11"/>
      <c r="Q28" s="11">
        <f t="shared" si="5"/>
        <v>0</v>
      </c>
      <c r="R28" s="13"/>
      <c r="S28" s="13"/>
      <c r="T28" s="13"/>
      <c r="U28" s="13"/>
      <c r="V28" s="11" t="e">
        <f t="shared" si="6"/>
        <v>#DIV/0!</v>
      </c>
      <c r="W28" s="11" t="e">
        <f t="shared" si="7"/>
        <v>#DIV/0!</v>
      </c>
      <c r="X28" s="11">
        <v>0</v>
      </c>
      <c r="Y28" s="11">
        <v>0</v>
      </c>
      <c r="Z28" s="11">
        <v>-0.36159999999999998</v>
      </c>
      <c r="AA28" s="11">
        <v>0</v>
      </c>
      <c r="AB28" s="11">
        <v>0</v>
      </c>
      <c r="AC28" s="11">
        <v>0</v>
      </c>
      <c r="AD28" s="11">
        <v>0</v>
      </c>
      <c r="AE28" s="11">
        <v>0.46300000000000002</v>
      </c>
      <c r="AF28" s="11">
        <v>0.88900000000000001</v>
      </c>
      <c r="AG28" s="11">
        <v>0.34799999999999998</v>
      </c>
      <c r="AH28" s="11" t="s">
        <v>63</v>
      </c>
      <c r="AI28" s="1">
        <f t="shared" si="8"/>
        <v>0</v>
      </c>
      <c r="AJ28" s="1">
        <f t="shared" si="9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64</v>
      </c>
      <c r="B29" s="1" t="s">
        <v>39</v>
      </c>
      <c r="C29" s="1">
        <v>59.395000000000003</v>
      </c>
      <c r="D29" s="1">
        <v>1.19</v>
      </c>
      <c r="E29" s="1"/>
      <c r="F29" s="1">
        <v>60.585000000000001</v>
      </c>
      <c r="G29" s="1"/>
      <c r="H29" s="7">
        <v>1</v>
      </c>
      <c r="I29" s="1">
        <v>180</v>
      </c>
      <c r="J29" s="1"/>
      <c r="K29" s="1"/>
      <c r="L29" s="1"/>
      <c r="M29" s="1">
        <f t="shared" si="4"/>
        <v>0</v>
      </c>
      <c r="N29" s="1"/>
      <c r="O29" s="1"/>
      <c r="P29" s="1"/>
      <c r="Q29" s="1">
        <f t="shared" si="5"/>
        <v>0</v>
      </c>
      <c r="R29" s="5"/>
      <c r="S29" s="18">
        <f>VLOOKUP(A29,[2]TDSheet!$D:$J,7,0)</f>
        <v>0</v>
      </c>
      <c r="T29" s="5"/>
      <c r="U29" s="5"/>
      <c r="V29" s="1" t="e">
        <f t="shared" si="6"/>
        <v>#DIV/0!</v>
      </c>
      <c r="W29" s="1" t="e">
        <f t="shared" si="7"/>
        <v>#DIV/0!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20" t="s">
        <v>43</v>
      </c>
      <c r="AI29" s="1">
        <f t="shared" si="8"/>
        <v>0</v>
      </c>
      <c r="AJ29" s="1">
        <f t="shared" si="9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65</v>
      </c>
      <c r="B30" s="1" t="s">
        <v>35</v>
      </c>
      <c r="C30" s="1">
        <v>111</v>
      </c>
      <c r="D30" s="1">
        <v>5</v>
      </c>
      <c r="E30" s="1"/>
      <c r="F30" s="1"/>
      <c r="G30" s="1"/>
      <c r="H30" s="7">
        <v>0.18</v>
      </c>
      <c r="I30" s="1">
        <v>150</v>
      </c>
      <c r="J30" s="1"/>
      <c r="K30" s="1"/>
      <c r="L30" s="1">
        <v>118</v>
      </c>
      <c r="M30" s="1">
        <f t="shared" si="4"/>
        <v>-118</v>
      </c>
      <c r="N30" s="1"/>
      <c r="O30" s="1"/>
      <c r="P30" s="1"/>
      <c r="Q30" s="1">
        <f t="shared" si="5"/>
        <v>0</v>
      </c>
      <c r="R30" s="5">
        <f t="shared" ref="R29:R44" si="13">14*Q30-P30-G30-F30</f>
        <v>0</v>
      </c>
      <c r="S30" s="18">
        <f>VLOOKUP(A30,[2]TDSheet!$D:$J,7,0)</f>
        <v>1</v>
      </c>
      <c r="T30" s="5">
        <v>20</v>
      </c>
      <c r="U30" s="5">
        <v>100</v>
      </c>
      <c r="V30" s="1" t="e">
        <f t="shared" si="6"/>
        <v>#DIV/0!</v>
      </c>
      <c r="W30" s="1" t="e">
        <f t="shared" si="7"/>
        <v>#DIV/0!</v>
      </c>
      <c r="X30" s="1">
        <v>-0.4</v>
      </c>
      <c r="Y30" s="1">
        <v>-0.8</v>
      </c>
      <c r="Z30" s="1">
        <v>0</v>
      </c>
      <c r="AA30" s="1">
        <v>0</v>
      </c>
      <c r="AB30" s="1">
        <v>2.8</v>
      </c>
      <c r="AC30" s="1">
        <v>4.8</v>
      </c>
      <c r="AD30" s="1">
        <v>8.4</v>
      </c>
      <c r="AE30" s="1">
        <v>7.2</v>
      </c>
      <c r="AF30" s="1">
        <v>12</v>
      </c>
      <c r="AG30" s="1">
        <v>4.2</v>
      </c>
      <c r="AH30" s="9" t="s">
        <v>104</v>
      </c>
      <c r="AI30" s="1">
        <f t="shared" si="8"/>
        <v>3.5999999999999996</v>
      </c>
      <c r="AJ30" s="1">
        <f t="shared" si="9"/>
        <v>18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66</v>
      </c>
      <c r="B31" s="1" t="s">
        <v>35</v>
      </c>
      <c r="C31" s="1">
        <v>86</v>
      </c>
      <c r="D31" s="1">
        <v>158</v>
      </c>
      <c r="E31" s="1">
        <v>39</v>
      </c>
      <c r="F31" s="1">
        <v>93</v>
      </c>
      <c r="G31" s="1">
        <f>VLOOKUP(A31,[1]TDSheet!$A:$I,9,0)</f>
        <v>104</v>
      </c>
      <c r="H31" s="7">
        <v>0.1</v>
      </c>
      <c r="I31" s="1">
        <v>90</v>
      </c>
      <c r="J31" s="1"/>
      <c r="K31" s="1"/>
      <c r="L31" s="1">
        <v>40</v>
      </c>
      <c r="M31" s="1">
        <f t="shared" si="4"/>
        <v>-1</v>
      </c>
      <c r="N31" s="1"/>
      <c r="O31" s="1"/>
      <c r="P31" s="1"/>
      <c r="Q31" s="1">
        <f t="shared" si="5"/>
        <v>7.8</v>
      </c>
      <c r="R31" s="5"/>
      <c r="S31" s="18">
        <f>VLOOKUP(A31,[2]TDSheet!$D:$J,7,0)</f>
        <v>0.4763779527559055</v>
      </c>
      <c r="T31" s="5"/>
      <c r="U31" s="5"/>
      <c r="V31" s="1">
        <f t="shared" si="6"/>
        <v>25.256410256410255</v>
      </c>
      <c r="W31" s="1">
        <f t="shared" si="7"/>
        <v>25.256410256410255</v>
      </c>
      <c r="X31" s="1">
        <v>7.2</v>
      </c>
      <c r="Y31" s="1">
        <v>21.4</v>
      </c>
      <c r="Z31" s="1">
        <v>16.2</v>
      </c>
      <c r="AA31" s="1">
        <v>9</v>
      </c>
      <c r="AB31" s="1">
        <v>9.1999999999999993</v>
      </c>
      <c r="AC31" s="1">
        <v>12.4</v>
      </c>
      <c r="AD31" s="1">
        <v>18.600000000000001</v>
      </c>
      <c r="AE31" s="1">
        <v>6</v>
      </c>
      <c r="AF31" s="1">
        <v>16</v>
      </c>
      <c r="AG31" s="1">
        <v>13.8</v>
      </c>
      <c r="AH31" s="1"/>
      <c r="AI31" s="1">
        <f t="shared" si="8"/>
        <v>0</v>
      </c>
      <c r="AJ31" s="1">
        <f t="shared" si="9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67</v>
      </c>
      <c r="B32" s="1" t="s">
        <v>35</v>
      </c>
      <c r="C32" s="1">
        <v>294</v>
      </c>
      <c r="D32" s="1">
        <v>132</v>
      </c>
      <c r="E32" s="1">
        <v>87</v>
      </c>
      <c r="F32" s="1">
        <v>155</v>
      </c>
      <c r="G32" s="1"/>
      <c r="H32" s="7">
        <v>0.1</v>
      </c>
      <c r="I32" s="1">
        <v>60</v>
      </c>
      <c r="J32" s="1"/>
      <c r="K32" s="1"/>
      <c r="L32" s="1">
        <v>97</v>
      </c>
      <c r="M32" s="1">
        <f t="shared" si="4"/>
        <v>-10</v>
      </c>
      <c r="N32" s="1"/>
      <c r="O32" s="1"/>
      <c r="P32" s="1">
        <v>248</v>
      </c>
      <c r="Q32" s="1">
        <f t="shared" si="5"/>
        <v>17.399999999999999</v>
      </c>
      <c r="R32" s="5"/>
      <c r="S32" s="18">
        <f>VLOOKUP(A32,[2]TDSheet!$D:$J,7,0)</f>
        <v>0.36930860033726814</v>
      </c>
      <c r="T32" s="5"/>
      <c r="U32" s="5">
        <v>100</v>
      </c>
      <c r="V32" s="1">
        <f t="shared" si="6"/>
        <v>28.908045977011497</v>
      </c>
      <c r="W32" s="1">
        <f t="shared" si="7"/>
        <v>23.160919540229887</v>
      </c>
      <c r="X32" s="1">
        <v>30.8</v>
      </c>
      <c r="Y32" s="1">
        <v>13.6</v>
      </c>
      <c r="Z32" s="1">
        <v>37.200000000000003</v>
      </c>
      <c r="AA32" s="1">
        <v>35.4</v>
      </c>
      <c r="AB32" s="1">
        <v>27</v>
      </c>
      <c r="AC32" s="1">
        <v>16.2</v>
      </c>
      <c r="AD32" s="1">
        <v>21.6</v>
      </c>
      <c r="AE32" s="1">
        <v>43.4</v>
      </c>
      <c r="AF32" s="1">
        <v>29.8</v>
      </c>
      <c r="AG32" s="1">
        <v>18.399999999999999</v>
      </c>
      <c r="AH32" s="1"/>
      <c r="AI32" s="1">
        <f t="shared" si="8"/>
        <v>0</v>
      </c>
      <c r="AJ32" s="1">
        <f t="shared" si="9"/>
        <v>10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68</v>
      </c>
      <c r="B33" s="1" t="s">
        <v>35</v>
      </c>
      <c r="C33" s="1">
        <v>64</v>
      </c>
      <c r="D33" s="1">
        <v>66</v>
      </c>
      <c r="E33" s="1">
        <v>72</v>
      </c>
      <c r="F33" s="1"/>
      <c r="G33" s="1"/>
      <c r="H33" s="7">
        <v>0.1</v>
      </c>
      <c r="I33" s="1">
        <v>90</v>
      </c>
      <c r="J33" s="1"/>
      <c r="K33" s="1"/>
      <c r="L33" s="1">
        <v>77</v>
      </c>
      <c r="M33" s="1">
        <f t="shared" si="4"/>
        <v>-5</v>
      </c>
      <c r="N33" s="1"/>
      <c r="O33" s="1"/>
      <c r="P33" s="1">
        <v>352</v>
      </c>
      <c r="Q33" s="1">
        <f t="shared" si="5"/>
        <v>14.4</v>
      </c>
      <c r="R33" s="5"/>
      <c r="S33" s="18">
        <f>VLOOKUP(A33,[2]TDSheet!$D:$J,7,0)</f>
        <v>0.38228438228438227</v>
      </c>
      <c r="T33" s="5"/>
      <c r="U33" s="5">
        <v>100</v>
      </c>
      <c r="V33" s="1">
        <f t="shared" si="6"/>
        <v>31.388888888888889</v>
      </c>
      <c r="W33" s="1">
        <f t="shared" si="7"/>
        <v>24.444444444444443</v>
      </c>
      <c r="X33" s="1">
        <v>26</v>
      </c>
      <c r="Y33" s="1">
        <v>15.8</v>
      </c>
      <c r="Z33" s="1">
        <v>20.8</v>
      </c>
      <c r="AA33" s="1">
        <v>22.6</v>
      </c>
      <c r="AB33" s="1">
        <v>23.8</v>
      </c>
      <c r="AC33" s="1">
        <v>16.600000000000001</v>
      </c>
      <c r="AD33" s="1">
        <v>13.8</v>
      </c>
      <c r="AE33" s="1">
        <v>35.6</v>
      </c>
      <c r="AF33" s="1">
        <v>30.6</v>
      </c>
      <c r="AG33" s="1">
        <v>18.8</v>
      </c>
      <c r="AH33" s="1"/>
      <c r="AI33" s="1">
        <f t="shared" si="8"/>
        <v>0</v>
      </c>
      <c r="AJ33" s="1">
        <f t="shared" si="9"/>
        <v>10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69</v>
      </c>
      <c r="B34" s="1" t="s">
        <v>35</v>
      </c>
      <c r="C34" s="1">
        <v>95</v>
      </c>
      <c r="D34" s="1"/>
      <c r="E34" s="1"/>
      <c r="F34" s="1"/>
      <c r="G34" s="1"/>
      <c r="H34" s="7">
        <v>0.18</v>
      </c>
      <c r="I34" s="1">
        <v>150</v>
      </c>
      <c r="J34" s="1"/>
      <c r="K34" s="1"/>
      <c r="L34" s="1">
        <v>108</v>
      </c>
      <c r="M34" s="1">
        <f t="shared" si="4"/>
        <v>-108</v>
      </c>
      <c r="N34" s="1"/>
      <c r="O34" s="1"/>
      <c r="P34" s="1"/>
      <c r="Q34" s="1">
        <f t="shared" si="5"/>
        <v>0</v>
      </c>
      <c r="R34" s="5">
        <f t="shared" si="13"/>
        <v>0</v>
      </c>
      <c r="S34" s="18">
        <f>VLOOKUP(A34,[2]TDSheet!$D:$J,7,0)</f>
        <v>9.0909090909090912E-2</v>
      </c>
      <c r="T34" s="5">
        <v>100</v>
      </c>
      <c r="U34" s="5">
        <v>20</v>
      </c>
      <c r="V34" s="1" t="e">
        <f t="shared" si="6"/>
        <v>#DIV/0!</v>
      </c>
      <c r="W34" s="1" t="e">
        <f t="shared" si="7"/>
        <v>#DIV/0!</v>
      </c>
      <c r="X34" s="1">
        <v>-0.2</v>
      </c>
      <c r="Y34" s="1">
        <v>-1</v>
      </c>
      <c r="Z34" s="1">
        <v>-0.6</v>
      </c>
      <c r="AA34" s="1">
        <v>-0.8</v>
      </c>
      <c r="AB34" s="1">
        <v>-2.8</v>
      </c>
      <c r="AC34" s="1">
        <v>6</v>
      </c>
      <c r="AD34" s="1">
        <v>34.799999999999997</v>
      </c>
      <c r="AE34" s="1">
        <v>21.2</v>
      </c>
      <c r="AF34" s="1">
        <v>39.6</v>
      </c>
      <c r="AG34" s="1">
        <v>29</v>
      </c>
      <c r="AH34" s="9" t="s">
        <v>105</v>
      </c>
      <c r="AI34" s="1">
        <f t="shared" si="8"/>
        <v>18</v>
      </c>
      <c r="AJ34" s="1">
        <f t="shared" si="9"/>
        <v>3.5999999999999996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70</v>
      </c>
      <c r="B35" s="1" t="s">
        <v>35</v>
      </c>
      <c r="C35" s="1">
        <v>126</v>
      </c>
      <c r="D35" s="1">
        <v>153</v>
      </c>
      <c r="E35" s="1">
        <v>67</v>
      </c>
      <c r="F35" s="1"/>
      <c r="G35" s="1"/>
      <c r="H35" s="7">
        <v>0.18</v>
      </c>
      <c r="I35" s="1">
        <v>150</v>
      </c>
      <c r="J35" s="1"/>
      <c r="K35" s="1"/>
      <c r="L35" s="1">
        <v>313</v>
      </c>
      <c r="M35" s="1">
        <f t="shared" si="4"/>
        <v>-246</v>
      </c>
      <c r="N35" s="1"/>
      <c r="O35" s="1"/>
      <c r="P35" s="1">
        <v>600</v>
      </c>
      <c r="Q35" s="1">
        <f t="shared" si="5"/>
        <v>13.4</v>
      </c>
      <c r="R35" s="5"/>
      <c r="S35" s="18">
        <f>VLOOKUP(A35,[2]TDSheet!$D:$J,7,0)</f>
        <v>0.22115384615384617</v>
      </c>
      <c r="T35" s="5"/>
      <c r="U35" s="5">
        <v>100</v>
      </c>
      <c r="V35" s="1">
        <f t="shared" si="6"/>
        <v>52.238805970149251</v>
      </c>
      <c r="W35" s="1">
        <f t="shared" si="7"/>
        <v>44.776119402985074</v>
      </c>
      <c r="X35" s="1">
        <v>50.6</v>
      </c>
      <c r="Y35" s="1">
        <v>14.8</v>
      </c>
      <c r="Z35" s="1">
        <v>37.799999999999997</v>
      </c>
      <c r="AA35" s="1">
        <v>36.799999999999997</v>
      </c>
      <c r="AB35" s="1">
        <v>32</v>
      </c>
      <c r="AC35" s="1">
        <v>29.2</v>
      </c>
      <c r="AD35" s="1">
        <v>29.2</v>
      </c>
      <c r="AE35" s="1">
        <v>55.6</v>
      </c>
      <c r="AF35" s="1">
        <v>68</v>
      </c>
      <c r="AG35" s="1">
        <v>72</v>
      </c>
      <c r="AH35" s="1"/>
      <c r="AI35" s="1">
        <f t="shared" si="8"/>
        <v>0</v>
      </c>
      <c r="AJ35" s="1">
        <f t="shared" si="9"/>
        <v>18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71</v>
      </c>
      <c r="B36" s="1" t="s">
        <v>35</v>
      </c>
      <c r="C36" s="1">
        <v>3</v>
      </c>
      <c r="D36" s="1">
        <v>88</v>
      </c>
      <c r="E36" s="1"/>
      <c r="F36" s="1"/>
      <c r="G36" s="1"/>
      <c r="H36" s="7">
        <v>0.18</v>
      </c>
      <c r="I36" s="1">
        <v>150</v>
      </c>
      <c r="J36" s="1"/>
      <c r="K36" s="1"/>
      <c r="L36" s="1">
        <v>24</v>
      </c>
      <c r="M36" s="1">
        <f t="shared" si="4"/>
        <v>-24</v>
      </c>
      <c r="N36" s="1"/>
      <c r="O36" s="1"/>
      <c r="P36" s="1">
        <v>50</v>
      </c>
      <c r="Q36" s="1">
        <f t="shared" si="5"/>
        <v>0</v>
      </c>
      <c r="R36" s="5"/>
      <c r="S36" s="18">
        <f>VLOOKUP(A36,[2]TDSheet!$D:$J,7,0)</f>
        <v>0</v>
      </c>
      <c r="T36" s="5"/>
      <c r="U36" s="5"/>
      <c r="V36" s="1" t="e">
        <f t="shared" si="6"/>
        <v>#DIV/0!</v>
      </c>
      <c r="W36" s="1" t="e">
        <f t="shared" si="7"/>
        <v>#DIV/0!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-0.2</v>
      </c>
      <c r="AD36" s="1">
        <v>0</v>
      </c>
      <c r="AE36" s="1">
        <v>0</v>
      </c>
      <c r="AF36" s="1">
        <v>0</v>
      </c>
      <c r="AG36" s="1">
        <v>0.4</v>
      </c>
      <c r="AH36" s="1" t="s">
        <v>72</v>
      </c>
      <c r="AI36" s="1">
        <f t="shared" si="8"/>
        <v>0</v>
      </c>
      <c r="AJ36" s="1">
        <f t="shared" si="9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73</v>
      </c>
      <c r="B37" s="1" t="s">
        <v>35</v>
      </c>
      <c r="C37" s="1">
        <v>106</v>
      </c>
      <c r="D37" s="1">
        <v>8</v>
      </c>
      <c r="E37" s="1">
        <v>46</v>
      </c>
      <c r="F37" s="1">
        <v>-15</v>
      </c>
      <c r="G37" s="1"/>
      <c r="H37" s="7">
        <v>0.18</v>
      </c>
      <c r="I37" s="1">
        <v>150</v>
      </c>
      <c r="J37" s="1"/>
      <c r="K37" s="1"/>
      <c r="L37" s="1">
        <v>75</v>
      </c>
      <c r="M37" s="1">
        <f t="shared" si="4"/>
        <v>-29</v>
      </c>
      <c r="N37" s="1"/>
      <c r="O37" s="1"/>
      <c r="P37" s="1"/>
      <c r="Q37" s="1">
        <f t="shared" si="5"/>
        <v>9.1999999999999993</v>
      </c>
      <c r="R37" s="5">
        <f>10*Q37-P37-G37-F37</f>
        <v>107</v>
      </c>
      <c r="S37" s="18">
        <f>VLOOKUP(A37,[2]TDSheet!$D:$J,7,0)</f>
        <v>9.3750000000000014E-2</v>
      </c>
      <c r="T37" s="5">
        <f t="shared" ref="T37:T42" si="14">R37-U37</f>
        <v>96.96875</v>
      </c>
      <c r="U37" s="5">
        <f t="shared" ref="U37:U42" si="15">R37*S37</f>
        <v>10.031250000000002</v>
      </c>
      <c r="V37" s="1">
        <f t="shared" si="6"/>
        <v>10</v>
      </c>
      <c r="W37" s="1">
        <f t="shared" si="7"/>
        <v>-1.6304347826086958</v>
      </c>
      <c r="X37" s="1">
        <v>1</v>
      </c>
      <c r="Y37" s="1">
        <v>6.6</v>
      </c>
      <c r="Z37" s="1">
        <v>11.8</v>
      </c>
      <c r="AA37" s="1">
        <v>8</v>
      </c>
      <c r="AB37" s="1">
        <v>3.8</v>
      </c>
      <c r="AC37" s="1">
        <v>5</v>
      </c>
      <c r="AD37" s="1">
        <v>7.2</v>
      </c>
      <c r="AE37" s="1">
        <v>9</v>
      </c>
      <c r="AF37" s="1">
        <v>10.6</v>
      </c>
      <c r="AG37" s="1">
        <v>17.2</v>
      </c>
      <c r="AH37" s="9" t="s">
        <v>107</v>
      </c>
      <c r="AI37" s="1">
        <f t="shared" si="8"/>
        <v>17.454374999999999</v>
      </c>
      <c r="AJ37" s="1">
        <f t="shared" si="9"/>
        <v>1.8056250000000003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74</v>
      </c>
      <c r="B38" s="1" t="s">
        <v>35</v>
      </c>
      <c r="C38" s="1">
        <v>542</v>
      </c>
      <c r="D38" s="1">
        <v>399</v>
      </c>
      <c r="E38" s="1">
        <v>302</v>
      </c>
      <c r="F38" s="1">
        <v>4</v>
      </c>
      <c r="G38" s="1">
        <f>VLOOKUP(A38,[1]TDSheet!$A:$I,9,0)</f>
        <v>21</v>
      </c>
      <c r="H38" s="7">
        <v>0.18</v>
      </c>
      <c r="I38" s="1">
        <v>150</v>
      </c>
      <c r="J38" s="1"/>
      <c r="K38" s="1"/>
      <c r="L38" s="1">
        <v>330</v>
      </c>
      <c r="M38" s="1">
        <f t="shared" ref="M38:M56" si="16">E38-L38</f>
        <v>-28</v>
      </c>
      <c r="N38" s="1"/>
      <c r="O38" s="1"/>
      <c r="P38" s="1">
        <v>300</v>
      </c>
      <c r="Q38" s="1">
        <f t="shared" si="5"/>
        <v>60.4</v>
      </c>
      <c r="R38" s="5">
        <f t="shared" si="13"/>
        <v>520.6</v>
      </c>
      <c r="S38" s="18">
        <f>VLOOKUP(A38,[2]TDSheet!$D:$J,7,0)</f>
        <v>0.12488928255093003</v>
      </c>
      <c r="T38" s="5">
        <f t="shared" si="14"/>
        <v>420.6</v>
      </c>
      <c r="U38" s="5">
        <v>100</v>
      </c>
      <c r="V38" s="1">
        <f t="shared" si="6"/>
        <v>14</v>
      </c>
      <c r="W38" s="1">
        <f t="shared" si="7"/>
        <v>5.3807947019867548</v>
      </c>
      <c r="X38" s="1">
        <v>47</v>
      </c>
      <c r="Y38" s="1">
        <v>29.4</v>
      </c>
      <c r="Z38" s="1">
        <v>71.8</v>
      </c>
      <c r="AA38" s="1">
        <v>65.8</v>
      </c>
      <c r="AB38" s="1">
        <v>47.8</v>
      </c>
      <c r="AC38" s="1">
        <v>28.6</v>
      </c>
      <c r="AD38" s="1">
        <v>50.4</v>
      </c>
      <c r="AE38" s="1">
        <v>52.6</v>
      </c>
      <c r="AF38" s="1">
        <v>88</v>
      </c>
      <c r="AG38" s="1">
        <v>14</v>
      </c>
      <c r="AH38" s="1"/>
      <c r="AI38" s="1">
        <f t="shared" si="8"/>
        <v>75.707999999999998</v>
      </c>
      <c r="AJ38" s="1">
        <f t="shared" si="9"/>
        <v>18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75</v>
      </c>
      <c r="B39" s="1" t="s">
        <v>35</v>
      </c>
      <c r="C39" s="1">
        <v>204</v>
      </c>
      <c r="D39" s="1">
        <v>192</v>
      </c>
      <c r="E39" s="1">
        <v>83</v>
      </c>
      <c r="F39" s="1">
        <v>74</v>
      </c>
      <c r="G39" s="1"/>
      <c r="H39" s="7">
        <v>0.18</v>
      </c>
      <c r="I39" s="1">
        <v>150</v>
      </c>
      <c r="J39" s="1"/>
      <c r="K39" s="1"/>
      <c r="L39" s="1">
        <v>116</v>
      </c>
      <c r="M39" s="1">
        <f t="shared" si="16"/>
        <v>-33</v>
      </c>
      <c r="N39" s="1"/>
      <c r="O39" s="1"/>
      <c r="P39" s="1"/>
      <c r="Q39" s="1">
        <f t="shared" si="5"/>
        <v>16.600000000000001</v>
      </c>
      <c r="R39" s="5">
        <f t="shared" si="13"/>
        <v>158.40000000000003</v>
      </c>
      <c r="S39" s="18">
        <f>VLOOKUP(A39,[2]TDSheet!$D:$J,7,0)</f>
        <v>0.18965517241379309</v>
      </c>
      <c r="T39" s="5">
        <f t="shared" si="14"/>
        <v>128.3586206896552</v>
      </c>
      <c r="U39" s="5">
        <f t="shared" si="15"/>
        <v>30.041379310344833</v>
      </c>
      <c r="V39" s="1">
        <f t="shared" si="6"/>
        <v>14</v>
      </c>
      <c r="W39" s="1">
        <f t="shared" si="7"/>
        <v>4.4578313253012043</v>
      </c>
      <c r="X39" s="1">
        <v>13</v>
      </c>
      <c r="Y39" s="1">
        <v>5.8</v>
      </c>
      <c r="Z39" s="1">
        <v>33.200000000000003</v>
      </c>
      <c r="AA39" s="1">
        <v>16.600000000000001</v>
      </c>
      <c r="AB39" s="1">
        <v>11.2</v>
      </c>
      <c r="AC39" s="1">
        <v>12.2</v>
      </c>
      <c r="AD39" s="1">
        <v>15.8</v>
      </c>
      <c r="AE39" s="1">
        <v>13</v>
      </c>
      <c r="AF39" s="1">
        <v>18.399999999999999</v>
      </c>
      <c r="AG39" s="1">
        <v>27.4</v>
      </c>
      <c r="AH39" s="1"/>
      <c r="AI39" s="1">
        <f t="shared" si="8"/>
        <v>23.104551724137934</v>
      </c>
      <c r="AJ39" s="1">
        <f t="shared" si="9"/>
        <v>5.4074482758620697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76</v>
      </c>
      <c r="B40" s="1" t="s">
        <v>35</v>
      </c>
      <c r="C40" s="1">
        <v>20</v>
      </c>
      <c r="D40" s="1">
        <v>14</v>
      </c>
      <c r="E40" s="1">
        <v>4</v>
      </c>
      <c r="F40" s="1"/>
      <c r="G40" s="1"/>
      <c r="H40" s="7">
        <v>0.1</v>
      </c>
      <c r="I40" s="1">
        <v>60</v>
      </c>
      <c r="J40" s="1"/>
      <c r="K40" s="1"/>
      <c r="L40" s="1">
        <v>8</v>
      </c>
      <c r="M40" s="1">
        <f t="shared" si="16"/>
        <v>-4</v>
      </c>
      <c r="N40" s="1"/>
      <c r="O40" s="1"/>
      <c r="P40" s="1">
        <v>8</v>
      </c>
      <c r="Q40" s="1">
        <f t="shared" si="5"/>
        <v>0.8</v>
      </c>
      <c r="R40" s="5">
        <f t="shared" si="13"/>
        <v>3.2000000000000011</v>
      </c>
      <c r="S40" s="18">
        <f>VLOOKUP(A40,[2]TDSheet!$D:$J,7,0)</f>
        <v>0.27777777777777779</v>
      </c>
      <c r="T40" s="5">
        <v>10</v>
      </c>
      <c r="U40" s="5">
        <v>10</v>
      </c>
      <c r="V40" s="1">
        <f t="shared" si="6"/>
        <v>35</v>
      </c>
      <c r="W40" s="1">
        <f t="shared" si="7"/>
        <v>10</v>
      </c>
      <c r="X40" s="1">
        <v>0.6</v>
      </c>
      <c r="Y40" s="1">
        <v>0.2</v>
      </c>
      <c r="Z40" s="1">
        <v>0.8</v>
      </c>
      <c r="AA40" s="1">
        <v>2.2000000000000002</v>
      </c>
      <c r="AB40" s="1">
        <v>0.2</v>
      </c>
      <c r="AC40" s="1">
        <v>2</v>
      </c>
      <c r="AD40" s="1">
        <v>-0.4</v>
      </c>
      <c r="AE40" s="1">
        <v>-0.2</v>
      </c>
      <c r="AF40" s="1">
        <v>0.2</v>
      </c>
      <c r="AG40" s="1">
        <v>2.8</v>
      </c>
      <c r="AH40" s="1" t="s">
        <v>77</v>
      </c>
      <c r="AI40" s="1">
        <f t="shared" si="8"/>
        <v>1</v>
      </c>
      <c r="AJ40" s="1">
        <f t="shared" si="9"/>
        <v>1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78</v>
      </c>
      <c r="B41" s="1" t="s">
        <v>35</v>
      </c>
      <c r="C41" s="1">
        <v>46</v>
      </c>
      <c r="D41" s="1">
        <v>2</v>
      </c>
      <c r="E41" s="1">
        <v>32</v>
      </c>
      <c r="F41" s="1"/>
      <c r="G41" s="1"/>
      <c r="H41" s="7">
        <v>0.14000000000000001</v>
      </c>
      <c r="I41" s="1">
        <v>180</v>
      </c>
      <c r="J41" s="1"/>
      <c r="K41" s="1"/>
      <c r="L41" s="1">
        <v>53</v>
      </c>
      <c r="M41" s="1">
        <f t="shared" si="16"/>
        <v>-21</v>
      </c>
      <c r="N41" s="1"/>
      <c r="O41" s="1"/>
      <c r="P41" s="1"/>
      <c r="Q41" s="1">
        <f t="shared" si="5"/>
        <v>6.4</v>
      </c>
      <c r="R41" s="5">
        <f t="shared" si="13"/>
        <v>89.600000000000009</v>
      </c>
      <c r="S41" s="18">
        <f>VLOOKUP(A41,[2]TDSheet!$D:$J,7,0)</f>
        <v>0.15116279069767444</v>
      </c>
      <c r="T41" s="5">
        <f t="shared" si="14"/>
        <v>76.055813953488382</v>
      </c>
      <c r="U41" s="5">
        <f t="shared" si="15"/>
        <v>13.544186046511632</v>
      </c>
      <c r="V41" s="1">
        <f t="shared" si="6"/>
        <v>14</v>
      </c>
      <c r="W41" s="1">
        <f t="shared" si="7"/>
        <v>0</v>
      </c>
      <c r="X41" s="1">
        <v>1</v>
      </c>
      <c r="Y41" s="1">
        <v>2.4</v>
      </c>
      <c r="Z41" s="1">
        <v>7.8</v>
      </c>
      <c r="AA41" s="1">
        <v>4</v>
      </c>
      <c r="AB41" s="1">
        <v>4.5999999999999996</v>
      </c>
      <c r="AC41" s="1">
        <v>1.6</v>
      </c>
      <c r="AD41" s="1">
        <v>4.5999999999999996</v>
      </c>
      <c r="AE41" s="1">
        <v>5.8</v>
      </c>
      <c r="AF41" s="1">
        <v>3.4</v>
      </c>
      <c r="AG41" s="1">
        <v>6.8</v>
      </c>
      <c r="AH41" s="1"/>
      <c r="AI41" s="1">
        <f t="shared" si="8"/>
        <v>10.647813953488374</v>
      </c>
      <c r="AJ41" s="1">
        <f t="shared" si="9"/>
        <v>1.8961860465116287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79</v>
      </c>
      <c r="B42" s="1" t="s">
        <v>35</v>
      </c>
      <c r="C42" s="1">
        <v>142</v>
      </c>
      <c r="D42" s="1">
        <v>113</v>
      </c>
      <c r="E42" s="1">
        <v>110</v>
      </c>
      <c r="F42" s="1"/>
      <c r="G42" s="1"/>
      <c r="H42" s="7">
        <v>0.18</v>
      </c>
      <c r="I42" s="1">
        <v>270</v>
      </c>
      <c r="J42" s="1"/>
      <c r="K42" s="1"/>
      <c r="L42" s="1">
        <v>127</v>
      </c>
      <c r="M42" s="1">
        <f t="shared" si="16"/>
        <v>-17</v>
      </c>
      <c r="N42" s="1"/>
      <c r="O42" s="1"/>
      <c r="P42" s="1">
        <v>256</v>
      </c>
      <c r="Q42" s="1">
        <f t="shared" si="5"/>
        <v>22</v>
      </c>
      <c r="R42" s="5">
        <f t="shared" si="13"/>
        <v>52</v>
      </c>
      <c r="S42" s="18">
        <f>VLOOKUP(A42,[2]TDSheet!$D:$J,7,0)</f>
        <v>0.11989100817438691</v>
      </c>
      <c r="T42" s="5">
        <f t="shared" si="14"/>
        <v>45.765667574931882</v>
      </c>
      <c r="U42" s="5">
        <f t="shared" si="15"/>
        <v>6.2343324250681196</v>
      </c>
      <c r="V42" s="1">
        <f t="shared" si="6"/>
        <v>14</v>
      </c>
      <c r="W42" s="1">
        <f t="shared" si="7"/>
        <v>11.636363636363637</v>
      </c>
      <c r="X42" s="1">
        <v>23</v>
      </c>
      <c r="Y42" s="1">
        <v>6.8</v>
      </c>
      <c r="Z42" s="1">
        <v>23.6</v>
      </c>
      <c r="AA42" s="1">
        <v>19.2</v>
      </c>
      <c r="AB42" s="1">
        <v>10.8</v>
      </c>
      <c r="AC42" s="1">
        <v>12.8</v>
      </c>
      <c r="AD42" s="1">
        <v>18</v>
      </c>
      <c r="AE42" s="1">
        <v>20</v>
      </c>
      <c r="AF42" s="1">
        <v>16.8</v>
      </c>
      <c r="AG42" s="1">
        <v>14.2</v>
      </c>
      <c r="AH42" s="1"/>
      <c r="AI42" s="1">
        <f t="shared" si="8"/>
        <v>8.2378201634877382</v>
      </c>
      <c r="AJ42" s="1">
        <f t="shared" si="9"/>
        <v>1.1221798365122615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80</v>
      </c>
      <c r="B43" s="1" t="s">
        <v>39</v>
      </c>
      <c r="C43" s="1">
        <v>162.59399999999999</v>
      </c>
      <c r="D43" s="1">
        <v>6.4379999999999997</v>
      </c>
      <c r="E43" s="1"/>
      <c r="F43" s="1">
        <v>50.584000000000003</v>
      </c>
      <c r="G43" s="1">
        <f>VLOOKUP(A43,[1]TDSheet!$A:$I,9,0)</f>
        <v>44.332000000000001</v>
      </c>
      <c r="H43" s="7">
        <v>1</v>
      </c>
      <c r="I43" s="1">
        <v>180</v>
      </c>
      <c r="J43" s="1" t="s">
        <v>81</v>
      </c>
      <c r="K43" s="1"/>
      <c r="L43" s="1">
        <v>3.2</v>
      </c>
      <c r="M43" s="1">
        <f t="shared" si="16"/>
        <v>-3.2</v>
      </c>
      <c r="N43" s="1"/>
      <c r="O43" s="1"/>
      <c r="P43" s="1"/>
      <c r="Q43" s="1">
        <f t="shared" si="5"/>
        <v>0</v>
      </c>
      <c r="R43" s="5"/>
      <c r="S43" s="18">
        <f>VLOOKUP(A43,[2]TDSheet!$D:$J,7,0)</f>
        <v>0.3927738927738928</v>
      </c>
      <c r="T43" s="5"/>
      <c r="U43" s="5"/>
      <c r="V43" s="1" t="e">
        <f t="shared" si="6"/>
        <v>#DIV/0!</v>
      </c>
      <c r="W43" s="1" t="e">
        <f t="shared" si="7"/>
        <v>#DIV/0!</v>
      </c>
      <c r="X43" s="1">
        <v>2.524</v>
      </c>
      <c r="Y43" s="1">
        <v>1.3311999999999999</v>
      </c>
      <c r="Z43" s="1">
        <v>0</v>
      </c>
      <c r="AA43" s="1">
        <v>1.2927999999999999</v>
      </c>
      <c r="AB43" s="1">
        <v>17.328800000000001</v>
      </c>
      <c r="AC43" s="1">
        <v>2.5156000000000001</v>
      </c>
      <c r="AD43" s="1">
        <v>2.64</v>
      </c>
      <c r="AE43" s="1">
        <v>1.3726</v>
      </c>
      <c r="AF43" s="1">
        <v>0.75600000000000001</v>
      </c>
      <c r="AG43" s="1">
        <v>1.2356</v>
      </c>
      <c r="AH43" s="20" t="s">
        <v>82</v>
      </c>
      <c r="AI43" s="1">
        <f t="shared" si="8"/>
        <v>0</v>
      </c>
      <c r="AJ43" s="1">
        <f t="shared" si="9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83</v>
      </c>
      <c r="B44" s="1" t="s">
        <v>39</v>
      </c>
      <c r="C44" s="1">
        <v>43.125999999999998</v>
      </c>
      <c r="D44" s="1">
        <v>6.6959999999999997</v>
      </c>
      <c r="E44" s="1">
        <v>12.842000000000001</v>
      </c>
      <c r="F44" s="1">
        <v>21.716000000000001</v>
      </c>
      <c r="G44" s="1"/>
      <c r="H44" s="7">
        <v>1</v>
      </c>
      <c r="I44" s="1">
        <v>180</v>
      </c>
      <c r="J44" s="1"/>
      <c r="K44" s="1"/>
      <c r="L44" s="1">
        <v>19.5</v>
      </c>
      <c r="M44" s="1">
        <f t="shared" si="16"/>
        <v>-6.6579999999999995</v>
      </c>
      <c r="N44" s="1"/>
      <c r="O44" s="1"/>
      <c r="P44" s="1"/>
      <c r="Q44" s="1">
        <f t="shared" si="5"/>
        <v>2.5684</v>
      </c>
      <c r="R44" s="5">
        <f t="shared" si="13"/>
        <v>14.241599999999998</v>
      </c>
      <c r="S44" s="18">
        <f>VLOOKUP(A44,[2]TDSheet!$D:$J,7,0)</f>
        <v>0.47729935258452366</v>
      </c>
      <c r="T44" s="5">
        <f>R44-U44</f>
        <v>7.444093540232247</v>
      </c>
      <c r="U44" s="5">
        <f>R44*S44</f>
        <v>6.7975064597677513</v>
      </c>
      <c r="V44" s="1">
        <f t="shared" si="6"/>
        <v>14</v>
      </c>
      <c r="W44" s="1">
        <f t="shared" si="7"/>
        <v>8.4550693038467539</v>
      </c>
      <c r="X44" s="1">
        <v>1.9352</v>
      </c>
      <c r="Y44" s="1">
        <v>2.67</v>
      </c>
      <c r="Z44" s="1">
        <v>7.628400000000001</v>
      </c>
      <c r="AA44" s="1">
        <v>3.3647999999999998</v>
      </c>
      <c r="AB44" s="1">
        <v>1.3460000000000001</v>
      </c>
      <c r="AC44" s="1">
        <v>2.5680000000000001</v>
      </c>
      <c r="AD44" s="1">
        <v>5.9256000000000002</v>
      </c>
      <c r="AE44" s="1">
        <v>2.5728</v>
      </c>
      <c r="AF44" s="1">
        <v>2.0804</v>
      </c>
      <c r="AG44" s="1">
        <v>3.9416000000000002</v>
      </c>
      <c r="AH44" s="1"/>
      <c r="AI44" s="1">
        <f t="shared" si="8"/>
        <v>7.444093540232247</v>
      </c>
      <c r="AJ44" s="1">
        <f t="shared" si="9"/>
        <v>6.7975064597677513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1" t="s">
        <v>84</v>
      </c>
      <c r="B45" s="11" t="s">
        <v>39</v>
      </c>
      <c r="C45" s="11">
        <v>-13.666</v>
      </c>
      <c r="D45" s="11">
        <v>14.958</v>
      </c>
      <c r="E45" s="11">
        <v>1.292</v>
      </c>
      <c r="F45" s="11"/>
      <c r="G45" s="11"/>
      <c r="H45" s="12">
        <v>0</v>
      </c>
      <c r="I45" s="11"/>
      <c r="J45" s="11" t="s">
        <v>85</v>
      </c>
      <c r="K45" s="11" t="s">
        <v>38</v>
      </c>
      <c r="L45" s="11">
        <v>4.5999999999999996</v>
      </c>
      <c r="M45" s="11">
        <f t="shared" si="16"/>
        <v>-3.3079999999999998</v>
      </c>
      <c r="N45" s="11"/>
      <c r="O45" s="11"/>
      <c r="P45" s="11"/>
      <c r="Q45" s="11">
        <f t="shared" si="5"/>
        <v>0.25840000000000002</v>
      </c>
      <c r="R45" s="13"/>
      <c r="S45" s="13"/>
      <c r="T45" s="13"/>
      <c r="U45" s="13"/>
      <c r="V45" s="11">
        <f t="shared" si="6"/>
        <v>0</v>
      </c>
      <c r="W45" s="11">
        <f t="shared" si="7"/>
        <v>0</v>
      </c>
      <c r="X45" s="11">
        <v>1.2092000000000001</v>
      </c>
      <c r="Y45" s="11">
        <v>0.22639999999999999</v>
      </c>
      <c r="Z45" s="11">
        <v>0.27200000000000002</v>
      </c>
      <c r="AA45" s="11">
        <v>0.50119999999999998</v>
      </c>
      <c r="AB45" s="11">
        <v>0.52439999999999998</v>
      </c>
      <c r="AC45" s="11">
        <v>0.71760000000000002</v>
      </c>
      <c r="AD45" s="11">
        <v>0</v>
      </c>
      <c r="AE45" s="11">
        <v>0.2276</v>
      </c>
      <c r="AF45" s="11">
        <v>0</v>
      </c>
      <c r="AG45" s="11">
        <v>0</v>
      </c>
      <c r="AH45" s="11"/>
      <c r="AI45" s="1">
        <f t="shared" si="8"/>
        <v>0</v>
      </c>
      <c r="AJ45" s="1">
        <f t="shared" si="9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86</v>
      </c>
      <c r="B46" s="1" t="s">
        <v>39</v>
      </c>
      <c r="C46" s="1">
        <v>66.222999999999999</v>
      </c>
      <c r="D46" s="1">
        <v>52.24</v>
      </c>
      <c r="E46" s="1">
        <v>62.348999999999997</v>
      </c>
      <c r="F46" s="1">
        <v>-3.5</v>
      </c>
      <c r="G46" s="1"/>
      <c r="H46" s="7">
        <v>1</v>
      </c>
      <c r="I46" s="1">
        <v>180</v>
      </c>
      <c r="J46" s="1"/>
      <c r="K46" s="1"/>
      <c r="L46" s="1">
        <v>64.8</v>
      </c>
      <c r="M46" s="1">
        <f t="shared" si="16"/>
        <v>-2.4510000000000005</v>
      </c>
      <c r="N46" s="1"/>
      <c r="O46" s="1"/>
      <c r="P46" s="1">
        <v>198</v>
      </c>
      <c r="Q46" s="1">
        <f t="shared" si="5"/>
        <v>12.469799999999999</v>
      </c>
      <c r="R46" s="5"/>
      <c r="S46" s="18">
        <f>VLOOKUP(A46,[2]TDSheet!$D:$J,7,0)</f>
        <v>0.36792548174100526</v>
      </c>
      <c r="T46" s="5"/>
      <c r="U46" s="5">
        <v>70</v>
      </c>
      <c r="V46" s="1">
        <f t="shared" si="6"/>
        <v>21.2112463712329</v>
      </c>
      <c r="W46" s="1">
        <f t="shared" si="7"/>
        <v>15.597684004555006</v>
      </c>
      <c r="X46" s="1">
        <v>16.026800000000001</v>
      </c>
      <c r="Y46" s="1">
        <v>8.2444000000000006</v>
      </c>
      <c r="Z46" s="1">
        <v>13.1412</v>
      </c>
      <c r="AA46" s="1">
        <v>13.5068</v>
      </c>
      <c r="AB46" s="1">
        <v>9.5599999999999987</v>
      </c>
      <c r="AC46" s="1">
        <v>6.8563999999999989</v>
      </c>
      <c r="AD46" s="1">
        <v>12.1096</v>
      </c>
      <c r="AE46" s="1">
        <v>9.7519999999999989</v>
      </c>
      <c r="AF46" s="1">
        <v>12.651199999999999</v>
      </c>
      <c r="AG46" s="1">
        <v>5.6836000000000002</v>
      </c>
      <c r="AH46" s="1"/>
      <c r="AI46" s="1">
        <f t="shared" si="8"/>
        <v>0</v>
      </c>
      <c r="AJ46" s="1">
        <f t="shared" si="9"/>
        <v>70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87</v>
      </c>
      <c r="B47" s="1" t="s">
        <v>39</v>
      </c>
      <c r="C47" s="1">
        <v>55.496000000000002</v>
      </c>
      <c r="D47" s="1">
        <v>38.113999999999997</v>
      </c>
      <c r="E47" s="1">
        <v>3.012</v>
      </c>
      <c r="F47" s="1">
        <v>46.488</v>
      </c>
      <c r="G47" s="1"/>
      <c r="H47" s="7">
        <v>1</v>
      </c>
      <c r="I47" s="1">
        <v>180</v>
      </c>
      <c r="J47" s="1"/>
      <c r="K47" s="1"/>
      <c r="L47" s="1">
        <v>3.5</v>
      </c>
      <c r="M47" s="1">
        <f t="shared" si="16"/>
        <v>-0.48799999999999999</v>
      </c>
      <c r="N47" s="1"/>
      <c r="O47" s="1"/>
      <c r="P47" s="1"/>
      <c r="Q47" s="1">
        <f t="shared" si="5"/>
        <v>0.60240000000000005</v>
      </c>
      <c r="R47" s="5"/>
      <c r="S47" s="18">
        <f>VLOOKUP(A47,[2]TDSheet!$D:$J,7,0)</f>
        <v>0.2718761253150882</v>
      </c>
      <c r="T47" s="5"/>
      <c r="U47" s="5">
        <v>10</v>
      </c>
      <c r="V47" s="1">
        <f t="shared" si="6"/>
        <v>93.771580345285514</v>
      </c>
      <c r="W47" s="1">
        <f t="shared" si="7"/>
        <v>77.171314741035843</v>
      </c>
      <c r="X47" s="1">
        <v>0</v>
      </c>
      <c r="Y47" s="1">
        <v>1.3008</v>
      </c>
      <c r="Z47" s="1">
        <v>0</v>
      </c>
      <c r="AA47" s="1">
        <v>1.274</v>
      </c>
      <c r="AB47" s="1">
        <v>3.7267999999999999</v>
      </c>
      <c r="AC47" s="1">
        <v>3.8944000000000001</v>
      </c>
      <c r="AD47" s="1">
        <v>3.7183999999999999</v>
      </c>
      <c r="AE47" s="1">
        <v>2.5583999999999998</v>
      </c>
      <c r="AF47" s="1">
        <v>3.859599999999999</v>
      </c>
      <c r="AG47" s="1">
        <v>0.60640000000000005</v>
      </c>
      <c r="AH47" s="20" t="s">
        <v>43</v>
      </c>
      <c r="AI47" s="1">
        <f t="shared" si="8"/>
        <v>0</v>
      </c>
      <c r="AJ47" s="1">
        <f t="shared" si="9"/>
        <v>10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88</v>
      </c>
      <c r="B48" s="1" t="s">
        <v>35</v>
      </c>
      <c r="C48" s="1">
        <v>250</v>
      </c>
      <c r="D48" s="1">
        <v>521</v>
      </c>
      <c r="E48" s="1">
        <v>323</v>
      </c>
      <c r="F48" s="1">
        <v>143</v>
      </c>
      <c r="G48" s="1">
        <f>VLOOKUP(A48,[1]TDSheet!$A:$I,9,0)</f>
        <v>160</v>
      </c>
      <c r="H48" s="7">
        <v>0.1</v>
      </c>
      <c r="I48" s="1">
        <v>60</v>
      </c>
      <c r="J48" s="1"/>
      <c r="K48" s="1"/>
      <c r="L48" s="1">
        <v>342</v>
      </c>
      <c r="M48" s="1">
        <f t="shared" si="16"/>
        <v>-19</v>
      </c>
      <c r="N48" s="1"/>
      <c r="O48" s="1"/>
      <c r="P48" s="1"/>
      <c r="Q48" s="1">
        <f t="shared" si="5"/>
        <v>64.599999999999994</v>
      </c>
      <c r="R48" s="5">
        <f t="shared" ref="R46:R53" si="17">14*Q48-P48-G48-F48</f>
        <v>601.39999999999986</v>
      </c>
      <c r="S48" s="18">
        <f>VLOOKUP(A48,[2]TDSheet!$D:$J,7,0)</f>
        <v>0.35618479880774961</v>
      </c>
      <c r="T48" s="5">
        <f t="shared" ref="T48:T51" si="18">R48-U48</f>
        <v>387.19046199701927</v>
      </c>
      <c r="U48" s="5">
        <f t="shared" ref="U48:U51" si="19">R48*S48</f>
        <v>214.20953800298057</v>
      </c>
      <c r="V48" s="1">
        <f t="shared" si="6"/>
        <v>14</v>
      </c>
      <c r="W48" s="1">
        <f t="shared" si="7"/>
        <v>4.6904024767801857</v>
      </c>
      <c r="X48" s="1">
        <v>21.8</v>
      </c>
      <c r="Y48" s="1">
        <v>57</v>
      </c>
      <c r="Z48" s="1">
        <v>62.8</v>
      </c>
      <c r="AA48" s="1">
        <v>4.8</v>
      </c>
      <c r="AB48" s="1">
        <v>45.8</v>
      </c>
      <c r="AC48" s="1">
        <v>54</v>
      </c>
      <c r="AD48" s="1">
        <v>18.8</v>
      </c>
      <c r="AE48" s="1">
        <v>3.8</v>
      </c>
      <c r="AF48" s="1">
        <v>41</v>
      </c>
      <c r="AG48" s="1">
        <v>51</v>
      </c>
      <c r="AH48" s="1"/>
      <c r="AI48" s="1">
        <f t="shared" si="8"/>
        <v>38.719046199701928</v>
      </c>
      <c r="AJ48" s="1">
        <f t="shared" si="9"/>
        <v>21.420953800298058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89</v>
      </c>
      <c r="B49" s="1" t="s">
        <v>35</v>
      </c>
      <c r="C49" s="1">
        <v>235</v>
      </c>
      <c r="D49" s="1">
        <v>541</v>
      </c>
      <c r="E49" s="1">
        <v>202</v>
      </c>
      <c r="F49" s="1">
        <v>103</v>
      </c>
      <c r="G49" s="1">
        <f>VLOOKUP(A49,[1]TDSheet!$A:$I,9,0)</f>
        <v>133</v>
      </c>
      <c r="H49" s="7">
        <v>0.1</v>
      </c>
      <c r="I49" s="1">
        <v>90</v>
      </c>
      <c r="J49" s="1"/>
      <c r="K49" s="1"/>
      <c r="L49" s="1">
        <v>209</v>
      </c>
      <c r="M49" s="1">
        <f t="shared" si="16"/>
        <v>-7</v>
      </c>
      <c r="N49" s="1"/>
      <c r="O49" s="1"/>
      <c r="P49" s="1"/>
      <c r="Q49" s="1">
        <f t="shared" si="5"/>
        <v>40.4</v>
      </c>
      <c r="R49" s="5">
        <f t="shared" si="17"/>
        <v>329.6</v>
      </c>
      <c r="S49" s="18">
        <f>VLOOKUP(A49,[2]TDSheet!$D:$J,7,0)</f>
        <v>0.38918918918918921</v>
      </c>
      <c r="T49" s="5">
        <f t="shared" si="18"/>
        <v>201.32324324324324</v>
      </c>
      <c r="U49" s="5">
        <f t="shared" si="19"/>
        <v>128.27675675675678</v>
      </c>
      <c r="V49" s="1">
        <f t="shared" si="6"/>
        <v>14.000000000000002</v>
      </c>
      <c r="W49" s="1">
        <f t="shared" si="7"/>
        <v>5.8415841584158414</v>
      </c>
      <c r="X49" s="1">
        <v>24.6</v>
      </c>
      <c r="Y49" s="1">
        <v>41.8</v>
      </c>
      <c r="Z49" s="1">
        <v>47</v>
      </c>
      <c r="AA49" s="1">
        <v>33.4</v>
      </c>
      <c r="AB49" s="1">
        <v>34</v>
      </c>
      <c r="AC49" s="1">
        <v>30</v>
      </c>
      <c r="AD49" s="1">
        <v>49.2</v>
      </c>
      <c r="AE49" s="1">
        <v>36.4</v>
      </c>
      <c r="AF49" s="1">
        <v>40.6</v>
      </c>
      <c r="AG49" s="1">
        <v>36.4</v>
      </c>
      <c r="AH49" s="1"/>
      <c r="AI49" s="1">
        <f t="shared" si="8"/>
        <v>20.132324324324326</v>
      </c>
      <c r="AJ49" s="1">
        <f t="shared" si="9"/>
        <v>12.827675675675678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90</v>
      </c>
      <c r="B50" s="1" t="s">
        <v>35</v>
      </c>
      <c r="C50" s="1">
        <v>29</v>
      </c>
      <c r="D50" s="1">
        <v>84</v>
      </c>
      <c r="E50" s="1">
        <v>59</v>
      </c>
      <c r="F50" s="1">
        <v>23</v>
      </c>
      <c r="G50" s="1"/>
      <c r="H50" s="7">
        <v>0.14000000000000001</v>
      </c>
      <c r="I50" s="1">
        <v>180</v>
      </c>
      <c r="J50" s="1"/>
      <c r="K50" s="1"/>
      <c r="L50" s="1">
        <v>70</v>
      </c>
      <c r="M50" s="1">
        <f t="shared" si="16"/>
        <v>-11</v>
      </c>
      <c r="N50" s="1"/>
      <c r="O50" s="1"/>
      <c r="P50" s="1">
        <v>16</v>
      </c>
      <c r="Q50" s="1">
        <f t="shared" si="5"/>
        <v>11.8</v>
      </c>
      <c r="R50" s="5">
        <f t="shared" si="17"/>
        <v>126.20000000000002</v>
      </c>
      <c r="S50" s="18">
        <f>VLOOKUP(A50,[2]TDSheet!$D:$J,7,0)</f>
        <v>0.11486486486486487</v>
      </c>
      <c r="T50" s="5">
        <f t="shared" si="18"/>
        <v>111.70405405405407</v>
      </c>
      <c r="U50" s="5">
        <f t="shared" si="19"/>
        <v>14.495945945945948</v>
      </c>
      <c r="V50" s="1">
        <f t="shared" si="6"/>
        <v>14</v>
      </c>
      <c r="W50" s="1">
        <f t="shared" si="7"/>
        <v>3.3050847457627115</v>
      </c>
      <c r="X50" s="1">
        <v>5.6</v>
      </c>
      <c r="Y50" s="1">
        <v>8</v>
      </c>
      <c r="Z50" s="1">
        <v>8.1999999999999993</v>
      </c>
      <c r="AA50" s="1">
        <v>6.6</v>
      </c>
      <c r="AB50" s="1">
        <v>6.2</v>
      </c>
      <c r="AC50" s="1">
        <v>3.2</v>
      </c>
      <c r="AD50" s="1">
        <v>8.4</v>
      </c>
      <c r="AE50" s="1">
        <v>8.1999999999999993</v>
      </c>
      <c r="AF50" s="1">
        <v>6.6</v>
      </c>
      <c r="AG50" s="1">
        <v>11.4</v>
      </c>
      <c r="AH50" s="1"/>
      <c r="AI50" s="1">
        <f t="shared" si="8"/>
        <v>15.638567567567572</v>
      </c>
      <c r="AJ50" s="1">
        <f t="shared" si="9"/>
        <v>2.0294324324324329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91</v>
      </c>
      <c r="B51" s="1" t="s">
        <v>35</v>
      </c>
      <c r="C51" s="1">
        <v>29</v>
      </c>
      <c r="D51" s="1">
        <v>11</v>
      </c>
      <c r="E51" s="1">
        <v>27</v>
      </c>
      <c r="F51" s="1"/>
      <c r="G51" s="1"/>
      <c r="H51" s="7">
        <v>0.2</v>
      </c>
      <c r="I51" s="1">
        <v>120</v>
      </c>
      <c r="J51" s="1"/>
      <c r="K51" s="1"/>
      <c r="L51" s="1">
        <v>32</v>
      </c>
      <c r="M51" s="1">
        <f t="shared" si="16"/>
        <v>-5</v>
      </c>
      <c r="N51" s="1"/>
      <c r="O51" s="1"/>
      <c r="P51" s="1">
        <v>40</v>
      </c>
      <c r="Q51" s="1">
        <f t="shared" si="5"/>
        <v>5.4</v>
      </c>
      <c r="R51" s="5">
        <f t="shared" si="17"/>
        <v>35.600000000000009</v>
      </c>
      <c r="S51" s="18">
        <f>VLOOKUP(A51,[2]TDSheet!$D:$J,7,0)</f>
        <v>4.0816326530612242E-2</v>
      </c>
      <c r="T51" s="5">
        <f t="shared" si="18"/>
        <v>25.600000000000009</v>
      </c>
      <c r="U51" s="5">
        <v>10</v>
      </c>
      <c r="V51" s="1">
        <f t="shared" si="6"/>
        <v>14</v>
      </c>
      <c r="W51" s="1">
        <f t="shared" si="7"/>
        <v>7.4074074074074066</v>
      </c>
      <c r="X51" s="1">
        <v>5.2</v>
      </c>
      <c r="Y51" s="1">
        <v>2.6</v>
      </c>
      <c r="Z51" s="1">
        <v>1</v>
      </c>
      <c r="AA51" s="1">
        <v>8.1999999999999993</v>
      </c>
      <c r="AB51" s="1">
        <v>3.6</v>
      </c>
      <c r="AC51" s="1">
        <v>4</v>
      </c>
      <c r="AD51" s="1">
        <v>1.6</v>
      </c>
      <c r="AE51" s="1">
        <v>3.4</v>
      </c>
      <c r="AF51" s="1">
        <v>4.8</v>
      </c>
      <c r="AG51" s="1">
        <v>3.8</v>
      </c>
      <c r="AH51" s="1"/>
      <c r="AI51" s="1">
        <f t="shared" si="8"/>
        <v>5.1200000000000019</v>
      </c>
      <c r="AJ51" s="1">
        <f t="shared" si="9"/>
        <v>2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92</v>
      </c>
      <c r="B52" s="1" t="s">
        <v>39</v>
      </c>
      <c r="C52" s="1">
        <v>58.478000000000002</v>
      </c>
      <c r="D52" s="1">
        <v>96.87</v>
      </c>
      <c r="E52" s="1">
        <v>12.894</v>
      </c>
      <c r="F52" s="1">
        <v>56.04</v>
      </c>
      <c r="G52" s="1"/>
      <c r="H52" s="7">
        <v>1</v>
      </c>
      <c r="I52" s="1">
        <v>120</v>
      </c>
      <c r="J52" s="1" t="s">
        <v>81</v>
      </c>
      <c r="K52" s="1"/>
      <c r="L52" s="1">
        <v>14</v>
      </c>
      <c r="M52" s="1">
        <f t="shared" si="16"/>
        <v>-1.1059999999999999</v>
      </c>
      <c r="N52" s="1"/>
      <c r="O52" s="1"/>
      <c r="P52" s="1">
        <v>105</v>
      </c>
      <c r="Q52" s="1">
        <f t="shared" si="5"/>
        <v>2.5788000000000002</v>
      </c>
      <c r="R52" s="5"/>
      <c r="S52" s="18">
        <f>VLOOKUP(A52,[2]TDSheet!$D:$J,7,0)</f>
        <v>0.42950654582074521</v>
      </c>
      <c r="T52" s="5"/>
      <c r="U52" s="5">
        <v>15</v>
      </c>
      <c r="V52" s="1">
        <f t="shared" si="6"/>
        <v>68.264308980921356</v>
      </c>
      <c r="W52" s="1">
        <f t="shared" si="7"/>
        <v>62.447650069799899</v>
      </c>
      <c r="X52" s="1">
        <v>10.383800000000001</v>
      </c>
      <c r="Y52" s="1">
        <v>0</v>
      </c>
      <c r="Z52" s="1">
        <v>0</v>
      </c>
      <c r="AA52" s="1">
        <v>0.83499999999999996</v>
      </c>
      <c r="AB52" s="1">
        <v>0</v>
      </c>
      <c r="AC52" s="1">
        <v>15.537599999999999</v>
      </c>
      <c r="AD52" s="1">
        <v>0.63040000000000007</v>
      </c>
      <c r="AE52" s="1">
        <v>0</v>
      </c>
      <c r="AF52" s="1">
        <v>0</v>
      </c>
      <c r="AG52" s="1">
        <v>64.421999999999997</v>
      </c>
      <c r="AH52" s="9" t="s">
        <v>102</v>
      </c>
      <c r="AI52" s="1">
        <f t="shared" si="8"/>
        <v>0</v>
      </c>
      <c r="AJ52" s="1">
        <f t="shared" si="9"/>
        <v>15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93</v>
      </c>
      <c r="B53" s="1" t="s">
        <v>35</v>
      </c>
      <c r="C53" s="1">
        <v>49</v>
      </c>
      <c r="D53" s="1">
        <v>8</v>
      </c>
      <c r="E53" s="1">
        <v>24</v>
      </c>
      <c r="F53" s="14">
        <f>-2+F54</f>
        <v>0</v>
      </c>
      <c r="G53" s="1"/>
      <c r="H53" s="7">
        <v>0.2</v>
      </c>
      <c r="I53" s="1">
        <v>120</v>
      </c>
      <c r="J53" s="1"/>
      <c r="K53" s="1"/>
      <c r="L53" s="1">
        <v>36</v>
      </c>
      <c r="M53" s="1">
        <f t="shared" si="16"/>
        <v>-12</v>
      </c>
      <c r="N53" s="1"/>
      <c r="O53" s="1"/>
      <c r="P53" s="1">
        <v>50</v>
      </c>
      <c r="Q53" s="1">
        <f t="shared" si="5"/>
        <v>4.8</v>
      </c>
      <c r="R53" s="5">
        <f t="shared" si="17"/>
        <v>17.200000000000003</v>
      </c>
      <c r="S53" s="18">
        <f>VLOOKUP(A53,[2]TDSheet!$D:$J,7,0)</f>
        <v>7.6923076923076927E-2</v>
      </c>
      <c r="T53" s="5">
        <f>R53-U53</f>
        <v>9.2000000000000028</v>
      </c>
      <c r="U53" s="5">
        <v>8</v>
      </c>
      <c r="V53" s="1">
        <f t="shared" si="6"/>
        <v>14.000000000000002</v>
      </c>
      <c r="W53" s="1">
        <f t="shared" si="7"/>
        <v>10.416666666666668</v>
      </c>
      <c r="X53" s="1">
        <v>5.6</v>
      </c>
      <c r="Y53" s="1">
        <v>1.8</v>
      </c>
      <c r="Z53" s="1">
        <v>3.4</v>
      </c>
      <c r="AA53" s="1">
        <v>8.6</v>
      </c>
      <c r="AB53" s="1">
        <v>3.6</v>
      </c>
      <c r="AC53" s="1">
        <v>3.2</v>
      </c>
      <c r="AD53" s="1">
        <v>5.4</v>
      </c>
      <c r="AE53" s="1">
        <v>3.2</v>
      </c>
      <c r="AF53" s="1">
        <v>3.6</v>
      </c>
      <c r="AG53" s="1">
        <v>5.4</v>
      </c>
      <c r="AH53" s="1"/>
      <c r="AI53" s="1">
        <f t="shared" si="8"/>
        <v>1.8400000000000007</v>
      </c>
      <c r="AJ53" s="1">
        <f t="shared" si="9"/>
        <v>1.6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1" t="s">
        <v>94</v>
      </c>
      <c r="B54" s="11" t="s">
        <v>35</v>
      </c>
      <c r="C54" s="11">
        <v>-19</v>
      </c>
      <c r="D54" s="11">
        <v>24</v>
      </c>
      <c r="E54" s="11"/>
      <c r="F54" s="14">
        <v>2</v>
      </c>
      <c r="G54" s="11"/>
      <c r="H54" s="12">
        <v>0</v>
      </c>
      <c r="I54" s="11"/>
      <c r="J54" s="11" t="s">
        <v>85</v>
      </c>
      <c r="K54" s="11" t="s">
        <v>93</v>
      </c>
      <c r="L54" s="11">
        <v>1</v>
      </c>
      <c r="M54" s="11">
        <f t="shared" si="16"/>
        <v>-1</v>
      </c>
      <c r="N54" s="11"/>
      <c r="O54" s="11"/>
      <c r="P54" s="11"/>
      <c r="Q54" s="11">
        <f t="shared" si="5"/>
        <v>0</v>
      </c>
      <c r="R54" s="13"/>
      <c r="S54" s="13"/>
      <c r="T54" s="13"/>
      <c r="U54" s="13"/>
      <c r="V54" s="11" t="e">
        <f t="shared" si="6"/>
        <v>#DIV/0!</v>
      </c>
      <c r="W54" s="11" t="e">
        <f t="shared" si="7"/>
        <v>#DIV/0!</v>
      </c>
      <c r="X54" s="11">
        <v>0.8</v>
      </c>
      <c r="Y54" s="11">
        <v>0</v>
      </c>
      <c r="Z54" s="11">
        <v>0.2</v>
      </c>
      <c r="AA54" s="11">
        <v>2.8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/>
      <c r="AI54" s="1">
        <f t="shared" si="8"/>
        <v>0</v>
      </c>
      <c r="AJ54" s="1">
        <f t="shared" si="9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1" t="s">
        <v>95</v>
      </c>
      <c r="B55" s="11" t="s">
        <v>39</v>
      </c>
      <c r="C55" s="11">
        <v>-3.6240000000000001</v>
      </c>
      <c r="D55" s="11">
        <v>3.6240000000000001</v>
      </c>
      <c r="E55" s="11"/>
      <c r="F55" s="14">
        <v>-3.9159999999999999</v>
      </c>
      <c r="G55" s="11"/>
      <c r="H55" s="12">
        <v>0</v>
      </c>
      <c r="I55" s="11"/>
      <c r="J55" s="11" t="s">
        <v>85</v>
      </c>
      <c r="K55" s="11" t="s">
        <v>96</v>
      </c>
      <c r="L55" s="11"/>
      <c r="M55" s="11">
        <f t="shared" si="16"/>
        <v>0</v>
      </c>
      <c r="N55" s="11"/>
      <c r="O55" s="11"/>
      <c r="P55" s="11"/>
      <c r="Q55" s="11">
        <f t="shared" si="5"/>
        <v>0</v>
      </c>
      <c r="R55" s="13"/>
      <c r="S55" s="13"/>
      <c r="T55" s="13"/>
      <c r="U55" s="13"/>
      <c r="V55" s="11" t="e">
        <f t="shared" si="6"/>
        <v>#DIV/0!</v>
      </c>
      <c r="W55" s="11" t="e">
        <f t="shared" si="7"/>
        <v>#DIV/0!</v>
      </c>
      <c r="X55" s="11">
        <v>0.7248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/>
      <c r="AI55" s="1">
        <f t="shared" si="8"/>
        <v>0</v>
      </c>
      <c r="AJ55" s="1">
        <f t="shared" si="9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96</v>
      </c>
      <c r="B56" s="1" t="s">
        <v>39</v>
      </c>
      <c r="C56" s="1">
        <v>1.5940000000000001</v>
      </c>
      <c r="D56" s="1">
        <v>145.745</v>
      </c>
      <c r="E56" s="1">
        <v>22.795999999999999</v>
      </c>
      <c r="F56" s="14">
        <f>107.609+F55</f>
        <v>103.693</v>
      </c>
      <c r="G56" s="1"/>
      <c r="H56" s="7">
        <v>1</v>
      </c>
      <c r="I56" s="1">
        <v>120</v>
      </c>
      <c r="J56" s="1"/>
      <c r="K56" s="1"/>
      <c r="L56" s="1">
        <v>41.5</v>
      </c>
      <c r="M56" s="1">
        <f t="shared" si="16"/>
        <v>-18.704000000000001</v>
      </c>
      <c r="N56" s="1"/>
      <c r="O56" s="1"/>
      <c r="P56" s="1">
        <v>75</v>
      </c>
      <c r="Q56" s="1">
        <f t="shared" si="5"/>
        <v>4.5591999999999997</v>
      </c>
      <c r="R56" s="5"/>
      <c r="S56" s="18">
        <f>VLOOKUP(A56,[2]TDSheet!$D:$J,7,0)</f>
        <v>0.1320820864687543</v>
      </c>
      <c r="T56" s="5"/>
      <c r="U56" s="5">
        <v>15</v>
      </c>
      <c r="V56" s="1">
        <f t="shared" si="6"/>
        <v>42.483988419020882</v>
      </c>
      <c r="W56" s="1">
        <f t="shared" si="7"/>
        <v>39.193937532900506</v>
      </c>
      <c r="X56" s="1">
        <v>1.4184000000000001</v>
      </c>
      <c r="Y56" s="1">
        <v>15.4236</v>
      </c>
      <c r="Z56" s="1">
        <v>5.4283999999999999</v>
      </c>
      <c r="AA56" s="1">
        <v>6.0831999999999997</v>
      </c>
      <c r="AB56" s="1">
        <v>9.0995999999999988</v>
      </c>
      <c r="AC56" s="1">
        <v>9.1796000000000006</v>
      </c>
      <c r="AD56" s="1">
        <v>5.6015999999999986</v>
      </c>
      <c r="AE56" s="1">
        <v>13.2828</v>
      </c>
      <c r="AF56" s="1">
        <v>11.156000000000001</v>
      </c>
      <c r="AG56" s="1">
        <v>3.5844</v>
      </c>
      <c r="AH56" s="1"/>
      <c r="AI56" s="1">
        <f t="shared" si="8"/>
        <v>0</v>
      </c>
      <c r="AJ56" s="1">
        <f t="shared" si="9"/>
        <v>15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1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5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1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5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1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5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1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5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1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5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1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5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1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5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1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5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1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5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1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5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1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5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1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5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1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5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1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5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1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5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1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5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1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5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1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5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1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5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1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5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1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5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1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5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1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5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1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5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1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5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1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5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1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5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1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5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1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5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1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5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1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5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1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5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1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5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1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5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1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5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1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5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1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5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1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5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1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5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1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5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1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5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1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5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1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5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1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5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1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5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1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5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1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5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1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5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1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5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1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5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1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5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1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5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1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5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1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5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1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5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1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5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1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5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1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5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1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5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1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5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1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5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1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5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1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5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1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5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1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5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1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5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1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5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1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5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1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5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1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5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1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5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1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5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1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5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1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5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1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5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1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5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1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5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1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5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1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5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1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5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1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5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1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5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1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5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1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5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1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5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1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5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1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5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1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5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1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5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1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5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1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5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1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5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1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5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1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5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1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5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1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5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1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5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1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5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1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5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1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5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1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5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1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5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1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5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1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5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1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5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1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5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1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5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1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5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1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5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1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5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1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5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5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1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5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1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5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1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5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1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5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1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5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1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5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1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5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1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5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1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5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1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5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1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5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1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5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1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5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1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5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1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5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1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5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1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5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1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5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1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5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1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5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1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5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1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5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1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5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1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5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1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5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1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5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1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5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1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5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1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5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1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5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1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5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1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5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1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5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1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5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1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5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1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5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1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5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1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5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1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5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1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5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1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5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1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5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1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5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1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5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1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5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1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5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1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5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1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5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1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5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1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5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1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5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1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5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1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5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1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5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1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5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1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5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1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5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1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5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1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5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1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5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1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5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1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5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1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5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1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5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1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5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1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5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5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5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5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5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5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5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5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5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5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5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5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5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5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5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5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5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5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5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5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5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5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5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5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5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5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5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5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5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5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5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5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5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5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5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5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5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5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5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5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5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5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5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5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5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5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5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5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5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5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5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5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5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5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5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5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5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5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5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5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5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5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5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5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5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1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5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1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5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1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5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1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5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1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5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1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5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1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5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1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5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1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5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1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5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1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5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1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5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1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5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1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5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1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5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1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5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1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5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1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5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1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5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1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5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1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5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1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5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1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5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1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5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1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5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1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5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1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5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1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5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1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5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1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5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1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5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1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5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1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5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1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5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1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5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1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5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1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5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1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5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1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5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1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5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1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5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1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5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1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5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1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5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1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5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1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5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1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5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1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5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1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5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1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5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1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5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1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5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1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5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1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5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1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5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1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5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1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5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1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5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1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5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1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5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1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5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1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5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1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5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1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5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1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5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1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5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1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5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1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5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1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5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1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5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1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5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1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5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1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5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1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5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1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5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1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5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1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5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1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5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1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5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1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5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1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5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1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5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1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5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1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5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1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5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1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5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1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5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1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5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1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5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1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5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1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5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1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5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1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5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1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5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1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5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1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5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1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5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1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5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1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5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1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5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1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5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1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5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1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5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1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5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1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5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1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5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1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5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1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5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1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5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1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5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1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5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1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5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1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5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1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5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1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5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1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5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1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5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1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5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1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5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1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5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1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5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1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5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1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5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1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5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1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5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1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5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1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5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1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5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1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5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1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5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1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5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1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5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1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5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1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5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1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5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1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5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1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5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1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5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1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5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1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5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1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5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1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5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1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5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1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5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1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5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1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5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1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5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1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5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1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5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1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5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1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5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1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5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1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5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1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5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1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5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1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5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1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5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1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5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1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5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1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5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1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5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1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5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1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5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1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5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1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5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1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5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1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5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1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5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1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5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1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5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1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5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1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5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1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5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1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5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1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5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1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5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1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5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1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5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1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5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1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5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1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5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1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5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1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5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1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5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1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5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1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5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1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5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1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5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1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5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1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5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1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5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1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5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1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5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1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5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1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5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1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5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1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5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1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5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1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5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1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5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1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5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1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5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I5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2026-09-23T16:56:00Z</dcterms:created>
  <dcterms:modified xsi:type="dcterms:W3CDTF">2026-09-23T17:24:29Z</dcterms:modified>
</cp:coreProperties>
</file>