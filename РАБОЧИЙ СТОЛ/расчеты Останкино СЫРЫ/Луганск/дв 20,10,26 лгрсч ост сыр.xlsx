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15B452BA-5924-4D0C-98A6-2D34DBFE5F7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Sheet!$A$3:$AL$40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7" i="1" l="1"/>
  <c r="U8" i="1"/>
  <c r="U9" i="1"/>
  <c r="U11" i="1"/>
  <c r="U14" i="1"/>
  <c r="U16" i="1"/>
  <c r="U18" i="1"/>
  <c r="U23" i="1"/>
  <c r="U24" i="1"/>
  <c r="U25" i="1"/>
  <c r="U27" i="1"/>
  <c r="U28" i="1"/>
  <c r="U31" i="1"/>
  <c r="U33" i="1"/>
  <c r="U34" i="1"/>
  <c r="U35" i="1"/>
  <c r="U36" i="1"/>
  <c r="U37" i="1"/>
  <c r="U38" i="1"/>
  <c r="U5" i="1"/>
  <c r="AM7" i="1" l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6" i="1"/>
  <c r="AM5" i="1" l="1"/>
  <c r="T9" i="1"/>
  <c r="T10" i="1"/>
  <c r="T11" i="1"/>
  <c r="AL11" i="1" s="1"/>
  <c r="T12" i="1"/>
  <c r="T13" i="1"/>
  <c r="AL13" i="1" s="1"/>
  <c r="T15" i="1"/>
  <c r="AL15" i="1" s="1"/>
  <c r="T17" i="1"/>
  <c r="AL17" i="1" s="1"/>
  <c r="T18" i="1"/>
  <c r="T19" i="1"/>
  <c r="AL19" i="1" s="1"/>
  <c r="T20" i="1"/>
  <c r="T21" i="1"/>
  <c r="AL21" i="1" s="1"/>
  <c r="T22" i="1"/>
  <c r="T26" i="1"/>
  <c r="T29" i="1"/>
  <c r="AL29" i="1" s="1"/>
  <c r="T30" i="1"/>
  <c r="T32" i="1"/>
  <c r="T39" i="1"/>
  <c r="AL39" i="1" s="1"/>
  <c r="T40" i="1"/>
  <c r="T6" i="1"/>
  <c r="V5" i="1"/>
  <c r="W5" i="1"/>
  <c r="AL6" i="1" l="1"/>
  <c r="AL9" i="1"/>
  <c r="AL40" i="1"/>
  <c r="AL32" i="1"/>
  <c r="AL30" i="1"/>
  <c r="AL26" i="1"/>
  <c r="AL22" i="1"/>
  <c r="AL20" i="1"/>
  <c r="Y18" i="1"/>
  <c r="AL18" i="1"/>
  <c r="AL12" i="1"/>
  <c r="AL10" i="1"/>
  <c r="S5" i="1" l="1"/>
  <c r="Q7" i="1"/>
  <c r="R7" i="1" s="1"/>
  <c r="T7" i="1" s="1"/>
  <c r="Q8" i="1"/>
  <c r="R8" i="1" s="1"/>
  <c r="T8" i="1" s="1"/>
  <c r="Q9" i="1"/>
  <c r="Q10" i="1"/>
  <c r="Y10" i="1" s="1"/>
  <c r="Q11" i="1"/>
  <c r="Q12" i="1"/>
  <c r="Q13" i="1"/>
  <c r="Y13" i="1" s="1"/>
  <c r="Q14" i="1"/>
  <c r="R14" i="1" s="1"/>
  <c r="T14" i="1" s="1"/>
  <c r="Q15" i="1"/>
  <c r="Q16" i="1"/>
  <c r="R16" i="1" s="1"/>
  <c r="T16" i="1" s="1"/>
  <c r="Q17" i="1"/>
  <c r="Y17" i="1" s="1"/>
  <c r="Q19" i="1"/>
  <c r="Q20" i="1"/>
  <c r="Q21" i="1"/>
  <c r="Q22" i="1"/>
  <c r="Q23" i="1"/>
  <c r="Z23" i="1" s="1"/>
  <c r="Q24" i="1"/>
  <c r="Z24" i="1" s="1"/>
  <c r="Q25" i="1"/>
  <c r="Z25" i="1" s="1"/>
  <c r="Q26" i="1"/>
  <c r="Y26" i="1" s="1"/>
  <c r="Q27" i="1"/>
  <c r="R27" i="1" s="1"/>
  <c r="T27" i="1" s="1"/>
  <c r="Q28" i="1"/>
  <c r="R28" i="1" s="1"/>
  <c r="T28" i="1" s="1"/>
  <c r="Q29" i="1"/>
  <c r="Y29" i="1" s="1"/>
  <c r="Q30" i="1"/>
  <c r="Y30" i="1" s="1"/>
  <c r="Q31" i="1"/>
  <c r="R31" i="1" s="1"/>
  <c r="T31" i="1" s="1"/>
  <c r="Q32" i="1"/>
  <c r="Q33" i="1"/>
  <c r="R33" i="1" s="1"/>
  <c r="T33" i="1" s="1"/>
  <c r="Q34" i="1"/>
  <c r="R34" i="1" s="1"/>
  <c r="T34" i="1" s="1"/>
  <c r="Q35" i="1"/>
  <c r="Z35" i="1" s="1"/>
  <c r="Q36" i="1"/>
  <c r="Z36" i="1" s="1"/>
  <c r="Q37" i="1"/>
  <c r="R37" i="1" s="1"/>
  <c r="T37" i="1" s="1"/>
  <c r="Q38" i="1"/>
  <c r="Z38" i="1" s="1"/>
  <c r="Q39" i="1"/>
  <c r="Q40" i="1"/>
  <c r="Q6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AB5" i="1"/>
  <c r="AA5" i="1"/>
  <c r="P5" i="1"/>
  <c r="O5" i="1"/>
  <c r="N5" i="1"/>
  <c r="M5" i="1"/>
  <c r="K5" i="1"/>
  <c r="F5" i="1"/>
  <c r="E5" i="1"/>
  <c r="Z40" i="1" l="1"/>
  <c r="Y40" i="1"/>
  <c r="Y34" i="1"/>
  <c r="AL34" i="1"/>
  <c r="Z32" i="1"/>
  <c r="Y32" i="1"/>
  <c r="Y28" i="1"/>
  <c r="AL28" i="1"/>
  <c r="Z22" i="1"/>
  <c r="Y22" i="1"/>
  <c r="Z20" i="1"/>
  <c r="Y20" i="1"/>
  <c r="Z15" i="1"/>
  <c r="Y15" i="1"/>
  <c r="Z11" i="1"/>
  <c r="Y11" i="1"/>
  <c r="Z9" i="1"/>
  <c r="Y9" i="1"/>
  <c r="AL7" i="1"/>
  <c r="Y7" i="1"/>
  <c r="Z6" i="1"/>
  <c r="Y6" i="1"/>
  <c r="Z39" i="1"/>
  <c r="Y39" i="1"/>
  <c r="AL37" i="1"/>
  <c r="Y37" i="1"/>
  <c r="AL33" i="1"/>
  <c r="Y33" i="1"/>
  <c r="AL31" i="1"/>
  <c r="Y31" i="1"/>
  <c r="AL27" i="1"/>
  <c r="Y27" i="1"/>
  <c r="Z21" i="1"/>
  <c r="Y21" i="1"/>
  <c r="Z19" i="1"/>
  <c r="Y19" i="1"/>
  <c r="Y16" i="1"/>
  <c r="AL16" i="1"/>
  <c r="Y14" i="1"/>
  <c r="AL14" i="1"/>
  <c r="Z12" i="1"/>
  <c r="Y12" i="1"/>
  <c r="Y8" i="1"/>
  <c r="AL8" i="1"/>
  <c r="Z37" i="1"/>
  <c r="R38" i="1"/>
  <c r="T38" i="1" s="1"/>
  <c r="Z31" i="1"/>
  <c r="Z30" i="1"/>
  <c r="R25" i="1"/>
  <c r="T25" i="1" s="1"/>
  <c r="R24" i="1"/>
  <c r="T24" i="1" s="1"/>
  <c r="Z18" i="1"/>
  <c r="Z17" i="1"/>
  <c r="Z16" i="1"/>
  <c r="Z14" i="1"/>
  <c r="Z10" i="1"/>
  <c r="Z34" i="1"/>
  <c r="R23" i="1"/>
  <c r="T23" i="1" s="1"/>
  <c r="Z33" i="1"/>
  <c r="Z7" i="1"/>
  <c r="Z28" i="1"/>
  <c r="Z8" i="1"/>
  <c r="Z27" i="1"/>
  <c r="R36" i="1"/>
  <c r="T36" i="1" s="1"/>
  <c r="Z29" i="1"/>
  <c r="R35" i="1"/>
  <c r="T35" i="1" s="1"/>
  <c r="Z26" i="1"/>
  <c r="Z13" i="1"/>
  <c r="Q5" i="1"/>
  <c r="L5" i="1"/>
  <c r="Y24" i="1" l="1"/>
  <c r="AL24" i="1"/>
  <c r="Y38" i="1"/>
  <c r="AL38" i="1"/>
  <c r="T5" i="1"/>
  <c r="AL35" i="1"/>
  <c r="Y35" i="1"/>
  <c r="Y36" i="1"/>
  <c r="AL36" i="1"/>
  <c r="AL23" i="1"/>
  <c r="Y23" i="1"/>
  <c r="AL25" i="1"/>
  <c r="Y25" i="1"/>
  <c r="R5" i="1"/>
  <c r="AL5" i="1" l="1"/>
</calcChain>
</file>

<file path=xl/sharedStrings.xml><?xml version="1.0" encoding="utf-8"?>
<sst xmlns="http://schemas.openxmlformats.org/spreadsheetml/2006/main" count="164" uniqueCount="91">
  <si>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</si>
  <si>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</si>
  <si>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</si>
  <si>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</si>
  <si>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</si>
  <si>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</si>
  <si>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</si>
  <si>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</si>
  <si>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</si>
  <si>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</si>
  <si>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</si>
  <si>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</si>
  <si>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</si>
  <si>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</si>
  <si>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</si>
  <si>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</si>
  <si>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</si>
  <si>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</si>
  <si>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</si>
  <si>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</si>
  <si>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</si>
  <si>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</si>
  <si>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ошибка</t>
  </si>
  <si>
    <t>19,10,</t>
  </si>
  <si>
    <t>20,10,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</si>
  <si>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</si>
  <si>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</si>
  <si>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</si>
  <si>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</si>
  <si>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</si>
  <si>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</si>
  <si>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</si>
  <si>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</si>
  <si>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18,08,</t>
  </si>
  <si>
    <t>11,08,</t>
  </si>
  <si>
    <t>1103201 Сыр копченый "Косичка" мини ПАПА МОЖЕТ 55г лоток  ОСТАНКИНО</t>
  </si>
  <si>
    <t>шт</t>
  </si>
  <si>
    <t>нужно увеличить продажи!!!</t>
  </si>
  <si>
    <t>2103201 БЖП, произведенный по технологии сыра копченый "Косичка" мини Ассорти  ОСТАНКИНО</t>
  </si>
  <si>
    <t>нужно увеличить продажи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</si>
  <si>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</si>
  <si>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</si>
  <si>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</si>
  <si>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ВЫЧЕСТЬ из остатка 320кг (ошибка инвенторизации - 25,07,26)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</si>
  <si>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</si>
  <si>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</si>
  <si>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</si>
  <si>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</si>
  <si>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</si>
  <si>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</si>
  <si>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</si>
  <si>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</si>
  <si>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</si>
  <si>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</si>
  <si>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</si>
  <si>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</si>
  <si>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</si>
  <si>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</si>
  <si>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Главторг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</si>
  <si>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</si>
  <si>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</si>
  <si>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</si>
  <si>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</si>
  <si>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</si>
  <si>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"Гауда Голд" 45% (-2,5 кг брус) (6 шт)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</si>
  <si>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</si>
  <si>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</si>
  <si>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</si>
  <si>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"Сметанковый", с масс долей жира в пересчете на сухое вещес50%, брус  Останкино</t>
  </si>
  <si>
    <t>Сыр рассольный жирный Чечил 45% 100 гр  ОСТАНКИНО</t>
  </si>
  <si>
    <t>28,09,26 завод не отгрузил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</si>
  <si>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</si>
  <si>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</si>
  <si>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</si>
  <si>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</si>
  <si>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</si>
  <si>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</si>
  <si>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нужно увеличить продажи / 132шт в уценку (04,08,26) / 400шт в уценку (24,07,26)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</si>
  <si>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18кг списано (29,08,26 инвенторизация)</t>
    </r>
  </si>
  <si>
    <t>нужно увеличить продажи / 127кг в уценке (04,09,26)</t>
  </si>
  <si>
    <t>предзаказ</t>
  </si>
  <si>
    <t>масло</t>
  </si>
  <si>
    <t>02,11,</t>
  </si>
  <si>
    <t>ТК</t>
  </si>
  <si>
    <t>Чепрасова</t>
  </si>
  <si>
    <t xml:space="preserve">Есть потребность </t>
  </si>
  <si>
    <t>ТК ком</t>
  </si>
  <si>
    <t>итого1</t>
  </si>
  <si>
    <t>заказ</t>
  </si>
  <si>
    <t>26,10,</t>
  </si>
  <si>
    <t>02,11,масло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</si>
</sst>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4" borderId="1" xfId="1" applyNumberFormat="1" applyFont="1" applyFill="1"/>
    <xf numFmtId="164" fontId="5" fillId="4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W2" sqref="W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3.85546875" customWidth="1"/>
    <col min="10" max="10" width="1" customWidth="1"/>
    <col min="11" max="12" width="7" customWidth="1"/>
    <col min="13" max="14" width="0.42578125" customWidth="1"/>
    <col min="15" max="20" width="7" customWidth="1"/>
    <col min="21" max="21" width="7" style="13" customWidth="1"/>
    <col min="22" max="22" width="7" customWidth="1"/>
    <col min="23" max="23" width="7" style="13" customWidth="1"/>
    <col min="24" max="24" width="11.140625" style="13" customWidth="1"/>
    <col min="25" max="26" width="5" customWidth="1"/>
    <col min="27" max="36" width="6" customWidth="1"/>
    <col min="37" max="37" width="26.85546875" customWidth="1"/>
    <col min="38" max="39" width="7" customWidth="1"/>
    <col min="40" max="54" width="3" customWidth="1"/>
  </cols>
  <sheetData>
    <row r="1" spans="1:5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2" spans="1:5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82</v>
      </c>
      <c r="T2" s="1"/>
      <c r="U2" s="1"/>
      <c r="V2" s="1" t="s">
        <v>82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82</v>
      </c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</row>
    <row r="3" spans="1:5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80</v>
      </c>
      <c r="T3" s="3" t="s">
        <v>87</v>
      </c>
      <c r="U3" s="3" t="s">
        <v>88</v>
      </c>
      <c r="V3" s="3" t="s">
        <v>88</v>
      </c>
      <c r="W3" s="3" t="s">
        <v>83</v>
      </c>
      <c r="X3" s="3" t="s">
        <v>86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2" t="s">
        <v>21</v>
      </c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</row>
    <row r="4" spans="1:5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 t="s">
        <v>81</v>
      </c>
      <c r="T4" s="1"/>
      <c r="U4" s="1" t="s">
        <v>89</v>
      </c>
      <c r="V4" s="1" t="s">
        <v>90</v>
      </c>
      <c r="W4" s="1" t="s">
        <v>84</v>
      </c>
      <c r="X4" s="1"/>
      <c r="Y4" s="1"/>
      <c r="Z4" s="1"/>
      <c r="AA4" s="1" t="s">
        <v>25</v>
      </c>
      <c r="AB4" s="1" t="s">
        <v>26</v>
      </c>
      <c r="AC4" s="1" t="s">
        <v>27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/>
      <c r="AL4" s="1"/>
      <c r="AM4" s="1" t="s">
        <v>81</v>
      </c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</row>
    <row r="5" spans="1:54" x14ac:dyDescent="0.25">
      <c r="A5" s="1"/>
      <c r="B5" s="1"/>
      <c r="C5" s="1"/>
      <c r="D5" s="1"/>
      <c r="E5" s="4">
        <f>SUM(E6:E498)</f>
        <v>1644.327</v>
      </c>
      <c r="F5" s="4">
        <f>SUM(F6:F498)</f>
        <v>3715.54</v>
      </c>
      <c r="G5" s="7"/>
      <c r="H5" s="1"/>
      <c r="I5" s="1"/>
      <c r="J5" s="1"/>
      <c r="K5" s="4">
        <f t="shared" ref="K5:W5" si="0">SUM(K6:K498)</f>
        <v>1819.1999999999998</v>
      </c>
      <c r="L5" s="4">
        <f t="shared" si="0"/>
        <v>-174.87299999999999</v>
      </c>
      <c r="M5" s="4">
        <f t="shared" si="0"/>
        <v>0</v>
      </c>
      <c r="N5" s="4">
        <f t="shared" si="0"/>
        <v>0</v>
      </c>
      <c r="O5" s="4">
        <f t="shared" si="0"/>
        <v>-320</v>
      </c>
      <c r="P5" s="4">
        <f t="shared" si="0"/>
        <v>1473</v>
      </c>
      <c r="Q5" s="4">
        <f t="shared" si="0"/>
        <v>339.06539999999995</v>
      </c>
      <c r="R5" s="4">
        <f t="shared" si="0"/>
        <v>1714.0452000000002</v>
      </c>
      <c r="S5" s="4">
        <f t="shared" si="0"/>
        <v>70</v>
      </c>
      <c r="T5" s="4">
        <f t="shared" si="0"/>
        <v>1784.0452000000002</v>
      </c>
      <c r="U5" s="4">
        <f t="shared" si="0"/>
        <v>1776</v>
      </c>
      <c r="V5" s="4">
        <f t="shared" si="0"/>
        <v>100</v>
      </c>
      <c r="W5" s="4">
        <f t="shared" si="0"/>
        <v>70</v>
      </c>
      <c r="X5" s="4"/>
      <c r="Y5" s="1"/>
      <c r="Z5" s="1"/>
      <c r="AA5" s="4">
        <f t="shared" ref="AA5:AJ5" si="1">SUM(AA6:AA498)</f>
        <v>318.79100000000005</v>
      </c>
      <c r="AB5" s="4">
        <f t="shared" si="1"/>
        <v>298.00299999999999</v>
      </c>
      <c r="AC5" s="4">
        <f t="shared" si="1"/>
        <v>305.68039999999996</v>
      </c>
      <c r="AD5" s="4">
        <f t="shared" si="1"/>
        <v>255.13099999999997</v>
      </c>
      <c r="AE5" s="4">
        <f t="shared" si="1"/>
        <v>344.86660000000001</v>
      </c>
      <c r="AF5" s="4">
        <f t="shared" si="1"/>
        <v>356.29920000000016</v>
      </c>
      <c r="AG5" s="4">
        <f t="shared" si="1"/>
        <v>297.89479999999998</v>
      </c>
      <c r="AH5" s="4">
        <f t="shared" si="1"/>
        <v>334.9140000000001</v>
      </c>
      <c r="AI5" s="4">
        <f t="shared" si="1"/>
        <v>295.55619999999999</v>
      </c>
      <c r="AJ5" s="4">
        <f t="shared" si="1"/>
        <v>290.54040000000003</v>
      </c>
      <c r="AK5" s="1"/>
      <c r="AL5" s="4">
        <f>SUM(AL6:AL498)</f>
        <v>505.01660000000004</v>
      </c>
      <c r="AM5" s="4">
        <f>SUM(AM6:AM498)</f>
        <v>18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</row>
    <row r="6" spans="1:54" x14ac:dyDescent="0.25">
      <c r="A6" s="1" t="s">
        <v>35</v>
      </c>
      <c r="B6" s="1" t="s">
        <v>36</v>
      </c>
      <c r="C6" s="1">
        <v>29</v>
      </c>
      <c r="D6" s="1">
        <v>24</v>
      </c>
      <c r="E6" s="1">
        <v>5</v>
      </c>
      <c r="F6" s="1">
        <v>47</v>
      </c>
      <c r="G6" s="7">
        <v>5.5E-2</v>
      </c>
      <c r="H6" s="1">
        <v>120</v>
      </c>
      <c r="I6" s="1"/>
      <c r="J6" s="1"/>
      <c r="K6" s="1">
        <v>5</v>
      </c>
      <c r="L6" s="1">
        <f t="shared" ref="L6:L40" si="2">E6-K6</f>
        <v>0</v>
      </c>
      <c r="M6" s="1"/>
      <c r="N6" s="1"/>
      <c r="O6" s="1"/>
      <c r="P6" s="1"/>
      <c r="Q6" s="1">
        <f>E6/5</f>
        <v>1</v>
      </c>
      <c r="R6" s="5"/>
      <c r="S6" s="5"/>
      <c r="T6" s="5">
        <f>R6</f>
        <v>0</v>
      </c>
      <c r="U6" s="5"/>
      <c r="V6" s="5"/>
      <c r="W6" s="12"/>
      <c r="X6" s="12"/>
      <c r="Y6" s="1">
        <f>(F6+O6+P6+T6+V6)/Q6</f>
        <v>47</v>
      </c>
      <c r="Z6" s="1">
        <f>(F6+O6+P6)/Q6</f>
        <v>47</v>
      </c>
      <c r="AA6" s="1">
        <v>0.4</v>
      </c>
      <c r="AB6" s="1">
        <v>1.2</v>
      </c>
      <c r="AC6" s="1">
        <v>2.2000000000000002</v>
      </c>
      <c r="AD6" s="1">
        <v>0.2</v>
      </c>
      <c r="AE6" s="1">
        <v>3.2</v>
      </c>
      <c r="AF6" s="1">
        <v>0.4</v>
      </c>
      <c r="AG6" s="1">
        <v>2.4</v>
      </c>
      <c r="AH6" s="1">
        <v>1.6</v>
      </c>
      <c r="AI6" s="1">
        <v>0</v>
      </c>
      <c r="AJ6" s="1">
        <v>1.8</v>
      </c>
      <c r="AK6" s="10" t="s">
        <v>37</v>
      </c>
      <c r="AL6" s="1">
        <f>G6*T6</f>
        <v>0</v>
      </c>
      <c r="AM6" s="1">
        <f>G6*V6</f>
        <v>0</v>
      </c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x14ac:dyDescent="0.25">
      <c r="A7" s="1" t="s">
        <v>38</v>
      </c>
      <c r="B7" s="1" t="s">
        <v>36</v>
      </c>
      <c r="C7" s="1">
        <v>49</v>
      </c>
      <c r="D7" s="1"/>
      <c r="E7" s="1">
        <v>18</v>
      </c>
      <c r="F7" s="1">
        <v>30</v>
      </c>
      <c r="G7" s="7">
        <v>0.1</v>
      </c>
      <c r="H7" s="1">
        <v>120</v>
      </c>
      <c r="I7" s="1"/>
      <c r="J7" s="1"/>
      <c r="K7" s="1">
        <v>18</v>
      </c>
      <c r="L7" s="1">
        <f t="shared" si="2"/>
        <v>0</v>
      </c>
      <c r="M7" s="1"/>
      <c r="N7" s="1"/>
      <c r="O7" s="1"/>
      <c r="P7" s="1"/>
      <c r="Q7" s="1">
        <f t="shared" ref="Q7:Q40" si="3">E7/5</f>
        <v>3.6</v>
      </c>
      <c r="R7" s="5">
        <f t="shared" ref="R7:R37" si="4">17*Q7-P7-O7-F7</f>
        <v>31.200000000000003</v>
      </c>
      <c r="S7" s="5"/>
      <c r="T7" s="5">
        <f t="shared" ref="T7:T40" si="5">R7</f>
        <v>31.200000000000003</v>
      </c>
      <c r="U7" s="5">
        <f>VLOOKUP(A7,заказ!A:B,2,0)</f>
        <v>24</v>
      </c>
      <c r="V7" s="5"/>
      <c r="W7" s="12"/>
      <c r="X7" s="12"/>
      <c r="Y7" s="1">
        <f t="shared" ref="Y7:Y40" si="6">(F7+O7+P7+T7+V7)/Q7</f>
        <v>17</v>
      </c>
      <c r="Z7" s="1">
        <f t="shared" ref="Z7:Z40" si="7">(F7+O7+P7)/Q7</f>
        <v>8.3333333333333339</v>
      </c>
      <c r="AA7" s="1">
        <v>1.8</v>
      </c>
      <c r="AB7" s="1">
        <v>2.4</v>
      </c>
      <c r="AC7" s="1">
        <v>2.8</v>
      </c>
      <c r="AD7" s="1">
        <v>2</v>
      </c>
      <c r="AE7" s="1">
        <v>5.6</v>
      </c>
      <c r="AF7" s="1">
        <v>6.2</v>
      </c>
      <c r="AG7" s="1">
        <v>4</v>
      </c>
      <c r="AH7" s="1">
        <v>9.4</v>
      </c>
      <c r="AI7" s="1">
        <v>0.4</v>
      </c>
      <c r="AJ7" s="1">
        <v>0</v>
      </c>
      <c r="AK7" s="1"/>
      <c r="AL7" s="1">
        <f t="shared" ref="AL7:AL40" si="8">G7*T7</f>
        <v>3.1200000000000006</v>
      </c>
      <c r="AM7" s="1">
        <f t="shared" ref="AM7:AM40" si="9">G7*V7</f>
        <v>0</v>
      </c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x14ac:dyDescent="0.25">
      <c r="A8" s="1" t="s">
        <v>40</v>
      </c>
      <c r="B8" s="1" t="s">
        <v>36</v>
      </c>
      <c r="C8" s="1">
        <v>63</v>
      </c>
      <c r="D8" s="1"/>
      <c r="E8" s="1">
        <v>21</v>
      </c>
      <c r="F8" s="1">
        <v>42</v>
      </c>
      <c r="G8" s="7">
        <v>0.1</v>
      </c>
      <c r="H8" s="1">
        <v>120</v>
      </c>
      <c r="I8" s="1"/>
      <c r="J8" s="1"/>
      <c r="K8" s="1">
        <v>21</v>
      </c>
      <c r="L8" s="1">
        <f t="shared" si="2"/>
        <v>0</v>
      </c>
      <c r="M8" s="1"/>
      <c r="N8" s="1"/>
      <c r="O8" s="1"/>
      <c r="P8" s="1"/>
      <c r="Q8" s="1">
        <f t="shared" si="3"/>
        <v>4.2</v>
      </c>
      <c r="R8" s="5">
        <f>15*Q8-P8-O8-F8</f>
        <v>21</v>
      </c>
      <c r="S8" s="5"/>
      <c r="T8" s="5">
        <f t="shared" si="5"/>
        <v>21</v>
      </c>
      <c r="U8" s="5">
        <f>VLOOKUP(A8,заказ!A:B,2,0)</f>
        <v>24</v>
      </c>
      <c r="V8" s="5"/>
      <c r="W8" s="12"/>
      <c r="X8" s="12"/>
      <c r="Y8" s="1">
        <f t="shared" si="6"/>
        <v>15</v>
      </c>
      <c r="Z8" s="1">
        <f t="shared" si="7"/>
        <v>10</v>
      </c>
      <c r="AA8" s="1">
        <v>0.2</v>
      </c>
      <c r="AB8" s="1">
        <v>1.4</v>
      </c>
      <c r="AC8" s="1">
        <v>2.4</v>
      </c>
      <c r="AD8" s="1">
        <v>1.4</v>
      </c>
      <c r="AE8" s="1">
        <v>2.6</v>
      </c>
      <c r="AF8" s="1">
        <v>4.8</v>
      </c>
      <c r="AG8" s="1">
        <v>3.4</v>
      </c>
      <c r="AH8" s="1">
        <v>7.6</v>
      </c>
      <c r="AI8" s="1">
        <v>0.4</v>
      </c>
      <c r="AJ8" s="1">
        <v>0.2</v>
      </c>
      <c r="AK8" s="1"/>
      <c r="AL8" s="1">
        <f t="shared" si="8"/>
        <v>2.1</v>
      </c>
      <c r="AM8" s="1">
        <f t="shared" si="9"/>
        <v>0</v>
      </c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x14ac:dyDescent="0.25">
      <c r="A9" s="1" t="s">
        <v>41</v>
      </c>
      <c r="B9" s="1" t="s">
        <v>42</v>
      </c>
      <c r="C9" s="1">
        <v>419.17500000000001</v>
      </c>
      <c r="D9" s="1">
        <v>57.09</v>
      </c>
      <c r="E9" s="1">
        <v>50.875</v>
      </c>
      <c r="F9" s="1">
        <v>415.76400000000001</v>
      </c>
      <c r="G9" s="7">
        <v>1</v>
      </c>
      <c r="H9" s="1">
        <v>120</v>
      </c>
      <c r="I9" s="1"/>
      <c r="J9" s="1"/>
      <c r="K9" s="1">
        <v>51.9</v>
      </c>
      <c r="L9" s="1">
        <f t="shared" si="2"/>
        <v>-1.0249999999999986</v>
      </c>
      <c r="M9" s="1"/>
      <c r="N9" s="1"/>
      <c r="O9" s="1">
        <v>-320</v>
      </c>
      <c r="P9" s="1">
        <v>80</v>
      </c>
      <c r="Q9" s="1">
        <f t="shared" si="3"/>
        <v>10.175000000000001</v>
      </c>
      <c r="R9" s="5"/>
      <c r="S9" s="5"/>
      <c r="T9" s="5">
        <f>W9</f>
        <v>70</v>
      </c>
      <c r="U9" s="5">
        <f>VLOOKUP(A9,заказ!A:B,2,0)</f>
        <v>70</v>
      </c>
      <c r="V9" s="5"/>
      <c r="W9" s="12">
        <v>70</v>
      </c>
      <c r="X9" s="1" t="s">
        <v>85</v>
      </c>
      <c r="Y9" s="1">
        <f t="shared" si="6"/>
        <v>24.153710073710073</v>
      </c>
      <c r="Z9" s="1">
        <f t="shared" si="7"/>
        <v>17.274103194103194</v>
      </c>
      <c r="AA9" s="1">
        <v>9.1402000000000001</v>
      </c>
      <c r="AB9" s="1">
        <v>10.6038</v>
      </c>
      <c r="AC9" s="1">
        <v>8.9152000000000005</v>
      </c>
      <c r="AD9" s="1">
        <v>4.7877999999999998</v>
      </c>
      <c r="AE9" s="1">
        <v>13.945</v>
      </c>
      <c r="AF9" s="1">
        <v>3.8052000000000001</v>
      </c>
      <c r="AG9" s="1">
        <v>0</v>
      </c>
      <c r="AH9" s="1">
        <v>8.1988000000000003</v>
      </c>
      <c r="AI9" s="1">
        <v>12.0482</v>
      </c>
      <c r="AJ9" s="1">
        <v>5.5632000000000001</v>
      </c>
      <c r="AK9" s="1" t="s">
        <v>43</v>
      </c>
      <c r="AL9" s="1">
        <f t="shared" si="8"/>
        <v>70</v>
      </c>
      <c r="AM9" s="1">
        <f t="shared" si="9"/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x14ac:dyDescent="0.25">
      <c r="A10" s="1" t="s">
        <v>44</v>
      </c>
      <c r="B10" s="1" t="s">
        <v>42</v>
      </c>
      <c r="C10" s="1">
        <v>56.118000000000002</v>
      </c>
      <c r="D10" s="1"/>
      <c r="E10" s="1">
        <v>15.23</v>
      </c>
      <c r="F10" s="1">
        <v>38.042000000000002</v>
      </c>
      <c r="G10" s="7">
        <v>1</v>
      </c>
      <c r="H10" s="1">
        <v>180</v>
      </c>
      <c r="I10" s="1"/>
      <c r="J10" s="1"/>
      <c r="K10" s="1">
        <v>16.600000000000001</v>
      </c>
      <c r="L10" s="1">
        <f t="shared" si="2"/>
        <v>-1.370000000000001</v>
      </c>
      <c r="M10" s="1"/>
      <c r="N10" s="1"/>
      <c r="O10" s="1"/>
      <c r="P10" s="1">
        <v>16</v>
      </c>
      <c r="Q10" s="1">
        <f t="shared" si="3"/>
        <v>3.0460000000000003</v>
      </c>
      <c r="R10" s="5"/>
      <c r="S10" s="5"/>
      <c r="T10" s="5">
        <f t="shared" si="5"/>
        <v>0</v>
      </c>
      <c r="U10" s="5"/>
      <c r="V10" s="5"/>
      <c r="W10" s="12"/>
      <c r="X10" s="12"/>
      <c r="Y10" s="1">
        <f t="shared" si="6"/>
        <v>17.741956664478003</v>
      </c>
      <c r="Z10" s="1">
        <f t="shared" si="7"/>
        <v>17.741956664478003</v>
      </c>
      <c r="AA10" s="1">
        <v>3.5596000000000001</v>
      </c>
      <c r="AB10" s="1">
        <v>2.3111999999999999</v>
      </c>
      <c r="AC10" s="1">
        <v>3.9127999999999998</v>
      </c>
      <c r="AD10" s="1">
        <v>4.5728</v>
      </c>
      <c r="AE10" s="1">
        <v>6.242</v>
      </c>
      <c r="AF10" s="1">
        <v>3.8908</v>
      </c>
      <c r="AG10" s="1">
        <v>3.9020000000000001</v>
      </c>
      <c r="AH10" s="1">
        <v>4.0808</v>
      </c>
      <c r="AI10" s="1">
        <v>2.5880000000000001</v>
      </c>
      <c r="AJ10" s="1">
        <v>2.6507999999999998</v>
      </c>
      <c r="AK10" s="1"/>
      <c r="AL10" s="1">
        <f t="shared" si="8"/>
        <v>0</v>
      </c>
      <c r="AM10" s="1">
        <f t="shared" si="9"/>
        <v>0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</row>
    <row r="11" spans="1:54" x14ac:dyDescent="0.25">
      <c r="A11" s="1" t="s">
        <v>45</v>
      </c>
      <c r="B11" s="1" t="s">
        <v>36</v>
      </c>
      <c r="C11" s="1">
        <v>30</v>
      </c>
      <c r="D11" s="1"/>
      <c r="E11" s="1"/>
      <c r="F11" s="1"/>
      <c r="G11" s="7">
        <v>0.82450000000000001</v>
      </c>
      <c r="H11" s="1">
        <v>180</v>
      </c>
      <c r="I11" s="1"/>
      <c r="J11" s="1"/>
      <c r="K11" s="1"/>
      <c r="L11" s="1">
        <f t="shared" si="2"/>
        <v>0</v>
      </c>
      <c r="M11" s="1"/>
      <c r="N11" s="1"/>
      <c r="O11" s="1"/>
      <c r="P11" s="1"/>
      <c r="Q11" s="1">
        <f t="shared" si="3"/>
        <v>0</v>
      </c>
      <c r="R11" s="5">
        <v>10</v>
      </c>
      <c r="S11" s="5"/>
      <c r="T11" s="5">
        <f t="shared" si="5"/>
        <v>10</v>
      </c>
      <c r="U11" s="5">
        <f>VLOOKUP(A11,заказ!A:B,2,0)</f>
        <v>12</v>
      </c>
      <c r="V11" s="5"/>
      <c r="W11" s="12"/>
      <c r="X11" s="12"/>
      <c r="Y11" s="1" t="e">
        <f t="shared" si="6"/>
        <v>#DIV/0!</v>
      </c>
      <c r="Z11" s="1" t="e">
        <f t="shared" si="7"/>
        <v>#DIV/0!</v>
      </c>
      <c r="AA11" s="1">
        <v>0</v>
      </c>
      <c r="AB11" s="1">
        <v>0.8</v>
      </c>
      <c r="AC11" s="1">
        <v>0</v>
      </c>
      <c r="AD11" s="1">
        <v>0.8</v>
      </c>
      <c r="AE11" s="1">
        <v>0.4</v>
      </c>
      <c r="AF11" s="1">
        <v>0.8</v>
      </c>
      <c r="AG11" s="1">
        <v>1</v>
      </c>
      <c r="AH11" s="1">
        <v>1</v>
      </c>
      <c r="AI11" s="1">
        <v>3</v>
      </c>
      <c r="AJ11" s="1">
        <v>1.4</v>
      </c>
      <c r="AK11" s="1"/>
      <c r="AL11" s="1">
        <f t="shared" si="8"/>
        <v>8.245000000000001</v>
      </c>
      <c r="AM11" s="1">
        <f t="shared" si="9"/>
        <v>0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x14ac:dyDescent="0.25">
      <c r="A12" s="1" t="s">
        <v>46</v>
      </c>
      <c r="B12" s="1" t="s">
        <v>36</v>
      </c>
      <c r="C12" s="1">
        <v>438</v>
      </c>
      <c r="D12" s="1"/>
      <c r="E12" s="1">
        <v>78</v>
      </c>
      <c r="F12" s="1">
        <v>319</v>
      </c>
      <c r="G12" s="7">
        <v>0.372</v>
      </c>
      <c r="H12" s="1">
        <v>180</v>
      </c>
      <c r="I12" s="1"/>
      <c r="J12" s="1"/>
      <c r="K12" s="1">
        <v>78</v>
      </c>
      <c r="L12" s="1">
        <f t="shared" si="2"/>
        <v>0</v>
      </c>
      <c r="M12" s="1"/>
      <c r="N12" s="1"/>
      <c r="O12" s="1"/>
      <c r="P12" s="1"/>
      <c r="Q12" s="1">
        <f t="shared" si="3"/>
        <v>15.6</v>
      </c>
      <c r="R12" s="5"/>
      <c r="S12" s="5"/>
      <c r="T12" s="5">
        <f t="shared" si="5"/>
        <v>0</v>
      </c>
      <c r="U12" s="5"/>
      <c r="V12" s="5"/>
      <c r="W12" s="12"/>
      <c r="X12" s="12"/>
      <c r="Y12" s="1">
        <f t="shared" si="6"/>
        <v>20.448717948717949</v>
      </c>
      <c r="Z12" s="1">
        <f t="shared" si="7"/>
        <v>20.448717948717949</v>
      </c>
      <c r="AA12" s="1">
        <v>18</v>
      </c>
      <c r="AB12" s="1">
        <v>14.2</v>
      </c>
      <c r="AC12" s="1">
        <v>13.6</v>
      </c>
      <c r="AD12" s="1">
        <v>0</v>
      </c>
      <c r="AE12" s="1">
        <v>16.8</v>
      </c>
      <c r="AF12" s="1">
        <v>32.200000000000003</v>
      </c>
      <c r="AG12" s="1">
        <v>13.2</v>
      </c>
      <c r="AH12" s="1">
        <v>15</v>
      </c>
      <c r="AI12" s="1">
        <v>22.8</v>
      </c>
      <c r="AJ12" s="1">
        <v>15.2</v>
      </c>
      <c r="AK12" s="11" t="s">
        <v>39</v>
      </c>
      <c r="AL12" s="1">
        <f t="shared" si="8"/>
        <v>0</v>
      </c>
      <c r="AM12" s="1">
        <f t="shared" si="9"/>
        <v>0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x14ac:dyDescent="0.25">
      <c r="A13" s="1" t="s">
        <v>47</v>
      </c>
      <c r="B13" s="1" t="s">
        <v>36</v>
      </c>
      <c r="C13" s="1">
        <v>385</v>
      </c>
      <c r="D13" s="1"/>
      <c r="E13" s="1">
        <v>83</v>
      </c>
      <c r="F13" s="1">
        <v>290</v>
      </c>
      <c r="G13" s="7">
        <v>0.74399999999999999</v>
      </c>
      <c r="H13" s="1">
        <v>180</v>
      </c>
      <c r="I13" s="1"/>
      <c r="J13" s="1"/>
      <c r="K13" s="1">
        <v>83</v>
      </c>
      <c r="L13" s="1">
        <f t="shared" si="2"/>
        <v>0</v>
      </c>
      <c r="M13" s="1"/>
      <c r="N13" s="1"/>
      <c r="O13" s="1"/>
      <c r="P13" s="1"/>
      <c r="Q13" s="1">
        <f t="shared" si="3"/>
        <v>16.600000000000001</v>
      </c>
      <c r="R13" s="5"/>
      <c r="S13" s="5"/>
      <c r="T13" s="5">
        <f t="shared" si="5"/>
        <v>0</v>
      </c>
      <c r="U13" s="5"/>
      <c r="V13" s="5"/>
      <c r="W13" s="12"/>
      <c r="X13" s="12"/>
      <c r="Y13" s="1">
        <f t="shared" si="6"/>
        <v>17.469879518072286</v>
      </c>
      <c r="Z13" s="1">
        <f t="shared" si="7"/>
        <v>17.469879518072286</v>
      </c>
      <c r="AA13" s="1">
        <v>16.600000000000001</v>
      </c>
      <c r="AB13" s="1">
        <v>3.6</v>
      </c>
      <c r="AC13" s="1">
        <v>24</v>
      </c>
      <c r="AD13" s="1">
        <v>16.399999999999999</v>
      </c>
      <c r="AE13" s="1">
        <v>8.1999999999999993</v>
      </c>
      <c r="AF13" s="1">
        <v>16.600000000000001</v>
      </c>
      <c r="AG13" s="1">
        <v>5.2</v>
      </c>
      <c r="AH13" s="1">
        <v>7</v>
      </c>
      <c r="AI13" s="1">
        <v>12.6</v>
      </c>
      <c r="AJ13" s="1">
        <v>4.2</v>
      </c>
      <c r="AK13" s="1"/>
      <c r="AL13" s="1">
        <f t="shared" si="8"/>
        <v>0</v>
      </c>
      <c r="AM13" s="1">
        <f t="shared" si="9"/>
        <v>0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x14ac:dyDescent="0.25">
      <c r="A14" s="1" t="s">
        <v>48</v>
      </c>
      <c r="B14" s="1" t="s">
        <v>36</v>
      </c>
      <c r="C14" s="1">
        <v>491</v>
      </c>
      <c r="D14" s="1">
        <v>12</v>
      </c>
      <c r="E14" s="1">
        <v>203</v>
      </c>
      <c r="F14" s="1">
        <v>223</v>
      </c>
      <c r="G14" s="7">
        <v>0.372</v>
      </c>
      <c r="H14" s="1">
        <v>180</v>
      </c>
      <c r="I14" s="1"/>
      <c r="J14" s="1"/>
      <c r="K14" s="1">
        <v>203</v>
      </c>
      <c r="L14" s="1">
        <f t="shared" si="2"/>
        <v>0</v>
      </c>
      <c r="M14" s="1"/>
      <c r="N14" s="1"/>
      <c r="O14" s="1"/>
      <c r="P14" s="1"/>
      <c r="Q14" s="1">
        <f t="shared" si="3"/>
        <v>40.6</v>
      </c>
      <c r="R14" s="5">
        <f t="shared" si="4"/>
        <v>467.20000000000005</v>
      </c>
      <c r="S14" s="5"/>
      <c r="T14" s="5">
        <f t="shared" si="5"/>
        <v>467.20000000000005</v>
      </c>
      <c r="U14" s="5">
        <f>VLOOKUP(A14,заказ!A:B,2,0)</f>
        <v>468</v>
      </c>
      <c r="V14" s="5"/>
      <c r="W14" s="12"/>
      <c r="X14" s="12"/>
      <c r="Y14" s="1">
        <f t="shared" si="6"/>
        <v>17</v>
      </c>
      <c r="Z14" s="1">
        <f t="shared" si="7"/>
        <v>5.4926108374384235</v>
      </c>
      <c r="AA14" s="1">
        <v>24.8</v>
      </c>
      <c r="AB14" s="1">
        <v>34.4</v>
      </c>
      <c r="AC14" s="1">
        <v>39.200000000000003</v>
      </c>
      <c r="AD14" s="1">
        <v>9.4</v>
      </c>
      <c r="AE14" s="1">
        <v>41.6</v>
      </c>
      <c r="AF14" s="1">
        <v>55.2</v>
      </c>
      <c r="AG14" s="1">
        <v>32.6</v>
      </c>
      <c r="AH14" s="1">
        <v>31.8</v>
      </c>
      <c r="AI14" s="1">
        <v>48.2</v>
      </c>
      <c r="AJ14" s="1">
        <v>30.2</v>
      </c>
      <c r="AK14" s="1"/>
      <c r="AL14" s="1">
        <f t="shared" si="8"/>
        <v>173.79840000000002</v>
      </c>
      <c r="AM14" s="1">
        <f t="shared" si="9"/>
        <v>0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x14ac:dyDescent="0.25">
      <c r="A15" s="1" t="s">
        <v>49</v>
      </c>
      <c r="B15" s="1" t="s">
        <v>36</v>
      </c>
      <c r="C15" s="1">
        <v>158</v>
      </c>
      <c r="D15" s="1">
        <v>228</v>
      </c>
      <c r="E15" s="1">
        <v>156</v>
      </c>
      <c r="F15" s="1">
        <v>228</v>
      </c>
      <c r="G15" s="7">
        <v>0.74399999999999999</v>
      </c>
      <c r="H15" s="1">
        <v>180</v>
      </c>
      <c r="I15" s="1"/>
      <c r="J15" s="1"/>
      <c r="K15" s="1">
        <v>161</v>
      </c>
      <c r="L15" s="1">
        <f t="shared" si="2"/>
        <v>-5</v>
      </c>
      <c r="M15" s="1"/>
      <c r="N15" s="1"/>
      <c r="O15" s="1"/>
      <c r="P15" s="1">
        <v>384</v>
      </c>
      <c r="Q15" s="1">
        <f t="shared" si="3"/>
        <v>31.2</v>
      </c>
      <c r="R15" s="5"/>
      <c r="S15" s="5"/>
      <c r="T15" s="5">
        <f t="shared" si="5"/>
        <v>0</v>
      </c>
      <c r="U15" s="5"/>
      <c r="V15" s="5"/>
      <c r="W15" s="12"/>
      <c r="X15" s="12"/>
      <c r="Y15" s="1">
        <f t="shared" si="6"/>
        <v>19.615384615384617</v>
      </c>
      <c r="Z15" s="1">
        <f t="shared" si="7"/>
        <v>19.615384615384617</v>
      </c>
      <c r="AA15" s="1">
        <v>43.8</v>
      </c>
      <c r="AB15" s="1">
        <v>32.4</v>
      </c>
      <c r="AC15" s="1">
        <v>10.199999999999999</v>
      </c>
      <c r="AD15" s="1">
        <v>38.200000000000003</v>
      </c>
      <c r="AE15" s="1">
        <v>27</v>
      </c>
      <c r="AF15" s="1">
        <v>21.6</v>
      </c>
      <c r="AG15" s="1">
        <v>31.8</v>
      </c>
      <c r="AH15" s="1">
        <v>35.200000000000003</v>
      </c>
      <c r="AI15" s="1">
        <v>35.200000000000003</v>
      </c>
      <c r="AJ15" s="1">
        <v>38.799999999999997</v>
      </c>
      <c r="AK15" s="1"/>
      <c r="AL15" s="1">
        <f t="shared" si="8"/>
        <v>0</v>
      </c>
      <c r="AM15" s="1">
        <f t="shared" si="9"/>
        <v>0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x14ac:dyDescent="0.25">
      <c r="A16" s="1" t="s">
        <v>50</v>
      </c>
      <c r="B16" s="1" t="s">
        <v>36</v>
      </c>
      <c r="C16" s="1">
        <v>165</v>
      </c>
      <c r="D16" s="1"/>
      <c r="E16" s="1">
        <v>48</v>
      </c>
      <c r="F16" s="1">
        <v>111</v>
      </c>
      <c r="G16" s="7">
        <v>0.18</v>
      </c>
      <c r="H16" s="1">
        <v>270</v>
      </c>
      <c r="I16" s="1"/>
      <c r="J16" s="1"/>
      <c r="K16" s="1">
        <v>56</v>
      </c>
      <c r="L16" s="1">
        <f t="shared" si="2"/>
        <v>-8</v>
      </c>
      <c r="M16" s="1"/>
      <c r="N16" s="1"/>
      <c r="O16" s="1"/>
      <c r="P16" s="1"/>
      <c r="Q16" s="1">
        <f t="shared" si="3"/>
        <v>9.6</v>
      </c>
      <c r="R16" s="5">
        <f t="shared" si="4"/>
        <v>52.199999999999989</v>
      </c>
      <c r="S16" s="5"/>
      <c r="T16" s="5">
        <f t="shared" si="5"/>
        <v>52.199999999999989</v>
      </c>
      <c r="U16" s="5">
        <f>VLOOKUP(A16,заказ!A:B,2,0)</f>
        <v>48</v>
      </c>
      <c r="V16" s="5"/>
      <c r="W16" s="12"/>
      <c r="X16" s="12"/>
      <c r="Y16" s="1">
        <f t="shared" si="6"/>
        <v>17</v>
      </c>
      <c r="Z16" s="1">
        <f t="shared" si="7"/>
        <v>11.5625</v>
      </c>
      <c r="AA16" s="1">
        <v>4.4000000000000004</v>
      </c>
      <c r="AB16" s="1">
        <v>9.6</v>
      </c>
      <c r="AC16" s="1">
        <v>11.2</v>
      </c>
      <c r="AD16" s="1">
        <v>5</v>
      </c>
      <c r="AE16" s="1">
        <v>3.4</v>
      </c>
      <c r="AF16" s="1">
        <v>12.4</v>
      </c>
      <c r="AG16" s="1">
        <v>4.5999999999999996</v>
      </c>
      <c r="AH16" s="1">
        <v>9.6</v>
      </c>
      <c r="AI16" s="1">
        <v>5.6</v>
      </c>
      <c r="AJ16" s="1">
        <v>2.8</v>
      </c>
      <c r="AK16" s="1"/>
      <c r="AL16" s="1">
        <f t="shared" si="8"/>
        <v>9.3959999999999972</v>
      </c>
      <c r="AM16" s="1">
        <f t="shared" si="9"/>
        <v>0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54" x14ac:dyDescent="0.25">
      <c r="A17" s="1" t="s">
        <v>51</v>
      </c>
      <c r="B17" s="1" t="s">
        <v>36</v>
      </c>
      <c r="C17" s="1">
        <v>84</v>
      </c>
      <c r="D17" s="1">
        <v>102</v>
      </c>
      <c r="E17" s="1">
        <v>60</v>
      </c>
      <c r="F17" s="1">
        <v>112</v>
      </c>
      <c r="G17" s="7">
        <v>0.18</v>
      </c>
      <c r="H17" s="1">
        <v>180</v>
      </c>
      <c r="I17" s="1"/>
      <c r="J17" s="1"/>
      <c r="K17" s="1">
        <v>62</v>
      </c>
      <c r="L17" s="1">
        <f t="shared" si="2"/>
        <v>-2</v>
      </c>
      <c r="M17" s="1"/>
      <c r="N17" s="1"/>
      <c r="O17" s="1"/>
      <c r="P17" s="1">
        <v>410</v>
      </c>
      <c r="Q17" s="1">
        <f t="shared" si="3"/>
        <v>12</v>
      </c>
      <c r="R17" s="5"/>
      <c r="S17" s="5"/>
      <c r="T17" s="5">
        <f t="shared" si="5"/>
        <v>0</v>
      </c>
      <c r="U17" s="5"/>
      <c r="V17" s="5"/>
      <c r="W17" s="12"/>
      <c r="X17" s="12"/>
      <c r="Y17" s="1">
        <f t="shared" si="6"/>
        <v>43.5</v>
      </c>
      <c r="Z17" s="1">
        <f t="shared" si="7"/>
        <v>43.5</v>
      </c>
      <c r="AA17" s="1">
        <v>34.799999999999997</v>
      </c>
      <c r="AB17" s="1">
        <v>18.600000000000001</v>
      </c>
      <c r="AC17" s="1">
        <v>19.2</v>
      </c>
      <c r="AD17" s="1">
        <v>10.4</v>
      </c>
      <c r="AE17" s="1">
        <v>27.6</v>
      </c>
      <c r="AF17" s="1">
        <v>4</v>
      </c>
      <c r="AG17" s="1">
        <v>6.6</v>
      </c>
      <c r="AH17" s="1">
        <v>28.6</v>
      </c>
      <c r="AI17" s="1">
        <v>10.199999999999999</v>
      </c>
      <c r="AJ17" s="1">
        <v>10.199999999999999</v>
      </c>
      <c r="AK17" s="11" t="s">
        <v>39</v>
      </c>
      <c r="AL17" s="1">
        <f t="shared" si="8"/>
        <v>0</v>
      </c>
      <c r="AM17" s="1">
        <f t="shared" si="9"/>
        <v>0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</row>
    <row r="18" spans="1:54" x14ac:dyDescent="0.25">
      <c r="A18" s="1" t="s">
        <v>52</v>
      </c>
      <c r="B18" s="1" t="s">
        <v>36</v>
      </c>
      <c r="C18" s="1">
        <v>30</v>
      </c>
      <c r="D18" s="1">
        <v>212</v>
      </c>
      <c r="E18" s="1">
        <v>24</v>
      </c>
      <c r="F18" s="1">
        <v>214</v>
      </c>
      <c r="G18" s="7">
        <v>0.18</v>
      </c>
      <c r="H18" s="1">
        <v>180</v>
      </c>
      <c r="I18" s="1"/>
      <c r="J18" s="1"/>
      <c r="K18" s="1">
        <v>64</v>
      </c>
      <c r="L18" s="1">
        <f t="shared" si="2"/>
        <v>-40</v>
      </c>
      <c r="M18" s="1"/>
      <c r="N18" s="1"/>
      <c r="O18" s="1"/>
      <c r="P18" s="1"/>
      <c r="Q18" s="1">
        <v>15</v>
      </c>
      <c r="R18" s="5">
        <v>40</v>
      </c>
      <c r="S18" s="5">
        <v>70</v>
      </c>
      <c r="T18" s="5">
        <f t="shared" si="5"/>
        <v>40</v>
      </c>
      <c r="U18" s="5">
        <f>VLOOKUP(A18,заказ!A:B,2,0)</f>
        <v>40</v>
      </c>
      <c r="V18" s="5">
        <v>100</v>
      </c>
      <c r="W18" s="12"/>
      <c r="X18" s="12"/>
      <c r="Y18" s="1">
        <f t="shared" si="6"/>
        <v>23.6</v>
      </c>
      <c r="Z18" s="1">
        <f t="shared" si="7"/>
        <v>14.266666666666667</v>
      </c>
      <c r="AA18" s="1">
        <v>12.4</v>
      </c>
      <c r="AB18" s="1">
        <v>21.2</v>
      </c>
      <c r="AC18" s="1">
        <v>9.8000000000000007</v>
      </c>
      <c r="AD18" s="1">
        <v>0.2</v>
      </c>
      <c r="AE18" s="1">
        <v>15</v>
      </c>
      <c r="AF18" s="1">
        <v>4.8</v>
      </c>
      <c r="AG18" s="1">
        <v>6.8</v>
      </c>
      <c r="AH18" s="1">
        <v>9.8000000000000007</v>
      </c>
      <c r="AI18" s="1">
        <v>5.6</v>
      </c>
      <c r="AJ18" s="1">
        <v>-5.4</v>
      </c>
      <c r="AK18" s="11" t="s">
        <v>77</v>
      </c>
      <c r="AL18" s="1">
        <f t="shared" si="8"/>
        <v>7.1999999999999993</v>
      </c>
      <c r="AM18" s="1">
        <f t="shared" si="9"/>
        <v>18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</row>
    <row r="19" spans="1:54" x14ac:dyDescent="0.25">
      <c r="A19" s="1" t="s">
        <v>53</v>
      </c>
      <c r="B19" s="1" t="s">
        <v>36</v>
      </c>
      <c r="C19" s="1">
        <v>12</v>
      </c>
      <c r="D19" s="1"/>
      <c r="E19" s="1">
        <v>2</v>
      </c>
      <c r="F19" s="1">
        <v>10</v>
      </c>
      <c r="G19" s="7">
        <v>0.4</v>
      </c>
      <c r="H19" s="1">
        <v>270</v>
      </c>
      <c r="I19" s="1"/>
      <c r="J19" s="1"/>
      <c r="K19" s="1">
        <v>2</v>
      </c>
      <c r="L19" s="1">
        <f t="shared" si="2"/>
        <v>0</v>
      </c>
      <c r="M19" s="1"/>
      <c r="N19" s="1"/>
      <c r="O19" s="1"/>
      <c r="P19" s="1"/>
      <c r="Q19" s="1">
        <f t="shared" si="3"/>
        <v>0.4</v>
      </c>
      <c r="R19" s="5"/>
      <c r="S19" s="5"/>
      <c r="T19" s="5">
        <f t="shared" si="5"/>
        <v>0</v>
      </c>
      <c r="U19" s="5"/>
      <c r="V19" s="5"/>
      <c r="W19" s="12"/>
      <c r="X19" s="12"/>
      <c r="Y19" s="1">
        <f t="shared" si="6"/>
        <v>25</v>
      </c>
      <c r="Z19" s="1">
        <f t="shared" si="7"/>
        <v>25</v>
      </c>
      <c r="AA19" s="1">
        <v>0.4</v>
      </c>
      <c r="AB19" s="1">
        <v>0</v>
      </c>
      <c r="AC19" s="1">
        <v>0</v>
      </c>
      <c r="AD19" s="1">
        <v>0.8</v>
      </c>
      <c r="AE19" s="1">
        <v>0</v>
      </c>
      <c r="AF19" s="1">
        <v>0</v>
      </c>
      <c r="AG19" s="1">
        <v>1</v>
      </c>
      <c r="AH19" s="1">
        <v>0</v>
      </c>
      <c r="AI19" s="1">
        <v>0</v>
      </c>
      <c r="AJ19" s="1">
        <v>0</v>
      </c>
      <c r="AK19" s="10" t="s">
        <v>37</v>
      </c>
      <c r="AL19" s="1">
        <f t="shared" si="8"/>
        <v>0</v>
      </c>
      <c r="AM19" s="1">
        <f t="shared" si="9"/>
        <v>0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</row>
    <row r="20" spans="1:54" x14ac:dyDescent="0.25">
      <c r="A20" s="1" t="s">
        <v>54</v>
      </c>
      <c r="B20" s="1" t="s">
        <v>36</v>
      </c>
      <c r="C20" s="1">
        <v>37</v>
      </c>
      <c r="D20" s="1"/>
      <c r="E20" s="1">
        <v>5</v>
      </c>
      <c r="F20" s="1">
        <v>32</v>
      </c>
      <c r="G20" s="7">
        <v>0.4</v>
      </c>
      <c r="H20" s="1">
        <v>270</v>
      </c>
      <c r="I20" s="1"/>
      <c r="J20" s="1"/>
      <c r="K20" s="1">
        <v>5</v>
      </c>
      <c r="L20" s="1">
        <f t="shared" si="2"/>
        <v>0</v>
      </c>
      <c r="M20" s="1"/>
      <c r="N20" s="1"/>
      <c r="O20" s="1"/>
      <c r="P20" s="1"/>
      <c r="Q20" s="1">
        <f t="shared" si="3"/>
        <v>1</v>
      </c>
      <c r="R20" s="5"/>
      <c r="S20" s="5"/>
      <c r="T20" s="5">
        <f t="shared" si="5"/>
        <v>0</v>
      </c>
      <c r="U20" s="5"/>
      <c r="V20" s="5"/>
      <c r="W20" s="12"/>
      <c r="X20" s="12"/>
      <c r="Y20" s="1">
        <f t="shared" si="6"/>
        <v>32</v>
      </c>
      <c r="Z20" s="1">
        <f t="shared" si="7"/>
        <v>32</v>
      </c>
      <c r="AA20" s="1">
        <v>0.6</v>
      </c>
      <c r="AB20" s="1">
        <v>1.4</v>
      </c>
      <c r="AC20" s="1">
        <v>1.6</v>
      </c>
      <c r="AD20" s="1">
        <v>0.6</v>
      </c>
      <c r="AE20" s="1">
        <v>0.6</v>
      </c>
      <c r="AF20" s="1">
        <v>0.8</v>
      </c>
      <c r="AG20" s="1">
        <v>1</v>
      </c>
      <c r="AH20" s="1">
        <v>0.8</v>
      </c>
      <c r="AI20" s="1">
        <v>0.4</v>
      </c>
      <c r="AJ20" s="1">
        <v>3.8</v>
      </c>
      <c r="AK20" s="10" t="s">
        <v>37</v>
      </c>
      <c r="AL20" s="1">
        <f t="shared" si="8"/>
        <v>0</v>
      </c>
      <c r="AM20" s="1">
        <f t="shared" si="9"/>
        <v>0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</row>
    <row r="21" spans="1:54" x14ac:dyDescent="0.25">
      <c r="A21" s="1" t="s">
        <v>55</v>
      </c>
      <c r="B21" s="1" t="s">
        <v>36</v>
      </c>
      <c r="C21" s="1">
        <v>28</v>
      </c>
      <c r="D21" s="1">
        <v>65</v>
      </c>
      <c r="E21" s="1">
        <v>16</v>
      </c>
      <c r="F21" s="1">
        <v>69</v>
      </c>
      <c r="G21" s="7">
        <v>0.18</v>
      </c>
      <c r="H21" s="1">
        <v>150</v>
      </c>
      <c r="I21" s="1"/>
      <c r="J21" s="1"/>
      <c r="K21" s="1">
        <v>17</v>
      </c>
      <c r="L21" s="1">
        <f t="shared" si="2"/>
        <v>-1</v>
      </c>
      <c r="M21" s="1"/>
      <c r="N21" s="1"/>
      <c r="O21" s="1"/>
      <c r="P21" s="1"/>
      <c r="Q21" s="1">
        <f t="shared" si="3"/>
        <v>3.2</v>
      </c>
      <c r="R21" s="5"/>
      <c r="S21" s="5"/>
      <c r="T21" s="5">
        <f t="shared" si="5"/>
        <v>0</v>
      </c>
      <c r="U21" s="5"/>
      <c r="V21" s="5"/>
      <c r="W21" s="12"/>
      <c r="X21" s="12"/>
      <c r="Y21" s="1">
        <f t="shared" si="6"/>
        <v>21.5625</v>
      </c>
      <c r="Z21" s="1">
        <f t="shared" si="7"/>
        <v>21.5625</v>
      </c>
      <c r="AA21" s="1">
        <v>0.4</v>
      </c>
      <c r="AB21" s="1">
        <v>3</v>
      </c>
      <c r="AC21" s="1">
        <v>0.8</v>
      </c>
      <c r="AD21" s="1">
        <v>3.2</v>
      </c>
      <c r="AE21" s="1">
        <v>4.5999999999999996</v>
      </c>
      <c r="AF21" s="1">
        <v>0</v>
      </c>
      <c r="AG21" s="1">
        <v>0</v>
      </c>
      <c r="AH21" s="1">
        <v>2.6</v>
      </c>
      <c r="AI21" s="1">
        <v>0.8</v>
      </c>
      <c r="AJ21" s="1">
        <v>4.2</v>
      </c>
      <c r="AK21" s="1"/>
      <c r="AL21" s="1">
        <f t="shared" si="8"/>
        <v>0</v>
      </c>
      <c r="AM21" s="1">
        <f t="shared" si="9"/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</row>
    <row r="22" spans="1:54" x14ac:dyDescent="0.25">
      <c r="A22" s="1" t="s">
        <v>56</v>
      </c>
      <c r="B22" s="1" t="s">
        <v>36</v>
      </c>
      <c r="C22" s="1">
        <v>123</v>
      </c>
      <c r="D22" s="1"/>
      <c r="E22" s="1">
        <v>20</v>
      </c>
      <c r="F22" s="1">
        <v>103</v>
      </c>
      <c r="G22" s="7">
        <v>0.1</v>
      </c>
      <c r="H22" s="1">
        <v>90</v>
      </c>
      <c r="I22" s="1"/>
      <c r="J22" s="1"/>
      <c r="K22" s="1">
        <v>20</v>
      </c>
      <c r="L22" s="1">
        <f t="shared" si="2"/>
        <v>0</v>
      </c>
      <c r="M22" s="1"/>
      <c r="N22" s="1"/>
      <c r="O22" s="1"/>
      <c r="P22" s="1"/>
      <c r="Q22" s="1">
        <f t="shared" si="3"/>
        <v>4</v>
      </c>
      <c r="R22" s="5"/>
      <c r="S22" s="5"/>
      <c r="T22" s="5">
        <f t="shared" si="5"/>
        <v>0</v>
      </c>
      <c r="U22" s="5"/>
      <c r="V22" s="5"/>
      <c r="W22" s="12"/>
      <c r="X22" s="12"/>
      <c r="Y22" s="1">
        <f t="shared" si="6"/>
        <v>25.75</v>
      </c>
      <c r="Z22" s="1">
        <f t="shared" si="7"/>
        <v>25.75</v>
      </c>
      <c r="AA22" s="1">
        <v>3</v>
      </c>
      <c r="AB22" s="1">
        <v>4.5999999999999996</v>
      </c>
      <c r="AC22" s="1">
        <v>9.1999999999999993</v>
      </c>
      <c r="AD22" s="1">
        <v>1.6</v>
      </c>
      <c r="AE22" s="1">
        <v>8.6</v>
      </c>
      <c r="AF22" s="1">
        <v>7.8</v>
      </c>
      <c r="AG22" s="1">
        <v>8</v>
      </c>
      <c r="AH22" s="1">
        <v>7.2</v>
      </c>
      <c r="AI22" s="1">
        <v>6.6</v>
      </c>
      <c r="AJ22" s="1">
        <v>9.4</v>
      </c>
      <c r="AK22" s="10" t="s">
        <v>37</v>
      </c>
      <c r="AL22" s="1">
        <f t="shared" si="8"/>
        <v>0</v>
      </c>
      <c r="AM22" s="1">
        <f t="shared" si="9"/>
        <v>0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</row>
    <row r="23" spans="1:54" x14ac:dyDescent="0.25">
      <c r="A23" s="1" t="s">
        <v>57</v>
      </c>
      <c r="B23" s="1" t="s">
        <v>36</v>
      </c>
      <c r="C23" s="1">
        <v>250</v>
      </c>
      <c r="D23" s="1">
        <v>1</v>
      </c>
      <c r="E23" s="1">
        <v>137</v>
      </c>
      <c r="F23" s="1">
        <v>99</v>
      </c>
      <c r="G23" s="7">
        <v>0.18</v>
      </c>
      <c r="H23" s="1">
        <v>150</v>
      </c>
      <c r="I23" s="1"/>
      <c r="J23" s="1"/>
      <c r="K23" s="1">
        <v>140</v>
      </c>
      <c r="L23" s="1">
        <f t="shared" si="2"/>
        <v>-3</v>
      </c>
      <c r="M23" s="1"/>
      <c r="N23" s="1"/>
      <c r="O23" s="1"/>
      <c r="P23" s="1">
        <v>160</v>
      </c>
      <c r="Q23" s="1">
        <f t="shared" si="3"/>
        <v>27.4</v>
      </c>
      <c r="R23" s="5">
        <f t="shared" si="4"/>
        <v>206.79999999999995</v>
      </c>
      <c r="S23" s="5"/>
      <c r="T23" s="5">
        <f t="shared" si="5"/>
        <v>206.79999999999995</v>
      </c>
      <c r="U23" s="5">
        <f>VLOOKUP(A23,заказ!A:B,2,0)</f>
        <v>210</v>
      </c>
      <c r="V23" s="5"/>
      <c r="W23" s="12"/>
      <c r="X23" s="12"/>
      <c r="Y23" s="1">
        <f t="shared" si="6"/>
        <v>17</v>
      </c>
      <c r="Z23" s="1">
        <f t="shared" si="7"/>
        <v>9.452554744525548</v>
      </c>
      <c r="AA23" s="1">
        <v>23.8</v>
      </c>
      <c r="AB23" s="1">
        <v>18.2</v>
      </c>
      <c r="AC23" s="1">
        <v>23.6</v>
      </c>
      <c r="AD23" s="1">
        <v>34</v>
      </c>
      <c r="AE23" s="1">
        <v>27.8</v>
      </c>
      <c r="AF23" s="1">
        <v>25</v>
      </c>
      <c r="AG23" s="1">
        <v>24</v>
      </c>
      <c r="AH23" s="1">
        <v>23.2</v>
      </c>
      <c r="AI23" s="1">
        <v>17.2</v>
      </c>
      <c r="AJ23" s="1">
        <v>21.4</v>
      </c>
      <c r="AK23" s="1" t="s">
        <v>58</v>
      </c>
      <c r="AL23" s="1">
        <f t="shared" si="8"/>
        <v>37.22399999999999</v>
      </c>
      <c r="AM23" s="1">
        <f t="shared" si="9"/>
        <v>0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</row>
    <row r="24" spans="1:54" x14ac:dyDescent="0.25">
      <c r="A24" s="1" t="s">
        <v>59</v>
      </c>
      <c r="B24" s="1" t="s">
        <v>36</v>
      </c>
      <c r="C24" s="1">
        <v>122</v>
      </c>
      <c r="D24" s="1">
        <v>110</v>
      </c>
      <c r="E24" s="1">
        <v>108</v>
      </c>
      <c r="F24" s="1">
        <v>105</v>
      </c>
      <c r="G24" s="7">
        <v>0.18</v>
      </c>
      <c r="H24" s="1">
        <v>150</v>
      </c>
      <c r="I24" s="1"/>
      <c r="J24" s="1"/>
      <c r="K24" s="1">
        <v>109</v>
      </c>
      <c r="L24" s="1">
        <f t="shared" si="2"/>
        <v>-1</v>
      </c>
      <c r="M24" s="1"/>
      <c r="N24" s="1"/>
      <c r="O24" s="1"/>
      <c r="P24" s="1">
        <v>10</v>
      </c>
      <c r="Q24" s="1">
        <f t="shared" si="3"/>
        <v>21.6</v>
      </c>
      <c r="R24" s="5">
        <f t="shared" si="4"/>
        <v>252.20000000000005</v>
      </c>
      <c r="S24" s="5"/>
      <c r="T24" s="5">
        <f t="shared" si="5"/>
        <v>252.20000000000005</v>
      </c>
      <c r="U24" s="5">
        <f>VLOOKUP(A24,заказ!A:B,2,0)</f>
        <v>250</v>
      </c>
      <c r="V24" s="5"/>
      <c r="W24" s="12"/>
      <c r="X24" s="12"/>
      <c r="Y24" s="1">
        <f t="shared" si="6"/>
        <v>17</v>
      </c>
      <c r="Z24" s="1">
        <f t="shared" si="7"/>
        <v>5.3240740740740735</v>
      </c>
      <c r="AA24" s="1">
        <v>14.2</v>
      </c>
      <c r="AB24" s="1">
        <v>16.600000000000001</v>
      </c>
      <c r="AC24" s="1">
        <v>14.2</v>
      </c>
      <c r="AD24" s="1">
        <v>11.2</v>
      </c>
      <c r="AE24" s="1">
        <v>14.8</v>
      </c>
      <c r="AF24" s="1">
        <v>21.2</v>
      </c>
      <c r="AG24" s="1">
        <v>14.6</v>
      </c>
      <c r="AH24" s="1">
        <v>10.8</v>
      </c>
      <c r="AI24" s="1">
        <v>16.399999999999999</v>
      </c>
      <c r="AJ24" s="1">
        <v>20.2</v>
      </c>
      <c r="AK24" s="1"/>
      <c r="AL24" s="1">
        <f t="shared" si="8"/>
        <v>45.396000000000008</v>
      </c>
      <c r="AM24" s="1">
        <f t="shared" si="9"/>
        <v>0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</row>
    <row r="25" spans="1:54" x14ac:dyDescent="0.25">
      <c r="A25" s="1" t="s">
        <v>60</v>
      </c>
      <c r="B25" s="1" t="s">
        <v>36</v>
      </c>
      <c r="C25" s="1">
        <v>102</v>
      </c>
      <c r="D25" s="1">
        <v>110</v>
      </c>
      <c r="E25" s="1">
        <v>71</v>
      </c>
      <c r="F25" s="1">
        <v>131</v>
      </c>
      <c r="G25" s="7">
        <v>0.18</v>
      </c>
      <c r="H25" s="1">
        <v>150</v>
      </c>
      <c r="I25" s="1"/>
      <c r="J25" s="1"/>
      <c r="K25" s="1">
        <v>71</v>
      </c>
      <c r="L25" s="1">
        <f t="shared" si="2"/>
        <v>0</v>
      </c>
      <c r="M25" s="1"/>
      <c r="N25" s="1"/>
      <c r="O25" s="1"/>
      <c r="P25" s="1"/>
      <c r="Q25" s="1">
        <f t="shared" si="3"/>
        <v>14.2</v>
      </c>
      <c r="R25" s="5">
        <f t="shared" si="4"/>
        <v>110.39999999999998</v>
      </c>
      <c r="S25" s="5"/>
      <c r="T25" s="5">
        <f t="shared" si="5"/>
        <v>110.39999999999998</v>
      </c>
      <c r="U25" s="5">
        <f>VLOOKUP(A25,заказ!A:B,2,0)</f>
        <v>110</v>
      </c>
      <c r="V25" s="5"/>
      <c r="W25" s="12"/>
      <c r="X25" s="12"/>
      <c r="Y25" s="1">
        <f t="shared" si="6"/>
        <v>17</v>
      </c>
      <c r="Z25" s="1">
        <f t="shared" si="7"/>
        <v>9.225352112676056</v>
      </c>
      <c r="AA25" s="1">
        <v>7.4</v>
      </c>
      <c r="AB25" s="1">
        <v>13.4</v>
      </c>
      <c r="AC25" s="1">
        <v>9.8000000000000007</v>
      </c>
      <c r="AD25" s="1">
        <v>5</v>
      </c>
      <c r="AE25" s="1">
        <v>2</v>
      </c>
      <c r="AF25" s="1">
        <v>17.600000000000001</v>
      </c>
      <c r="AG25" s="1">
        <v>8.4</v>
      </c>
      <c r="AH25" s="1">
        <v>4.5999999999999996</v>
      </c>
      <c r="AI25" s="1">
        <v>10.199999999999999</v>
      </c>
      <c r="AJ25" s="1">
        <v>7.2</v>
      </c>
      <c r="AK25" s="1"/>
      <c r="AL25" s="1">
        <f t="shared" si="8"/>
        <v>19.871999999999996</v>
      </c>
      <c r="AM25" s="1">
        <f t="shared" si="9"/>
        <v>0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</row>
    <row r="26" spans="1:54" x14ac:dyDescent="0.25">
      <c r="A26" s="1" t="s">
        <v>61</v>
      </c>
      <c r="B26" s="1" t="s">
        <v>36</v>
      </c>
      <c r="C26" s="1">
        <v>3</v>
      </c>
      <c r="D26" s="1">
        <v>70</v>
      </c>
      <c r="E26" s="1">
        <v>4</v>
      </c>
      <c r="F26" s="1">
        <v>65</v>
      </c>
      <c r="G26" s="7">
        <v>0.18</v>
      </c>
      <c r="H26" s="1">
        <v>150</v>
      </c>
      <c r="I26" s="1"/>
      <c r="J26" s="1"/>
      <c r="K26" s="1">
        <v>26</v>
      </c>
      <c r="L26" s="1">
        <f t="shared" si="2"/>
        <v>-22</v>
      </c>
      <c r="M26" s="1"/>
      <c r="N26" s="1"/>
      <c r="O26" s="1"/>
      <c r="P26" s="1">
        <v>50</v>
      </c>
      <c r="Q26" s="1">
        <f t="shared" si="3"/>
        <v>0.8</v>
      </c>
      <c r="R26" s="5"/>
      <c r="S26" s="5"/>
      <c r="T26" s="5">
        <f t="shared" si="5"/>
        <v>0</v>
      </c>
      <c r="U26" s="5"/>
      <c r="V26" s="5"/>
      <c r="W26" s="12"/>
      <c r="X26" s="12"/>
      <c r="Y26" s="1">
        <f t="shared" si="6"/>
        <v>143.75</v>
      </c>
      <c r="Z26" s="1">
        <f t="shared" si="7"/>
        <v>143.75</v>
      </c>
      <c r="AA26" s="1">
        <v>7.2</v>
      </c>
      <c r="AB26" s="1">
        <v>6.6</v>
      </c>
      <c r="AC26" s="1">
        <v>3.2</v>
      </c>
      <c r="AD26" s="1">
        <v>6.2</v>
      </c>
      <c r="AE26" s="1">
        <v>5</v>
      </c>
      <c r="AF26" s="1">
        <v>4</v>
      </c>
      <c r="AG26" s="1">
        <v>9</v>
      </c>
      <c r="AH26" s="1">
        <v>7.8</v>
      </c>
      <c r="AI26" s="1">
        <v>6.4</v>
      </c>
      <c r="AJ26" s="1">
        <v>7</v>
      </c>
      <c r="AK26" s="1"/>
      <c r="AL26" s="1">
        <f t="shared" si="8"/>
        <v>0</v>
      </c>
      <c r="AM26" s="1">
        <f t="shared" si="9"/>
        <v>0</v>
      </c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</row>
    <row r="27" spans="1:54" x14ac:dyDescent="0.25">
      <c r="A27" s="1" t="s">
        <v>62</v>
      </c>
      <c r="B27" s="1" t="s">
        <v>36</v>
      </c>
      <c r="C27" s="1">
        <v>107</v>
      </c>
      <c r="D27" s="1">
        <v>170</v>
      </c>
      <c r="E27" s="1">
        <v>97</v>
      </c>
      <c r="F27" s="1">
        <v>169</v>
      </c>
      <c r="G27" s="7">
        <v>0.18</v>
      </c>
      <c r="H27" s="1">
        <v>150</v>
      </c>
      <c r="I27" s="1"/>
      <c r="J27" s="1"/>
      <c r="K27" s="1">
        <v>134</v>
      </c>
      <c r="L27" s="1">
        <f t="shared" si="2"/>
        <v>-37</v>
      </c>
      <c r="M27" s="1"/>
      <c r="N27" s="1"/>
      <c r="O27" s="1"/>
      <c r="P27" s="1">
        <v>120</v>
      </c>
      <c r="Q27" s="1">
        <f t="shared" si="3"/>
        <v>19.399999999999999</v>
      </c>
      <c r="R27" s="5">
        <f t="shared" si="4"/>
        <v>40.799999999999955</v>
      </c>
      <c r="S27" s="5"/>
      <c r="T27" s="5">
        <f t="shared" si="5"/>
        <v>40.799999999999955</v>
      </c>
      <c r="U27" s="5">
        <f>VLOOKUP(A27,заказ!A:B,2,0)</f>
        <v>40</v>
      </c>
      <c r="V27" s="5"/>
      <c r="W27" s="12"/>
      <c r="X27" s="12"/>
      <c r="Y27" s="1">
        <f t="shared" si="6"/>
        <v>17</v>
      </c>
      <c r="Z27" s="1">
        <f t="shared" si="7"/>
        <v>14.896907216494846</v>
      </c>
      <c r="AA27" s="1">
        <v>22.8</v>
      </c>
      <c r="AB27" s="1">
        <v>20.399999999999999</v>
      </c>
      <c r="AC27" s="1">
        <v>13.4</v>
      </c>
      <c r="AD27" s="1">
        <v>13.4</v>
      </c>
      <c r="AE27" s="1">
        <v>27.2</v>
      </c>
      <c r="AF27" s="1">
        <v>22.2</v>
      </c>
      <c r="AG27" s="1">
        <v>20.399999999999999</v>
      </c>
      <c r="AH27" s="1">
        <v>18.2</v>
      </c>
      <c r="AI27" s="1">
        <v>19.8</v>
      </c>
      <c r="AJ27" s="1">
        <v>24.6</v>
      </c>
      <c r="AK27" s="1"/>
      <c r="AL27" s="1">
        <f t="shared" si="8"/>
        <v>7.3439999999999914</v>
      </c>
      <c r="AM27" s="1">
        <f t="shared" si="9"/>
        <v>0</v>
      </c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</row>
    <row r="28" spans="1:54" x14ac:dyDescent="0.25">
      <c r="A28" s="1" t="s">
        <v>63</v>
      </c>
      <c r="B28" s="1" t="s">
        <v>36</v>
      </c>
      <c r="C28" s="1">
        <v>57</v>
      </c>
      <c r="D28" s="1">
        <v>20</v>
      </c>
      <c r="E28" s="1">
        <v>49</v>
      </c>
      <c r="F28" s="1">
        <v>19</v>
      </c>
      <c r="G28" s="7">
        <v>0.18</v>
      </c>
      <c r="H28" s="1">
        <v>150</v>
      </c>
      <c r="I28" s="1"/>
      <c r="J28" s="1"/>
      <c r="K28" s="1">
        <v>50</v>
      </c>
      <c r="L28" s="1">
        <f t="shared" si="2"/>
        <v>-1</v>
      </c>
      <c r="M28" s="1"/>
      <c r="N28" s="1"/>
      <c r="O28" s="1"/>
      <c r="P28" s="1">
        <v>40</v>
      </c>
      <c r="Q28" s="1">
        <f t="shared" si="3"/>
        <v>9.8000000000000007</v>
      </c>
      <c r="R28" s="5">
        <f t="shared" si="4"/>
        <v>107.60000000000002</v>
      </c>
      <c r="S28" s="5"/>
      <c r="T28" s="5">
        <f t="shared" si="5"/>
        <v>107.60000000000002</v>
      </c>
      <c r="U28" s="5">
        <f>VLOOKUP(A28,заказ!A:B,2,0)</f>
        <v>110</v>
      </c>
      <c r="V28" s="5"/>
      <c r="W28" s="12"/>
      <c r="X28" s="12"/>
      <c r="Y28" s="1">
        <f t="shared" si="6"/>
        <v>17</v>
      </c>
      <c r="Z28" s="1">
        <f t="shared" si="7"/>
        <v>6.0204081632653059</v>
      </c>
      <c r="AA28" s="1">
        <v>6.4</v>
      </c>
      <c r="AB28" s="1">
        <v>5.6</v>
      </c>
      <c r="AC28" s="1">
        <v>3.8</v>
      </c>
      <c r="AD28" s="1">
        <v>8.6</v>
      </c>
      <c r="AE28" s="1">
        <v>8.6</v>
      </c>
      <c r="AF28" s="1">
        <v>10.8</v>
      </c>
      <c r="AG28" s="1">
        <v>5.2</v>
      </c>
      <c r="AH28" s="1">
        <v>9.4</v>
      </c>
      <c r="AI28" s="1">
        <v>10.199999999999999</v>
      </c>
      <c r="AJ28" s="1">
        <v>8</v>
      </c>
      <c r="AK28" s="1"/>
      <c r="AL28" s="1">
        <f t="shared" si="8"/>
        <v>19.368000000000002</v>
      </c>
      <c r="AM28" s="1">
        <f t="shared" si="9"/>
        <v>0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</row>
    <row r="29" spans="1:54" x14ac:dyDescent="0.25">
      <c r="A29" s="1" t="s">
        <v>64</v>
      </c>
      <c r="B29" s="1" t="s">
        <v>42</v>
      </c>
      <c r="C29" s="1">
        <v>36.363999999999997</v>
      </c>
      <c r="D29" s="1"/>
      <c r="E29" s="1"/>
      <c r="F29" s="1">
        <v>36.363999999999997</v>
      </c>
      <c r="G29" s="7">
        <v>1</v>
      </c>
      <c r="H29" s="1">
        <v>180</v>
      </c>
      <c r="I29" s="1"/>
      <c r="J29" s="1"/>
      <c r="K29" s="1">
        <v>5</v>
      </c>
      <c r="L29" s="1">
        <f t="shared" si="2"/>
        <v>-5</v>
      </c>
      <c r="M29" s="1"/>
      <c r="N29" s="1"/>
      <c r="O29" s="1"/>
      <c r="P29" s="1"/>
      <c r="Q29" s="1">
        <f t="shared" si="3"/>
        <v>0</v>
      </c>
      <c r="R29" s="5"/>
      <c r="S29" s="5"/>
      <c r="T29" s="5">
        <f t="shared" si="5"/>
        <v>0</v>
      </c>
      <c r="U29" s="5"/>
      <c r="V29" s="5"/>
      <c r="W29" s="12"/>
      <c r="X29" s="12"/>
      <c r="Y29" s="1" t="e">
        <f t="shared" si="6"/>
        <v>#DIV/0!</v>
      </c>
      <c r="Z29" s="1" t="e">
        <f t="shared" si="7"/>
        <v>#DIV/0!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0" t="s">
        <v>37</v>
      </c>
      <c r="AL29" s="1">
        <f t="shared" si="8"/>
        <v>0</v>
      </c>
      <c r="AM29" s="1">
        <f t="shared" si="9"/>
        <v>0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</row>
    <row r="30" spans="1:54" x14ac:dyDescent="0.25">
      <c r="A30" s="1" t="s">
        <v>65</v>
      </c>
      <c r="B30" s="1" t="s">
        <v>36</v>
      </c>
      <c r="C30" s="1">
        <v>66</v>
      </c>
      <c r="D30" s="1">
        <v>48</v>
      </c>
      <c r="E30" s="1">
        <v>21</v>
      </c>
      <c r="F30" s="1">
        <v>85</v>
      </c>
      <c r="G30" s="7">
        <v>0.14000000000000001</v>
      </c>
      <c r="H30" s="1">
        <v>180</v>
      </c>
      <c r="I30" s="1"/>
      <c r="J30" s="1"/>
      <c r="K30" s="1">
        <v>22</v>
      </c>
      <c r="L30" s="1">
        <f t="shared" si="2"/>
        <v>-1</v>
      </c>
      <c r="M30" s="1"/>
      <c r="N30" s="1"/>
      <c r="O30" s="1"/>
      <c r="P30" s="1"/>
      <c r="Q30" s="1">
        <f t="shared" si="3"/>
        <v>4.2</v>
      </c>
      <c r="R30" s="5"/>
      <c r="S30" s="5"/>
      <c r="T30" s="5">
        <f t="shared" si="5"/>
        <v>0</v>
      </c>
      <c r="U30" s="5"/>
      <c r="V30" s="5"/>
      <c r="W30" s="12"/>
      <c r="X30" s="12"/>
      <c r="Y30" s="1">
        <f t="shared" si="6"/>
        <v>20.238095238095237</v>
      </c>
      <c r="Z30" s="1">
        <f t="shared" si="7"/>
        <v>20.238095238095237</v>
      </c>
      <c r="AA30" s="1">
        <v>2.8</v>
      </c>
      <c r="AB30" s="1">
        <v>6.6</v>
      </c>
      <c r="AC30" s="1">
        <v>5.2</v>
      </c>
      <c r="AD30" s="1">
        <v>7.8</v>
      </c>
      <c r="AE30" s="1">
        <v>2.8</v>
      </c>
      <c r="AF30" s="1">
        <v>5.6</v>
      </c>
      <c r="AG30" s="1">
        <v>9.8000000000000007</v>
      </c>
      <c r="AH30" s="1">
        <v>7.2</v>
      </c>
      <c r="AI30" s="1">
        <v>4.8</v>
      </c>
      <c r="AJ30" s="1">
        <v>3</v>
      </c>
      <c r="AK30" s="9" t="s">
        <v>39</v>
      </c>
      <c r="AL30" s="1">
        <f t="shared" si="8"/>
        <v>0</v>
      </c>
      <c r="AM30" s="1">
        <f t="shared" si="9"/>
        <v>0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spans="1:54" x14ac:dyDescent="0.25">
      <c r="A31" s="1" t="s">
        <v>66</v>
      </c>
      <c r="B31" s="1" t="s">
        <v>36</v>
      </c>
      <c r="C31" s="1">
        <v>186</v>
      </c>
      <c r="D31" s="1"/>
      <c r="E31" s="1">
        <v>52</v>
      </c>
      <c r="F31" s="1">
        <v>128</v>
      </c>
      <c r="G31" s="7">
        <v>0.18</v>
      </c>
      <c r="H31" s="1">
        <v>270</v>
      </c>
      <c r="I31" s="1"/>
      <c r="J31" s="1"/>
      <c r="K31" s="1">
        <v>60</v>
      </c>
      <c r="L31" s="1">
        <f t="shared" si="2"/>
        <v>-8</v>
      </c>
      <c r="M31" s="1"/>
      <c r="N31" s="1"/>
      <c r="O31" s="1"/>
      <c r="P31" s="1"/>
      <c r="Q31" s="1">
        <f t="shared" si="3"/>
        <v>10.4</v>
      </c>
      <c r="R31" s="5">
        <f>16*Q31-P31-O31-F31</f>
        <v>38.400000000000006</v>
      </c>
      <c r="S31" s="5"/>
      <c r="T31" s="5">
        <f t="shared" si="5"/>
        <v>38.400000000000006</v>
      </c>
      <c r="U31" s="5">
        <f>VLOOKUP(A31,заказ!A:B,2,0)</f>
        <v>32</v>
      </c>
      <c r="V31" s="5"/>
      <c r="W31" s="12"/>
      <c r="X31" s="12"/>
      <c r="Y31" s="1">
        <f t="shared" si="6"/>
        <v>16</v>
      </c>
      <c r="Z31" s="1">
        <f t="shared" si="7"/>
        <v>12.307692307692307</v>
      </c>
      <c r="AA31" s="1">
        <v>4.8</v>
      </c>
      <c r="AB31" s="1">
        <v>9.1999999999999993</v>
      </c>
      <c r="AC31" s="1">
        <v>13</v>
      </c>
      <c r="AD31" s="1">
        <v>8.8000000000000007</v>
      </c>
      <c r="AE31" s="1">
        <v>3.4</v>
      </c>
      <c r="AF31" s="1">
        <v>10</v>
      </c>
      <c r="AG31" s="1">
        <v>3.6</v>
      </c>
      <c r="AH31" s="1">
        <v>11.8</v>
      </c>
      <c r="AI31" s="1">
        <v>3.8</v>
      </c>
      <c r="AJ31" s="1">
        <v>2.4</v>
      </c>
      <c r="AK31" s="1"/>
      <c r="AL31" s="1">
        <f t="shared" si="8"/>
        <v>6.9120000000000008</v>
      </c>
      <c r="AM31" s="1">
        <f t="shared" si="9"/>
        <v>0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</row>
    <row r="32" spans="1:54" x14ac:dyDescent="0.25">
      <c r="A32" s="1" t="s">
        <v>67</v>
      </c>
      <c r="B32" s="1" t="s">
        <v>42</v>
      </c>
      <c r="C32" s="1">
        <v>64.016000000000005</v>
      </c>
      <c r="D32" s="1"/>
      <c r="E32" s="1">
        <v>3.1739999999999999</v>
      </c>
      <c r="F32" s="1">
        <v>60.841999999999999</v>
      </c>
      <c r="G32" s="7">
        <v>1</v>
      </c>
      <c r="H32" s="1">
        <v>180</v>
      </c>
      <c r="I32" s="1"/>
      <c r="J32" s="1"/>
      <c r="K32" s="1">
        <v>2.5</v>
      </c>
      <c r="L32" s="1">
        <f t="shared" si="2"/>
        <v>0.67399999999999993</v>
      </c>
      <c r="M32" s="1"/>
      <c r="N32" s="1"/>
      <c r="O32" s="1"/>
      <c r="P32" s="1"/>
      <c r="Q32" s="1">
        <f t="shared" si="3"/>
        <v>0.63480000000000003</v>
      </c>
      <c r="R32" s="5"/>
      <c r="S32" s="5"/>
      <c r="T32" s="5">
        <f t="shared" si="5"/>
        <v>0</v>
      </c>
      <c r="U32" s="5"/>
      <c r="V32" s="5"/>
      <c r="W32" s="12"/>
      <c r="X32" s="12"/>
      <c r="Y32" s="1">
        <f t="shared" si="6"/>
        <v>95.844360428481409</v>
      </c>
      <c r="Z32" s="1">
        <f t="shared" si="7"/>
        <v>95.844360428481409</v>
      </c>
      <c r="AA32" s="1">
        <v>0</v>
      </c>
      <c r="AB32" s="1">
        <v>0</v>
      </c>
      <c r="AC32" s="1">
        <v>3.3952</v>
      </c>
      <c r="AD32" s="1">
        <v>1.7916000000000001</v>
      </c>
      <c r="AE32" s="1">
        <v>0.64680000000000004</v>
      </c>
      <c r="AF32" s="1">
        <v>0.61040000000000005</v>
      </c>
      <c r="AG32" s="1">
        <v>0</v>
      </c>
      <c r="AH32" s="1">
        <v>0.69920000000000004</v>
      </c>
      <c r="AI32" s="1">
        <v>1.3295999999999999</v>
      </c>
      <c r="AJ32" s="1">
        <v>0</v>
      </c>
      <c r="AK32" s="11" t="s">
        <v>78</v>
      </c>
      <c r="AL32" s="1">
        <f t="shared" si="8"/>
        <v>0</v>
      </c>
      <c r="AM32" s="1">
        <f t="shared" si="9"/>
        <v>0</v>
      </c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</row>
    <row r="33" spans="1:54" x14ac:dyDescent="0.25">
      <c r="A33" s="1" t="s">
        <v>68</v>
      </c>
      <c r="B33" s="1" t="s">
        <v>42</v>
      </c>
      <c r="C33" s="1">
        <v>79.262</v>
      </c>
      <c r="D33" s="1"/>
      <c r="E33" s="1">
        <v>23.187999999999999</v>
      </c>
      <c r="F33" s="1">
        <v>56.073999999999998</v>
      </c>
      <c r="G33" s="7">
        <v>1</v>
      </c>
      <c r="H33" s="1">
        <v>180</v>
      </c>
      <c r="I33" s="1"/>
      <c r="J33" s="1"/>
      <c r="K33" s="1">
        <v>25.6</v>
      </c>
      <c r="L33" s="1">
        <f t="shared" si="2"/>
        <v>-2.4120000000000026</v>
      </c>
      <c r="M33" s="1"/>
      <c r="N33" s="1"/>
      <c r="O33" s="1"/>
      <c r="P33" s="1"/>
      <c r="Q33" s="1">
        <f t="shared" si="3"/>
        <v>4.6375999999999999</v>
      </c>
      <c r="R33" s="5">
        <f t="shared" si="4"/>
        <v>22.765200000000007</v>
      </c>
      <c r="S33" s="5"/>
      <c r="T33" s="5">
        <f t="shared" si="5"/>
        <v>22.765200000000007</v>
      </c>
      <c r="U33" s="5">
        <f>VLOOKUP(A33,заказ!A:B,2,0)</f>
        <v>16</v>
      </c>
      <c r="V33" s="5"/>
      <c r="W33" s="12"/>
      <c r="X33" s="12"/>
      <c r="Y33" s="1">
        <f t="shared" si="6"/>
        <v>17</v>
      </c>
      <c r="Z33" s="1">
        <f t="shared" si="7"/>
        <v>12.091167845437296</v>
      </c>
      <c r="AA33" s="1">
        <v>1.7132000000000001</v>
      </c>
      <c r="AB33" s="1">
        <v>1.3268</v>
      </c>
      <c r="AC33" s="1">
        <v>5.9131999999999998</v>
      </c>
      <c r="AD33" s="1">
        <v>2.468</v>
      </c>
      <c r="AE33" s="1">
        <v>4.2824</v>
      </c>
      <c r="AF33" s="1">
        <v>4.2279999999999998</v>
      </c>
      <c r="AG33" s="1">
        <v>1.8388</v>
      </c>
      <c r="AH33" s="1">
        <v>1.8648</v>
      </c>
      <c r="AI33" s="1">
        <v>2.508</v>
      </c>
      <c r="AJ33" s="1">
        <v>6.5763999999999996</v>
      </c>
      <c r="AK33" s="1"/>
      <c r="AL33" s="1">
        <f t="shared" si="8"/>
        <v>22.765200000000007</v>
      </c>
      <c r="AM33" s="1">
        <f t="shared" si="9"/>
        <v>0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</row>
    <row r="34" spans="1:54" x14ac:dyDescent="0.25">
      <c r="A34" s="1" t="s">
        <v>69</v>
      </c>
      <c r="B34" s="1" t="s">
        <v>36</v>
      </c>
      <c r="C34" s="1">
        <v>34</v>
      </c>
      <c r="D34" s="1">
        <v>12</v>
      </c>
      <c r="E34" s="1">
        <v>30</v>
      </c>
      <c r="F34" s="1">
        <v>12</v>
      </c>
      <c r="G34" s="7">
        <v>0.1</v>
      </c>
      <c r="H34" s="1">
        <v>60</v>
      </c>
      <c r="I34" s="1"/>
      <c r="J34" s="1"/>
      <c r="K34" s="1">
        <v>52</v>
      </c>
      <c r="L34" s="1">
        <f t="shared" si="2"/>
        <v>-22</v>
      </c>
      <c r="M34" s="1"/>
      <c r="N34" s="1"/>
      <c r="O34" s="1"/>
      <c r="P34" s="1">
        <v>12</v>
      </c>
      <c r="Q34" s="1">
        <f t="shared" si="3"/>
        <v>6</v>
      </c>
      <c r="R34" s="5">
        <f t="shared" si="4"/>
        <v>78</v>
      </c>
      <c r="S34" s="5"/>
      <c r="T34" s="5">
        <f t="shared" si="5"/>
        <v>78</v>
      </c>
      <c r="U34" s="5">
        <f>VLOOKUP(A34,заказ!A:B,2,0)</f>
        <v>78</v>
      </c>
      <c r="V34" s="5"/>
      <c r="W34" s="12"/>
      <c r="X34" s="12"/>
      <c r="Y34" s="1">
        <f t="shared" si="6"/>
        <v>17</v>
      </c>
      <c r="Z34" s="1">
        <f t="shared" si="7"/>
        <v>4</v>
      </c>
      <c r="AA34" s="1">
        <v>2.6</v>
      </c>
      <c r="AB34" s="1">
        <v>3.2</v>
      </c>
      <c r="AC34" s="1">
        <v>5</v>
      </c>
      <c r="AD34" s="1">
        <v>4.5999999999999996</v>
      </c>
      <c r="AE34" s="1">
        <v>3.6</v>
      </c>
      <c r="AF34" s="1">
        <v>4.8</v>
      </c>
      <c r="AG34" s="1">
        <v>6.4</v>
      </c>
      <c r="AH34" s="1">
        <v>7.6</v>
      </c>
      <c r="AI34" s="1">
        <v>2.8</v>
      </c>
      <c r="AJ34" s="1">
        <v>7.4</v>
      </c>
      <c r="AK34" s="1" t="s">
        <v>70</v>
      </c>
      <c r="AL34" s="1">
        <f t="shared" si="8"/>
        <v>7.8000000000000007</v>
      </c>
      <c r="AM34" s="1">
        <f t="shared" si="9"/>
        <v>0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</row>
    <row r="35" spans="1:54" x14ac:dyDescent="0.25">
      <c r="A35" s="1" t="s">
        <v>71</v>
      </c>
      <c r="B35" s="1" t="s">
        <v>36</v>
      </c>
      <c r="C35" s="1">
        <v>151</v>
      </c>
      <c r="D35" s="1">
        <v>8</v>
      </c>
      <c r="E35" s="1">
        <v>36</v>
      </c>
      <c r="F35" s="1">
        <v>111</v>
      </c>
      <c r="G35" s="7">
        <v>0.1</v>
      </c>
      <c r="H35" s="1">
        <v>90</v>
      </c>
      <c r="I35" s="1"/>
      <c r="J35" s="1"/>
      <c r="K35" s="1">
        <v>47</v>
      </c>
      <c r="L35" s="1">
        <f t="shared" si="2"/>
        <v>-11</v>
      </c>
      <c r="M35" s="1"/>
      <c r="N35" s="1"/>
      <c r="O35" s="1"/>
      <c r="P35" s="1"/>
      <c r="Q35" s="1">
        <f t="shared" si="3"/>
        <v>7.2</v>
      </c>
      <c r="R35" s="5">
        <f t="shared" si="4"/>
        <v>11.400000000000006</v>
      </c>
      <c r="S35" s="5"/>
      <c r="T35" s="5">
        <f t="shared" si="5"/>
        <v>11.400000000000006</v>
      </c>
      <c r="U35" s="5">
        <f>VLOOKUP(A35,заказ!A:B,2,0)</f>
        <v>12</v>
      </c>
      <c r="V35" s="5"/>
      <c r="W35" s="12"/>
      <c r="X35" s="12"/>
      <c r="Y35" s="1">
        <f t="shared" si="6"/>
        <v>17</v>
      </c>
      <c r="Z35" s="1">
        <f t="shared" si="7"/>
        <v>15.416666666666666</v>
      </c>
      <c r="AA35" s="1">
        <v>8</v>
      </c>
      <c r="AB35" s="1">
        <v>0.6</v>
      </c>
      <c r="AC35" s="1">
        <v>10.6</v>
      </c>
      <c r="AD35" s="1">
        <v>8.1999999999999993</v>
      </c>
      <c r="AE35" s="1">
        <v>4.4000000000000004</v>
      </c>
      <c r="AF35" s="1">
        <v>3</v>
      </c>
      <c r="AG35" s="1">
        <v>4.5999999999999996</v>
      </c>
      <c r="AH35" s="1">
        <v>12.6</v>
      </c>
      <c r="AI35" s="1">
        <v>6.2</v>
      </c>
      <c r="AJ35" s="1">
        <v>6</v>
      </c>
      <c r="AK35" s="1"/>
      <c r="AL35" s="1">
        <f t="shared" si="8"/>
        <v>1.1400000000000006</v>
      </c>
      <c r="AM35" s="1">
        <f t="shared" si="9"/>
        <v>0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</row>
    <row r="36" spans="1:54" x14ac:dyDescent="0.25">
      <c r="A36" s="1" t="s">
        <v>72</v>
      </c>
      <c r="B36" s="1" t="s">
        <v>36</v>
      </c>
      <c r="C36" s="1">
        <v>94</v>
      </c>
      <c r="D36" s="1">
        <v>32</v>
      </c>
      <c r="E36" s="1">
        <v>36</v>
      </c>
      <c r="F36" s="1">
        <v>78</v>
      </c>
      <c r="G36" s="7">
        <v>0.14000000000000001</v>
      </c>
      <c r="H36" s="1">
        <v>180</v>
      </c>
      <c r="I36" s="1"/>
      <c r="J36" s="1"/>
      <c r="K36" s="1">
        <v>37</v>
      </c>
      <c r="L36" s="1">
        <f t="shared" si="2"/>
        <v>-1</v>
      </c>
      <c r="M36" s="1"/>
      <c r="N36" s="1"/>
      <c r="O36" s="1"/>
      <c r="P36" s="1">
        <v>16</v>
      </c>
      <c r="Q36" s="1">
        <f t="shared" si="3"/>
        <v>7.2</v>
      </c>
      <c r="R36" s="5">
        <f t="shared" si="4"/>
        <v>28.400000000000006</v>
      </c>
      <c r="S36" s="5"/>
      <c r="T36" s="5">
        <f t="shared" si="5"/>
        <v>28.400000000000006</v>
      </c>
      <c r="U36" s="5">
        <f>VLOOKUP(A36,заказ!A:B,2,0)</f>
        <v>32</v>
      </c>
      <c r="V36" s="5"/>
      <c r="W36" s="12"/>
      <c r="X36" s="12"/>
      <c r="Y36" s="1">
        <f t="shared" si="6"/>
        <v>17</v>
      </c>
      <c r="Z36" s="1">
        <f t="shared" si="7"/>
        <v>13.055555555555555</v>
      </c>
      <c r="AA36" s="1">
        <v>7.4</v>
      </c>
      <c r="AB36" s="1">
        <v>8.8000000000000007</v>
      </c>
      <c r="AC36" s="1">
        <v>8</v>
      </c>
      <c r="AD36" s="1">
        <v>7.2</v>
      </c>
      <c r="AE36" s="1">
        <v>2.2000000000000002</v>
      </c>
      <c r="AF36" s="1">
        <v>8.1999999999999993</v>
      </c>
      <c r="AG36" s="1">
        <v>9.6</v>
      </c>
      <c r="AH36" s="1">
        <v>4</v>
      </c>
      <c r="AI36" s="1">
        <v>5.8</v>
      </c>
      <c r="AJ36" s="1">
        <v>4.4000000000000004</v>
      </c>
      <c r="AK36" s="1"/>
      <c r="AL36" s="1">
        <f t="shared" si="8"/>
        <v>3.9760000000000013</v>
      </c>
      <c r="AM36" s="1">
        <f t="shared" si="9"/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</row>
    <row r="37" spans="1:54" x14ac:dyDescent="0.25">
      <c r="A37" s="1" t="s">
        <v>73</v>
      </c>
      <c r="B37" s="1" t="s">
        <v>36</v>
      </c>
      <c r="C37" s="1">
        <v>167</v>
      </c>
      <c r="D37" s="1">
        <v>172</v>
      </c>
      <c r="E37" s="1">
        <v>121</v>
      </c>
      <c r="F37" s="1">
        <v>211</v>
      </c>
      <c r="G37" s="7">
        <v>0.2</v>
      </c>
      <c r="H37" s="1">
        <v>120</v>
      </c>
      <c r="I37" s="1"/>
      <c r="J37" s="1"/>
      <c r="K37" s="1">
        <v>115</v>
      </c>
      <c r="L37" s="1">
        <f t="shared" si="2"/>
        <v>6</v>
      </c>
      <c r="M37" s="1"/>
      <c r="N37" s="1"/>
      <c r="O37" s="1"/>
      <c r="P37" s="1">
        <v>30</v>
      </c>
      <c r="Q37" s="1">
        <f t="shared" si="3"/>
        <v>24.2</v>
      </c>
      <c r="R37" s="5">
        <f t="shared" si="4"/>
        <v>170.39999999999998</v>
      </c>
      <c r="S37" s="5"/>
      <c r="T37" s="5">
        <f t="shared" si="5"/>
        <v>170.39999999999998</v>
      </c>
      <c r="U37" s="5">
        <f>VLOOKUP(A37,заказ!A:B,2,0)</f>
        <v>170</v>
      </c>
      <c r="V37" s="5"/>
      <c r="W37" s="12"/>
      <c r="X37" s="12"/>
      <c r="Y37" s="1">
        <f t="shared" si="6"/>
        <v>17</v>
      </c>
      <c r="Z37" s="1">
        <f t="shared" si="7"/>
        <v>9.9586776859504127</v>
      </c>
      <c r="AA37" s="1">
        <v>17.399999999999999</v>
      </c>
      <c r="AB37" s="1">
        <v>19.8</v>
      </c>
      <c r="AC37" s="1">
        <v>17.2</v>
      </c>
      <c r="AD37" s="1">
        <v>21.6</v>
      </c>
      <c r="AE37" s="1">
        <v>33.6</v>
      </c>
      <c r="AF37" s="1">
        <v>27.6</v>
      </c>
      <c r="AG37" s="1">
        <v>28.6</v>
      </c>
      <c r="AH37" s="1">
        <v>19.600000000000001</v>
      </c>
      <c r="AI37" s="1">
        <v>9</v>
      </c>
      <c r="AJ37" s="1">
        <v>28.4</v>
      </c>
      <c r="AK37" s="1"/>
      <c r="AL37" s="1">
        <f t="shared" si="8"/>
        <v>34.08</v>
      </c>
      <c r="AM37" s="1">
        <f t="shared" si="9"/>
        <v>0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</row>
    <row r="38" spans="1:54" x14ac:dyDescent="0.25">
      <c r="A38" s="1" t="s">
        <v>74</v>
      </c>
      <c r="B38" s="1" t="s">
        <v>42</v>
      </c>
      <c r="C38" s="1">
        <v>28.731999999999999</v>
      </c>
      <c r="D38" s="1"/>
      <c r="E38" s="1">
        <v>12.86</v>
      </c>
      <c r="F38" s="1">
        <v>15.872</v>
      </c>
      <c r="G38" s="7">
        <v>1</v>
      </c>
      <c r="H38" s="1">
        <v>120</v>
      </c>
      <c r="I38" s="1"/>
      <c r="J38" s="1"/>
      <c r="K38" s="1">
        <v>13.6</v>
      </c>
      <c r="L38" s="1">
        <f t="shared" si="2"/>
        <v>-0.74000000000000021</v>
      </c>
      <c r="M38" s="1"/>
      <c r="N38" s="1"/>
      <c r="O38" s="1"/>
      <c r="P38" s="1"/>
      <c r="Q38" s="1">
        <f t="shared" si="3"/>
        <v>2.5720000000000001</v>
      </c>
      <c r="R38" s="5">
        <f>16*Q38-P38-O38-F38</f>
        <v>25.28</v>
      </c>
      <c r="S38" s="5"/>
      <c r="T38" s="5">
        <f t="shared" si="5"/>
        <v>25.28</v>
      </c>
      <c r="U38" s="5">
        <f>VLOOKUP(A38,заказ!A:B,2,0)</f>
        <v>30</v>
      </c>
      <c r="V38" s="5"/>
      <c r="W38" s="12"/>
      <c r="X38" s="12"/>
      <c r="Y38" s="1">
        <f t="shared" si="6"/>
        <v>16</v>
      </c>
      <c r="Z38" s="1">
        <f t="shared" si="7"/>
        <v>6.1710730948678068</v>
      </c>
      <c r="AA38" s="1">
        <v>1.2916000000000001</v>
      </c>
      <c r="AB38" s="1">
        <v>0.6492</v>
      </c>
      <c r="AC38" s="1">
        <v>0.61599999999999999</v>
      </c>
      <c r="AD38" s="1">
        <v>1.9108000000000001</v>
      </c>
      <c r="AE38" s="1">
        <v>1.9503999999999999</v>
      </c>
      <c r="AF38" s="1">
        <v>0</v>
      </c>
      <c r="AG38" s="1">
        <v>3.2932000000000001</v>
      </c>
      <c r="AH38" s="1">
        <v>3.2704</v>
      </c>
      <c r="AI38" s="1">
        <v>4.3572000000000006</v>
      </c>
      <c r="AJ38" s="1">
        <v>1.8528</v>
      </c>
      <c r="AK38" s="1"/>
      <c r="AL38" s="1">
        <f t="shared" si="8"/>
        <v>25.28</v>
      </c>
      <c r="AM38" s="1">
        <f t="shared" si="9"/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</row>
    <row r="39" spans="1:54" x14ac:dyDescent="0.25">
      <c r="A39" s="1" t="s">
        <v>75</v>
      </c>
      <c r="B39" s="1" t="s">
        <v>36</v>
      </c>
      <c r="C39" s="1">
        <v>70</v>
      </c>
      <c r="D39" s="1">
        <v>8</v>
      </c>
      <c r="E39" s="1">
        <v>38</v>
      </c>
      <c r="F39" s="1">
        <v>33</v>
      </c>
      <c r="G39" s="7">
        <v>0.2</v>
      </c>
      <c r="H39" s="1">
        <v>120</v>
      </c>
      <c r="I39" s="1"/>
      <c r="J39" s="1"/>
      <c r="K39" s="1">
        <v>46</v>
      </c>
      <c r="L39" s="1">
        <f t="shared" si="2"/>
        <v>-8</v>
      </c>
      <c r="M39" s="1"/>
      <c r="N39" s="1"/>
      <c r="O39" s="1"/>
      <c r="P39" s="1">
        <v>130</v>
      </c>
      <c r="Q39" s="1">
        <f t="shared" si="3"/>
        <v>7.6</v>
      </c>
      <c r="R39" s="5"/>
      <c r="S39" s="5"/>
      <c r="T39" s="5">
        <f t="shared" si="5"/>
        <v>0</v>
      </c>
      <c r="U39" s="5"/>
      <c r="V39" s="5"/>
      <c r="W39" s="12"/>
      <c r="X39" s="12"/>
      <c r="Y39" s="1">
        <f t="shared" si="6"/>
        <v>21.447368421052634</v>
      </c>
      <c r="Z39" s="1">
        <f t="shared" si="7"/>
        <v>21.447368421052634</v>
      </c>
      <c r="AA39" s="1">
        <v>14.6</v>
      </c>
      <c r="AB39" s="1">
        <v>3.8</v>
      </c>
      <c r="AC39" s="1">
        <v>8.1999999999999993</v>
      </c>
      <c r="AD39" s="1">
        <v>12.8</v>
      </c>
      <c r="AE39" s="1">
        <v>17.2</v>
      </c>
      <c r="AF39" s="1">
        <v>14.8</v>
      </c>
      <c r="AG39" s="1">
        <v>16.2</v>
      </c>
      <c r="AH39" s="1">
        <v>12.8</v>
      </c>
      <c r="AI39" s="1">
        <v>6.8</v>
      </c>
      <c r="AJ39" s="1">
        <v>15.6</v>
      </c>
      <c r="AK39" s="1"/>
      <c r="AL39" s="1">
        <f t="shared" si="8"/>
        <v>0</v>
      </c>
      <c r="AM39" s="1">
        <f t="shared" si="9"/>
        <v>0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</row>
    <row r="40" spans="1:54" x14ac:dyDescent="0.25">
      <c r="A40" s="1" t="s">
        <v>76</v>
      </c>
      <c r="B40" s="1" t="s">
        <v>42</v>
      </c>
      <c r="C40" s="1">
        <v>6.8760000000000003</v>
      </c>
      <c r="D40" s="1">
        <v>13.256</v>
      </c>
      <c r="E40" s="1"/>
      <c r="F40" s="1">
        <v>16.582000000000001</v>
      </c>
      <c r="G40" s="7">
        <v>1</v>
      </c>
      <c r="H40" s="1">
        <v>120</v>
      </c>
      <c r="I40" s="1"/>
      <c r="J40" s="1"/>
      <c r="K40" s="1"/>
      <c r="L40" s="1">
        <f t="shared" si="2"/>
        <v>0</v>
      </c>
      <c r="M40" s="1"/>
      <c r="N40" s="1"/>
      <c r="O40" s="1"/>
      <c r="P40" s="1">
        <v>15</v>
      </c>
      <c r="Q40" s="1">
        <f t="shared" si="3"/>
        <v>0</v>
      </c>
      <c r="R40" s="5"/>
      <c r="S40" s="5"/>
      <c r="T40" s="5">
        <f t="shared" si="5"/>
        <v>0</v>
      </c>
      <c r="U40" s="5"/>
      <c r="V40" s="5"/>
      <c r="W40" s="12"/>
      <c r="X40" s="12"/>
      <c r="Y40" s="1" t="e">
        <f t="shared" si="6"/>
        <v>#DIV/0!</v>
      </c>
      <c r="Z40" s="1" t="e">
        <f t="shared" si="7"/>
        <v>#DIV/0!</v>
      </c>
      <c r="AA40" s="1">
        <v>2.0863999999999998</v>
      </c>
      <c r="AB40" s="1">
        <v>1.512</v>
      </c>
      <c r="AC40" s="1">
        <v>1.528</v>
      </c>
      <c r="AD40" s="1">
        <v>0</v>
      </c>
      <c r="AE40" s="1">
        <v>0</v>
      </c>
      <c r="AF40" s="1">
        <v>1.3648</v>
      </c>
      <c r="AG40" s="1">
        <v>6.8608000000000002</v>
      </c>
      <c r="AH40" s="1">
        <v>0</v>
      </c>
      <c r="AI40" s="1">
        <v>1.5251999999999999</v>
      </c>
      <c r="AJ40" s="1">
        <v>1.4972000000000001</v>
      </c>
      <c r="AK40" s="11" t="s">
        <v>79</v>
      </c>
      <c r="AL40" s="1">
        <f t="shared" si="8"/>
        <v>0</v>
      </c>
      <c r="AM40" s="1">
        <f t="shared" si="9"/>
        <v>0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</row>
    <row r="41" spans="1:54" x14ac:dyDescent="0.25">
      <c r="A41" s="1"/>
      <c r="B41" s="1"/>
      <c r="C41" s="1"/>
      <c r="D41" s="1"/>
      <c r="E41" s="1"/>
      <c r="F41" s="1"/>
      <c r="G41" s="7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</row>
    <row r="42" spans="1:54" x14ac:dyDescent="0.25">
      <c r="A42" s="1"/>
      <c r="B42" s="1"/>
      <c r="C42" s="1"/>
      <c r="D42" s="1"/>
      <c r="E42" s="1"/>
      <c r="F42" s="1"/>
      <c r="G42" s="7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</row>
    <row r="43" spans="1:54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</row>
    <row r="44" spans="1:54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</row>
    <row r="45" spans="1:54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</row>
    <row r="46" spans="1:54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</row>
    <row r="47" spans="1:54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</row>
    <row r="48" spans="1:54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</row>
    <row r="49" spans="1:54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</row>
    <row r="50" spans="1:54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</row>
    <row r="51" spans="1:54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</row>
    <row r="52" spans="1:54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</row>
    <row r="53" spans="1:54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</row>
    <row r="54" spans="1:54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</row>
    <row r="55" spans="1:54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</row>
    <row r="56" spans="1:54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</row>
    <row r="57" spans="1:54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</row>
    <row r="58" spans="1:54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</row>
    <row r="59" spans="1:54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</row>
    <row r="60" spans="1:54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</row>
    <row r="61" spans="1:54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</row>
    <row r="62" spans="1:54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</row>
    <row r="63" spans="1:54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</row>
    <row r="64" spans="1:54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</row>
    <row r="65" spans="1:54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</row>
    <row r="66" spans="1:54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</row>
    <row r="67" spans="1:54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</row>
    <row r="68" spans="1:54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</row>
    <row r="69" spans="1:54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</row>
    <row r="70" spans="1:54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</row>
    <row r="71" spans="1:54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</row>
    <row r="72" spans="1:54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</row>
    <row r="73" spans="1:54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</row>
    <row r="74" spans="1:54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</row>
    <row r="75" spans="1:54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</row>
    <row r="76" spans="1:54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</row>
    <row r="77" spans="1:54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</row>
    <row r="78" spans="1:54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</row>
    <row r="79" spans="1:54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</row>
    <row r="80" spans="1:54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</row>
    <row r="81" spans="1:54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</row>
    <row r="82" spans="1:54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</row>
    <row r="83" spans="1:54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</row>
    <row r="84" spans="1:54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</row>
    <row r="85" spans="1:54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</row>
    <row r="86" spans="1:54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</row>
    <row r="87" spans="1:54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</row>
    <row r="88" spans="1:54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</row>
    <row r="89" spans="1:54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</row>
    <row r="90" spans="1:54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</row>
    <row r="91" spans="1:54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</row>
    <row r="92" spans="1:54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</row>
    <row r="93" spans="1:54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</row>
    <row r="94" spans="1:54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</row>
    <row r="95" spans="1:54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</row>
    <row r="96" spans="1:54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</row>
    <row r="97" spans="1:54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</row>
    <row r="98" spans="1:54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</row>
    <row r="99" spans="1:54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</row>
    <row r="100" spans="1:54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</row>
    <row r="101" spans="1:54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</row>
    <row r="102" spans="1:54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</row>
    <row r="103" spans="1:54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</row>
    <row r="104" spans="1:54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</row>
    <row r="105" spans="1:54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</row>
    <row r="106" spans="1:54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</row>
    <row r="107" spans="1:54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</row>
    <row r="108" spans="1:54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</row>
    <row r="109" spans="1:54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</row>
    <row r="110" spans="1:54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</row>
    <row r="111" spans="1:54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</row>
    <row r="112" spans="1:54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</row>
    <row r="113" spans="1:54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</row>
    <row r="114" spans="1:54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</row>
    <row r="115" spans="1:54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</row>
    <row r="116" spans="1:54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</row>
    <row r="117" spans="1:54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</row>
    <row r="118" spans="1:54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</row>
    <row r="119" spans="1:54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</row>
    <row r="120" spans="1:54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</row>
    <row r="121" spans="1:54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</row>
    <row r="122" spans="1:54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</row>
    <row r="123" spans="1:54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</row>
    <row r="124" spans="1:54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</row>
    <row r="125" spans="1:54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</row>
    <row r="126" spans="1:54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</row>
    <row r="127" spans="1:54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</row>
    <row r="128" spans="1:54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</row>
    <row r="129" spans="1:54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</row>
    <row r="130" spans="1:54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</row>
    <row r="131" spans="1:54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</row>
    <row r="132" spans="1:54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</row>
    <row r="133" spans="1:54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</row>
    <row r="134" spans="1:54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</row>
    <row r="135" spans="1:5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</row>
    <row r="136" spans="1:5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</row>
    <row r="137" spans="1:5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</row>
    <row r="138" spans="1:5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</row>
    <row r="139" spans="1:5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</row>
    <row r="140" spans="1:5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</row>
    <row r="141" spans="1:5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</row>
    <row r="142" spans="1:5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</row>
    <row r="143" spans="1:5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</row>
    <row r="144" spans="1:5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</row>
    <row r="145" spans="1:5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</row>
    <row r="146" spans="1:5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</row>
    <row r="147" spans="1:5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</row>
    <row r="148" spans="1:5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</row>
    <row r="149" spans="1:5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</row>
    <row r="150" spans="1:5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</row>
    <row r="151" spans="1:5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</row>
    <row r="152" spans="1:5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</row>
    <row r="153" spans="1:5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</row>
    <row r="154" spans="1:5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</row>
    <row r="155" spans="1:5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</row>
    <row r="156" spans="1:5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</row>
    <row r="157" spans="1:5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</row>
    <row r="158" spans="1:5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</row>
    <row r="159" spans="1:5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</row>
    <row r="160" spans="1:5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</row>
    <row r="161" spans="1:5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</row>
    <row r="162" spans="1:5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</row>
    <row r="163" spans="1:5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</row>
    <row r="164" spans="1:5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</row>
    <row r="165" spans="1:5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</row>
    <row r="166" spans="1:5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</row>
    <row r="167" spans="1:5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</row>
    <row r="168" spans="1:5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</row>
    <row r="169" spans="1:5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</row>
    <row r="170" spans="1:5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</row>
    <row r="171" spans="1:5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</row>
    <row r="172" spans="1:5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</row>
    <row r="173" spans="1:5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</row>
    <row r="174" spans="1:5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</row>
    <row r="175" spans="1:5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</row>
    <row r="176" spans="1:5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</row>
    <row r="177" spans="1:5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</row>
    <row r="178" spans="1:5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</row>
    <row r="179" spans="1:5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</row>
    <row r="180" spans="1:5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</row>
    <row r="181" spans="1:5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</row>
    <row r="182" spans="1:5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</row>
    <row r="183" spans="1:5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</row>
    <row r="184" spans="1:5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</row>
    <row r="185" spans="1:5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</row>
    <row r="186" spans="1:5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</row>
    <row r="187" spans="1:5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</row>
    <row r="188" spans="1:5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</row>
    <row r="189" spans="1:5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</row>
    <row r="190" spans="1:5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</row>
    <row r="191" spans="1:5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</row>
    <row r="192" spans="1:5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</row>
    <row r="193" spans="1:5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</row>
    <row r="194" spans="1:5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</row>
    <row r="195" spans="1:5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</row>
    <row r="196" spans="1:5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</row>
    <row r="197" spans="1:5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</row>
    <row r="198" spans="1:5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</row>
    <row r="199" spans="1:5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</row>
    <row r="200" spans="1:5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</row>
    <row r="201" spans="1:5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</row>
    <row r="202" spans="1:5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</row>
    <row r="203" spans="1:5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</row>
    <row r="204" spans="1:5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</row>
    <row r="205" spans="1:5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</row>
    <row r="206" spans="1:5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</row>
    <row r="208" spans="1:5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</row>
    <row r="209" spans="1:5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</row>
    <row r="210" spans="1:5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</row>
    <row r="211" spans="1:5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</row>
    <row r="212" spans="1:5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</row>
    <row r="213" spans="1:5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</row>
    <row r="214" spans="1:5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</row>
    <row r="215" spans="1:5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</row>
    <row r="216" spans="1:5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</row>
    <row r="217" spans="1:5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</row>
    <row r="218" spans="1:5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</row>
    <row r="219" spans="1:5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</row>
    <row r="220" spans="1:5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</row>
    <row r="221" spans="1:5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</row>
    <row r="222" spans="1:5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</row>
    <row r="223" spans="1:5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</row>
    <row r="224" spans="1:5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</row>
    <row r="225" spans="1:5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</row>
    <row r="226" spans="1:5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</row>
    <row r="227" spans="1:5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</row>
    <row r="228" spans="1:5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</row>
    <row r="229" spans="1:5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</row>
    <row r="230" spans="1:5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</row>
    <row r="231" spans="1:5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</row>
    <row r="232" spans="1:5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</row>
    <row r="233" spans="1:5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</row>
    <row r="234" spans="1:5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</row>
    <row r="235" spans="1:5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</row>
    <row r="236" spans="1:5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</row>
    <row r="237" spans="1:5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</row>
    <row r="238" spans="1:5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</row>
    <row r="239" spans="1:5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</row>
    <row r="240" spans="1:5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</row>
    <row r="241" spans="1:5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</row>
    <row r="242" spans="1:5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</row>
    <row r="243" spans="1:5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</row>
    <row r="244" spans="1:5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</row>
    <row r="245" spans="1:5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</row>
    <row r="246" spans="1:5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</row>
    <row r="247" spans="1:5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</row>
    <row r="248" spans="1:5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</row>
    <row r="249" spans="1:5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</row>
    <row r="250" spans="1:5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</row>
    <row r="251" spans="1:5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</row>
    <row r="252" spans="1:5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</row>
    <row r="253" spans="1:5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</row>
    <row r="254" spans="1:5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</row>
    <row r="255" spans="1:5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</row>
    <row r="256" spans="1:5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</row>
    <row r="257" spans="1:5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</row>
    <row r="258" spans="1:5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</row>
    <row r="259" spans="1:5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</row>
    <row r="260" spans="1:5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</row>
    <row r="261" spans="1:5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</row>
    <row r="262" spans="1:5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</row>
    <row r="263" spans="1:5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</row>
    <row r="264" spans="1:5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</row>
    <row r="265" spans="1:5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</row>
    <row r="266" spans="1:5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</row>
    <row r="267" spans="1:5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</row>
    <row r="268" spans="1:5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</row>
    <row r="269" spans="1:5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</row>
    <row r="270" spans="1:5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</row>
    <row r="271" spans="1:5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</row>
    <row r="272" spans="1:5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</row>
    <row r="273" spans="1:5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</row>
    <row r="274" spans="1:5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</row>
    <row r="275" spans="1:5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</row>
    <row r="276" spans="1:5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</row>
    <row r="277" spans="1:5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</row>
    <row r="278" spans="1:5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</row>
    <row r="279" spans="1:5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</row>
    <row r="280" spans="1:5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</row>
    <row r="281" spans="1:5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</row>
    <row r="282" spans="1:5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</row>
    <row r="283" spans="1:5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</row>
    <row r="284" spans="1:5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</row>
    <row r="285" spans="1:5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</row>
    <row r="286" spans="1:5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</row>
    <row r="287" spans="1:5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</row>
    <row r="288" spans="1:5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</row>
    <row r="289" spans="1:5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</row>
    <row r="290" spans="1:5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</row>
    <row r="291" spans="1:5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</row>
    <row r="292" spans="1:5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</row>
    <row r="293" spans="1:5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</row>
    <row r="294" spans="1:5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</row>
    <row r="295" spans="1:5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</row>
    <row r="296" spans="1:5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</row>
    <row r="297" spans="1:5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</row>
    <row r="298" spans="1:5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</row>
    <row r="299" spans="1:5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</row>
    <row r="300" spans="1:5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</row>
    <row r="301" spans="1:5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</row>
    <row r="302" spans="1:5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</row>
    <row r="303" spans="1:5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</row>
    <row r="304" spans="1:5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</row>
    <row r="305" spans="1:5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</row>
    <row r="306" spans="1:5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</row>
    <row r="307" spans="1:5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</row>
    <row r="308" spans="1:5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</row>
    <row r="309" spans="1:5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</row>
    <row r="310" spans="1:5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</row>
    <row r="311" spans="1:5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</row>
    <row r="312" spans="1:5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</row>
    <row r="313" spans="1:5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</row>
    <row r="314" spans="1:5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</row>
    <row r="315" spans="1:5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</row>
    <row r="316" spans="1:5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</row>
    <row r="317" spans="1:5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</row>
    <row r="318" spans="1:5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</row>
    <row r="319" spans="1:5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</row>
    <row r="320" spans="1:5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</row>
    <row r="321" spans="1:5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</row>
    <row r="322" spans="1:5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</row>
    <row r="323" spans="1:5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</row>
    <row r="324" spans="1:5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</row>
    <row r="325" spans="1:5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</row>
    <row r="326" spans="1:5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</row>
    <row r="327" spans="1:5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</row>
    <row r="328" spans="1:5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</row>
    <row r="329" spans="1:5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</row>
    <row r="330" spans="1:5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</row>
    <row r="331" spans="1:5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</row>
    <row r="332" spans="1:5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</row>
    <row r="333" spans="1:5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</row>
    <row r="334" spans="1:5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</row>
    <row r="335" spans="1:5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</row>
    <row r="336" spans="1:5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</row>
    <row r="337" spans="1:5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</row>
    <row r="338" spans="1:5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</row>
    <row r="339" spans="1:5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</row>
    <row r="340" spans="1:5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</row>
    <row r="341" spans="1:5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</row>
    <row r="342" spans="1:5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</row>
    <row r="343" spans="1:5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</row>
    <row r="344" spans="1:5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</row>
    <row r="345" spans="1:5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</row>
    <row r="346" spans="1:5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</row>
    <row r="347" spans="1:5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</row>
    <row r="348" spans="1:5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</row>
    <row r="349" spans="1:5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</row>
    <row r="350" spans="1:5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</row>
    <row r="351" spans="1:5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</row>
    <row r="352" spans="1:5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</row>
    <row r="353" spans="1:5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</row>
    <row r="354" spans="1:5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</row>
    <row r="355" spans="1:5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</row>
    <row r="356" spans="1:5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</row>
    <row r="357" spans="1:5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</row>
    <row r="358" spans="1:5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</row>
    <row r="359" spans="1:5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</row>
    <row r="360" spans="1:5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</row>
    <row r="361" spans="1:5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</row>
    <row r="362" spans="1:5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</row>
    <row r="363" spans="1:5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</row>
    <row r="364" spans="1:5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</row>
    <row r="365" spans="1:5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</row>
    <row r="366" spans="1:5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</row>
    <row r="367" spans="1:5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</row>
    <row r="368" spans="1:5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</row>
    <row r="369" spans="1:5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</row>
    <row r="370" spans="1:5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</row>
    <row r="371" spans="1:5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</row>
    <row r="372" spans="1:5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</row>
    <row r="373" spans="1:5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</row>
    <row r="374" spans="1:5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</row>
    <row r="375" spans="1:5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</row>
    <row r="376" spans="1:5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</row>
    <row r="377" spans="1:5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</row>
    <row r="378" spans="1:5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</row>
    <row r="379" spans="1:5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</row>
    <row r="380" spans="1:5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</row>
    <row r="381" spans="1:5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</row>
    <row r="382" spans="1:5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</row>
    <row r="383" spans="1:5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</row>
    <row r="384" spans="1:5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</row>
    <row r="385" spans="1:5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</row>
    <row r="386" spans="1:5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</row>
    <row r="387" spans="1:5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</row>
    <row r="388" spans="1:5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</row>
    <row r="389" spans="1:5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</row>
    <row r="390" spans="1:5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</row>
    <row r="391" spans="1:5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</row>
    <row r="392" spans="1:5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</row>
    <row r="393" spans="1:5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</row>
    <row r="394" spans="1:5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</row>
    <row r="395" spans="1:5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</row>
    <row r="396" spans="1:5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</row>
    <row r="397" spans="1:5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</row>
    <row r="398" spans="1:5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</row>
    <row r="399" spans="1:5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</row>
    <row r="400" spans="1:5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</row>
    <row r="401" spans="1:5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</row>
    <row r="402" spans="1:5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</row>
    <row r="403" spans="1:5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</row>
    <row r="404" spans="1:5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</row>
    <row r="405" spans="1:5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</row>
    <row r="406" spans="1:5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</row>
    <row r="407" spans="1:5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</row>
    <row r="408" spans="1:5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</row>
    <row r="409" spans="1:5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</row>
    <row r="410" spans="1:5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</row>
    <row r="411" spans="1:5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</row>
    <row r="412" spans="1:5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</row>
    <row r="413" spans="1:5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</row>
    <row r="414" spans="1:5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</row>
    <row r="415" spans="1:5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</row>
    <row r="416" spans="1:5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</row>
    <row r="417" spans="1:5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</row>
    <row r="418" spans="1:5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</row>
    <row r="419" spans="1:5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</row>
    <row r="420" spans="1:5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</row>
    <row r="421" spans="1:5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</row>
    <row r="422" spans="1:5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</row>
    <row r="423" spans="1:5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</row>
    <row r="424" spans="1:5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</row>
    <row r="425" spans="1:5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</row>
    <row r="426" spans="1:5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</row>
    <row r="427" spans="1:5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</row>
    <row r="428" spans="1:5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</row>
    <row r="429" spans="1:5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</row>
    <row r="430" spans="1:5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</row>
    <row r="431" spans="1:5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</row>
    <row r="432" spans="1:5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</row>
    <row r="433" spans="1:5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</row>
    <row r="434" spans="1:5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</row>
    <row r="435" spans="1:5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</row>
    <row r="436" spans="1:5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</row>
    <row r="437" spans="1:5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</row>
    <row r="438" spans="1:5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</row>
    <row r="439" spans="1:5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</row>
    <row r="440" spans="1:5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</row>
    <row r="441" spans="1:5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</row>
    <row r="442" spans="1:5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</row>
    <row r="443" spans="1:5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</row>
    <row r="444" spans="1:5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</row>
    <row r="445" spans="1:5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</row>
    <row r="446" spans="1:5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</row>
    <row r="447" spans="1:5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</row>
    <row r="448" spans="1:5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</row>
    <row r="449" spans="1:5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</row>
    <row r="450" spans="1:5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</row>
    <row r="451" spans="1:5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</row>
    <row r="452" spans="1:5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</row>
    <row r="453" spans="1:5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</row>
    <row r="454" spans="1:5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</row>
    <row r="455" spans="1:5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</row>
    <row r="456" spans="1:5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</row>
    <row r="457" spans="1:5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</row>
    <row r="458" spans="1:5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</row>
    <row r="459" spans="1:5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</row>
    <row r="460" spans="1:5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</row>
    <row r="461" spans="1:5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</row>
    <row r="462" spans="1:5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</row>
    <row r="463" spans="1:5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</row>
    <row r="464" spans="1:5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</row>
    <row r="465" spans="1:5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</row>
    <row r="466" spans="1:5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</row>
    <row r="467" spans="1:5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</row>
    <row r="468" spans="1:5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</row>
    <row r="469" spans="1:5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</row>
    <row r="470" spans="1:5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</row>
    <row r="471" spans="1:5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</row>
    <row r="472" spans="1:5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</row>
    <row r="473" spans="1:5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</row>
    <row r="474" spans="1:5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</row>
    <row r="475" spans="1:5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</row>
    <row r="476" spans="1:5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</row>
    <row r="477" spans="1:5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</row>
    <row r="478" spans="1:5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</row>
    <row r="479" spans="1:5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</row>
    <row r="480" spans="1:5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</row>
    <row r="481" spans="1:5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</row>
    <row r="482" spans="1:5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</row>
    <row r="483" spans="1:5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</row>
    <row r="484" spans="1:5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</row>
    <row r="485" spans="1:5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</row>
    <row r="486" spans="1:5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</row>
    <row r="487" spans="1:5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</row>
    <row r="488" spans="1:5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</row>
    <row r="489" spans="1:5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</row>
    <row r="490" spans="1:5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</row>
    <row r="491" spans="1:5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</row>
    <row r="492" spans="1:5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</row>
    <row r="493" spans="1:5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</row>
    <row r="494" spans="1:5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</row>
    <row r="495" spans="1:5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</row>
    <row r="496" spans="1:5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</row>
    <row r="497" spans="1:5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</row>
    <row r="498" spans="1:5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</row>
  </sheetData>
  <autoFilter ref="A3:AL4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7F81B-F402-4A78-A61B-EF4AACFB696D}">
  <dimension ref="A1:B19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38</v>
      </c>
      <c r="B1">
        <v>24</v>
      </c>
    </row>
    <row r="2" spans="1:2" x14ac:dyDescent="0.25">
      <c r="A2" t="s">
        <v>40</v>
      </c>
      <c r="B2">
        <v>24</v>
      </c>
    </row>
    <row r="3" spans="1:2" x14ac:dyDescent="0.25">
      <c r="A3" t="s">
        <v>41</v>
      </c>
      <c r="B3">
        <v>70</v>
      </c>
    </row>
    <row r="4" spans="1:2" x14ac:dyDescent="0.25">
      <c r="A4" t="s">
        <v>45</v>
      </c>
      <c r="B4">
        <v>12</v>
      </c>
    </row>
    <row r="5" spans="1:2" x14ac:dyDescent="0.25">
      <c r="A5" t="s">
        <v>48</v>
      </c>
      <c r="B5">
        <v>468</v>
      </c>
    </row>
    <row r="6" spans="1:2" x14ac:dyDescent="0.25">
      <c r="A6" t="s">
        <v>50</v>
      </c>
      <c r="B6">
        <v>48</v>
      </c>
    </row>
    <row r="7" spans="1:2" x14ac:dyDescent="0.25">
      <c r="A7" t="s">
        <v>52</v>
      </c>
      <c r="B7">
        <v>40</v>
      </c>
    </row>
    <row r="8" spans="1:2" x14ac:dyDescent="0.25">
      <c r="A8" t="s">
        <v>57</v>
      </c>
      <c r="B8">
        <v>210</v>
      </c>
    </row>
    <row r="9" spans="1:2" x14ac:dyDescent="0.25">
      <c r="A9" t="s">
        <v>59</v>
      </c>
      <c r="B9">
        <v>250</v>
      </c>
    </row>
    <row r="10" spans="1:2" x14ac:dyDescent="0.25">
      <c r="A10" t="s">
        <v>60</v>
      </c>
      <c r="B10">
        <v>110</v>
      </c>
    </row>
    <row r="11" spans="1:2" x14ac:dyDescent="0.25">
      <c r="A11" t="s">
        <v>62</v>
      </c>
      <c r="B11">
        <v>40</v>
      </c>
    </row>
    <row r="12" spans="1:2" x14ac:dyDescent="0.25">
      <c r="A12" t="s">
        <v>63</v>
      </c>
      <c r="B12">
        <v>110</v>
      </c>
    </row>
    <row r="13" spans="1:2" x14ac:dyDescent="0.25">
      <c r="A13" t="s">
        <v>66</v>
      </c>
      <c r="B13">
        <v>32</v>
      </c>
    </row>
    <row r="14" spans="1:2" x14ac:dyDescent="0.25">
      <c r="A14" t="s">
        <v>68</v>
      </c>
      <c r="B14">
        <v>16</v>
      </c>
    </row>
    <row r="15" spans="1:2" x14ac:dyDescent="0.25">
      <c r="A15" t="s">
        <v>69</v>
      </c>
      <c r="B15">
        <v>78</v>
      </c>
    </row>
    <row r="16" spans="1:2" x14ac:dyDescent="0.25">
      <c r="A16" t="s">
        <v>71</v>
      </c>
      <c r="B16">
        <v>12</v>
      </c>
    </row>
    <row r="17" spans="1:2" x14ac:dyDescent="0.25">
      <c r="A17" t="s">
        <v>72</v>
      </c>
      <c r="B17">
        <v>32</v>
      </c>
    </row>
    <row r="18" spans="1:2" x14ac:dyDescent="0.25">
      <c r="A18" t="s">
        <v>73</v>
      </c>
      <c r="B18">
        <v>170</v>
      </c>
    </row>
    <row r="19" spans="1:2" x14ac:dyDescent="0.25">
      <c r="A19" t="s">
        <v>74</v>
      </c>
      <c r="B19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2026-10-20T16:31:52Z</dcterms:created>
  <dcterms:modified xsi:type="dcterms:W3CDTF">2026-10-22T11:08:30Z</dcterms:modified>
</cp:coreProperties>
</file>