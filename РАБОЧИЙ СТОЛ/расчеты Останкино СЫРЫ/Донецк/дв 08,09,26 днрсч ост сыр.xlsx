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8,09,26 Останкино Сыры\"/>
    </mc:Choice>
  </mc:AlternateContent>
  <xr:revisionPtr revIDLastSave="0" documentId="13_ncr:1_{8DE268D0-0550-4759-AB84-D94041E066C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заказ сети" sheetId="3" r:id="rId3"/>
  </sheets>
  <externalReferences>
    <externalReference r:id="rId4"/>
  </externalReferences>
  <definedNames>
    <definedName name="_xlnm._FilterDatabase" localSheetId="0" hidden="1">Sheet!$A$3:$AL$47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3" i="1" l="1"/>
  <c r="T9" i="1" l="1"/>
  <c r="T5" i="1"/>
  <c r="T14" i="1"/>
  <c r="T15" i="1"/>
  <c r="T16" i="1"/>
  <c r="T17" i="1"/>
  <c r="T18" i="1"/>
  <c r="T19" i="1"/>
  <c r="T20" i="1"/>
  <c r="T21" i="1"/>
  <c r="T24" i="1"/>
  <c r="T25" i="1"/>
  <c r="T26" i="1"/>
  <c r="T27" i="1"/>
  <c r="T28" i="1"/>
  <c r="T29" i="1"/>
  <c r="T31" i="1"/>
  <c r="T32" i="1"/>
  <c r="T34" i="1"/>
  <c r="T35" i="1"/>
  <c r="T37" i="1"/>
  <c r="T38" i="1"/>
  <c r="T40" i="1"/>
  <c r="T42" i="1"/>
  <c r="T43" i="1"/>
  <c r="T44" i="1"/>
  <c r="T46" i="1"/>
  <c r="U5" i="1"/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6" i="1"/>
  <c r="AL14" i="1"/>
  <c r="AL15" i="1"/>
  <c r="AL16" i="1"/>
  <c r="AL17" i="1"/>
  <c r="AL24" i="1"/>
  <c r="R7" i="1"/>
  <c r="AL7" i="1" s="1"/>
  <c r="R8" i="1"/>
  <c r="R10" i="1"/>
  <c r="AL10" i="1" s="1"/>
  <c r="R11" i="1"/>
  <c r="AL11" i="1" s="1"/>
  <c r="R12" i="1"/>
  <c r="AL12" i="1" s="1"/>
  <c r="R13" i="1"/>
  <c r="AL13" i="1" s="1"/>
  <c r="R22" i="1"/>
  <c r="AL22" i="1" s="1"/>
  <c r="R23" i="1"/>
  <c r="R30" i="1"/>
  <c r="AL30" i="1" s="1"/>
  <c r="R31" i="1"/>
  <c r="R33" i="1"/>
  <c r="R36" i="1"/>
  <c r="R39" i="1"/>
  <c r="R41" i="1"/>
  <c r="R45" i="1"/>
  <c r="R47" i="1"/>
  <c r="R6" i="1"/>
  <c r="AL6" i="1" s="1"/>
  <c r="AL36" i="1" l="1"/>
  <c r="AL8" i="1"/>
  <c r="AM5" i="1"/>
  <c r="AL47" i="1"/>
  <c r="AL45" i="1"/>
  <c r="AL41" i="1"/>
  <c r="AL39" i="1"/>
  <c r="AL33" i="1"/>
  <c r="AL31" i="1"/>
  <c r="AL23" i="1"/>
  <c r="S5" i="1"/>
  <c r="V14" i="1" l="1"/>
  <c r="V15" i="1"/>
  <c r="V16" i="1"/>
  <c r="V17" i="1"/>
  <c r="V24" i="1"/>
  <c r="P7" i="1" l="1"/>
  <c r="P8" i="1"/>
  <c r="Y8" i="1" s="1"/>
  <c r="P9" i="1"/>
  <c r="Q9" i="1" s="1"/>
  <c r="R9" i="1" s="1"/>
  <c r="P10" i="1"/>
  <c r="Y10" i="1" s="1"/>
  <c r="P11" i="1"/>
  <c r="Y11" i="1" s="1"/>
  <c r="P12" i="1"/>
  <c r="Y12" i="1" s="1"/>
  <c r="P13" i="1"/>
  <c r="P14" i="1"/>
  <c r="P15" i="1"/>
  <c r="Y15" i="1" s="1"/>
  <c r="P16" i="1"/>
  <c r="P17" i="1"/>
  <c r="P18" i="1"/>
  <c r="Z18" i="1" s="1"/>
  <c r="P19" i="1"/>
  <c r="Z19" i="1" s="1"/>
  <c r="P20" i="1"/>
  <c r="Z20" i="1" s="1"/>
  <c r="P21" i="1"/>
  <c r="Z21" i="1" s="1"/>
  <c r="P22" i="1"/>
  <c r="P23" i="1"/>
  <c r="P24" i="1"/>
  <c r="P25" i="1"/>
  <c r="Z25" i="1" s="1"/>
  <c r="P26" i="1"/>
  <c r="Z26" i="1" s="1"/>
  <c r="P27" i="1"/>
  <c r="Q27" i="1" s="1"/>
  <c r="R27" i="1" s="1"/>
  <c r="P28" i="1"/>
  <c r="Q28" i="1" s="1"/>
  <c r="R28" i="1" s="1"/>
  <c r="P29" i="1"/>
  <c r="Z29" i="1" s="1"/>
  <c r="P30" i="1"/>
  <c r="P31" i="1"/>
  <c r="Y31" i="1" s="1"/>
  <c r="P32" i="1"/>
  <c r="Z32" i="1" s="1"/>
  <c r="P33" i="1"/>
  <c r="Y33" i="1" s="1"/>
  <c r="P34" i="1"/>
  <c r="Q34" i="1" s="1"/>
  <c r="R34" i="1" s="1"/>
  <c r="P35" i="1"/>
  <c r="Z35" i="1" s="1"/>
  <c r="P36" i="1"/>
  <c r="Y36" i="1" s="1"/>
  <c r="P37" i="1"/>
  <c r="Q37" i="1" s="1"/>
  <c r="R37" i="1" s="1"/>
  <c r="P38" i="1"/>
  <c r="Q38" i="1" s="1"/>
  <c r="R38" i="1" s="1"/>
  <c r="P39" i="1"/>
  <c r="Y39" i="1" s="1"/>
  <c r="P40" i="1"/>
  <c r="Q40" i="1" s="1"/>
  <c r="R40" i="1" s="1"/>
  <c r="P41" i="1"/>
  <c r="P42" i="1"/>
  <c r="Q42" i="1" s="1"/>
  <c r="P43" i="1"/>
  <c r="Q43" i="1" s="1"/>
  <c r="R43" i="1" s="1"/>
  <c r="P44" i="1"/>
  <c r="Z44" i="1" s="1"/>
  <c r="P45" i="1"/>
  <c r="P46" i="1"/>
  <c r="Q46" i="1" s="1"/>
  <c r="R46" i="1" s="1"/>
  <c r="P47" i="1"/>
  <c r="Y47" i="1" s="1"/>
  <c r="P6" i="1"/>
  <c r="Y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AB5" i="1"/>
  <c r="AA5" i="1"/>
  <c r="O5" i="1"/>
  <c r="N5" i="1"/>
  <c r="M5" i="1"/>
  <c r="K5" i="1"/>
  <c r="F5" i="1"/>
  <c r="E5" i="1"/>
  <c r="Z45" i="1" l="1"/>
  <c r="Y45" i="1"/>
  <c r="Y43" i="1"/>
  <c r="AL43" i="1"/>
  <c r="Z41" i="1"/>
  <c r="Y41" i="1"/>
  <c r="Y37" i="1"/>
  <c r="AL37" i="1"/>
  <c r="Y27" i="1"/>
  <c r="AL27" i="1"/>
  <c r="Z23" i="1"/>
  <c r="Y23" i="1"/>
  <c r="Q17" i="1"/>
  <c r="Y17" i="1"/>
  <c r="Z13" i="1"/>
  <c r="Y13" i="1"/>
  <c r="AL9" i="1"/>
  <c r="Y9" i="1"/>
  <c r="Z7" i="1"/>
  <c r="Y7" i="1"/>
  <c r="Y46" i="1"/>
  <c r="AL46" i="1"/>
  <c r="Y40" i="1"/>
  <c r="AL40" i="1"/>
  <c r="Y38" i="1"/>
  <c r="AL38" i="1"/>
  <c r="Y34" i="1"/>
  <c r="AL34" i="1"/>
  <c r="Z30" i="1"/>
  <c r="Y30" i="1"/>
  <c r="Y28" i="1"/>
  <c r="AL28" i="1"/>
  <c r="Z24" i="1"/>
  <c r="Y24" i="1"/>
  <c r="Z22" i="1"/>
  <c r="Y22" i="1"/>
  <c r="Q16" i="1"/>
  <c r="Y16" i="1"/>
  <c r="Q14" i="1"/>
  <c r="Y14" i="1"/>
  <c r="R42" i="1"/>
  <c r="Z17" i="1"/>
  <c r="Z34" i="1"/>
  <c r="Z15" i="1"/>
  <c r="Z14" i="1"/>
  <c r="Q29" i="1"/>
  <c r="R29" i="1" s="1"/>
  <c r="Z43" i="1"/>
  <c r="Q35" i="1"/>
  <c r="R35" i="1" s="1"/>
  <c r="Q44" i="1"/>
  <c r="R44" i="1" s="1"/>
  <c r="Z42" i="1"/>
  <c r="Z40" i="1"/>
  <c r="Z39" i="1"/>
  <c r="Q26" i="1"/>
  <c r="Z31" i="1"/>
  <c r="Q24" i="1"/>
  <c r="Z27" i="1"/>
  <c r="Q19" i="1"/>
  <c r="Z28" i="1"/>
  <c r="Q25" i="1"/>
  <c r="R25" i="1" s="1"/>
  <c r="Z16" i="1"/>
  <c r="Q21" i="1"/>
  <c r="R21" i="1" s="1"/>
  <c r="P5" i="1"/>
  <c r="Q20" i="1"/>
  <c r="R20" i="1" s="1"/>
  <c r="Z37" i="1"/>
  <c r="Z38" i="1"/>
  <c r="Z36" i="1"/>
  <c r="Z47" i="1"/>
  <c r="Q18" i="1"/>
  <c r="R18" i="1" s="1"/>
  <c r="Z6" i="1"/>
  <c r="Z12" i="1"/>
  <c r="Z46" i="1"/>
  <c r="Z11" i="1"/>
  <c r="Z10" i="1"/>
  <c r="Z33" i="1"/>
  <c r="Z9" i="1"/>
  <c r="Z8" i="1"/>
  <c r="Q32" i="1"/>
  <c r="L5" i="1"/>
  <c r="Y18" i="1" l="1"/>
  <c r="AL18" i="1"/>
  <c r="Y35" i="1"/>
  <c r="AL35" i="1"/>
  <c r="Y29" i="1"/>
  <c r="AL29" i="1"/>
  <c r="Y20" i="1"/>
  <c r="AL20" i="1"/>
  <c r="Y21" i="1"/>
  <c r="AL21" i="1"/>
  <c r="Y25" i="1"/>
  <c r="AL25" i="1"/>
  <c r="Y44" i="1"/>
  <c r="AL44" i="1"/>
  <c r="Y42" i="1"/>
  <c r="AL42" i="1"/>
  <c r="R32" i="1"/>
  <c r="R19" i="1"/>
  <c r="R26" i="1"/>
  <c r="Q5" i="1"/>
  <c r="Y26" i="1" l="1"/>
  <c r="AL26" i="1"/>
  <c r="Y32" i="1"/>
  <c r="AL32" i="1"/>
  <c r="Y19" i="1"/>
  <c r="AL19" i="1"/>
  <c r="R5" i="1"/>
  <c r="AL5" i="1"/>
</calcChain>
</file>

<file path=xl/sharedStrings.xml><?xml version="1.0" encoding="utf-8"?>
<sst xmlns="http://schemas.openxmlformats.org/spreadsheetml/2006/main" count="191" uniqueCount="101">
  <si>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</si>
  <si>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</si>
  <si>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</si>
  <si>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</si>
  <si>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</si>
  <si>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</si>
  <si>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</si>
  <si>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</si>
  <si>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</si>
  <si>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</si>
  <si>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</si>
  <si>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</si>
  <si>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</si>
  <si>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</si>
  <si>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</si>
  <si>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</si>
  <si>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</si>
  <si>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</si>
  <si>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</si>
  <si>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</si>
  <si>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</si>
  <si>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</si>
  <si>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</si>
  <si>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</si>
  <si>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</si>
  <si>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</si>
  <si>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</si>
  <si>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</si>
  <si>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</si>
  <si>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</si>
  <si>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</si>
  <si>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</si>
  <si>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</si>
  <si>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</si>
  <si>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</si>
  <si>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</si>
  <si>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</si>
  <si>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</si>
  <si>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</si>
  <si>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</si>
  <si>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</si>
  <si>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</si>
  <si>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</si>
  <si>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</si>
  <si>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</si>
  <si>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</si>
  <si>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</si>
  <si>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</si>
  <si>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</si>
  <si>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</si>
  <si>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</si>
  <si>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</si>
  <si>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</si>
  <si>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</si>
  <si>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</si>
  <si>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</si>
  <si>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</si>
  <si>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</si>
  <si>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</si>
  <si>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</si>
  <si>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</si>
  <si>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</si>
  <si>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</si>
  <si>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</si>
  <si>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</si>
  <si>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</si>
  <si>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</si>
  <si>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</si>
  <si>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</si>
  <si>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</si>
  <si>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</si>
  <si>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</si>
  <si>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</si>
  <si>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нужно увеличить продажи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</si>
  <si>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</si>
  <si>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</si>
  <si>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</si>
  <si>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</si>
  <si>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</si>
  <si>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</si>
  <si>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</si>
  <si>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</si>
  <si>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</si>
  <si>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</si>
  <si>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</si>
  <si>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</si>
  <si>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</si>
  <si>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</si>
  <si>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</si>
  <si>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 / новинка</t>
  </si>
  <si>
    <t>ТК</t>
  </si>
  <si>
    <t>Титенок</t>
  </si>
  <si>
    <t>Сети</t>
  </si>
  <si>
    <t>итого</t>
  </si>
  <si>
    <t>сети</t>
  </si>
  <si>
    <t>MAX</t>
  </si>
  <si>
    <t>заказ</t>
  </si>
  <si>
    <t>14,09,</t>
  </si>
  <si>
    <t>14,09,сети</t>
  </si>
  <si>
    <t>итого1</t>
  </si>
  <si>
    <t>10,09,26 - нет на заводе / 03,09,26 - нет на заводе / 27,08,26 - нет на заводе / 24,08,26 - нет на заводе / 13,08,26 - нет на заводе / 30,07,26 - нет на заводе / 62шт в уценку (28,07,26)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</si>
</sst>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0" fontId="0" fillId="0" borderId="1" xfId="0" applyBorder="1"/>
    <xf numFmtId="164" fontId="1" fillId="5" borderId="1" xfId="1" applyNumberFormat="1" applyFill="1" applyBorder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99;&#1088;&#1099;/+&#1076;&#1074;%2008_09_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07,09,</v>
          </cell>
          <cell r="P4" t="str">
            <v>08,09,</v>
          </cell>
        </row>
        <row r="5">
          <cell r="E5">
            <v>2799.9300000000003</v>
          </cell>
          <cell r="F5">
            <v>3474.3509999999997</v>
          </cell>
          <cell r="K5">
            <v>3478.2379999999998</v>
          </cell>
          <cell r="L5">
            <v>-678.30800000000022</v>
          </cell>
          <cell r="M5">
            <v>0</v>
          </cell>
          <cell r="N5">
            <v>0</v>
          </cell>
          <cell r="O5">
            <v>1859</v>
          </cell>
          <cell r="P5">
            <v>559.98599999999999</v>
          </cell>
          <cell r="Q5">
            <v>3523.9369999999994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70</v>
          </cell>
          <cell r="E6">
            <v>4</v>
          </cell>
          <cell r="F6">
            <v>66</v>
          </cell>
          <cell r="G6">
            <v>5.5E-2</v>
          </cell>
          <cell r="H6">
            <v>120</v>
          </cell>
          <cell r="K6">
            <v>4</v>
          </cell>
          <cell r="L6">
            <v>0</v>
          </cell>
          <cell r="P6">
            <v>0.8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68</v>
          </cell>
          <cell r="D7">
            <v>24</v>
          </cell>
          <cell r="E7">
            <v>7</v>
          </cell>
          <cell r="F7">
            <v>85</v>
          </cell>
          <cell r="G7">
            <v>0.1</v>
          </cell>
          <cell r="H7">
            <v>120</v>
          </cell>
          <cell r="K7">
            <v>7</v>
          </cell>
          <cell r="L7">
            <v>0</v>
          </cell>
          <cell r="P7">
            <v>1.4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28</v>
          </cell>
          <cell r="D8">
            <v>24</v>
          </cell>
          <cell r="E8">
            <v>11</v>
          </cell>
          <cell r="F8">
            <v>36</v>
          </cell>
          <cell r="G8">
            <v>0.1</v>
          </cell>
          <cell r="H8">
            <v>120</v>
          </cell>
          <cell r="K8">
            <v>11</v>
          </cell>
          <cell r="L8">
            <v>0</v>
          </cell>
          <cell r="P8">
            <v>2.2000000000000002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25.187000000000001</v>
          </cell>
          <cell r="D9">
            <v>30.861999999999998</v>
          </cell>
          <cell r="E9">
            <v>32.567999999999998</v>
          </cell>
          <cell r="F9">
            <v>15.555</v>
          </cell>
          <cell r="G9">
            <v>1</v>
          </cell>
          <cell r="H9">
            <v>120</v>
          </cell>
          <cell r="K9">
            <v>36.637999999999998</v>
          </cell>
          <cell r="L9">
            <v>-4.07</v>
          </cell>
          <cell r="O9">
            <v>75</v>
          </cell>
          <cell r="P9">
            <v>6.5135999999999994</v>
          </cell>
          <cell r="Q9">
            <v>7.1489999999999938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E10">
            <v>-2</v>
          </cell>
          <cell r="G10">
            <v>0.18</v>
          </cell>
          <cell r="H10">
            <v>180</v>
          </cell>
          <cell r="K10">
            <v>5</v>
          </cell>
          <cell r="L10">
            <v>-7</v>
          </cell>
          <cell r="O10">
            <v>0</v>
          </cell>
          <cell r="P10">
            <v>-0.4</v>
          </cell>
          <cell r="Q10">
            <v>24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O11">
            <v>0</v>
          </cell>
          <cell r="P11">
            <v>0</v>
          </cell>
          <cell r="Q11">
            <v>24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80.543999999999997</v>
          </cell>
          <cell r="E12">
            <v>19.495999999999999</v>
          </cell>
          <cell r="F12">
            <v>61.048000000000002</v>
          </cell>
          <cell r="G12">
            <v>1</v>
          </cell>
          <cell r="H12">
            <v>180</v>
          </cell>
          <cell r="K12">
            <v>20</v>
          </cell>
          <cell r="L12">
            <v>-0.50400000000000134</v>
          </cell>
          <cell r="P12">
            <v>3.8991999999999996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140</v>
          </cell>
          <cell r="E13">
            <v>7</v>
          </cell>
          <cell r="F13">
            <v>133</v>
          </cell>
          <cell r="G13">
            <v>0.82450000000000001</v>
          </cell>
          <cell r="H13">
            <v>180</v>
          </cell>
          <cell r="K13">
            <v>9</v>
          </cell>
          <cell r="L13">
            <v>-2</v>
          </cell>
          <cell r="P13">
            <v>1.4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272</v>
          </cell>
          <cell r="D14">
            <v>55</v>
          </cell>
          <cell r="E14">
            <v>93</v>
          </cell>
          <cell r="F14">
            <v>192</v>
          </cell>
          <cell r="G14">
            <v>0.372</v>
          </cell>
          <cell r="H14">
            <v>180</v>
          </cell>
          <cell r="K14">
            <v>102</v>
          </cell>
          <cell r="L14">
            <v>-9</v>
          </cell>
          <cell r="P14">
            <v>18.600000000000001</v>
          </cell>
          <cell r="Q14">
            <v>49.800000000000011</v>
          </cell>
          <cell r="R14">
            <v>120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-2</v>
          </cell>
          <cell r="F15">
            <v>-2</v>
          </cell>
          <cell r="G15">
            <v>0.74399999999999999</v>
          </cell>
          <cell r="H15">
            <v>180</v>
          </cell>
          <cell r="K15">
            <v>13</v>
          </cell>
          <cell r="L15">
            <v>-13</v>
          </cell>
          <cell r="O15">
            <v>24</v>
          </cell>
          <cell r="P15">
            <v>0</v>
          </cell>
          <cell r="R15">
            <v>120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357</v>
          </cell>
          <cell r="D16">
            <v>163</v>
          </cell>
          <cell r="E16">
            <v>176</v>
          </cell>
          <cell r="F16">
            <v>268</v>
          </cell>
          <cell r="G16">
            <v>0.372</v>
          </cell>
          <cell r="H16">
            <v>180</v>
          </cell>
          <cell r="K16">
            <v>198</v>
          </cell>
          <cell r="L16">
            <v>-22</v>
          </cell>
          <cell r="P16">
            <v>35.200000000000003</v>
          </cell>
          <cell r="Q16">
            <v>189.60000000000002</v>
          </cell>
          <cell r="R16">
            <v>240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-4</v>
          </cell>
          <cell r="D17">
            <v>96</v>
          </cell>
          <cell r="E17">
            <v>59</v>
          </cell>
          <cell r="F17">
            <v>2</v>
          </cell>
          <cell r="G17">
            <v>0.74399999999999999</v>
          </cell>
          <cell r="H17">
            <v>180</v>
          </cell>
          <cell r="K17">
            <v>101</v>
          </cell>
          <cell r="L17">
            <v>-42</v>
          </cell>
          <cell r="P17">
            <v>11.8</v>
          </cell>
          <cell r="Q17">
            <v>116</v>
          </cell>
          <cell r="R17">
            <v>120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62</v>
          </cell>
          <cell r="D18">
            <v>21</v>
          </cell>
          <cell r="E18">
            <v>29</v>
          </cell>
          <cell r="F18">
            <v>42</v>
          </cell>
          <cell r="G18">
            <v>0.18</v>
          </cell>
          <cell r="H18">
            <v>270</v>
          </cell>
          <cell r="K18">
            <v>37</v>
          </cell>
          <cell r="L18">
            <v>-8</v>
          </cell>
          <cell r="P18">
            <v>5.8</v>
          </cell>
          <cell r="Q18">
            <v>45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52</v>
          </cell>
          <cell r="D19">
            <v>16</v>
          </cell>
          <cell r="E19">
            <v>38</v>
          </cell>
          <cell r="F19">
            <v>21</v>
          </cell>
          <cell r="G19">
            <v>0.18</v>
          </cell>
          <cell r="H19">
            <v>270</v>
          </cell>
          <cell r="K19">
            <v>41</v>
          </cell>
          <cell r="L19">
            <v>-3</v>
          </cell>
          <cell r="O19">
            <v>16</v>
          </cell>
          <cell r="P19">
            <v>7.6</v>
          </cell>
          <cell r="Q19">
            <v>77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359</v>
          </cell>
          <cell r="D20">
            <v>92</v>
          </cell>
          <cell r="E20">
            <v>196</v>
          </cell>
          <cell r="F20">
            <v>160</v>
          </cell>
          <cell r="G20">
            <v>0.18</v>
          </cell>
          <cell r="H20">
            <v>180</v>
          </cell>
          <cell r="K20">
            <v>268</v>
          </cell>
          <cell r="L20">
            <v>-72</v>
          </cell>
          <cell r="O20">
            <v>200</v>
          </cell>
          <cell r="P20">
            <v>39.200000000000003</v>
          </cell>
          <cell r="Q20">
            <v>228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251</v>
          </cell>
          <cell r="D21">
            <v>31</v>
          </cell>
          <cell r="E21">
            <v>103</v>
          </cell>
          <cell r="F21">
            <v>122</v>
          </cell>
          <cell r="G21">
            <v>0.18</v>
          </cell>
          <cell r="H21">
            <v>180</v>
          </cell>
          <cell r="K21">
            <v>156</v>
          </cell>
          <cell r="L21">
            <v>-53</v>
          </cell>
          <cell r="O21">
            <v>60</v>
          </cell>
          <cell r="P21">
            <v>20.6</v>
          </cell>
          <cell r="Q21">
            <v>127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31</v>
          </cell>
          <cell r="E22">
            <v>-2</v>
          </cell>
          <cell r="F22">
            <v>31</v>
          </cell>
          <cell r="G22">
            <v>0.4</v>
          </cell>
          <cell r="H22">
            <v>270</v>
          </cell>
          <cell r="K22">
            <v>25</v>
          </cell>
          <cell r="L22">
            <v>-27</v>
          </cell>
          <cell r="P22">
            <v>-0.4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26</v>
          </cell>
          <cell r="E23">
            <v>6</v>
          </cell>
          <cell r="F23">
            <v>18</v>
          </cell>
          <cell r="G23">
            <v>0.4</v>
          </cell>
          <cell r="H23">
            <v>270</v>
          </cell>
          <cell r="K23">
            <v>6</v>
          </cell>
          <cell r="L23">
            <v>0</v>
          </cell>
          <cell r="P23">
            <v>1.2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167</v>
          </cell>
          <cell r="D24">
            <v>137.22999999999999</v>
          </cell>
          <cell r="E24">
            <v>88</v>
          </cell>
          <cell r="F24">
            <v>200</v>
          </cell>
          <cell r="G24">
            <v>0.18</v>
          </cell>
          <cell r="H24">
            <v>150</v>
          </cell>
          <cell r="K24">
            <v>105</v>
          </cell>
          <cell r="L24">
            <v>-17</v>
          </cell>
          <cell r="P24">
            <v>17.600000000000001</v>
          </cell>
          <cell r="Q24">
            <v>64</v>
          </cell>
          <cell r="R24">
            <v>90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337</v>
          </cell>
          <cell r="D25">
            <v>4</v>
          </cell>
          <cell r="E25">
            <v>125</v>
          </cell>
          <cell r="F25">
            <v>173</v>
          </cell>
          <cell r="G25">
            <v>0.1</v>
          </cell>
          <cell r="H25">
            <v>90</v>
          </cell>
          <cell r="K25">
            <v>131</v>
          </cell>
          <cell r="L25">
            <v>-6</v>
          </cell>
          <cell r="O25">
            <v>16</v>
          </cell>
          <cell r="P25">
            <v>25</v>
          </cell>
          <cell r="Q25">
            <v>186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151</v>
          </cell>
          <cell r="D26">
            <v>192</v>
          </cell>
          <cell r="E26">
            <v>135</v>
          </cell>
          <cell r="F26">
            <v>190</v>
          </cell>
          <cell r="G26">
            <v>0.1</v>
          </cell>
          <cell r="H26">
            <v>60</v>
          </cell>
          <cell r="K26">
            <v>154</v>
          </cell>
          <cell r="L26">
            <v>-19</v>
          </cell>
          <cell r="P26">
            <v>27</v>
          </cell>
          <cell r="Q26">
            <v>215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193</v>
          </cell>
          <cell r="D27">
            <v>8</v>
          </cell>
          <cell r="E27">
            <v>92</v>
          </cell>
          <cell r="F27">
            <v>86</v>
          </cell>
          <cell r="G27">
            <v>0.1</v>
          </cell>
          <cell r="H27">
            <v>90</v>
          </cell>
          <cell r="K27">
            <v>110</v>
          </cell>
          <cell r="L27">
            <v>-18</v>
          </cell>
          <cell r="O27">
            <v>72</v>
          </cell>
          <cell r="P27">
            <v>18.399999999999999</v>
          </cell>
          <cell r="Q27">
            <v>118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59</v>
          </cell>
          <cell r="D28">
            <v>7</v>
          </cell>
          <cell r="E28">
            <v>62</v>
          </cell>
          <cell r="F28">
            <v>-8</v>
          </cell>
          <cell r="G28">
            <v>0.18</v>
          </cell>
          <cell r="H28">
            <v>150</v>
          </cell>
          <cell r="K28">
            <v>91</v>
          </cell>
          <cell r="L28">
            <v>-29</v>
          </cell>
          <cell r="P28">
            <v>12.4</v>
          </cell>
          <cell r="Q28">
            <v>132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402</v>
          </cell>
          <cell r="D29">
            <v>104</v>
          </cell>
          <cell r="E29">
            <v>358</v>
          </cell>
          <cell r="F29">
            <v>24</v>
          </cell>
          <cell r="G29">
            <v>0.18</v>
          </cell>
          <cell r="H29">
            <v>150</v>
          </cell>
          <cell r="K29">
            <v>378</v>
          </cell>
          <cell r="L29">
            <v>-20</v>
          </cell>
          <cell r="O29">
            <v>420</v>
          </cell>
          <cell r="P29">
            <v>71.599999999999994</v>
          </cell>
          <cell r="Q29">
            <v>558.39999999999986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C30">
            <v>114</v>
          </cell>
          <cell r="D30">
            <v>2</v>
          </cell>
          <cell r="E30">
            <v>22</v>
          </cell>
          <cell r="F30">
            <v>91</v>
          </cell>
          <cell r="G30">
            <v>0.18</v>
          </cell>
          <cell r="H30">
            <v>150</v>
          </cell>
          <cell r="K30">
            <v>40</v>
          </cell>
          <cell r="L30">
            <v>-18</v>
          </cell>
          <cell r="P30">
            <v>4.4000000000000004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-1</v>
          </cell>
          <cell r="D31">
            <v>1</v>
          </cell>
          <cell r="F31">
            <v>-1</v>
          </cell>
          <cell r="G31">
            <v>0.18</v>
          </cell>
          <cell r="H31">
            <v>150</v>
          </cell>
          <cell r="K31">
            <v>16</v>
          </cell>
          <cell r="L31">
            <v>-16</v>
          </cell>
          <cell r="O31">
            <v>20</v>
          </cell>
          <cell r="P31">
            <v>0</v>
          </cell>
          <cell r="Q31">
            <v>20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696</v>
          </cell>
          <cell r="D32">
            <v>55</v>
          </cell>
          <cell r="E32">
            <v>377</v>
          </cell>
          <cell r="F32">
            <v>223</v>
          </cell>
          <cell r="G32">
            <v>0.18</v>
          </cell>
          <cell r="H32">
            <v>150</v>
          </cell>
          <cell r="K32">
            <v>438</v>
          </cell>
          <cell r="L32">
            <v>-61</v>
          </cell>
          <cell r="O32">
            <v>480</v>
          </cell>
          <cell r="P32">
            <v>75.400000000000006</v>
          </cell>
          <cell r="Q32">
            <v>428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370</v>
          </cell>
          <cell r="D33">
            <v>162</v>
          </cell>
          <cell r="E33">
            <v>50</v>
          </cell>
          <cell r="F33">
            <v>382</v>
          </cell>
          <cell r="G33">
            <v>0.18</v>
          </cell>
          <cell r="H33">
            <v>150</v>
          </cell>
          <cell r="K33">
            <v>147</v>
          </cell>
          <cell r="L33">
            <v>-97</v>
          </cell>
          <cell r="P33">
            <v>10</v>
          </cell>
          <cell r="R33">
            <v>160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82</v>
          </cell>
          <cell r="D34">
            <v>3</v>
          </cell>
          <cell r="E34">
            <v>42</v>
          </cell>
          <cell r="F34">
            <v>31</v>
          </cell>
          <cell r="G34">
            <v>0.14000000000000001</v>
          </cell>
          <cell r="H34">
            <v>180</v>
          </cell>
          <cell r="K34">
            <v>46</v>
          </cell>
          <cell r="L34">
            <v>-4</v>
          </cell>
          <cell r="P34">
            <v>8.4</v>
          </cell>
          <cell r="Q34">
            <v>86.600000000000009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54</v>
          </cell>
          <cell r="D35">
            <v>40</v>
          </cell>
          <cell r="E35">
            <v>44</v>
          </cell>
          <cell r="F35">
            <v>29</v>
          </cell>
          <cell r="G35">
            <v>0.18</v>
          </cell>
          <cell r="H35">
            <v>270</v>
          </cell>
          <cell r="K35">
            <v>57</v>
          </cell>
          <cell r="L35">
            <v>-13</v>
          </cell>
          <cell r="O35">
            <v>16</v>
          </cell>
          <cell r="P35">
            <v>8.8000000000000007</v>
          </cell>
          <cell r="Q35">
            <v>87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80.75</v>
          </cell>
          <cell r="E36">
            <v>13.746</v>
          </cell>
          <cell r="F36">
            <v>60.235999999999997</v>
          </cell>
          <cell r="G36">
            <v>1</v>
          </cell>
          <cell r="H36">
            <v>180</v>
          </cell>
          <cell r="K36">
            <v>25</v>
          </cell>
          <cell r="L36">
            <v>-11.254</v>
          </cell>
          <cell r="P36">
            <v>2.7492000000000001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9.86</v>
          </cell>
          <cell r="E37">
            <v>6.6859999999999999</v>
          </cell>
          <cell r="G37">
            <v>1</v>
          </cell>
          <cell r="H37">
            <v>180</v>
          </cell>
          <cell r="K37">
            <v>7</v>
          </cell>
          <cell r="L37">
            <v>-0.31400000000000006</v>
          </cell>
          <cell r="O37">
            <v>16</v>
          </cell>
          <cell r="P37">
            <v>1.3371999999999999</v>
          </cell>
          <cell r="Q37">
            <v>4.0579999999999998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64.331999999999994</v>
          </cell>
          <cell r="D38">
            <v>5.6859999999999999</v>
          </cell>
          <cell r="E38">
            <v>28.437999999999999</v>
          </cell>
          <cell r="F38">
            <v>32.917999999999999</v>
          </cell>
          <cell r="G38">
            <v>1</v>
          </cell>
          <cell r="H38">
            <v>180</v>
          </cell>
          <cell r="K38">
            <v>36.200000000000003</v>
          </cell>
          <cell r="L38">
            <v>-7.762000000000004</v>
          </cell>
          <cell r="P38">
            <v>5.6875999999999998</v>
          </cell>
          <cell r="Q38">
            <v>52.395999999999994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121.77</v>
          </cell>
          <cell r="E39">
            <v>5.78</v>
          </cell>
          <cell r="F39">
            <v>115.99</v>
          </cell>
          <cell r="G39">
            <v>1</v>
          </cell>
          <cell r="H39">
            <v>180</v>
          </cell>
          <cell r="K39">
            <v>5</v>
          </cell>
          <cell r="L39">
            <v>0.78000000000000025</v>
          </cell>
          <cell r="P39">
            <v>1.1560000000000001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429</v>
          </cell>
          <cell r="D40">
            <v>10</v>
          </cell>
          <cell r="E40">
            <v>235</v>
          </cell>
          <cell r="F40">
            <v>137</v>
          </cell>
          <cell r="G40">
            <v>0.1</v>
          </cell>
          <cell r="H40">
            <v>60</v>
          </cell>
          <cell r="K40">
            <v>249</v>
          </cell>
          <cell r="L40">
            <v>-14</v>
          </cell>
          <cell r="O40">
            <v>90</v>
          </cell>
          <cell r="P40">
            <v>47</v>
          </cell>
          <cell r="Q40">
            <v>431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370</v>
          </cell>
          <cell r="D41">
            <v>39</v>
          </cell>
          <cell r="E41">
            <v>164</v>
          </cell>
          <cell r="F41">
            <v>161</v>
          </cell>
          <cell r="G41">
            <v>0.1</v>
          </cell>
          <cell r="H41">
            <v>90</v>
          </cell>
          <cell r="K41">
            <v>202</v>
          </cell>
          <cell r="L41">
            <v>-38</v>
          </cell>
          <cell r="O41">
            <v>348</v>
          </cell>
          <cell r="P41">
            <v>32.799999999999997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6.3780000000000001</v>
          </cell>
          <cell r="E42">
            <v>6.3780000000000001</v>
          </cell>
          <cell r="G42">
            <v>1</v>
          </cell>
          <cell r="K42">
            <v>8.4</v>
          </cell>
          <cell r="L42">
            <v>-2.0220000000000002</v>
          </cell>
          <cell r="O42">
            <v>6</v>
          </cell>
          <cell r="P42">
            <v>1.2756000000000001</v>
          </cell>
          <cell r="Q42">
            <v>13.134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134</v>
          </cell>
          <cell r="D43">
            <v>7</v>
          </cell>
          <cell r="E43">
            <v>76</v>
          </cell>
          <cell r="F43">
            <v>42</v>
          </cell>
          <cell r="G43">
            <v>0.14000000000000001</v>
          </cell>
          <cell r="H43">
            <v>180</v>
          </cell>
          <cell r="K43">
            <v>85</v>
          </cell>
          <cell r="L43">
            <v>-9</v>
          </cell>
          <cell r="P43">
            <v>15.2</v>
          </cell>
          <cell r="Q43">
            <v>155.6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88</v>
          </cell>
          <cell r="E44">
            <v>38</v>
          </cell>
          <cell r="F44">
            <v>50</v>
          </cell>
          <cell r="G44">
            <v>0.2</v>
          </cell>
          <cell r="H44">
            <v>120</v>
          </cell>
          <cell r="K44">
            <v>44</v>
          </cell>
          <cell r="L44">
            <v>-6</v>
          </cell>
          <cell r="P44">
            <v>7.6</v>
          </cell>
          <cell r="Q44">
            <v>64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80.346000000000004</v>
          </cell>
          <cell r="E45">
            <v>2.7759999999999998</v>
          </cell>
          <cell r="F45">
            <v>74.558000000000007</v>
          </cell>
          <cell r="G45">
            <v>1</v>
          </cell>
          <cell r="H45">
            <v>120</v>
          </cell>
          <cell r="K45">
            <v>3.5</v>
          </cell>
          <cell r="L45">
            <v>-0.7240000000000002</v>
          </cell>
          <cell r="P45">
            <v>0.55519999999999992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112</v>
          </cell>
          <cell r="E46">
            <v>37</v>
          </cell>
          <cell r="F46">
            <v>75</v>
          </cell>
          <cell r="G46">
            <v>0.2</v>
          </cell>
          <cell r="H46">
            <v>120</v>
          </cell>
          <cell r="K46">
            <v>43</v>
          </cell>
          <cell r="L46">
            <v>-6</v>
          </cell>
          <cell r="P46">
            <v>7.4</v>
          </cell>
          <cell r="Q46">
            <v>21.200000000000003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72.786000000000001</v>
          </cell>
          <cell r="D47">
            <v>3.306</v>
          </cell>
          <cell r="E47">
            <v>14.061999999999999</v>
          </cell>
          <cell r="F47">
            <v>55.045999999999999</v>
          </cell>
          <cell r="G47">
            <v>1</v>
          </cell>
          <cell r="H47">
            <v>120</v>
          </cell>
          <cell r="K47">
            <v>17.5</v>
          </cell>
          <cell r="L47">
            <v>-3.4380000000000006</v>
          </cell>
          <cell r="P47">
            <v>2.8123999999999998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2" sqref="AK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5.28515625" customWidth="1"/>
    <col min="10" max="10" width="1" customWidth="1"/>
    <col min="11" max="12" width="7" customWidth="1"/>
    <col min="13" max="14" width="0.42578125" customWidth="1"/>
    <col min="15" max="21" width="7" customWidth="1"/>
    <col min="22" max="24" width="7" style="14" customWidth="1"/>
    <col min="25" max="26" width="5" customWidth="1"/>
    <col min="27" max="36" width="6" customWidth="1"/>
    <col min="37" max="37" width="30.7109375" customWidth="1"/>
    <col min="38" max="39" width="7" customWidth="1"/>
    <col min="40" max="54" width="3" customWidth="1"/>
  </cols>
  <sheetData>
    <row r="1" spans="1:5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99</v>
      </c>
      <c r="S3" s="3" t="s">
        <v>93</v>
      </c>
      <c r="T3" s="3" t="s">
        <v>96</v>
      </c>
      <c r="U3" s="3" t="s">
        <v>96</v>
      </c>
      <c r="V3" s="3" t="s">
        <v>90</v>
      </c>
      <c r="W3" s="3" t="s">
        <v>90</v>
      </c>
      <c r="X3" s="3" t="s">
        <v>95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94</v>
      </c>
      <c r="T4" s="1" t="s">
        <v>97</v>
      </c>
      <c r="U4" s="1" t="s">
        <v>98</v>
      </c>
      <c r="V4" s="1" t="s">
        <v>91</v>
      </c>
      <c r="W4" s="1" t="s">
        <v>92</v>
      </c>
      <c r="X4" s="1" t="s">
        <v>91</v>
      </c>
      <c r="Y4" s="1"/>
      <c r="Z4" s="1"/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/>
      <c r="AL4" s="1"/>
      <c r="AM4" s="1" t="s">
        <v>94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SUM(E6:E499)</f>
        <v>2799.9300000000003</v>
      </c>
      <c r="F5" s="4">
        <f>SUM(F6:F499)</f>
        <v>3474.3509999999997</v>
      </c>
      <c r="G5" s="7"/>
      <c r="H5" s="1"/>
      <c r="I5" s="1"/>
      <c r="J5" s="1"/>
      <c r="K5" s="4">
        <f t="shared" ref="K5:T5" si="0">SUM(K6:K499)</f>
        <v>3478.2379999999998</v>
      </c>
      <c r="L5" s="4">
        <f t="shared" si="0"/>
        <v>-678.30800000000022</v>
      </c>
      <c r="M5" s="4">
        <f t="shared" si="0"/>
        <v>0</v>
      </c>
      <c r="N5" s="4">
        <f t="shared" si="0"/>
        <v>0</v>
      </c>
      <c r="O5" s="4">
        <f t="shared" si="0"/>
        <v>1859</v>
      </c>
      <c r="P5" s="4">
        <f t="shared" si="0"/>
        <v>559.98599999999999</v>
      </c>
      <c r="Q5" s="4">
        <f t="shared" si="0"/>
        <v>3523.9369999999994</v>
      </c>
      <c r="R5" s="4">
        <f t="shared" si="0"/>
        <v>3924.5369999999998</v>
      </c>
      <c r="S5" s="4">
        <f t="shared" si="0"/>
        <v>160</v>
      </c>
      <c r="T5" s="4">
        <f t="shared" si="0"/>
        <v>3885</v>
      </c>
      <c r="U5" s="4">
        <f t="shared" ref="U5" si="1">SUM(U6:U499)</f>
        <v>160</v>
      </c>
      <c r="V5" s="4"/>
      <c r="W5" s="4"/>
      <c r="X5" s="4"/>
      <c r="Y5" s="1"/>
      <c r="Z5" s="1"/>
      <c r="AA5" s="4">
        <f t="shared" ref="AA5:AJ5" si="2">SUM(AA6:AA499)</f>
        <v>430.42060000000004</v>
      </c>
      <c r="AB5" s="4">
        <f t="shared" si="2"/>
        <v>432.49839999999995</v>
      </c>
      <c r="AC5" s="4">
        <f t="shared" si="2"/>
        <v>540.87959999999975</v>
      </c>
      <c r="AD5" s="4">
        <f t="shared" si="2"/>
        <v>359.47259999999989</v>
      </c>
      <c r="AE5" s="4">
        <f t="shared" si="2"/>
        <v>466.03420000000006</v>
      </c>
      <c r="AF5" s="4">
        <f t="shared" si="2"/>
        <v>440.05199999999996</v>
      </c>
      <c r="AG5" s="4">
        <f t="shared" si="2"/>
        <v>293.5243999999999</v>
      </c>
      <c r="AH5" s="4">
        <f t="shared" si="2"/>
        <v>493.16799999999995</v>
      </c>
      <c r="AI5" s="4">
        <f t="shared" si="2"/>
        <v>453.59320000000014</v>
      </c>
      <c r="AJ5" s="4">
        <f t="shared" si="2"/>
        <v>562.35560000000009</v>
      </c>
      <c r="AK5" s="1"/>
      <c r="AL5" s="4">
        <f>SUM(AL6:AL499)</f>
        <v>963.15699999999981</v>
      </c>
      <c r="AM5" s="4">
        <f>SUM(AM6:AM499)</f>
        <v>28.799999999999997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34</v>
      </c>
      <c r="B6" s="1" t="s">
        <v>35</v>
      </c>
      <c r="C6" s="1">
        <v>70</v>
      </c>
      <c r="D6" s="1"/>
      <c r="E6" s="1">
        <v>4</v>
      </c>
      <c r="F6" s="1">
        <v>66</v>
      </c>
      <c r="G6" s="7">
        <v>5.5E-2</v>
      </c>
      <c r="H6" s="1">
        <v>120</v>
      </c>
      <c r="I6" s="1"/>
      <c r="J6" s="1"/>
      <c r="K6" s="1">
        <v>4</v>
      </c>
      <c r="L6" s="1">
        <f t="shared" ref="L6:L47" si="3">E6-K6</f>
        <v>0</v>
      </c>
      <c r="M6" s="1"/>
      <c r="N6" s="1"/>
      <c r="O6" s="1"/>
      <c r="P6" s="1">
        <f>E6/5</f>
        <v>0.8</v>
      </c>
      <c r="Q6" s="5"/>
      <c r="R6" s="5">
        <f>Q6</f>
        <v>0</v>
      </c>
      <c r="S6" s="5"/>
      <c r="T6" s="5"/>
      <c r="U6" s="5"/>
      <c r="V6" s="13"/>
      <c r="W6" s="13"/>
      <c r="X6" s="13"/>
      <c r="Y6" s="1">
        <f>(F6+O6+R6)/P6</f>
        <v>82.5</v>
      </c>
      <c r="Z6" s="1">
        <f>(F6+O6)/P6</f>
        <v>82.5</v>
      </c>
      <c r="AA6" s="1">
        <v>3.6</v>
      </c>
      <c r="AB6" s="1">
        <v>3.2</v>
      </c>
      <c r="AC6" s="1">
        <v>3.2</v>
      </c>
      <c r="AD6" s="1">
        <v>0</v>
      </c>
      <c r="AE6" s="1">
        <v>6.4</v>
      </c>
      <c r="AF6" s="1">
        <v>3.2</v>
      </c>
      <c r="AG6" s="1">
        <v>0</v>
      </c>
      <c r="AH6" s="1">
        <v>0</v>
      </c>
      <c r="AI6" s="1">
        <v>0</v>
      </c>
      <c r="AJ6" s="1">
        <v>0</v>
      </c>
      <c r="AK6" s="11" t="s">
        <v>89</v>
      </c>
      <c r="AL6" s="1">
        <f>G6*R6</f>
        <v>0</v>
      </c>
      <c r="AM6" s="1">
        <f>G6*S6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37</v>
      </c>
      <c r="B7" s="1" t="s">
        <v>35</v>
      </c>
      <c r="C7" s="1">
        <v>68</v>
      </c>
      <c r="D7" s="1">
        <v>24</v>
      </c>
      <c r="E7" s="1">
        <v>7</v>
      </c>
      <c r="F7" s="1">
        <v>85</v>
      </c>
      <c r="G7" s="7">
        <v>0.1</v>
      </c>
      <c r="H7" s="1">
        <v>120</v>
      </c>
      <c r="I7" s="1"/>
      <c r="J7" s="1"/>
      <c r="K7" s="1">
        <v>7</v>
      </c>
      <c r="L7" s="1">
        <f t="shared" si="3"/>
        <v>0</v>
      </c>
      <c r="M7" s="1"/>
      <c r="N7" s="1"/>
      <c r="O7" s="1"/>
      <c r="P7" s="1">
        <f t="shared" ref="P7:P47" si="4">E7/5</f>
        <v>1.4</v>
      </c>
      <c r="Q7" s="5"/>
      <c r="R7" s="5">
        <f t="shared" ref="R7:R47" si="5">Q7</f>
        <v>0</v>
      </c>
      <c r="S7" s="5"/>
      <c r="T7" s="5"/>
      <c r="U7" s="5"/>
      <c r="V7" s="13"/>
      <c r="W7" s="13"/>
      <c r="X7" s="13"/>
      <c r="Y7" s="1">
        <f t="shared" ref="Y7:Y47" si="6">(F7+O7+R7)/P7</f>
        <v>60.714285714285715</v>
      </c>
      <c r="Z7" s="1">
        <f t="shared" ref="Z7:Z47" si="7">(F7+O7)/P7</f>
        <v>60.714285714285715</v>
      </c>
      <c r="AA7" s="1">
        <v>2</v>
      </c>
      <c r="AB7" s="1">
        <v>6</v>
      </c>
      <c r="AC7" s="1">
        <v>2.6</v>
      </c>
      <c r="AD7" s="1">
        <v>1</v>
      </c>
      <c r="AE7" s="1">
        <v>6</v>
      </c>
      <c r="AF7" s="1">
        <v>3</v>
      </c>
      <c r="AG7" s="1">
        <v>0</v>
      </c>
      <c r="AH7" s="1">
        <v>0</v>
      </c>
      <c r="AI7" s="1">
        <v>0</v>
      </c>
      <c r="AJ7" s="1">
        <v>0</v>
      </c>
      <c r="AK7" s="11" t="s">
        <v>89</v>
      </c>
      <c r="AL7" s="1">
        <f t="shared" ref="AL7:AL47" si="8">G7*R7</f>
        <v>0</v>
      </c>
      <c r="AM7" s="1">
        <f t="shared" ref="AM7:AM47" si="9">G7*S7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38</v>
      </c>
      <c r="B8" s="1" t="s">
        <v>35</v>
      </c>
      <c r="C8" s="1">
        <v>28</v>
      </c>
      <c r="D8" s="1">
        <v>24</v>
      </c>
      <c r="E8" s="1">
        <v>11</v>
      </c>
      <c r="F8" s="1">
        <v>36</v>
      </c>
      <c r="G8" s="7">
        <v>0.1</v>
      </c>
      <c r="H8" s="1">
        <v>120</v>
      </c>
      <c r="I8" s="1"/>
      <c r="J8" s="1"/>
      <c r="K8" s="1">
        <v>11</v>
      </c>
      <c r="L8" s="1">
        <f t="shared" si="3"/>
        <v>0</v>
      </c>
      <c r="M8" s="1"/>
      <c r="N8" s="1"/>
      <c r="O8" s="1"/>
      <c r="P8" s="1">
        <f t="shared" si="4"/>
        <v>2.2000000000000002</v>
      </c>
      <c r="Q8" s="5"/>
      <c r="R8" s="5">
        <f t="shared" si="5"/>
        <v>0</v>
      </c>
      <c r="S8" s="5"/>
      <c r="T8" s="5"/>
      <c r="U8" s="5"/>
      <c r="V8" s="13"/>
      <c r="W8" s="13"/>
      <c r="X8" s="13"/>
      <c r="Y8" s="1">
        <f t="shared" si="6"/>
        <v>16.363636363636363</v>
      </c>
      <c r="Z8" s="1">
        <f t="shared" si="7"/>
        <v>16.363636363636363</v>
      </c>
      <c r="AA8" s="1">
        <v>1.2</v>
      </c>
      <c r="AB8" s="1">
        <v>3.2</v>
      </c>
      <c r="AC8" s="1">
        <v>1.4</v>
      </c>
      <c r="AD8" s="1">
        <v>3</v>
      </c>
      <c r="AE8" s="1">
        <v>2.2000000000000002</v>
      </c>
      <c r="AF8" s="1">
        <v>2.4</v>
      </c>
      <c r="AG8" s="1">
        <v>0</v>
      </c>
      <c r="AH8" s="1">
        <v>0</v>
      </c>
      <c r="AI8" s="1">
        <v>0</v>
      </c>
      <c r="AJ8" s="1">
        <v>0</v>
      </c>
      <c r="AK8" s="12" t="s">
        <v>36</v>
      </c>
      <c r="AL8" s="1">
        <f t="shared" si="8"/>
        <v>0</v>
      </c>
      <c r="AM8" s="1">
        <f t="shared" si="9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39</v>
      </c>
      <c r="B9" s="1" t="s">
        <v>40</v>
      </c>
      <c r="C9" s="1">
        <v>25.187000000000001</v>
      </c>
      <c r="D9" s="1">
        <v>30.861999999999998</v>
      </c>
      <c r="E9" s="1">
        <v>32.567999999999998</v>
      </c>
      <c r="F9" s="1">
        <v>15.555</v>
      </c>
      <c r="G9" s="7">
        <v>1</v>
      </c>
      <c r="H9" s="1">
        <v>120</v>
      </c>
      <c r="I9" s="1"/>
      <c r="J9" s="1"/>
      <c r="K9" s="1">
        <v>36.637999999999998</v>
      </c>
      <c r="L9" s="1">
        <f t="shared" si="3"/>
        <v>-4.07</v>
      </c>
      <c r="M9" s="1"/>
      <c r="N9" s="1"/>
      <c r="O9" s="1">
        <v>75</v>
      </c>
      <c r="P9" s="1">
        <f t="shared" si="4"/>
        <v>6.5135999999999994</v>
      </c>
      <c r="Q9" s="5">
        <f t="shared" ref="Q9:Q44" si="10">15*P9-O9-F9</f>
        <v>7.1489999999999938</v>
      </c>
      <c r="R9" s="5">
        <f t="shared" si="5"/>
        <v>7.1489999999999938</v>
      </c>
      <c r="S9" s="5"/>
      <c r="T9" s="5">
        <f>VLOOKUP(A9,заказ!A:B,2,0)</f>
        <v>5</v>
      </c>
      <c r="U9" s="5"/>
      <c r="V9" s="13"/>
      <c r="W9" s="13"/>
      <c r="X9" s="13"/>
      <c r="Y9" s="1">
        <f t="shared" si="6"/>
        <v>15.000000000000002</v>
      </c>
      <c r="Z9" s="1">
        <f t="shared" si="7"/>
        <v>13.902450257921888</v>
      </c>
      <c r="AA9" s="1">
        <v>8.3613999999999997</v>
      </c>
      <c r="AB9" s="1">
        <v>5.9184000000000001</v>
      </c>
      <c r="AC9" s="1">
        <v>5.1240000000000014</v>
      </c>
      <c r="AD9" s="1">
        <v>2.4895999999999998</v>
      </c>
      <c r="AE9" s="1">
        <v>4.2826000000000004</v>
      </c>
      <c r="AF9" s="1">
        <v>8.3127999999999993</v>
      </c>
      <c r="AG9" s="1">
        <v>1.8976</v>
      </c>
      <c r="AH9" s="1">
        <v>7.5635999999999992</v>
      </c>
      <c r="AI9" s="1">
        <v>6.4903999999999993</v>
      </c>
      <c r="AJ9" s="1">
        <v>13.103199999999999</v>
      </c>
      <c r="AK9" s="1"/>
      <c r="AL9" s="1">
        <f t="shared" si="8"/>
        <v>7.1489999999999938</v>
      </c>
      <c r="AM9" s="1">
        <f t="shared" si="9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9" t="s">
        <v>41</v>
      </c>
      <c r="B10" s="1" t="s">
        <v>35</v>
      </c>
      <c r="C10" s="1"/>
      <c r="D10" s="1"/>
      <c r="E10" s="1">
        <v>-2</v>
      </c>
      <c r="F10" s="1"/>
      <c r="G10" s="7">
        <v>0.18</v>
      </c>
      <c r="H10" s="1">
        <v>180</v>
      </c>
      <c r="I10" s="1"/>
      <c r="J10" s="1"/>
      <c r="K10" s="1">
        <v>5</v>
      </c>
      <c r="L10" s="1">
        <f t="shared" si="3"/>
        <v>-7</v>
      </c>
      <c r="M10" s="1"/>
      <c r="N10" s="1"/>
      <c r="O10" s="1">
        <v>0</v>
      </c>
      <c r="P10" s="1">
        <f t="shared" si="4"/>
        <v>-0.4</v>
      </c>
      <c r="Q10" s="5">
        <v>24</v>
      </c>
      <c r="R10" s="5">
        <f t="shared" si="5"/>
        <v>24</v>
      </c>
      <c r="S10" s="5"/>
      <c r="T10" s="16">
        <v>0</v>
      </c>
      <c r="U10" s="5"/>
      <c r="V10" s="13"/>
      <c r="W10" s="13"/>
      <c r="X10" s="13"/>
      <c r="Y10" s="1">
        <f t="shared" si="6"/>
        <v>-60</v>
      </c>
      <c r="Z10" s="1">
        <f t="shared" si="7"/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0</v>
      </c>
      <c r="AH10" s="1">
        <v>2</v>
      </c>
      <c r="AI10" s="1">
        <v>0.6</v>
      </c>
      <c r="AJ10" s="1">
        <v>1.8</v>
      </c>
      <c r="AK10" s="1" t="s">
        <v>100</v>
      </c>
      <c r="AL10" s="1">
        <f t="shared" si="8"/>
        <v>4.32</v>
      </c>
      <c r="AM10" s="1">
        <f t="shared" si="9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9" t="s">
        <v>42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3"/>
        <v>0</v>
      </c>
      <c r="M11" s="1"/>
      <c r="N11" s="1"/>
      <c r="O11" s="1">
        <v>0</v>
      </c>
      <c r="P11" s="1">
        <f t="shared" si="4"/>
        <v>0</v>
      </c>
      <c r="Q11" s="5">
        <v>24</v>
      </c>
      <c r="R11" s="5">
        <f t="shared" si="5"/>
        <v>24</v>
      </c>
      <c r="S11" s="5"/>
      <c r="T11" s="16">
        <v>0</v>
      </c>
      <c r="U11" s="5"/>
      <c r="V11" s="13"/>
      <c r="W11" s="13"/>
      <c r="X11" s="13"/>
      <c r="Y11" s="1" t="e">
        <f t="shared" si="6"/>
        <v>#DIV/0!</v>
      </c>
      <c r="Z11" s="1" t="e">
        <f t="shared" si="7"/>
        <v>#DIV/0!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</v>
      </c>
      <c r="AG11" s="1">
        <v>0</v>
      </c>
      <c r="AH11" s="1">
        <v>1.2</v>
      </c>
      <c r="AI11" s="1">
        <v>0</v>
      </c>
      <c r="AJ11" s="1">
        <v>2</v>
      </c>
      <c r="AK11" s="1" t="s">
        <v>100</v>
      </c>
      <c r="AL11" s="1">
        <f t="shared" si="8"/>
        <v>4.32</v>
      </c>
      <c r="AM11" s="1">
        <f t="shared" si="9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43</v>
      </c>
      <c r="B12" s="1" t="s">
        <v>40</v>
      </c>
      <c r="C12" s="1">
        <v>80.543999999999997</v>
      </c>
      <c r="D12" s="1"/>
      <c r="E12" s="1">
        <v>19.495999999999999</v>
      </c>
      <c r="F12" s="1">
        <v>61.048000000000002</v>
      </c>
      <c r="G12" s="7">
        <v>1</v>
      </c>
      <c r="H12" s="1">
        <v>180</v>
      </c>
      <c r="I12" s="1"/>
      <c r="J12" s="1"/>
      <c r="K12" s="1">
        <v>20</v>
      </c>
      <c r="L12" s="1">
        <f t="shared" si="3"/>
        <v>-0.50400000000000134</v>
      </c>
      <c r="M12" s="1"/>
      <c r="N12" s="1"/>
      <c r="O12" s="1"/>
      <c r="P12" s="1">
        <f t="shared" si="4"/>
        <v>3.8991999999999996</v>
      </c>
      <c r="Q12" s="5"/>
      <c r="R12" s="5">
        <f t="shared" si="5"/>
        <v>0</v>
      </c>
      <c r="S12" s="5"/>
      <c r="T12" s="5"/>
      <c r="U12" s="5"/>
      <c r="V12" s="13"/>
      <c r="W12" s="13"/>
      <c r="X12" s="13"/>
      <c r="Y12" s="1">
        <f t="shared" si="6"/>
        <v>15.656544932293807</v>
      </c>
      <c r="Z12" s="1">
        <f t="shared" si="7"/>
        <v>15.656544932293807</v>
      </c>
      <c r="AA12" s="1">
        <v>1.3051999999999999</v>
      </c>
      <c r="AB12" s="1">
        <v>0.63680000000000003</v>
      </c>
      <c r="AC12" s="1">
        <v>1.2988</v>
      </c>
      <c r="AD12" s="1">
        <v>1.2927999999999999</v>
      </c>
      <c r="AE12" s="1">
        <v>0.72399999999999998</v>
      </c>
      <c r="AF12" s="1">
        <v>1.9139999999999999</v>
      </c>
      <c r="AG12" s="1">
        <v>0.628</v>
      </c>
      <c r="AH12" s="1">
        <v>6.628400000000001</v>
      </c>
      <c r="AI12" s="1">
        <v>1.3204</v>
      </c>
      <c r="AJ12" s="1">
        <v>5.8715999999999999</v>
      </c>
      <c r="AK12" s="1"/>
      <c r="AL12" s="1">
        <f t="shared" si="8"/>
        <v>0</v>
      </c>
      <c r="AM12" s="1">
        <f t="shared" si="9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45</v>
      </c>
      <c r="B13" s="1" t="s">
        <v>35</v>
      </c>
      <c r="C13" s="1">
        <v>140</v>
      </c>
      <c r="D13" s="1"/>
      <c r="E13" s="1">
        <v>7</v>
      </c>
      <c r="F13" s="1">
        <v>133</v>
      </c>
      <c r="G13" s="7">
        <v>0.82450000000000001</v>
      </c>
      <c r="H13" s="1">
        <v>180</v>
      </c>
      <c r="I13" s="1"/>
      <c r="J13" s="1"/>
      <c r="K13" s="1">
        <v>9</v>
      </c>
      <c r="L13" s="1">
        <f t="shared" si="3"/>
        <v>-2</v>
      </c>
      <c r="M13" s="1"/>
      <c r="N13" s="1"/>
      <c r="O13" s="1"/>
      <c r="P13" s="1">
        <f t="shared" si="4"/>
        <v>1.4</v>
      </c>
      <c r="Q13" s="5"/>
      <c r="R13" s="5">
        <f t="shared" si="5"/>
        <v>0</v>
      </c>
      <c r="S13" s="5"/>
      <c r="T13" s="5"/>
      <c r="U13" s="5"/>
      <c r="V13" s="13"/>
      <c r="W13" s="13"/>
      <c r="X13" s="13"/>
      <c r="Y13" s="1">
        <f t="shared" si="6"/>
        <v>95</v>
      </c>
      <c r="Z13" s="1">
        <f t="shared" si="7"/>
        <v>95</v>
      </c>
      <c r="AA13" s="1">
        <v>0</v>
      </c>
      <c r="AB13" s="1">
        <v>0.4</v>
      </c>
      <c r="AC13" s="1">
        <v>0</v>
      </c>
      <c r="AD13" s="1">
        <v>0</v>
      </c>
      <c r="AE13" s="1">
        <v>0</v>
      </c>
      <c r="AF13" s="1">
        <v>0.6</v>
      </c>
      <c r="AG13" s="1">
        <v>0</v>
      </c>
      <c r="AH13" s="1">
        <v>0</v>
      </c>
      <c r="AI13" s="1">
        <v>0</v>
      </c>
      <c r="AJ13" s="1">
        <v>0</v>
      </c>
      <c r="AK13" s="11" t="s">
        <v>44</v>
      </c>
      <c r="AL13" s="1">
        <f t="shared" si="8"/>
        <v>0</v>
      </c>
      <c r="AM13" s="1">
        <f t="shared" si="9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46</v>
      </c>
      <c r="B14" s="1" t="s">
        <v>35</v>
      </c>
      <c r="C14" s="1">
        <v>272</v>
      </c>
      <c r="D14" s="1">
        <v>55</v>
      </c>
      <c r="E14" s="1">
        <v>93</v>
      </c>
      <c r="F14" s="1">
        <v>192</v>
      </c>
      <c r="G14" s="7">
        <v>0.372</v>
      </c>
      <c r="H14" s="1">
        <v>180</v>
      </c>
      <c r="I14" s="1"/>
      <c r="J14" s="1"/>
      <c r="K14" s="1">
        <v>102</v>
      </c>
      <c r="L14" s="1">
        <f t="shared" si="3"/>
        <v>-9</v>
      </c>
      <c r="M14" s="1"/>
      <c r="N14" s="1"/>
      <c r="O14" s="1"/>
      <c r="P14" s="1">
        <f t="shared" si="4"/>
        <v>18.600000000000001</v>
      </c>
      <c r="Q14" s="5">
        <f>13*P14-O14-F14</f>
        <v>49.800000000000011</v>
      </c>
      <c r="R14" s="5">
        <v>120</v>
      </c>
      <c r="S14" s="5"/>
      <c r="T14" s="5">
        <f>VLOOKUP(A14,заказ!A:B,2,0)</f>
        <v>120</v>
      </c>
      <c r="U14" s="5"/>
      <c r="V14" s="13">
        <f>VLOOKUP(A14,[1]Sheet!$A:$R,18,0)</f>
        <v>120</v>
      </c>
      <c r="W14" s="13"/>
      <c r="X14" s="13"/>
      <c r="Y14" s="1">
        <f t="shared" si="6"/>
        <v>16.774193548387096</v>
      </c>
      <c r="Z14" s="1">
        <f t="shared" si="7"/>
        <v>10.32258064516129</v>
      </c>
      <c r="AA14" s="1">
        <v>7.6</v>
      </c>
      <c r="AB14" s="1">
        <v>2.4</v>
      </c>
      <c r="AC14" s="1">
        <v>9.8000000000000007</v>
      </c>
      <c r="AD14" s="1">
        <v>16.2</v>
      </c>
      <c r="AE14" s="1">
        <v>15.2</v>
      </c>
      <c r="AF14" s="1">
        <v>4.5999999999999996</v>
      </c>
      <c r="AG14" s="1">
        <v>5</v>
      </c>
      <c r="AH14" s="1">
        <v>16</v>
      </c>
      <c r="AI14" s="1">
        <v>2.6</v>
      </c>
      <c r="AJ14" s="1">
        <v>29.8</v>
      </c>
      <c r="AK14" s="1"/>
      <c r="AL14" s="1">
        <f t="shared" si="8"/>
        <v>44.64</v>
      </c>
      <c r="AM14" s="1">
        <f t="shared" si="9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47</v>
      </c>
      <c r="B15" s="1" t="s">
        <v>35</v>
      </c>
      <c r="C15" s="1">
        <v>-2</v>
      </c>
      <c r="D15" s="1"/>
      <c r="E15" s="1"/>
      <c r="F15" s="1">
        <v>-2</v>
      </c>
      <c r="G15" s="7">
        <v>0.74399999999999999</v>
      </c>
      <c r="H15" s="1">
        <v>180</v>
      </c>
      <c r="I15" s="1"/>
      <c r="J15" s="1"/>
      <c r="K15" s="1">
        <v>13</v>
      </c>
      <c r="L15" s="1">
        <f t="shared" si="3"/>
        <v>-13</v>
      </c>
      <c r="M15" s="1"/>
      <c r="N15" s="1"/>
      <c r="O15" s="1">
        <v>24</v>
      </c>
      <c r="P15" s="1">
        <f t="shared" si="4"/>
        <v>0</v>
      </c>
      <c r="Q15" s="5"/>
      <c r="R15" s="5">
        <v>190</v>
      </c>
      <c r="S15" s="5"/>
      <c r="T15" s="5">
        <f>VLOOKUP(A15,заказ!A:B,2,0)</f>
        <v>192</v>
      </c>
      <c r="U15" s="5"/>
      <c r="V15" s="15">
        <f>VLOOKUP(A15,[1]Sheet!$A:$R,18,0)</f>
        <v>120</v>
      </c>
      <c r="W15" s="13"/>
      <c r="X15" s="13">
        <v>190</v>
      </c>
      <c r="Y15" s="1" t="e">
        <f>(F15+O15+R15)/P15</f>
        <v>#DIV/0!</v>
      </c>
      <c r="Z15" s="1" t="e">
        <f t="shared" si="7"/>
        <v>#DIV/0!</v>
      </c>
      <c r="AA15" s="1">
        <v>1</v>
      </c>
      <c r="AB15" s="1">
        <v>6.6</v>
      </c>
      <c r="AC15" s="1">
        <v>6.4</v>
      </c>
      <c r="AD15" s="1">
        <v>2.8</v>
      </c>
      <c r="AE15" s="1">
        <v>2.6</v>
      </c>
      <c r="AF15" s="1">
        <v>4</v>
      </c>
      <c r="AG15" s="1">
        <v>2.6</v>
      </c>
      <c r="AH15" s="1">
        <v>4</v>
      </c>
      <c r="AI15" s="1">
        <v>2.4</v>
      </c>
      <c r="AJ15" s="1">
        <v>8.4</v>
      </c>
      <c r="AK15" s="1" t="s">
        <v>48</v>
      </c>
      <c r="AL15" s="1">
        <f t="shared" si="8"/>
        <v>141.35999999999999</v>
      </c>
      <c r="AM15" s="1">
        <f t="shared" si="9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49</v>
      </c>
      <c r="B16" s="1" t="s">
        <v>35</v>
      </c>
      <c r="C16" s="1">
        <v>357</v>
      </c>
      <c r="D16" s="1">
        <v>163</v>
      </c>
      <c r="E16" s="1">
        <v>176</v>
      </c>
      <c r="F16" s="1">
        <v>268</v>
      </c>
      <c r="G16" s="7">
        <v>0.372</v>
      </c>
      <c r="H16" s="1">
        <v>180</v>
      </c>
      <c r="I16" s="1"/>
      <c r="J16" s="1"/>
      <c r="K16" s="1">
        <v>198</v>
      </c>
      <c r="L16" s="1">
        <f t="shared" si="3"/>
        <v>-22</v>
      </c>
      <c r="M16" s="1"/>
      <c r="N16" s="1"/>
      <c r="O16" s="1"/>
      <c r="P16" s="1">
        <f t="shared" si="4"/>
        <v>35.200000000000003</v>
      </c>
      <c r="Q16" s="5">
        <f>13*P16-O16-F16</f>
        <v>189.60000000000002</v>
      </c>
      <c r="R16" s="5">
        <v>240</v>
      </c>
      <c r="S16" s="5"/>
      <c r="T16" s="5">
        <f>VLOOKUP(A16,заказ!A:B,2,0)</f>
        <v>240</v>
      </c>
      <c r="U16" s="5"/>
      <c r="V16" s="13">
        <f>VLOOKUP(A16,[1]Sheet!$A:$R,18,0)</f>
        <v>240</v>
      </c>
      <c r="W16" s="13"/>
      <c r="X16" s="13"/>
      <c r="Y16" s="1">
        <f t="shared" si="6"/>
        <v>14.43181818181818</v>
      </c>
      <c r="Z16" s="1">
        <f t="shared" si="7"/>
        <v>7.6136363636363633</v>
      </c>
      <c r="AA16" s="1">
        <v>11.6</v>
      </c>
      <c r="AB16" s="1">
        <v>10.199999999999999</v>
      </c>
      <c r="AC16" s="1">
        <v>16.2</v>
      </c>
      <c r="AD16" s="1">
        <v>7.8</v>
      </c>
      <c r="AE16" s="1">
        <v>15.4</v>
      </c>
      <c r="AF16" s="1">
        <v>15.8</v>
      </c>
      <c r="AG16" s="1">
        <v>10</v>
      </c>
      <c r="AH16" s="1">
        <v>20.399999999999999</v>
      </c>
      <c r="AI16" s="1">
        <v>8.8000000000000007</v>
      </c>
      <c r="AJ16" s="1">
        <v>42.8</v>
      </c>
      <c r="AK16" s="1"/>
      <c r="AL16" s="1">
        <f t="shared" si="8"/>
        <v>89.28</v>
      </c>
      <c r="AM16" s="1">
        <f t="shared" si="9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50</v>
      </c>
      <c r="B17" s="1" t="s">
        <v>35</v>
      </c>
      <c r="C17" s="1">
        <v>-4</v>
      </c>
      <c r="D17" s="1">
        <v>96</v>
      </c>
      <c r="E17" s="1">
        <v>59</v>
      </c>
      <c r="F17" s="1">
        <v>2</v>
      </c>
      <c r="G17" s="7">
        <v>0.74399999999999999</v>
      </c>
      <c r="H17" s="1">
        <v>180</v>
      </c>
      <c r="I17" s="1"/>
      <c r="J17" s="1"/>
      <c r="K17" s="1">
        <v>101</v>
      </c>
      <c r="L17" s="1">
        <f t="shared" si="3"/>
        <v>-42</v>
      </c>
      <c r="M17" s="1"/>
      <c r="N17" s="1"/>
      <c r="O17" s="1"/>
      <c r="P17" s="1">
        <f t="shared" si="4"/>
        <v>11.8</v>
      </c>
      <c r="Q17" s="5">
        <f>10*P17-O17-F17</f>
        <v>116</v>
      </c>
      <c r="R17" s="5">
        <v>180</v>
      </c>
      <c r="S17" s="5"/>
      <c r="T17" s="5">
        <f>VLOOKUP(A17,заказ!A:B,2,0)</f>
        <v>180</v>
      </c>
      <c r="U17" s="5"/>
      <c r="V17" s="15">
        <f>VLOOKUP(A17,[1]Sheet!$A:$R,18,0)</f>
        <v>120</v>
      </c>
      <c r="W17" s="13"/>
      <c r="X17" s="13">
        <v>180</v>
      </c>
      <c r="Y17" s="1">
        <f t="shared" si="6"/>
        <v>15.423728813559322</v>
      </c>
      <c r="Z17" s="1">
        <f t="shared" si="7"/>
        <v>0.16949152542372881</v>
      </c>
      <c r="AA17" s="1">
        <v>4</v>
      </c>
      <c r="AB17" s="1">
        <v>11</v>
      </c>
      <c r="AC17" s="1">
        <v>8.4</v>
      </c>
      <c r="AD17" s="1">
        <v>3.2</v>
      </c>
      <c r="AE17" s="1">
        <v>12.4</v>
      </c>
      <c r="AF17" s="1">
        <v>1.8</v>
      </c>
      <c r="AG17" s="1">
        <v>5.8</v>
      </c>
      <c r="AH17" s="1">
        <v>6.2</v>
      </c>
      <c r="AI17" s="1">
        <v>7</v>
      </c>
      <c r="AJ17" s="1">
        <v>15.8</v>
      </c>
      <c r="AK17" s="1" t="s">
        <v>51</v>
      </c>
      <c r="AL17" s="1">
        <f t="shared" si="8"/>
        <v>133.91999999999999</v>
      </c>
      <c r="AM17" s="1">
        <f t="shared" si="9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52</v>
      </c>
      <c r="B18" s="1" t="s">
        <v>35</v>
      </c>
      <c r="C18" s="1">
        <v>62</v>
      </c>
      <c r="D18" s="1">
        <v>21</v>
      </c>
      <c r="E18" s="1">
        <v>29</v>
      </c>
      <c r="F18" s="1">
        <v>42</v>
      </c>
      <c r="G18" s="7">
        <v>0.18</v>
      </c>
      <c r="H18" s="1">
        <v>270</v>
      </c>
      <c r="I18" s="1"/>
      <c r="J18" s="1"/>
      <c r="K18" s="1">
        <v>37</v>
      </c>
      <c r="L18" s="1">
        <f t="shared" si="3"/>
        <v>-8</v>
      </c>
      <c r="M18" s="1"/>
      <c r="N18" s="1"/>
      <c r="O18" s="1"/>
      <c r="P18" s="1">
        <f t="shared" si="4"/>
        <v>5.8</v>
      </c>
      <c r="Q18" s="5">
        <f t="shared" si="10"/>
        <v>45</v>
      </c>
      <c r="R18" s="5">
        <f t="shared" si="5"/>
        <v>45</v>
      </c>
      <c r="S18" s="5"/>
      <c r="T18" s="5">
        <f>VLOOKUP(A18,заказ!A:B,2,0)</f>
        <v>48</v>
      </c>
      <c r="U18" s="5"/>
      <c r="V18" s="13"/>
      <c r="W18" s="13"/>
      <c r="X18" s="13"/>
      <c r="Y18" s="1">
        <f t="shared" si="6"/>
        <v>15</v>
      </c>
      <c r="Z18" s="1">
        <f t="shared" si="7"/>
        <v>7.2413793103448274</v>
      </c>
      <c r="AA18" s="1">
        <v>5</v>
      </c>
      <c r="AB18" s="1">
        <v>5.8</v>
      </c>
      <c r="AC18" s="1">
        <v>6.8</v>
      </c>
      <c r="AD18" s="1">
        <v>9</v>
      </c>
      <c r="AE18" s="1">
        <v>5.8</v>
      </c>
      <c r="AF18" s="1">
        <v>4.4000000000000004</v>
      </c>
      <c r="AG18" s="1">
        <v>2</v>
      </c>
      <c r="AH18" s="1">
        <v>3.6</v>
      </c>
      <c r="AI18" s="1">
        <v>6.2</v>
      </c>
      <c r="AJ18" s="1">
        <v>9.1999999999999993</v>
      </c>
      <c r="AK18" s="1"/>
      <c r="AL18" s="1">
        <f t="shared" si="8"/>
        <v>8.1</v>
      </c>
      <c r="AM18" s="1">
        <f t="shared" si="9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53</v>
      </c>
      <c r="B19" s="1" t="s">
        <v>35</v>
      </c>
      <c r="C19" s="1">
        <v>52</v>
      </c>
      <c r="D19" s="1">
        <v>16</v>
      </c>
      <c r="E19" s="1">
        <v>38</v>
      </c>
      <c r="F19" s="1">
        <v>21</v>
      </c>
      <c r="G19" s="7">
        <v>0.18</v>
      </c>
      <c r="H19" s="1">
        <v>270</v>
      </c>
      <c r="I19" s="1"/>
      <c r="J19" s="1"/>
      <c r="K19" s="1">
        <v>41</v>
      </c>
      <c r="L19" s="1">
        <f t="shared" si="3"/>
        <v>-3</v>
      </c>
      <c r="M19" s="1"/>
      <c r="N19" s="1"/>
      <c r="O19" s="1">
        <v>16</v>
      </c>
      <c r="P19" s="1">
        <f t="shared" si="4"/>
        <v>7.6</v>
      </c>
      <c r="Q19" s="5">
        <f t="shared" si="10"/>
        <v>77</v>
      </c>
      <c r="R19" s="5">
        <f t="shared" si="5"/>
        <v>77</v>
      </c>
      <c r="S19" s="5"/>
      <c r="T19" s="5">
        <f>VLOOKUP(A19,заказ!A:B,2,0)</f>
        <v>80</v>
      </c>
      <c r="U19" s="5"/>
      <c r="V19" s="13"/>
      <c r="W19" s="13"/>
      <c r="X19" s="13"/>
      <c r="Y19" s="1">
        <f t="shared" si="6"/>
        <v>15</v>
      </c>
      <c r="Z19" s="1">
        <f t="shared" si="7"/>
        <v>4.8684210526315788</v>
      </c>
      <c r="AA19" s="1">
        <v>4.8</v>
      </c>
      <c r="AB19" s="1">
        <v>5.8</v>
      </c>
      <c r="AC19" s="1">
        <v>5.8</v>
      </c>
      <c r="AD19" s="1">
        <v>9.1999999999999993</v>
      </c>
      <c r="AE19" s="1">
        <v>5.2</v>
      </c>
      <c r="AF19" s="1">
        <v>4.4000000000000004</v>
      </c>
      <c r="AG19" s="1">
        <v>3.2</v>
      </c>
      <c r="AH19" s="1">
        <v>5.4</v>
      </c>
      <c r="AI19" s="1">
        <v>6.6</v>
      </c>
      <c r="AJ19" s="1">
        <v>9.6</v>
      </c>
      <c r="AK19" s="1"/>
      <c r="AL19" s="1">
        <f t="shared" si="8"/>
        <v>13.86</v>
      </c>
      <c r="AM19" s="1">
        <f t="shared" si="9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54</v>
      </c>
      <c r="B20" s="1" t="s">
        <v>35</v>
      </c>
      <c r="C20" s="1">
        <v>359</v>
      </c>
      <c r="D20" s="1">
        <v>92</v>
      </c>
      <c r="E20" s="1">
        <v>196</v>
      </c>
      <c r="F20" s="1">
        <v>160</v>
      </c>
      <c r="G20" s="7">
        <v>0.18</v>
      </c>
      <c r="H20" s="1">
        <v>180</v>
      </c>
      <c r="I20" s="1"/>
      <c r="J20" s="1"/>
      <c r="K20" s="1">
        <v>268</v>
      </c>
      <c r="L20" s="1">
        <f t="shared" si="3"/>
        <v>-72</v>
      </c>
      <c r="M20" s="1"/>
      <c r="N20" s="1"/>
      <c r="O20" s="1">
        <v>200</v>
      </c>
      <c r="P20" s="1">
        <f t="shared" si="4"/>
        <v>39.200000000000003</v>
      </c>
      <c r="Q20" s="5">
        <f t="shared" si="10"/>
        <v>228</v>
      </c>
      <c r="R20" s="5">
        <f t="shared" si="5"/>
        <v>228</v>
      </c>
      <c r="S20" s="5"/>
      <c r="T20" s="5">
        <f>VLOOKUP(A20,заказ!A:B,2,0)</f>
        <v>230</v>
      </c>
      <c r="U20" s="5"/>
      <c r="V20" s="13"/>
      <c r="W20" s="13"/>
      <c r="X20" s="13"/>
      <c r="Y20" s="1">
        <f t="shared" si="6"/>
        <v>14.999999999999998</v>
      </c>
      <c r="Z20" s="1">
        <f t="shared" si="7"/>
        <v>9.1836734693877542</v>
      </c>
      <c r="AA20" s="1">
        <v>38.6</v>
      </c>
      <c r="AB20" s="1">
        <v>36.6</v>
      </c>
      <c r="AC20" s="1">
        <v>46.2</v>
      </c>
      <c r="AD20" s="1">
        <v>38</v>
      </c>
      <c r="AE20" s="1">
        <v>34</v>
      </c>
      <c r="AF20" s="1">
        <v>30.078800000000001</v>
      </c>
      <c r="AG20" s="1">
        <v>33.799999999999997</v>
      </c>
      <c r="AH20" s="1">
        <v>46</v>
      </c>
      <c r="AI20" s="1">
        <v>63</v>
      </c>
      <c r="AJ20" s="1">
        <v>56.6</v>
      </c>
      <c r="AK20" s="1"/>
      <c r="AL20" s="1">
        <f t="shared" si="8"/>
        <v>41.04</v>
      </c>
      <c r="AM20" s="1">
        <f t="shared" si="9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55</v>
      </c>
      <c r="B21" s="1" t="s">
        <v>35</v>
      </c>
      <c r="C21" s="1">
        <v>251</v>
      </c>
      <c r="D21" s="1">
        <v>31</v>
      </c>
      <c r="E21" s="1">
        <v>103</v>
      </c>
      <c r="F21" s="1">
        <v>122</v>
      </c>
      <c r="G21" s="7">
        <v>0.18</v>
      </c>
      <c r="H21" s="1">
        <v>180</v>
      </c>
      <c r="I21" s="1"/>
      <c r="J21" s="1"/>
      <c r="K21" s="1">
        <v>156</v>
      </c>
      <c r="L21" s="1">
        <f t="shared" si="3"/>
        <v>-53</v>
      </c>
      <c r="M21" s="1"/>
      <c r="N21" s="1"/>
      <c r="O21" s="1">
        <v>60</v>
      </c>
      <c r="P21" s="1">
        <f t="shared" si="4"/>
        <v>20.6</v>
      </c>
      <c r="Q21" s="5">
        <f t="shared" si="10"/>
        <v>127</v>
      </c>
      <c r="R21" s="5">
        <f t="shared" si="5"/>
        <v>127</v>
      </c>
      <c r="S21" s="5"/>
      <c r="T21" s="5">
        <f>VLOOKUP(A21,заказ!A:B,2,0)</f>
        <v>130</v>
      </c>
      <c r="U21" s="5"/>
      <c r="V21" s="13"/>
      <c r="W21" s="13"/>
      <c r="X21" s="13"/>
      <c r="Y21" s="1">
        <f t="shared" si="6"/>
        <v>14.999999999999998</v>
      </c>
      <c r="Z21" s="1">
        <f t="shared" si="7"/>
        <v>8.8349514563106784</v>
      </c>
      <c r="AA21" s="1">
        <v>19.2</v>
      </c>
      <c r="AB21" s="1">
        <v>15</v>
      </c>
      <c r="AC21" s="1">
        <v>26.6</v>
      </c>
      <c r="AD21" s="1">
        <v>30.6</v>
      </c>
      <c r="AE21" s="1">
        <v>17.600000000000001</v>
      </c>
      <c r="AF21" s="1">
        <v>16.2</v>
      </c>
      <c r="AG21" s="1">
        <v>9.1999999999999993</v>
      </c>
      <c r="AH21" s="1">
        <v>27.6</v>
      </c>
      <c r="AI21" s="1">
        <v>28.4</v>
      </c>
      <c r="AJ21" s="1">
        <v>18.8</v>
      </c>
      <c r="AK21" s="1"/>
      <c r="AL21" s="1">
        <f t="shared" si="8"/>
        <v>22.86</v>
      </c>
      <c r="AM21" s="1">
        <f t="shared" si="9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56</v>
      </c>
      <c r="B22" s="1" t="s">
        <v>35</v>
      </c>
      <c r="C22" s="1">
        <v>31</v>
      </c>
      <c r="D22" s="1"/>
      <c r="E22" s="1">
        <v>-2</v>
      </c>
      <c r="F22" s="1">
        <v>31</v>
      </c>
      <c r="G22" s="7">
        <v>0.4</v>
      </c>
      <c r="H22" s="1">
        <v>270</v>
      </c>
      <c r="I22" s="1"/>
      <c r="J22" s="1"/>
      <c r="K22" s="1">
        <v>25</v>
      </c>
      <c r="L22" s="1">
        <f t="shared" si="3"/>
        <v>-27</v>
      </c>
      <c r="M22" s="1"/>
      <c r="N22" s="1"/>
      <c r="O22" s="1"/>
      <c r="P22" s="1">
        <f t="shared" si="4"/>
        <v>-0.4</v>
      </c>
      <c r="Q22" s="5"/>
      <c r="R22" s="5">
        <f t="shared" si="5"/>
        <v>0</v>
      </c>
      <c r="S22" s="5"/>
      <c r="T22" s="5"/>
      <c r="U22" s="5"/>
      <c r="V22" s="13"/>
      <c r="W22" s="13"/>
      <c r="X22" s="13"/>
      <c r="Y22" s="1">
        <f t="shared" si="6"/>
        <v>-77.5</v>
      </c>
      <c r="Z22" s="1">
        <f t="shared" si="7"/>
        <v>-77.5</v>
      </c>
      <c r="AA22" s="1">
        <v>-0.4</v>
      </c>
      <c r="AB22" s="1">
        <v>0</v>
      </c>
      <c r="AC22" s="1">
        <v>0</v>
      </c>
      <c r="AD22" s="1">
        <v>0</v>
      </c>
      <c r="AE22" s="1">
        <v>-0.4</v>
      </c>
      <c r="AF22" s="1">
        <v>0</v>
      </c>
      <c r="AG22" s="1">
        <v>0.4</v>
      </c>
      <c r="AH22" s="1">
        <v>0.4</v>
      </c>
      <c r="AI22" s="1">
        <v>0.4</v>
      </c>
      <c r="AJ22" s="1">
        <v>0.8</v>
      </c>
      <c r="AK22" s="11" t="s">
        <v>44</v>
      </c>
      <c r="AL22" s="1">
        <f t="shared" si="8"/>
        <v>0</v>
      </c>
      <c r="AM22" s="1">
        <f t="shared" si="9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57</v>
      </c>
      <c r="B23" s="1" t="s">
        <v>35</v>
      </c>
      <c r="C23" s="1">
        <v>26</v>
      </c>
      <c r="D23" s="1"/>
      <c r="E23" s="1">
        <v>6</v>
      </c>
      <c r="F23" s="1">
        <v>18</v>
      </c>
      <c r="G23" s="7">
        <v>0.4</v>
      </c>
      <c r="H23" s="1">
        <v>270</v>
      </c>
      <c r="I23" s="1"/>
      <c r="J23" s="1"/>
      <c r="K23" s="1">
        <v>6</v>
      </c>
      <c r="L23" s="1">
        <f t="shared" si="3"/>
        <v>0</v>
      </c>
      <c r="M23" s="1"/>
      <c r="N23" s="1"/>
      <c r="O23" s="1"/>
      <c r="P23" s="1">
        <f t="shared" si="4"/>
        <v>1.2</v>
      </c>
      <c r="Q23" s="5"/>
      <c r="R23" s="5">
        <f t="shared" si="5"/>
        <v>0</v>
      </c>
      <c r="S23" s="5"/>
      <c r="T23" s="5"/>
      <c r="U23" s="5"/>
      <c r="V23" s="13"/>
      <c r="W23" s="13"/>
      <c r="X23" s="13"/>
      <c r="Y23" s="1">
        <f t="shared" si="6"/>
        <v>15</v>
      </c>
      <c r="Z23" s="1">
        <f t="shared" si="7"/>
        <v>15</v>
      </c>
      <c r="AA23" s="1">
        <v>0.4</v>
      </c>
      <c r="AB23" s="1">
        <v>2</v>
      </c>
      <c r="AC23" s="1">
        <v>0.6</v>
      </c>
      <c r="AD23" s="1">
        <v>0.4</v>
      </c>
      <c r="AE23" s="1">
        <v>0.4</v>
      </c>
      <c r="AF23" s="1">
        <v>0</v>
      </c>
      <c r="AG23" s="1">
        <v>0</v>
      </c>
      <c r="AH23" s="1">
        <v>1.6</v>
      </c>
      <c r="AI23" s="1">
        <v>0.8</v>
      </c>
      <c r="AJ23" s="1">
        <v>1</v>
      </c>
      <c r="AK23" s="1"/>
      <c r="AL23" s="1">
        <f t="shared" si="8"/>
        <v>0</v>
      </c>
      <c r="AM23" s="1">
        <f t="shared" si="9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58</v>
      </c>
      <c r="B24" s="1" t="s">
        <v>35</v>
      </c>
      <c r="C24" s="1">
        <v>167</v>
      </c>
      <c r="D24" s="1">
        <v>137.22999999999999</v>
      </c>
      <c r="E24" s="1">
        <v>88</v>
      </c>
      <c r="F24" s="1">
        <v>200</v>
      </c>
      <c r="G24" s="7">
        <v>0.18</v>
      </c>
      <c r="H24" s="1">
        <v>150</v>
      </c>
      <c r="I24" s="1"/>
      <c r="J24" s="1"/>
      <c r="K24" s="1">
        <v>105</v>
      </c>
      <c r="L24" s="1">
        <f t="shared" si="3"/>
        <v>-17</v>
      </c>
      <c r="M24" s="1"/>
      <c r="N24" s="1"/>
      <c r="O24" s="1"/>
      <c r="P24" s="1">
        <f t="shared" si="4"/>
        <v>17.600000000000001</v>
      </c>
      <c r="Q24" s="5">
        <f t="shared" si="10"/>
        <v>64</v>
      </c>
      <c r="R24" s="5">
        <v>90</v>
      </c>
      <c r="S24" s="5"/>
      <c r="T24" s="5">
        <f>VLOOKUP(A24,заказ!A:B,2,0)</f>
        <v>90</v>
      </c>
      <c r="U24" s="5"/>
      <c r="V24" s="13">
        <f>VLOOKUP(A24,[1]Sheet!$A:$R,18,0)</f>
        <v>90</v>
      </c>
      <c r="W24" s="13"/>
      <c r="X24" s="13"/>
      <c r="Y24" s="1">
        <f t="shared" si="6"/>
        <v>16.477272727272727</v>
      </c>
      <c r="Z24" s="1">
        <f t="shared" si="7"/>
        <v>11.363636363636363</v>
      </c>
      <c r="AA24" s="1">
        <v>1.6</v>
      </c>
      <c r="AB24" s="1">
        <v>1</v>
      </c>
      <c r="AC24" s="1">
        <v>11.8</v>
      </c>
      <c r="AD24" s="1">
        <v>2.6</v>
      </c>
      <c r="AE24" s="1">
        <v>6.8</v>
      </c>
      <c r="AF24" s="1">
        <v>13.2</v>
      </c>
      <c r="AG24" s="1">
        <v>10.6</v>
      </c>
      <c r="AH24" s="1">
        <v>12.2</v>
      </c>
      <c r="AI24" s="1">
        <v>8.8000000000000007</v>
      </c>
      <c r="AJ24" s="1">
        <v>5.8</v>
      </c>
      <c r="AK24" s="1"/>
      <c r="AL24" s="1">
        <f t="shared" si="8"/>
        <v>16.2</v>
      </c>
      <c r="AM24" s="1">
        <f t="shared" si="9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59</v>
      </c>
      <c r="B25" s="1" t="s">
        <v>35</v>
      </c>
      <c r="C25" s="1">
        <v>337</v>
      </c>
      <c r="D25" s="1">
        <v>4</v>
      </c>
      <c r="E25" s="1">
        <v>125</v>
      </c>
      <c r="F25" s="1">
        <v>173</v>
      </c>
      <c r="G25" s="7">
        <v>0.1</v>
      </c>
      <c r="H25" s="1">
        <v>90</v>
      </c>
      <c r="I25" s="1"/>
      <c r="J25" s="1"/>
      <c r="K25" s="1">
        <v>131</v>
      </c>
      <c r="L25" s="1">
        <f t="shared" si="3"/>
        <v>-6</v>
      </c>
      <c r="M25" s="1"/>
      <c r="N25" s="1"/>
      <c r="O25" s="1">
        <v>16</v>
      </c>
      <c r="P25" s="1">
        <f t="shared" si="4"/>
        <v>25</v>
      </c>
      <c r="Q25" s="5">
        <f t="shared" si="10"/>
        <v>186</v>
      </c>
      <c r="R25" s="5">
        <f t="shared" si="5"/>
        <v>186</v>
      </c>
      <c r="S25" s="5"/>
      <c r="T25" s="5">
        <f>VLOOKUP(A25,заказ!A:B,2,0)</f>
        <v>184</v>
      </c>
      <c r="U25" s="5"/>
      <c r="V25" s="13"/>
      <c r="W25" s="13"/>
      <c r="X25" s="13"/>
      <c r="Y25" s="1">
        <f t="shared" si="6"/>
        <v>15</v>
      </c>
      <c r="Z25" s="1">
        <f t="shared" si="7"/>
        <v>7.56</v>
      </c>
      <c r="AA25" s="1">
        <v>22.4</v>
      </c>
      <c r="AB25" s="1">
        <v>14.6</v>
      </c>
      <c r="AC25" s="1">
        <v>17.399999999999999</v>
      </c>
      <c r="AD25" s="1">
        <v>11</v>
      </c>
      <c r="AE25" s="1">
        <v>36.4</v>
      </c>
      <c r="AF25" s="1">
        <v>20</v>
      </c>
      <c r="AG25" s="1">
        <v>16.2</v>
      </c>
      <c r="AH25" s="1">
        <v>20.8</v>
      </c>
      <c r="AI25" s="1">
        <v>14</v>
      </c>
      <c r="AJ25" s="1">
        <v>21.4</v>
      </c>
      <c r="AK25" s="1"/>
      <c r="AL25" s="1">
        <f t="shared" si="8"/>
        <v>18.600000000000001</v>
      </c>
      <c r="AM25" s="1">
        <f t="shared" si="9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60</v>
      </c>
      <c r="B26" s="1" t="s">
        <v>35</v>
      </c>
      <c r="C26" s="1">
        <v>151</v>
      </c>
      <c r="D26" s="1">
        <v>192</v>
      </c>
      <c r="E26" s="1">
        <v>135</v>
      </c>
      <c r="F26" s="1">
        <v>190</v>
      </c>
      <c r="G26" s="7">
        <v>0.1</v>
      </c>
      <c r="H26" s="1">
        <v>60</v>
      </c>
      <c r="I26" s="1"/>
      <c r="J26" s="1"/>
      <c r="K26" s="1">
        <v>154</v>
      </c>
      <c r="L26" s="1">
        <f t="shared" si="3"/>
        <v>-19</v>
      </c>
      <c r="M26" s="1"/>
      <c r="N26" s="1"/>
      <c r="O26" s="1"/>
      <c r="P26" s="1">
        <f t="shared" si="4"/>
        <v>27</v>
      </c>
      <c r="Q26" s="5">
        <f t="shared" si="10"/>
        <v>215</v>
      </c>
      <c r="R26" s="5">
        <f t="shared" si="5"/>
        <v>215</v>
      </c>
      <c r="S26" s="5"/>
      <c r="T26" s="5">
        <f>VLOOKUP(A26,заказ!A:B,2,0)</f>
        <v>216</v>
      </c>
      <c r="U26" s="5"/>
      <c r="V26" s="13"/>
      <c r="W26" s="13"/>
      <c r="X26" s="13"/>
      <c r="Y26" s="1">
        <f t="shared" si="6"/>
        <v>15</v>
      </c>
      <c r="Z26" s="1">
        <f t="shared" si="7"/>
        <v>7.0370370370370372</v>
      </c>
      <c r="AA26" s="1">
        <v>15.8</v>
      </c>
      <c r="AB26" s="1">
        <v>26.2</v>
      </c>
      <c r="AC26" s="1">
        <v>15</v>
      </c>
      <c r="AD26" s="1">
        <v>25.4</v>
      </c>
      <c r="AE26" s="1">
        <v>25.2</v>
      </c>
      <c r="AF26" s="1">
        <v>12.2</v>
      </c>
      <c r="AG26" s="1">
        <v>6.6</v>
      </c>
      <c r="AH26" s="1">
        <v>17.600000000000001</v>
      </c>
      <c r="AI26" s="1">
        <v>8</v>
      </c>
      <c r="AJ26" s="1">
        <v>5.2</v>
      </c>
      <c r="AK26" s="1"/>
      <c r="AL26" s="1">
        <f t="shared" si="8"/>
        <v>21.5</v>
      </c>
      <c r="AM26" s="1">
        <f t="shared" si="9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61</v>
      </c>
      <c r="B27" s="1" t="s">
        <v>35</v>
      </c>
      <c r="C27" s="1">
        <v>193</v>
      </c>
      <c r="D27" s="1">
        <v>8</v>
      </c>
      <c r="E27" s="1">
        <v>92</v>
      </c>
      <c r="F27" s="1">
        <v>86</v>
      </c>
      <c r="G27" s="7">
        <v>0.1</v>
      </c>
      <c r="H27" s="1">
        <v>90</v>
      </c>
      <c r="I27" s="1"/>
      <c r="J27" s="1"/>
      <c r="K27" s="1">
        <v>110</v>
      </c>
      <c r="L27" s="1">
        <f t="shared" si="3"/>
        <v>-18</v>
      </c>
      <c r="M27" s="1"/>
      <c r="N27" s="1"/>
      <c r="O27" s="1">
        <v>72</v>
      </c>
      <c r="P27" s="1">
        <f t="shared" si="4"/>
        <v>18.399999999999999</v>
      </c>
      <c r="Q27" s="5">
        <f t="shared" si="10"/>
        <v>118</v>
      </c>
      <c r="R27" s="5">
        <f t="shared" si="5"/>
        <v>118</v>
      </c>
      <c r="S27" s="5"/>
      <c r="T27" s="5">
        <f>VLOOKUP(A27,заказ!A:B,2,0)</f>
        <v>120</v>
      </c>
      <c r="U27" s="5"/>
      <c r="V27" s="13"/>
      <c r="W27" s="13"/>
      <c r="X27" s="13"/>
      <c r="Y27" s="1">
        <f t="shared" si="6"/>
        <v>15.000000000000002</v>
      </c>
      <c r="Z27" s="1">
        <f t="shared" si="7"/>
        <v>8.5869565217391308</v>
      </c>
      <c r="AA27" s="1">
        <v>16.8</v>
      </c>
      <c r="AB27" s="1">
        <v>11.2</v>
      </c>
      <c r="AC27" s="1">
        <v>17.8</v>
      </c>
      <c r="AD27" s="1">
        <v>21</v>
      </c>
      <c r="AE27" s="1">
        <v>16.600000000000001</v>
      </c>
      <c r="AF27" s="1">
        <v>15</v>
      </c>
      <c r="AG27" s="1">
        <v>13.2</v>
      </c>
      <c r="AH27" s="1">
        <v>17.600000000000001</v>
      </c>
      <c r="AI27" s="1">
        <v>10</v>
      </c>
      <c r="AJ27" s="1">
        <v>18.2</v>
      </c>
      <c r="AK27" s="1"/>
      <c r="AL27" s="1">
        <f t="shared" si="8"/>
        <v>11.8</v>
      </c>
      <c r="AM27" s="1">
        <f t="shared" si="9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62</v>
      </c>
      <c r="B28" s="1" t="s">
        <v>35</v>
      </c>
      <c r="C28" s="1">
        <v>59</v>
      </c>
      <c r="D28" s="1">
        <v>7</v>
      </c>
      <c r="E28" s="1">
        <v>62</v>
      </c>
      <c r="F28" s="1">
        <v>-8</v>
      </c>
      <c r="G28" s="7">
        <v>0.18</v>
      </c>
      <c r="H28" s="1">
        <v>150</v>
      </c>
      <c r="I28" s="1"/>
      <c r="J28" s="1"/>
      <c r="K28" s="1">
        <v>91</v>
      </c>
      <c r="L28" s="1">
        <f t="shared" si="3"/>
        <v>-29</v>
      </c>
      <c r="M28" s="1"/>
      <c r="N28" s="1"/>
      <c r="O28" s="1"/>
      <c r="P28" s="1">
        <f t="shared" si="4"/>
        <v>12.4</v>
      </c>
      <c r="Q28" s="5">
        <f>10*P28-O28-F28</f>
        <v>132</v>
      </c>
      <c r="R28" s="5">
        <f t="shared" si="5"/>
        <v>132</v>
      </c>
      <c r="S28" s="5"/>
      <c r="T28" s="5">
        <f>VLOOKUP(A28,заказ!A:B,2,0)</f>
        <v>130</v>
      </c>
      <c r="U28" s="5"/>
      <c r="V28" s="13"/>
      <c r="W28" s="13"/>
      <c r="X28" s="13"/>
      <c r="Y28" s="1">
        <f t="shared" si="6"/>
        <v>10</v>
      </c>
      <c r="Z28" s="1">
        <f t="shared" si="7"/>
        <v>-0.64516129032258063</v>
      </c>
      <c r="AA28" s="1">
        <v>2</v>
      </c>
      <c r="AB28" s="1">
        <v>7</v>
      </c>
      <c r="AC28" s="1">
        <v>19</v>
      </c>
      <c r="AD28" s="1">
        <v>16.2</v>
      </c>
      <c r="AE28" s="1">
        <v>13.8</v>
      </c>
      <c r="AF28" s="1">
        <v>5.2</v>
      </c>
      <c r="AG28" s="1">
        <v>8.4</v>
      </c>
      <c r="AH28" s="1">
        <v>11.2</v>
      </c>
      <c r="AI28" s="1">
        <v>17.8</v>
      </c>
      <c r="AJ28" s="1">
        <v>14.6</v>
      </c>
      <c r="AK28" s="1" t="s">
        <v>63</v>
      </c>
      <c r="AL28" s="1">
        <f t="shared" si="8"/>
        <v>23.759999999999998</v>
      </c>
      <c r="AM28" s="1">
        <f t="shared" si="9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64</v>
      </c>
      <c r="B29" s="1" t="s">
        <v>35</v>
      </c>
      <c r="C29" s="1">
        <v>402</v>
      </c>
      <c r="D29" s="1">
        <v>104</v>
      </c>
      <c r="E29" s="1">
        <v>358</v>
      </c>
      <c r="F29" s="1">
        <v>24</v>
      </c>
      <c r="G29" s="7">
        <v>0.18</v>
      </c>
      <c r="H29" s="1">
        <v>150</v>
      </c>
      <c r="I29" s="1"/>
      <c r="J29" s="1"/>
      <c r="K29" s="1">
        <v>378</v>
      </c>
      <c r="L29" s="1">
        <f t="shared" si="3"/>
        <v>-20</v>
      </c>
      <c r="M29" s="1"/>
      <c r="N29" s="1"/>
      <c r="O29" s="1">
        <v>420</v>
      </c>
      <c r="P29" s="1">
        <f t="shared" si="4"/>
        <v>71.599999999999994</v>
      </c>
      <c r="Q29" s="5">
        <f>14*P29-O29-F29</f>
        <v>558.39999999999986</v>
      </c>
      <c r="R29" s="5">
        <f t="shared" si="5"/>
        <v>558.39999999999986</v>
      </c>
      <c r="S29" s="5"/>
      <c r="T29" s="5">
        <f>VLOOKUP(A29,заказ!A:B,2,0)</f>
        <v>560</v>
      </c>
      <c r="U29" s="5"/>
      <c r="V29" s="13"/>
      <c r="W29" s="13"/>
      <c r="X29" s="13"/>
      <c r="Y29" s="1">
        <f t="shared" si="6"/>
        <v>14</v>
      </c>
      <c r="Z29" s="1">
        <f t="shared" si="7"/>
        <v>6.2011173184357551</v>
      </c>
      <c r="AA29" s="1">
        <v>57.6</v>
      </c>
      <c r="AB29" s="1">
        <v>47.8</v>
      </c>
      <c r="AC29" s="1">
        <v>68.599999999999994</v>
      </c>
      <c r="AD29" s="1">
        <v>30</v>
      </c>
      <c r="AE29" s="1">
        <v>58</v>
      </c>
      <c r="AF29" s="1">
        <v>69</v>
      </c>
      <c r="AG29" s="1">
        <v>36</v>
      </c>
      <c r="AH29" s="1">
        <v>58.4</v>
      </c>
      <c r="AI29" s="1">
        <v>37</v>
      </c>
      <c r="AJ29" s="1">
        <v>51.2</v>
      </c>
      <c r="AK29" s="1" t="s">
        <v>65</v>
      </c>
      <c r="AL29" s="1">
        <f t="shared" si="8"/>
        <v>100.51199999999997</v>
      </c>
      <c r="AM29" s="1">
        <f t="shared" si="9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66</v>
      </c>
      <c r="B30" s="1" t="s">
        <v>35</v>
      </c>
      <c r="C30" s="1">
        <v>114</v>
      </c>
      <c r="D30" s="1">
        <v>2</v>
      </c>
      <c r="E30" s="1">
        <v>22</v>
      </c>
      <c r="F30" s="1">
        <v>91</v>
      </c>
      <c r="G30" s="7">
        <v>0.18</v>
      </c>
      <c r="H30" s="1">
        <v>150</v>
      </c>
      <c r="I30" s="1"/>
      <c r="J30" s="1"/>
      <c r="K30" s="1">
        <v>40</v>
      </c>
      <c r="L30" s="1">
        <f t="shared" si="3"/>
        <v>-18</v>
      </c>
      <c r="M30" s="1"/>
      <c r="N30" s="1"/>
      <c r="O30" s="1"/>
      <c r="P30" s="1">
        <f t="shared" si="4"/>
        <v>4.4000000000000004</v>
      </c>
      <c r="Q30" s="5"/>
      <c r="R30" s="5">
        <f t="shared" si="5"/>
        <v>0</v>
      </c>
      <c r="S30" s="5"/>
      <c r="T30" s="5"/>
      <c r="U30" s="5"/>
      <c r="V30" s="13"/>
      <c r="W30" s="13"/>
      <c r="X30" s="13"/>
      <c r="Y30" s="1">
        <f t="shared" si="6"/>
        <v>20.68181818181818</v>
      </c>
      <c r="Z30" s="1">
        <f t="shared" si="7"/>
        <v>20.68181818181818</v>
      </c>
      <c r="AA30" s="1">
        <v>4.8</v>
      </c>
      <c r="AB30" s="1">
        <v>6</v>
      </c>
      <c r="AC30" s="1">
        <v>9</v>
      </c>
      <c r="AD30" s="1">
        <v>8.8000000000000007</v>
      </c>
      <c r="AE30" s="1">
        <v>5.6</v>
      </c>
      <c r="AF30" s="1">
        <v>4.5999999999999996</v>
      </c>
      <c r="AG30" s="1">
        <v>3.4</v>
      </c>
      <c r="AH30" s="1">
        <v>5.6</v>
      </c>
      <c r="AI30" s="1">
        <v>2.8</v>
      </c>
      <c r="AJ30" s="1">
        <v>6.2</v>
      </c>
      <c r="AK30" s="1" t="s">
        <v>67</v>
      </c>
      <c r="AL30" s="1">
        <f t="shared" si="8"/>
        <v>0</v>
      </c>
      <c r="AM30" s="1">
        <f t="shared" si="9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68</v>
      </c>
      <c r="B31" s="1" t="s">
        <v>35</v>
      </c>
      <c r="C31" s="1">
        <v>-1</v>
      </c>
      <c r="D31" s="1">
        <v>1</v>
      </c>
      <c r="E31" s="1"/>
      <c r="F31" s="1">
        <v>-1</v>
      </c>
      <c r="G31" s="7">
        <v>0.18</v>
      </c>
      <c r="H31" s="1">
        <v>150</v>
      </c>
      <c r="I31" s="1"/>
      <c r="J31" s="1"/>
      <c r="K31" s="1">
        <v>16</v>
      </c>
      <c r="L31" s="1">
        <f t="shared" si="3"/>
        <v>-16</v>
      </c>
      <c r="M31" s="1"/>
      <c r="N31" s="1"/>
      <c r="O31" s="1">
        <v>20</v>
      </c>
      <c r="P31" s="1">
        <f t="shared" si="4"/>
        <v>0</v>
      </c>
      <c r="Q31" s="5">
        <v>20</v>
      </c>
      <c r="R31" s="5">
        <f t="shared" si="5"/>
        <v>20</v>
      </c>
      <c r="S31" s="5"/>
      <c r="T31" s="5">
        <f>VLOOKUP(A31,заказ!A:B,2,0)</f>
        <v>20</v>
      </c>
      <c r="U31" s="5"/>
      <c r="V31" s="13"/>
      <c r="W31" s="13"/>
      <c r="X31" s="13"/>
      <c r="Y31" s="1" t="e">
        <f t="shared" si="6"/>
        <v>#DIV/0!</v>
      </c>
      <c r="Z31" s="1" t="e">
        <f t="shared" si="7"/>
        <v>#DIV/0!</v>
      </c>
      <c r="AA31" s="1">
        <v>0.8</v>
      </c>
      <c r="AB31" s="1">
        <v>2.6</v>
      </c>
      <c r="AC31" s="1">
        <v>4.4000000000000004</v>
      </c>
      <c r="AD31" s="1">
        <v>4.4000000000000004</v>
      </c>
      <c r="AE31" s="1">
        <v>2.8</v>
      </c>
      <c r="AF31" s="1">
        <v>2.6</v>
      </c>
      <c r="AG31" s="1">
        <v>2.6</v>
      </c>
      <c r="AH31" s="1">
        <v>3.2</v>
      </c>
      <c r="AI31" s="1">
        <v>0.8</v>
      </c>
      <c r="AJ31" s="1">
        <v>3.6</v>
      </c>
      <c r="AK31" s="1" t="s">
        <v>69</v>
      </c>
      <c r="AL31" s="1">
        <f t="shared" si="8"/>
        <v>3.5999999999999996</v>
      </c>
      <c r="AM31" s="1">
        <f t="shared" si="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70</v>
      </c>
      <c r="B32" s="1" t="s">
        <v>35</v>
      </c>
      <c r="C32" s="1">
        <v>696</v>
      </c>
      <c r="D32" s="1">
        <v>55</v>
      </c>
      <c r="E32" s="1">
        <v>377</v>
      </c>
      <c r="F32" s="1">
        <v>223</v>
      </c>
      <c r="G32" s="7">
        <v>0.18</v>
      </c>
      <c r="H32" s="1">
        <v>150</v>
      </c>
      <c r="I32" s="1"/>
      <c r="J32" s="1"/>
      <c r="K32" s="1">
        <v>438</v>
      </c>
      <c r="L32" s="1">
        <f t="shared" si="3"/>
        <v>-61</v>
      </c>
      <c r="M32" s="1"/>
      <c r="N32" s="1"/>
      <c r="O32" s="1">
        <v>480</v>
      </c>
      <c r="P32" s="1">
        <f t="shared" si="4"/>
        <v>75.400000000000006</v>
      </c>
      <c r="Q32" s="5">
        <f t="shared" si="10"/>
        <v>428</v>
      </c>
      <c r="R32" s="5">
        <f t="shared" si="5"/>
        <v>428</v>
      </c>
      <c r="S32" s="5"/>
      <c r="T32" s="5">
        <f>VLOOKUP(A32,заказ!A:B,2,0)</f>
        <v>430</v>
      </c>
      <c r="U32" s="5"/>
      <c r="V32" s="13"/>
      <c r="W32" s="13"/>
      <c r="X32" s="13"/>
      <c r="Y32" s="1">
        <f t="shared" si="6"/>
        <v>14.999999999999998</v>
      </c>
      <c r="Z32" s="1">
        <f t="shared" si="7"/>
        <v>9.3236074270557019</v>
      </c>
      <c r="AA32" s="1">
        <v>73.2</v>
      </c>
      <c r="AB32" s="1">
        <v>55.8</v>
      </c>
      <c r="AC32" s="1">
        <v>91.6</v>
      </c>
      <c r="AD32" s="1">
        <v>30.8</v>
      </c>
      <c r="AE32" s="1">
        <v>47.2</v>
      </c>
      <c r="AF32" s="1">
        <v>91</v>
      </c>
      <c r="AG32" s="1">
        <v>44.8</v>
      </c>
      <c r="AH32" s="1">
        <v>74.599999999999994</v>
      </c>
      <c r="AI32" s="1">
        <v>64.400000000000006</v>
      </c>
      <c r="AJ32" s="1">
        <v>50.2</v>
      </c>
      <c r="AK32" s="1"/>
      <c r="AL32" s="1">
        <f t="shared" si="8"/>
        <v>77.039999999999992</v>
      </c>
      <c r="AM32" s="1">
        <f t="shared" si="9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71</v>
      </c>
      <c r="B33" s="1" t="s">
        <v>35</v>
      </c>
      <c r="C33" s="1">
        <v>370</v>
      </c>
      <c r="D33" s="1">
        <v>162</v>
      </c>
      <c r="E33" s="1">
        <v>50</v>
      </c>
      <c r="F33" s="1">
        <v>382</v>
      </c>
      <c r="G33" s="7">
        <v>0.18</v>
      </c>
      <c r="H33" s="1">
        <v>150</v>
      </c>
      <c r="I33" s="1"/>
      <c r="J33" s="1"/>
      <c r="K33" s="1">
        <v>147</v>
      </c>
      <c r="L33" s="1">
        <f t="shared" si="3"/>
        <v>-97</v>
      </c>
      <c r="M33" s="1"/>
      <c r="N33" s="1"/>
      <c r="O33" s="1"/>
      <c r="P33" s="1">
        <f t="shared" si="4"/>
        <v>10</v>
      </c>
      <c r="Q33" s="5"/>
      <c r="R33" s="5">
        <f t="shared" si="5"/>
        <v>0</v>
      </c>
      <c r="S33" s="5">
        <v>160</v>
      </c>
      <c r="T33" s="5"/>
      <c r="U33" s="5">
        <f>VLOOKUP(A33,'заказ сети'!A:B,2,0)</f>
        <v>160</v>
      </c>
      <c r="V33" s="13"/>
      <c r="W33" s="13">
        <v>160</v>
      </c>
      <c r="X33" s="13"/>
      <c r="Y33" s="1">
        <f t="shared" si="6"/>
        <v>38.200000000000003</v>
      </c>
      <c r="Z33" s="1">
        <f t="shared" si="7"/>
        <v>38.200000000000003</v>
      </c>
      <c r="AA33" s="1">
        <v>14</v>
      </c>
      <c r="AB33" s="1">
        <v>34</v>
      </c>
      <c r="AC33" s="1">
        <v>14.2</v>
      </c>
      <c r="AD33" s="1">
        <v>8.4</v>
      </c>
      <c r="AE33" s="1">
        <v>6.4</v>
      </c>
      <c r="AF33" s="1">
        <v>5.4</v>
      </c>
      <c r="AG33" s="1">
        <v>17</v>
      </c>
      <c r="AH33" s="1">
        <v>11.8</v>
      </c>
      <c r="AI33" s="1">
        <v>27.6</v>
      </c>
      <c r="AJ33" s="1">
        <v>9</v>
      </c>
      <c r="AK33" s="11" t="s">
        <v>44</v>
      </c>
      <c r="AL33" s="1">
        <f t="shared" si="8"/>
        <v>0</v>
      </c>
      <c r="AM33" s="1">
        <f t="shared" si="9"/>
        <v>28.799999999999997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72</v>
      </c>
      <c r="B34" s="1" t="s">
        <v>35</v>
      </c>
      <c r="C34" s="1">
        <v>82</v>
      </c>
      <c r="D34" s="1">
        <v>3</v>
      </c>
      <c r="E34" s="1">
        <v>42</v>
      </c>
      <c r="F34" s="1">
        <v>31</v>
      </c>
      <c r="G34" s="7">
        <v>0.14000000000000001</v>
      </c>
      <c r="H34" s="1">
        <v>180</v>
      </c>
      <c r="I34" s="1"/>
      <c r="J34" s="1"/>
      <c r="K34" s="1">
        <v>46</v>
      </c>
      <c r="L34" s="1">
        <f t="shared" si="3"/>
        <v>-4</v>
      </c>
      <c r="M34" s="1"/>
      <c r="N34" s="1"/>
      <c r="O34" s="1"/>
      <c r="P34" s="1">
        <f t="shared" si="4"/>
        <v>8.4</v>
      </c>
      <c r="Q34" s="5">
        <f>14*P34-O34-F34</f>
        <v>86.600000000000009</v>
      </c>
      <c r="R34" s="5">
        <f t="shared" si="5"/>
        <v>86.600000000000009</v>
      </c>
      <c r="S34" s="5"/>
      <c r="T34" s="5">
        <f>VLOOKUP(A34,заказ!A:B,2,0)</f>
        <v>80</v>
      </c>
      <c r="U34" s="5"/>
      <c r="V34" s="13"/>
      <c r="W34" s="13"/>
      <c r="X34" s="13"/>
      <c r="Y34" s="1">
        <f t="shared" si="6"/>
        <v>14</v>
      </c>
      <c r="Z34" s="1">
        <f t="shared" si="7"/>
        <v>3.6904761904761902</v>
      </c>
      <c r="AA34" s="1">
        <v>5.2</v>
      </c>
      <c r="AB34" s="1">
        <v>3</v>
      </c>
      <c r="AC34" s="1">
        <v>7.6</v>
      </c>
      <c r="AD34" s="1">
        <v>9.1999999999999993</v>
      </c>
      <c r="AE34" s="1">
        <v>6.8</v>
      </c>
      <c r="AF34" s="1">
        <v>6</v>
      </c>
      <c r="AG34" s="1">
        <v>1.6</v>
      </c>
      <c r="AH34" s="1">
        <v>5.4</v>
      </c>
      <c r="AI34" s="1">
        <v>8.6</v>
      </c>
      <c r="AJ34" s="1">
        <v>9</v>
      </c>
      <c r="AK34" s="1"/>
      <c r="AL34" s="1">
        <f t="shared" si="8"/>
        <v>12.124000000000002</v>
      </c>
      <c r="AM34" s="1">
        <f t="shared" si="9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74</v>
      </c>
      <c r="B35" s="1" t="s">
        <v>35</v>
      </c>
      <c r="C35" s="1">
        <v>54</v>
      </c>
      <c r="D35" s="1">
        <v>40</v>
      </c>
      <c r="E35" s="1">
        <v>44</v>
      </c>
      <c r="F35" s="1">
        <v>29</v>
      </c>
      <c r="G35" s="7">
        <v>0.18</v>
      </c>
      <c r="H35" s="1">
        <v>270</v>
      </c>
      <c r="I35" s="1"/>
      <c r="J35" s="1"/>
      <c r="K35" s="1">
        <v>57</v>
      </c>
      <c r="L35" s="1">
        <f t="shared" si="3"/>
        <v>-13</v>
      </c>
      <c r="M35" s="1"/>
      <c r="N35" s="1"/>
      <c r="O35" s="1">
        <v>16</v>
      </c>
      <c r="P35" s="1">
        <f t="shared" si="4"/>
        <v>8.8000000000000007</v>
      </c>
      <c r="Q35" s="5">
        <f t="shared" si="10"/>
        <v>87</v>
      </c>
      <c r="R35" s="5">
        <f t="shared" si="5"/>
        <v>87</v>
      </c>
      <c r="S35" s="5"/>
      <c r="T35" s="5">
        <f>VLOOKUP(A35,заказ!A:B,2,0)</f>
        <v>80</v>
      </c>
      <c r="U35" s="5"/>
      <c r="V35" s="13"/>
      <c r="W35" s="13"/>
      <c r="X35" s="13"/>
      <c r="Y35" s="1">
        <f t="shared" si="6"/>
        <v>14.999999999999998</v>
      </c>
      <c r="Z35" s="1">
        <f t="shared" si="7"/>
        <v>5.1136363636363633</v>
      </c>
      <c r="AA35" s="1">
        <v>7</v>
      </c>
      <c r="AB35" s="1">
        <v>8</v>
      </c>
      <c r="AC35" s="1">
        <v>8</v>
      </c>
      <c r="AD35" s="1">
        <v>8.1999999999999993</v>
      </c>
      <c r="AE35" s="1">
        <v>9</v>
      </c>
      <c r="AF35" s="1">
        <v>7</v>
      </c>
      <c r="AG35" s="1">
        <v>5.4</v>
      </c>
      <c r="AH35" s="1">
        <v>5.8</v>
      </c>
      <c r="AI35" s="1">
        <v>8.8000000000000007</v>
      </c>
      <c r="AJ35" s="1">
        <v>9</v>
      </c>
      <c r="AK35" s="1"/>
      <c r="AL35" s="1">
        <f t="shared" si="8"/>
        <v>15.66</v>
      </c>
      <c r="AM35" s="1">
        <f t="shared" si="9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75</v>
      </c>
      <c r="B36" s="1" t="s">
        <v>40</v>
      </c>
      <c r="C36" s="1">
        <v>80.75</v>
      </c>
      <c r="D36" s="1"/>
      <c r="E36" s="1">
        <v>13.746</v>
      </c>
      <c r="F36" s="1">
        <v>60.235999999999997</v>
      </c>
      <c r="G36" s="7">
        <v>1</v>
      </c>
      <c r="H36" s="1">
        <v>180</v>
      </c>
      <c r="I36" s="1"/>
      <c r="J36" s="1"/>
      <c r="K36" s="1">
        <v>25</v>
      </c>
      <c r="L36" s="1">
        <f t="shared" si="3"/>
        <v>-11.254</v>
      </c>
      <c r="M36" s="1"/>
      <c r="N36" s="1"/>
      <c r="O36" s="1"/>
      <c r="P36" s="1">
        <f t="shared" si="4"/>
        <v>2.7492000000000001</v>
      </c>
      <c r="Q36" s="5"/>
      <c r="R36" s="5">
        <f t="shared" si="5"/>
        <v>0</v>
      </c>
      <c r="S36" s="5"/>
      <c r="T36" s="5"/>
      <c r="U36" s="5"/>
      <c r="V36" s="13"/>
      <c r="W36" s="13"/>
      <c r="X36" s="13"/>
      <c r="Y36" s="1">
        <f t="shared" si="6"/>
        <v>21.910373926960567</v>
      </c>
      <c r="Z36" s="1">
        <f t="shared" si="7"/>
        <v>21.910373926960567</v>
      </c>
      <c r="AA36" s="1">
        <v>1.3732</v>
      </c>
      <c r="AB36" s="1">
        <v>2.7864</v>
      </c>
      <c r="AC36" s="1">
        <v>2.1147999999999998</v>
      </c>
      <c r="AD36" s="1">
        <v>0</v>
      </c>
      <c r="AE36" s="1">
        <v>0.76879999999999993</v>
      </c>
      <c r="AF36" s="1">
        <v>2.5832000000000002</v>
      </c>
      <c r="AG36" s="1">
        <v>0.69920000000000004</v>
      </c>
      <c r="AH36" s="1">
        <v>0.72199999999999998</v>
      </c>
      <c r="AI36" s="1">
        <v>0.67720000000000002</v>
      </c>
      <c r="AJ36" s="1">
        <v>0.67120000000000002</v>
      </c>
      <c r="AK36" s="10" t="s">
        <v>73</v>
      </c>
      <c r="AL36" s="1">
        <f t="shared" si="8"/>
        <v>0</v>
      </c>
      <c r="AM36" s="1">
        <f t="shared" si="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76</v>
      </c>
      <c r="B37" s="1" t="s">
        <v>40</v>
      </c>
      <c r="C37" s="1">
        <v>9.86</v>
      </c>
      <c r="D37" s="1"/>
      <c r="E37" s="1">
        <v>6.6859999999999999</v>
      </c>
      <c r="F37" s="1"/>
      <c r="G37" s="7">
        <v>1</v>
      </c>
      <c r="H37" s="1">
        <v>180</v>
      </c>
      <c r="I37" s="1"/>
      <c r="J37" s="1"/>
      <c r="K37" s="1">
        <v>7</v>
      </c>
      <c r="L37" s="1">
        <f t="shared" si="3"/>
        <v>-0.31400000000000006</v>
      </c>
      <c r="M37" s="1"/>
      <c r="N37" s="1"/>
      <c r="O37" s="1">
        <v>16</v>
      </c>
      <c r="P37" s="1">
        <f t="shared" si="4"/>
        <v>1.3371999999999999</v>
      </c>
      <c r="Q37" s="5">
        <f t="shared" si="10"/>
        <v>4.0579999999999998</v>
      </c>
      <c r="R37" s="5">
        <f t="shared" si="5"/>
        <v>4.0579999999999998</v>
      </c>
      <c r="S37" s="5"/>
      <c r="T37" s="5">
        <f>VLOOKUP(A37,заказ!A:B,2,0)</f>
        <v>16</v>
      </c>
      <c r="U37" s="5"/>
      <c r="V37" s="13"/>
      <c r="W37" s="13"/>
      <c r="X37" s="13"/>
      <c r="Y37" s="1">
        <f t="shared" si="6"/>
        <v>15</v>
      </c>
      <c r="Z37" s="1">
        <f t="shared" si="7"/>
        <v>11.965300628178284</v>
      </c>
      <c r="AA37" s="1">
        <v>2.06</v>
      </c>
      <c r="AB37" s="1">
        <v>2.5316000000000001</v>
      </c>
      <c r="AC37" s="1">
        <v>0.67400000000000004</v>
      </c>
      <c r="AD37" s="1">
        <v>1.9556</v>
      </c>
      <c r="AE37" s="1">
        <v>0.49800000000000011</v>
      </c>
      <c r="AF37" s="1">
        <v>3.7759999999999998</v>
      </c>
      <c r="AG37" s="1">
        <v>0</v>
      </c>
      <c r="AH37" s="1">
        <v>2.0184000000000002</v>
      </c>
      <c r="AI37" s="1">
        <v>0</v>
      </c>
      <c r="AJ37" s="1">
        <v>3.8391999999999999</v>
      </c>
      <c r="AK37" s="1" t="s">
        <v>77</v>
      </c>
      <c r="AL37" s="1">
        <f t="shared" si="8"/>
        <v>4.0579999999999998</v>
      </c>
      <c r="AM37" s="1">
        <f t="shared" si="9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78</v>
      </c>
      <c r="B38" s="1" t="s">
        <v>40</v>
      </c>
      <c r="C38" s="1">
        <v>64.331999999999994</v>
      </c>
      <c r="D38" s="1">
        <v>5.6859999999999999</v>
      </c>
      <c r="E38" s="1">
        <v>28.437999999999999</v>
      </c>
      <c r="F38" s="1">
        <v>32.917999999999999</v>
      </c>
      <c r="G38" s="7">
        <v>1</v>
      </c>
      <c r="H38" s="1">
        <v>180</v>
      </c>
      <c r="I38" s="1"/>
      <c r="J38" s="1"/>
      <c r="K38" s="1">
        <v>36.200000000000003</v>
      </c>
      <c r="L38" s="1">
        <f t="shared" si="3"/>
        <v>-7.762000000000004</v>
      </c>
      <c r="M38" s="1"/>
      <c r="N38" s="1"/>
      <c r="O38" s="1"/>
      <c r="P38" s="1">
        <f t="shared" si="4"/>
        <v>5.6875999999999998</v>
      </c>
      <c r="Q38" s="5">
        <f t="shared" si="10"/>
        <v>52.395999999999994</v>
      </c>
      <c r="R38" s="5">
        <f t="shared" si="5"/>
        <v>52.395999999999994</v>
      </c>
      <c r="S38" s="5"/>
      <c r="T38" s="5">
        <f>VLOOKUP(A38,заказ!A:B,2,0)</f>
        <v>50</v>
      </c>
      <c r="U38" s="5"/>
      <c r="V38" s="13"/>
      <c r="W38" s="13"/>
      <c r="X38" s="13"/>
      <c r="Y38" s="1">
        <f t="shared" si="6"/>
        <v>15</v>
      </c>
      <c r="Z38" s="1">
        <f t="shared" si="7"/>
        <v>5.7876784584007313</v>
      </c>
      <c r="AA38" s="1">
        <v>3.0771999999999999</v>
      </c>
      <c r="AB38" s="1">
        <v>4.3231999999999999</v>
      </c>
      <c r="AC38" s="1">
        <v>6.6019999999999994</v>
      </c>
      <c r="AD38" s="1">
        <v>1.9152</v>
      </c>
      <c r="AE38" s="1">
        <v>3.4420000000000002</v>
      </c>
      <c r="AF38" s="1">
        <v>4.5936000000000003</v>
      </c>
      <c r="AG38" s="1">
        <v>1.9608000000000001</v>
      </c>
      <c r="AH38" s="1">
        <v>3.0720000000000001</v>
      </c>
      <c r="AI38" s="1">
        <v>3.2115999999999998</v>
      </c>
      <c r="AJ38" s="1">
        <v>9.9192</v>
      </c>
      <c r="AK38" s="1"/>
      <c r="AL38" s="1">
        <f t="shared" si="8"/>
        <v>52.395999999999994</v>
      </c>
      <c r="AM38" s="1">
        <f t="shared" si="9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79</v>
      </c>
      <c r="B39" s="1" t="s">
        <v>40</v>
      </c>
      <c r="C39" s="1">
        <v>121.77</v>
      </c>
      <c r="D39" s="1"/>
      <c r="E39" s="1">
        <v>5.78</v>
      </c>
      <c r="F39" s="1">
        <v>115.99</v>
      </c>
      <c r="G39" s="7">
        <v>1</v>
      </c>
      <c r="H39" s="1">
        <v>180</v>
      </c>
      <c r="I39" s="1"/>
      <c r="J39" s="1"/>
      <c r="K39" s="1">
        <v>5</v>
      </c>
      <c r="L39" s="1">
        <f t="shared" si="3"/>
        <v>0.78000000000000025</v>
      </c>
      <c r="M39" s="1"/>
      <c r="N39" s="1"/>
      <c r="O39" s="1"/>
      <c r="P39" s="1">
        <f t="shared" si="4"/>
        <v>1.1560000000000001</v>
      </c>
      <c r="Q39" s="5"/>
      <c r="R39" s="5">
        <f t="shared" si="5"/>
        <v>0</v>
      </c>
      <c r="S39" s="5"/>
      <c r="T39" s="5"/>
      <c r="U39" s="5"/>
      <c r="V39" s="13"/>
      <c r="W39" s="13"/>
      <c r="X39" s="13"/>
      <c r="Y39" s="1">
        <f t="shared" si="6"/>
        <v>100.33737024221452</v>
      </c>
      <c r="Z39" s="1">
        <f t="shared" si="7"/>
        <v>100.33737024221452</v>
      </c>
      <c r="AA39" s="1">
        <v>0.69520000000000004</v>
      </c>
      <c r="AB39" s="1">
        <v>0.59960000000000002</v>
      </c>
      <c r="AC39" s="1">
        <v>1.1588000000000001</v>
      </c>
      <c r="AD39" s="1">
        <v>0</v>
      </c>
      <c r="AE39" s="1">
        <v>0.61199999999999999</v>
      </c>
      <c r="AF39" s="1">
        <v>2.6760000000000002</v>
      </c>
      <c r="AG39" s="1">
        <v>0.63880000000000003</v>
      </c>
      <c r="AH39" s="1">
        <v>0</v>
      </c>
      <c r="AI39" s="1">
        <v>0.61919999999999997</v>
      </c>
      <c r="AJ39" s="1">
        <v>4.4596</v>
      </c>
      <c r="AK39" s="11" t="s">
        <v>44</v>
      </c>
      <c r="AL39" s="1">
        <f t="shared" si="8"/>
        <v>0</v>
      </c>
      <c r="AM39" s="1">
        <f t="shared" si="9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80</v>
      </c>
      <c r="B40" s="1" t="s">
        <v>35</v>
      </c>
      <c r="C40" s="1">
        <v>429</v>
      </c>
      <c r="D40" s="1">
        <v>10</v>
      </c>
      <c r="E40" s="1">
        <v>235</v>
      </c>
      <c r="F40" s="1">
        <v>137</v>
      </c>
      <c r="G40" s="7">
        <v>0.1</v>
      </c>
      <c r="H40" s="1">
        <v>60</v>
      </c>
      <c r="I40" s="1"/>
      <c r="J40" s="1"/>
      <c r="K40" s="1">
        <v>249</v>
      </c>
      <c r="L40" s="1">
        <f t="shared" si="3"/>
        <v>-14</v>
      </c>
      <c r="M40" s="1"/>
      <c r="N40" s="1"/>
      <c r="O40" s="1">
        <v>90</v>
      </c>
      <c r="P40" s="1">
        <f t="shared" si="4"/>
        <v>47</v>
      </c>
      <c r="Q40" s="5">
        <f>14*P40-O40-F40</f>
        <v>431</v>
      </c>
      <c r="R40" s="5">
        <f t="shared" si="5"/>
        <v>431</v>
      </c>
      <c r="S40" s="5"/>
      <c r="T40" s="5">
        <f>VLOOKUP(A40,заказ!A:B,2,0)</f>
        <v>432</v>
      </c>
      <c r="U40" s="5"/>
      <c r="V40" s="13"/>
      <c r="W40" s="13"/>
      <c r="X40" s="13"/>
      <c r="Y40" s="1">
        <f t="shared" si="6"/>
        <v>14</v>
      </c>
      <c r="Z40" s="1">
        <f t="shared" si="7"/>
        <v>4.8297872340425529</v>
      </c>
      <c r="AA40" s="1">
        <v>30.2</v>
      </c>
      <c r="AB40" s="1">
        <v>36.6</v>
      </c>
      <c r="AC40" s="1">
        <v>49.2</v>
      </c>
      <c r="AD40" s="1">
        <v>0</v>
      </c>
      <c r="AE40" s="1">
        <v>0.8</v>
      </c>
      <c r="AF40" s="1">
        <v>-0.4</v>
      </c>
      <c r="AG40" s="1">
        <v>-0.4</v>
      </c>
      <c r="AH40" s="1">
        <v>26.8</v>
      </c>
      <c r="AI40" s="1">
        <v>38.6</v>
      </c>
      <c r="AJ40" s="1">
        <v>41.4</v>
      </c>
      <c r="AK40" s="1"/>
      <c r="AL40" s="1">
        <f t="shared" si="8"/>
        <v>43.1</v>
      </c>
      <c r="AM40" s="1">
        <f t="shared" si="9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81</v>
      </c>
      <c r="B41" s="1" t="s">
        <v>35</v>
      </c>
      <c r="C41" s="1">
        <v>370</v>
      </c>
      <c r="D41" s="1">
        <v>39</v>
      </c>
      <c r="E41" s="1">
        <v>164</v>
      </c>
      <c r="F41" s="1">
        <v>161</v>
      </c>
      <c r="G41" s="7">
        <v>0.1</v>
      </c>
      <c r="H41" s="1">
        <v>90</v>
      </c>
      <c r="I41" s="1"/>
      <c r="J41" s="1"/>
      <c r="K41" s="1">
        <v>202</v>
      </c>
      <c r="L41" s="1">
        <f t="shared" si="3"/>
        <v>-38</v>
      </c>
      <c r="M41" s="1"/>
      <c r="N41" s="1"/>
      <c r="O41" s="1">
        <v>348</v>
      </c>
      <c r="P41" s="1">
        <f t="shared" si="4"/>
        <v>32.799999999999997</v>
      </c>
      <c r="Q41" s="5"/>
      <c r="R41" s="5">
        <f t="shared" si="5"/>
        <v>0</v>
      </c>
      <c r="S41" s="5"/>
      <c r="T41" s="5"/>
      <c r="U41" s="5"/>
      <c r="V41" s="13"/>
      <c r="W41" s="13"/>
      <c r="X41" s="13"/>
      <c r="Y41" s="1">
        <f t="shared" si="6"/>
        <v>15.51829268292683</v>
      </c>
      <c r="Z41" s="1">
        <f t="shared" si="7"/>
        <v>15.51829268292683</v>
      </c>
      <c r="AA41" s="1">
        <v>44.8</v>
      </c>
      <c r="AB41" s="1">
        <v>33.799999999999997</v>
      </c>
      <c r="AC41" s="1">
        <v>31.4</v>
      </c>
      <c r="AD41" s="1">
        <v>33.4</v>
      </c>
      <c r="AE41" s="1">
        <v>67</v>
      </c>
      <c r="AF41" s="1">
        <v>49</v>
      </c>
      <c r="AG41" s="1">
        <v>35.4</v>
      </c>
      <c r="AH41" s="1">
        <v>47.8</v>
      </c>
      <c r="AI41" s="1">
        <v>31.6</v>
      </c>
      <c r="AJ41" s="1">
        <v>38.200000000000003</v>
      </c>
      <c r="AK41" s="1"/>
      <c r="AL41" s="1">
        <f t="shared" si="8"/>
        <v>0</v>
      </c>
      <c r="AM41" s="1">
        <f t="shared" si="9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82</v>
      </c>
      <c r="B42" s="1" t="s">
        <v>40</v>
      </c>
      <c r="C42" s="1">
        <v>6.3780000000000001</v>
      </c>
      <c r="D42" s="1"/>
      <c r="E42" s="1">
        <v>6.3780000000000001</v>
      </c>
      <c r="F42" s="1"/>
      <c r="G42" s="7">
        <v>1</v>
      </c>
      <c r="H42" s="1"/>
      <c r="I42" s="1"/>
      <c r="J42" s="1"/>
      <c r="K42" s="1">
        <v>8.4</v>
      </c>
      <c r="L42" s="1">
        <f t="shared" si="3"/>
        <v>-2.0220000000000002</v>
      </c>
      <c r="M42" s="1"/>
      <c r="N42" s="1"/>
      <c r="O42" s="1">
        <v>6</v>
      </c>
      <c r="P42" s="1">
        <f t="shared" si="4"/>
        <v>1.2756000000000001</v>
      </c>
      <c r="Q42" s="5">
        <f t="shared" si="10"/>
        <v>13.134</v>
      </c>
      <c r="R42" s="5">
        <f t="shared" si="5"/>
        <v>13.134</v>
      </c>
      <c r="S42" s="5"/>
      <c r="T42" s="5">
        <f>VLOOKUP(A42,заказ!A:B,2,0)</f>
        <v>12</v>
      </c>
      <c r="U42" s="5"/>
      <c r="V42" s="13"/>
      <c r="W42" s="13"/>
      <c r="X42" s="13"/>
      <c r="Y42" s="1">
        <f t="shared" si="6"/>
        <v>15</v>
      </c>
      <c r="Z42" s="1">
        <f t="shared" si="7"/>
        <v>4.7036688617121349</v>
      </c>
      <c r="AA42" s="1">
        <v>0.79279999999999995</v>
      </c>
      <c r="AB42" s="1">
        <v>0</v>
      </c>
      <c r="AC42" s="1">
        <v>0</v>
      </c>
      <c r="AD42" s="1">
        <v>0.24940000000000001</v>
      </c>
      <c r="AE42" s="1">
        <v>0.54160000000000008</v>
      </c>
      <c r="AF42" s="1">
        <v>0</v>
      </c>
      <c r="AG42" s="1">
        <v>0</v>
      </c>
      <c r="AH42" s="1">
        <v>3.5344000000000002</v>
      </c>
      <c r="AI42" s="1">
        <v>0</v>
      </c>
      <c r="AJ42" s="1">
        <v>1.3344</v>
      </c>
      <c r="AK42" s="1" t="s">
        <v>83</v>
      </c>
      <c r="AL42" s="1">
        <f t="shared" si="8"/>
        <v>13.134</v>
      </c>
      <c r="AM42" s="1">
        <f t="shared" si="9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84</v>
      </c>
      <c r="B43" s="1" t="s">
        <v>35</v>
      </c>
      <c r="C43" s="1">
        <v>134</v>
      </c>
      <c r="D43" s="1">
        <v>7</v>
      </c>
      <c r="E43" s="1">
        <v>76</v>
      </c>
      <c r="F43" s="1">
        <v>42</v>
      </c>
      <c r="G43" s="7">
        <v>0.14000000000000001</v>
      </c>
      <c r="H43" s="1">
        <v>180</v>
      </c>
      <c r="I43" s="1"/>
      <c r="J43" s="1"/>
      <c r="K43" s="1">
        <v>85</v>
      </c>
      <c r="L43" s="1">
        <f t="shared" si="3"/>
        <v>-9</v>
      </c>
      <c r="M43" s="1"/>
      <c r="N43" s="1"/>
      <c r="O43" s="1"/>
      <c r="P43" s="1">
        <f t="shared" si="4"/>
        <v>15.2</v>
      </c>
      <c r="Q43" s="5">
        <f>13*P43-O43-F43</f>
        <v>155.6</v>
      </c>
      <c r="R43" s="5">
        <f t="shared" si="5"/>
        <v>155.6</v>
      </c>
      <c r="S43" s="5"/>
      <c r="T43" s="5">
        <f>VLOOKUP(A43,заказ!A:B,2,0)</f>
        <v>160</v>
      </c>
      <c r="U43" s="5"/>
      <c r="V43" s="13"/>
      <c r="W43" s="13"/>
      <c r="X43" s="13"/>
      <c r="Y43" s="1">
        <f t="shared" si="6"/>
        <v>13</v>
      </c>
      <c r="Z43" s="1">
        <f t="shared" si="7"/>
        <v>2.763157894736842</v>
      </c>
      <c r="AA43" s="1">
        <v>8.1999999999999993</v>
      </c>
      <c r="AB43" s="1">
        <v>8.4</v>
      </c>
      <c r="AC43" s="1">
        <v>12.8</v>
      </c>
      <c r="AD43" s="1">
        <v>12.2</v>
      </c>
      <c r="AE43" s="1">
        <v>14.8</v>
      </c>
      <c r="AF43" s="1">
        <v>10.6</v>
      </c>
      <c r="AG43" s="1">
        <v>8</v>
      </c>
      <c r="AH43" s="1">
        <v>10.4</v>
      </c>
      <c r="AI43" s="1">
        <v>9.1999999999999993</v>
      </c>
      <c r="AJ43" s="1">
        <v>16</v>
      </c>
      <c r="AK43" s="1"/>
      <c r="AL43" s="1">
        <f t="shared" si="8"/>
        <v>21.784000000000002</v>
      </c>
      <c r="AM43" s="1">
        <f t="shared" si="9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85</v>
      </c>
      <c r="B44" s="1" t="s">
        <v>35</v>
      </c>
      <c r="C44" s="1">
        <v>88</v>
      </c>
      <c r="D44" s="1"/>
      <c r="E44" s="1">
        <v>38</v>
      </c>
      <c r="F44" s="1">
        <v>50</v>
      </c>
      <c r="G44" s="7">
        <v>0.2</v>
      </c>
      <c r="H44" s="1">
        <v>120</v>
      </c>
      <c r="I44" s="1"/>
      <c r="J44" s="1"/>
      <c r="K44" s="1">
        <v>44</v>
      </c>
      <c r="L44" s="1">
        <f t="shared" si="3"/>
        <v>-6</v>
      </c>
      <c r="M44" s="1"/>
      <c r="N44" s="1"/>
      <c r="O44" s="1"/>
      <c r="P44" s="1">
        <f t="shared" si="4"/>
        <v>7.6</v>
      </c>
      <c r="Q44" s="5">
        <f t="shared" si="10"/>
        <v>64</v>
      </c>
      <c r="R44" s="5">
        <f t="shared" si="5"/>
        <v>64</v>
      </c>
      <c r="S44" s="5"/>
      <c r="T44" s="5">
        <f>VLOOKUP(A44,заказ!A:B,2,0)</f>
        <v>60</v>
      </c>
      <c r="U44" s="5"/>
      <c r="V44" s="13"/>
      <c r="W44" s="13"/>
      <c r="X44" s="13"/>
      <c r="Y44" s="1">
        <f t="shared" si="6"/>
        <v>15</v>
      </c>
      <c r="Z44" s="1">
        <f t="shared" si="7"/>
        <v>6.5789473684210531</v>
      </c>
      <c r="AA44" s="1">
        <v>2.8</v>
      </c>
      <c r="AB44" s="1">
        <v>4.4000000000000004</v>
      </c>
      <c r="AC44" s="1">
        <v>5.8</v>
      </c>
      <c r="AD44" s="1">
        <v>2.4</v>
      </c>
      <c r="AE44" s="1">
        <v>4</v>
      </c>
      <c r="AF44" s="1">
        <v>1.2</v>
      </c>
      <c r="AG44" s="1">
        <v>2.4</v>
      </c>
      <c r="AH44" s="1">
        <v>0.4</v>
      </c>
      <c r="AI44" s="1">
        <v>9.8000000000000007</v>
      </c>
      <c r="AJ44" s="1">
        <v>11.2</v>
      </c>
      <c r="AK44" s="1"/>
      <c r="AL44" s="1">
        <f t="shared" si="8"/>
        <v>12.8</v>
      </c>
      <c r="AM44" s="1">
        <f t="shared" si="9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86</v>
      </c>
      <c r="B45" s="1" t="s">
        <v>40</v>
      </c>
      <c r="C45" s="1">
        <v>80.346000000000004</v>
      </c>
      <c r="D45" s="1"/>
      <c r="E45" s="1">
        <v>2.7759999999999998</v>
      </c>
      <c r="F45" s="1">
        <v>74.558000000000007</v>
      </c>
      <c r="G45" s="7">
        <v>1</v>
      </c>
      <c r="H45" s="1">
        <v>120</v>
      </c>
      <c r="I45" s="1"/>
      <c r="J45" s="1"/>
      <c r="K45" s="1">
        <v>3.5</v>
      </c>
      <c r="L45" s="1">
        <f t="shared" si="3"/>
        <v>-0.7240000000000002</v>
      </c>
      <c r="M45" s="1"/>
      <c r="N45" s="1"/>
      <c r="O45" s="1"/>
      <c r="P45" s="1">
        <f t="shared" si="4"/>
        <v>0.55519999999999992</v>
      </c>
      <c r="Q45" s="5"/>
      <c r="R45" s="5">
        <f t="shared" si="5"/>
        <v>0</v>
      </c>
      <c r="S45" s="5"/>
      <c r="T45" s="5"/>
      <c r="U45" s="5"/>
      <c r="V45" s="13"/>
      <c r="W45" s="13"/>
      <c r="X45" s="13"/>
      <c r="Y45" s="1">
        <f t="shared" si="6"/>
        <v>134.29034582132567</v>
      </c>
      <c r="Z45" s="1">
        <f t="shared" si="7"/>
        <v>134.29034582132567</v>
      </c>
      <c r="AA45" s="1">
        <v>0</v>
      </c>
      <c r="AB45" s="1">
        <v>0</v>
      </c>
      <c r="AC45" s="1">
        <v>0.64680000000000004</v>
      </c>
      <c r="AD45" s="1">
        <v>1.2376</v>
      </c>
      <c r="AE45" s="1">
        <v>0.64039999999999997</v>
      </c>
      <c r="AF45" s="1">
        <v>0</v>
      </c>
      <c r="AG45" s="1">
        <v>0.67400000000000004</v>
      </c>
      <c r="AH45" s="1">
        <v>0.58240000000000003</v>
      </c>
      <c r="AI45" s="1">
        <v>2.5568</v>
      </c>
      <c r="AJ45" s="1">
        <v>5.3572000000000006</v>
      </c>
      <c r="AK45" s="11" t="s">
        <v>44</v>
      </c>
      <c r="AL45" s="1">
        <f t="shared" si="8"/>
        <v>0</v>
      </c>
      <c r="AM45" s="1">
        <f t="shared" si="9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87</v>
      </c>
      <c r="B46" s="1" t="s">
        <v>35</v>
      </c>
      <c r="C46" s="1">
        <v>112</v>
      </c>
      <c r="D46" s="1"/>
      <c r="E46" s="1">
        <v>37</v>
      </c>
      <c r="F46" s="1">
        <v>75</v>
      </c>
      <c r="G46" s="7">
        <v>0.2</v>
      </c>
      <c r="H46" s="1">
        <v>120</v>
      </c>
      <c r="I46" s="1"/>
      <c r="J46" s="1"/>
      <c r="K46" s="1">
        <v>43</v>
      </c>
      <c r="L46" s="1">
        <f t="shared" si="3"/>
        <v>-6</v>
      </c>
      <c r="M46" s="1"/>
      <c r="N46" s="1"/>
      <c r="O46" s="1"/>
      <c r="P46" s="1">
        <f t="shared" si="4"/>
        <v>7.4</v>
      </c>
      <c r="Q46" s="5">
        <f>13*P46-O46-F46</f>
        <v>21.200000000000003</v>
      </c>
      <c r="R46" s="5">
        <f t="shared" si="5"/>
        <v>21.200000000000003</v>
      </c>
      <c r="S46" s="5"/>
      <c r="T46" s="5">
        <f>VLOOKUP(A46,заказ!A:B,2,0)</f>
        <v>20</v>
      </c>
      <c r="U46" s="5"/>
      <c r="V46" s="13"/>
      <c r="W46" s="13"/>
      <c r="X46" s="13"/>
      <c r="Y46" s="1">
        <f t="shared" si="6"/>
        <v>13</v>
      </c>
      <c r="Z46" s="1">
        <f t="shared" si="7"/>
        <v>10.135135135135135</v>
      </c>
      <c r="AA46" s="1">
        <v>2.2000000000000002</v>
      </c>
      <c r="AB46" s="1">
        <v>4.4000000000000004</v>
      </c>
      <c r="AC46" s="1">
        <v>5</v>
      </c>
      <c r="AD46" s="1">
        <v>4.4000000000000004</v>
      </c>
      <c r="AE46" s="1">
        <v>4.2</v>
      </c>
      <c r="AF46" s="1">
        <v>2.8</v>
      </c>
      <c r="AG46" s="1">
        <v>2.4</v>
      </c>
      <c r="AH46" s="1">
        <v>1.4</v>
      </c>
      <c r="AI46" s="1">
        <v>12</v>
      </c>
      <c r="AJ46" s="1">
        <v>11</v>
      </c>
      <c r="AK46" s="1"/>
      <c r="AL46" s="1">
        <f t="shared" si="8"/>
        <v>4.2400000000000011</v>
      </c>
      <c r="AM46" s="1">
        <f t="shared" si="9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88</v>
      </c>
      <c r="B47" s="1" t="s">
        <v>40</v>
      </c>
      <c r="C47" s="1">
        <v>72.786000000000001</v>
      </c>
      <c r="D47" s="1">
        <v>3.306</v>
      </c>
      <c r="E47" s="1">
        <v>14.061999999999999</v>
      </c>
      <c r="F47" s="1">
        <v>55.045999999999999</v>
      </c>
      <c r="G47" s="7">
        <v>1</v>
      </c>
      <c r="H47" s="1">
        <v>120</v>
      </c>
      <c r="I47" s="1"/>
      <c r="J47" s="1"/>
      <c r="K47" s="1">
        <v>17.5</v>
      </c>
      <c r="L47" s="1">
        <f t="shared" si="3"/>
        <v>-3.4380000000000006</v>
      </c>
      <c r="M47" s="1"/>
      <c r="N47" s="1"/>
      <c r="O47" s="1"/>
      <c r="P47" s="1">
        <f t="shared" si="4"/>
        <v>2.8123999999999998</v>
      </c>
      <c r="Q47" s="5"/>
      <c r="R47" s="5">
        <f t="shared" si="5"/>
        <v>0</v>
      </c>
      <c r="S47" s="5"/>
      <c r="T47" s="5"/>
      <c r="U47" s="5"/>
      <c r="V47" s="13"/>
      <c r="W47" s="13"/>
      <c r="X47" s="13"/>
      <c r="Y47" s="1">
        <f t="shared" si="6"/>
        <v>19.572607026027594</v>
      </c>
      <c r="Z47" s="1">
        <f t="shared" si="7"/>
        <v>19.572607026027594</v>
      </c>
      <c r="AA47" s="1">
        <v>4.7555999999999994</v>
      </c>
      <c r="AB47" s="1">
        <v>2.7023999999999999</v>
      </c>
      <c r="AC47" s="1">
        <v>0.66039999999999999</v>
      </c>
      <c r="AD47" s="1">
        <v>0.73239999999999994</v>
      </c>
      <c r="AE47" s="1">
        <v>6.3247999999999998</v>
      </c>
      <c r="AF47" s="1">
        <v>6.3176000000000014</v>
      </c>
      <c r="AG47" s="1">
        <v>1.4259999999999999</v>
      </c>
      <c r="AH47" s="1">
        <v>3.6467999999999998</v>
      </c>
      <c r="AI47" s="1">
        <v>2.1175999999999999</v>
      </c>
      <c r="AJ47" s="1">
        <v>0</v>
      </c>
      <c r="AK47" s="10" t="s">
        <v>73</v>
      </c>
      <c r="AL47" s="1">
        <f t="shared" si="8"/>
        <v>0</v>
      </c>
      <c r="AM47" s="1">
        <f t="shared" si="9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</sheetData>
  <autoFilter ref="A3:AL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E1A5-85E9-4A5D-9187-3A76CEA687E5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5</v>
      </c>
    </row>
    <row r="2" spans="1:2" x14ac:dyDescent="0.25">
      <c r="A2" t="s">
        <v>41</v>
      </c>
      <c r="B2">
        <v>24</v>
      </c>
    </row>
    <row r="3" spans="1:2" x14ac:dyDescent="0.25">
      <c r="A3" t="s">
        <v>42</v>
      </c>
      <c r="B3">
        <v>24</v>
      </c>
    </row>
    <row r="4" spans="1:2" x14ac:dyDescent="0.25">
      <c r="A4" t="s">
        <v>46</v>
      </c>
      <c r="B4">
        <v>120</v>
      </c>
    </row>
    <row r="5" spans="1:2" x14ac:dyDescent="0.25">
      <c r="A5" t="s">
        <v>47</v>
      </c>
      <c r="B5">
        <v>192</v>
      </c>
    </row>
    <row r="6" spans="1:2" x14ac:dyDescent="0.25">
      <c r="A6" t="s">
        <v>49</v>
      </c>
      <c r="B6">
        <v>240</v>
      </c>
    </row>
    <row r="7" spans="1:2" x14ac:dyDescent="0.25">
      <c r="A7" t="s">
        <v>50</v>
      </c>
      <c r="B7">
        <v>180</v>
      </c>
    </row>
    <row r="8" spans="1:2" x14ac:dyDescent="0.25">
      <c r="A8" t="s">
        <v>52</v>
      </c>
      <c r="B8">
        <v>48</v>
      </c>
    </row>
    <row r="9" spans="1:2" x14ac:dyDescent="0.25">
      <c r="A9" t="s">
        <v>53</v>
      </c>
      <c r="B9">
        <v>80</v>
      </c>
    </row>
    <row r="10" spans="1:2" x14ac:dyDescent="0.25">
      <c r="A10" t="s">
        <v>54</v>
      </c>
      <c r="B10">
        <v>230</v>
      </c>
    </row>
    <row r="11" spans="1:2" x14ac:dyDescent="0.25">
      <c r="A11" t="s">
        <v>55</v>
      </c>
      <c r="B11">
        <v>130</v>
      </c>
    </row>
    <row r="12" spans="1:2" x14ac:dyDescent="0.25">
      <c r="A12" t="s">
        <v>58</v>
      </c>
      <c r="B12">
        <v>90</v>
      </c>
    </row>
    <row r="13" spans="1:2" x14ac:dyDescent="0.25">
      <c r="A13" t="s">
        <v>59</v>
      </c>
      <c r="B13">
        <v>184</v>
      </c>
    </row>
    <row r="14" spans="1:2" x14ac:dyDescent="0.25">
      <c r="A14" t="s">
        <v>60</v>
      </c>
      <c r="B14">
        <v>216</v>
      </c>
    </row>
    <row r="15" spans="1:2" x14ac:dyDescent="0.25">
      <c r="A15" t="s">
        <v>61</v>
      </c>
      <c r="B15">
        <v>120</v>
      </c>
    </row>
    <row r="16" spans="1:2" x14ac:dyDescent="0.25">
      <c r="A16" t="s">
        <v>62</v>
      </c>
      <c r="B16">
        <v>130</v>
      </c>
    </row>
    <row r="17" spans="1:2" x14ac:dyDescent="0.25">
      <c r="A17" t="s">
        <v>64</v>
      </c>
      <c r="B17">
        <v>560</v>
      </c>
    </row>
    <row r="18" spans="1:2" x14ac:dyDescent="0.25">
      <c r="A18" t="s">
        <v>68</v>
      </c>
      <c r="B18">
        <v>20</v>
      </c>
    </row>
    <row r="19" spans="1:2" x14ac:dyDescent="0.25">
      <c r="A19" t="s">
        <v>70</v>
      </c>
      <c r="B19">
        <v>430</v>
      </c>
    </row>
    <row r="20" spans="1:2" x14ac:dyDescent="0.25">
      <c r="A20" t="s">
        <v>72</v>
      </c>
      <c r="B20">
        <v>80</v>
      </c>
    </row>
    <row r="21" spans="1:2" x14ac:dyDescent="0.25">
      <c r="A21" t="s">
        <v>74</v>
      </c>
      <c r="B21">
        <v>80</v>
      </c>
    </row>
    <row r="22" spans="1:2" x14ac:dyDescent="0.25">
      <c r="A22" t="s">
        <v>76</v>
      </c>
      <c r="B22">
        <v>16</v>
      </c>
    </row>
    <row r="23" spans="1:2" x14ac:dyDescent="0.25">
      <c r="A23" t="s">
        <v>78</v>
      </c>
      <c r="B23">
        <v>50</v>
      </c>
    </row>
    <row r="24" spans="1:2" x14ac:dyDescent="0.25">
      <c r="A24" t="s">
        <v>80</v>
      </c>
      <c r="B24">
        <v>432</v>
      </c>
    </row>
    <row r="25" spans="1:2" x14ac:dyDescent="0.25">
      <c r="A25" t="s">
        <v>82</v>
      </c>
      <c r="B25">
        <v>12</v>
      </c>
    </row>
    <row r="26" spans="1:2" x14ac:dyDescent="0.25">
      <c r="A26" t="s">
        <v>84</v>
      </c>
      <c r="B26">
        <v>160</v>
      </c>
    </row>
    <row r="27" spans="1:2" x14ac:dyDescent="0.25">
      <c r="A27" t="s">
        <v>85</v>
      </c>
      <c r="B27">
        <v>60</v>
      </c>
    </row>
    <row r="28" spans="1:2" x14ac:dyDescent="0.25">
      <c r="A28" t="s">
        <v>87</v>
      </c>
      <c r="B2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8B22-E06B-434D-8F47-6347D8626B67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71</v>
      </c>
      <c r="B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2026-09-08T17:17:03Z</dcterms:created>
  <dcterms:modified xsi:type="dcterms:W3CDTF">2026-09-11T06:27:52Z</dcterms:modified>
</cp:coreProperties>
</file>