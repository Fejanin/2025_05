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16,09,26 Останкино СЫРЫ\"/>
    </mc:Choice>
  </mc:AlternateContent>
  <xr:revisionPtr revIDLastSave="0" documentId="13_ncr:1_{8A2BF79D-3082-4DAE-86B6-AFC28499291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  <c r="T9" i="1"/>
  <c r="T14" i="1"/>
  <c r="T15" i="1"/>
  <c r="T16" i="1"/>
  <c r="T17" i="1"/>
  <c r="T18" i="1"/>
  <c r="T19" i="1"/>
  <c r="T20" i="1"/>
  <c r="T21" i="1"/>
  <c r="T23" i="1"/>
  <c r="T24" i="1"/>
  <c r="T28" i="1"/>
  <c r="T29" i="1"/>
  <c r="T32" i="1"/>
  <c r="T34" i="1"/>
  <c r="T35" i="1"/>
  <c r="T36" i="1"/>
  <c r="T38" i="1"/>
  <c r="T40" i="1"/>
  <c r="T41" i="1"/>
  <c r="T43" i="1"/>
  <c r="T44" i="1"/>
  <c r="T46" i="1"/>
  <c r="T47" i="1"/>
  <c r="T5" i="1"/>
  <c r="AI15" i="1" l="1"/>
  <c r="Q28" i="1"/>
  <c r="Q15" i="1"/>
  <c r="S7" i="1"/>
  <c r="S10" i="1"/>
  <c r="S11" i="1"/>
  <c r="S12" i="1"/>
  <c r="S13" i="1"/>
  <c r="S22" i="1"/>
  <c r="S25" i="1"/>
  <c r="S26" i="1"/>
  <c r="S27" i="1"/>
  <c r="S30" i="1"/>
  <c r="S31" i="1"/>
  <c r="S33" i="1"/>
  <c r="S34" i="1"/>
  <c r="S37" i="1"/>
  <c r="S39" i="1"/>
  <c r="S42" i="1"/>
  <c r="S43" i="1"/>
  <c r="S45" i="1"/>
  <c r="S6" i="1"/>
  <c r="AI7" i="1" l="1"/>
  <c r="AI10" i="1"/>
  <c r="AI11" i="1"/>
  <c r="AI12" i="1"/>
  <c r="AI13" i="1"/>
  <c r="AI17" i="1"/>
  <c r="AI22" i="1"/>
  <c r="AI25" i="1"/>
  <c r="AI26" i="1"/>
  <c r="AI27" i="1"/>
  <c r="AI28" i="1"/>
  <c r="AI30" i="1"/>
  <c r="AI31" i="1"/>
  <c r="AI33" i="1"/>
  <c r="AI34" i="1"/>
  <c r="AI37" i="1"/>
  <c r="AI39" i="1"/>
  <c r="AI42" i="1"/>
  <c r="AI43" i="1"/>
  <c r="AI45" i="1"/>
  <c r="AI6" i="1"/>
  <c r="U14" i="1" l="1"/>
  <c r="U15" i="1"/>
  <c r="U17" i="1"/>
  <c r="U28" i="1"/>
  <c r="U40" i="1"/>
  <c r="U41" i="1"/>
  <c r="U5" i="1" l="1"/>
  <c r="Q7" i="1"/>
  <c r="Q8" i="1"/>
  <c r="R8" i="1" s="1"/>
  <c r="S8" i="1" s="1"/>
  <c r="Q9" i="1"/>
  <c r="W9" i="1" s="1"/>
  <c r="Q10" i="1"/>
  <c r="V10" i="1" s="1"/>
  <c r="Q11" i="1"/>
  <c r="V11" i="1" s="1"/>
  <c r="Q12" i="1"/>
  <c r="V12" i="1" s="1"/>
  <c r="Q13" i="1"/>
  <c r="V13" i="1" s="1"/>
  <c r="Q14" i="1"/>
  <c r="R14" i="1" s="1"/>
  <c r="V15" i="1"/>
  <c r="Q16" i="1"/>
  <c r="R16" i="1" s="1"/>
  <c r="S16" i="1" s="1"/>
  <c r="Q17" i="1"/>
  <c r="Q18" i="1"/>
  <c r="W18" i="1" s="1"/>
  <c r="Q19" i="1"/>
  <c r="W19" i="1" s="1"/>
  <c r="Q20" i="1"/>
  <c r="W20" i="1" s="1"/>
  <c r="Q21" i="1"/>
  <c r="W21" i="1" s="1"/>
  <c r="Q22" i="1"/>
  <c r="Q23" i="1"/>
  <c r="W23" i="1" s="1"/>
  <c r="Q24" i="1"/>
  <c r="W24" i="1" s="1"/>
  <c r="Q25" i="1"/>
  <c r="V25" i="1" s="1"/>
  <c r="Q26" i="1"/>
  <c r="V26" i="1" s="1"/>
  <c r="Q27" i="1"/>
  <c r="Q29" i="1"/>
  <c r="W29" i="1" s="1"/>
  <c r="Q30" i="1"/>
  <c r="Q31" i="1"/>
  <c r="Q32" i="1"/>
  <c r="R32" i="1" s="1"/>
  <c r="S32" i="1" s="1"/>
  <c r="Q33" i="1"/>
  <c r="Q34" i="1"/>
  <c r="Q35" i="1"/>
  <c r="R35" i="1" s="1"/>
  <c r="S35" i="1" s="1"/>
  <c r="Q36" i="1"/>
  <c r="R36" i="1" s="1"/>
  <c r="S36" i="1" s="1"/>
  <c r="Q37" i="1"/>
  <c r="V37" i="1" s="1"/>
  <c r="Q38" i="1"/>
  <c r="R38" i="1" s="1"/>
  <c r="S38" i="1" s="1"/>
  <c r="Q39" i="1"/>
  <c r="V39" i="1" s="1"/>
  <c r="Q40" i="1"/>
  <c r="W40" i="1" s="1"/>
  <c r="Q41" i="1"/>
  <c r="R41" i="1" s="1"/>
  <c r="Q42" i="1"/>
  <c r="Q43" i="1"/>
  <c r="Q44" i="1"/>
  <c r="R44" i="1" s="1"/>
  <c r="S44" i="1" s="1"/>
  <c r="Q45" i="1"/>
  <c r="Q46" i="1"/>
  <c r="W46" i="1" s="1"/>
  <c r="Q47" i="1"/>
  <c r="R47" i="1" s="1"/>
  <c r="S47" i="1" s="1"/>
  <c r="Q6" i="1"/>
  <c r="V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F5" i="1"/>
  <c r="E5" i="1"/>
  <c r="AI44" i="1" l="1"/>
  <c r="V44" i="1"/>
  <c r="W42" i="1"/>
  <c r="V42" i="1"/>
  <c r="AI38" i="1"/>
  <c r="V38" i="1"/>
  <c r="AI36" i="1"/>
  <c r="V36" i="1"/>
  <c r="W34" i="1"/>
  <c r="V34" i="1"/>
  <c r="AI32" i="1"/>
  <c r="V32" i="1"/>
  <c r="W30" i="1"/>
  <c r="V30" i="1"/>
  <c r="W28" i="1"/>
  <c r="V28" i="1"/>
  <c r="W22" i="1"/>
  <c r="V22" i="1"/>
  <c r="AI16" i="1"/>
  <c r="V16" i="1"/>
  <c r="AI14" i="1"/>
  <c r="V14" i="1"/>
  <c r="AI8" i="1"/>
  <c r="V8" i="1"/>
  <c r="V47" i="1"/>
  <c r="AI47" i="1"/>
  <c r="W45" i="1"/>
  <c r="V45" i="1"/>
  <c r="W43" i="1"/>
  <c r="V43" i="1"/>
  <c r="V41" i="1"/>
  <c r="AI41" i="1"/>
  <c r="V35" i="1"/>
  <c r="AI35" i="1"/>
  <c r="W33" i="1"/>
  <c r="V33" i="1"/>
  <c r="W31" i="1"/>
  <c r="V31" i="1"/>
  <c r="W27" i="1"/>
  <c r="V27" i="1"/>
  <c r="W17" i="1"/>
  <c r="V17" i="1"/>
  <c r="W7" i="1"/>
  <c r="V7" i="1"/>
  <c r="R23" i="1"/>
  <c r="S23" i="1" s="1"/>
  <c r="W26" i="1"/>
  <c r="W25" i="1"/>
  <c r="W16" i="1"/>
  <c r="W8" i="1"/>
  <c r="R46" i="1"/>
  <c r="S46" i="1" s="1"/>
  <c r="W44" i="1"/>
  <c r="R40" i="1"/>
  <c r="W41" i="1"/>
  <c r="R29" i="1"/>
  <c r="S29" i="1" s="1"/>
  <c r="W36" i="1"/>
  <c r="W32" i="1"/>
  <c r="R24" i="1"/>
  <c r="S24" i="1" s="1"/>
  <c r="R20" i="1"/>
  <c r="S20" i="1" s="1"/>
  <c r="R9" i="1"/>
  <c r="S9" i="1" s="1"/>
  <c r="W39" i="1"/>
  <c r="W15" i="1"/>
  <c r="W38" i="1"/>
  <c r="W14" i="1"/>
  <c r="R21" i="1"/>
  <c r="S21" i="1" s="1"/>
  <c r="W37" i="1"/>
  <c r="W13" i="1"/>
  <c r="R19" i="1"/>
  <c r="S19" i="1" s="1"/>
  <c r="R18" i="1"/>
  <c r="S18" i="1" s="1"/>
  <c r="W12" i="1"/>
  <c r="W6" i="1"/>
  <c r="W47" i="1"/>
  <c r="W35" i="1"/>
  <c r="W11" i="1"/>
  <c r="W10" i="1"/>
  <c r="Q5" i="1"/>
  <c r="L5" i="1"/>
  <c r="V19" i="1" l="1"/>
  <c r="AI19" i="1"/>
  <c r="V9" i="1"/>
  <c r="AI9" i="1"/>
  <c r="AI24" i="1"/>
  <c r="V24" i="1"/>
  <c r="V23" i="1"/>
  <c r="AI23" i="1"/>
  <c r="AI18" i="1"/>
  <c r="V18" i="1"/>
  <c r="V21" i="1"/>
  <c r="AI21" i="1"/>
  <c r="AI20" i="1"/>
  <c r="V20" i="1"/>
  <c r="V29" i="1"/>
  <c r="AI29" i="1"/>
  <c r="AI40" i="1"/>
  <c r="V40" i="1"/>
  <c r="AI46" i="1"/>
  <c r="V46" i="1"/>
  <c r="S5" i="1"/>
  <c r="R5" i="1"/>
  <c r="AI5" i="1" l="1"/>
</calcChain>
</file>

<file path=xl/sharedStrings.xml><?xml version="1.0" encoding="utf-8"?>
<sst xmlns="http://schemas.openxmlformats.org/spreadsheetml/2006/main" count="179" uniqueCount="97">
  <si>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</si>
  <si>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</si>
  <si>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</si>
  <si>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</si>
  <si>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</si>
  <si>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</si>
  <si>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</si>
  <si>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</si>
  <si>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</si>
  <si>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</si>
  <si>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</si>
  <si>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</si>
  <si>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</si>
  <si>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</si>
  <si>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</si>
  <si>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</si>
  <si>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</si>
  <si>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</si>
  <si>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</si>
  <si>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</si>
  <si>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</si>
  <si>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</si>
  <si>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</si>
  <si>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14,09,сети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</si>
  <si>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</si>
  <si>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</si>
  <si>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</si>
  <si>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</si>
  <si>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</si>
  <si>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</si>
  <si>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</si>
  <si>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</si>
  <si>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</si>
  <si>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</si>
  <si>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</si>
  <si>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</si>
  <si>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</si>
  <si>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</si>
  <si>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</si>
  <si>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</si>
  <si>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 / новинка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</si>
  <si>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</si>
  <si>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</si>
  <si>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</si>
  <si>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</si>
  <si>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</si>
  <si>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</si>
  <si>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</si>
  <si>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</si>
  <si>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</si>
  <si>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</si>
  <si>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</si>
  <si>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</si>
  <si>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</si>
  <si>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</si>
  <si>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</si>
  <si>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</si>
  <si>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</si>
  <si>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</si>
  <si>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</si>
  <si>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</si>
  <si>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</si>
  <si>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</si>
  <si>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</si>
  <si>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</si>
  <si>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</si>
  <si>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</si>
  <si>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</si>
  <si>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</si>
  <si>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</si>
  <si>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</si>
  <si>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</si>
  <si>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</si>
  <si>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</si>
  <si>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</si>
  <si>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</si>
  <si>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</si>
  <si>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</si>
  <si>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</si>
  <si>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</si>
  <si>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</si>
  <si>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</si>
  <si>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</si>
  <si>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</si>
  <si>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</si>
  <si>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</si>
  <si>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</si>
  <si>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</si>
  <si>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</si>
  <si>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</si>
  <si>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новинка</t>
  </si>
  <si>
    <t>итого</t>
  </si>
  <si>
    <t>ТК</t>
  </si>
  <si>
    <t>Титенок</t>
  </si>
  <si>
    <t>заказ</t>
  </si>
  <si>
    <t>21,09,</t>
  </si>
  <si>
    <t>17,09,26 - нет на заводе / 10,09,26 - нет на заводе / 03,09,26 - нет на заводе / 27,08,26 - нет на заводе / 24,08,26 - нет на заводе / 13,08,26 - нет на заводе / 30,07,26 - нет на заводе / 62шт в уценку (28,07,26)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</si>
</sst>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16,09,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14,09,</v>
          </cell>
          <cell r="P4" t="str">
            <v>14,09,сети</v>
          </cell>
          <cell r="Q4" t="str">
            <v>16,09,</v>
          </cell>
        </row>
        <row r="5">
          <cell r="E5">
            <v>2790.0999999999995</v>
          </cell>
          <cell r="F5">
            <v>2270.1469999999999</v>
          </cell>
          <cell r="K5">
            <v>3933.3219999999997</v>
          </cell>
          <cell r="L5">
            <v>-1143.222</v>
          </cell>
          <cell r="M5">
            <v>0</v>
          </cell>
          <cell r="N5">
            <v>0</v>
          </cell>
          <cell r="O5">
            <v>3885</v>
          </cell>
          <cell r="P5">
            <v>160</v>
          </cell>
          <cell r="Q5">
            <v>558.01999999999987</v>
          </cell>
          <cell r="R5">
            <v>2804.0165999999995</v>
          </cell>
          <cell r="S5">
            <v>980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66</v>
          </cell>
          <cell r="E6">
            <v>5</v>
          </cell>
          <cell r="F6">
            <v>61</v>
          </cell>
          <cell r="G6">
            <v>5.5E-2</v>
          </cell>
          <cell r="H6">
            <v>120</v>
          </cell>
          <cell r="K6">
            <v>5</v>
          </cell>
          <cell r="L6">
            <v>0</v>
          </cell>
          <cell r="Q6">
            <v>1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85</v>
          </cell>
          <cell r="E7">
            <v>16</v>
          </cell>
          <cell r="F7">
            <v>69</v>
          </cell>
          <cell r="G7">
            <v>0.1</v>
          </cell>
          <cell r="H7">
            <v>120</v>
          </cell>
          <cell r="K7">
            <v>16</v>
          </cell>
          <cell r="L7">
            <v>0</v>
          </cell>
          <cell r="Q7">
            <v>3.2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36</v>
          </cell>
          <cell r="E8">
            <v>12</v>
          </cell>
          <cell r="F8">
            <v>24</v>
          </cell>
          <cell r="G8">
            <v>0.1</v>
          </cell>
          <cell r="H8">
            <v>120</v>
          </cell>
          <cell r="K8">
            <v>12</v>
          </cell>
          <cell r="L8">
            <v>0</v>
          </cell>
          <cell r="Q8">
            <v>2.4</v>
          </cell>
          <cell r="R8">
            <v>9.6000000000000014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15.555</v>
          </cell>
          <cell r="D9">
            <v>78.177999999999997</v>
          </cell>
          <cell r="E9">
            <v>37.04</v>
          </cell>
          <cell r="F9">
            <v>46.668999999999997</v>
          </cell>
          <cell r="G9">
            <v>1</v>
          </cell>
          <cell r="H9">
            <v>120</v>
          </cell>
          <cell r="K9">
            <v>40.53</v>
          </cell>
          <cell r="L9">
            <v>-3.490000000000002</v>
          </cell>
          <cell r="O9">
            <v>5</v>
          </cell>
          <cell r="Q9">
            <v>7.4079999999999995</v>
          </cell>
          <cell r="R9">
            <v>52.042999999999992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K10">
            <v>2</v>
          </cell>
          <cell r="L10">
            <v>-2</v>
          </cell>
          <cell r="O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K11">
            <v>2</v>
          </cell>
          <cell r="L11">
            <v>-2</v>
          </cell>
          <cell r="O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61.048000000000002</v>
          </cell>
          <cell r="E12">
            <v>12.497999999999999</v>
          </cell>
          <cell r="F12">
            <v>48.55</v>
          </cell>
          <cell r="G12">
            <v>1</v>
          </cell>
          <cell r="H12">
            <v>180</v>
          </cell>
          <cell r="K12">
            <v>17.111999999999998</v>
          </cell>
          <cell r="L12">
            <v>-4.613999999999999</v>
          </cell>
          <cell r="Q12">
            <v>2.4996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133</v>
          </cell>
          <cell r="E13">
            <v>4</v>
          </cell>
          <cell r="F13">
            <v>96</v>
          </cell>
          <cell r="G13">
            <v>0.82450000000000001</v>
          </cell>
          <cell r="H13">
            <v>180</v>
          </cell>
          <cell r="K13">
            <v>4</v>
          </cell>
          <cell r="L13">
            <v>0</v>
          </cell>
          <cell r="Q13">
            <v>0.8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192</v>
          </cell>
          <cell r="D14">
            <v>5</v>
          </cell>
          <cell r="E14">
            <v>162</v>
          </cell>
          <cell r="F14">
            <v>2</v>
          </cell>
          <cell r="G14">
            <v>0.372</v>
          </cell>
          <cell r="H14">
            <v>180</v>
          </cell>
          <cell r="K14">
            <v>216</v>
          </cell>
          <cell r="L14">
            <v>-54</v>
          </cell>
          <cell r="O14">
            <v>120</v>
          </cell>
          <cell r="Q14">
            <v>32.4</v>
          </cell>
          <cell r="R14">
            <v>266.79999999999995</v>
          </cell>
          <cell r="S14">
            <v>300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-2</v>
          </cell>
          <cell r="D15">
            <v>29</v>
          </cell>
          <cell r="E15">
            <v>21</v>
          </cell>
          <cell r="F15">
            <v>-2</v>
          </cell>
          <cell r="G15">
            <v>0.74399999999999999</v>
          </cell>
          <cell r="H15">
            <v>180</v>
          </cell>
          <cell r="K15">
            <v>47</v>
          </cell>
          <cell r="L15">
            <v>-26</v>
          </cell>
          <cell r="O15">
            <v>192</v>
          </cell>
          <cell r="Q15">
            <v>4.2</v>
          </cell>
          <cell r="S15">
            <v>70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268</v>
          </cell>
          <cell r="D16">
            <v>11</v>
          </cell>
          <cell r="E16">
            <v>283</v>
          </cell>
          <cell r="F16">
            <v>-11</v>
          </cell>
          <cell r="G16">
            <v>0.372</v>
          </cell>
          <cell r="H16">
            <v>180</v>
          </cell>
          <cell r="K16">
            <v>459</v>
          </cell>
          <cell r="L16">
            <v>-176</v>
          </cell>
          <cell r="O16">
            <v>240</v>
          </cell>
          <cell r="Q16">
            <v>56.6</v>
          </cell>
          <cell r="R16">
            <v>450.20000000000005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2</v>
          </cell>
          <cell r="D17">
            <v>6</v>
          </cell>
          <cell r="E17">
            <v>8</v>
          </cell>
          <cell r="F17">
            <v>-2</v>
          </cell>
          <cell r="G17">
            <v>0.74399999999999999</v>
          </cell>
          <cell r="H17">
            <v>180</v>
          </cell>
          <cell r="K17">
            <v>85</v>
          </cell>
          <cell r="L17">
            <v>-77</v>
          </cell>
          <cell r="O17">
            <v>180</v>
          </cell>
          <cell r="Q17">
            <v>1.6</v>
          </cell>
          <cell r="S17">
            <v>70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42</v>
          </cell>
          <cell r="D18">
            <v>2</v>
          </cell>
          <cell r="E18">
            <v>36</v>
          </cell>
          <cell r="F18">
            <v>2</v>
          </cell>
          <cell r="G18">
            <v>0.18</v>
          </cell>
          <cell r="H18">
            <v>270</v>
          </cell>
          <cell r="K18">
            <v>38</v>
          </cell>
          <cell r="L18">
            <v>-2</v>
          </cell>
          <cell r="O18">
            <v>48</v>
          </cell>
          <cell r="Q18">
            <v>7.2</v>
          </cell>
          <cell r="R18">
            <v>50.8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22</v>
          </cell>
          <cell r="D19">
            <v>18</v>
          </cell>
          <cell r="E19">
            <v>34</v>
          </cell>
          <cell r="G19">
            <v>0.18</v>
          </cell>
          <cell r="H19">
            <v>270</v>
          </cell>
          <cell r="K19">
            <v>36</v>
          </cell>
          <cell r="L19">
            <v>-2</v>
          </cell>
          <cell r="O19">
            <v>80</v>
          </cell>
          <cell r="Q19">
            <v>6.8</v>
          </cell>
          <cell r="R19">
            <v>15.200000000000003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166</v>
          </cell>
          <cell r="D20">
            <v>208</v>
          </cell>
          <cell r="E20">
            <v>245</v>
          </cell>
          <cell r="F20">
            <v>102</v>
          </cell>
          <cell r="G20">
            <v>0.18</v>
          </cell>
          <cell r="H20">
            <v>180</v>
          </cell>
          <cell r="K20">
            <v>246</v>
          </cell>
          <cell r="L20">
            <v>-1</v>
          </cell>
          <cell r="O20">
            <v>230</v>
          </cell>
          <cell r="Q20">
            <v>49</v>
          </cell>
          <cell r="R20">
            <v>354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125</v>
          </cell>
          <cell r="D21">
            <v>67</v>
          </cell>
          <cell r="E21">
            <v>106</v>
          </cell>
          <cell r="F21">
            <v>77</v>
          </cell>
          <cell r="G21">
            <v>0.18</v>
          </cell>
          <cell r="H21">
            <v>180</v>
          </cell>
          <cell r="K21">
            <v>109</v>
          </cell>
          <cell r="L21">
            <v>-3</v>
          </cell>
          <cell r="O21">
            <v>130</v>
          </cell>
          <cell r="Q21">
            <v>21.2</v>
          </cell>
          <cell r="R21">
            <v>89.800000000000011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31</v>
          </cell>
          <cell r="F22">
            <v>31</v>
          </cell>
          <cell r="G22">
            <v>0.4</v>
          </cell>
          <cell r="H22">
            <v>270</v>
          </cell>
          <cell r="K22">
            <v>15</v>
          </cell>
          <cell r="L22">
            <v>-15</v>
          </cell>
          <cell r="Q22">
            <v>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18</v>
          </cell>
          <cell r="D23">
            <v>3</v>
          </cell>
          <cell r="E23">
            <v>9</v>
          </cell>
          <cell r="F23">
            <v>9</v>
          </cell>
          <cell r="G23">
            <v>0.4</v>
          </cell>
          <cell r="H23">
            <v>270</v>
          </cell>
          <cell r="K23">
            <v>18</v>
          </cell>
          <cell r="L23">
            <v>-9</v>
          </cell>
          <cell r="Q23">
            <v>1.8</v>
          </cell>
          <cell r="R23">
            <v>16.2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200</v>
          </cell>
          <cell r="D24">
            <v>1</v>
          </cell>
          <cell r="E24">
            <v>132</v>
          </cell>
          <cell r="F24">
            <v>67</v>
          </cell>
          <cell r="G24">
            <v>0.18</v>
          </cell>
          <cell r="H24">
            <v>150</v>
          </cell>
          <cell r="K24">
            <v>133</v>
          </cell>
          <cell r="L24">
            <v>-1</v>
          </cell>
          <cell r="O24">
            <v>90</v>
          </cell>
          <cell r="Q24">
            <v>26.4</v>
          </cell>
          <cell r="R24">
            <v>212.59999999999997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173</v>
          </cell>
          <cell r="D25">
            <v>29</v>
          </cell>
          <cell r="E25">
            <v>60</v>
          </cell>
          <cell r="F25">
            <v>127</v>
          </cell>
          <cell r="G25">
            <v>0.1</v>
          </cell>
          <cell r="H25">
            <v>90</v>
          </cell>
          <cell r="K25">
            <v>109</v>
          </cell>
          <cell r="L25">
            <v>-49</v>
          </cell>
          <cell r="O25">
            <v>184</v>
          </cell>
          <cell r="Q25">
            <v>12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192</v>
          </cell>
          <cell r="D26">
            <v>10</v>
          </cell>
          <cell r="E26">
            <v>80</v>
          </cell>
          <cell r="F26">
            <v>107</v>
          </cell>
          <cell r="G26">
            <v>0.1</v>
          </cell>
          <cell r="H26">
            <v>60</v>
          </cell>
          <cell r="K26">
            <v>90</v>
          </cell>
          <cell r="L26">
            <v>-10</v>
          </cell>
          <cell r="O26">
            <v>216</v>
          </cell>
          <cell r="Q26">
            <v>16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88</v>
          </cell>
          <cell r="D27">
            <v>90</v>
          </cell>
          <cell r="E27">
            <v>67</v>
          </cell>
          <cell r="F27">
            <v>104</v>
          </cell>
          <cell r="G27">
            <v>0.1</v>
          </cell>
          <cell r="H27">
            <v>90</v>
          </cell>
          <cell r="K27">
            <v>74</v>
          </cell>
          <cell r="L27">
            <v>-7</v>
          </cell>
          <cell r="O27">
            <v>120</v>
          </cell>
          <cell r="Q27">
            <v>13.4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-7</v>
          </cell>
          <cell r="E28">
            <v>1</v>
          </cell>
          <cell r="F28">
            <v>-8</v>
          </cell>
          <cell r="G28">
            <v>0.18</v>
          </cell>
          <cell r="H28">
            <v>150</v>
          </cell>
          <cell r="K28">
            <v>31</v>
          </cell>
          <cell r="L28">
            <v>-30</v>
          </cell>
          <cell r="O28">
            <v>130</v>
          </cell>
          <cell r="Q28">
            <v>0.2</v>
          </cell>
          <cell r="S28">
            <v>40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27</v>
          </cell>
          <cell r="D29">
            <v>441</v>
          </cell>
          <cell r="E29">
            <v>274</v>
          </cell>
          <cell r="F29">
            <v>159</v>
          </cell>
          <cell r="G29">
            <v>0.18</v>
          </cell>
          <cell r="H29">
            <v>150</v>
          </cell>
          <cell r="K29">
            <v>332</v>
          </cell>
          <cell r="L29">
            <v>-58</v>
          </cell>
          <cell r="O29">
            <v>560</v>
          </cell>
          <cell r="Q29">
            <v>54.8</v>
          </cell>
          <cell r="R29">
            <v>48.199999999999932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C30">
            <v>92</v>
          </cell>
          <cell r="D30">
            <v>1</v>
          </cell>
          <cell r="E30">
            <v>17</v>
          </cell>
          <cell r="F30">
            <v>74</v>
          </cell>
          <cell r="G30">
            <v>0.18</v>
          </cell>
          <cell r="H30">
            <v>150</v>
          </cell>
          <cell r="K30">
            <v>33</v>
          </cell>
          <cell r="L30">
            <v>-16</v>
          </cell>
          <cell r="Q30">
            <v>3.4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-1</v>
          </cell>
          <cell r="D31">
            <v>20</v>
          </cell>
          <cell r="E31">
            <v>9</v>
          </cell>
          <cell r="F31">
            <v>10</v>
          </cell>
          <cell r="G31">
            <v>0.18</v>
          </cell>
          <cell r="H31">
            <v>150</v>
          </cell>
          <cell r="K31">
            <v>12</v>
          </cell>
          <cell r="L31">
            <v>-3</v>
          </cell>
          <cell r="O31">
            <v>20</v>
          </cell>
          <cell r="Q31">
            <v>1.8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226</v>
          </cell>
          <cell r="D32">
            <v>491</v>
          </cell>
          <cell r="E32">
            <v>379</v>
          </cell>
          <cell r="F32">
            <v>236</v>
          </cell>
          <cell r="G32">
            <v>0.18</v>
          </cell>
          <cell r="H32">
            <v>150</v>
          </cell>
          <cell r="K32">
            <v>419</v>
          </cell>
          <cell r="L32">
            <v>-40</v>
          </cell>
          <cell r="O32">
            <v>430</v>
          </cell>
          <cell r="Q32">
            <v>75.8</v>
          </cell>
          <cell r="R32">
            <v>395.20000000000005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383</v>
          </cell>
          <cell r="D33">
            <v>1</v>
          </cell>
          <cell r="E33">
            <v>47</v>
          </cell>
          <cell r="F33">
            <v>336</v>
          </cell>
          <cell r="G33">
            <v>0.18</v>
          </cell>
          <cell r="H33">
            <v>150</v>
          </cell>
          <cell r="K33">
            <v>255</v>
          </cell>
          <cell r="L33">
            <v>-208</v>
          </cell>
          <cell r="P33">
            <v>160</v>
          </cell>
          <cell r="Q33">
            <v>9.4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31</v>
          </cell>
          <cell r="E34">
            <v>31</v>
          </cell>
          <cell r="G34">
            <v>0.14000000000000001</v>
          </cell>
          <cell r="H34">
            <v>180</v>
          </cell>
          <cell r="K34">
            <v>66</v>
          </cell>
          <cell r="L34">
            <v>-35</v>
          </cell>
          <cell r="O34">
            <v>80</v>
          </cell>
          <cell r="Q34">
            <v>6.2</v>
          </cell>
          <cell r="R34">
            <v>20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30</v>
          </cell>
          <cell r="D35">
            <v>22</v>
          </cell>
          <cell r="E35">
            <v>50</v>
          </cell>
          <cell r="F35">
            <v>-6</v>
          </cell>
          <cell r="G35">
            <v>0.18</v>
          </cell>
          <cell r="H35">
            <v>270</v>
          </cell>
          <cell r="K35">
            <v>61</v>
          </cell>
          <cell r="L35">
            <v>-11</v>
          </cell>
          <cell r="O35">
            <v>80</v>
          </cell>
          <cell r="Q35">
            <v>10</v>
          </cell>
          <cell r="R35">
            <v>66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60.235999999999997</v>
          </cell>
          <cell r="D36">
            <v>10.084</v>
          </cell>
          <cell r="E36">
            <v>23.292000000000002</v>
          </cell>
          <cell r="F36">
            <v>47.027999999999999</v>
          </cell>
          <cell r="G36">
            <v>1</v>
          </cell>
          <cell r="H36">
            <v>180</v>
          </cell>
          <cell r="K36">
            <v>27</v>
          </cell>
          <cell r="L36">
            <v>-3.7079999999999984</v>
          </cell>
          <cell r="Q36">
            <v>4.6584000000000003</v>
          </cell>
          <cell r="R36">
            <v>18.189600000000006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D37">
            <v>19.21</v>
          </cell>
          <cell r="E37">
            <v>3.298</v>
          </cell>
          <cell r="F37">
            <v>15.912000000000001</v>
          </cell>
          <cell r="G37">
            <v>1</v>
          </cell>
          <cell r="H37">
            <v>180</v>
          </cell>
          <cell r="K37">
            <v>6</v>
          </cell>
          <cell r="L37">
            <v>-2.702</v>
          </cell>
          <cell r="O37">
            <v>16</v>
          </cell>
          <cell r="Q37">
            <v>0.65959999999999996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32.917999999999999</v>
          </cell>
          <cell r="E38">
            <v>33.494</v>
          </cell>
          <cell r="F38">
            <v>-0.57599999999999996</v>
          </cell>
          <cell r="G38">
            <v>1</v>
          </cell>
          <cell r="H38">
            <v>180</v>
          </cell>
          <cell r="K38">
            <v>38.5</v>
          </cell>
          <cell r="L38">
            <v>-5.0060000000000002</v>
          </cell>
          <cell r="O38">
            <v>50</v>
          </cell>
          <cell r="Q38">
            <v>6.6988000000000003</v>
          </cell>
          <cell r="R38">
            <v>44.359200000000008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115.99</v>
          </cell>
          <cell r="E39">
            <v>14.798</v>
          </cell>
          <cell r="F39">
            <v>101.19199999999999</v>
          </cell>
          <cell r="G39">
            <v>1</v>
          </cell>
          <cell r="H39">
            <v>180</v>
          </cell>
          <cell r="K39">
            <v>17</v>
          </cell>
          <cell r="L39">
            <v>-2.202</v>
          </cell>
          <cell r="Q39">
            <v>2.9596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137</v>
          </cell>
          <cell r="D40">
            <v>111</v>
          </cell>
          <cell r="E40">
            <v>222</v>
          </cell>
          <cell r="F40">
            <v>-9</v>
          </cell>
          <cell r="G40">
            <v>0.1</v>
          </cell>
          <cell r="H40">
            <v>60</v>
          </cell>
          <cell r="K40">
            <v>254</v>
          </cell>
          <cell r="L40">
            <v>-32</v>
          </cell>
          <cell r="O40">
            <v>432</v>
          </cell>
          <cell r="Q40">
            <v>44.4</v>
          </cell>
          <cell r="R40">
            <v>198.60000000000002</v>
          </cell>
          <cell r="S40">
            <v>240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163</v>
          </cell>
          <cell r="D41">
            <v>360</v>
          </cell>
          <cell r="E41">
            <v>169</v>
          </cell>
          <cell r="F41">
            <v>237</v>
          </cell>
          <cell r="G41">
            <v>0.1</v>
          </cell>
          <cell r="H41">
            <v>90</v>
          </cell>
          <cell r="K41">
            <v>380</v>
          </cell>
          <cell r="L41">
            <v>-211</v>
          </cell>
          <cell r="Q41">
            <v>33.799999999999997</v>
          </cell>
          <cell r="R41">
            <v>236.19999999999993</v>
          </cell>
          <cell r="S41">
            <v>260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D42">
            <v>5.702</v>
          </cell>
          <cell r="E42">
            <v>2.83</v>
          </cell>
          <cell r="F42">
            <v>2.8719999999999999</v>
          </cell>
          <cell r="G42">
            <v>1</v>
          </cell>
          <cell r="K42">
            <v>2.68</v>
          </cell>
          <cell r="L42">
            <v>0.14999999999999991</v>
          </cell>
          <cell r="O42">
            <v>12</v>
          </cell>
          <cell r="Q42">
            <v>0.56600000000000006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42</v>
          </cell>
          <cell r="E43">
            <v>54</v>
          </cell>
          <cell r="F43">
            <v>-12</v>
          </cell>
          <cell r="G43">
            <v>0.14000000000000001</v>
          </cell>
          <cell r="H43">
            <v>180</v>
          </cell>
          <cell r="K43">
            <v>92</v>
          </cell>
          <cell r="L43">
            <v>-38</v>
          </cell>
          <cell r="O43">
            <v>160</v>
          </cell>
          <cell r="Q43">
            <v>10.8</v>
          </cell>
          <cell r="R43">
            <v>30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50</v>
          </cell>
          <cell r="E44">
            <v>45</v>
          </cell>
          <cell r="F44">
            <v>5</v>
          </cell>
          <cell r="G44">
            <v>0.2</v>
          </cell>
          <cell r="H44">
            <v>120</v>
          </cell>
          <cell r="K44">
            <v>45</v>
          </cell>
          <cell r="L44">
            <v>0</v>
          </cell>
          <cell r="O44">
            <v>60</v>
          </cell>
          <cell r="Q44">
            <v>9</v>
          </cell>
          <cell r="R44">
            <v>61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74.558000000000007</v>
          </cell>
          <cell r="E45">
            <v>6.2140000000000004</v>
          </cell>
          <cell r="F45">
            <v>68.343999999999994</v>
          </cell>
          <cell r="G45">
            <v>1</v>
          </cell>
          <cell r="H45">
            <v>120</v>
          </cell>
          <cell r="K45">
            <v>7</v>
          </cell>
          <cell r="L45">
            <v>-0.78599999999999959</v>
          </cell>
          <cell r="Q45">
            <v>1.2428000000000001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75</v>
          </cell>
          <cell r="E46">
            <v>49</v>
          </cell>
          <cell r="F46">
            <v>26</v>
          </cell>
          <cell r="G46">
            <v>0.2</v>
          </cell>
          <cell r="H46">
            <v>120</v>
          </cell>
          <cell r="K46">
            <v>53</v>
          </cell>
          <cell r="L46">
            <v>-4</v>
          </cell>
          <cell r="O46">
            <v>20</v>
          </cell>
          <cell r="Q46">
            <v>9.8000000000000007</v>
          </cell>
          <cell r="R46">
            <v>91.200000000000017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58.792000000000002</v>
          </cell>
          <cell r="E47">
            <v>29.635999999999999</v>
          </cell>
          <cell r="F47">
            <v>29.155999999999999</v>
          </cell>
          <cell r="G47">
            <v>1</v>
          </cell>
          <cell r="H47">
            <v>120</v>
          </cell>
          <cell r="K47">
            <v>28.5</v>
          </cell>
          <cell r="L47">
            <v>1.1359999999999992</v>
          </cell>
          <cell r="Q47">
            <v>5.9272</v>
          </cell>
          <cell r="R47">
            <v>53.824800000000003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7109375" customWidth="1"/>
    <col min="15" max="20" width="7" customWidth="1"/>
    <col min="21" max="21" width="7" style="14" customWidth="1"/>
    <col min="22" max="23" width="5" customWidth="1"/>
    <col min="24" max="33" width="6" customWidth="1"/>
    <col min="34" max="34" width="43.8554687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91</v>
      </c>
      <c r="T3" s="3" t="s">
        <v>94</v>
      </c>
      <c r="U3" s="3" t="s">
        <v>92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95</v>
      </c>
      <c r="U4" s="1" t="s">
        <v>93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2790.0999999999995</v>
      </c>
      <c r="F5" s="4">
        <f>SUM(F6:F498)</f>
        <v>2270.1469999999999</v>
      </c>
      <c r="G5" s="7"/>
      <c r="H5" s="1"/>
      <c r="I5" s="1"/>
      <c r="J5" s="1"/>
      <c r="K5" s="4">
        <f t="shared" ref="K5:U5" si="0">SUM(K6:K498)</f>
        <v>3933.3219999999997</v>
      </c>
      <c r="L5" s="4">
        <f t="shared" si="0"/>
        <v>-1143.222</v>
      </c>
      <c r="M5" s="4">
        <f t="shared" si="0"/>
        <v>0</v>
      </c>
      <c r="N5" s="4">
        <f t="shared" si="0"/>
        <v>0</v>
      </c>
      <c r="O5" s="4">
        <f t="shared" si="0"/>
        <v>3885</v>
      </c>
      <c r="P5" s="4">
        <f t="shared" si="0"/>
        <v>160</v>
      </c>
      <c r="Q5" s="4">
        <f t="shared" si="0"/>
        <v>558.01999999999987</v>
      </c>
      <c r="R5" s="4">
        <f t="shared" si="0"/>
        <v>2804.0165999999995</v>
      </c>
      <c r="S5" s="4">
        <f t="shared" si="0"/>
        <v>3022.4165999999996</v>
      </c>
      <c r="T5" s="4">
        <f t="shared" si="0"/>
        <v>3024</v>
      </c>
      <c r="U5" s="4">
        <f t="shared" si="0"/>
        <v>980</v>
      </c>
      <c r="V5" s="1"/>
      <c r="W5" s="1"/>
      <c r="X5" s="4">
        <f t="shared" ref="X5:AG5" si="1">SUM(X6:X498)</f>
        <v>559.98599999999999</v>
      </c>
      <c r="Y5" s="4">
        <f t="shared" si="1"/>
        <v>430.42060000000004</v>
      </c>
      <c r="Z5" s="4">
        <f t="shared" si="1"/>
        <v>432.49839999999995</v>
      </c>
      <c r="AA5" s="4">
        <f t="shared" si="1"/>
        <v>540.87959999999975</v>
      </c>
      <c r="AB5" s="4">
        <f t="shared" si="1"/>
        <v>359.47259999999989</v>
      </c>
      <c r="AC5" s="4">
        <f t="shared" si="1"/>
        <v>466.03420000000006</v>
      </c>
      <c r="AD5" s="4">
        <f t="shared" si="1"/>
        <v>440.05199999999996</v>
      </c>
      <c r="AE5" s="4">
        <f t="shared" si="1"/>
        <v>293.5243999999999</v>
      </c>
      <c r="AF5" s="4">
        <f t="shared" si="1"/>
        <v>493.16799999999995</v>
      </c>
      <c r="AG5" s="4">
        <f t="shared" si="1"/>
        <v>453.59320000000014</v>
      </c>
      <c r="AH5" s="1"/>
      <c r="AI5" s="4">
        <f>SUM(AI6:AI498)</f>
        <v>846.41499999999996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66</v>
      </c>
      <c r="D6" s="1"/>
      <c r="E6" s="1">
        <v>5</v>
      </c>
      <c r="F6" s="1">
        <v>61</v>
      </c>
      <c r="G6" s="7">
        <v>5.5E-2</v>
      </c>
      <c r="H6" s="1">
        <v>120</v>
      </c>
      <c r="I6" s="1"/>
      <c r="J6" s="1"/>
      <c r="K6" s="1">
        <v>5</v>
      </c>
      <c r="L6" s="1">
        <f t="shared" ref="L6:L47" si="2">E6-K6</f>
        <v>0</v>
      </c>
      <c r="M6" s="1"/>
      <c r="N6" s="1"/>
      <c r="O6" s="1"/>
      <c r="P6" s="1"/>
      <c r="Q6" s="1">
        <f>E6/5</f>
        <v>1</v>
      </c>
      <c r="R6" s="5"/>
      <c r="S6" s="5">
        <f>R6</f>
        <v>0</v>
      </c>
      <c r="T6" s="5"/>
      <c r="U6" s="13"/>
      <c r="V6" s="1">
        <f>(F6+O6+P6+S6)/Q6</f>
        <v>61</v>
      </c>
      <c r="W6" s="1">
        <f>(F6+O6+P6)/Q6</f>
        <v>61</v>
      </c>
      <c r="X6" s="1">
        <v>0.8</v>
      </c>
      <c r="Y6" s="1">
        <v>3.6</v>
      </c>
      <c r="Z6" s="1">
        <v>3.2</v>
      </c>
      <c r="AA6" s="1">
        <v>3.2</v>
      </c>
      <c r="AB6" s="1">
        <v>0</v>
      </c>
      <c r="AC6" s="1">
        <v>6.4</v>
      </c>
      <c r="AD6" s="1">
        <v>3.2</v>
      </c>
      <c r="AE6" s="1">
        <v>0</v>
      </c>
      <c r="AF6" s="1">
        <v>0</v>
      </c>
      <c r="AG6" s="1">
        <v>0</v>
      </c>
      <c r="AH6" s="11" t="s">
        <v>37</v>
      </c>
      <c r="AI6" s="1">
        <f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85</v>
      </c>
      <c r="D7" s="1"/>
      <c r="E7" s="1">
        <v>16</v>
      </c>
      <c r="F7" s="1">
        <v>69</v>
      </c>
      <c r="G7" s="7">
        <v>0.1</v>
      </c>
      <c r="H7" s="1">
        <v>120</v>
      </c>
      <c r="I7" s="1"/>
      <c r="J7" s="1"/>
      <c r="K7" s="1">
        <v>16</v>
      </c>
      <c r="L7" s="1">
        <f t="shared" si="2"/>
        <v>0</v>
      </c>
      <c r="M7" s="1"/>
      <c r="N7" s="1"/>
      <c r="O7" s="1"/>
      <c r="P7" s="1"/>
      <c r="Q7" s="1">
        <f t="shared" ref="Q7:Q47" si="3">E7/5</f>
        <v>3.2</v>
      </c>
      <c r="R7" s="5"/>
      <c r="S7" s="5">
        <f t="shared" ref="S7:S47" si="4">R7</f>
        <v>0</v>
      </c>
      <c r="T7" s="5"/>
      <c r="U7" s="13"/>
      <c r="V7" s="1">
        <f t="shared" ref="V7:V47" si="5">(F7+O7+P7+S7)/Q7</f>
        <v>21.5625</v>
      </c>
      <c r="W7" s="1">
        <f t="shared" ref="W7:W47" si="6">(F7+O7+P7)/Q7</f>
        <v>21.5625</v>
      </c>
      <c r="X7" s="1">
        <v>1.4</v>
      </c>
      <c r="Y7" s="1">
        <v>2</v>
      </c>
      <c r="Z7" s="1">
        <v>6</v>
      </c>
      <c r="AA7" s="1">
        <v>2.6</v>
      </c>
      <c r="AB7" s="1">
        <v>1</v>
      </c>
      <c r="AC7" s="1">
        <v>6</v>
      </c>
      <c r="AD7" s="1">
        <v>3</v>
      </c>
      <c r="AE7" s="1">
        <v>0</v>
      </c>
      <c r="AF7" s="1">
        <v>0</v>
      </c>
      <c r="AG7" s="1">
        <v>0</v>
      </c>
      <c r="AH7" s="12" t="s">
        <v>40</v>
      </c>
      <c r="AI7" s="1">
        <f t="shared" ref="AI7:AI47" si="7">G7*S7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36</v>
      </c>
      <c r="D8" s="1"/>
      <c r="E8" s="1">
        <v>12</v>
      </c>
      <c r="F8" s="1">
        <v>24</v>
      </c>
      <c r="G8" s="7">
        <v>0.1</v>
      </c>
      <c r="H8" s="1">
        <v>120</v>
      </c>
      <c r="I8" s="1"/>
      <c r="J8" s="1"/>
      <c r="K8" s="1">
        <v>12</v>
      </c>
      <c r="L8" s="1">
        <f t="shared" si="2"/>
        <v>0</v>
      </c>
      <c r="M8" s="1"/>
      <c r="N8" s="1"/>
      <c r="O8" s="1"/>
      <c r="P8" s="1"/>
      <c r="Q8" s="1">
        <f t="shared" si="3"/>
        <v>2.4</v>
      </c>
      <c r="R8" s="5">
        <f t="shared" ref="R8:R47" si="8">14*Q8-P8-O8-F8</f>
        <v>9.6000000000000014</v>
      </c>
      <c r="S8" s="5">
        <f t="shared" si="4"/>
        <v>9.6000000000000014</v>
      </c>
      <c r="T8" s="5">
        <f>VLOOKUP(A8,заказ!A:B,2,0)</f>
        <v>24</v>
      </c>
      <c r="U8" s="13"/>
      <c r="V8" s="1">
        <f t="shared" si="5"/>
        <v>14.000000000000002</v>
      </c>
      <c r="W8" s="1">
        <f t="shared" si="6"/>
        <v>10</v>
      </c>
      <c r="X8" s="1">
        <v>2.2000000000000002</v>
      </c>
      <c r="Y8" s="1">
        <v>1.2</v>
      </c>
      <c r="Z8" s="1">
        <v>3.2</v>
      </c>
      <c r="AA8" s="1">
        <v>1.4</v>
      </c>
      <c r="AB8" s="1">
        <v>3</v>
      </c>
      <c r="AC8" s="1">
        <v>2.2000000000000002</v>
      </c>
      <c r="AD8" s="1">
        <v>2.4</v>
      </c>
      <c r="AE8" s="1">
        <v>0</v>
      </c>
      <c r="AF8" s="1">
        <v>0</v>
      </c>
      <c r="AG8" s="1">
        <v>0</v>
      </c>
      <c r="AH8" s="10" t="s">
        <v>90</v>
      </c>
      <c r="AI8" s="1">
        <f t="shared" si="7"/>
        <v>0.96000000000000019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15.555</v>
      </c>
      <c r="D9" s="1">
        <v>78.177999999999997</v>
      </c>
      <c r="E9" s="1">
        <v>37.04</v>
      </c>
      <c r="F9" s="1">
        <v>46.668999999999997</v>
      </c>
      <c r="G9" s="7">
        <v>1</v>
      </c>
      <c r="H9" s="1">
        <v>120</v>
      </c>
      <c r="I9" s="1"/>
      <c r="J9" s="1"/>
      <c r="K9" s="1">
        <v>40.53</v>
      </c>
      <c r="L9" s="1">
        <f t="shared" si="2"/>
        <v>-3.490000000000002</v>
      </c>
      <c r="M9" s="1"/>
      <c r="N9" s="1"/>
      <c r="O9" s="1">
        <v>5</v>
      </c>
      <c r="P9" s="1"/>
      <c r="Q9" s="1">
        <f t="shared" si="3"/>
        <v>7.4079999999999995</v>
      </c>
      <c r="R9" s="5">
        <f t="shared" si="8"/>
        <v>52.042999999999992</v>
      </c>
      <c r="S9" s="5">
        <f t="shared" si="4"/>
        <v>52.042999999999992</v>
      </c>
      <c r="T9" s="5">
        <f>VLOOKUP(A9,заказ!A:B,2,0)</f>
        <v>50</v>
      </c>
      <c r="U9" s="13"/>
      <c r="V9" s="1">
        <f>(F9+O9+P9+S9)/Q9</f>
        <v>14</v>
      </c>
      <c r="W9" s="1">
        <f t="shared" si="6"/>
        <v>6.9747570194384449</v>
      </c>
      <c r="X9" s="1">
        <v>6.5135999999999994</v>
      </c>
      <c r="Y9" s="1">
        <v>8.3613999999999997</v>
      </c>
      <c r="Z9" s="1">
        <v>5.9184000000000001</v>
      </c>
      <c r="AA9" s="1">
        <v>5.1240000000000014</v>
      </c>
      <c r="AB9" s="1">
        <v>2.4895999999999998</v>
      </c>
      <c r="AC9" s="1">
        <v>4.2826000000000004</v>
      </c>
      <c r="AD9" s="1">
        <v>8.3127999999999993</v>
      </c>
      <c r="AE9" s="1">
        <v>1.8976</v>
      </c>
      <c r="AF9" s="1">
        <v>7.5635999999999992</v>
      </c>
      <c r="AG9" s="1">
        <v>6.4903999999999993</v>
      </c>
      <c r="AH9" s="1"/>
      <c r="AI9" s="1">
        <f t="shared" si="7"/>
        <v>52.042999999999992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9" t="s">
        <v>43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2</v>
      </c>
      <c r="L10" s="1">
        <f t="shared" si="2"/>
        <v>-2</v>
      </c>
      <c r="M10" s="1"/>
      <c r="N10" s="1"/>
      <c r="O10" s="1">
        <v>0</v>
      </c>
      <c r="P10" s="1"/>
      <c r="Q10" s="1">
        <f t="shared" si="3"/>
        <v>0</v>
      </c>
      <c r="R10" s="5">
        <v>12</v>
      </c>
      <c r="S10" s="5">
        <f t="shared" si="4"/>
        <v>12</v>
      </c>
      <c r="T10" s="15">
        <v>0</v>
      </c>
      <c r="U10" s="13"/>
      <c r="V10" s="1" t="e">
        <f t="shared" si="5"/>
        <v>#DIV/0!</v>
      </c>
      <c r="W10" s="1" t="e">
        <f t="shared" si="6"/>
        <v>#DIV/0!</v>
      </c>
      <c r="X10" s="1">
        <v>-0.4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</v>
      </c>
      <c r="AE10" s="1">
        <v>0</v>
      </c>
      <c r="AF10" s="1">
        <v>2</v>
      </c>
      <c r="AG10" s="1">
        <v>0.6</v>
      </c>
      <c r="AH10" s="1" t="s">
        <v>96</v>
      </c>
      <c r="AI10" s="1">
        <f t="shared" si="7"/>
        <v>2.16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9" t="s">
        <v>44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</v>
      </c>
      <c r="L11" s="1">
        <f t="shared" si="2"/>
        <v>-2</v>
      </c>
      <c r="M11" s="1"/>
      <c r="N11" s="1"/>
      <c r="O11" s="1">
        <v>0</v>
      </c>
      <c r="P11" s="1"/>
      <c r="Q11" s="1">
        <f t="shared" si="3"/>
        <v>0</v>
      </c>
      <c r="R11" s="5">
        <v>12</v>
      </c>
      <c r="S11" s="5">
        <f t="shared" si="4"/>
        <v>12</v>
      </c>
      <c r="T11" s="15">
        <v>0</v>
      </c>
      <c r="U11" s="13"/>
      <c r="V11" s="1" t="e">
        <f t="shared" si="5"/>
        <v>#DIV/0!</v>
      </c>
      <c r="W11" s="1" t="e">
        <f t="shared" si="6"/>
        <v>#DIV/0!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3</v>
      </c>
      <c r="AE11" s="1">
        <v>0</v>
      </c>
      <c r="AF11" s="1">
        <v>1.2</v>
      </c>
      <c r="AG11" s="1">
        <v>0</v>
      </c>
      <c r="AH11" s="1" t="s">
        <v>96</v>
      </c>
      <c r="AI11" s="1">
        <f t="shared" si="7"/>
        <v>2.16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42</v>
      </c>
      <c r="C12" s="1">
        <v>61.048000000000002</v>
      </c>
      <c r="D12" s="1"/>
      <c r="E12" s="1">
        <v>12.497999999999999</v>
      </c>
      <c r="F12" s="1">
        <v>48.55</v>
      </c>
      <c r="G12" s="7">
        <v>1</v>
      </c>
      <c r="H12" s="1">
        <v>180</v>
      </c>
      <c r="I12" s="1"/>
      <c r="J12" s="1"/>
      <c r="K12" s="1">
        <v>17.111999999999998</v>
      </c>
      <c r="L12" s="1">
        <f t="shared" si="2"/>
        <v>-4.613999999999999</v>
      </c>
      <c r="M12" s="1"/>
      <c r="N12" s="1"/>
      <c r="O12" s="1"/>
      <c r="P12" s="1"/>
      <c r="Q12" s="1">
        <f t="shared" si="3"/>
        <v>2.4996</v>
      </c>
      <c r="R12" s="5"/>
      <c r="S12" s="5">
        <f t="shared" si="4"/>
        <v>0</v>
      </c>
      <c r="T12" s="5"/>
      <c r="U12" s="13"/>
      <c r="V12" s="1">
        <f t="shared" si="5"/>
        <v>19.423107697231554</v>
      </c>
      <c r="W12" s="1">
        <f t="shared" si="6"/>
        <v>19.423107697231554</v>
      </c>
      <c r="X12" s="1">
        <v>3.8992</v>
      </c>
      <c r="Y12" s="1">
        <v>1.3051999999999999</v>
      </c>
      <c r="Z12" s="1">
        <v>0.63680000000000003</v>
      </c>
      <c r="AA12" s="1">
        <v>1.2988</v>
      </c>
      <c r="AB12" s="1">
        <v>1.2927999999999999</v>
      </c>
      <c r="AC12" s="1">
        <v>0.72399999999999998</v>
      </c>
      <c r="AD12" s="1">
        <v>1.9139999999999999</v>
      </c>
      <c r="AE12" s="1">
        <v>0.628</v>
      </c>
      <c r="AF12" s="1">
        <v>6.628400000000001</v>
      </c>
      <c r="AG12" s="1">
        <v>1.3204</v>
      </c>
      <c r="AH12" s="1"/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36</v>
      </c>
      <c r="C13" s="1">
        <v>133</v>
      </c>
      <c r="D13" s="1"/>
      <c r="E13" s="1">
        <v>4</v>
      </c>
      <c r="F13" s="1">
        <v>96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>
        <f t="shared" si="3"/>
        <v>0.8</v>
      </c>
      <c r="R13" s="5"/>
      <c r="S13" s="5">
        <f t="shared" si="4"/>
        <v>0</v>
      </c>
      <c r="T13" s="5"/>
      <c r="U13" s="13"/>
      <c r="V13" s="1">
        <f t="shared" si="5"/>
        <v>120</v>
      </c>
      <c r="W13" s="1">
        <f t="shared" si="6"/>
        <v>120</v>
      </c>
      <c r="X13" s="1">
        <v>1.4</v>
      </c>
      <c r="Y13" s="1">
        <v>0</v>
      </c>
      <c r="Z13" s="1">
        <v>0.4</v>
      </c>
      <c r="AA13" s="1">
        <v>0</v>
      </c>
      <c r="AB13" s="1">
        <v>0</v>
      </c>
      <c r="AC13" s="1">
        <v>0</v>
      </c>
      <c r="AD13" s="1">
        <v>0.6</v>
      </c>
      <c r="AE13" s="1">
        <v>0</v>
      </c>
      <c r="AF13" s="1">
        <v>0</v>
      </c>
      <c r="AG13" s="1">
        <v>0</v>
      </c>
      <c r="AH13" s="11" t="s">
        <v>47</v>
      </c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36</v>
      </c>
      <c r="C14" s="1">
        <v>192</v>
      </c>
      <c r="D14" s="1">
        <v>5</v>
      </c>
      <c r="E14" s="1">
        <v>162</v>
      </c>
      <c r="F14" s="1">
        <v>2</v>
      </c>
      <c r="G14" s="7">
        <v>0.372</v>
      </c>
      <c r="H14" s="1">
        <v>180</v>
      </c>
      <c r="I14" s="1"/>
      <c r="J14" s="1"/>
      <c r="K14" s="1">
        <v>216</v>
      </c>
      <c r="L14" s="1">
        <f t="shared" si="2"/>
        <v>-54</v>
      </c>
      <c r="M14" s="1"/>
      <c r="N14" s="1"/>
      <c r="O14" s="1">
        <v>120</v>
      </c>
      <c r="P14" s="1"/>
      <c r="Q14" s="1">
        <f t="shared" si="3"/>
        <v>32.4</v>
      </c>
      <c r="R14" s="5">
        <f>12*Q14-P14-O14-F14</f>
        <v>266.79999999999995</v>
      </c>
      <c r="S14" s="5">
        <v>300</v>
      </c>
      <c r="T14" s="5">
        <f>VLOOKUP(A14,заказ!A:B,2,0)</f>
        <v>300</v>
      </c>
      <c r="U14" s="13">
        <f>VLOOKUP(A14,[1]Sheet!$A:$S,19,0)</f>
        <v>300</v>
      </c>
      <c r="V14" s="1">
        <f t="shared" si="5"/>
        <v>13.024691358024691</v>
      </c>
      <c r="W14" s="1">
        <f t="shared" si="6"/>
        <v>3.7654320987654324</v>
      </c>
      <c r="X14" s="1">
        <v>18.600000000000001</v>
      </c>
      <c r="Y14" s="1">
        <v>7.6</v>
      </c>
      <c r="Z14" s="1">
        <v>2.4</v>
      </c>
      <c r="AA14" s="1">
        <v>9.8000000000000007</v>
      </c>
      <c r="AB14" s="1">
        <v>16.2</v>
      </c>
      <c r="AC14" s="1">
        <v>15.2</v>
      </c>
      <c r="AD14" s="1">
        <v>4.5999999999999996</v>
      </c>
      <c r="AE14" s="1">
        <v>5</v>
      </c>
      <c r="AF14" s="1">
        <v>16</v>
      </c>
      <c r="AG14" s="1">
        <v>2.6</v>
      </c>
      <c r="AH14" s="1"/>
      <c r="AI14" s="1">
        <f t="shared" si="7"/>
        <v>111.6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-2</v>
      </c>
      <c r="D15" s="1">
        <v>29</v>
      </c>
      <c r="E15" s="1">
        <v>21</v>
      </c>
      <c r="F15" s="1">
        <v>-2</v>
      </c>
      <c r="G15" s="7">
        <v>0.74399999999999999</v>
      </c>
      <c r="H15" s="1">
        <v>180</v>
      </c>
      <c r="I15" s="1"/>
      <c r="J15" s="1"/>
      <c r="K15" s="1">
        <v>47</v>
      </c>
      <c r="L15" s="1">
        <f t="shared" si="2"/>
        <v>-26</v>
      </c>
      <c r="M15" s="1"/>
      <c r="N15" s="1"/>
      <c r="O15" s="1">
        <v>192</v>
      </c>
      <c r="P15" s="1"/>
      <c r="Q15" s="1">
        <f t="shared" si="3"/>
        <v>4.2</v>
      </c>
      <c r="R15" s="5"/>
      <c r="S15" s="5">
        <v>50</v>
      </c>
      <c r="T15" s="5">
        <f>VLOOKUP(A15,заказ!A:B,2,0)</f>
        <v>48</v>
      </c>
      <c r="U15" s="13">
        <f>VLOOKUP(A15,[1]Sheet!$A:$S,19,0)</f>
        <v>70</v>
      </c>
      <c r="V15" s="1">
        <f t="shared" si="5"/>
        <v>57.142857142857139</v>
      </c>
      <c r="W15" s="1">
        <f t="shared" si="6"/>
        <v>45.238095238095234</v>
      </c>
      <c r="X15" s="1">
        <v>0</v>
      </c>
      <c r="Y15" s="1">
        <v>1</v>
      </c>
      <c r="Z15" s="1">
        <v>6.6</v>
      </c>
      <c r="AA15" s="1">
        <v>6.4</v>
      </c>
      <c r="AB15" s="1">
        <v>2.8</v>
      </c>
      <c r="AC15" s="1">
        <v>2.6</v>
      </c>
      <c r="AD15" s="1">
        <v>4</v>
      </c>
      <c r="AE15" s="1">
        <v>2.6</v>
      </c>
      <c r="AF15" s="1">
        <v>4</v>
      </c>
      <c r="AG15" s="1">
        <v>2.4</v>
      </c>
      <c r="AH15" s="1" t="s">
        <v>50</v>
      </c>
      <c r="AI15" s="1">
        <f>G15*S15</f>
        <v>37.200000000000003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36</v>
      </c>
      <c r="C16" s="1">
        <v>268</v>
      </c>
      <c r="D16" s="1">
        <v>11</v>
      </c>
      <c r="E16" s="1">
        <v>283</v>
      </c>
      <c r="F16" s="1">
        <v>-11</v>
      </c>
      <c r="G16" s="7">
        <v>0.372</v>
      </c>
      <c r="H16" s="1">
        <v>180</v>
      </c>
      <c r="I16" s="1"/>
      <c r="J16" s="1"/>
      <c r="K16" s="1">
        <v>459</v>
      </c>
      <c r="L16" s="1">
        <f t="shared" si="2"/>
        <v>-176</v>
      </c>
      <c r="M16" s="1"/>
      <c r="N16" s="1"/>
      <c r="O16" s="1">
        <v>240</v>
      </c>
      <c r="P16" s="1"/>
      <c r="Q16" s="1">
        <f t="shared" si="3"/>
        <v>56.6</v>
      </c>
      <c r="R16" s="5">
        <f>12*Q16-P16-O16-F16</f>
        <v>450.20000000000005</v>
      </c>
      <c r="S16" s="5">
        <f t="shared" si="4"/>
        <v>450.20000000000005</v>
      </c>
      <c r="T16" s="5">
        <f>VLOOKUP(A16,заказ!A:B,2,0)</f>
        <v>456</v>
      </c>
      <c r="U16" s="13"/>
      <c r="V16" s="1">
        <f t="shared" si="5"/>
        <v>12</v>
      </c>
      <c r="W16" s="1">
        <f t="shared" si="6"/>
        <v>4.0459363957597176</v>
      </c>
      <c r="X16" s="1">
        <v>35.200000000000003</v>
      </c>
      <c r="Y16" s="1">
        <v>11.6</v>
      </c>
      <c r="Z16" s="1">
        <v>10.199999999999999</v>
      </c>
      <c r="AA16" s="1">
        <v>16.2</v>
      </c>
      <c r="AB16" s="1">
        <v>7.8</v>
      </c>
      <c r="AC16" s="1">
        <v>15.4</v>
      </c>
      <c r="AD16" s="1">
        <v>15.8</v>
      </c>
      <c r="AE16" s="1">
        <v>10</v>
      </c>
      <c r="AF16" s="1">
        <v>20.399999999999999</v>
      </c>
      <c r="AG16" s="1">
        <v>8.8000000000000007</v>
      </c>
      <c r="AH16" s="1"/>
      <c r="AI16" s="1">
        <f t="shared" si="7"/>
        <v>167.4744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36</v>
      </c>
      <c r="C17" s="1">
        <v>2</v>
      </c>
      <c r="D17" s="1">
        <v>6</v>
      </c>
      <c r="E17" s="1">
        <v>8</v>
      </c>
      <c r="F17" s="1">
        <v>-2</v>
      </c>
      <c r="G17" s="7">
        <v>0.74399999999999999</v>
      </c>
      <c r="H17" s="1">
        <v>180</v>
      </c>
      <c r="I17" s="1"/>
      <c r="J17" s="1"/>
      <c r="K17" s="1">
        <v>85</v>
      </c>
      <c r="L17" s="1">
        <f t="shared" si="2"/>
        <v>-77</v>
      </c>
      <c r="M17" s="1"/>
      <c r="N17" s="1"/>
      <c r="O17" s="1">
        <v>180</v>
      </c>
      <c r="P17" s="1"/>
      <c r="Q17" s="1">
        <f t="shared" si="3"/>
        <v>1.6</v>
      </c>
      <c r="R17" s="5"/>
      <c r="S17" s="5">
        <v>50</v>
      </c>
      <c r="T17" s="5">
        <f>VLOOKUP(A17,заказ!A:B,2,0)</f>
        <v>48</v>
      </c>
      <c r="U17" s="13">
        <f>VLOOKUP(A17,[1]Sheet!$A:$S,19,0)</f>
        <v>70</v>
      </c>
      <c r="V17" s="1">
        <f t="shared" si="5"/>
        <v>142.5</v>
      </c>
      <c r="W17" s="1">
        <f t="shared" si="6"/>
        <v>111.25</v>
      </c>
      <c r="X17" s="1">
        <v>11.8</v>
      </c>
      <c r="Y17" s="1">
        <v>4</v>
      </c>
      <c r="Z17" s="1">
        <v>11</v>
      </c>
      <c r="AA17" s="1">
        <v>8.4</v>
      </c>
      <c r="AB17" s="1">
        <v>3.2</v>
      </c>
      <c r="AC17" s="1">
        <v>12.4</v>
      </c>
      <c r="AD17" s="1">
        <v>1.8</v>
      </c>
      <c r="AE17" s="1">
        <v>5.8</v>
      </c>
      <c r="AF17" s="1">
        <v>6.2</v>
      </c>
      <c r="AG17" s="1">
        <v>7</v>
      </c>
      <c r="AH17" s="1" t="s">
        <v>53</v>
      </c>
      <c r="AI17" s="1">
        <f t="shared" si="7"/>
        <v>37.200000000000003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36</v>
      </c>
      <c r="C18" s="1">
        <v>42</v>
      </c>
      <c r="D18" s="1">
        <v>2</v>
      </c>
      <c r="E18" s="1">
        <v>36</v>
      </c>
      <c r="F18" s="1">
        <v>2</v>
      </c>
      <c r="G18" s="7">
        <v>0.18</v>
      </c>
      <c r="H18" s="1">
        <v>270</v>
      </c>
      <c r="I18" s="1"/>
      <c r="J18" s="1"/>
      <c r="K18" s="1">
        <v>38</v>
      </c>
      <c r="L18" s="1">
        <f t="shared" si="2"/>
        <v>-2</v>
      </c>
      <c r="M18" s="1"/>
      <c r="N18" s="1"/>
      <c r="O18" s="1">
        <v>48</v>
      </c>
      <c r="P18" s="1"/>
      <c r="Q18" s="1">
        <f t="shared" si="3"/>
        <v>7.2</v>
      </c>
      <c r="R18" s="5">
        <f t="shared" si="8"/>
        <v>50.8</v>
      </c>
      <c r="S18" s="5">
        <f t="shared" si="4"/>
        <v>50.8</v>
      </c>
      <c r="T18" s="5">
        <f>VLOOKUP(A18,заказ!A:B,2,0)</f>
        <v>48</v>
      </c>
      <c r="U18" s="13"/>
      <c r="V18" s="1">
        <f t="shared" si="5"/>
        <v>14</v>
      </c>
      <c r="W18" s="1">
        <f t="shared" si="6"/>
        <v>6.9444444444444446</v>
      </c>
      <c r="X18" s="1">
        <v>5.8</v>
      </c>
      <c r="Y18" s="1">
        <v>5</v>
      </c>
      <c r="Z18" s="1">
        <v>5.8</v>
      </c>
      <c r="AA18" s="1">
        <v>6.8</v>
      </c>
      <c r="AB18" s="1">
        <v>9</v>
      </c>
      <c r="AC18" s="1">
        <v>5.8</v>
      </c>
      <c r="AD18" s="1">
        <v>4.4000000000000004</v>
      </c>
      <c r="AE18" s="1">
        <v>2</v>
      </c>
      <c r="AF18" s="1">
        <v>3.6</v>
      </c>
      <c r="AG18" s="1">
        <v>6.2</v>
      </c>
      <c r="AH18" s="1"/>
      <c r="AI18" s="1">
        <f t="shared" si="7"/>
        <v>9.1439999999999984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36</v>
      </c>
      <c r="C19" s="1">
        <v>22</v>
      </c>
      <c r="D19" s="1">
        <v>18</v>
      </c>
      <c r="E19" s="1">
        <v>34</v>
      </c>
      <c r="F19" s="1"/>
      <c r="G19" s="7">
        <v>0.18</v>
      </c>
      <c r="H19" s="1">
        <v>270</v>
      </c>
      <c r="I19" s="1"/>
      <c r="J19" s="1"/>
      <c r="K19" s="1">
        <v>36</v>
      </c>
      <c r="L19" s="1">
        <f t="shared" si="2"/>
        <v>-2</v>
      </c>
      <c r="M19" s="1"/>
      <c r="N19" s="1"/>
      <c r="O19" s="1">
        <v>80</v>
      </c>
      <c r="P19" s="1"/>
      <c r="Q19" s="1">
        <f t="shared" si="3"/>
        <v>6.8</v>
      </c>
      <c r="R19" s="5">
        <f t="shared" si="8"/>
        <v>15.200000000000003</v>
      </c>
      <c r="S19" s="5">
        <f t="shared" si="4"/>
        <v>15.200000000000003</v>
      </c>
      <c r="T19" s="5">
        <f>VLOOKUP(A19,заказ!A:B,2,0)</f>
        <v>16</v>
      </c>
      <c r="U19" s="13"/>
      <c r="V19" s="1">
        <f t="shared" si="5"/>
        <v>14</v>
      </c>
      <c r="W19" s="1">
        <f t="shared" si="6"/>
        <v>11.764705882352942</v>
      </c>
      <c r="X19" s="1">
        <v>7.6</v>
      </c>
      <c r="Y19" s="1">
        <v>4.8</v>
      </c>
      <c r="Z19" s="1">
        <v>5.8</v>
      </c>
      <c r="AA19" s="1">
        <v>5.8</v>
      </c>
      <c r="AB19" s="1">
        <v>9.1999999999999993</v>
      </c>
      <c r="AC19" s="1">
        <v>5.2</v>
      </c>
      <c r="AD19" s="1">
        <v>4.4000000000000004</v>
      </c>
      <c r="AE19" s="1">
        <v>3.2</v>
      </c>
      <c r="AF19" s="1">
        <v>5.4</v>
      </c>
      <c r="AG19" s="1">
        <v>6.6</v>
      </c>
      <c r="AH19" s="1"/>
      <c r="AI19" s="1">
        <f t="shared" si="7"/>
        <v>2.7360000000000002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36</v>
      </c>
      <c r="C20" s="1">
        <v>166</v>
      </c>
      <c r="D20" s="1">
        <v>208</v>
      </c>
      <c r="E20" s="1">
        <v>245</v>
      </c>
      <c r="F20" s="1">
        <v>102</v>
      </c>
      <c r="G20" s="7">
        <v>0.18</v>
      </c>
      <c r="H20" s="1">
        <v>180</v>
      </c>
      <c r="I20" s="1"/>
      <c r="J20" s="1"/>
      <c r="K20" s="1">
        <v>246</v>
      </c>
      <c r="L20" s="1">
        <f t="shared" si="2"/>
        <v>-1</v>
      </c>
      <c r="M20" s="1"/>
      <c r="N20" s="1"/>
      <c r="O20" s="1">
        <v>230</v>
      </c>
      <c r="P20" s="1"/>
      <c r="Q20" s="1">
        <f t="shared" si="3"/>
        <v>49</v>
      </c>
      <c r="R20" s="5">
        <f t="shared" si="8"/>
        <v>354</v>
      </c>
      <c r="S20" s="5">
        <f t="shared" si="4"/>
        <v>354</v>
      </c>
      <c r="T20" s="5">
        <f>VLOOKUP(A20,заказ!A:B,2,0)</f>
        <v>350</v>
      </c>
      <c r="U20" s="13"/>
      <c r="V20" s="1">
        <f t="shared" si="5"/>
        <v>14</v>
      </c>
      <c r="W20" s="1">
        <f t="shared" si="6"/>
        <v>6.7755102040816331</v>
      </c>
      <c r="X20" s="1">
        <v>39.200000000000003</v>
      </c>
      <c r="Y20" s="1">
        <v>38.6</v>
      </c>
      <c r="Z20" s="1">
        <v>36.6</v>
      </c>
      <c r="AA20" s="1">
        <v>46.2</v>
      </c>
      <c r="AB20" s="1">
        <v>38</v>
      </c>
      <c r="AC20" s="1">
        <v>34</v>
      </c>
      <c r="AD20" s="1">
        <v>30.078800000000001</v>
      </c>
      <c r="AE20" s="1">
        <v>33.799999999999997</v>
      </c>
      <c r="AF20" s="1">
        <v>46</v>
      </c>
      <c r="AG20" s="1">
        <v>63</v>
      </c>
      <c r="AH20" s="1"/>
      <c r="AI20" s="1">
        <f t="shared" si="7"/>
        <v>63.72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125</v>
      </c>
      <c r="D21" s="1">
        <v>67</v>
      </c>
      <c r="E21" s="1">
        <v>106</v>
      </c>
      <c r="F21" s="1">
        <v>77</v>
      </c>
      <c r="G21" s="7">
        <v>0.18</v>
      </c>
      <c r="H21" s="1">
        <v>180</v>
      </c>
      <c r="I21" s="1"/>
      <c r="J21" s="1"/>
      <c r="K21" s="1">
        <v>109</v>
      </c>
      <c r="L21" s="1">
        <f t="shared" si="2"/>
        <v>-3</v>
      </c>
      <c r="M21" s="1"/>
      <c r="N21" s="1"/>
      <c r="O21" s="1">
        <v>130</v>
      </c>
      <c r="P21" s="1"/>
      <c r="Q21" s="1">
        <f t="shared" si="3"/>
        <v>21.2</v>
      </c>
      <c r="R21" s="5">
        <f t="shared" si="8"/>
        <v>89.800000000000011</v>
      </c>
      <c r="S21" s="5">
        <f t="shared" si="4"/>
        <v>89.800000000000011</v>
      </c>
      <c r="T21" s="5">
        <f>VLOOKUP(A21,заказ!A:B,2,0)</f>
        <v>90</v>
      </c>
      <c r="U21" s="13"/>
      <c r="V21" s="1">
        <f t="shared" si="5"/>
        <v>14.000000000000002</v>
      </c>
      <c r="W21" s="1">
        <f t="shared" si="6"/>
        <v>9.7641509433962259</v>
      </c>
      <c r="X21" s="1">
        <v>20.6</v>
      </c>
      <c r="Y21" s="1">
        <v>19.2</v>
      </c>
      <c r="Z21" s="1">
        <v>15</v>
      </c>
      <c r="AA21" s="1">
        <v>26.6</v>
      </c>
      <c r="AB21" s="1">
        <v>30.6</v>
      </c>
      <c r="AC21" s="1">
        <v>17.600000000000001</v>
      </c>
      <c r="AD21" s="1">
        <v>16.2</v>
      </c>
      <c r="AE21" s="1">
        <v>9.1999999999999993</v>
      </c>
      <c r="AF21" s="1">
        <v>27.6</v>
      </c>
      <c r="AG21" s="1">
        <v>28.4</v>
      </c>
      <c r="AH21" s="1"/>
      <c r="AI21" s="1">
        <f t="shared" si="7"/>
        <v>16.164000000000001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31</v>
      </c>
      <c r="D22" s="1"/>
      <c r="E22" s="1"/>
      <c r="F22" s="1">
        <v>31</v>
      </c>
      <c r="G22" s="7">
        <v>0.4</v>
      </c>
      <c r="H22" s="1">
        <v>270</v>
      </c>
      <c r="I22" s="1"/>
      <c r="J22" s="1"/>
      <c r="K22" s="1">
        <v>15</v>
      </c>
      <c r="L22" s="1">
        <f t="shared" si="2"/>
        <v>-15</v>
      </c>
      <c r="M22" s="1"/>
      <c r="N22" s="1"/>
      <c r="O22" s="1"/>
      <c r="P22" s="1"/>
      <c r="Q22" s="1">
        <f t="shared" si="3"/>
        <v>0</v>
      </c>
      <c r="R22" s="5"/>
      <c r="S22" s="5">
        <f t="shared" si="4"/>
        <v>0</v>
      </c>
      <c r="T22" s="5"/>
      <c r="U22" s="13"/>
      <c r="V22" s="1" t="e">
        <f t="shared" si="5"/>
        <v>#DIV/0!</v>
      </c>
      <c r="W22" s="1" t="e">
        <f t="shared" si="6"/>
        <v>#DIV/0!</v>
      </c>
      <c r="X22" s="1">
        <v>-0.4</v>
      </c>
      <c r="Y22" s="1">
        <v>-0.4</v>
      </c>
      <c r="Z22" s="1">
        <v>0</v>
      </c>
      <c r="AA22" s="1">
        <v>0</v>
      </c>
      <c r="AB22" s="1">
        <v>0</v>
      </c>
      <c r="AC22" s="1">
        <v>-0.4</v>
      </c>
      <c r="AD22" s="1">
        <v>0</v>
      </c>
      <c r="AE22" s="1">
        <v>0.4</v>
      </c>
      <c r="AF22" s="1">
        <v>0.4</v>
      </c>
      <c r="AG22" s="1">
        <v>0.4</v>
      </c>
      <c r="AH22" s="11" t="s">
        <v>47</v>
      </c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>
        <v>18</v>
      </c>
      <c r="D23" s="1">
        <v>3</v>
      </c>
      <c r="E23" s="1">
        <v>9</v>
      </c>
      <c r="F23" s="1">
        <v>9</v>
      </c>
      <c r="G23" s="7">
        <v>0.4</v>
      </c>
      <c r="H23" s="1">
        <v>270</v>
      </c>
      <c r="I23" s="1"/>
      <c r="J23" s="1"/>
      <c r="K23" s="1">
        <v>18</v>
      </c>
      <c r="L23" s="1">
        <f t="shared" si="2"/>
        <v>-9</v>
      </c>
      <c r="M23" s="1"/>
      <c r="N23" s="1"/>
      <c r="O23" s="1"/>
      <c r="P23" s="1"/>
      <c r="Q23" s="1">
        <f t="shared" si="3"/>
        <v>1.8</v>
      </c>
      <c r="R23" s="5">
        <f t="shared" si="8"/>
        <v>16.2</v>
      </c>
      <c r="S23" s="5">
        <f t="shared" si="4"/>
        <v>16.2</v>
      </c>
      <c r="T23" s="5">
        <f>VLOOKUP(A23,заказ!A:B,2,0)</f>
        <v>28</v>
      </c>
      <c r="U23" s="13"/>
      <c r="V23" s="1">
        <f t="shared" si="5"/>
        <v>14</v>
      </c>
      <c r="W23" s="1">
        <f t="shared" si="6"/>
        <v>5</v>
      </c>
      <c r="X23" s="1">
        <v>1.2</v>
      </c>
      <c r="Y23" s="1">
        <v>0.4</v>
      </c>
      <c r="Z23" s="1">
        <v>2</v>
      </c>
      <c r="AA23" s="1">
        <v>0.6</v>
      </c>
      <c r="AB23" s="1">
        <v>0.4</v>
      </c>
      <c r="AC23" s="1">
        <v>0.4</v>
      </c>
      <c r="AD23" s="1">
        <v>0</v>
      </c>
      <c r="AE23" s="1">
        <v>0</v>
      </c>
      <c r="AF23" s="1">
        <v>1.6</v>
      </c>
      <c r="AG23" s="1">
        <v>0.8</v>
      </c>
      <c r="AH23" s="1"/>
      <c r="AI23" s="1">
        <f t="shared" si="7"/>
        <v>6.48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200</v>
      </c>
      <c r="D24" s="1">
        <v>1</v>
      </c>
      <c r="E24" s="1">
        <v>132</v>
      </c>
      <c r="F24" s="1">
        <v>67</v>
      </c>
      <c r="G24" s="7">
        <v>0.18</v>
      </c>
      <c r="H24" s="1">
        <v>150</v>
      </c>
      <c r="I24" s="1"/>
      <c r="J24" s="1"/>
      <c r="K24" s="1">
        <v>133</v>
      </c>
      <c r="L24" s="1">
        <f t="shared" si="2"/>
        <v>-1</v>
      </c>
      <c r="M24" s="1"/>
      <c r="N24" s="1"/>
      <c r="O24" s="1">
        <v>90</v>
      </c>
      <c r="P24" s="1"/>
      <c r="Q24" s="1">
        <f t="shared" si="3"/>
        <v>26.4</v>
      </c>
      <c r="R24" s="5">
        <f t="shared" si="8"/>
        <v>212.59999999999997</v>
      </c>
      <c r="S24" s="5">
        <f t="shared" si="4"/>
        <v>212.59999999999997</v>
      </c>
      <c r="T24" s="5">
        <f>VLOOKUP(A24,заказ!A:B,2,0)</f>
        <v>210</v>
      </c>
      <c r="U24" s="13"/>
      <c r="V24" s="1">
        <f t="shared" si="5"/>
        <v>14</v>
      </c>
      <c r="W24" s="1">
        <f t="shared" si="6"/>
        <v>5.9469696969696972</v>
      </c>
      <c r="X24" s="1">
        <v>17.600000000000001</v>
      </c>
      <c r="Y24" s="1">
        <v>1.6</v>
      </c>
      <c r="Z24" s="1">
        <v>1</v>
      </c>
      <c r="AA24" s="1">
        <v>11.8</v>
      </c>
      <c r="AB24" s="1">
        <v>2.6</v>
      </c>
      <c r="AC24" s="1">
        <v>6.8</v>
      </c>
      <c r="AD24" s="1">
        <v>13.2</v>
      </c>
      <c r="AE24" s="1">
        <v>10.6</v>
      </c>
      <c r="AF24" s="1">
        <v>12.2</v>
      </c>
      <c r="AG24" s="1">
        <v>8.8000000000000007</v>
      </c>
      <c r="AH24" s="1"/>
      <c r="AI24" s="1">
        <f t="shared" si="7"/>
        <v>38.267999999999994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36</v>
      </c>
      <c r="C25" s="1">
        <v>173</v>
      </c>
      <c r="D25" s="1">
        <v>29</v>
      </c>
      <c r="E25" s="1">
        <v>60</v>
      </c>
      <c r="F25" s="1">
        <v>127</v>
      </c>
      <c r="G25" s="7">
        <v>0.1</v>
      </c>
      <c r="H25" s="1">
        <v>90</v>
      </c>
      <c r="I25" s="1"/>
      <c r="J25" s="1"/>
      <c r="K25" s="1">
        <v>109</v>
      </c>
      <c r="L25" s="1">
        <f t="shared" si="2"/>
        <v>-49</v>
      </c>
      <c r="M25" s="1"/>
      <c r="N25" s="1"/>
      <c r="O25" s="1">
        <v>184</v>
      </c>
      <c r="P25" s="1"/>
      <c r="Q25" s="1">
        <f t="shared" si="3"/>
        <v>12</v>
      </c>
      <c r="R25" s="5"/>
      <c r="S25" s="5">
        <f t="shared" si="4"/>
        <v>0</v>
      </c>
      <c r="T25" s="5"/>
      <c r="U25" s="13"/>
      <c r="V25" s="1">
        <f t="shared" si="5"/>
        <v>25.916666666666668</v>
      </c>
      <c r="W25" s="1">
        <f t="shared" si="6"/>
        <v>25.916666666666668</v>
      </c>
      <c r="X25" s="1">
        <v>25</v>
      </c>
      <c r="Y25" s="1">
        <v>22.4</v>
      </c>
      <c r="Z25" s="1">
        <v>14.6</v>
      </c>
      <c r="AA25" s="1">
        <v>17.399999999999999</v>
      </c>
      <c r="AB25" s="1">
        <v>11</v>
      </c>
      <c r="AC25" s="1">
        <v>36.4</v>
      </c>
      <c r="AD25" s="1">
        <v>20</v>
      </c>
      <c r="AE25" s="1">
        <v>16.2</v>
      </c>
      <c r="AF25" s="1">
        <v>20.8</v>
      </c>
      <c r="AG25" s="1">
        <v>14</v>
      </c>
      <c r="AH25" s="1"/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36</v>
      </c>
      <c r="C26" s="1">
        <v>192</v>
      </c>
      <c r="D26" s="1">
        <v>10</v>
      </c>
      <c r="E26" s="1">
        <v>80</v>
      </c>
      <c r="F26" s="1">
        <v>107</v>
      </c>
      <c r="G26" s="7">
        <v>0.1</v>
      </c>
      <c r="H26" s="1">
        <v>60</v>
      </c>
      <c r="I26" s="1"/>
      <c r="J26" s="1"/>
      <c r="K26" s="1">
        <v>90</v>
      </c>
      <c r="L26" s="1">
        <f t="shared" si="2"/>
        <v>-10</v>
      </c>
      <c r="M26" s="1"/>
      <c r="N26" s="1"/>
      <c r="O26" s="1">
        <v>216</v>
      </c>
      <c r="P26" s="1"/>
      <c r="Q26" s="1">
        <f t="shared" si="3"/>
        <v>16</v>
      </c>
      <c r="R26" s="5"/>
      <c r="S26" s="5">
        <f t="shared" si="4"/>
        <v>0</v>
      </c>
      <c r="T26" s="5"/>
      <c r="U26" s="13"/>
      <c r="V26" s="1">
        <f t="shared" si="5"/>
        <v>20.1875</v>
      </c>
      <c r="W26" s="1">
        <f t="shared" si="6"/>
        <v>20.1875</v>
      </c>
      <c r="X26" s="1">
        <v>27</v>
      </c>
      <c r="Y26" s="1">
        <v>15.8</v>
      </c>
      <c r="Z26" s="1">
        <v>26.2</v>
      </c>
      <c r="AA26" s="1">
        <v>15</v>
      </c>
      <c r="AB26" s="1">
        <v>25.4</v>
      </c>
      <c r="AC26" s="1">
        <v>25.2</v>
      </c>
      <c r="AD26" s="1">
        <v>12.2</v>
      </c>
      <c r="AE26" s="1">
        <v>6.6</v>
      </c>
      <c r="AF26" s="1">
        <v>17.600000000000001</v>
      </c>
      <c r="AG26" s="1">
        <v>8</v>
      </c>
      <c r="AH26" s="1"/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36</v>
      </c>
      <c r="C27" s="1">
        <v>88</v>
      </c>
      <c r="D27" s="1">
        <v>90</v>
      </c>
      <c r="E27" s="1">
        <v>67</v>
      </c>
      <c r="F27" s="1">
        <v>104</v>
      </c>
      <c r="G27" s="7">
        <v>0.1</v>
      </c>
      <c r="H27" s="1">
        <v>90</v>
      </c>
      <c r="I27" s="1"/>
      <c r="J27" s="1"/>
      <c r="K27" s="1">
        <v>74</v>
      </c>
      <c r="L27" s="1">
        <f t="shared" si="2"/>
        <v>-7</v>
      </c>
      <c r="M27" s="1"/>
      <c r="N27" s="1"/>
      <c r="O27" s="1">
        <v>120</v>
      </c>
      <c r="P27" s="1"/>
      <c r="Q27" s="1">
        <f t="shared" si="3"/>
        <v>13.4</v>
      </c>
      <c r="R27" s="5"/>
      <c r="S27" s="5">
        <f t="shared" si="4"/>
        <v>0</v>
      </c>
      <c r="T27" s="5"/>
      <c r="U27" s="13"/>
      <c r="V27" s="1">
        <f t="shared" si="5"/>
        <v>16.71641791044776</v>
      </c>
      <c r="W27" s="1">
        <f t="shared" si="6"/>
        <v>16.71641791044776</v>
      </c>
      <c r="X27" s="1">
        <v>18.399999999999999</v>
      </c>
      <c r="Y27" s="1">
        <v>16.8</v>
      </c>
      <c r="Z27" s="1">
        <v>11.2</v>
      </c>
      <c r="AA27" s="1">
        <v>17.8</v>
      </c>
      <c r="AB27" s="1">
        <v>21</v>
      </c>
      <c r="AC27" s="1">
        <v>16.600000000000001</v>
      </c>
      <c r="AD27" s="1">
        <v>15</v>
      </c>
      <c r="AE27" s="1">
        <v>13.2</v>
      </c>
      <c r="AF27" s="1">
        <v>17.600000000000001</v>
      </c>
      <c r="AG27" s="1">
        <v>10</v>
      </c>
      <c r="AH27" s="1"/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64</v>
      </c>
      <c r="B28" s="1" t="s">
        <v>36</v>
      </c>
      <c r="C28" s="1">
        <v>-7</v>
      </c>
      <c r="D28" s="1"/>
      <c r="E28" s="1">
        <v>1</v>
      </c>
      <c r="F28" s="1">
        <v>-8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-30</v>
      </c>
      <c r="M28" s="1"/>
      <c r="N28" s="1"/>
      <c r="O28" s="1">
        <v>130</v>
      </c>
      <c r="P28" s="1"/>
      <c r="Q28" s="1">
        <f t="shared" si="3"/>
        <v>0.2</v>
      </c>
      <c r="R28" s="5"/>
      <c r="S28" s="5">
        <v>20</v>
      </c>
      <c r="T28" s="5">
        <f>VLOOKUP(A28,заказ!A:B,2,0)</f>
        <v>20</v>
      </c>
      <c r="U28" s="13">
        <f>VLOOKUP(A28,[1]Sheet!$A:$S,19,0)</f>
        <v>40</v>
      </c>
      <c r="V28" s="1">
        <f t="shared" si="5"/>
        <v>710</v>
      </c>
      <c r="W28" s="1">
        <f t="shared" si="6"/>
        <v>610</v>
      </c>
      <c r="X28" s="1">
        <v>12.4</v>
      </c>
      <c r="Y28" s="1">
        <v>2</v>
      </c>
      <c r="Z28" s="1">
        <v>7</v>
      </c>
      <c r="AA28" s="1">
        <v>19</v>
      </c>
      <c r="AB28" s="1">
        <v>16.2</v>
      </c>
      <c r="AC28" s="1">
        <v>13.8</v>
      </c>
      <c r="AD28" s="1">
        <v>5.2</v>
      </c>
      <c r="AE28" s="1">
        <v>8.4</v>
      </c>
      <c r="AF28" s="1">
        <v>11.2</v>
      </c>
      <c r="AG28" s="1">
        <v>17.8</v>
      </c>
      <c r="AH28" s="1" t="s">
        <v>65</v>
      </c>
      <c r="AI28" s="1">
        <f t="shared" si="7"/>
        <v>3.5999999999999996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36</v>
      </c>
      <c r="C29" s="1">
        <v>27</v>
      </c>
      <c r="D29" s="1">
        <v>441</v>
      </c>
      <c r="E29" s="1">
        <v>274</v>
      </c>
      <c r="F29" s="1">
        <v>159</v>
      </c>
      <c r="G29" s="7">
        <v>0.18</v>
      </c>
      <c r="H29" s="1">
        <v>150</v>
      </c>
      <c r="I29" s="1"/>
      <c r="J29" s="1"/>
      <c r="K29" s="1">
        <v>332</v>
      </c>
      <c r="L29" s="1">
        <f t="shared" si="2"/>
        <v>-58</v>
      </c>
      <c r="M29" s="1"/>
      <c r="N29" s="1"/>
      <c r="O29" s="1">
        <v>560</v>
      </c>
      <c r="P29" s="1"/>
      <c r="Q29" s="1">
        <f t="shared" si="3"/>
        <v>54.8</v>
      </c>
      <c r="R29" s="5">
        <f t="shared" si="8"/>
        <v>48.199999999999932</v>
      </c>
      <c r="S29" s="5">
        <f t="shared" si="4"/>
        <v>48.199999999999932</v>
      </c>
      <c r="T29" s="5">
        <f>VLOOKUP(A29,заказ!A:B,2,0)</f>
        <v>50</v>
      </c>
      <c r="U29" s="13"/>
      <c r="V29" s="1">
        <f t="shared" si="5"/>
        <v>14</v>
      </c>
      <c r="W29" s="1">
        <f t="shared" si="6"/>
        <v>13.12043795620438</v>
      </c>
      <c r="X29" s="1">
        <v>71.599999999999994</v>
      </c>
      <c r="Y29" s="1">
        <v>57.6</v>
      </c>
      <c r="Z29" s="1">
        <v>47.8</v>
      </c>
      <c r="AA29" s="1">
        <v>68.599999999999994</v>
      </c>
      <c r="AB29" s="1">
        <v>30</v>
      </c>
      <c r="AC29" s="1">
        <v>58</v>
      </c>
      <c r="AD29" s="1">
        <v>69</v>
      </c>
      <c r="AE29" s="1">
        <v>36</v>
      </c>
      <c r="AF29" s="1">
        <v>58.4</v>
      </c>
      <c r="AG29" s="1">
        <v>37</v>
      </c>
      <c r="AH29" s="1" t="s">
        <v>67</v>
      </c>
      <c r="AI29" s="1">
        <f t="shared" si="7"/>
        <v>8.6759999999999877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92</v>
      </c>
      <c r="D30" s="1">
        <v>1</v>
      </c>
      <c r="E30" s="1">
        <v>17</v>
      </c>
      <c r="F30" s="1">
        <v>74</v>
      </c>
      <c r="G30" s="7">
        <v>0.18</v>
      </c>
      <c r="H30" s="1">
        <v>150</v>
      </c>
      <c r="I30" s="1"/>
      <c r="J30" s="1"/>
      <c r="K30" s="1">
        <v>33</v>
      </c>
      <c r="L30" s="1">
        <f t="shared" si="2"/>
        <v>-16</v>
      </c>
      <c r="M30" s="1"/>
      <c r="N30" s="1"/>
      <c r="O30" s="1"/>
      <c r="P30" s="1"/>
      <c r="Q30" s="1">
        <f t="shared" si="3"/>
        <v>3.4</v>
      </c>
      <c r="R30" s="5"/>
      <c r="S30" s="5">
        <f t="shared" si="4"/>
        <v>0</v>
      </c>
      <c r="T30" s="5"/>
      <c r="U30" s="13"/>
      <c r="V30" s="1">
        <f t="shared" si="5"/>
        <v>21.764705882352942</v>
      </c>
      <c r="W30" s="1">
        <f t="shared" si="6"/>
        <v>21.764705882352942</v>
      </c>
      <c r="X30" s="1">
        <v>4.4000000000000004</v>
      </c>
      <c r="Y30" s="1">
        <v>4.8</v>
      </c>
      <c r="Z30" s="1">
        <v>6</v>
      </c>
      <c r="AA30" s="1">
        <v>9</v>
      </c>
      <c r="AB30" s="1">
        <v>8.8000000000000007</v>
      </c>
      <c r="AC30" s="1">
        <v>5.6</v>
      </c>
      <c r="AD30" s="1">
        <v>4.5999999999999996</v>
      </c>
      <c r="AE30" s="1">
        <v>3.4</v>
      </c>
      <c r="AF30" s="1">
        <v>5.6</v>
      </c>
      <c r="AG30" s="1">
        <v>2.8</v>
      </c>
      <c r="AH30" s="1" t="s">
        <v>69</v>
      </c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36</v>
      </c>
      <c r="C31" s="1">
        <v>-1</v>
      </c>
      <c r="D31" s="1">
        <v>20</v>
      </c>
      <c r="E31" s="1">
        <v>9</v>
      </c>
      <c r="F31" s="1">
        <v>10</v>
      </c>
      <c r="G31" s="7">
        <v>0.18</v>
      </c>
      <c r="H31" s="1">
        <v>150</v>
      </c>
      <c r="I31" s="1"/>
      <c r="J31" s="1"/>
      <c r="K31" s="1">
        <v>12</v>
      </c>
      <c r="L31" s="1">
        <f t="shared" si="2"/>
        <v>-3</v>
      </c>
      <c r="M31" s="1"/>
      <c r="N31" s="1"/>
      <c r="O31" s="1">
        <v>20</v>
      </c>
      <c r="P31" s="1"/>
      <c r="Q31" s="1">
        <f t="shared" si="3"/>
        <v>1.8</v>
      </c>
      <c r="R31" s="5"/>
      <c r="S31" s="5">
        <f t="shared" si="4"/>
        <v>0</v>
      </c>
      <c r="T31" s="5"/>
      <c r="U31" s="13"/>
      <c r="V31" s="1">
        <f t="shared" si="5"/>
        <v>16.666666666666668</v>
      </c>
      <c r="W31" s="1">
        <f t="shared" si="6"/>
        <v>16.666666666666668</v>
      </c>
      <c r="X31" s="1">
        <v>0</v>
      </c>
      <c r="Y31" s="1">
        <v>0.8</v>
      </c>
      <c r="Z31" s="1">
        <v>2.6</v>
      </c>
      <c r="AA31" s="1">
        <v>4.4000000000000004</v>
      </c>
      <c r="AB31" s="1">
        <v>4.4000000000000004</v>
      </c>
      <c r="AC31" s="1">
        <v>2.8</v>
      </c>
      <c r="AD31" s="1">
        <v>2.6</v>
      </c>
      <c r="AE31" s="1">
        <v>2.6</v>
      </c>
      <c r="AF31" s="1">
        <v>3.2</v>
      </c>
      <c r="AG31" s="1">
        <v>0.8</v>
      </c>
      <c r="AH31" s="1" t="s">
        <v>71</v>
      </c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36</v>
      </c>
      <c r="C32" s="1">
        <v>226</v>
      </c>
      <c r="D32" s="1">
        <v>491</v>
      </c>
      <c r="E32" s="1">
        <v>379</v>
      </c>
      <c r="F32" s="1">
        <v>236</v>
      </c>
      <c r="G32" s="7">
        <v>0.18</v>
      </c>
      <c r="H32" s="1">
        <v>150</v>
      </c>
      <c r="I32" s="1"/>
      <c r="J32" s="1"/>
      <c r="K32" s="1">
        <v>419</v>
      </c>
      <c r="L32" s="1">
        <f t="shared" si="2"/>
        <v>-40</v>
      </c>
      <c r="M32" s="1"/>
      <c r="N32" s="1"/>
      <c r="O32" s="1">
        <v>430</v>
      </c>
      <c r="P32" s="1"/>
      <c r="Q32" s="1">
        <f t="shared" si="3"/>
        <v>75.8</v>
      </c>
      <c r="R32" s="5">
        <f t="shared" si="8"/>
        <v>395.20000000000005</v>
      </c>
      <c r="S32" s="5">
        <f t="shared" si="4"/>
        <v>395.20000000000005</v>
      </c>
      <c r="T32" s="5">
        <f>VLOOKUP(A32,заказ!A:B,2,0)</f>
        <v>400</v>
      </c>
      <c r="U32" s="13"/>
      <c r="V32" s="1">
        <f t="shared" si="5"/>
        <v>14.000000000000002</v>
      </c>
      <c r="W32" s="1">
        <f t="shared" si="6"/>
        <v>8.7862796833773089</v>
      </c>
      <c r="X32" s="1">
        <v>75.400000000000006</v>
      </c>
      <c r="Y32" s="1">
        <v>73.2</v>
      </c>
      <c r="Z32" s="1">
        <v>55.8</v>
      </c>
      <c r="AA32" s="1">
        <v>91.6</v>
      </c>
      <c r="AB32" s="1">
        <v>30.8</v>
      </c>
      <c r="AC32" s="1">
        <v>47.2</v>
      </c>
      <c r="AD32" s="1">
        <v>91</v>
      </c>
      <c r="AE32" s="1">
        <v>44.8</v>
      </c>
      <c r="AF32" s="1">
        <v>74.599999999999994</v>
      </c>
      <c r="AG32" s="1">
        <v>64.400000000000006</v>
      </c>
      <c r="AH32" s="1"/>
      <c r="AI32" s="1">
        <f t="shared" si="7"/>
        <v>71.13600000000001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36</v>
      </c>
      <c r="C33" s="1">
        <v>383</v>
      </c>
      <c r="D33" s="1">
        <v>1</v>
      </c>
      <c r="E33" s="1">
        <v>47</v>
      </c>
      <c r="F33" s="1">
        <v>336</v>
      </c>
      <c r="G33" s="7">
        <v>0.18</v>
      </c>
      <c r="H33" s="1">
        <v>150</v>
      </c>
      <c r="I33" s="1"/>
      <c r="J33" s="1"/>
      <c r="K33" s="1">
        <v>255</v>
      </c>
      <c r="L33" s="1">
        <f t="shared" si="2"/>
        <v>-208</v>
      </c>
      <c r="M33" s="1"/>
      <c r="N33" s="1"/>
      <c r="O33" s="1"/>
      <c r="P33" s="1">
        <v>160</v>
      </c>
      <c r="Q33" s="1">
        <f t="shared" si="3"/>
        <v>9.4</v>
      </c>
      <c r="R33" s="5"/>
      <c r="S33" s="5">
        <f t="shared" si="4"/>
        <v>0</v>
      </c>
      <c r="T33" s="5"/>
      <c r="U33" s="13"/>
      <c r="V33" s="1">
        <f t="shared" si="5"/>
        <v>52.765957446808507</v>
      </c>
      <c r="W33" s="1">
        <f t="shared" si="6"/>
        <v>52.765957446808507</v>
      </c>
      <c r="X33" s="1">
        <v>10</v>
      </c>
      <c r="Y33" s="1">
        <v>14</v>
      </c>
      <c r="Z33" s="1">
        <v>34</v>
      </c>
      <c r="AA33" s="1">
        <v>14.2</v>
      </c>
      <c r="AB33" s="1">
        <v>8.4</v>
      </c>
      <c r="AC33" s="1">
        <v>6.4</v>
      </c>
      <c r="AD33" s="1">
        <v>5.4</v>
      </c>
      <c r="AE33" s="1">
        <v>17</v>
      </c>
      <c r="AF33" s="1">
        <v>11.8</v>
      </c>
      <c r="AG33" s="1">
        <v>27.6</v>
      </c>
      <c r="AH33" s="11" t="s">
        <v>47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36</v>
      </c>
      <c r="C34" s="1">
        <v>31</v>
      </c>
      <c r="D34" s="1"/>
      <c r="E34" s="1">
        <v>31</v>
      </c>
      <c r="F34" s="1"/>
      <c r="G34" s="7">
        <v>0.14000000000000001</v>
      </c>
      <c r="H34" s="1">
        <v>180</v>
      </c>
      <c r="I34" s="1"/>
      <c r="J34" s="1"/>
      <c r="K34" s="1">
        <v>66</v>
      </c>
      <c r="L34" s="1">
        <f t="shared" si="2"/>
        <v>-35</v>
      </c>
      <c r="M34" s="1"/>
      <c r="N34" s="1"/>
      <c r="O34" s="1">
        <v>80</v>
      </c>
      <c r="P34" s="1"/>
      <c r="Q34" s="1">
        <f t="shared" si="3"/>
        <v>6.2</v>
      </c>
      <c r="R34" s="5">
        <v>20</v>
      </c>
      <c r="S34" s="5">
        <f t="shared" si="4"/>
        <v>20</v>
      </c>
      <c r="T34" s="5">
        <f>VLOOKUP(A34,заказ!A:B,2,0)</f>
        <v>16</v>
      </c>
      <c r="U34" s="13"/>
      <c r="V34" s="1">
        <f t="shared" si="5"/>
        <v>16.129032258064516</v>
      </c>
      <c r="W34" s="1">
        <f t="shared" si="6"/>
        <v>12.903225806451612</v>
      </c>
      <c r="X34" s="1">
        <v>8.4</v>
      </c>
      <c r="Y34" s="1">
        <v>5.2</v>
      </c>
      <c r="Z34" s="1">
        <v>3</v>
      </c>
      <c r="AA34" s="1">
        <v>7.6</v>
      </c>
      <c r="AB34" s="1">
        <v>9.1999999999999993</v>
      </c>
      <c r="AC34" s="1">
        <v>6.8</v>
      </c>
      <c r="AD34" s="1">
        <v>6</v>
      </c>
      <c r="AE34" s="1">
        <v>1.6</v>
      </c>
      <c r="AF34" s="1">
        <v>5.4</v>
      </c>
      <c r="AG34" s="1">
        <v>8.6</v>
      </c>
      <c r="AH34" s="1"/>
      <c r="AI34" s="1">
        <f t="shared" si="7"/>
        <v>2.8000000000000003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36</v>
      </c>
      <c r="C35" s="1">
        <v>30</v>
      </c>
      <c r="D35" s="1">
        <v>22</v>
      </c>
      <c r="E35" s="1">
        <v>50</v>
      </c>
      <c r="F35" s="1">
        <v>-6</v>
      </c>
      <c r="G35" s="7">
        <v>0.18</v>
      </c>
      <c r="H35" s="1">
        <v>270</v>
      </c>
      <c r="I35" s="1"/>
      <c r="J35" s="1"/>
      <c r="K35" s="1">
        <v>61</v>
      </c>
      <c r="L35" s="1">
        <f t="shared" si="2"/>
        <v>-11</v>
      </c>
      <c r="M35" s="1"/>
      <c r="N35" s="1"/>
      <c r="O35" s="1">
        <v>80</v>
      </c>
      <c r="P35" s="1"/>
      <c r="Q35" s="1">
        <f t="shared" si="3"/>
        <v>10</v>
      </c>
      <c r="R35" s="5">
        <f t="shared" si="8"/>
        <v>66</v>
      </c>
      <c r="S35" s="5">
        <f t="shared" si="4"/>
        <v>66</v>
      </c>
      <c r="T35" s="5">
        <f>VLOOKUP(A35,заказ!A:B,2,0)</f>
        <v>64</v>
      </c>
      <c r="U35" s="13"/>
      <c r="V35" s="1">
        <f t="shared" si="5"/>
        <v>14</v>
      </c>
      <c r="W35" s="1">
        <f t="shared" si="6"/>
        <v>7.4</v>
      </c>
      <c r="X35" s="1">
        <v>8.8000000000000007</v>
      </c>
      <c r="Y35" s="1">
        <v>7</v>
      </c>
      <c r="Z35" s="1">
        <v>8</v>
      </c>
      <c r="AA35" s="1">
        <v>8</v>
      </c>
      <c r="AB35" s="1">
        <v>8.1999999999999993</v>
      </c>
      <c r="AC35" s="1">
        <v>9</v>
      </c>
      <c r="AD35" s="1">
        <v>7</v>
      </c>
      <c r="AE35" s="1">
        <v>5.4</v>
      </c>
      <c r="AF35" s="1">
        <v>5.8</v>
      </c>
      <c r="AG35" s="1">
        <v>8.8000000000000007</v>
      </c>
      <c r="AH35" s="1"/>
      <c r="AI35" s="1">
        <f t="shared" si="7"/>
        <v>11.879999999999999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42</v>
      </c>
      <c r="C36" s="1">
        <v>60.235999999999997</v>
      </c>
      <c r="D36" s="1">
        <v>10.084</v>
      </c>
      <c r="E36" s="1">
        <v>23.292000000000002</v>
      </c>
      <c r="F36" s="1">
        <v>47.027999999999999</v>
      </c>
      <c r="G36" s="7">
        <v>1</v>
      </c>
      <c r="H36" s="1">
        <v>180</v>
      </c>
      <c r="I36" s="1"/>
      <c r="J36" s="1"/>
      <c r="K36" s="1">
        <v>27</v>
      </c>
      <c r="L36" s="1">
        <f t="shared" si="2"/>
        <v>-3.7079999999999984</v>
      </c>
      <c r="M36" s="1"/>
      <c r="N36" s="1"/>
      <c r="O36" s="1"/>
      <c r="P36" s="1"/>
      <c r="Q36" s="1">
        <f t="shared" si="3"/>
        <v>4.6584000000000003</v>
      </c>
      <c r="R36" s="5">
        <f t="shared" si="8"/>
        <v>18.189600000000006</v>
      </c>
      <c r="S36" s="5">
        <f t="shared" si="4"/>
        <v>18.189600000000006</v>
      </c>
      <c r="T36" s="5">
        <f>VLOOKUP(A36,заказ!A:B,2,0)</f>
        <v>16</v>
      </c>
      <c r="U36" s="13"/>
      <c r="V36" s="1">
        <f t="shared" si="5"/>
        <v>14</v>
      </c>
      <c r="W36" s="1">
        <f t="shared" si="6"/>
        <v>10.095311695002575</v>
      </c>
      <c r="X36" s="1">
        <v>2.7492000000000001</v>
      </c>
      <c r="Y36" s="1">
        <v>1.3732</v>
      </c>
      <c r="Z36" s="1">
        <v>2.7864</v>
      </c>
      <c r="AA36" s="1">
        <v>2.1147999999999998</v>
      </c>
      <c r="AB36" s="1">
        <v>0</v>
      </c>
      <c r="AC36" s="1">
        <v>0.76879999999999993</v>
      </c>
      <c r="AD36" s="1">
        <v>2.5832000000000002</v>
      </c>
      <c r="AE36" s="1">
        <v>0.69920000000000004</v>
      </c>
      <c r="AF36" s="1">
        <v>0.72199999999999998</v>
      </c>
      <c r="AG36" s="1">
        <v>0.67720000000000002</v>
      </c>
      <c r="AH36" s="1"/>
      <c r="AI36" s="1">
        <f t="shared" si="7"/>
        <v>18.189600000000006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42</v>
      </c>
      <c r="C37" s="1"/>
      <c r="D37" s="1">
        <v>19.21</v>
      </c>
      <c r="E37" s="1">
        <v>3.298</v>
      </c>
      <c r="F37" s="1">
        <v>15.912000000000001</v>
      </c>
      <c r="G37" s="7">
        <v>1</v>
      </c>
      <c r="H37" s="1">
        <v>180</v>
      </c>
      <c r="I37" s="1"/>
      <c r="J37" s="1"/>
      <c r="K37" s="1">
        <v>6</v>
      </c>
      <c r="L37" s="1">
        <f t="shared" si="2"/>
        <v>-2.702</v>
      </c>
      <c r="M37" s="1"/>
      <c r="N37" s="1"/>
      <c r="O37" s="1">
        <v>16</v>
      </c>
      <c r="P37" s="1"/>
      <c r="Q37" s="1">
        <f t="shared" si="3"/>
        <v>0.65959999999999996</v>
      </c>
      <c r="R37" s="5"/>
      <c r="S37" s="5">
        <f t="shared" si="4"/>
        <v>0</v>
      </c>
      <c r="T37" s="5"/>
      <c r="U37" s="13"/>
      <c r="V37" s="1">
        <f t="shared" si="5"/>
        <v>48.380836870830805</v>
      </c>
      <c r="W37" s="1">
        <f t="shared" si="6"/>
        <v>48.380836870830805</v>
      </c>
      <c r="X37" s="1">
        <v>1.3371999999999999</v>
      </c>
      <c r="Y37" s="1">
        <v>2.06</v>
      </c>
      <c r="Z37" s="1">
        <v>2.5316000000000001</v>
      </c>
      <c r="AA37" s="1">
        <v>0.67400000000000004</v>
      </c>
      <c r="AB37" s="1">
        <v>1.9556</v>
      </c>
      <c r="AC37" s="1">
        <v>0.49800000000000011</v>
      </c>
      <c r="AD37" s="1">
        <v>3.7759999999999998</v>
      </c>
      <c r="AE37" s="1">
        <v>0</v>
      </c>
      <c r="AF37" s="1">
        <v>2.0184000000000002</v>
      </c>
      <c r="AG37" s="1">
        <v>0</v>
      </c>
      <c r="AH37" s="1" t="s">
        <v>78</v>
      </c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42</v>
      </c>
      <c r="C38" s="1">
        <v>32.917999999999999</v>
      </c>
      <c r="D38" s="1"/>
      <c r="E38" s="1">
        <v>33.494</v>
      </c>
      <c r="F38" s="1">
        <v>-0.57599999999999996</v>
      </c>
      <c r="G38" s="7">
        <v>1</v>
      </c>
      <c r="H38" s="1">
        <v>180</v>
      </c>
      <c r="I38" s="1"/>
      <c r="J38" s="1"/>
      <c r="K38" s="1">
        <v>38.5</v>
      </c>
      <c r="L38" s="1">
        <f t="shared" si="2"/>
        <v>-5.0060000000000002</v>
      </c>
      <c r="M38" s="1"/>
      <c r="N38" s="1"/>
      <c r="O38" s="1">
        <v>50</v>
      </c>
      <c r="P38" s="1"/>
      <c r="Q38" s="1">
        <f t="shared" si="3"/>
        <v>6.6988000000000003</v>
      </c>
      <c r="R38" s="5">
        <f t="shared" si="8"/>
        <v>44.359200000000008</v>
      </c>
      <c r="S38" s="5">
        <f t="shared" si="4"/>
        <v>44.359200000000008</v>
      </c>
      <c r="T38" s="5">
        <f>VLOOKUP(A38,заказ!A:B,2,0)</f>
        <v>50</v>
      </c>
      <c r="U38" s="13"/>
      <c r="V38" s="1">
        <f t="shared" si="5"/>
        <v>14</v>
      </c>
      <c r="W38" s="1">
        <f t="shared" si="6"/>
        <v>7.3780378575267207</v>
      </c>
      <c r="X38" s="1">
        <v>5.6875999999999998</v>
      </c>
      <c r="Y38" s="1">
        <v>3.0771999999999999</v>
      </c>
      <c r="Z38" s="1">
        <v>4.3231999999999999</v>
      </c>
      <c r="AA38" s="1">
        <v>6.6019999999999994</v>
      </c>
      <c r="AB38" s="1">
        <v>1.9152</v>
      </c>
      <c r="AC38" s="1">
        <v>3.4420000000000002</v>
      </c>
      <c r="AD38" s="1">
        <v>4.5936000000000003</v>
      </c>
      <c r="AE38" s="1">
        <v>1.9608000000000001</v>
      </c>
      <c r="AF38" s="1">
        <v>3.0720000000000001</v>
      </c>
      <c r="AG38" s="1">
        <v>3.2115999999999998</v>
      </c>
      <c r="AH38" s="1"/>
      <c r="AI38" s="1">
        <f t="shared" si="7"/>
        <v>44.359200000000008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42</v>
      </c>
      <c r="C39" s="1">
        <v>115.99</v>
      </c>
      <c r="D39" s="1"/>
      <c r="E39" s="1">
        <v>14.798</v>
      </c>
      <c r="F39" s="1">
        <v>101.19199999999999</v>
      </c>
      <c r="G39" s="7">
        <v>1</v>
      </c>
      <c r="H39" s="1">
        <v>180</v>
      </c>
      <c r="I39" s="1"/>
      <c r="J39" s="1"/>
      <c r="K39" s="1">
        <v>17</v>
      </c>
      <c r="L39" s="1">
        <f t="shared" si="2"/>
        <v>-2.202</v>
      </c>
      <c r="M39" s="1"/>
      <c r="N39" s="1"/>
      <c r="O39" s="1"/>
      <c r="P39" s="1"/>
      <c r="Q39" s="1">
        <f t="shared" si="3"/>
        <v>2.9596</v>
      </c>
      <c r="R39" s="5"/>
      <c r="S39" s="5">
        <f t="shared" si="4"/>
        <v>0</v>
      </c>
      <c r="T39" s="5"/>
      <c r="U39" s="13"/>
      <c r="V39" s="1">
        <f t="shared" si="5"/>
        <v>34.191106906338689</v>
      </c>
      <c r="W39" s="1">
        <f t="shared" si="6"/>
        <v>34.191106906338689</v>
      </c>
      <c r="X39" s="1">
        <v>1.1559999999999999</v>
      </c>
      <c r="Y39" s="1">
        <v>0.69520000000000004</v>
      </c>
      <c r="Z39" s="1">
        <v>0.59960000000000002</v>
      </c>
      <c r="AA39" s="1">
        <v>1.1588000000000001</v>
      </c>
      <c r="AB39" s="1">
        <v>0</v>
      </c>
      <c r="AC39" s="1">
        <v>0.61199999999999999</v>
      </c>
      <c r="AD39" s="1">
        <v>2.6760000000000002</v>
      </c>
      <c r="AE39" s="1">
        <v>0.63880000000000003</v>
      </c>
      <c r="AF39" s="1">
        <v>0</v>
      </c>
      <c r="AG39" s="1">
        <v>0.61919999999999997</v>
      </c>
      <c r="AH39" s="11" t="s">
        <v>47</v>
      </c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36</v>
      </c>
      <c r="C40" s="1">
        <v>137</v>
      </c>
      <c r="D40" s="1">
        <v>111</v>
      </c>
      <c r="E40" s="1">
        <v>222</v>
      </c>
      <c r="F40" s="1">
        <v>-9</v>
      </c>
      <c r="G40" s="7">
        <v>0.1</v>
      </c>
      <c r="H40" s="1">
        <v>60</v>
      </c>
      <c r="I40" s="1"/>
      <c r="J40" s="1"/>
      <c r="K40" s="1">
        <v>254</v>
      </c>
      <c r="L40" s="1">
        <f t="shared" si="2"/>
        <v>-32</v>
      </c>
      <c r="M40" s="1"/>
      <c r="N40" s="1"/>
      <c r="O40" s="1">
        <v>432</v>
      </c>
      <c r="P40" s="1"/>
      <c r="Q40" s="1">
        <f t="shared" si="3"/>
        <v>44.4</v>
      </c>
      <c r="R40" s="5">
        <f t="shared" si="8"/>
        <v>198.60000000000002</v>
      </c>
      <c r="S40" s="5">
        <v>240</v>
      </c>
      <c r="T40" s="5">
        <f>VLOOKUP(A40,заказ!A:B,2,0)</f>
        <v>240</v>
      </c>
      <c r="U40" s="13">
        <f>VLOOKUP(A40,[1]Sheet!$A:$S,19,0)</f>
        <v>240</v>
      </c>
      <c r="V40" s="1">
        <f t="shared" si="5"/>
        <v>14.932432432432433</v>
      </c>
      <c r="W40" s="1">
        <f t="shared" si="6"/>
        <v>9.5270270270270281</v>
      </c>
      <c r="X40" s="1">
        <v>47</v>
      </c>
      <c r="Y40" s="1">
        <v>30.2</v>
      </c>
      <c r="Z40" s="1">
        <v>36.6</v>
      </c>
      <c r="AA40" s="1">
        <v>49.2</v>
      </c>
      <c r="AB40" s="1">
        <v>0</v>
      </c>
      <c r="AC40" s="1">
        <v>0.8</v>
      </c>
      <c r="AD40" s="1">
        <v>-0.4</v>
      </c>
      <c r="AE40" s="1">
        <v>-0.4</v>
      </c>
      <c r="AF40" s="1">
        <v>26.8</v>
      </c>
      <c r="AG40" s="1">
        <v>38.6</v>
      </c>
      <c r="AH40" s="1"/>
      <c r="AI40" s="1">
        <f t="shared" si="7"/>
        <v>24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82</v>
      </c>
      <c r="B41" s="1" t="s">
        <v>36</v>
      </c>
      <c r="C41" s="1">
        <v>163</v>
      </c>
      <c r="D41" s="1">
        <v>360</v>
      </c>
      <c r="E41" s="1">
        <v>169</v>
      </c>
      <c r="F41" s="1">
        <v>237</v>
      </c>
      <c r="G41" s="7">
        <v>0.1</v>
      </c>
      <c r="H41" s="1">
        <v>90</v>
      </c>
      <c r="I41" s="1"/>
      <c r="J41" s="1"/>
      <c r="K41" s="1">
        <v>380</v>
      </c>
      <c r="L41" s="1">
        <f t="shared" si="2"/>
        <v>-211</v>
      </c>
      <c r="M41" s="1"/>
      <c r="N41" s="1"/>
      <c r="O41" s="1"/>
      <c r="P41" s="1"/>
      <c r="Q41" s="1">
        <f t="shared" si="3"/>
        <v>33.799999999999997</v>
      </c>
      <c r="R41" s="5">
        <f t="shared" si="8"/>
        <v>236.19999999999993</v>
      </c>
      <c r="S41" s="5">
        <v>260</v>
      </c>
      <c r="T41" s="5">
        <f>VLOOKUP(A41,заказ!A:B,2,0)</f>
        <v>258</v>
      </c>
      <c r="U41" s="13">
        <f>VLOOKUP(A41,[1]Sheet!$A:$S,19,0)</f>
        <v>260</v>
      </c>
      <c r="V41" s="1">
        <f t="shared" si="5"/>
        <v>14.704142011834321</v>
      </c>
      <c r="W41" s="1">
        <f t="shared" si="6"/>
        <v>7.0118343195266277</v>
      </c>
      <c r="X41" s="1">
        <v>32.799999999999997</v>
      </c>
      <c r="Y41" s="1">
        <v>44.8</v>
      </c>
      <c r="Z41" s="1">
        <v>33.799999999999997</v>
      </c>
      <c r="AA41" s="1">
        <v>31.4</v>
      </c>
      <c r="AB41" s="1">
        <v>33.4</v>
      </c>
      <c r="AC41" s="1">
        <v>67</v>
      </c>
      <c r="AD41" s="1">
        <v>49</v>
      </c>
      <c r="AE41" s="1">
        <v>35.4</v>
      </c>
      <c r="AF41" s="1">
        <v>47.8</v>
      </c>
      <c r="AG41" s="1">
        <v>31.6</v>
      </c>
      <c r="AH41" s="1"/>
      <c r="AI41" s="1">
        <f t="shared" si="7"/>
        <v>26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83</v>
      </c>
      <c r="B42" s="1" t="s">
        <v>42</v>
      </c>
      <c r="C42" s="1"/>
      <c r="D42" s="1">
        <v>5.702</v>
      </c>
      <c r="E42" s="1">
        <v>2.83</v>
      </c>
      <c r="F42" s="1">
        <v>2.8719999999999999</v>
      </c>
      <c r="G42" s="7">
        <v>1</v>
      </c>
      <c r="H42" s="1"/>
      <c r="I42" s="1"/>
      <c r="J42" s="1"/>
      <c r="K42" s="1">
        <v>2.68</v>
      </c>
      <c r="L42" s="1">
        <f t="shared" si="2"/>
        <v>0.14999999999999991</v>
      </c>
      <c r="M42" s="1"/>
      <c r="N42" s="1"/>
      <c r="O42" s="1">
        <v>12</v>
      </c>
      <c r="P42" s="1"/>
      <c r="Q42" s="1">
        <f t="shared" si="3"/>
        <v>0.56600000000000006</v>
      </c>
      <c r="R42" s="5"/>
      <c r="S42" s="5">
        <f t="shared" si="4"/>
        <v>0</v>
      </c>
      <c r="T42" s="5"/>
      <c r="U42" s="13"/>
      <c r="V42" s="1">
        <f t="shared" si="5"/>
        <v>26.275618374558302</v>
      </c>
      <c r="W42" s="1">
        <f t="shared" si="6"/>
        <v>26.275618374558302</v>
      </c>
      <c r="X42" s="1">
        <v>1.2756000000000001</v>
      </c>
      <c r="Y42" s="1">
        <v>0.79279999999999995</v>
      </c>
      <c r="Z42" s="1">
        <v>0</v>
      </c>
      <c r="AA42" s="1">
        <v>0</v>
      </c>
      <c r="AB42" s="1">
        <v>0.24940000000000001</v>
      </c>
      <c r="AC42" s="1">
        <v>0.54160000000000008</v>
      </c>
      <c r="AD42" s="1">
        <v>0</v>
      </c>
      <c r="AE42" s="1">
        <v>0</v>
      </c>
      <c r="AF42" s="1">
        <v>3.5344000000000002</v>
      </c>
      <c r="AG42" s="1">
        <v>0</v>
      </c>
      <c r="AH42" s="1" t="s">
        <v>84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36</v>
      </c>
      <c r="C43" s="1">
        <v>42</v>
      </c>
      <c r="D43" s="1"/>
      <c r="E43" s="1">
        <v>54</v>
      </c>
      <c r="F43" s="1">
        <v>-12</v>
      </c>
      <c r="G43" s="7">
        <v>0.14000000000000001</v>
      </c>
      <c r="H43" s="1">
        <v>180</v>
      </c>
      <c r="I43" s="1"/>
      <c r="J43" s="1"/>
      <c r="K43" s="1">
        <v>92</v>
      </c>
      <c r="L43" s="1">
        <f t="shared" si="2"/>
        <v>-38</v>
      </c>
      <c r="M43" s="1"/>
      <c r="N43" s="1"/>
      <c r="O43" s="1">
        <v>160</v>
      </c>
      <c r="P43" s="1"/>
      <c r="Q43" s="1">
        <f t="shared" si="3"/>
        <v>10.8</v>
      </c>
      <c r="R43" s="5">
        <v>30</v>
      </c>
      <c r="S43" s="5">
        <f t="shared" si="4"/>
        <v>30</v>
      </c>
      <c r="T43" s="5">
        <f>VLOOKUP(A43,заказ!A:B,2,0)</f>
        <v>32</v>
      </c>
      <c r="U43" s="13"/>
      <c r="V43" s="1">
        <f t="shared" si="5"/>
        <v>16.481481481481481</v>
      </c>
      <c r="W43" s="1">
        <f t="shared" si="6"/>
        <v>13.703703703703702</v>
      </c>
      <c r="X43" s="1">
        <v>15.2</v>
      </c>
      <c r="Y43" s="1">
        <v>8.1999999999999993</v>
      </c>
      <c r="Z43" s="1">
        <v>8.4</v>
      </c>
      <c r="AA43" s="1">
        <v>12.8</v>
      </c>
      <c r="AB43" s="1">
        <v>12.2</v>
      </c>
      <c r="AC43" s="1">
        <v>14.8</v>
      </c>
      <c r="AD43" s="1">
        <v>10.6</v>
      </c>
      <c r="AE43" s="1">
        <v>8</v>
      </c>
      <c r="AF43" s="1">
        <v>10.4</v>
      </c>
      <c r="AG43" s="1">
        <v>9.1999999999999993</v>
      </c>
      <c r="AH43" s="1"/>
      <c r="AI43" s="1">
        <f t="shared" si="7"/>
        <v>4.2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86</v>
      </c>
      <c r="B44" s="1" t="s">
        <v>36</v>
      </c>
      <c r="C44" s="1">
        <v>50</v>
      </c>
      <c r="D44" s="1"/>
      <c r="E44" s="1">
        <v>45</v>
      </c>
      <c r="F44" s="1">
        <v>5</v>
      </c>
      <c r="G44" s="7">
        <v>0.2</v>
      </c>
      <c r="H44" s="1">
        <v>120</v>
      </c>
      <c r="I44" s="1"/>
      <c r="J44" s="1"/>
      <c r="K44" s="1">
        <v>45</v>
      </c>
      <c r="L44" s="1">
        <f t="shared" si="2"/>
        <v>0</v>
      </c>
      <c r="M44" s="1"/>
      <c r="N44" s="1"/>
      <c r="O44" s="1">
        <v>60</v>
      </c>
      <c r="P44" s="1"/>
      <c r="Q44" s="1">
        <f t="shared" si="3"/>
        <v>9</v>
      </c>
      <c r="R44" s="5">
        <f t="shared" si="8"/>
        <v>61</v>
      </c>
      <c r="S44" s="5">
        <f t="shared" si="4"/>
        <v>61</v>
      </c>
      <c r="T44" s="5">
        <f>VLOOKUP(A44,заказ!A:B,2,0)</f>
        <v>60</v>
      </c>
      <c r="U44" s="13"/>
      <c r="V44" s="1">
        <f t="shared" si="5"/>
        <v>14</v>
      </c>
      <c r="W44" s="1">
        <f t="shared" si="6"/>
        <v>7.2222222222222223</v>
      </c>
      <c r="X44" s="1">
        <v>7.6</v>
      </c>
      <c r="Y44" s="1">
        <v>2.8</v>
      </c>
      <c r="Z44" s="1">
        <v>4.4000000000000004</v>
      </c>
      <c r="AA44" s="1">
        <v>5.8</v>
      </c>
      <c r="AB44" s="1">
        <v>2.4</v>
      </c>
      <c r="AC44" s="1">
        <v>4</v>
      </c>
      <c r="AD44" s="1">
        <v>1.2</v>
      </c>
      <c r="AE44" s="1">
        <v>2.4</v>
      </c>
      <c r="AF44" s="1">
        <v>0.4</v>
      </c>
      <c r="AG44" s="1">
        <v>9.8000000000000007</v>
      </c>
      <c r="AH44" s="1"/>
      <c r="AI44" s="1">
        <f t="shared" si="7"/>
        <v>12.200000000000001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87</v>
      </c>
      <c r="B45" s="1" t="s">
        <v>42</v>
      </c>
      <c r="C45" s="1">
        <v>74.558000000000007</v>
      </c>
      <c r="D45" s="1"/>
      <c r="E45" s="1">
        <v>6.2140000000000004</v>
      </c>
      <c r="F45" s="1">
        <v>68.343999999999994</v>
      </c>
      <c r="G45" s="7">
        <v>1</v>
      </c>
      <c r="H45" s="1">
        <v>120</v>
      </c>
      <c r="I45" s="1"/>
      <c r="J45" s="1"/>
      <c r="K45" s="1">
        <v>7</v>
      </c>
      <c r="L45" s="1">
        <f t="shared" si="2"/>
        <v>-0.78599999999999959</v>
      </c>
      <c r="M45" s="1"/>
      <c r="N45" s="1"/>
      <c r="O45" s="1"/>
      <c r="P45" s="1"/>
      <c r="Q45" s="1">
        <f t="shared" si="3"/>
        <v>1.2428000000000001</v>
      </c>
      <c r="R45" s="5"/>
      <c r="S45" s="5">
        <f t="shared" si="4"/>
        <v>0</v>
      </c>
      <c r="T45" s="5"/>
      <c r="U45" s="13"/>
      <c r="V45" s="1">
        <f t="shared" si="5"/>
        <v>54.991953653041506</v>
      </c>
      <c r="W45" s="1">
        <f t="shared" si="6"/>
        <v>54.991953653041506</v>
      </c>
      <c r="X45" s="1">
        <v>0.55519999999999992</v>
      </c>
      <c r="Y45" s="1">
        <v>0</v>
      </c>
      <c r="Z45" s="1">
        <v>0</v>
      </c>
      <c r="AA45" s="1">
        <v>0.64680000000000004</v>
      </c>
      <c r="AB45" s="1">
        <v>1.2376</v>
      </c>
      <c r="AC45" s="1">
        <v>0.64039999999999997</v>
      </c>
      <c r="AD45" s="1">
        <v>0</v>
      </c>
      <c r="AE45" s="1">
        <v>0.67400000000000004</v>
      </c>
      <c r="AF45" s="1">
        <v>0.58240000000000003</v>
      </c>
      <c r="AG45" s="1">
        <v>2.5568</v>
      </c>
      <c r="AH45" s="11" t="s">
        <v>47</v>
      </c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88</v>
      </c>
      <c r="B46" s="1" t="s">
        <v>36</v>
      </c>
      <c r="C46" s="1">
        <v>75</v>
      </c>
      <c r="D46" s="1"/>
      <c r="E46" s="1">
        <v>49</v>
      </c>
      <c r="F46" s="1">
        <v>26</v>
      </c>
      <c r="G46" s="7">
        <v>0.2</v>
      </c>
      <c r="H46" s="1">
        <v>120</v>
      </c>
      <c r="I46" s="1"/>
      <c r="J46" s="1"/>
      <c r="K46" s="1">
        <v>53</v>
      </c>
      <c r="L46" s="1">
        <f t="shared" si="2"/>
        <v>-4</v>
      </c>
      <c r="M46" s="1"/>
      <c r="N46" s="1"/>
      <c r="O46" s="1">
        <v>20</v>
      </c>
      <c r="P46" s="1"/>
      <c r="Q46" s="1">
        <f t="shared" si="3"/>
        <v>9.8000000000000007</v>
      </c>
      <c r="R46" s="5">
        <f t="shared" si="8"/>
        <v>91.200000000000017</v>
      </c>
      <c r="S46" s="5">
        <f t="shared" si="4"/>
        <v>91.200000000000017</v>
      </c>
      <c r="T46" s="5">
        <f>VLOOKUP(A46,заказ!A:B,2,0)</f>
        <v>90</v>
      </c>
      <c r="U46" s="13"/>
      <c r="V46" s="1">
        <f t="shared" si="5"/>
        <v>14</v>
      </c>
      <c r="W46" s="1">
        <f t="shared" si="6"/>
        <v>4.6938775510204076</v>
      </c>
      <c r="X46" s="1">
        <v>7.4</v>
      </c>
      <c r="Y46" s="1">
        <v>2.2000000000000002</v>
      </c>
      <c r="Z46" s="1">
        <v>4.4000000000000004</v>
      </c>
      <c r="AA46" s="1">
        <v>5</v>
      </c>
      <c r="AB46" s="1">
        <v>4.4000000000000004</v>
      </c>
      <c r="AC46" s="1">
        <v>4.2</v>
      </c>
      <c r="AD46" s="1">
        <v>2.8</v>
      </c>
      <c r="AE46" s="1">
        <v>2.4</v>
      </c>
      <c r="AF46" s="1">
        <v>1.4</v>
      </c>
      <c r="AG46" s="1">
        <v>12</v>
      </c>
      <c r="AH46" s="1"/>
      <c r="AI46" s="1">
        <f t="shared" si="7"/>
        <v>18.240000000000006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42</v>
      </c>
      <c r="C47" s="1">
        <v>58.792000000000002</v>
      </c>
      <c r="D47" s="1"/>
      <c r="E47" s="1">
        <v>29.635999999999999</v>
      </c>
      <c r="F47" s="1">
        <v>29.155999999999999</v>
      </c>
      <c r="G47" s="7">
        <v>1</v>
      </c>
      <c r="H47" s="1">
        <v>120</v>
      </c>
      <c r="I47" s="1"/>
      <c r="J47" s="1"/>
      <c r="K47" s="1">
        <v>28.5</v>
      </c>
      <c r="L47" s="1">
        <f t="shared" si="2"/>
        <v>1.1359999999999992</v>
      </c>
      <c r="M47" s="1"/>
      <c r="N47" s="1"/>
      <c r="O47" s="1"/>
      <c r="P47" s="1"/>
      <c r="Q47" s="1">
        <f t="shared" si="3"/>
        <v>5.9272</v>
      </c>
      <c r="R47" s="5">
        <f t="shared" si="8"/>
        <v>53.824800000000003</v>
      </c>
      <c r="S47" s="5">
        <f t="shared" si="4"/>
        <v>53.824800000000003</v>
      </c>
      <c r="T47" s="5">
        <f>VLOOKUP(A47,заказ!A:B,2,0)</f>
        <v>60</v>
      </c>
      <c r="U47" s="13"/>
      <c r="V47" s="1">
        <f t="shared" si="5"/>
        <v>14</v>
      </c>
      <c r="W47" s="1">
        <f t="shared" si="6"/>
        <v>4.9190174112565792</v>
      </c>
      <c r="X47" s="1">
        <v>2.8123999999999998</v>
      </c>
      <c r="Y47" s="1">
        <v>4.7555999999999994</v>
      </c>
      <c r="Z47" s="1">
        <v>2.7023999999999999</v>
      </c>
      <c r="AA47" s="1">
        <v>0.66039999999999999</v>
      </c>
      <c r="AB47" s="1">
        <v>0.73239999999999994</v>
      </c>
      <c r="AC47" s="1">
        <v>6.3247999999999998</v>
      </c>
      <c r="AD47" s="1">
        <v>6.3176000000000014</v>
      </c>
      <c r="AE47" s="1">
        <v>1.4259999999999999</v>
      </c>
      <c r="AF47" s="1">
        <v>3.6467999999999998</v>
      </c>
      <c r="AG47" s="1">
        <v>2.1175999999999999</v>
      </c>
      <c r="AH47" s="1"/>
      <c r="AI47" s="1">
        <f t="shared" si="7"/>
        <v>53.824800000000003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I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9784-79A4-4DCD-BA0B-33FADD0518CC}">
  <dimension ref="A1:B2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24</v>
      </c>
    </row>
    <row r="2" spans="1:2" x14ac:dyDescent="0.25">
      <c r="A2" t="s">
        <v>41</v>
      </c>
      <c r="B2">
        <v>50</v>
      </c>
    </row>
    <row r="3" spans="1:2" x14ac:dyDescent="0.25">
      <c r="A3" t="s">
        <v>43</v>
      </c>
      <c r="B3">
        <v>12</v>
      </c>
    </row>
    <row r="4" spans="1:2" x14ac:dyDescent="0.25">
      <c r="A4" t="s">
        <v>44</v>
      </c>
      <c r="B4">
        <v>12</v>
      </c>
    </row>
    <row r="5" spans="1:2" x14ac:dyDescent="0.25">
      <c r="A5" t="s">
        <v>48</v>
      </c>
      <c r="B5">
        <v>300</v>
      </c>
    </row>
    <row r="6" spans="1:2" x14ac:dyDescent="0.25">
      <c r="A6" t="s">
        <v>49</v>
      </c>
      <c r="B6">
        <v>48</v>
      </c>
    </row>
    <row r="7" spans="1:2" x14ac:dyDescent="0.25">
      <c r="A7" t="s">
        <v>51</v>
      </c>
      <c r="B7">
        <v>456</v>
      </c>
    </row>
    <row r="8" spans="1:2" x14ac:dyDescent="0.25">
      <c r="A8" t="s">
        <v>52</v>
      </c>
      <c r="B8">
        <v>48</v>
      </c>
    </row>
    <row r="9" spans="1:2" x14ac:dyDescent="0.25">
      <c r="A9" t="s">
        <v>54</v>
      </c>
      <c r="B9">
        <v>48</v>
      </c>
    </row>
    <row r="10" spans="1:2" x14ac:dyDescent="0.25">
      <c r="A10" t="s">
        <v>55</v>
      </c>
      <c r="B10">
        <v>16</v>
      </c>
    </row>
    <row r="11" spans="1:2" x14ac:dyDescent="0.25">
      <c r="A11" t="s">
        <v>56</v>
      </c>
      <c r="B11">
        <v>350</v>
      </c>
    </row>
    <row r="12" spans="1:2" x14ac:dyDescent="0.25">
      <c r="A12" t="s">
        <v>57</v>
      </c>
      <c r="B12">
        <v>90</v>
      </c>
    </row>
    <row r="13" spans="1:2" x14ac:dyDescent="0.25">
      <c r="A13" t="s">
        <v>59</v>
      </c>
      <c r="B13">
        <v>28</v>
      </c>
    </row>
    <row r="14" spans="1:2" x14ac:dyDescent="0.25">
      <c r="A14" t="s">
        <v>60</v>
      </c>
      <c r="B14">
        <v>210</v>
      </c>
    </row>
    <row r="15" spans="1:2" x14ac:dyDescent="0.25">
      <c r="A15" t="s">
        <v>64</v>
      </c>
      <c r="B15">
        <v>20</v>
      </c>
    </row>
    <row r="16" spans="1:2" x14ac:dyDescent="0.25">
      <c r="A16" t="s">
        <v>66</v>
      </c>
      <c r="B16">
        <v>50</v>
      </c>
    </row>
    <row r="17" spans="1:2" x14ac:dyDescent="0.25">
      <c r="A17" t="s">
        <v>72</v>
      </c>
      <c r="B17">
        <v>400</v>
      </c>
    </row>
    <row r="18" spans="1:2" x14ac:dyDescent="0.25">
      <c r="A18" t="s">
        <v>74</v>
      </c>
      <c r="B18">
        <v>16</v>
      </c>
    </row>
    <row r="19" spans="1:2" x14ac:dyDescent="0.25">
      <c r="A19" t="s">
        <v>75</v>
      </c>
      <c r="B19">
        <v>64</v>
      </c>
    </row>
    <row r="20" spans="1:2" x14ac:dyDescent="0.25">
      <c r="A20" t="s">
        <v>76</v>
      </c>
      <c r="B20">
        <v>16</v>
      </c>
    </row>
    <row r="21" spans="1:2" x14ac:dyDescent="0.25">
      <c r="A21" t="s">
        <v>79</v>
      </c>
      <c r="B21">
        <v>50</v>
      </c>
    </row>
    <row r="22" spans="1:2" x14ac:dyDescent="0.25">
      <c r="A22" t="s">
        <v>81</v>
      </c>
      <c r="B22">
        <v>240</v>
      </c>
    </row>
    <row r="23" spans="1:2" x14ac:dyDescent="0.25">
      <c r="A23" t="s">
        <v>82</v>
      </c>
      <c r="B23">
        <v>258</v>
      </c>
    </row>
    <row r="24" spans="1:2" x14ac:dyDescent="0.25">
      <c r="A24" t="s">
        <v>85</v>
      </c>
      <c r="B24">
        <v>32</v>
      </c>
    </row>
    <row r="25" spans="1:2" x14ac:dyDescent="0.25">
      <c r="A25" t="s">
        <v>86</v>
      </c>
      <c r="B25">
        <v>60</v>
      </c>
    </row>
    <row r="26" spans="1:2" x14ac:dyDescent="0.25">
      <c r="A26" t="s">
        <v>88</v>
      </c>
      <c r="B26">
        <v>90</v>
      </c>
    </row>
    <row r="27" spans="1:2" x14ac:dyDescent="0.25">
      <c r="A27" t="s">
        <v>89</v>
      </c>
      <c r="B2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2026-09-16T16:04:02Z</dcterms:created>
  <dcterms:modified xsi:type="dcterms:W3CDTF">2026-09-18T06:19:44Z</dcterms:modified>
</cp:coreProperties>
</file>