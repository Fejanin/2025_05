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AFDF5DD6-7902-44B9-A49C-DA45FF93E4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Sheet!$A$3:$AK$55</definedName>
  </definedNames>
  <calcPr calcId="191029" refMode="R1C1"/>
</workbook>
</file>

<file path=xl/calcChain.xml><?xml version="1.0" encoding="utf-8"?>
<calcChain xmlns="http://schemas.openxmlformats.org/spreadsheetml/2006/main">
  <c r="AK7" i="1" l="1"/>
  <c r="AK8" i="1"/>
  <c r="AK10" i="1"/>
  <c r="AK20" i="1"/>
  <c r="AK21" i="1"/>
  <c r="AK22" i="1"/>
  <c r="AK23" i="1"/>
  <c r="AK25" i="1"/>
  <c r="AK45" i="1"/>
  <c r="AK49" i="1"/>
  <c r="AK51" i="1"/>
  <c r="AK6" i="1"/>
  <c r="T9" i="1" l="1"/>
  <c r="T10" i="1"/>
  <c r="T12" i="1"/>
  <c r="T13" i="1"/>
  <c r="T14" i="1"/>
  <c r="T15" i="1"/>
  <c r="T17" i="1"/>
  <c r="T20" i="1"/>
  <c r="T21" i="1"/>
  <c r="T22" i="1"/>
  <c r="T25" i="1"/>
  <c r="T28" i="1"/>
  <c r="T30" i="1"/>
  <c r="T31" i="1"/>
  <c r="T32" i="1"/>
  <c r="T33" i="1"/>
  <c r="T34" i="1"/>
  <c r="T35" i="1"/>
  <c r="T36" i="1"/>
  <c r="T37" i="1"/>
  <c r="T40" i="1"/>
  <c r="T44" i="1"/>
  <c r="T46" i="1"/>
  <c r="T48" i="1"/>
  <c r="T49" i="1"/>
  <c r="T51" i="1"/>
  <c r="T52" i="1"/>
  <c r="T55" i="1"/>
  <c r="T5" i="1" l="1"/>
  <c r="P29" i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6" i="1"/>
  <c r="AL5" i="1" l="1"/>
  <c r="U21" i="1"/>
  <c r="AL21" i="1" s="1"/>
  <c r="S11" i="1"/>
  <c r="AK11" i="1" s="1"/>
  <c r="S16" i="1"/>
  <c r="AK16" i="1" s="1"/>
  <c r="S18" i="1"/>
  <c r="AK18" i="1" s="1"/>
  <c r="S19" i="1"/>
  <c r="AK19" i="1" s="1"/>
  <c r="S24" i="1"/>
  <c r="AK24" i="1" s="1"/>
  <c r="S26" i="1"/>
  <c r="AK26" i="1" s="1"/>
  <c r="S27" i="1"/>
  <c r="AK27" i="1" s="1"/>
  <c r="S29" i="1"/>
  <c r="AK29" i="1" s="1"/>
  <c r="S38" i="1"/>
  <c r="AK38" i="1" s="1"/>
  <c r="S39" i="1"/>
  <c r="AK39" i="1" s="1"/>
  <c r="S41" i="1"/>
  <c r="AK41" i="1" s="1"/>
  <c r="S42" i="1"/>
  <c r="AK42" i="1" s="1"/>
  <c r="S43" i="1"/>
  <c r="AK43" i="1" s="1"/>
  <c r="S47" i="1"/>
  <c r="AK47" i="1" s="1"/>
  <c r="S50" i="1"/>
  <c r="AK50" i="1" s="1"/>
  <c r="S53" i="1"/>
  <c r="AK53" i="1" s="1"/>
  <c r="S54" i="1"/>
  <c r="AK54" i="1" s="1"/>
  <c r="V7" i="1"/>
  <c r="V8" i="1"/>
  <c r="V9" i="1"/>
  <c r="S9" i="1" s="1"/>
  <c r="AK9" i="1" s="1"/>
  <c r="V10" i="1"/>
  <c r="V12" i="1"/>
  <c r="S12" i="1" s="1"/>
  <c r="AK12" i="1" s="1"/>
  <c r="V13" i="1"/>
  <c r="S13" i="1" s="1"/>
  <c r="AK13" i="1" s="1"/>
  <c r="V14" i="1"/>
  <c r="S14" i="1" s="1"/>
  <c r="AK14" i="1" s="1"/>
  <c r="V15" i="1"/>
  <c r="S15" i="1" s="1"/>
  <c r="AK15" i="1" s="1"/>
  <c r="V17" i="1"/>
  <c r="S17" i="1" s="1"/>
  <c r="AK17" i="1" s="1"/>
  <c r="V22" i="1"/>
  <c r="V23" i="1"/>
  <c r="V25" i="1"/>
  <c r="V28" i="1"/>
  <c r="S28" i="1" s="1"/>
  <c r="AK28" i="1" s="1"/>
  <c r="V30" i="1"/>
  <c r="S30" i="1" s="1"/>
  <c r="AK30" i="1" s="1"/>
  <c r="V31" i="1"/>
  <c r="S31" i="1" s="1"/>
  <c r="AK31" i="1" s="1"/>
  <c r="V32" i="1"/>
  <c r="S32" i="1" s="1"/>
  <c r="AK32" i="1" s="1"/>
  <c r="V33" i="1"/>
  <c r="S33" i="1" s="1"/>
  <c r="AK33" i="1" s="1"/>
  <c r="V34" i="1"/>
  <c r="S34" i="1" s="1"/>
  <c r="AK34" i="1" s="1"/>
  <c r="V35" i="1"/>
  <c r="S35" i="1" s="1"/>
  <c r="AK35" i="1" s="1"/>
  <c r="V36" i="1"/>
  <c r="S36" i="1" s="1"/>
  <c r="AK36" i="1" s="1"/>
  <c r="V37" i="1"/>
  <c r="S37" i="1" s="1"/>
  <c r="AK37" i="1" s="1"/>
  <c r="V40" i="1"/>
  <c r="S40" i="1" s="1"/>
  <c r="AK40" i="1" s="1"/>
  <c r="V44" i="1"/>
  <c r="S44" i="1" s="1"/>
  <c r="AK44" i="1" s="1"/>
  <c r="V45" i="1"/>
  <c r="V48" i="1"/>
  <c r="S48" i="1" s="1"/>
  <c r="AK48" i="1" s="1"/>
  <c r="V49" i="1"/>
  <c r="V51" i="1"/>
  <c r="V52" i="1"/>
  <c r="S52" i="1" s="1"/>
  <c r="AK52" i="1" s="1"/>
  <c r="V55" i="1"/>
  <c r="S55" i="1" s="1"/>
  <c r="AK55" i="1" s="1"/>
  <c r="V6" i="1"/>
  <c r="U5" i="1" l="1"/>
  <c r="V5" i="1" l="1"/>
  <c r="W5" i="1"/>
  <c r="R5" i="1" l="1"/>
  <c r="P55" i="1"/>
  <c r="Q55" i="1" s="1"/>
  <c r="X55" i="1" s="1"/>
  <c r="L55" i="1"/>
  <c r="P54" i="1"/>
  <c r="X54" i="1" s="1"/>
  <c r="L54" i="1"/>
  <c r="P53" i="1"/>
  <c r="X53" i="1" s="1"/>
  <c r="L53" i="1"/>
  <c r="P52" i="1"/>
  <c r="L52" i="1"/>
  <c r="F52" i="1"/>
  <c r="P51" i="1"/>
  <c r="Y51" i="1" s="1"/>
  <c r="L51" i="1"/>
  <c r="P50" i="1"/>
  <c r="L50" i="1"/>
  <c r="P49" i="1"/>
  <c r="X49" i="1" s="1"/>
  <c r="L49" i="1"/>
  <c r="P48" i="1"/>
  <c r="Y48" i="1" s="1"/>
  <c r="L48" i="1"/>
  <c r="P47" i="1"/>
  <c r="X47" i="1" s="1"/>
  <c r="L47" i="1"/>
  <c r="P46" i="1"/>
  <c r="Y46" i="1" s="1"/>
  <c r="L46" i="1"/>
  <c r="P45" i="1"/>
  <c r="X45" i="1" s="1"/>
  <c r="L45" i="1"/>
  <c r="P44" i="1"/>
  <c r="Y44" i="1" s="1"/>
  <c r="L44" i="1"/>
  <c r="P43" i="1"/>
  <c r="L43" i="1"/>
  <c r="P42" i="1"/>
  <c r="X42" i="1" s="1"/>
  <c r="L42" i="1"/>
  <c r="P41" i="1"/>
  <c r="L41" i="1"/>
  <c r="P40" i="1"/>
  <c r="Q40" i="1" s="1"/>
  <c r="X40" i="1" s="1"/>
  <c r="L40" i="1"/>
  <c r="P39" i="1"/>
  <c r="L39" i="1"/>
  <c r="P38" i="1"/>
  <c r="L38" i="1"/>
  <c r="P37" i="1"/>
  <c r="Y37" i="1" s="1"/>
  <c r="L37" i="1"/>
  <c r="P36" i="1"/>
  <c r="Q36" i="1" s="1"/>
  <c r="X36" i="1" s="1"/>
  <c r="L36" i="1"/>
  <c r="P35" i="1"/>
  <c r="Y35" i="1" s="1"/>
  <c r="L35" i="1"/>
  <c r="P34" i="1"/>
  <c r="X34" i="1" s="1"/>
  <c r="L34" i="1"/>
  <c r="P33" i="1"/>
  <c r="L33" i="1"/>
  <c r="P32" i="1"/>
  <c r="L32" i="1"/>
  <c r="P31" i="1"/>
  <c r="L31" i="1"/>
  <c r="P30" i="1"/>
  <c r="L30" i="1"/>
  <c r="L29" i="1"/>
  <c r="P28" i="1"/>
  <c r="Q28" i="1" s="1"/>
  <c r="X28" i="1" s="1"/>
  <c r="L28" i="1"/>
  <c r="P27" i="1"/>
  <c r="L27" i="1"/>
  <c r="P26" i="1"/>
  <c r="L26" i="1"/>
  <c r="P25" i="1"/>
  <c r="X25" i="1" s="1"/>
  <c r="L25" i="1"/>
  <c r="P24" i="1"/>
  <c r="L24" i="1"/>
  <c r="P23" i="1"/>
  <c r="X23" i="1" s="1"/>
  <c r="L23" i="1"/>
  <c r="P22" i="1"/>
  <c r="L22" i="1"/>
  <c r="P21" i="1"/>
  <c r="Q21" i="1" s="1"/>
  <c r="X21" i="1" s="1"/>
  <c r="L21" i="1"/>
  <c r="P20" i="1"/>
  <c r="Y20" i="1" s="1"/>
  <c r="L20" i="1"/>
  <c r="P19" i="1"/>
  <c r="X19" i="1" s="1"/>
  <c r="L19" i="1"/>
  <c r="P18" i="1"/>
  <c r="L18" i="1"/>
  <c r="P17" i="1"/>
  <c r="L17" i="1"/>
  <c r="P16" i="1"/>
  <c r="L16" i="1"/>
  <c r="P15" i="1"/>
  <c r="Q15" i="1" s="1"/>
  <c r="X15" i="1" s="1"/>
  <c r="L15" i="1"/>
  <c r="P14" i="1"/>
  <c r="Y14" i="1" s="1"/>
  <c r="L14" i="1"/>
  <c r="P13" i="1"/>
  <c r="Q13" i="1" s="1"/>
  <c r="X13" i="1" s="1"/>
  <c r="L13" i="1"/>
  <c r="P12" i="1"/>
  <c r="Y12" i="1" s="1"/>
  <c r="L12" i="1"/>
  <c r="P11" i="1"/>
  <c r="X11" i="1" s="1"/>
  <c r="L11" i="1"/>
  <c r="P10" i="1"/>
  <c r="L10" i="1"/>
  <c r="E9" i="1"/>
  <c r="L9" i="1" s="1"/>
  <c r="P8" i="1"/>
  <c r="X8" i="1" s="1"/>
  <c r="L8" i="1"/>
  <c r="P7" i="1"/>
  <c r="L7" i="1"/>
  <c r="P6" i="1"/>
  <c r="X6" i="1" s="1"/>
  <c r="L6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Y7" i="1" l="1"/>
  <c r="X7" i="1"/>
  <c r="Y24" i="1"/>
  <c r="X24" i="1"/>
  <c r="Y52" i="1"/>
  <c r="X52" i="1"/>
  <c r="Y10" i="1"/>
  <c r="X10" i="1"/>
  <c r="Y16" i="1"/>
  <c r="X16" i="1"/>
  <c r="Y18" i="1"/>
  <c r="X18" i="1"/>
  <c r="Y22" i="1"/>
  <c r="X22" i="1"/>
  <c r="Y26" i="1"/>
  <c r="X26" i="1"/>
  <c r="Y27" i="1"/>
  <c r="X27" i="1"/>
  <c r="Y29" i="1"/>
  <c r="X29" i="1"/>
  <c r="Y31" i="1"/>
  <c r="X31" i="1"/>
  <c r="X32" i="1"/>
  <c r="Y33" i="1"/>
  <c r="X33" i="1"/>
  <c r="X38" i="1"/>
  <c r="Y39" i="1"/>
  <c r="X39" i="1"/>
  <c r="Y41" i="1"/>
  <c r="X41" i="1"/>
  <c r="Y43" i="1"/>
  <c r="X43" i="1"/>
  <c r="Y50" i="1"/>
  <c r="X50" i="1"/>
  <c r="Q46" i="1"/>
  <c r="Q44" i="1"/>
  <c r="X44" i="1" s="1"/>
  <c r="Q48" i="1"/>
  <c r="X48" i="1" s="1"/>
  <c r="Q12" i="1"/>
  <c r="X12" i="1" s="1"/>
  <c r="Q17" i="1"/>
  <c r="Q30" i="1"/>
  <c r="X30" i="1" s="1"/>
  <c r="Q35" i="1"/>
  <c r="Q37" i="1"/>
  <c r="X37" i="1" s="1"/>
  <c r="Q20" i="1"/>
  <c r="X20" i="1" s="1"/>
  <c r="Q51" i="1"/>
  <c r="X51" i="1" s="1"/>
  <c r="Q14" i="1"/>
  <c r="X14" i="1" s="1"/>
  <c r="L5" i="1"/>
  <c r="F5" i="1"/>
  <c r="Y6" i="1"/>
  <c r="Y8" i="1"/>
  <c r="P9" i="1"/>
  <c r="Y11" i="1"/>
  <c r="Y13" i="1"/>
  <c r="Y15" i="1"/>
  <c r="Y17" i="1"/>
  <c r="Y19" i="1"/>
  <c r="Y21" i="1"/>
  <c r="Y23" i="1"/>
  <c r="Y25" i="1"/>
  <c r="Y28" i="1"/>
  <c r="Y30" i="1"/>
  <c r="Y32" i="1"/>
  <c r="Y34" i="1"/>
  <c r="Y36" i="1"/>
  <c r="Y38" i="1"/>
  <c r="Y40" i="1"/>
  <c r="Y42" i="1"/>
  <c r="Y45" i="1"/>
  <c r="Y47" i="1"/>
  <c r="Y49" i="1"/>
  <c r="Y53" i="1"/>
  <c r="Y54" i="1"/>
  <c r="Y55" i="1"/>
  <c r="E5" i="1"/>
  <c r="Q9" i="1" l="1"/>
  <c r="AM9" i="1"/>
  <c r="X9" i="1"/>
  <c r="X35" i="1"/>
  <c r="X17" i="1"/>
  <c r="S46" i="1"/>
  <c r="AK46" i="1" s="1"/>
  <c r="Q5" i="1"/>
  <c r="Y9" i="1"/>
  <c r="P5" i="1"/>
  <c r="X46" i="1" l="1"/>
  <c r="S5" i="1"/>
  <c r="AK5" i="1"/>
</calcChain>
</file>

<file path=xl/sharedStrings.xml><?xml version="1.0" encoding="utf-8"?>
<sst xmlns="http://schemas.openxmlformats.org/spreadsheetml/2006/main" count="247" uniqueCount="114">
  <si>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</si>
  <si>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</si>
  <si>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</si>
  <si>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</si>
  <si>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</si>
  <si>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</si>
  <si>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</si>
  <si>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</si>
  <si>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</si>
  <si>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</si>
  <si>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</si>
  <si>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</si>
  <si>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</si>
  <si>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</si>
  <si>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</si>
  <si>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</si>
  <si>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</si>
  <si>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</si>
  <si>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</si>
  <si>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</si>
  <si>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</si>
  <si>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</si>
  <si>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</si>
  <si>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</si>
  <si>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</si>
  <si>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</si>
  <si>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</si>
  <si>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</si>
  <si>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</si>
  <si>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</si>
  <si>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</si>
  <si>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</si>
  <si>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</si>
  <si>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</si>
  <si>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</si>
  <si>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</si>
  <si>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</si>
  <si>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</si>
  <si>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</si>
  <si>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</si>
  <si>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</si>
  <si>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</si>
  <si>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</si>
  <si>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</si>
  <si>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</si>
  <si>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</si>
  <si>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</si>
  <si>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</si>
  <si>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</si>
  <si>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</si>
  <si>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</si>
  <si>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</si>
  <si>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</si>
  <si>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</si>
  <si>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</si>
  <si>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</si>
  <si>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</si>
  <si>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</si>
  <si>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</si>
  <si>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</si>
  <si>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</si>
  <si>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</si>
  <si>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</si>
  <si>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</si>
  <si>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</si>
  <si>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</si>
  <si>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</si>
  <si>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</si>
  <si>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</si>
  <si>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</si>
  <si>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</si>
  <si>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</si>
  <si>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</si>
  <si>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</si>
  <si>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</si>
  <si>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</si>
  <si>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</si>
  <si>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</si>
  <si>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</si>
  <si>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</si>
  <si>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</si>
  <si>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</si>
  <si>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</si>
  <si>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</si>
  <si>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</si>
  <si>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</si>
  <si>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</si>
  <si>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</si>
  <si>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</si>
  <si>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</si>
  <si>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</si>
  <si>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</si>
  <si>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</si>
  <si>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</si>
  <si>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</si>
  <si>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</si>
  <si>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</si>
  <si>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</si>
  <si>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72шт списано (19,09,26)</t>
    </r>
  </si>
  <si>
    <t>нужно увеличить продажи / не стабильные продажи</t>
  </si>
  <si>
    <t>8кг списано (30,09,26)</t>
  </si>
  <si>
    <t>152кг разовая продажа (15,10,26)</t>
  </si>
  <si>
    <t>243кг разовая продажа (15,10,26)</t>
  </si>
  <si>
    <t>не стабильные продажи</t>
  </si>
  <si>
    <t>2800шт потребность от одного клиента (Божок / 15,10,26) / 1345шт разовая продажа (11,08,26)</t>
  </si>
  <si>
    <t>предзаказ</t>
  </si>
  <si>
    <t>масло</t>
  </si>
  <si>
    <t>02,11,</t>
  </si>
  <si>
    <t>ТК</t>
  </si>
  <si>
    <t>Титенок</t>
  </si>
  <si>
    <t>заказ</t>
  </si>
  <si>
    <t>26,10,</t>
  </si>
  <si>
    <t>итого1</t>
  </si>
  <si>
    <t>02,11,масло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</si>
</sst>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0" fontId="0" fillId="0" borderId="1" xfId="0"/>
    <xf numFmtId="164" fontId="8" fillId="0" borderId="1" xfId="1" applyNumberFormat="1" applyFont="1"/>
    <xf numFmtId="164" fontId="8" fillId="3" borderId="1" xfId="1" applyNumberFormat="1" applyFont="1" applyFill="1"/>
    <xf numFmtId="164" fontId="8" fillId="0" borderId="2" xfId="1" applyNumberFormat="1" applyFont="1" applyBorder="1"/>
    <xf numFmtId="164" fontId="8" fillId="4" borderId="2" xfId="1" applyNumberFormat="1" applyFont="1" applyFill="1" applyBorder="1"/>
    <xf numFmtId="0" fontId="7" fillId="0" borderId="0" xfId="0" applyFont="1" applyBorder="1"/>
    <xf numFmtId="0" fontId="7" fillId="0" borderId="1" xfId="0" applyFont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4;&#1089;&#1090;&#1072;&#1085;&#1082;&#1080;&#1085;&#1086;%20&#1057;&#1067;&#1056;&#1067;\_&#1076;&#1074;%2020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R2" t="str">
            <v>02,11,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предзаказ</v>
          </cell>
        </row>
        <row r="4">
          <cell r="O4" t="str">
            <v>20,10,</v>
          </cell>
          <cell r="P4" t="str">
            <v>20,10,</v>
          </cell>
          <cell r="R4" t="str">
            <v>масло</v>
          </cell>
        </row>
        <row r="5">
          <cell r="E5">
            <v>4843.1559999999999</v>
          </cell>
          <cell r="F5">
            <v>7224.3840000000009</v>
          </cell>
          <cell r="K5">
            <v>8071.6</v>
          </cell>
          <cell r="L5">
            <v>-3228.444</v>
          </cell>
          <cell r="M5">
            <v>0</v>
          </cell>
          <cell r="N5">
            <v>0</v>
          </cell>
          <cell r="O5">
            <v>5343</v>
          </cell>
          <cell r="P5">
            <v>968.63120000000026</v>
          </cell>
          <cell r="Q5">
            <v>4624.5379999999986</v>
          </cell>
          <cell r="R5">
            <v>2000</v>
          </cell>
          <cell r="S5">
            <v>6960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22</v>
          </cell>
          <cell r="D6">
            <v>2</v>
          </cell>
          <cell r="E6">
            <v>3</v>
          </cell>
          <cell r="F6">
            <v>19</v>
          </cell>
          <cell r="G6">
            <v>5.5E-2</v>
          </cell>
          <cell r="H6">
            <v>120</v>
          </cell>
          <cell r="K6">
            <v>3</v>
          </cell>
          <cell r="L6">
            <v>0</v>
          </cell>
          <cell r="P6">
            <v>0.6</v>
          </cell>
          <cell r="S6">
            <v>50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41</v>
          </cell>
          <cell r="E7">
            <v>3</v>
          </cell>
          <cell r="F7">
            <v>33</v>
          </cell>
          <cell r="G7">
            <v>0.1</v>
          </cell>
          <cell r="H7">
            <v>120</v>
          </cell>
          <cell r="K7">
            <v>3</v>
          </cell>
          <cell r="L7">
            <v>0</v>
          </cell>
          <cell r="P7">
            <v>0.6</v>
          </cell>
          <cell r="S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31</v>
          </cell>
          <cell r="D8">
            <v>4</v>
          </cell>
          <cell r="E8">
            <v>3</v>
          </cell>
          <cell r="F8">
            <v>28</v>
          </cell>
          <cell r="G8">
            <v>0.1</v>
          </cell>
          <cell r="H8">
            <v>120</v>
          </cell>
          <cell r="K8">
            <v>3</v>
          </cell>
          <cell r="L8">
            <v>0</v>
          </cell>
          <cell r="P8">
            <v>0.6</v>
          </cell>
          <cell r="S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169.202</v>
          </cell>
          <cell r="D9">
            <v>284.12</v>
          </cell>
          <cell r="E9">
            <v>218.65299999999999</v>
          </cell>
          <cell r="F9">
            <v>49.173999999999999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222.8</v>
          </cell>
          <cell r="L9">
            <v>-4.1470000000000198</v>
          </cell>
          <cell r="O9">
            <v>15</v>
          </cell>
          <cell r="P9">
            <v>43.730599999999995</v>
          </cell>
          <cell r="Q9">
            <v>198.20959999999999</v>
          </cell>
          <cell r="S9">
            <v>400</v>
          </cell>
        </row>
        <row r="10">
          <cell r="A10" t="str">
            <v>4931  Сыр полутвердый "Купеческий" с ароматом топленого молока, с м.д.ж. 50% ОСТАНКИНО</v>
          </cell>
          <cell r="B10" t="str">
            <v>кг</v>
          </cell>
          <cell r="D10">
            <v>276.63600000000002</v>
          </cell>
          <cell r="F10">
            <v>133.87799999999999</v>
          </cell>
          <cell r="G10">
            <v>1</v>
          </cell>
          <cell r="H10">
            <v>180</v>
          </cell>
          <cell r="I10" t="str">
            <v>ТЗ 14дн+1нд доставка</v>
          </cell>
          <cell r="K10">
            <v>3.2</v>
          </cell>
          <cell r="L10">
            <v>-3.2</v>
          </cell>
          <cell r="P10">
            <v>0</v>
          </cell>
          <cell r="S10">
            <v>50</v>
          </cell>
        </row>
        <row r="11">
          <cell r="A11" t="str">
            <v>6948249 Майонезный соус провансаль 824,5гр деликатес.с массовой долей жирн.25% Коровино Останкино</v>
          </cell>
          <cell r="B11" t="str">
            <v>шт</v>
          </cell>
          <cell r="C11">
            <v>96</v>
          </cell>
          <cell r="D11">
            <v>48</v>
          </cell>
          <cell r="E11">
            <v>2</v>
          </cell>
          <cell r="F11">
            <v>142</v>
          </cell>
          <cell r="G11">
            <v>0.82450000000000001</v>
          </cell>
          <cell r="H11">
            <v>180</v>
          </cell>
          <cell r="I11" t="str">
            <v>ТЗ 14дн+1нд доставка</v>
          </cell>
          <cell r="K11">
            <v>2</v>
          </cell>
          <cell r="L11">
            <v>0</v>
          </cell>
          <cell r="P11">
            <v>0.4</v>
          </cell>
        </row>
        <row r="12">
          <cell r="A12" t="str">
            <v>6948256 Майонез провансаль классич.оливковый Папа может 372гр с массовой долей жирн. 67% Останкино</v>
          </cell>
          <cell r="B12" t="str">
            <v>шт</v>
          </cell>
          <cell r="C12">
            <v>332</v>
          </cell>
          <cell r="D12">
            <v>84</v>
          </cell>
          <cell r="E12">
            <v>140</v>
          </cell>
          <cell r="F12">
            <v>274</v>
          </cell>
          <cell r="G12">
            <v>0.372</v>
          </cell>
          <cell r="H12">
            <v>180</v>
          </cell>
          <cell r="I12" t="str">
            <v>ТЗ 14дн+1нд доставка</v>
          </cell>
          <cell r="K12">
            <v>130</v>
          </cell>
          <cell r="L12">
            <v>10</v>
          </cell>
          <cell r="O12">
            <v>48</v>
          </cell>
          <cell r="P12">
            <v>28</v>
          </cell>
          <cell r="Q12">
            <v>126</v>
          </cell>
          <cell r="S12">
            <v>300</v>
          </cell>
        </row>
        <row r="13">
          <cell r="A13" t="str">
            <v>6948263 Майонез провансаль классич.оливковый Папа может 744гр с массовой долей жирн. 67% Останкино</v>
          </cell>
          <cell r="B13" t="str">
            <v>шт</v>
          </cell>
          <cell r="C13">
            <v>317</v>
          </cell>
          <cell r="D13">
            <v>1</v>
          </cell>
          <cell r="E13">
            <v>192</v>
          </cell>
          <cell r="F13">
            <v>113</v>
          </cell>
          <cell r="G13">
            <v>0.74399999999999999</v>
          </cell>
          <cell r="H13">
            <v>180</v>
          </cell>
          <cell r="I13" t="str">
            <v>ТЗ 14дн+1нд доставка</v>
          </cell>
          <cell r="K13">
            <v>195</v>
          </cell>
          <cell r="L13">
            <v>-3</v>
          </cell>
          <cell r="O13">
            <v>48</v>
          </cell>
          <cell r="P13">
            <v>38.4</v>
          </cell>
          <cell r="Q13">
            <v>338.2</v>
          </cell>
          <cell r="S13">
            <v>500</v>
          </cell>
        </row>
        <row r="14">
          <cell r="A14" t="str">
            <v>6948270 Майонез провансаль классич.Папа может 372гр с массовой долей жирн. 67% Останкино</v>
          </cell>
          <cell r="B14" t="str">
            <v>шт</v>
          </cell>
          <cell r="C14">
            <v>89</v>
          </cell>
          <cell r="D14">
            <v>252</v>
          </cell>
          <cell r="E14">
            <v>206</v>
          </cell>
          <cell r="F14">
            <v>110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261</v>
          </cell>
          <cell r="L14">
            <v>-55</v>
          </cell>
          <cell r="O14">
            <v>48</v>
          </cell>
          <cell r="P14">
            <v>41.2</v>
          </cell>
          <cell r="Q14">
            <v>501.20000000000005</v>
          </cell>
          <cell r="S14">
            <v>600</v>
          </cell>
        </row>
        <row r="15">
          <cell r="A15" t="str">
            <v>6948287 Майонез провансаль классич.Папа может 744гр с массовой долей жирн. 67% Останкино</v>
          </cell>
          <cell r="B15" t="str">
            <v>шт</v>
          </cell>
          <cell r="C15">
            <v>372</v>
          </cell>
          <cell r="E15">
            <v>361</v>
          </cell>
          <cell r="F15">
            <v>6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359</v>
          </cell>
          <cell r="L15">
            <v>2</v>
          </cell>
          <cell r="O15">
            <v>648</v>
          </cell>
          <cell r="P15">
            <v>72.2</v>
          </cell>
          <cell r="Q15">
            <v>501.20000000000005</v>
          </cell>
          <cell r="S15">
            <v>600</v>
          </cell>
        </row>
        <row r="16">
          <cell r="A16" t="str">
            <v>9988421 Творожный Сыр 60 % С маринованными огурчиками и укропом  Останкино</v>
          </cell>
          <cell r="B16" t="str">
            <v>шт</v>
          </cell>
          <cell r="C16">
            <v>14</v>
          </cell>
          <cell r="D16">
            <v>37</v>
          </cell>
          <cell r="E16">
            <v>8</v>
          </cell>
          <cell r="F16">
            <v>36</v>
          </cell>
          <cell r="G16">
            <v>0.14000000000000001</v>
          </cell>
          <cell r="H16">
            <v>180</v>
          </cell>
          <cell r="K16">
            <v>9</v>
          </cell>
          <cell r="L16">
            <v>-1</v>
          </cell>
          <cell r="P16">
            <v>1.6</v>
          </cell>
        </row>
        <row r="17">
          <cell r="A17" t="str">
            <v>9988438 Плавленый Сыр 45% "С ветчиной" СТМ"ПапаМожет" 180гр  Останкино</v>
          </cell>
          <cell r="B17" t="str">
            <v>шт</v>
          </cell>
          <cell r="C17">
            <v>77</v>
          </cell>
          <cell r="D17">
            <v>71</v>
          </cell>
          <cell r="E17">
            <v>68</v>
          </cell>
          <cell r="F17">
            <v>50</v>
          </cell>
          <cell r="G17">
            <v>0.18</v>
          </cell>
          <cell r="H17">
            <v>270</v>
          </cell>
          <cell r="I17" t="str">
            <v>ТЗ 14дн+1нд доставка</v>
          </cell>
          <cell r="K17">
            <v>62</v>
          </cell>
          <cell r="L17">
            <v>6</v>
          </cell>
          <cell r="O17">
            <v>96</v>
          </cell>
          <cell r="P17">
            <v>13.6</v>
          </cell>
          <cell r="Q17">
            <v>71.599999999999994</v>
          </cell>
          <cell r="S17">
            <v>200</v>
          </cell>
        </row>
        <row r="18">
          <cell r="A18" t="str">
            <v>9988445 Плавленый Сыр 45%"С грибами" СТМ"ПапаМожет" 180 гр  Останкино</v>
          </cell>
          <cell r="B18" t="str">
            <v>шт</v>
          </cell>
          <cell r="C18">
            <v>105</v>
          </cell>
          <cell r="D18">
            <v>142</v>
          </cell>
          <cell r="E18">
            <v>57</v>
          </cell>
          <cell r="F18">
            <v>130</v>
          </cell>
          <cell r="G18">
            <v>0.18</v>
          </cell>
          <cell r="H18">
            <v>270</v>
          </cell>
          <cell r="I18" t="str">
            <v>ТЗ 14дн+1нд доставка</v>
          </cell>
          <cell r="K18">
            <v>52</v>
          </cell>
          <cell r="L18">
            <v>5</v>
          </cell>
          <cell r="O18">
            <v>96</v>
          </cell>
          <cell r="P18">
            <v>11.4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2</v>
          </cell>
          <cell r="D19">
            <v>48</v>
          </cell>
          <cell r="E19">
            <v>1</v>
          </cell>
          <cell r="F19">
            <v>36</v>
          </cell>
          <cell r="G19">
            <v>0.1</v>
          </cell>
          <cell r="H19">
            <v>60</v>
          </cell>
          <cell r="K19">
            <v>5</v>
          </cell>
          <cell r="L19">
            <v>-4</v>
          </cell>
          <cell r="O19">
            <v>8</v>
          </cell>
          <cell r="P19">
            <v>0.2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800</v>
          </cell>
          <cell r="D20">
            <v>3773</v>
          </cell>
          <cell r="E20">
            <v>608</v>
          </cell>
          <cell r="F20">
            <v>1347</v>
          </cell>
          <cell r="G20">
            <v>0.18</v>
          </cell>
          <cell r="H20">
            <v>180</v>
          </cell>
          <cell r="I20" t="str">
            <v>ТЗ 14дн+1нд доставка</v>
          </cell>
          <cell r="K20">
            <v>609</v>
          </cell>
          <cell r="L20">
            <v>-1</v>
          </cell>
          <cell r="O20">
            <v>700</v>
          </cell>
          <cell r="P20">
            <v>121.6</v>
          </cell>
          <cell r="Q20">
            <v>20.199999999999818</v>
          </cell>
          <cell r="R20">
            <v>1000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507</v>
          </cell>
          <cell r="D21">
            <v>2701</v>
          </cell>
          <cell r="E21">
            <v>674</v>
          </cell>
          <cell r="F21">
            <v>1017</v>
          </cell>
          <cell r="G21">
            <v>0.18</v>
          </cell>
          <cell r="H21">
            <v>180</v>
          </cell>
          <cell r="I21" t="str">
            <v>ТЗ 14дн+1нд доставка</v>
          </cell>
          <cell r="K21">
            <v>3482</v>
          </cell>
          <cell r="L21">
            <v>-2808</v>
          </cell>
          <cell r="O21">
            <v>700</v>
          </cell>
          <cell r="P21">
            <v>134.80000000000001</v>
          </cell>
          <cell r="Q21">
            <v>979</v>
          </cell>
          <cell r="R21">
            <v>1000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9</v>
          </cell>
          <cell r="D22">
            <v>14</v>
          </cell>
          <cell r="E22">
            <v>3</v>
          </cell>
          <cell r="F22">
            <v>14</v>
          </cell>
          <cell r="G22">
            <v>0.4</v>
          </cell>
          <cell r="H22">
            <v>270</v>
          </cell>
          <cell r="I22" t="str">
            <v>ТЗ 14дн+1нд доставка</v>
          </cell>
          <cell r="K22">
            <v>3</v>
          </cell>
          <cell r="L22">
            <v>0</v>
          </cell>
          <cell r="O22">
            <v>8</v>
          </cell>
          <cell r="P22">
            <v>0.6</v>
          </cell>
          <cell r="S22">
            <v>50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73</v>
          </cell>
          <cell r="E23">
            <v>1</v>
          </cell>
          <cell r="F23">
            <v>72</v>
          </cell>
          <cell r="G23">
            <v>0.4</v>
          </cell>
          <cell r="H23">
            <v>270</v>
          </cell>
          <cell r="I23" t="str">
            <v>ТЗ 14дн+1нд доставка</v>
          </cell>
          <cell r="K23">
            <v>1</v>
          </cell>
          <cell r="L23">
            <v>0</v>
          </cell>
          <cell r="P23">
            <v>0.2</v>
          </cell>
          <cell r="S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88</v>
          </cell>
          <cell r="D24">
            <v>32</v>
          </cell>
          <cell r="E24">
            <v>3</v>
          </cell>
          <cell r="F24">
            <v>100</v>
          </cell>
          <cell r="G24">
            <v>0.18</v>
          </cell>
          <cell r="H24">
            <v>270</v>
          </cell>
          <cell r="I24" t="str">
            <v>ТЗ 14дн+1нд доставка</v>
          </cell>
          <cell r="K24">
            <v>3</v>
          </cell>
          <cell r="L24">
            <v>0</v>
          </cell>
          <cell r="P24">
            <v>0.6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D25">
            <v>48</v>
          </cell>
          <cell r="E25">
            <v>7</v>
          </cell>
          <cell r="F25">
            <v>37</v>
          </cell>
          <cell r="G25">
            <v>0.2</v>
          </cell>
          <cell r="H25">
            <v>120</v>
          </cell>
          <cell r="K25">
            <v>7</v>
          </cell>
          <cell r="L25">
            <v>0</v>
          </cell>
          <cell r="P25">
            <v>1.4</v>
          </cell>
          <cell r="S25">
            <v>70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G26">
            <v>0</v>
          </cell>
          <cell r="H26">
            <v>180</v>
          </cell>
          <cell r="I26" t="str">
            <v>нет потребности</v>
          </cell>
          <cell r="L26">
            <v>0</v>
          </cell>
          <cell r="P26">
            <v>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C27">
            <v>48.97</v>
          </cell>
          <cell r="D27">
            <v>2.0499999999999998</v>
          </cell>
          <cell r="E27">
            <v>9.9649999999999999</v>
          </cell>
          <cell r="F27">
            <v>31</v>
          </cell>
          <cell r="G27">
            <v>1</v>
          </cell>
          <cell r="H27">
            <v>180</v>
          </cell>
          <cell r="I27" t="str">
            <v>ТЗ 14дн+1нд доставка</v>
          </cell>
          <cell r="K27">
            <v>20.5</v>
          </cell>
          <cell r="L27">
            <v>-10.535</v>
          </cell>
          <cell r="P27">
            <v>1.9929999999999999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36</v>
          </cell>
          <cell r="D28">
            <v>107</v>
          </cell>
          <cell r="E28">
            <v>66</v>
          </cell>
          <cell r="F28">
            <v>55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91</v>
          </cell>
          <cell r="L28">
            <v>-25</v>
          </cell>
          <cell r="O28">
            <v>48</v>
          </cell>
          <cell r="P28">
            <v>13.2</v>
          </cell>
          <cell r="Q28">
            <v>108.19999999999999</v>
          </cell>
          <cell r="S28">
            <v>200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</v>
          </cell>
          <cell r="D29">
            <v>133</v>
          </cell>
          <cell r="E29">
            <v>10</v>
          </cell>
          <cell r="F29">
            <v>100</v>
          </cell>
          <cell r="G29">
            <v>0.1</v>
          </cell>
          <cell r="H29">
            <v>90</v>
          </cell>
          <cell r="K29">
            <v>22</v>
          </cell>
          <cell r="L29">
            <v>-12</v>
          </cell>
          <cell r="O29">
            <v>48</v>
          </cell>
          <cell r="P29">
            <v>2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208</v>
          </cell>
          <cell r="D30">
            <v>136</v>
          </cell>
          <cell r="E30">
            <v>151</v>
          </cell>
          <cell r="F30">
            <v>120</v>
          </cell>
          <cell r="G30">
            <v>0.1</v>
          </cell>
          <cell r="H30">
            <v>60</v>
          </cell>
          <cell r="K30">
            <v>157</v>
          </cell>
          <cell r="L30">
            <v>-6</v>
          </cell>
          <cell r="O30">
            <v>48</v>
          </cell>
          <cell r="P30">
            <v>30.2</v>
          </cell>
          <cell r="Q30">
            <v>315.2</v>
          </cell>
          <cell r="S30">
            <v>500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205</v>
          </cell>
          <cell r="D31">
            <v>262</v>
          </cell>
          <cell r="E31">
            <v>80</v>
          </cell>
          <cell r="F31">
            <v>247</v>
          </cell>
          <cell r="G31">
            <v>0.1</v>
          </cell>
          <cell r="H31">
            <v>90</v>
          </cell>
          <cell r="K31">
            <v>80</v>
          </cell>
          <cell r="L31">
            <v>0</v>
          </cell>
          <cell r="O31">
            <v>48</v>
          </cell>
          <cell r="P31">
            <v>16</v>
          </cell>
          <cell r="S31">
            <v>100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36</v>
          </cell>
          <cell r="D32">
            <v>255</v>
          </cell>
          <cell r="E32">
            <v>94</v>
          </cell>
          <cell r="F32">
            <v>69</v>
          </cell>
          <cell r="G32">
            <v>0.18</v>
          </cell>
          <cell r="H32">
            <v>150</v>
          </cell>
          <cell r="I32" t="str">
            <v>ТЗ 14дн+1нд доставка</v>
          </cell>
          <cell r="K32">
            <v>170</v>
          </cell>
          <cell r="L32">
            <v>-76</v>
          </cell>
          <cell r="O32">
            <v>500</v>
          </cell>
          <cell r="P32">
            <v>18.8</v>
          </cell>
          <cell r="S32">
            <v>100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108</v>
          </cell>
          <cell r="D33">
            <v>572</v>
          </cell>
          <cell r="E33">
            <v>146</v>
          </cell>
          <cell r="F33">
            <v>439</v>
          </cell>
          <cell r="G33">
            <v>0.18</v>
          </cell>
          <cell r="H33">
            <v>150</v>
          </cell>
          <cell r="I33" t="str">
            <v>ТЗ 14дн+1нд доставка</v>
          </cell>
          <cell r="K33">
            <v>264</v>
          </cell>
          <cell r="L33">
            <v>-118</v>
          </cell>
          <cell r="O33">
            <v>500</v>
          </cell>
          <cell r="P33">
            <v>29.2</v>
          </cell>
          <cell r="S33">
            <v>100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3</v>
          </cell>
          <cell r="D34">
            <v>235</v>
          </cell>
          <cell r="E34">
            <v>48</v>
          </cell>
          <cell r="F34">
            <v>127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97</v>
          </cell>
          <cell r="L34">
            <v>-49</v>
          </cell>
          <cell r="O34">
            <v>200</v>
          </cell>
          <cell r="P34">
            <v>9.6</v>
          </cell>
          <cell r="S34">
            <v>100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73</v>
          </cell>
          <cell r="D35">
            <v>105</v>
          </cell>
          <cell r="E35">
            <v>105</v>
          </cell>
          <cell r="F35">
            <v>52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126</v>
          </cell>
          <cell r="L35">
            <v>-21</v>
          </cell>
          <cell r="O35">
            <v>200</v>
          </cell>
          <cell r="P35">
            <v>21</v>
          </cell>
          <cell r="Q35">
            <v>84</v>
          </cell>
          <cell r="S35">
            <v>200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284</v>
          </cell>
          <cell r="D36">
            <v>887</v>
          </cell>
          <cell r="E36">
            <v>324</v>
          </cell>
          <cell r="F36">
            <v>558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324</v>
          </cell>
          <cell r="L36">
            <v>0</v>
          </cell>
          <cell r="O36">
            <v>200</v>
          </cell>
          <cell r="P36">
            <v>64.8</v>
          </cell>
          <cell r="Q36">
            <v>278.79999999999995</v>
          </cell>
          <cell r="S36">
            <v>400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87</v>
          </cell>
          <cell r="D37">
            <v>223</v>
          </cell>
          <cell r="E37">
            <v>151</v>
          </cell>
          <cell r="F37">
            <v>129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171</v>
          </cell>
          <cell r="L37">
            <v>-20</v>
          </cell>
          <cell r="O37">
            <v>200</v>
          </cell>
          <cell r="P37">
            <v>30.2</v>
          </cell>
          <cell r="Q37">
            <v>154.19999999999999</v>
          </cell>
          <cell r="S37">
            <v>400</v>
          </cell>
        </row>
        <row r="38">
          <cell r="A38" t="str">
            <v>Сыр Скаморца свежий 100 гр.  ОСТАНКИНО</v>
          </cell>
          <cell r="B38" t="str">
            <v>шт</v>
          </cell>
          <cell r="C38">
            <v>6</v>
          </cell>
          <cell r="D38">
            <v>2</v>
          </cell>
          <cell r="E38">
            <v>5</v>
          </cell>
          <cell r="F38">
            <v>1</v>
          </cell>
          <cell r="G38">
            <v>0.1</v>
          </cell>
          <cell r="H38">
            <v>60</v>
          </cell>
          <cell r="K38">
            <v>5</v>
          </cell>
          <cell r="L38">
            <v>0</v>
          </cell>
          <cell r="O38">
            <v>32</v>
          </cell>
          <cell r="P38">
            <v>1</v>
          </cell>
        </row>
        <row r="39">
          <cell r="A39" t="str">
            <v>Сыр Творожный с зеленью 60% Папа может 140 гр.  Останкино</v>
          </cell>
          <cell r="B39" t="str">
            <v>шт</v>
          </cell>
          <cell r="C39">
            <v>52</v>
          </cell>
          <cell r="D39">
            <v>117</v>
          </cell>
          <cell r="E39">
            <v>26</v>
          </cell>
          <cell r="F39">
            <v>104</v>
          </cell>
          <cell r="G39">
            <v>0.14000000000000001</v>
          </cell>
          <cell r="H39">
            <v>180</v>
          </cell>
          <cell r="K39">
            <v>26</v>
          </cell>
          <cell r="L39">
            <v>0</v>
          </cell>
          <cell r="O39">
            <v>16</v>
          </cell>
          <cell r="P39">
            <v>5.2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198</v>
          </cell>
          <cell r="D40">
            <v>131</v>
          </cell>
          <cell r="E40">
            <v>184</v>
          </cell>
          <cell r="F40">
            <v>115</v>
          </cell>
          <cell r="G40">
            <v>0.18</v>
          </cell>
          <cell r="H40">
            <v>270</v>
          </cell>
          <cell r="I40" t="str">
            <v>ТЗ 14дн+1нд доставка</v>
          </cell>
          <cell r="K40">
            <v>178</v>
          </cell>
          <cell r="L40">
            <v>6</v>
          </cell>
          <cell r="P40">
            <v>36.799999999999997</v>
          </cell>
          <cell r="Q40">
            <v>400.19999999999993</v>
          </cell>
          <cell r="S40">
            <v>600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65.853999999999999</v>
          </cell>
          <cell r="D41">
            <v>3.4279999999999999</v>
          </cell>
          <cell r="E41">
            <v>10.038</v>
          </cell>
          <cell r="F41">
            <v>46.716000000000001</v>
          </cell>
          <cell r="G41">
            <v>1</v>
          </cell>
          <cell r="H41">
            <v>180</v>
          </cell>
          <cell r="I41" t="str">
            <v>ТЗ 14дн+1нд доставка</v>
          </cell>
          <cell r="K41">
            <v>10.3</v>
          </cell>
          <cell r="L41">
            <v>-0.26200000000000045</v>
          </cell>
          <cell r="P41">
            <v>2.0076000000000001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9.4339999999999993</v>
          </cell>
          <cell r="D42">
            <v>102.944</v>
          </cell>
          <cell r="E42">
            <v>9.4339999999999993</v>
          </cell>
          <cell r="F42">
            <v>102.944</v>
          </cell>
          <cell r="G42">
            <v>1</v>
          </cell>
          <cell r="H42">
            <v>180</v>
          </cell>
          <cell r="I42" t="str">
            <v>ТЗ 14дн+1нд доставка</v>
          </cell>
          <cell r="K42">
            <v>10.5</v>
          </cell>
          <cell r="L42">
            <v>-1.0660000000000007</v>
          </cell>
          <cell r="P42">
            <v>1.8867999999999998</v>
          </cell>
        </row>
        <row r="43">
          <cell r="A43" t="str">
            <v>Сыр полутвердый "Российский" с массовой долей жира 50%  Останкино</v>
          </cell>
          <cell r="B43" t="str">
            <v>кг</v>
          </cell>
          <cell r="C43">
            <v>-3.2</v>
          </cell>
          <cell r="D43">
            <v>4.234</v>
          </cell>
          <cell r="E43">
            <v>1.034</v>
          </cell>
          <cell r="G43">
            <v>0</v>
          </cell>
          <cell r="I43" t="str">
            <v>дубль</v>
          </cell>
          <cell r="J43" t="str">
            <v>3323 Сыр Российский цилиндр 1/4 пленка ЮКМП м.д.ж. 50%  ОСТАНКИНО</v>
          </cell>
          <cell r="K43">
            <v>15.3</v>
          </cell>
          <cell r="L43">
            <v>-14.266</v>
          </cell>
          <cell r="P43">
            <v>0.20680000000000001</v>
          </cell>
        </row>
        <row r="44">
          <cell r="A44" t="str">
            <v>Сыр полутвердый "Сметанковый", с масс долей жира в пересчете на сухое вещес50%, брус  Останкино</v>
          </cell>
          <cell r="B44" t="str">
            <v>кг</v>
          </cell>
          <cell r="C44">
            <v>9.3719999999999999</v>
          </cell>
          <cell r="D44">
            <v>95.552999999999997</v>
          </cell>
          <cell r="E44">
            <v>56.438000000000002</v>
          </cell>
          <cell r="F44">
            <v>30.524000000000001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60</v>
          </cell>
          <cell r="L44">
            <v>-3.5619999999999976</v>
          </cell>
          <cell r="O44">
            <v>66</v>
          </cell>
          <cell r="P44">
            <v>11.287600000000001</v>
          </cell>
          <cell r="Q44">
            <v>84.077600000000018</v>
          </cell>
          <cell r="S44">
            <v>150</v>
          </cell>
        </row>
        <row r="45">
          <cell r="A45" t="str">
            <v>Сыр полутвердый "Тильзитер" с массовой долей жира в пересчете на сухое вещество 45%. 1/5  Останкино</v>
          </cell>
          <cell r="B45" t="str">
            <v>кг</v>
          </cell>
          <cell r="C45">
            <v>24.466000000000001</v>
          </cell>
          <cell r="D45">
            <v>61.231999999999999</v>
          </cell>
          <cell r="E45">
            <v>2.8340000000000001</v>
          </cell>
          <cell r="F45">
            <v>49.148000000000003</v>
          </cell>
          <cell r="G45">
            <v>1</v>
          </cell>
          <cell r="H45">
            <v>180</v>
          </cell>
          <cell r="I45" t="str">
            <v>ТЗ 14дн+1нд доставка</v>
          </cell>
          <cell r="K45">
            <v>3.5</v>
          </cell>
          <cell r="L45">
            <v>-0.66599999999999993</v>
          </cell>
          <cell r="P45">
            <v>0.56679999999999997</v>
          </cell>
          <cell r="S45">
            <v>100</v>
          </cell>
        </row>
        <row r="46">
          <cell r="A46" t="str">
            <v>Сыр рассольный жирный Чечил 45% 100 гр  ОСТАНКИНО</v>
          </cell>
          <cell r="B46" t="str">
            <v>шт</v>
          </cell>
          <cell r="C46">
            <v>270</v>
          </cell>
          <cell r="D46">
            <v>413</v>
          </cell>
          <cell r="E46">
            <v>146</v>
          </cell>
          <cell r="F46">
            <v>422</v>
          </cell>
          <cell r="G46">
            <v>0.1</v>
          </cell>
          <cell r="H46">
            <v>60</v>
          </cell>
          <cell r="K46">
            <v>141</v>
          </cell>
          <cell r="L46">
            <v>5</v>
          </cell>
          <cell r="P46">
            <v>29.2</v>
          </cell>
          <cell r="Q46">
            <v>45.199999999999989</v>
          </cell>
        </row>
        <row r="47">
          <cell r="A47" t="str">
            <v>Сыр рассольный жирный Чечил копченый 43% 100 гр  Останкино</v>
          </cell>
          <cell r="B47" t="str">
            <v>шт</v>
          </cell>
          <cell r="C47">
            <v>158</v>
          </cell>
          <cell r="D47">
            <v>428</v>
          </cell>
          <cell r="E47">
            <v>81</v>
          </cell>
          <cell r="F47">
            <v>465</v>
          </cell>
          <cell r="G47">
            <v>0.1</v>
          </cell>
          <cell r="H47">
            <v>90</v>
          </cell>
          <cell r="K47">
            <v>81</v>
          </cell>
          <cell r="L47">
            <v>0</v>
          </cell>
          <cell r="P47">
            <v>16.2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70</v>
          </cell>
          <cell r="D48">
            <v>100</v>
          </cell>
          <cell r="E48">
            <v>44</v>
          </cell>
          <cell r="F48">
            <v>82</v>
          </cell>
          <cell r="G48">
            <v>0.14000000000000001</v>
          </cell>
          <cell r="H48">
            <v>180</v>
          </cell>
          <cell r="K48">
            <v>44</v>
          </cell>
          <cell r="L48">
            <v>0</v>
          </cell>
          <cell r="O48">
            <v>32</v>
          </cell>
          <cell r="P48">
            <v>8.8000000000000007</v>
          </cell>
          <cell r="Q48">
            <v>26.800000000000011</v>
          </cell>
          <cell r="S48">
            <v>100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-14</v>
          </cell>
          <cell r="D49">
            <v>170</v>
          </cell>
          <cell r="E49">
            <v>18</v>
          </cell>
          <cell r="F49">
            <v>90</v>
          </cell>
          <cell r="G49">
            <v>0.2</v>
          </cell>
          <cell r="H49">
            <v>120</v>
          </cell>
          <cell r="K49">
            <v>18</v>
          </cell>
          <cell r="L49">
            <v>0</v>
          </cell>
          <cell r="O49">
            <v>50</v>
          </cell>
          <cell r="P49">
            <v>3.6</v>
          </cell>
          <cell r="S49">
            <v>120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</v>
          </cell>
          <cell r="G50">
            <v>0</v>
          </cell>
          <cell r="I50" t="str">
            <v>дубль</v>
          </cell>
          <cell r="J50" t="str">
            <v>Сыч/Прод Коровино Российский 50% 200г НОВАЯ СЗМЖ  ОСТАНКИНО</v>
          </cell>
          <cell r="L50">
            <v>0</v>
          </cell>
          <cell r="P50">
            <v>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C51">
            <v>160.86000000000001</v>
          </cell>
          <cell r="D51">
            <v>98.043999999999997</v>
          </cell>
          <cell r="E51">
            <v>209.88200000000001</v>
          </cell>
          <cell r="G51">
            <v>1</v>
          </cell>
          <cell r="H51">
            <v>120</v>
          </cell>
          <cell r="I51" t="str">
            <v>ТЗ 14дн+1нд доставка</v>
          </cell>
          <cell r="K51">
            <v>357</v>
          </cell>
          <cell r="L51">
            <v>-147.11799999999999</v>
          </cell>
          <cell r="O51">
            <v>495</v>
          </cell>
          <cell r="P51">
            <v>41.976399999999998</v>
          </cell>
          <cell r="Q51">
            <v>134.64599999999996</v>
          </cell>
          <cell r="S51">
            <v>250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-8</v>
          </cell>
          <cell r="D52">
            <v>84</v>
          </cell>
          <cell r="E52">
            <v>28</v>
          </cell>
          <cell r="F52">
            <v>43</v>
          </cell>
          <cell r="G52">
            <v>0.2</v>
          </cell>
          <cell r="H52">
            <v>120</v>
          </cell>
          <cell r="K52">
            <v>30</v>
          </cell>
          <cell r="L52">
            <v>-2</v>
          </cell>
          <cell r="O52">
            <v>50</v>
          </cell>
          <cell r="P52">
            <v>5.6</v>
          </cell>
          <cell r="Q52">
            <v>8</v>
          </cell>
          <cell r="S52">
            <v>70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34</v>
          </cell>
          <cell r="F53">
            <v>-1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L53">
            <v>0</v>
          </cell>
          <cell r="P53">
            <v>0</v>
          </cell>
        </row>
        <row r="54">
          <cell r="A54" t="str">
            <v>Сыч/Прод Коровино Тильзитер Оригин 50% ВЕС (5 кг брус) СЗМЖ  ОСТАНКИНО</v>
          </cell>
          <cell r="B54" t="str">
            <v>кг</v>
          </cell>
          <cell r="C54">
            <v>-3.6739999999999999</v>
          </cell>
          <cell r="D54">
            <v>3.6739999999999999</v>
          </cell>
          <cell r="G54">
            <v>0</v>
          </cell>
          <cell r="I54" t="str">
            <v>дубль</v>
          </cell>
          <cell r="J54" t="str">
            <v>Сыч/Прод Коровино Тильзитер Оригин 50% ВЕС НОВАЯ (5 кг брус) СЗМЖ  ОСТАНКИНО</v>
          </cell>
          <cell r="L54">
            <v>0</v>
          </cell>
          <cell r="P54">
            <v>0</v>
          </cell>
        </row>
        <row r="55">
          <cell r="A55" t="str">
            <v>Сыч/Прод Коровино Тильзитер Оригин 50% ВЕС НОВАЯ (5 кг брус) СЗМЖ  ОСТАНКИНО</v>
          </cell>
          <cell r="B55" t="str">
            <v>кг</v>
          </cell>
          <cell r="C55">
            <v>86.034000000000006</v>
          </cell>
          <cell r="D55">
            <v>395.06</v>
          </cell>
          <cell r="E55">
            <v>277.87799999999999</v>
          </cell>
          <cell r="G55">
            <v>1</v>
          </cell>
          <cell r="H55">
            <v>120</v>
          </cell>
          <cell r="I55" t="str">
            <v>ТЗ 14дн+1нд доставка</v>
          </cell>
          <cell r="K55">
            <v>154.5</v>
          </cell>
          <cell r="L55">
            <v>123.37799999999999</v>
          </cell>
          <cell r="O55">
            <v>195</v>
          </cell>
          <cell r="P55">
            <v>55.575599999999994</v>
          </cell>
          <cell r="Q55">
            <v>249.60479999999995</v>
          </cell>
          <cell r="S55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1" customWidth="1"/>
    <col min="20" max="20" width="7" style="22" customWidth="1"/>
    <col min="21" max="21" width="7" style="21" customWidth="1"/>
    <col min="22" max="23" width="7" style="16" customWidth="1"/>
    <col min="24" max="25" width="5" customWidth="1"/>
    <col min="26" max="35" width="6" customWidth="1"/>
    <col min="36" max="36" width="29.28515625" customWidth="1"/>
    <col min="37" max="38" width="7" customWidth="1"/>
    <col min="39" max="39" width="8" style="24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/>
      <c r="T1" s="17"/>
      <c r="U1" s="1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3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107</v>
      </c>
      <c r="S2" s="17"/>
      <c r="T2" s="17"/>
      <c r="U2" s="17" t="s">
        <v>107</v>
      </c>
      <c r="V2" s="1"/>
      <c r="W2" s="1" t="s">
        <v>107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 t="s">
        <v>107</v>
      </c>
      <c r="AM2" s="23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105</v>
      </c>
      <c r="S3" s="3" t="s">
        <v>112</v>
      </c>
      <c r="T3" s="3" t="s">
        <v>110</v>
      </c>
      <c r="U3" s="3" t="s">
        <v>110</v>
      </c>
      <c r="V3" s="3" t="s">
        <v>108</v>
      </c>
      <c r="W3" s="3" t="s">
        <v>108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23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106</v>
      </c>
      <c r="S4" s="17"/>
      <c r="T4" s="17" t="s">
        <v>111</v>
      </c>
      <c r="U4" s="17" t="s">
        <v>113</v>
      </c>
      <c r="V4" s="1" t="s">
        <v>109</v>
      </c>
      <c r="W4" s="1" t="s">
        <v>106</v>
      </c>
      <c r="X4" s="1"/>
      <c r="Y4" s="1"/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/>
      <c r="AK4" s="1"/>
      <c r="AL4" s="1" t="s">
        <v>106</v>
      </c>
      <c r="AM4" s="23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4843.1559999999999</v>
      </c>
      <c r="F5" s="4">
        <f>SUM(F6:F500)</f>
        <v>7224.3840000000009</v>
      </c>
      <c r="G5" s="7"/>
      <c r="H5" s="1"/>
      <c r="I5" s="1"/>
      <c r="J5" s="1"/>
      <c r="K5" s="4">
        <f t="shared" ref="K5:W5" si="0">SUM(K6:K500)</f>
        <v>8071.6</v>
      </c>
      <c r="L5" s="4">
        <f t="shared" si="0"/>
        <v>-3228.444</v>
      </c>
      <c r="M5" s="4">
        <f t="shared" si="0"/>
        <v>0</v>
      </c>
      <c r="N5" s="4">
        <f t="shared" si="0"/>
        <v>0</v>
      </c>
      <c r="O5" s="4">
        <f t="shared" si="0"/>
        <v>5343</v>
      </c>
      <c r="P5" s="4">
        <f t="shared" si="0"/>
        <v>968.63120000000026</v>
      </c>
      <c r="Q5" s="4">
        <f t="shared" si="0"/>
        <v>4624.5379999999986</v>
      </c>
      <c r="R5" s="4">
        <f t="shared" si="0"/>
        <v>900</v>
      </c>
      <c r="S5" s="18">
        <f t="shared" si="0"/>
        <v>7515.2</v>
      </c>
      <c r="T5" s="18">
        <f t="shared" si="0"/>
        <v>7498</v>
      </c>
      <c r="U5" s="18">
        <f t="shared" si="0"/>
        <v>1900</v>
      </c>
      <c r="V5" s="4">
        <f t="shared" si="0"/>
        <v>6960</v>
      </c>
      <c r="W5" s="4">
        <f t="shared" si="0"/>
        <v>2000</v>
      </c>
      <c r="X5" s="1"/>
      <c r="Y5" s="1"/>
      <c r="Z5" s="4">
        <f t="shared" ref="Z5:AI5" si="1">SUM(Z6:Z500)</f>
        <v>750.47979999999995</v>
      </c>
      <c r="AA5" s="4">
        <f t="shared" si="1"/>
        <v>556.11720000000003</v>
      </c>
      <c r="AB5" s="4">
        <f t="shared" si="1"/>
        <v>481.44800000000009</v>
      </c>
      <c r="AC5" s="4">
        <f t="shared" si="1"/>
        <v>688.80179999999984</v>
      </c>
      <c r="AD5" s="4">
        <f t="shared" si="1"/>
        <v>535.40820000000008</v>
      </c>
      <c r="AE5" s="4">
        <f t="shared" si="1"/>
        <v>495.66180000000008</v>
      </c>
      <c r="AF5" s="4">
        <f t="shared" si="1"/>
        <v>819.01119999999992</v>
      </c>
      <c r="AG5" s="4">
        <f t="shared" si="1"/>
        <v>494.43379999999996</v>
      </c>
      <c r="AH5" s="4">
        <f t="shared" si="1"/>
        <v>551.6876000000002</v>
      </c>
      <c r="AI5" s="4">
        <f t="shared" si="1"/>
        <v>779.63360000000011</v>
      </c>
      <c r="AJ5" s="1"/>
      <c r="AK5" s="4">
        <f>SUM(AK6:AK500)</f>
        <v>3104.12</v>
      </c>
      <c r="AL5" s="4">
        <f>SUM(AL6:AL500)</f>
        <v>342</v>
      </c>
      <c r="AM5" s="23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33</v>
      </c>
      <c r="B6" s="1" t="s">
        <v>34</v>
      </c>
      <c r="C6" s="1">
        <v>22</v>
      </c>
      <c r="D6" s="1">
        <v>2</v>
      </c>
      <c r="E6" s="1">
        <v>3</v>
      </c>
      <c r="F6" s="1">
        <v>19</v>
      </c>
      <c r="G6" s="7">
        <v>5.5E-2</v>
      </c>
      <c r="H6" s="1">
        <v>120</v>
      </c>
      <c r="I6" s="1"/>
      <c r="J6" s="1"/>
      <c r="K6" s="1">
        <v>3</v>
      </c>
      <c r="L6" s="1">
        <f t="shared" ref="L6:L37" si="2">E6-K6</f>
        <v>0</v>
      </c>
      <c r="M6" s="1"/>
      <c r="N6" s="1"/>
      <c r="O6" s="1"/>
      <c r="P6" s="1">
        <f t="shared" ref="P6:P37" si="3">E6/5</f>
        <v>0.6</v>
      </c>
      <c r="Q6" s="5"/>
      <c r="R6" s="5"/>
      <c r="S6" s="19"/>
      <c r="T6" s="19"/>
      <c r="U6" s="19"/>
      <c r="V6" s="1">
        <f>VLOOKUP(A6,[1]Sheet!$A:$S,19,0)</f>
        <v>50</v>
      </c>
      <c r="W6" s="1"/>
      <c r="X6" s="1">
        <f>(F6+O6+S6+U6)/P6</f>
        <v>31.666666666666668</v>
      </c>
      <c r="Y6" s="1">
        <f t="shared" ref="Y6:Y37" si="4">(F6+O6)/P6</f>
        <v>31.666666666666668</v>
      </c>
      <c r="Z6" s="1">
        <v>1.4</v>
      </c>
      <c r="AA6" s="1">
        <v>0</v>
      </c>
      <c r="AB6" s="1">
        <v>0.4</v>
      </c>
      <c r="AC6" s="1">
        <v>1.4</v>
      </c>
      <c r="AD6" s="1">
        <v>0.2</v>
      </c>
      <c r="AE6" s="1">
        <v>0.6</v>
      </c>
      <c r="AF6" s="1">
        <v>0</v>
      </c>
      <c r="AG6" s="1">
        <v>0.4</v>
      </c>
      <c r="AH6" s="1">
        <v>1.2</v>
      </c>
      <c r="AI6" s="1">
        <v>1</v>
      </c>
      <c r="AJ6" s="15" t="s">
        <v>97</v>
      </c>
      <c r="AK6" s="1">
        <f>G6*S6</f>
        <v>0</v>
      </c>
      <c r="AL6" s="1">
        <f>G6*U6</f>
        <v>0</v>
      </c>
      <c r="AM6" s="23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35</v>
      </c>
      <c r="B7" s="1" t="s">
        <v>34</v>
      </c>
      <c r="C7" s="1">
        <v>41</v>
      </c>
      <c r="D7" s="1"/>
      <c r="E7" s="1">
        <v>3</v>
      </c>
      <c r="F7" s="1">
        <v>33</v>
      </c>
      <c r="G7" s="7">
        <v>0.1</v>
      </c>
      <c r="H7" s="1">
        <v>120</v>
      </c>
      <c r="I7" s="1"/>
      <c r="J7" s="1"/>
      <c r="K7" s="1">
        <v>3</v>
      </c>
      <c r="L7" s="1">
        <f t="shared" si="2"/>
        <v>0</v>
      </c>
      <c r="M7" s="1"/>
      <c r="N7" s="1"/>
      <c r="O7" s="1"/>
      <c r="P7" s="1">
        <f t="shared" si="3"/>
        <v>0.6</v>
      </c>
      <c r="Q7" s="5"/>
      <c r="R7" s="5"/>
      <c r="S7" s="19"/>
      <c r="T7" s="19"/>
      <c r="U7" s="19"/>
      <c r="V7" s="1">
        <f>VLOOKUP(A7,[1]Sheet!$A:$S,19,0)</f>
        <v>50</v>
      </c>
      <c r="W7" s="1"/>
      <c r="X7" s="1">
        <f t="shared" ref="X7:X55" si="5">(F7+O7+S7+U7)/P7</f>
        <v>55</v>
      </c>
      <c r="Y7" s="1">
        <f t="shared" si="4"/>
        <v>55</v>
      </c>
      <c r="Z7" s="1">
        <v>1</v>
      </c>
      <c r="AA7" s="1">
        <v>0</v>
      </c>
      <c r="AB7" s="1">
        <v>1</v>
      </c>
      <c r="AC7" s="1">
        <v>1.2</v>
      </c>
      <c r="AD7" s="1">
        <v>1.4</v>
      </c>
      <c r="AE7" s="1">
        <v>0.2</v>
      </c>
      <c r="AF7" s="1">
        <v>0</v>
      </c>
      <c r="AG7" s="1">
        <v>0.4</v>
      </c>
      <c r="AH7" s="1">
        <v>1.6</v>
      </c>
      <c r="AI7" s="1">
        <v>1.2</v>
      </c>
      <c r="AJ7" s="13" t="s">
        <v>36</v>
      </c>
      <c r="AK7" s="1">
        <f t="shared" ref="AK7:AK55" si="6">G7*S7</f>
        <v>0</v>
      </c>
      <c r="AL7" s="1">
        <f t="shared" ref="AL7:AL55" si="7">G7*U7</f>
        <v>0</v>
      </c>
      <c r="AM7" s="23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37</v>
      </c>
      <c r="B8" s="1" t="s">
        <v>34</v>
      </c>
      <c r="C8" s="1">
        <v>31</v>
      </c>
      <c r="D8" s="1">
        <v>4</v>
      </c>
      <c r="E8" s="1">
        <v>3</v>
      </c>
      <c r="F8" s="1">
        <v>28</v>
      </c>
      <c r="G8" s="7">
        <v>0.1</v>
      </c>
      <c r="H8" s="1">
        <v>120</v>
      </c>
      <c r="I8" s="1"/>
      <c r="J8" s="1"/>
      <c r="K8" s="1">
        <v>3</v>
      </c>
      <c r="L8" s="1">
        <f t="shared" si="2"/>
        <v>0</v>
      </c>
      <c r="M8" s="1"/>
      <c r="N8" s="1"/>
      <c r="O8" s="1"/>
      <c r="P8" s="1">
        <f t="shared" si="3"/>
        <v>0.6</v>
      </c>
      <c r="Q8" s="5"/>
      <c r="R8" s="5"/>
      <c r="S8" s="19"/>
      <c r="T8" s="19"/>
      <c r="U8" s="19"/>
      <c r="V8" s="1">
        <f>VLOOKUP(A8,[1]Sheet!$A:$S,19,0)</f>
        <v>50</v>
      </c>
      <c r="W8" s="1"/>
      <c r="X8" s="1">
        <f t="shared" si="5"/>
        <v>46.666666666666671</v>
      </c>
      <c r="Y8" s="1">
        <f t="shared" si="4"/>
        <v>46.666666666666671</v>
      </c>
      <c r="Z8" s="1">
        <v>1.6</v>
      </c>
      <c r="AA8" s="1">
        <v>0</v>
      </c>
      <c r="AB8" s="1">
        <v>1</v>
      </c>
      <c r="AC8" s="1">
        <v>1</v>
      </c>
      <c r="AD8" s="1">
        <v>0</v>
      </c>
      <c r="AE8" s="1">
        <v>0.8</v>
      </c>
      <c r="AF8" s="1">
        <v>0</v>
      </c>
      <c r="AG8" s="1">
        <v>0</v>
      </c>
      <c r="AH8" s="1">
        <v>0.8</v>
      </c>
      <c r="AI8" s="1">
        <v>1.2</v>
      </c>
      <c r="AJ8" s="13" t="s">
        <v>36</v>
      </c>
      <c r="AK8" s="1">
        <f t="shared" si="6"/>
        <v>0</v>
      </c>
      <c r="AL8" s="1">
        <f t="shared" si="7"/>
        <v>0</v>
      </c>
      <c r="AM8" s="23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39</v>
      </c>
      <c r="C9" s="1">
        <v>169.202</v>
      </c>
      <c r="D9" s="1">
        <v>284.12</v>
      </c>
      <c r="E9" s="12">
        <f>217.619+E43</f>
        <v>218.65299999999999</v>
      </c>
      <c r="F9" s="1">
        <v>49.173999999999999</v>
      </c>
      <c r="G9" s="7">
        <v>1</v>
      </c>
      <c r="H9" s="1">
        <v>120</v>
      </c>
      <c r="I9" s="1" t="s">
        <v>40</v>
      </c>
      <c r="J9" s="1"/>
      <c r="K9" s="1">
        <v>222.8</v>
      </c>
      <c r="L9" s="1">
        <f t="shared" si="2"/>
        <v>-4.1470000000000198</v>
      </c>
      <c r="M9" s="1"/>
      <c r="N9" s="1"/>
      <c r="O9" s="1">
        <v>15</v>
      </c>
      <c r="P9" s="1">
        <f t="shared" si="3"/>
        <v>43.730599999999995</v>
      </c>
      <c r="Q9" s="5">
        <f>6*P9-O9-F9</f>
        <v>198.20959999999999</v>
      </c>
      <c r="R9" s="5"/>
      <c r="S9" s="19">
        <f t="shared" ref="S9" si="8">V9</f>
        <v>400</v>
      </c>
      <c r="T9" s="19">
        <f>VLOOKUP(A9,заказ!A:B,2,0)</f>
        <v>400</v>
      </c>
      <c r="U9" s="19"/>
      <c r="V9" s="1">
        <f>VLOOKUP(A9,[1]Sheet!$A:$S,19,0)</f>
        <v>400</v>
      </c>
      <c r="W9" s="1"/>
      <c r="X9" s="1">
        <f t="shared" si="5"/>
        <v>10.614398155982311</v>
      </c>
      <c r="Y9" s="1">
        <f t="shared" si="4"/>
        <v>1.467485010496083</v>
      </c>
      <c r="Z9" s="1">
        <v>16.3568</v>
      </c>
      <c r="AA9" s="1">
        <v>6.4296000000000006</v>
      </c>
      <c r="AB9" s="1">
        <v>6.2531999999999996</v>
      </c>
      <c r="AC9" s="1">
        <v>9.1048000000000009</v>
      </c>
      <c r="AD9" s="1">
        <v>18.5504</v>
      </c>
      <c r="AE9" s="1">
        <v>11.003</v>
      </c>
      <c r="AF9" s="1">
        <v>11.139200000000001</v>
      </c>
      <c r="AG9" s="1">
        <v>9.8320000000000007</v>
      </c>
      <c r="AH9" s="1">
        <v>7.8068</v>
      </c>
      <c r="AI9" s="1">
        <v>12.0304</v>
      </c>
      <c r="AJ9" s="14" t="s">
        <v>101</v>
      </c>
      <c r="AK9" s="1">
        <f t="shared" si="6"/>
        <v>400</v>
      </c>
      <c r="AL9" s="1">
        <f t="shared" si="7"/>
        <v>0</v>
      </c>
      <c r="AM9" s="23">
        <f>P9/Z9</f>
        <v>2.6735425022009194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41</v>
      </c>
      <c r="B10" s="1" t="s">
        <v>39</v>
      </c>
      <c r="C10" s="1"/>
      <c r="D10" s="1">
        <v>276.63600000000002</v>
      </c>
      <c r="E10" s="1"/>
      <c r="F10" s="1">
        <v>133.87799999999999</v>
      </c>
      <c r="G10" s="7">
        <v>1</v>
      </c>
      <c r="H10" s="1">
        <v>180</v>
      </c>
      <c r="I10" s="1" t="s">
        <v>40</v>
      </c>
      <c r="J10" s="1"/>
      <c r="K10" s="1">
        <v>3.2</v>
      </c>
      <c r="L10" s="1">
        <f t="shared" si="2"/>
        <v>-3.2</v>
      </c>
      <c r="M10" s="1"/>
      <c r="N10" s="1"/>
      <c r="O10" s="1"/>
      <c r="P10" s="1">
        <f t="shared" si="3"/>
        <v>0</v>
      </c>
      <c r="Q10" s="5"/>
      <c r="R10" s="5"/>
      <c r="S10" s="19">
        <v>30</v>
      </c>
      <c r="T10" s="19">
        <f>VLOOKUP(A10,заказ!A:B,2,0)</f>
        <v>33</v>
      </c>
      <c r="U10" s="19"/>
      <c r="V10" s="1">
        <f>VLOOKUP(A10,[1]Sheet!$A:$S,19,0)</f>
        <v>50</v>
      </c>
      <c r="W10" s="1"/>
      <c r="X10" s="1" t="e">
        <f t="shared" si="5"/>
        <v>#DIV/0!</v>
      </c>
      <c r="Y10" s="1" t="e">
        <f t="shared" si="4"/>
        <v>#DIV/0!</v>
      </c>
      <c r="Z10" s="1">
        <v>2.9660000000000002</v>
      </c>
      <c r="AA10" s="1">
        <v>8.3856000000000002</v>
      </c>
      <c r="AB10" s="1">
        <v>1.9</v>
      </c>
      <c r="AC10" s="1">
        <v>1.3184</v>
      </c>
      <c r="AD10" s="1">
        <v>3.1696</v>
      </c>
      <c r="AE10" s="1">
        <v>1.2887999999999999</v>
      </c>
      <c r="AF10" s="1">
        <v>0.63559999999999994</v>
      </c>
      <c r="AG10" s="1">
        <v>1.2452000000000001</v>
      </c>
      <c r="AH10" s="1">
        <v>0.61959999999999993</v>
      </c>
      <c r="AI10" s="1">
        <v>2.4516</v>
      </c>
      <c r="AJ10" s="1"/>
      <c r="AK10" s="1">
        <f t="shared" si="6"/>
        <v>30</v>
      </c>
      <c r="AL10" s="1">
        <f t="shared" si="7"/>
        <v>0</v>
      </c>
      <c r="AM10" s="23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42</v>
      </c>
      <c r="B11" s="1" t="s">
        <v>34</v>
      </c>
      <c r="C11" s="1">
        <v>96</v>
      </c>
      <c r="D11" s="1">
        <v>48</v>
      </c>
      <c r="E11" s="1">
        <v>2</v>
      </c>
      <c r="F11" s="1">
        <v>142</v>
      </c>
      <c r="G11" s="7">
        <v>0.82450000000000001</v>
      </c>
      <c r="H11" s="1">
        <v>180</v>
      </c>
      <c r="I11" s="1" t="s">
        <v>40</v>
      </c>
      <c r="J11" s="1"/>
      <c r="K11" s="1">
        <v>2</v>
      </c>
      <c r="L11" s="1">
        <f t="shared" si="2"/>
        <v>0</v>
      </c>
      <c r="M11" s="1"/>
      <c r="N11" s="1"/>
      <c r="O11" s="1"/>
      <c r="P11" s="1">
        <f t="shared" si="3"/>
        <v>0.4</v>
      </c>
      <c r="Q11" s="5"/>
      <c r="R11" s="5"/>
      <c r="S11" s="19">
        <f t="shared" ref="S11:S54" si="9">Q11</f>
        <v>0</v>
      </c>
      <c r="T11" s="19"/>
      <c r="U11" s="19"/>
      <c r="V11" s="1"/>
      <c r="W11" s="1"/>
      <c r="X11" s="1">
        <f t="shared" si="5"/>
        <v>355</v>
      </c>
      <c r="Y11" s="1">
        <f t="shared" si="4"/>
        <v>355</v>
      </c>
      <c r="Z11" s="1">
        <v>0</v>
      </c>
      <c r="AA11" s="1">
        <v>0</v>
      </c>
      <c r="AB11" s="1">
        <v>0</v>
      </c>
      <c r="AC11" s="1">
        <v>0.4</v>
      </c>
      <c r="AD11" s="1">
        <v>0.8</v>
      </c>
      <c r="AE11" s="1">
        <v>0.4</v>
      </c>
      <c r="AF11" s="1">
        <v>0</v>
      </c>
      <c r="AG11" s="1">
        <v>0.2</v>
      </c>
      <c r="AH11" s="1">
        <v>9.6</v>
      </c>
      <c r="AI11" s="1">
        <v>0.4</v>
      </c>
      <c r="AJ11" s="15" t="s">
        <v>98</v>
      </c>
      <c r="AK11" s="1">
        <f t="shared" si="6"/>
        <v>0</v>
      </c>
      <c r="AL11" s="1">
        <f t="shared" si="7"/>
        <v>0</v>
      </c>
      <c r="AM11" s="23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34</v>
      </c>
      <c r="C12" s="1">
        <v>332</v>
      </c>
      <c r="D12" s="1">
        <v>84</v>
      </c>
      <c r="E12" s="1">
        <v>140</v>
      </c>
      <c r="F12" s="1">
        <v>274</v>
      </c>
      <c r="G12" s="7">
        <v>0.372</v>
      </c>
      <c r="H12" s="1">
        <v>180</v>
      </c>
      <c r="I12" s="1" t="s">
        <v>40</v>
      </c>
      <c r="J12" s="1"/>
      <c r="K12" s="1">
        <v>130</v>
      </c>
      <c r="L12" s="1">
        <f t="shared" si="2"/>
        <v>10</v>
      </c>
      <c r="M12" s="1"/>
      <c r="N12" s="1"/>
      <c r="O12" s="1">
        <v>48</v>
      </c>
      <c r="P12" s="1">
        <f t="shared" si="3"/>
        <v>28</v>
      </c>
      <c r="Q12" s="5">
        <f>16*P12-O12-F12</f>
        <v>126</v>
      </c>
      <c r="R12" s="5"/>
      <c r="S12" s="19">
        <f t="shared" ref="S12:S15" si="10">V12</f>
        <v>300</v>
      </c>
      <c r="T12" s="19">
        <f>VLOOKUP(A12,заказ!A:B,2,0)</f>
        <v>300</v>
      </c>
      <c r="U12" s="19"/>
      <c r="V12" s="1">
        <f>VLOOKUP(A12,[1]Sheet!$A:$S,19,0)</f>
        <v>300</v>
      </c>
      <c r="W12" s="1"/>
      <c r="X12" s="1">
        <f t="shared" si="5"/>
        <v>22.214285714285715</v>
      </c>
      <c r="Y12" s="1">
        <f t="shared" si="4"/>
        <v>11.5</v>
      </c>
      <c r="Z12" s="1">
        <v>19</v>
      </c>
      <c r="AA12" s="1">
        <v>17.600000000000001</v>
      </c>
      <c r="AB12" s="1">
        <v>9.8000000000000007</v>
      </c>
      <c r="AC12" s="1">
        <v>18.600000000000001</v>
      </c>
      <c r="AD12" s="1">
        <v>27.4</v>
      </c>
      <c r="AE12" s="1">
        <v>18</v>
      </c>
      <c r="AF12" s="1">
        <v>35.4</v>
      </c>
      <c r="AG12" s="1">
        <v>16.2</v>
      </c>
      <c r="AH12" s="1">
        <v>25.8</v>
      </c>
      <c r="AI12" s="1">
        <v>10</v>
      </c>
      <c r="AJ12" s="1"/>
      <c r="AK12" s="1">
        <f t="shared" si="6"/>
        <v>111.6</v>
      </c>
      <c r="AL12" s="1">
        <f t="shared" si="7"/>
        <v>0</v>
      </c>
      <c r="AM12" s="23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44</v>
      </c>
      <c r="B13" s="1" t="s">
        <v>34</v>
      </c>
      <c r="C13" s="1">
        <v>317</v>
      </c>
      <c r="D13" s="1">
        <v>1</v>
      </c>
      <c r="E13" s="1">
        <v>192</v>
      </c>
      <c r="F13" s="1">
        <v>113</v>
      </c>
      <c r="G13" s="7">
        <v>0.74399999999999999</v>
      </c>
      <c r="H13" s="1">
        <v>180</v>
      </c>
      <c r="I13" s="1" t="s">
        <v>40</v>
      </c>
      <c r="J13" s="1"/>
      <c r="K13" s="1">
        <v>195</v>
      </c>
      <c r="L13" s="1">
        <f t="shared" si="2"/>
        <v>-3</v>
      </c>
      <c r="M13" s="1"/>
      <c r="N13" s="1"/>
      <c r="O13" s="1">
        <v>48</v>
      </c>
      <c r="P13" s="1">
        <f t="shared" si="3"/>
        <v>38.4</v>
      </c>
      <c r="Q13" s="5">
        <f>13*P13-O13-F13</f>
        <v>338.2</v>
      </c>
      <c r="R13" s="5"/>
      <c r="S13" s="19">
        <f t="shared" si="10"/>
        <v>500</v>
      </c>
      <c r="T13" s="19">
        <f>VLOOKUP(A13,заказ!A:B,2,0)</f>
        <v>504</v>
      </c>
      <c r="U13" s="19"/>
      <c r="V13" s="1">
        <f>VLOOKUP(A13,[1]Sheet!$A:$S,19,0)</f>
        <v>500</v>
      </c>
      <c r="W13" s="1"/>
      <c r="X13" s="1">
        <f t="shared" si="5"/>
        <v>17.213541666666668</v>
      </c>
      <c r="Y13" s="1">
        <f t="shared" si="4"/>
        <v>4.1927083333333339</v>
      </c>
      <c r="Z13" s="1">
        <v>-0.8</v>
      </c>
      <c r="AA13" s="1">
        <v>5.2</v>
      </c>
      <c r="AB13" s="1">
        <v>-5.8</v>
      </c>
      <c r="AC13" s="1">
        <v>29.4</v>
      </c>
      <c r="AD13" s="1">
        <v>18.2</v>
      </c>
      <c r="AE13" s="1">
        <v>11.4</v>
      </c>
      <c r="AF13" s="1">
        <v>27.6</v>
      </c>
      <c r="AG13" s="1">
        <v>7.6</v>
      </c>
      <c r="AH13" s="1">
        <v>7.4</v>
      </c>
      <c r="AI13" s="1">
        <v>3.2</v>
      </c>
      <c r="AJ13" s="1"/>
      <c r="AK13" s="1">
        <f t="shared" si="6"/>
        <v>372</v>
      </c>
      <c r="AL13" s="1">
        <f t="shared" si="7"/>
        <v>0</v>
      </c>
      <c r="AM13" s="23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45</v>
      </c>
      <c r="B14" s="1" t="s">
        <v>34</v>
      </c>
      <c r="C14" s="1">
        <v>89</v>
      </c>
      <c r="D14" s="1">
        <v>252</v>
      </c>
      <c r="E14" s="1">
        <v>206</v>
      </c>
      <c r="F14" s="1">
        <v>110</v>
      </c>
      <c r="G14" s="7">
        <v>0.372</v>
      </c>
      <c r="H14" s="1">
        <v>180</v>
      </c>
      <c r="I14" s="1" t="s">
        <v>40</v>
      </c>
      <c r="J14" s="1"/>
      <c r="K14" s="1">
        <v>261</v>
      </c>
      <c r="L14" s="1">
        <f t="shared" si="2"/>
        <v>-55</v>
      </c>
      <c r="M14" s="1"/>
      <c r="N14" s="1"/>
      <c r="O14" s="1">
        <v>48</v>
      </c>
      <c r="P14" s="1">
        <f t="shared" si="3"/>
        <v>41.2</v>
      </c>
      <c r="Q14" s="5">
        <f>16*P14-O14-F14</f>
        <v>501.20000000000005</v>
      </c>
      <c r="R14" s="5"/>
      <c r="S14" s="19">
        <f t="shared" si="10"/>
        <v>600</v>
      </c>
      <c r="T14" s="19">
        <f>VLOOKUP(A14,заказ!A:B,2,0)</f>
        <v>600</v>
      </c>
      <c r="U14" s="19"/>
      <c r="V14" s="1">
        <f>VLOOKUP(A14,[1]Sheet!$A:$S,19,0)</f>
        <v>600</v>
      </c>
      <c r="W14" s="1"/>
      <c r="X14" s="1">
        <f t="shared" si="5"/>
        <v>18.398058252427184</v>
      </c>
      <c r="Y14" s="1">
        <f t="shared" si="4"/>
        <v>3.8349514563106792</v>
      </c>
      <c r="Z14" s="1">
        <v>42.2</v>
      </c>
      <c r="AA14" s="1">
        <v>27.8</v>
      </c>
      <c r="AB14" s="1">
        <v>4.8</v>
      </c>
      <c r="AC14" s="1">
        <v>37.200000000000003</v>
      </c>
      <c r="AD14" s="1">
        <v>22.2</v>
      </c>
      <c r="AE14" s="1">
        <v>25</v>
      </c>
      <c r="AF14" s="1">
        <v>53.2</v>
      </c>
      <c r="AG14" s="1">
        <v>26.4</v>
      </c>
      <c r="AH14" s="1">
        <v>39</v>
      </c>
      <c r="AI14" s="1">
        <v>23</v>
      </c>
      <c r="AJ14" s="1"/>
      <c r="AK14" s="1">
        <f t="shared" si="6"/>
        <v>223.2</v>
      </c>
      <c r="AL14" s="1">
        <f t="shared" si="7"/>
        <v>0</v>
      </c>
      <c r="AM14" s="23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46</v>
      </c>
      <c r="B15" s="1" t="s">
        <v>34</v>
      </c>
      <c r="C15" s="1">
        <v>372</v>
      </c>
      <c r="D15" s="1"/>
      <c r="E15" s="1">
        <v>361</v>
      </c>
      <c r="F15" s="1">
        <v>6</v>
      </c>
      <c r="G15" s="7">
        <v>0.74399999999999999</v>
      </c>
      <c r="H15" s="1">
        <v>180</v>
      </c>
      <c r="I15" s="1" t="s">
        <v>40</v>
      </c>
      <c r="J15" s="1"/>
      <c r="K15" s="1">
        <v>359</v>
      </c>
      <c r="L15" s="1">
        <f t="shared" si="2"/>
        <v>2</v>
      </c>
      <c r="M15" s="1"/>
      <c r="N15" s="1"/>
      <c r="O15" s="1">
        <v>648</v>
      </c>
      <c r="P15" s="1">
        <f t="shared" si="3"/>
        <v>72.2</v>
      </c>
      <c r="Q15" s="5">
        <f>16*P15-O15-F15</f>
        <v>501.20000000000005</v>
      </c>
      <c r="R15" s="5"/>
      <c r="S15" s="19">
        <f t="shared" si="10"/>
        <v>600</v>
      </c>
      <c r="T15" s="19">
        <f>VLOOKUP(A15,заказ!A:B,2,0)</f>
        <v>600</v>
      </c>
      <c r="U15" s="19"/>
      <c r="V15" s="1">
        <f>VLOOKUP(A15,[1]Sheet!$A:$S,19,0)</f>
        <v>600</v>
      </c>
      <c r="W15" s="1"/>
      <c r="X15" s="1">
        <f t="shared" si="5"/>
        <v>17.368421052631579</v>
      </c>
      <c r="Y15" s="1">
        <f t="shared" si="4"/>
        <v>9.0581717451523538</v>
      </c>
      <c r="Z15" s="1">
        <v>57</v>
      </c>
      <c r="AA15" s="1">
        <v>26</v>
      </c>
      <c r="AB15" s="1">
        <v>15.2</v>
      </c>
      <c r="AC15" s="1">
        <v>37.200000000000003</v>
      </c>
      <c r="AD15" s="1">
        <v>50.4</v>
      </c>
      <c r="AE15" s="1">
        <v>33.799999999999997</v>
      </c>
      <c r="AF15" s="1">
        <v>43</v>
      </c>
      <c r="AG15" s="1">
        <v>35.4</v>
      </c>
      <c r="AH15" s="1">
        <v>38.799999999999997</v>
      </c>
      <c r="AI15" s="1">
        <v>30.8</v>
      </c>
      <c r="AJ15" s="1"/>
      <c r="AK15" s="1">
        <f t="shared" si="6"/>
        <v>446.4</v>
      </c>
      <c r="AL15" s="1">
        <f t="shared" si="7"/>
        <v>0</v>
      </c>
      <c r="AM15" s="23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47</v>
      </c>
      <c r="B16" s="1" t="s">
        <v>34</v>
      </c>
      <c r="C16" s="1">
        <v>14</v>
      </c>
      <c r="D16" s="1">
        <v>37</v>
      </c>
      <c r="E16" s="1">
        <v>8</v>
      </c>
      <c r="F16" s="1">
        <v>36</v>
      </c>
      <c r="G16" s="7">
        <v>0.14000000000000001</v>
      </c>
      <c r="H16" s="1">
        <v>180</v>
      </c>
      <c r="I16" s="1"/>
      <c r="J16" s="1"/>
      <c r="K16" s="1">
        <v>9</v>
      </c>
      <c r="L16" s="1">
        <f t="shared" si="2"/>
        <v>-1</v>
      </c>
      <c r="M16" s="1"/>
      <c r="N16" s="1"/>
      <c r="O16" s="1"/>
      <c r="P16" s="1">
        <f t="shared" si="3"/>
        <v>1.6</v>
      </c>
      <c r="Q16" s="5"/>
      <c r="R16" s="5"/>
      <c r="S16" s="19">
        <f t="shared" si="9"/>
        <v>0</v>
      </c>
      <c r="T16" s="19"/>
      <c r="U16" s="19"/>
      <c r="V16" s="1"/>
      <c r="W16" s="1"/>
      <c r="X16" s="1">
        <f t="shared" si="5"/>
        <v>22.5</v>
      </c>
      <c r="Y16" s="1">
        <f t="shared" si="4"/>
        <v>22.5</v>
      </c>
      <c r="Z16" s="1">
        <v>1</v>
      </c>
      <c r="AA16" s="1">
        <v>2.4</v>
      </c>
      <c r="AB16" s="1">
        <v>2</v>
      </c>
      <c r="AC16" s="1">
        <v>2.6</v>
      </c>
      <c r="AD16" s="1">
        <v>0.4</v>
      </c>
      <c r="AE16" s="1">
        <v>3</v>
      </c>
      <c r="AF16" s="1">
        <v>5.8</v>
      </c>
      <c r="AG16" s="1">
        <v>2.8</v>
      </c>
      <c r="AH16" s="1">
        <v>3.6</v>
      </c>
      <c r="AI16" s="1">
        <v>0.8</v>
      </c>
      <c r="AJ16" s="1"/>
      <c r="AK16" s="1">
        <f t="shared" si="6"/>
        <v>0</v>
      </c>
      <c r="AL16" s="1">
        <f t="shared" si="7"/>
        <v>0</v>
      </c>
      <c r="AM16" s="23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48</v>
      </c>
      <c r="B17" s="1" t="s">
        <v>34</v>
      </c>
      <c r="C17" s="1">
        <v>77</v>
      </c>
      <c r="D17" s="1">
        <v>71</v>
      </c>
      <c r="E17" s="1">
        <v>68</v>
      </c>
      <c r="F17" s="1">
        <v>50</v>
      </c>
      <c r="G17" s="7">
        <v>0.18</v>
      </c>
      <c r="H17" s="1">
        <v>270</v>
      </c>
      <c r="I17" s="1" t="s">
        <v>40</v>
      </c>
      <c r="J17" s="1"/>
      <c r="K17" s="1">
        <v>62</v>
      </c>
      <c r="L17" s="1">
        <f t="shared" si="2"/>
        <v>6</v>
      </c>
      <c r="M17" s="1"/>
      <c r="N17" s="1"/>
      <c r="O17" s="1">
        <v>96</v>
      </c>
      <c r="P17" s="1">
        <f t="shared" si="3"/>
        <v>13.6</v>
      </c>
      <c r="Q17" s="5">
        <f>16*P17-O17-F17</f>
        <v>71.599999999999994</v>
      </c>
      <c r="R17" s="5"/>
      <c r="S17" s="19">
        <f>V17</f>
        <v>200</v>
      </c>
      <c r="T17" s="19">
        <f>VLOOKUP(A17,заказ!A:B,2,0)</f>
        <v>192</v>
      </c>
      <c r="U17" s="19"/>
      <c r="V17" s="1">
        <f>VLOOKUP(A17,[1]Sheet!$A:$S,19,0)</f>
        <v>200</v>
      </c>
      <c r="W17" s="1"/>
      <c r="X17" s="1">
        <f t="shared" si="5"/>
        <v>25.441176470588236</v>
      </c>
      <c r="Y17" s="1">
        <f t="shared" si="4"/>
        <v>10.73529411764706</v>
      </c>
      <c r="Z17" s="1">
        <v>13.2</v>
      </c>
      <c r="AA17" s="1">
        <v>8</v>
      </c>
      <c r="AB17" s="1">
        <v>3.6</v>
      </c>
      <c r="AC17" s="1">
        <v>10</v>
      </c>
      <c r="AD17" s="1">
        <v>4.5999999999999996</v>
      </c>
      <c r="AE17" s="1">
        <v>0.4</v>
      </c>
      <c r="AF17" s="1">
        <v>14.8</v>
      </c>
      <c r="AG17" s="1">
        <v>1</v>
      </c>
      <c r="AH17" s="1">
        <v>3.2</v>
      </c>
      <c r="AI17" s="1">
        <v>11</v>
      </c>
      <c r="AJ17" s="1"/>
      <c r="AK17" s="1">
        <f t="shared" si="6"/>
        <v>36</v>
      </c>
      <c r="AL17" s="1">
        <f t="shared" si="7"/>
        <v>0</v>
      </c>
      <c r="AM17" s="23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49</v>
      </c>
      <c r="B18" s="1" t="s">
        <v>34</v>
      </c>
      <c r="C18" s="1">
        <v>105</v>
      </c>
      <c r="D18" s="1">
        <v>142</v>
      </c>
      <c r="E18" s="1">
        <v>57</v>
      </c>
      <c r="F18" s="1">
        <v>130</v>
      </c>
      <c r="G18" s="7">
        <v>0.18</v>
      </c>
      <c r="H18" s="1">
        <v>270</v>
      </c>
      <c r="I18" s="1" t="s">
        <v>40</v>
      </c>
      <c r="J18" s="1"/>
      <c r="K18" s="1">
        <v>52</v>
      </c>
      <c r="L18" s="1">
        <f t="shared" si="2"/>
        <v>5</v>
      </c>
      <c r="M18" s="1"/>
      <c r="N18" s="1"/>
      <c r="O18" s="1">
        <v>96</v>
      </c>
      <c r="P18" s="1">
        <f t="shared" si="3"/>
        <v>11.4</v>
      </c>
      <c r="Q18" s="5"/>
      <c r="R18" s="5"/>
      <c r="S18" s="19">
        <f t="shared" si="9"/>
        <v>0</v>
      </c>
      <c r="T18" s="19"/>
      <c r="U18" s="19"/>
      <c r="V18" s="1"/>
      <c r="W18" s="1"/>
      <c r="X18" s="1">
        <f t="shared" si="5"/>
        <v>19.82456140350877</v>
      </c>
      <c r="Y18" s="1">
        <f t="shared" si="4"/>
        <v>19.82456140350877</v>
      </c>
      <c r="Z18" s="1">
        <v>13.2</v>
      </c>
      <c r="AA18" s="1">
        <v>12.8</v>
      </c>
      <c r="AB18" s="1">
        <v>5.8</v>
      </c>
      <c r="AC18" s="1">
        <v>14</v>
      </c>
      <c r="AD18" s="1">
        <v>12.2</v>
      </c>
      <c r="AE18" s="1">
        <v>3.4</v>
      </c>
      <c r="AF18" s="1">
        <v>12.4</v>
      </c>
      <c r="AG18" s="1">
        <v>12.2</v>
      </c>
      <c r="AH18" s="1">
        <v>8</v>
      </c>
      <c r="AI18" s="1">
        <v>9.6</v>
      </c>
      <c r="AJ18" s="1"/>
      <c r="AK18" s="1">
        <f t="shared" si="6"/>
        <v>0</v>
      </c>
      <c r="AL18" s="1">
        <f t="shared" si="7"/>
        <v>0</v>
      </c>
      <c r="AM18" s="23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50</v>
      </c>
      <c r="B19" s="1" t="s">
        <v>34</v>
      </c>
      <c r="C19" s="1">
        <v>2</v>
      </c>
      <c r="D19" s="1">
        <v>48</v>
      </c>
      <c r="E19" s="1">
        <v>1</v>
      </c>
      <c r="F19" s="1">
        <v>36</v>
      </c>
      <c r="G19" s="7">
        <v>0.1</v>
      </c>
      <c r="H19" s="1">
        <v>60</v>
      </c>
      <c r="I19" s="1"/>
      <c r="J19" s="1"/>
      <c r="K19" s="1">
        <v>5</v>
      </c>
      <c r="L19" s="1">
        <f t="shared" si="2"/>
        <v>-4</v>
      </c>
      <c r="M19" s="1"/>
      <c r="N19" s="1"/>
      <c r="O19" s="1">
        <v>8</v>
      </c>
      <c r="P19" s="1">
        <f t="shared" si="3"/>
        <v>0.2</v>
      </c>
      <c r="Q19" s="5"/>
      <c r="R19" s="5"/>
      <c r="S19" s="19">
        <f t="shared" si="9"/>
        <v>0</v>
      </c>
      <c r="T19" s="19"/>
      <c r="U19" s="19"/>
      <c r="V19" s="1"/>
      <c r="W19" s="1"/>
      <c r="X19" s="1">
        <f t="shared" si="5"/>
        <v>220</v>
      </c>
      <c r="Y19" s="1">
        <f t="shared" si="4"/>
        <v>220</v>
      </c>
      <c r="Z19" s="1">
        <v>2.8</v>
      </c>
      <c r="AA19" s="1">
        <v>-0.2</v>
      </c>
      <c r="AB19" s="1">
        <v>0.4</v>
      </c>
      <c r="AC19" s="1">
        <v>3.8</v>
      </c>
      <c r="AD19" s="1">
        <v>-0.4</v>
      </c>
      <c r="AE19" s="1">
        <v>1.8</v>
      </c>
      <c r="AF19" s="1">
        <v>2</v>
      </c>
      <c r="AG19" s="1">
        <v>2.4</v>
      </c>
      <c r="AH19" s="1">
        <v>4</v>
      </c>
      <c r="AI19" s="1">
        <v>2.6</v>
      </c>
      <c r="AJ19" s="1" t="s">
        <v>51</v>
      </c>
      <c r="AK19" s="1">
        <f t="shared" si="6"/>
        <v>0</v>
      </c>
      <c r="AL19" s="1">
        <f t="shared" si="7"/>
        <v>0</v>
      </c>
      <c r="AM19" s="23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52</v>
      </c>
      <c r="B20" s="1" t="s">
        <v>34</v>
      </c>
      <c r="C20" s="1">
        <v>800</v>
      </c>
      <c r="D20" s="1">
        <v>3773</v>
      </c>
      <c r="E20" s="1">
        <v>608</v>
      </c>
      <c r="F20" s="1">
        <v>1347</v>
      </c>
      <c r="G20" s="7">
        <v>0.18</v>
      </c>
      <c r="H20" s="1">
        <v>180</v>
      </c>
      <c r="I20" s="1" t="s">
        <v>40</v>
      </c>
      <c r="J20" s="1"/>
      <c r="K20" s="1">
        <v>609</v>
      </c>
      <c r="L20" s="1">
        <f t="shared" si="2"/>
        <v>-1</v>
      </c>
      <c r="M20" s="1"/>
      <c r="N20" s="1"/>
      <c r="O20" s="1">
        <v>700</v>
      </c>
      <c r="P20" s="1">
        <f t="shared" si="3"/>
        <v>121.6</v>
      </c>
      <c r="Q20" s="5">
        <f>17*P20-O20-F20</f>
        <v>20.199999999999818</v>
      </c>
      <c r="R20" s="5">
        <v>600</v>
      </c>
      <c r="S20" s="19">
        <v>100</v>
      </c>
      <c r="T20" s="19">
        <f>VLOOKUP(A20,заказ!A:B,2,0)</f>
        <v>100</v>
      </c>
      <c r="U20" s="19">
        <v>900</v>
      </c>
      <c r="V20" s="1"/>
      <c r="W20" s="1">
        <v>1000</v>
      </c>
      <c r="X20" s="1">
        <f t="shared" si="5"/>
        <v>25.057565789473685</v>
      </c>
      <c r="Y20" s="1">
        <f t="shared" si="4"/>
        <v>16.83388157894737</v>
      </c>
      <c r="Z20" s="1">
        <v>101.4</v>
      </c>
      <c r="AA20" s="1">
        <v>87.6</v>
      </c>
      <c r="AB20" s="1">
        <v>117</v>
      </c>
      <c r="AC20" s="1">
        <v>117.2</v>
      </c>
      <c r="AD20" s="1">
        <v>40</v>
      </c>
      <c r="AE20" s="1">
        <v>85.8</v>
      </c>
      <c r="AF20" s="1">
        <v>89.8</v>
      </c>
      <c r="AG20" s="1">
        <v>60.2</v>
      </c>
      <c r="AH20" s="1">
        <v>74.599999999999994</v>
      </c>
      <c r="AI20" s="1">
        <v>55.2</v>
      </c>
      <c r="AJ20" s="1"/>
      <c r="AK20" s="1">
        <f t="shared" si="6"/>
        <v>18</v>
      </c>
      <c r="AL20" s="1">
        <f t="shared" si="7"/>
        <v>162</v>
      </c>
      <c r="AM20" s="23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53</v>
      </c>
      <c r="B21" s="1" t="s">
        <v>34</v>
      </c>
      <c r="C21" s="1">
        <v>507</v>
      </c>
      <c r="D21" s="1">
        <v>2701</v>
      </c>
      <c r="E21" s="1">
        <v>674</v>
      </c>
      <c r="F21" s="1">
        <v>1017</v>
      </c>
      <c r="G21" s="7">
        <v>0.18</v>
      </c>
      <c r="H21" s="1">
        <v>180</v>
      </c>
      <c r="I21" s="1" t="s">
        <v>40</v>
      </c>
      <c r="J21" s="1"/>
      <c r="K21" s="1">
        <v>3482</v>
      </c>
      <c r="L21" s="1">
        <f t="shared" si="2"/>
        <v>-2808</v>
      </c>
      <c r="M21" s="1"/>
      <c r="N21" s="1"/>
      <c r="O21" s="1">
        <v>700</v>
      </c>
      <c r="P21" s="1">
        <f t="shared" si="3"/>
        <v>134.80000000000001</v>
      </c>
      <c r="Q21" s="5">
        <f>20*P21-O21-F21</f>
        <v>979</v>
      </c>
      <c r="R21" s="5">
        <v>300</v>
      </c>
      <c r="S21" s="19">
        <v>980</v>
      </c>
      <c r="T21" s="19">
        <f>VLOOKUP(A21,заказ!A:B,2,0)</f>
        <v>980</v>
      </c>
      <c r="U21" s="19">
        <f>W21</f>
        <v>1000</v>
      </c>
      <c r="V21" s="1"/>
      <c r="W21" s="1">
        <v>1000</v>
      </c>
      <c r="X21" s="1">
        <f t="shared" si="5"/>
        <v>27.425816023738872</v>
      </c>
      <c r="Y21" s="1">
        <f t="shared" si="4"/>
        <v>12.737388724035608</v>
      </c>
      <c r="Z21" s="1">
        <v>129.4</v>
      </c>
      <c r="AA21" s="1">
        <v>104.8</v>
      </c>
      <c r="AB21" s="1">
        <v>50.2</v>
      </c>
      <c r="AC21" s="1">
        <v>84.2</v>
      </c>
      <c r="AD21" s="1">
        <v>38.4</v>
      </c>
      <c r="AE21" s="1">
        <v>42</v>
      </c>
      <c r="AF21" s="1">
        <v>110</v>
      </c>
      <c r="AG21" s="1">
        <v>7.4</v>
      </c>
      <c r="AH21" s="1">
        <v>1.6</v>
      </c>
      <c r="AI21" s="1">
        <v>330.4</v>
      </c>
      <c r="AJ21" s="1" t="s">
        <v>104</v>
      </c>
      <c r="AK21" s="1">
        <f t="shared" si="6"/>
        <v>176.4</v>
      </c>
      <c r="AL21" s="1">
        <f t="shared" si="7"/>
        <v>180</v>
      </c>
      <c r="AM21" s="23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54</v>
      </c>
      <c r="B22" s="1" t="s">
        <v>34</v>
      </c>
      <c r="C22" s="1">
        <v>9</v>
      </c>
      <c r="D22" s="1">
        <v>14</v>
      </c>
      <c r="E22" s="1">
        <v>3</v>
      </c>
      <c r="F22" s="1">
        <v>14</v>
      </c>
      <c r="G22" s="7">
        <v>0.4</v>
      </c>
      <c r="H22" s="1">
        <v>270</v>
      </c>
      <c r="I22" s="1" t="s">
        <v>40</v>
      </c>
      <c r="J22" s="1"/>
      <c r="K22" s="1">
        <v>3</v>
      </c>
      <c r="L22" s="1">
        <f t="shared" si="2"/>
        <v>0</v>
      </c>
      <c r="M22" s="1"/>
      <c r="N22" s="1"/>
      <c r="O22" s="1">
        <v>8</v>
      </c>
      <c r="P22" s="1">
        <f t="shared" si="3"/>
        <v>0.6</v>
      </c>
      <c r="Q22" s="5"/>
      <c r="R22" s="5"/>
      <c r="S22" s="19">
        <v>10</v>
      </c>
      <c r="T22" s="19">
        <f>VLOOKUP(A22,заказ!A:B,2,0)</f>
        <v>8</v>
      </c>
      <c r="U22" s="19"/>
      <c r="V22" s="1">
        <f>VLOOKUP(A22,[1]Sheet!$A:$S,19,0)</f>
        <v>50</v>
      </c>
      <c r="W22" s="1"/>
      <c r="X22" s="1">
        <f t="shared" si="5"/>
        <v>53.333333333333336</v>
      </c>
      <c r="Y22" s="1">
        <f t="shared" si="4"/>
        <v>36.666666666666671</v>
      </c>
      <c r="Z22" s="1">
        <v>1.4</v>
      </c>
      <c r="AA22" s="1">
        <v>0.4</v>
      </c>
      <c r="AB22" s="1">
        <v>1</v>
      </c>
      <c r="AC22" s="1">
        <v>1.4</v>
      </c>
      <c r="AD22" s="1">
        <v>0.2</v>
      </c>
      <c r="AE22" s="1">
        <v>1.2</v>
      </c>
      <c r="AF22" s="1">
        <v>1.2</v>
      </c>
      <c r="AG22" s="1">
        <v>1</v>
      </c>
      <c r="AH22" s="1">
        <v>-0.2</v>
      </c>
      <c r="AI22" s="1">
        <v>1.2</v>
      </c>
      <c r="AJ22" s="1"/>
      <c r="AK22" s="1">
        <f t="shared" si="6"/>
        <v>4</v>
      </c>
      <c r="AL22" s="1">
        <f t="shared" si="7"/>
        <v>0</v>
      </c>
      <c r="AM22" s="23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55</v>
      </c>
      <c r="B23" s="1" t="s">
        <v>34</v>
      </c>
      <c r="C23" s="1">
        <v>73</v>
      </c>
      <c r="D23" s="1"/>
      <c r="E23" s="1">
        <v>1</v>
      </c>
      <c r="F23" s="1">
        <v>72</v>
      </c>
      <c r="G23" s="7">
        <v>0.4</v>
      </c>
      <c r="H23" s="1">
        <v>270</v>
      </c>
      <c r="I23" s="1" t="s">
        <v>40</v>
      </c>
      <c r="J23" s="1"/>
      <c r="K23" s="1">
        <v>1</v>
      </c>
      <c r="L23" s="1">
        <f t="shared" si="2"/>
        <v>0</v>
      </c>
      <c r="M23" s="1"/>
      <c r="N23" s="1"/>
      <c r="O23" s="1"/>
      <c r="P23" s="1">
        <f t="shared" si="3"/>
        <v>0.2</v>
      </c>
      <c r="Q23" s="5"/>
      <c r="R23" s="5"/>
      <c r="S23" s="19"/>
      <c r="T23" s="19"/>
      <c r="U23" s="19"/>
      <c r="V23" s="1">
        <f>VLOOKUP(A23,[1]Sheet!$A:$S,19,0)</f>
        <v>50</v>
      </c>
      <c r="W23" s="1"/>
      <c r="X23" s="1">
        <f t="shared" si="5"/>
        <v>360</v>
      </c>
      <c r="Y23" s="1">
        <f t="shared" si="4"/>
        <v>360</v>
      </c>
      <c r="Z23" s="1">
        <v>1</v>
      </c>
      <c r="AA23" s="1">
        <v>0.6</v>
      </c>
      <c r="AB23" s="1">
        <v>0.2</v>
      </c>
      <c r="AC23" s="1">
        <v>0</v>
      </c>
      <c r="AD23" s="1">
        <v>0.4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3" t="s">
        <v>36</v>
      </c>
      <c r="AK23" s="1">
        <f t="shared" si="6"/>
        <v>0</v>
      </c>
      <c r="AL23" s="1">
        <f t="shared" si="7"/>
        <v>0</v>
      </c>
      <c r="AM23" s="23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56</v>
      </c>
      <c r="B24" s="1" t="s">
        <v>34</v>
      </c>
      <c r="C24" s="1">
        <v>88</v>
      </c>
      <c r="D24" s="1">
        <v>32</v>
      </c>
      <c r="E24" s="1">
        <v>3</v>
      </c>
      <c r="F24" s="1">
        <v>100</v>
      </c>
      <c r="G24" s="7">
        <v>0.18</v>
      </c>
      <c r="H24" s="1">
        <v>270</v>
      </c>
      <c r="I24" s="1" t="s">
        <v>40</v>
      </c>
      <c r="J24" s="1"/>
      <c r="K24" s="1">
        <v>3</v>
      </c>
      <c r="L24" s="1">
        <f t="shared" si="2"/>
        <v>0</v>
      </c>
      <c r="M24" s="1"/>
      <c r="N24" s="1"/>
      <c r="O24" s="1"/>
      <c r="P24" s="1">
        <f t="shared" si="3"/>
        <v>0.6</v>
      </c>
      <c r="Q24" s="5"/>
      <c r="R24" s="5"/>
      <c r="S24" s="19">
        <f t="shared" si="9"/>
        <v>0</v>
      </c>
      <c r="T24" s="19"/>
      <c r="U24" s="19"/>
      <c r="V24" s="1"/>
      <c r="W24" s="1"/>
      <c r="X24" s="1">
        <f t="shared" si="5"/>
        <v>166.66666666666669</v>
      </c>
      <c r="Y24" s="1">
        <f t="shared" si="4"/>
        <v>166.66666666666669</v>
      </c>
      <c r="Z24" s="1">
        <v>3.4</v>
      </c>
      <c r="AA24" s="1">
        <v>5</v>
      </c>
      <c r="AB24" s="1">
        <v>0.4</v>
      </c>
      <c r="AC24" s="1">
        <v>0.6</v>
      </c>
      <c r="AD24" s="1">
        <v>1.8</v>
      </c>
      <c r="AE24" s="1">
        <v>0.4</v>
      </c>
      <c r="AF24" s="1">
        <v>3.2</v>
      </c>
      <c r="AG24" s="1">
        <v>0.2</v>
      </c>
      <c r="AH24" s="1">
        <v>19.600000000000001</v>
      </c>
      <c r="AI24" s="1">
        <v>1.4</v>
      </c>
      <c r="AJ24" s="13" t="s">
        <v>36</v>
      </c>
      <c r="AK24" s="1">
        <f t="shared" si="6"/>
        <v>0</v>
      </c>
      <c r="AL24" s="1">
        <f t="shared" si="7"/>
        <v>0</v>
      </c>
      <c r="AM24" s="23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57</v>
      </c>
      <c r="B25" s="1" t="s">
        <v>34</v>
      </c>
      <c r="C25" s="1"/>
      <c r="D25" s="1">
        <v>48</v>
      </c>
      <c r="E25" s="1">
        <v>7</v>
      </c>
      <c r="F25" s="1">
        <v>37</v>
      </c>
      <c r="G25" s="7">
        <v>0.2</v>
      </c>
      <c r="H25" s="1">
        <v>120</v>
      </c>
      <c r="I25" s="1"/>
      <c r="J25" s="1"/>
      <c r="K25" s="1">
        <v>7</v>
      </c>
      <c r="L25" s="1">
        <f t="shared" si="2"/>
        <v>0</v>
      </c>
      <c r="M25" s="1"/>
      <c r="N25" s="1"/>
      <c r="O25" s="1"/>
      <c r="P25" s="1">
        <f t="shared" si="3"/>
        <v>1.4</v>
      </c>
      <c r="Q25" s="5"/>
      <c r="R25" s="5"/>
      <c r="S25" s="19">
        <v>40</v>
      </c>
      <c r="T25" s="19">
        <f>VLOOKUP(A25,заказ!A:B,2,0)</f>
        <v>36</v>
      </c>
      <c r="U25" s="19"/>
      <c r="V25" s="1">
        <f>VLOOKUP(A25,[1]Sheet!$A:$S,19,0)</f>
        <v>70</v>
      </c>
      <c r="W25" s="1"/>
      <c r="X25" s="1">
        <f t="shared" si="5"/>
        <v>55</v>
      </c>
      <c r="Y25" s="1">
        <f t="shared" si="4"/>
        <v>26.428571428571431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 t="s">
        <v>58</v>
      </c>
      <c r="AK25" s="1">
        <f t="shared" si="6"/>
        <v>8</v>
      </c>
      <c r="AL25" s="1">
        <f t="shared" si="7"/>
        <v>0</v>
      </c>
      <c r="AM25" s="23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9" t="s">
        <v>59</v>
      </c>
      <c r="B26" s="9" t="s">
        <v>39</v>
      </c>
      <c r="C26" s="9"/>
      <c r="D26" s="9"/>
      <c r="E26" s="9"/>
      <c r="F26" s="9"/>
      <c r="G26" s="10">
        <v>0</v>
      </c>
      <c r="H26" s="9">
        <v>180</v>
      </c>
      <c r="I26" s="9" t="s">
        <v>60</v>
      </c>
      <c r="J26" s="9"/>
      <c r="K26" s="9"/>
      <c r="L26" s="9">
        <f t="shared" si="2"/>
        <v>0</v>
      </c>
      <c r="M26" s="9"/>
      <c r="N26" s="9"/>
      <c r="O26" s="9"/>
      <c r="P26" s="9">
        <f t="shared" si="3"/>
        <v>0</v>
      </c>
      <c r="Q26" s="11"/>
      <c r="R26" s="11"/>
      <c r="S26" s="19">
        <f t="shared" si="9"/>
        <v>0</v>
      </c>
      <c r="T26" s="19"/>
      <c r="U26" s="20"/>
      <c r="V26" s="1"/>
      <c r="W26" s="9"/>
      <c r="X26" s="1" t="e">
        <f t="shared" si="5"/>
        <v>#DIV/0!</v>
      </c>
      <c r="Y26" s="9" t="e">
        <f t="shared" si="4"/>
        <v>#DIV/0!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-0.36159999999999998</v>
      </c>
      <c r="AG26" s="9">
        <v>0</v>
      </c>
      <c r="AH26" s="9">
        <v>0</v>
      </c>
      <c r="AI26" s="9">
        <v>0</v>
      </c>
      <c r="AJ26" s="9" t="s">
        <v>61</v>
      </c>
      <c r="AK26" s="1">
        <f t="shared" si="6"/>
        <v>0</v>
      </c>
      <c r="AL26" s="1">
        <f t="shared" si="7"/>
        <v>0</v>
      </c>
      <c r="AM26" s="23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39</v>
      </c>
      <c r="C27" s="1">
        <v>48.97</v>
      </c>
      <c r="D27" s="1">
        <v>2.0499999999999998</v>
      </c>
      <c r="E27" s="1">
        <v>9.9649999999999999</v>
      </c>
      <c r="F27" s="1">
        <v>31</v>
      </c>
      <c r="G27" s="7">
        <v>1</v>
      </c>
      <c r="H27" s="1">
        <v>180</v>
      </c>
      <c r="I27" s="1" t="s">
        <v>40</v>
      </c>
      <c r="J27" s="1"/>
      <c r="K27" s="1">
        <v>20.5</v>
      </c>
      <c r="L27" s="1">
        <f t="shared" si="2"/>
        <v>-10.535</v>
      </c>
      <c r="M27" s="1"/>
      <c r="N27" s="1"/>
      <c r="O27" s="1"/>
      <c r="P27" s="1">
        <f t="shared" si="3"/>
        <v>1.9929999999999999</v>
      </c>
      <c r="Q27" s="5"/>
      <c r="R27" s="5"/>
      <c r="S27" s="19">
        <f t="shared" si="9"/>
        <v>0</v>
      </c>
      <c r="T27" s="19"/>
      <c r="U27" s="19"/>
      <c r="V27" s="1"/>
      <c r="W27" s="1"/>
      <c r="X27" s="1">
        <f t="shared" si="5"/>
        <v>15.554440541896639</v>
      </c>
      <c r="Y27" s="1">
        <f t="shared" si="4"/>
        <v>15.554440541896639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4" t="s">
        <v>100</v>
      </c>
      <c r="AK27" s="1">
        <f t="shared" si="6"/>
        <v>0</v>
      </c>
      <c r="AL27" s="1">
        <f t="shared" si="7"/>
        <v>0</v>
      </c>
      <c r="AM27" s="23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34</v>
      </c>
      <c r="C28" s="1">
        <v>36</v>
      </c>
      <c r="D28" s="1">
        <v>107</v>
      </c>
      <c r="E28" s="1">
        <v>66</v>
      </c>
      <c r="F28" s="1">
        <v>55</v>
      </c>
      <c r="G28" s="7">
        <v>0.18</v>
      </c>
      <c r="H28" s="1">
        <v>150</v>
      </c>
      <c r="I28" s="1" t="s">
        <v>40</v>
      </c>
      <c r="J28" s="1"/>
      <c r="K28" s="1">
        <v>91</v>
      </c>
      <c r="L28" s="1">
        <f t="shared" si="2"/>
        <v>-25</v>
      </c>
      <c r="M28" s="1"/>
      <c r="N28" s="1"/>
      <c r="O28" s="1">
        <v>48</v>
      </c>
      <c r="P28" s="1">
        <f t="shared" si="3"/>
        <v>13.2</v>
      </c>
      <c r="Q28" s="5">
        <f>16*P28-O28-F28</f>
        <v>108.19999999999999</v>
      </c>
      <c r="R28" s="5"/>
      <c r="S28" s="19">
        <f>V28</f>
        <v>200</v>
      </c>
      <c r="T28" s="19">
        <f>VLOOKUP(A28,заказ!A:B,2,0)</f>
        <v>198</v>
      </c>
      <c r="U28" s="19"/>
      <c r="V28" s="1">
        <f>VLOOKUP(A28,[1]Sheet!$A:$S,19,0)</f>
        <v>200</v>
      </c>
      <c r="W28" s="1"/>
      <c r="X28" s="1">
        <f t="shared" si="5"/>
        <v>22.954545454545457</v>
      </c>
      <c r="Y28" s="1">
        <f t="shared" si="4"/>
        <v>7.8030303030303036</v>
      </c>
      <c r="Z28" s="1">
        <v>8.1999999999999993</v>
      </c>
      <c r="AA28" s="1">
        <v>0</v>
      </c>
      <c r="AB28" s="1">
        <v>0</v>
      </c>
      <c r="AC28" s="1">
        <v>0</v>
      </c>
      <c r="AD28" s="1">
        <v>-0.4</v>
      </c>
      <c r="AE28" s="1">
        <v>-0.8</v>
      </c>
      <c r="AF28" s="1">
        <v>0</v>
      </c>
      <c r="AG28" s="1">
        <v>0</v>
      </c>
      <c r="AH28" s="1">
        <v>2.8</v>
      </c>
      <c r="AI28" s="1">
        <v>4.8</v>
      </c>
      <c r="AJ28" s="1" t="s">
        <v>64</v>
      </c>
      <c r="AK28" s="1">
        <f t="shared" si="6"/>
        <v>36</v>
      </c>
      <c r="AL28" s="1">
        <f t="shared" si="7"/>
        <v>0</v>
      </c>
      <c r="AM28" s="23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34</v>
      </c>
      <c r="C29" s="1">
        <v>10</v>
      </c>
      <c r="D29" s="1">
        <v>133</v>
      </c>
      <c r="E29" s="1">
        <v>10</v>
      </c>
      <c r="F29" s="1">
        <v>100</v>
      </c>
      <c r="G29" s="7">
        <v>0.1</v>
      </c>
      <c r="H29" s="1">
        <v>90</v>
      </c>
      <c r="I29" s="1"/>
      <c r="J29" s="1"/>
      <c r="K29" s="1">
        <v>22</v>
      </c>
      <c r="L29" s="1">
        <f t="shared" si="2"/>
        <v>-12</v>
      </c>
      <c r="M29" s="1"/>
      <c r="N29" s="1"/>
      <c r="O29" s="1">
        <v>48</v>
      </c>
      <c r="P29" s="1">
        <f t="shared" si="3"/>
        <v>2</v>
      </c>
      <c r="Q29" s="5"/>
      <c r="R29" s="5"/>
      <c r="S29" s="19">
        <f t="shared" si="9"/>
        <v>0</v>
      </c>
      <c r="T29" s="19"/>
      <c r="U29" s="19"/>
      <c r="V29" s="1"/>
      <c r="W29" s="1"/>
      <c r="X29" s="1">
        <f t="shared" si="5"/>
        <v>74</v>
      </c>
      <c r="Y29" s="1">
        <f t="shared" si="4"/>
        <v>74</v>
      </c>
      <c r="Z29" s="1">
        <v>7.2</v>
      </c>
      <c r="AA29" s="1">
        <v>9</v>
      </c>
      <c r="AB29" s="1">
        <v>9</v>
      </c>
      <c r="AC29" s="1">
        <v>7.8</v>
      </c>
      <c r="AD29" s="1">
        <v>7.2</v>
      </c>
      <c r="AE29" s="1">
        <v>21.4</v>
      </c>
      <c r="AF29" s="1">
        <v>16.2</v>
      </c>
      <c r="AG29" s="1">
        <v>9</v>
      </c>
      <c r="AH29" s="1">
        <v>9.1999999999999993</v>
      </c>
      <c r="AI29" s="1">
        <v>12.4</v>
      </c>
      <c r="AJ29" s="1"/>
      <c r="AK29" s="1">
        <f t="shared" si="6"/>
        <v>0</v>
      </c>
      <c r="AL29" s="1">
        <f t="shared" si="7"/>
        <v>0</v>
      </c>
      <c r="AM29" s="23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34</v>
      </c>
      <c r="C30" s="1">
        <v>208</v>
      </c>
      <c r="D30" s="1">
        <v>136</v>
      </c>
      <c r="E30" s="1">
        <v>151</v>
      </c>
      <c r="F30" s="1">
        <v>120</v>
      </c>
      <c r="G30" s="7">
        <v>0.1</v>
      </c>
      <c r="H30" s="1">
        <v>60</v>
      </c>
      <c r="I30" s="1"/>
      <c r="J30" s="1"/>
      <c r="K30" s="1">
        <v>157</v>
      </c>
      <c r="L30" s="1">
        <f t="shared" si="2"/>
        <v>-6</v>
      </c>
      <c r="M30" s="1"/>
      <c r="N30" s="1"/>
      <c r="O30" s="1">
        <v>48</v>
      </c>
      <c r="P30" s="1">
        <f t="shared" si="3"/>
        <v>30.2</v>
      </c>
      <c r="Q30" s="5">
        <f>16*P30-O30-F30</f>
        <v>315.2</v>
      </c>
      <c r="R30" s="5"/>
      <c r="S30" s="19">
        <f t="shared" ref="S30:S37" si="11">V30</f>
        <v>500</v>
      </c>
      <c r="T30" s="19">
        <f>VLOOKUP(A30,заказ!A:B,2,0)</f>
        <v>496</v>
      </c>
      <c r="U30" s="19"/>
      <c r="V30" s="1">
        <f>VLOOKUP(A30,[1]Sheet!$A:$S,19,0)</f>
        <v>500</v>
      </c>
      <c r="W30" s="1"/>
      <c r="X30" s="1">
        <f t="shared" si="5"/>
        <v>22.119205298013245</v>
      </c>
      <c r="Y30" s="1">
        <f t="shared" si="4"/>
        <v>5.5629139072847682</v>
      </c>
      <c r="Z30" s="1">
        <v>17.8</v>
      </c>
      <c r="AA30" s="1">
        <v>16.600000000000001</v>
      </c>
      <c r="AB30" s="1">
        <v>16.399999999999999</v>
      </c>
      <c r="AC30" s="1">
        <v>17.399999999999999</v>
      </c>
      <c r="AD30" s="1">
        <v>30.8</v>
      </c>
      <c r="AE30" s="1">
        <v>13.6</v>
      </c>
      <c r="AF30" s="1">
        <v>37.200000000000003</v>
      </c>
      <c r="AG30" s="1">
        <v>35.4</v>
      </c>
      <c r="AH30" s="1">
        <v>27</v>
      </c>
      <c r="AI30" s="1">
        <v>16.2</v>
      </c>
      <c r="AJ30" s="1"/>
      <c r="AK30" s="1">
        <f t="shared" si="6"/>
        <v>50</v>
      </c>
      <c r="AL30" s="1">
        <f t="shared" si="7"/>
        <v>0</v>
      </c>
      <c r="AM30" s="2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34</v>
      </c>
      <c r="C31" s="1">
        <v>205</v>
      </c>
      <c r="D31" s="1">
        <v>262</v>
      </c>
      <c r="E31" s="1">
        <v>80</v>
      </c>
      <c r="F31" s="1">
        <v>247</v>
      </c>
      <c r="G31" s="7">
        <v>0.1</v>
      </c>
      <c r="H31" s="1">
        <v>90</v>
      </c>
      <c r="I31" s="1"/>
      <c r="J31" s="1"/>
      <c r="K31" s="1">
        <v>80</v>
      </c>
      <c r="L31" s="1">
        <f t="shared" si="2"/>
        <v>0</v>
      </c>
      <c r="M31" s="1"/>
      <c r="N31" s="1"/>
      <c r="O31" s="1">
        <v>48</v>
      </c>
      <c r="P31" s="1">
        <f t="shared" si="3"/>
        <v>16</v>
      </c>
      <c r="Q31" s="5"/>
      <c r="R31" s="5"/>
      <c r="S31" s="19">
        <f t="shared" si="11"/>
        <v>100</v>
      </c>
      <c r="T31" s="19">
        <f>VLOOKUP(A31,заказ!A:B,2,0)</f>
        <v>96</v>
      </c>
      <c r="U31" s="19"/>
      <c r="V31" s="1">
        <f>VLOOKUP(A31,[1]Sheet!$A:$S,19,0)</f>
        <v>100</v>
      </c>
      <c r="W31" s="1"/>
      <c r="X31" s="1">
        <f t="shared" si="5"/>
        <v>24.6875</v>
      </c>
      <c r="Y31" s="1">
        <f t="shared" si="4"/>
        <v>18.4375</v>
      </c>
      <c r="Z31" s="1">
        <v>15</v>
      </c>
      <c r="AA31" s="1">
        <v>19.8</v>
      </c>
      <c r="AB31" s="1">
        <v>13.6</v>
      </c>
      <c r="AC31" s="1">
        <v>14.4</v>
      </c>
      <c r="AD31" s="1">
        <v>26</v>
      </c>
      <c r="AE31" s="1">
        <v>15.8</v>
      </c>
      <c r="AF31" s="1">
        <v>20.8</v>
      </c>
      <c r="AG31" s="1">
        <v>22.6</v>
      </c>
      <c r="AH31" s="1">
        <v>23.8</v>
      </c>
      <c r="AI31" s="1">
        <v>16.600000000000001</v>
      </c>
      <c r="AJ31" s="1"/>
      <c r="AK31" s="1">
        <f t="shared" si="6"/>
        <v>10</v>
      </c>
      <c r="AL31" s="1">
        <f t="shared" si="7"/>
        <v>0</v>
      </c>
      <c r="AM31" s="23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34</v>
      </c>
      <c r="C32" s="1">
        <v>36</v>
      </c>
      <c r="D32" s="1">
        <v>255</v>
      </c>
      <c r="E32" s="1">
        <v>94</v>
      </c>
      <c r="F32" s="1">
        <v>69</v>
      </c>
      <c r="G32" s="7">
        <v>0.18</v>
      </c>
      <c r="H32" s="1">
        <v>150</v>
      </c>
      <c r="I32" s="1" t="s">
        <v>40</v>
      </c>
      <c r="J32" s="1"/>
      <c r="K32" s="1">
        <v>170</v>
      </c>
      <c r="L32" s="1">
        <f t="shared" si="2"/>
        <v>-76</v>
      </c>
      <c r="M32" s="1"/>
      <c r="N32" s="1"/>
      <c r="O32" s="1">
        <v>500</v>
      </c>
      <c r="P32" s="1">
        <f t="shared" si="3"/>
        <v>18.8</v>
      </c>
      <c r="Q32" s="5"/>
      <c r="R32" s="5"/>
      <c r="S32" s="19">
        <f t="shared" si="11"/>
        <v>100</v>
      </c>
      <c r="T32" s="19">
        <f>VLOOKUP(A32,заказ!A:B,2,0)</f>
        <v>100</v>
      </c>
      <c r="U32" s="19"/>
      <c r="V32" s="1">
        <f>VLOOKUP(A32,[1]Sheet!$A:$S,19,0)</f>
        <v>100</v>
      </c>
      <c r="W32" s="1"/>
      <c r="X32" s="1">
        <f t="shared" si="5"/>
        <v>35.585106382978722</v>
      </c>
      <c r="Y32" s="1">
        <f t="shared" si="4"/>
        <v>30.26595744680851</v>
      </c>
      <c r="Z32" s="1">
        <v>32.6</v>
      </c>
      <c r="AA32" s="1">
        <v>0</v>
      </c>
      <c r="AB32" s="1">
        <v>-0.2</v>
      </c>
      <c r="AC32" s="1">
        <v>0</v>
      </c>
      <c r="AD32" s="1">
        <v>-0.2</v>
      </c>
      <c r="AE32" s="1">
        <v>-1</v>
      </c>
      <c r="AF32" s="1">
        <v>-0.6</v>
      </c>
      <c r="AG32" s="1">
        <v>-0.8</v>
      </c>
      <c r="AH32" s="1">
        <v>-2.8</v>
      </c>
      <c r="AI32" s="1">
        <v>6</v>
      </c>
      <c r="AJ32" s="1" t="s">
        <v>69</v>
      </c>
      <c r="AK32" s="1">
        <f t="shared" si="6"/>
        <v>18</v>
      </c>
      <c r="AL32" s="1">
        <f t="shared" si="7"/>
        <v>0</v>
      </c>
      <c r="AM32" s="23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34</v>
      </c>
      <c r="C33" s="1">
        <v>108</v>
      </c>
      <c r="D33" s="1">
        <v>572</v>
      </c>
      <c r="E33" s="1">
        <v>146</v>
      </c>
      <c r="F33" s="1">
        <v>439</v>
      </c>
      <c r="G33" s="7">
        <v>0.18</v>
      </c>
      <c r="H33" s="1">
        <v>150</v>
      </c>
      <c r="I33" s="1" t="s">
        <v>40</v>
      </c>
      <c r="J33" s="1"/>
      <c r="K33" s="1">
        <v>264</v>
      </c>
      <c r="L33" s="1">
        <f t="shared" si="2"/>
        <v>-118</v>
      </c>
      <c r="M33" s="1"/>
      <c r="N33" s="1"/>
      <c r="O33" s="1">
        <v>500</v>
      </c>
      <c r="P33" s="1">
        <f t="shared" si="3"/>
        <v>29.2</v>
      </c>
      <c r="Q33" s="5"/>
      <c r="R33" s="5"/>
      <c r="S33" s="19">
        <f t="shared" si="11"/>
        <v>100</v>
      </c>
      <c r="T33" s="19">
        <f>VLOOKUP(A33,заказ!A:B,2,0)</f>
        <v>100</v>
      </c>
      <c r="U33" s="19"/>
      <c r="V33" s="1">
        <f>VLOOKUP(A33,[1]Sheet!$A:$S,19,0)</f>
        <v>100</v>
      </c>
      <c r="W33" s="1"/>
      <c r="X33" s="1">
        <f t="shared" si="5"/>
        <v>35.582191780821915</v>
      </c>
      <c r="Y33" s="1">
        <f t="shared" si="4"/>
        <v>32.157534246575345</v>
      </c>
      <c r="Z33" s="1">
        <v>59.6</v>
      </c>
      <c r="AA33" s="1">
        <v>52.2</v>
      </c>
      <c r="AB33" s="1">
        <v>21.6</v>
      </c>
      <c r="AC33" s="1">
        <v>13.4</v>
      </c>
      <c r="AD33" s="1">
        <v>50.6</v>
      </c>
      <c r="AE33" s="1">
        <v>14.8</v>
      </c>
      <c r="AF33" s="1">
        <v>37.799999999999997</v>
      </c>
      <c r="AG33" s="1">
        <v>36.799999999999997</v>
      </c>
      <c r="AH33" s="1">
        <v>32</v>
      </c>
      <c r="AI33" s="1">
        <v>29.2</v>
      </c>
      <c r="AJ33" s="1"/>
      <c r="AK33" s="1">
        <f t="shared" si="6"/>
        <v>18</v>
      </c>
      <c r="AL33" s="1">
        <f t="shared" si="7"/>
        <v>0</v>
      </c>
      <c r="AM33" s="23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34</v>
      </c>
      <c r="C34" s="1">
        <v>3</v>
      </c>
      <c r="D34" s="1">
        <v>235</v>
      </c>
      <c r="E34" s="1">
        <v>48</v>
      </c>
      <c r="F34" s="1">
        <v>127</v>
      </c>
      <c r="G34" s="7">
        <v>0.18</v>
      </c>
      <c r="H34" s="1">
        <v>150</v>
      </c>
      <c r="I34" s="1" t="s">
        <v>40</v>
      </c>
      <c r="J34" s="1"/>
      <c r="K34" s="1">
        <v>97</v>
      </c>
      <c r="L34" s="1">
        <f t="shared" si="2"/>
        <v>-49</v>
      </c>
      <c r="M34" s="1"/>
      <c r="N34" s="1"/>
      <c r="O34" s="1">
        <v>200</v>
      </c>
      <c r="P34" s="1">
        <f t="shared" si="3"/>
        <v>9.6</v>
      </c>
      <c r="Q34" s="5"/>
      <c r="R34" s="5"/>
      <c r="S34" s="19">
        <f t="shared" si="11"/>
        <v>100</v>
      </c>
      <c r="T34" s="19">
        <f>VLOOKUP(A34,заказ!A:B,2,0)</f>
        <v>100</v>
      </c>
      <c r="U34" s="19"/>
      <c r="V34" s="1">
        <f>VLOOKUP(A34,[1]Sheet!$A:$S,19,0)</f>
        <v>100</v>
      </c>
      <c r="W34" s="1"/>
      <c r="X34" s="1">
        <f t="shared" si="5"/>
        <v>44.479166666666671</v>
      </c>
      <c r="Y34" s="1">
        <f t="shared" si="4"/>
        <v>34.0625</v>
      </c>
      <c r="Z34" s="1">
        <v>9.4</v>
      </c>
      <c r="AA34" s="1">
        <v>9.6</v>
      </c>
      <c r="AB34" s="1">
        <v>5.8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-0.2</v>
      </c>
      <c r="AJ34" s="1" t="s">
        <v>72</v>
      </c>
      <c r="AK34" s="1">
        <f t="shared" si="6"/>
        <v>18</v>
      </c>
      <c r="AL34" s="1">
        <f t="shared" si="7"/>
        <v>0</v>
      </c>
      <c r="AM34" s="23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34</v>
      </c>
      <c r="C35" s="1">
        <v>73</v>
      </c>
      <c r="D35" s="1">
        <v>105</v>
      </c>
      <c r="E35" s="1">
        <v>105</v>
      </c>
      <c r="F35" s="1">
        <v>52</v>
      </c>
      <c r="G35" s="7">
        <v>0.18</v>
      </c>
      <c r="H35" s="1">
        <v>150</v>
      </c>
      <c r="I35" s="1" t="s">
        <v>40</v>
      </c>
      <c r="J35" s="1"/>
      <c r="K35" s="1">
        <v>126</v>
      </c>
      <c r="L35" s="1">
        <f t="shared" si="2"/>
        <v>-21</v>
      </c>
      <c r="M35" s="1"/>
      <c r="N35" s="1"/>
      <c r="O35" s="1">
        <v>200</v>
      </c>
      <c r="P35" s="1">
        <f t="shared" si="3"/>
        <v>21</v>
      </c>
      <c r="Q35" s="5">
        <f t="shared" ref="Q35:Q37" si="12">16*P35-O35-F35</f>
        <v>84</v>
      </c>
      <c r="R35" s="5"/>
      <c r="S35" s="19">
        <f t="shared" si="11"/>
        <v>200</v>
      </c>
      <c r="T35" s="19">
        <f>VLOOKUP(A35,заказ!A:B,2,0)</f>
        <v>200</v>
      </c>
      <c r="U35" s="19"/>
      <c r="V35" s="1">
        <f>VLOOKUP(A35,[1]Sheet!$A:$S,19,0)</f>
        <v>200</v>
      </c>
      <c r="W35" s="1"/>
      <c r="X35" s="1">
        <f t="shared" si="5"/>
        <v>21.523809523809526</v>
      </c>
      <c r="Y35" s="1">
        <f t="shared" si="4"/>
        <v>12</v>
      </c>
      <c r="Z35" s="1">
        <v>9.4</v>
      </c>
      <c r="AA35" s="1">
        <v>0</v>
      </c>
      <c r="AB35" s="1">
        <v>2</v>
      </c>
      <c r="AC35" s="1">
        <v>9.1999999999999993</v>
      </c>
      <c r="AD35" s="1">
        <v>1</v>
      </c>
      <c r="AE35" s="1">
        <v>6.6</v>
      </c>
      <c r="AF35" s="1">
        <v>11.8</v>
      </c>
      <c r="AG35" s="1">
        <v>8</v>
      </c>
      <c r="AH35" s="1">
        <v>3.8</v>
      </c>
      <c r="AI35" s="1">
        <v>5</v>
      </c>
      <c r="AJ35" s="1" t="s">
        <v>74</v>
      </c>
      <c r="AK35" s="1">
        <f t="shared" si="6"/>
        <v>36</v>
      </c>
      <c r="AL35" s="1">
        <f t="shared" si="7"/>
        <v>0</v>
      </c>
      <c r="AM35" s="23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34</v>
      </c>
      <c r="C36" s="1">
        <v>284</v>
      </c>
      <c r="D36" s="1">
        <v>887</v>
      </c>
      <c r="E36" s="1">
        <v>324</v>
      </c>
      <c r="F36" s="1">
        <v>558</v>
      </c>
      <c r="G36" s="7">
        <v>0.18</v>
      </c>
      <c r="H36" s="1">
        <v>150</v>
      </c>
      <c r="I36" s="1" t="s">
        <v>40</v>
      </c>
      <c r="J36" s="1"/>
      <c r="K36" s="1">
        <v>324</v>
      </c>
      <c r="L36" s="1">
        <f t="shared" si="2"/>
        <v>0</v>
      </c>
      <c r="M36" s="1"/>
      <c r="N36" s="1"/>
      <c r="O36" s="1">
        <v>200</v>
      </c>
      <c r="P36" s="1">
        <f t="shared" si="3"/>
        <v>64.8</v>
      </c>
      <c r="Q36" s="5">
        <f t="shared" si="12"/>
        <v>278.79999999999995</v>
      </c>
      <c r="R36" s="5"/>
      <c r="S36" s="19">
        <f t="shared" si="11"/>
        <v>400</v>
      </c>
      <c r="T36" s="19">
        <f>VLOOKUP(A36,заказ!A:B,2,0)</f>
        <v>400</v>
      </c>
      <c r="U36" s="19"/>
      <c r="V36" s="1">
        <f>VLOOKUP(A36,[1]Sheet!$A:$S,19,0)</f>
        <v>400</v>
      </c>
      <c r="W36" s="1"/>
      <c r="X36" s="1">
        <f t="shared" si="5"/>
        <v>17.87037037037037</v>
      </c>
      <c r="Y36" s="1">
        <f t="shared" si="4"/>
        <v>11.697530864197532</v>
      </c>
      <c r="Z36" s="1">
        <v>43.6</v>
      </c>
      <c r="AA36" s="1">
        <v>56.2</v>
      </c>
      <c r="AB36" s="1">
        <v>60.4</v>
      </c>
      <c r="AC36" s="1">
        <v>60.4</v>
      </c>
      <c r="AD36" s="1">
        <v>47</v>
      </c>
      <c r="AE36" s="1">
        <v>29.4</v>
      </c>
      <c r="AF36" s="1">
        <v>71.8</v>
      </c>
      <c r="AG36" s="1">
        <v>65.8</v>
      </c>
      <c r="AH36" s="1">
        <v>47.8</v>
      </c>
      <c r="AI36" s="1">
        <v>28.6</v>
      </c>
      <c r="AJ36" s="1"/>
      <c r="AK36" s="1">
        <f t="shared" si="6"/>
        <v>72</v>
      </c>
      <c r="AL36" s="1">
        <f t="shared" si="7"/>
        <v>0</v>
      </c>
      <c r="AM36" s="23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34</v>
      </c>
      <c r="C37" s="1">
        <v>87</v>
      </c>
      <c r="D37" s="1">
        <v>223</v>
      </c>
      <c r="E37" s="1">
        <v>151</v>
      </c>
      <c r="F37" s="1">
        <v>129</v>
      </c>
      <c r="G37" s="7">
        <v>0.18</v>
      </c>
      <c r="H37" s="1">
        <v>150</v>
      </c>
      <c r="I37" s="1" t="s">
        <v>40</v>
      </c>
      <c r="J37" s="1"/>
      <c r="K37" s="1">
        <v>171</v>
      </c>
      <c r="L37" s="1">
        <f t="shared" si="2"/>
        <v>-20</v>
      </c>
      <c r="M37" s="1"/>
      <c r="N37" s="1"/>
      <c r="O37" s="1">
        <v>200</v>
      </c>
      <c r="P37" s="1">
        <f t="shared" si="3"/>
        <v>30.2</v>
      </c>
      <c r="Q37" s="5">
        <f t="shared" si="12"/>
        <v>154.19999999999999</v>
      </c>
      <c r="R37" s="5"/>
      <c r="S37" s="19">
        <f t="shared" si="11"/>
        <v>400</v>
      </c>
      <c r="T37" s="19">
        <f>VLOOKUP(A37,заказ!A:B,2,0)</f>
        <v>400</v>
      </c>
      <c r="U37" s="19"/>
      <c r="V37" s="1">
        <f>VLOOKUP(A37,[1]Sheet!$A:$S,19,0)</f>
        <v>400</v>
      </c>
      <c r="W37" s="1"/>
      <c r="X37" s="1">
        <f t="shared" si="5"/>
        <v>24.139072847682119</v>
      </c>
      <c r="Y37" s="1">
        <f t="shared" si="4"/>
        <v>10.894039735099337</v>
      </c>
      <c r="Z37" s="1">
        <v>22.2</v>
      </c>
      <c r="AA37" s="1">
        <v>0.2</v>
      </c>
      <c r="AB37" s="1">
        <v>16.8</v>
      </c>
      <c r="AC37" s="1">
        <v>16.600000000000001</v>
      </c>
      <c r="AD37" s="1">
        <v>13</v>
      </c>
      <c r="AE37" s="1">
        <v>5.8</v>
      </c>
      <c r="AF37" s="1">
        <v>33.200000000000003</v>
      </c>
      <c r="AG37" s="1">
        <v>16.600000000000001</v>
      </c>
      <c r="AH37" s="1">
        <v>11.2</v>
      </c>
      <c r="AI37" s="1">
        <v>12.2</v>
      </c>
      <c r="AJ37" s="1"/>
      <c r="AK37" s="1">
        <f t="shared" si="6"/>
        <v>72</v>
      </c>
      <c r="AL37" s="1">
        <f t="shared" si="7"/>
        <v>0</v>
      </c>
      <c r="AM37" s="23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34</v>
      </c>
      <c r="C38" s="1">
        <v>6</v>
      </c>
      <c r="D38" s="1">
        <v>2</v>
      </c>
      <c r="E38" s="1">
        <v>5</v>
      </c>
      <c r="F38" s="1">
        <v>1</v>
      </c>
      <c r="G38" s="7">
        <v>0.1</v>
      </c>
      <c r="H38" s="1">
        <v>60</v>
      </c>
      <c r="I38" s="1"/>
      <c r="J38" s="1"/>
      <c r="K38" s="1">
        <v>5</v>
      </c>
      <c r="L38" s="1">
        <f t="shared" ref="L38:L55" si="13">E38-K38</f>
        <v>0</v>
      </c>
      <c r="M38" s="1"/>
      <c r="N38" s="1"/>
      <c r="O38" s="1">
        <v>32</v>
      </c>
      <c r="P38" s="1">
        <f t="shared" ref="P38:P55" si="14">E38/5</f>
        <v>1</v>
      </c>
      <c r="Q38" s="5"/>
      <c r="R38" s="5"/>
      <c r="S38" s="19">
        <f t="shared" si="9"/>
        <v>0</v>
      </c>
      <c r="T38" s="19"/>
      <c r="U38" s="19"/>
      <c r="V38" s="1"/>
      <c r="W38" s="1"/>
      <c r="X38" s="1">
        <f t="shared" si="5"/>
        <v>33</v>
      </c>
      <c r="Y38" s="1">
        <f t="shared" ref="Y38:Y55" si="15">(F38+O38)/P38</f>
        <v>33</v>
      </c>
      <c r="Z38" s="1">
        <v>2</v>
      </c>
      <c r="AA38" s="1">
        <v>0</v>
      </c>
      <c r="AB38" s="1">
        <v>-0.2</v>
      </c>
      <c r="AC38" s="1">
        <v>0.8</v>
      </c>
      <c r="AD38" s="1">
        <v>0.6</v>
      </c>
      <c r="AE38" s="1">
        <v>0.2</v>
      </c>
      <c r="AF38" s="1">
        <v>0.8</v>
      </c>
      <c r="AG38" s="1">
        <v>2.2000000000000002</v>
      </c>
      <c r="AH38" s="1">
        <v>0.2</v>
      </c>
      <c r="AI38" s="1">
        <v>2</v>
      </c>
      <c r="AJ38" s="1" t="s">
        <v>78</v>
      </c>
      <c r="AK38" s="1">
        <f t="shared" si="6"/>
        <v>0</v>
      </c>
      <c r="AL38" s="1">
        <f t="shared" si="7"/>
        <v>0</v>
      </c>
      <c r="AM38" s="23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34</v>
      </c>
      <c r="C39" s="1">
        <v>52</v>
      </c>
      <c r="D39" s="1">
        <v>117</v>
      </c>
      <c r="E39" s="1">
        <v>26</v>
      </c>
      <c r="F39" s="1">
        <v>104</v>
      </c>
      <c r="G39" s="7">
        <v>0.14000000000000001</v>
      </c>
      <c r="H39" s="1">
        <v>180</v>
      </c>
      <c r="I39" s="1"/>
      <c r="J39" s="1"/>
      <c r="K39" s="1">
        <v>26</v>
      </c>
      <c r="L39" s="1">
        <f t="shared" si="13"/>
        <v>0</v>
      </c>
      <c r="M39" s="1"/>
      <c r="N39" s="1"/>
      <c r="O39" s="1">
        <v>16</v>
      </c>
      <c r="P39" s="1">
        <f t="shared" si="14"/>
        <v>5.2</v>
      </c>
      <c r="Q39" s="5"/>
      <c r="R39" s="5"/>
      <c r="S39" s="19">
        <f t="shared" si="9"/>
        <v>0</v>
      </c>
      <c r="T39" s="19"/>
      <c r="U39" s="19"/>
      <c r="V39" s="1"/>
      <c r="W39" s="1"/>
      <c r="X39" s="1">
        <f t="shared" si="5"/>
        <v>23.076923076923077</v>
      </c>
      <c r="Y39" s="1">
        <f t="shared" si="15"/>
        <v>23.076923076923077</v>
      </c>
      <c r="Z39" s="1">
        <v>8.6</v>
      </c>
      <c r="AA39" s="1">
        <v>0</v>
      </c>
      <c r="AB39" s="1">
        <v>2</v>
      </c>
      <c r="AC39" s="1">
        <v>6.4</v>
      </c>
      <c r="AD39" s="1">
        <v>1</v>
      </c>
      <c r="AE39" s="1">
        <v>2.4</v>
      </c>
      <c r="AF39" s="1">
        <v>7.8</v>
      </c>
      <c r="AG39" s="1">
        <v>4</v>
      </c>
      <c r="AH39" s="1">
        <v>4.5999999999999996</v>
      </c>
      <c r="AI39" s="1">
        <v>1.6</v>
      </c>
      <c r="AJ39" s="1"/>
      <c r="AK39" s="1">
        <f t="shared" si="6"/>
        <v>0</v>
      </c>
      <c r="AL39" s="1">
        <f t="shared" si="7"/>
        <v>0</v>
      </c>
      <c r="AM39" s="23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34</v>
      </c>
      <c r="C40" s="1">
        <v>198</v>
      </c>
      <c r="D40" s="1">
        <v>131</v>
      </c>
      <c r="E40" s="1">
        <v>184</v>
      </c>
      <c r="F40" s="1">
        <v>115</v>
      </c>
      <c r="G40" s="7">
        <v>0.18</v>
      </c>
      <c r="H40" s="1">
        <v>270</v>
      </c>
      <c r="I40" s="1" t="s">
        <v>40</v>
      </c>
      <c r="J40" s="1"/>
      <c r="K40" s="1">
        <v>178</v>
      </c>
      <c r="L40" s="1">
        <f t="shared" si="13"/>
        <v>6</v>
      </c>
      <c r="M40" s="1"/>
      <c r="N40" s="1"/>
      <c r="O40" s="1"/>
      <c r="P40" s="1">
        <f t="shared" si="14"/>
        <v>36.799999999999997</v>
      </c>
      <c r="Q40" s="5">
        <f>14*P40-O40-F40</f>
        <v>400.19999999999993</v>
      </c>
      <c r="R40" s="5"/>
      <c r="S40" s="19">
        <f>V40</f>
        <v>600</v>
      </c>
      <c r="T40" s="19">
        <f>VLOOKUP(A40,заказ!A:B,2,0)</f>
        <v>608</v>
      </c>
      <c r="U40" s="19"/>
      <c r="V40" s="1">
        <f>VLOOKUP(A40,[1]Sheet!$A:$S,19,0)</f>
        <v>600</v>
      </c>
      <c r="W40" s="1"/>
      <c r="X40" s="1">
        <f t="shared" si="5"/>
        <v>19.429347826086957</v>
      </c>
      <c r="Y40" s="1">
        <f t="shared" si="15"/>
        <v>3.1250000000000004</v>
      </c>
      <c r="Z40" s="1">
        <v>17.2</v>
      </c>
      <c r="AA40" s="1">
        <v>18.399999999999999</v>
      </c>
      <c r="AB40" s="1">
        <v>10.6</v>
      </c>
      <c r="AC40" s="1">
        <v>22</v>
      </c>
      <c r="AD40" s="1">
        <v>23</v>
      </c>
      <c r="AE40" s="1">
        <v>6.8</v>
      </c>
      <c r="AF40" s="1">
        <v>23.6</v>
      </c>
      <c r="AG40" s="1">
        <v>19.2</v>
      </c>
      <c r="AH40" s="1">
        <v>10.8</v>
      </c>
      <c r="AI40" s="1">
        <v>12.8</v>
      </c>
      <c r="AJ40" s="1"/>
      <c r="AK40" s="1">
        <f t="shared" si="6"/>
        <v>108</v>
      </c>
      <c r="AL40" s="1">
        <f t="shared" si="7"/>
        <v>0</v>
      </c>
      <c r="AM40" s="23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39</v>
      </c>
      <c r="C41" s="1">
        <v>65.853999999999999</v>
      </c>
      <c r="D41" s="1">
        <v>3.4279999999999999</v>
      </c>
      <c r="E41" s="1">
        <v>10.038</v>
      </c>
      <c r="F41" s="1">
        <v>46.716000000000001</v>
      </c>
      <c r="G41" s="7">
        <v>1</v>
      </c>
      <c r="H41" s="1">
        <v>180</v>
      </c>
      <c r="I41" s="1" t="s">
        <v>40</v>
      </c>
      <c r="J41" s="1"/>
      <c r="K41" s="1">
        <v>10.3</v>
      </c>
      <c r="L41" s="1">
        <f t="shared" si="13"/>
        <v>-0.26200000000000045</v>
      </c>
      <c r="M41" s="1"/>
      <c r="N41" s="1"/>
      <c r="O41" s="1"/>
      <c r="P41" s="1">
        <f t="shared" si="14"/>
        <v>2.0076000000000001</v>
      </c>
      <c r="Q41" s="5"/>
      <c r="R41" s="5"/>
      <c r="S41" s="19">
        <f t="shared" si="9"/>
        <v>0</v>
      </c>
      <c r="T41" s="19"/>
      <c r="U41" s="19"/>
      <c r="V41" s="1"/>
      <c r="W41" s="1"/>
      <c r="X41" s="1">
        <f t="shared" si="5"/>
        <v>23.269575612671847</v>
      </c>
      <c r="Y41" s="1">
        <f t="shared" si="15"/>
        <v>23.269575612671847</v>
      </c>
      <c r="Z41" s="1">
        <v>1.2436</v>
      </c>
      <c r="AA41" s="1">
        <v>1.3131999999999999</v>
      </c>
      <c r="AB41" s="1">
        <v>2.9767999999999999</v>
      </c>
      <c r="AC41" s="1">
        <v>0</v>
      </c>
      <c r="AD41" s="1">
        <v>2.524</v>
      </c>
      <c r="AE41" s="1">
        <v>1.3311999999999999</v>
      </c>
      <c r="AF41" s="1">
        <v>0</v>
      </c>
      <c r="AG41" s="1">
        <v>1.2927999999999999</v>
      </c>
      <c r="AH41" s="1">
        <v>17.328800000000001</v>
      </c>
      <c r="AI41" s="1">
        <v>2.5156000000000001</v>
      </c>
      <c r="AJ41" s="15" t="s">
        <v>99</v>
      </c>
      <c r="AK41" s="1">
        <f t="shared" si="6"/>
        <v>0</v>
      </c>
      <c r="AL41" s="1">
        <f t="shared" si="7"/>
        <v>0</v>
      </c>
      <c r="AM41" s="23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39</v>
      </c>
      <c r="C42" s="1">
        <v>9.4339999999999993</v>
      </c>
      <c r="D42" s="1">
        <v>102.944</v>
      </c>
      <c r="E42" s="1">
        <v>9.4339999999999993</v>
      </c>
      <c r="F42" s="1">
        <v>102.944</v>
      </c>
      <c r="G42" s="7">
        <v>1</v>
      </c>
      <c r="H42" s="1">
        <v>180</v>
      </c>
      <c r="I42" s="1" t="s">
        <v>40</v>
      </c>
      <c r="J42" s="1"/>
      <c r="K42" s="1">
        <v>10.5</v>
      </c>
      <c r="L42" s="1">
        <f t="shared" si="13"/>
        <v>-1.0660000000000007</v>
      </c>
      <c r="M42" s="1"/>
      <c r="N42" s="1"/>
      <c r="O42" s="1"/>
      <c r="P42" s="1">
        <f t="shared" si="14"/>
        <v>1.8867999999999998</v>
      </c>
      <c r="Q42" s="5"/>
      <c r="R42" s="5"/>
      <c r="S42" s="19">
        <f t="shared" si="9"/>
        <v>0</v>
      </c>
      <c r="T42" s="19"/>
      <c r="U42" s="19"/>
      <c r="V42" s="1"/>
      <c r="W42" s="1"/>
      <c r="X42" s="1">
        <f t="shared" si="5"/>
        <v>54.560101759592968</v>
      </c>
      <c r="Y42" s="1">
        <f t="shared" si="15"/>
        <v>54.560101759592968</v>
      </c>
      <c r="Z42" s="1">
        <v>2.0407999999999999</v>
      </c>
      <c r="AA42" s="1">
        <v>2.5371999999999999</v>
      </c>
      <c r="AB42" s="1">
        <v>4.7944000000000004</v>
      </c>
      <c r="AC42" s="1">
        <v>2.5684</v>
      </c>
      <c r="AD42" s="1">
        <v>1.9352</v>
      </c>
      <c r="AE42" s="1">
        <v>2.67</v>
      </c>
      <c r="AF42" s="1">
        <v>7.628400000000001</v>
      </c>
      <c r="AG42" s="1">
        <v>3.3647999999999998</v>
      </c>
      <c r="AH42" s="1">
        <v>1.3460000000000001</v>
      </c>
      <c r="AI42" s="1">
        <v>2.5680000000000001</v>
      </c>
      <c r="AJ42" s="1"/>
      <c r="AK42" s="1">
        <f t="shared" si="6"/>
        <v>0</v>
      </c>
      <c r="AL42" s="1">
        <f t="shared" si="7"/>
        <v>0</v>
      </c>
      <c r="AM42" s="23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9" t="s">
        <v>83</v>
      </c>
      <c r="B43" s="9" t="s">
        <v>39</v>
      </c>
      <c r="C43" s="9">
        <v>-3.2</v>
      </c>
      <c r="D43" s="9">
        <v>4.234</v>
      </c>
      <c r="E43" s="12">
        <v>1.034</v>
      </c>
      <c r="F43" s="9"/>
      <c r="G43" s="10">
        <v>0</v>
      </c>
      <c r="H43" s="9"/>
      <c r="I43" s="9" t="s">
        <v>84</v>
      </c>
      <c r="J43" s="9" t="s">
        <v>38</v>
      </c>
      <c r="K43" s="9">
        <v>15.3</v>
      </c>
      <c r="L43" s="9">
        <f t="shared" si="13"/>
        <v>-14.266</v>
      </c>
      <c r="M43" s="9"/>
      <c r="N43" s="9"/>
      <c r="O43" s="9"/>
      <c r="P43" s="9">
        <f t="shared" si="14"/>
        <v>0.20680000000000001</v>
      </c>
      <c r="Q43" s="11"/>
      <c r="R43" s="11"/>
      <c r="S43" s="19">
        <f t="shared" si="9"/>
        <v>0</v>
      </c>
      <c r="T43" s="19"/>
      <c r="U43" s="20"/>
      <c r="V43" s="1"/>
      <c r="W43" s="9"/>
      <c r="X43" s="1">
        <f t="shared" si="5"/>
        <v>0</v>
      </c>
      <c r="Y43" s="9">
        <f t="shared" si="15"/>
        <v>0</v>
      </c>
      <c r="Z43" s="9">
        <v>0.64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/>
      <c r="AK43" s="1">
        <f t="shared" si="6"/>
        <v>0</v>
      </c>
      <c r="AL43" s="1">
        <f t="shared" si="7"/>
        <v>0</v>
      </c>
      <c r="AM43" s="23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39</v>
      </c>
      <c r="C44" s="1">
        <v>9.3719999999999999</v>
      </c>
      <c r="D44" s="1">
        <v>95.552999999999997</v>
      </c>
      <c r="E44" s="1">
        <v>56.438000000000002</v>
      </c>
      <c r="F44" s="1">
        <v>30.524000000000001</v>
      </c>
      <c r="G44" s="7">
        <v>1</v>
      </c>
      <c r="H44" s="1">
        <v>180</v>
      </c>
      <c r="I44" s="1" t="s">
        <v>40</v>
      </c>
      <c r="J44" s="1"/>
      <c r="K44" s="1">
        <v>60</v>
      </c>
      <c r="L44" s="1">
        <f t="shared" si="13"/>
        <v>-3.5619999999999976</v>
      </c>
      <c r="M44" s="1"/>
      <c r="N44" s="1"/>
      <c r="O44" s="1">
        <v>66</v>
      </c>
      <c r="P44" s="1">
        <f t="shared" si="14"/>
        <v>11.287600000000001</v>
      </c>
      <c r="Q44" s="5">
        <f>16*P44-O44-F44</f>
        <v>84.077600000000018</v>
      </c>
      <c r="R44" s="5"/>
      <c r="S44" s="19">
        <f t="shared" ref="S44" si="16">V44</f>
        <v>150</v>
      </c>
      <c r="T44" s="19">
        <f>VLOOKUP(A44,заказ!A:B,2,0)</f>
        <v>148</v>
      </c>
      <c r="U44" s="19"/>
      <c r="V44" s="1">
        <f>VLOOKUP(A44,[1]Sheet!$A:$S,19,0)</f>
        <v>150</v>
      </c>
      <c r="W44" s="1"/>
      <c r="X44" s="1">
        <f t="shared" si="5"/>
        <v>21.840249477302525</v>
      </c>
      <c r="Y44" s="1">
        <f t="shared" si="15"/>
        <v>8.5513306637371969</v>
      </c>
      <c r="Z44" s="1">
        <v>9.5616000000000003</v>
      </c>
      <c r="AA44" s="1">
        <v>0</v>
      </c>
      <c r="AB44" s="1">
        <v>0.7</v>
      </c>
      <c r="AC44" s="1">
        <v>12.469799999999999</v>
      </c>
      <c r="AD44" s="1">
        <v>16.026800000000001</v>
      </c>
      <c r="AE44" s="1">
        <v>8.2444000000000006</v>
      </c>
      <c r="AF44" s="1">
        <v>13.1412</v>
      </c>
      <c r="AG44" s="1">
        <v>13.5068</v>
      </c>
      <c r="AH44" s="1">
        <v>9.5599999999999987</v>
      </c>
      <c r="AI44" s="1">
        <v>6.8563999999999989</v>
      </c>
      <c r="AJ44" s="1"/>
      <c r="AK44" s="1">
        <f t="shared" si="6"/>
        <v>150</v>
      </c>
      <c r="AL44" s="1">
        <f t="shared" si="7"/>
        <v>0</v>
      </c>
      <c r="AM44" s="23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39</v>
      </c>
      <c r="C45" s="1">
        <v>24.466000000000001</v>
      </c>
      <c r="D45" s="1">
        <v>61.231999999999999</v>
      </c>
      <c r="E45" s="1">
        <v>2.8340000000000001</v>
      </c>
      <c r="F45" s="1">
        <v>49.148000000000003</v>
      </c>
      <c r="G45" s="7">
        <v>1</v>
      </c>
      <c r="H45" s="1">
        <v>180</v>
      </c>
      <c r="I45" s="1" t="s">
        <v>40</v>
      </c>
      <c r="J45" s="1"/>
      <c r="K45" s="1">
        <v>3.5</v>
      </c>
      <c r="L45" s="1">
        <f t="shared" si="13"/>
        <v>-0.66599999999999993</v>
      </c>
      <c r="M45" s="1"/>
      <c r="N45" s="1"/>
      <c r="O45" s="1"/>
      <c r="P45" s="1">
        <f t="shared" si="14"/>
        <v>0.56679999999999997</v>
      </c>
      <c r="Q45" s="5"/>
      <c r="R45" s="5"/>
      <c r="S45" s="19"/>
      <c r="T45" s="19"/>
      <c r="U45" s="19"/>
      <c r="V45" s="1">
        <f>VLOOKUP(A45,[1]Sheet!$A:$S,19,0)</f>
        <v>100</v>
      </c>
      <c r="W45" s="1"/>
      <c r="X45" s="1">
        <f t="shared" si="5"/>
        <v>86.711362032462958</v>
      </c>
      <c r="Y45" s="1">
        <f t="shared" si="15"/>
        <v>86.711362032462958</v>
      </c>
      <c r="Z45" s="1">
        <v>1.8672</v>
      </c>
      <c r="AA45" s="1">
        <v>2.0668000000000002</v>
      </c>
      <c r="AB45" s="1">
        <v>2.6816</v>
      </c>
      <c r="AC45" s="1">
        <v>0.60240000000000005</v>
      </c>
      <c r="AD45" s="1">
        <v>0</v>
      </c>
      <c r="AE45" s="1">
        <v>1.3008</v>
      </c>
      <c r="AF45" s="1">
        <v>0</v>
      </c>
      <c r="AG45" s="1">
        <v>1.274</v>
      </c>
      <c r="AH45" s="1">
        <v>3.7267999999999999</v>
      </c>
      <c r="AI45" s="1">
        <v>3.8944000000000001</v>
      </c>
      <c r="AJ45" s="13" t="s">
        <v>36</v>
      </c>
      <c r="AK45" s="1">
        <f t="shared" si="6"/>
        <v>0</v>
      </c>
      <c r="AL45" s="1">
        <f t="shared" si="7"/>
        <v>0</v>
      </c>
      <c r="AM45" s="23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34</v>
      </c>
      <c r="C46" s="1">
        <v>270</v>
      </c>
      <c r="D46" s="1">
        <v>413</v>
      </c>
      <c r="E46" s="1">
        <v>146</v>
      </c>
      <c r="F46" s="1">
        <v>422</v>
      </c>
      <c r="G46" s="7">
        <v>0.1</v>
      </c>
      <c r="H46" s="1">
        <v>60</v>
      </c>
      <c r="I46" s="1"/>
      <c r="J46" s="1"/>
      <c r="K46" s="1">
        <v>141</v>
      </c>
      <c r="L46" s="1">
        <f t="shared" si="13"/>
        <v>5</v>
      </c>
      <c r="M46" s="1"/>
      <c r="N46" s="1"/>
      <c r="O46" s="1"/>
      <c r="P46" s="1">
        <f t="shared" si="14"/>
        <v>29.2</v>
      </c>
      <c r="Q46" s="5">
        <f>16*P46-O46-F46</f>
        <v>45.199999999999989</v>
      </c>
      <c r="R46" s="5"/>
      <c r="S46" s="19">
        <f t="shared" si="9"/>
        <v>45.199999999999989</v>
      </c>
      <c r="T46" s="19">
        <f>VLOOKUP(A46,заказ!A:B,2,0)</f>
        <v>48</v>
      </c>
      <c r="U46" s="19"/>
      <c r="V46" s="1"/>
      <c r="W46" s="1"/>
      <c r="X46" s="1">
        <f t="shared" si="5"/>
        <v>16</v>
      </c>
      <c r="Y46" s="1">
        <f t="shared" si="15"/>
        <v>14.452054794520548</v>
      </c>
      <c r="Z46" s="1">
        <v>29.6</v>
      </c>
      <c r="AA46" s="1">
        <v>21.2</v>
      </c>
      <c r="AB46" s="1">
        <v>38.4</v>
      </c>
      <c r="AC46" s="1">
        <v>64.599999999999994</v>
      </c>
      <c r="AD46" s="1">
        <v>21.8</v>
      </c>
      <c r="AE46" s="1">
        <v>57</v>
      </c>
      <c r="AF46" s="1">
        <v>62.8</v>
      </c>
      <c r="AG46" s="1">
        <v>4.8</v>
      </c>
      <c r="AH46" s="1">
        <v>45.8</v>
      </c>
      <c r="AI46" s="1">
        <v>54</v>
      </c>
      <c r="AJ46" s="1"/>
      <c r="AK46" s="1">
        <f t="shared" si="6"/>
        <v>4.5199999999999987</v>
      </c>
      <c r="AL46" s="1">
        <f t="shared" si="7"/>
        <v>0</v>
      </c>
      <c r="AM46" s="23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34</v>
      </c>
      <c r="C47" s="1">
        <v>158</v>
      </c>
      <c r="D47" s="1">
        <v>428</v>
      </c>
      <c r="E47" s="1">
        <v>81</v>
      </c>
      <c r="F47" s="1">
        <v>465</v>
      </c>
      <c r="G47" s="7">
        <v>0.1</v>
      </c>
      <c r="H47" s="1">
        <v>90</v>
      </c>
      <c r="I47" s="1"/>
      <c r="J47" s="1"/>
      <c r="K47" s="1">
        <v>81</v>
      </c>
      <c r="L47" s="1">
        <f t="shared" si="13"/>
        <v>0</v>
      </c>
      <c r="M47" s="1"/>
      <c r="N47" s="1"/>
      <c r="O47" s="1"/>
      <c r="P47" s="1">
        <f t="shared" si="14"/>
        <v>16.2</v>
      </c>
      <c r="Q47" s="5"/>
      <c r="R47" s="5"/>
      <c r="S47" s="19">
        <f t="shared" si="9"/>
        <v>0</v>
      </c>
      <c r="T47" s="19"/>
      <c r="U47" s="19"/>
      <c r="V47" s="1"/>
      <c r="W47" s="1"/>
      <c r="X47" s="1">
        <f t="shared" si="5"/>
        <v>28.703703703703706</v>
      </c>
      <c r="Y47" s="1">
        <f t="shared" si="15"/>
        <v>28.703703703703706</v>
      </c>
      <c r="Z47" s="1">
        <v>18.8</v>
      </c>
      <c r="AA47" s="1">
        <v>12.4</v>
      </c>
      <c r="AB47" s="1">
        <v>29.6</v>
      </c>
      <c r="AC47" s="1">
        <v>40.4</v>
      </c>
      <c r="AD47" s="1">
        <v>24.6</v>
      </c>
      <c r="AE47" s="1">
        <v>41.8</v>
      </c>
      <c r="AF47" s="1">
        <v>47</v>
      </c>
      <c r="AG47" s="1">
        <v>33.4</v>
      </c>
      <c r="AH47" s="1">
        <v>34</v>
      </c>
      <c r="AI47" s="1">
        <v>30</v>
      </c>
      <c r="AJ47" s="1"/>
      <c r="AK47" s="1">
        <f t="shared" si="6"/>
        <v>0</v>
      </c>
      <c r="AL47" s="1">
        <f t="shared" si="7"/>
        <v>0</v>
      </c>
      <c r="AM47" s="23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34</v>
      </c>
      <c r="C48" s="1">
        <v>70</v>
      </c>
      <c r="D48" s="1">
        <v>100</v>
      </c>
      <c r="E48" s="1">
        <v>44</v>
      </c>
      <c r="F48" s="1">
        <v>82</v>
      </c>
      <c r="G48" s="7">
        <v>0.14000000000000001</v>
      </c>
      <c r="H48" s="1">
        <v>180</v>
      </c>
      <c r="I48" s="1"/>
      <c r="J48" s="1"/>
      <c r="K48" s="1">
        <v>44</v>
      </c>
      <c r="L48" s="1">
        <f t="shared" si="13"/>
        <v>0</v>
      </c>
      <c r="M48" s="1"/>
      <c r="N48" s="1"/>
      <c r="O48" s="1">
        <v>32</v>
      </c>
      <c r="P48" s="1">
        <f t="shared" si="14"/>
        <v>8.8000000000000007</v>
      </c>
      <c r="Q48" s="5">
        <f>16*P48-O48-F48</f>
        <v>26.800000000000011</v>
      </c>
      <c r="R48" s="5"/>
      <c r="S48" s="19">
        <f t="shared" ref="S48" si="17">V48</f>
        <v>100</v>
      </c>
      <c r="T48" s="19">
        <f>VLOOKUP(A48,заказ!A:B,2,0)</f>
        <v>96</v>
      </c>
      <c r="U48" s="19"/>
      <c r="V48" s="1">
        <f>VLOOKUP(A48,[1]Sheet!$A:$S,19,0)</f>
        <v>100</v>
      </c>
      <c r="W48" s="1"/>
      <c r="X48" s="1">
        <f t="shared" si="5"/>
        <v>24.318181818181817</v>
      </c>
      <c r="Y48" s="1">
        <f t="shared" si="15"/>
        <v>12.954545454545453</v>
      </c>
      <c r="Z48" s="1">
        <v>9</v>
      </c>
      <c r="AA48" s="1">
        <v>5</v>
      </c>
      <c r="AB48" s="1">
        <v>7.6</v>
      </c>
      <c r="AC48" s="1">
        <v>11.8</v>
      </c>
      <c r="AD48" s="1">
        <v>5.6</v>
      </c>
      <c r="AE48" s="1">
        <v>8</v>
      </c>
      <c r="AF48" s="1">
        <v>8.1999999999999993</v>
      </c>
      <c r="AG48" s="1">
        <v>6.6</v>
      </c>
      <c r="AH48" s="1">
        <v>6.2</v>
      </c>
      <c r="AI48" s="1">
        <v>3.2</v>
      </c>
      <c r="AJ48" s="1"/>
      <c r="AK48" s="1">
        <f t="shared" si="6"/>
        <v>14.000000000000002</v>
      </c>
      <c r="AL48" s="1">
        <f t="shared" si="7"/>
        <v>0</v>
      </c>
      <c r="AM48" s="23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90</v>
      </c>
      <c r="B49" s="1" t="s">
        <v>34</v>
      </c>
      <c r="C49" s="1">
        <v>-14</v>
      </c>
      <c r="D49" s="1">
        <v>170</v>
      </c>
      <c r="E49" s="1">
        <v>18</v>
      </c>
      <c r="F49" s="1">
        <v>90</v>
      </c>
      <c r="G49" s="7">
        <v>0.2</v>
      </c>
      <c r="H49" s="1">
        <v>120</v>
      </c>
      <c r="I49" s="1"/>
      <c r="J49" s="1"/>
      <c r="K49" s="1">
        <v>18</v>
      </c>
      <c r="L49" s="1">
        <f t="shared" si="13"/>
        <v>0</v>
      </c>
      <c r="M49" s="1"/>
      <c r="N49" s="1"/>
      <c r="O49" s="1">
        <v>50</v>
      </c>
      <c r="P49" s="1">
        <f t="shared" si="14"/>
        <v>3.6</v>
      </c>
      <c r="Q49" s="5"/>
      <c r="R49" s="5"/>
      <c r="S49" s="19">
        <v>40</v>
      </c>
      <c r="T49" s="19">
        <f>VLOOKUP(A49,заказ!A:B,2,0)</f>
        <v>40</v>
      </c>
      <c r="U49" s="19"/>
      <c r="V49" s="1">
        <f>VLOOKUP(A49,[1]Sheet!$A:$S,19,0)</f>
        <v>120</v>
      </c>
      <c r="W49" s="1"/>
      <c r="X49" s="1">
        <f t="shared" si="5"/>
        <v>50</v>
      </c>
      <c r="Y49" s="1">
        <f t="shared" si="15"/>
        <v>38.888888888888886</v>
      </c>
      <c r="Z49" s="1">
        <v>3.2</v>
      </c>
      <c r="AA49" s="1">
        <v>7</v>
      </c>
      <c r="AB49" s="1">
        <v>2</v>
      </c>
      <c r="AC49" s="1">
        <v>5.4</v>
      </c>
      <c r="AD49" s="1">
        <v>5.2</v>
      </c>
      <c r="AE49" s="1">
        <v>2.6</v>
      </c>
      <c r="AF49" s="1">
        <v>1</v>
      </c>
      <c r="AG49" s="1">
        <v>8.1999999999999993</v>
      </c>
      <c r="AH49" s="1">
        <v>3.6</v>
      </c>
      <c r="AI49" s="1">
        <v>4</v>
      </c>
      <c r="AJ49" s="1"/>
      <c r="AK49" s="1">
        <f t="shared" si="6"/>
        <v>8</v>
      </c>
      <c r="AL49" s="1">
        <f t="shared" si="7"/>
        <v>0</v>
      </c>
      <c r="AM49" s="23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9" t="s">
        <v>91</v>
      </c>
      <c r="B50" s="9" t="s">
        <v>34</v>
      </c>
      <c r="C50" s="9">
        <v>20</v>
      </c>
      <c r="D50" s="9"/>
      <c r="E50" s="9"/>
      <c r="F50" s="9"/>
      <c r="G50" s="10">
        <v>0</v>
      </c>
      <c r="H50" s="9"/>
      <c r="I50" s="9" t="s">
        <v>84</v>
      </c>
      <c r="J50" s="9" t="s">
        <v>90</v>
      </c>
      <c r="K50" s="9"/>
      <c r="L50" s="9">
        <f t="shared" si="13"/>
        <v>0</v>
      </c>
      <c r="M50" s="9"/>
      <c r="N50" s="9"/>
      <c r="O50" s="9"/>
      <c r="P50" s="9">
        <f t="shared" si="14"/>
        <v>0</v>
      </c>
      <c r="Q50" s="11"/>
      <c r="R50" s="11"/>
      <c r="S50" s="19">
        <f t="shared" si="9"/>
        <v>0</v>
      </c>
      <c r="T50" s="19"/>
      <c r="U50" s="20"/>
      <c r="V50" s="1"/>
      <c r="W50" s="9"/>
      <c r="X50" s="1" t="e">
        <f t="shared" si="5"/>
        <v>#DIV/0!</v>
      </c>
      <c r="Y50" s="9" t="e">
        <f t="shared" si="15"/>
        <v>#DIV/0!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/>
      <c r="AK50" s="1">
        <f t="shared" si="6"/>
        <v>0</v>
      </c>
      <c r="AL50" s="1">
        <f t="shared" si="7"/>
        <v>0</v>
      </c>
      <c r="AM50" s="23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39</v>
      </c>
      <c r="C51" s="1">
        <v>160.86000000000001</v>
      </c>
      <c r="D51" s="1">
        <v>98.043999999999997</v>
      </c>
      <c r="E51" s="1">
        <v>209.88200000000001</v>
      </c>
      <c r="F51" s="1"/>
      <c r="G51" s="7">
        <v>1</v>
      </c>
      <c r="H51" s="1">
        <v>120</v>
      </c>
      <c r="I51" s="1" t="s">
        <v>40</v>
      </c>
      <c r="J51" s="1"/>
      <c r="K51" s="1">
        <v>357</v>
      </c>
      <c r="L51" s="1">
        <f t="shared" si="13"/>
        <v>-147.11799999999999</v>
      </c>
      <c r="M51" s="1"/>
      <c r="N51" s="1"/>
      <c r="O51" s="1">
        <v>495</v>
      </c>
      <c r="P51" s="1">
        <f t="shared" si="14"/>
        <v>41.976399999999998</v>
      </c>
      <c r="Q51" s="5">
        <f>15*P51-O51-F51</f>
        <v>134.64599999999996</v>
      </c>
      <c r="R51" s="5"/>
      <c r="S51" s="19">
        <v>150</v>
      </c>
      <c r="T51" s="19">
        <f>VLOOKUP(A51,заказ!A:B,2,0)</f>
        <v>150</v>
      </c>
      <c r="U51" s="19"/>
      <c r="V51" s="1">
        <f>VLOOKUP(A51,[1]Sheet!$A:$S,19,0)</f>
        <v>250</v>
      </c>
      <c r="W51" s="1"/>
      <c r="X51" s="1">
        <f t="shared" si="5"/>
        <v>15.365776960387265</v>
      </c>
      <c r="Y51" s="1">
        <f t="shared" si="15"/>
        <v>11.792340457971623</v>
      </c>
      <c r="Z51" s="1">
        <v>0.61639999999999995</v>
      </c>
      <c r="AA51" s="1">
        <v>0.63360000000000005</v>
      </c>
      <c r="AB51" s="1">
        <v>0</v>
      </c>
      <c r="AC51" s="1">
        <v>2.5788000000000002</v>
      </c>
      <c r="AD51" s="1">
        <v>10.383800000000001</v>
      </c>
      <c r="AE51" s="1">
        <v>0</v>
      </c>
      <c r="AF51" s="1">
        <v>0</v>
      </c>
      <c r="AG51" s="1">
        <v>0.83499999999999996</v>
      </c>
      <c r="AH51" s="1">
        <v>0</v>
      </c>
      <c r="AI51" s="1">
        <v>15.537599999999999</v>
      </c>
      <c r="AJ51" s="1" t="s">
        <v>103</v>
      </c>
      <c r="AK51" s="1">
        <f t="shared" si="6"/>
        <v>150</v>
      </c>
      <c r="AL51" s="1">
        <f t="shared" si="7"/>
        <v>0</v>
      </c>
      <c r="AM51" s="23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34</v>
      </c>
      <c r="C52" s="1">
        <v>-8</v>
      </c>
      <c r="D52" s="1">
        <v>84</v>
      </c>
      <c r="E52" s="1">
        <v>28</v>
      </c>
      <c r="F52" s="12">
        <f>44+F53</f>
        <v>43</v>
      </c>
      <c r="G52" s="7">
        <v>0.2</v>
      </c>
      <c r="H52" s="1">
        <v>120</v>
      </c>
      <c r="I52" s="1"/>
      <c r="J52" s="1"/>
      <c r="K52" s="1">
        <v>30</v>
      </c>
      <c r="L52" s="1">
        <f t="shared" si="13"/>
        <v>-2</v>
      </c>
      <c r="M52" s="1"/>
      <c r="N52" s="1"/>
      <c r="O52" s="1">
        <v>50</v>
      </c>
      <c r="P52" s="1">
        <f t="shared" si="14"/>
        <v>5.6</v>
      </c>
      <c r="Q52" s="5">
        <v>8</v>
      </c>
      <c r="R52" s="5"/>
      <c r="S52" s="19">
        <f t="shared" ref="S52" si="18">V52</f>
        <v>70</v>
      </c>
      <c r="T52" s="19">
        <f>VLOOKUP(A52,заказ!A:B,2,0)</f>
        <v>70</v>
      </c>
      <c r="U52" s="19"/>
      <c r="V52" s="1">
        <f>VLOOKUP(A52,[1]Sheet!$A:$S,19,0)</f>
        <v>70</v>
      </c>
      <c r="W52" s="1"/>
      <c r="X52" s="1">
        <f t="shared" si="5"/>
        <v>29.107142857142858</v>
      </c>
      <c r="Y52" s="1">
        <f t="shared" si="15"/>
        <v>16.607142857142858</v>
      </c>
      <c r="Z52" s="1">
        <v>4.4000000000000004</v>
      </c>
      <c r="AA52" s="1">
        <v>1.8</v>
      </c>
      <c r="AB52" s="1">
        <v>6</v>
      </c>
      <c r="AC52" s="1">
        <v>4.8</v>
      </c>
      <c r="AD52" s="1">
        <v>5.6</v>
      </c>
      <c r="AE52" s="1">
        <v>1.8</v>
      </c>
      <c r="AF52" s="1">
        <v>3.4</v>
      </c>
      <c r="AG52" s="1">
        <v>8.6</v>
      </c>
      <c r="AH52" s="1">
        <v>3.6</v>
      </c>
      <c r="AI52" s="1">
        <v>3.2</v>
      </c>
      <c r="AJ52" s="1"/>
      <c r="AK52" s="1">
        <f t="shared" si="6"/>
        <v>14</v>
      </c>
      <c r="AL52" s="1">
        <f t="shared" si="7"/>
        <v>0</v>
      </c>
      <c r="AM52" s="23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9" t="s">
        <v>94</v>
      </c>
      <c r="B53" s="9" t="s">
        <v>34</v>
      </c>
      <c r="C53" s="9">
        <v>34</v>
      </c>
      <c r="D53" s="9"/>
      <c r="E53" s="9"/>
      <c r="F53" s="12">
        <v>-1</v>
      </c>
      <c r="G53" s="10">
        <v>0</v>
      </c>
      <c r="H53" s="9"/>
      <c r="I53" s="9" t="s">
        <v>84</v>
      </c>
      <c r="J53" s="9" t="s">
        <v>93</v>
      </c>
      <c r="K53" s="9"/>
      <c r="L53" s="9">
        <f t="shared" si="13"/>
        <v>0</v>
      </c>
      <c r="M53" s="9"/>
      <c r="N53" s="9"/>
      <c r="O53" s="9"/>
      <c r="P53" s="9">
        <f t="shared" si="14"/>
        <v>0</v>
      </c>
      <c r="Q53" s="11"/>
      <c r="R53" s="11"/>
      <c r="S53" s="19">
        <f t="shared" si="9"/>
        <v>0</v>
      </c>
      <c r="T53" s="19"/>
      <c r="U53" s="20"/>
      <c r="V53" s="1"/>
      <c r="W53" s="9"/>
      <c r="X53" s="1" t="e">
        <f t="shared" si="5"/>
        <v>#DIV/0!</v>
      </c>
      <c r="Y53" s="9" t="e">
        <f t="shared" si="15"/>
        <v>#DIV/0!</v>
      </c>
      <c r="Z53" s="9">
        <v>0.8</v>
      </c>
      <c r="AA53" s="9">
        <v>1.2</v>
      </c>
      <c r="AB53" s="9">
        <v>0.6</v>
      </c>
      <c r="AC53" s="9">
        <v>0</v>
      </c>
      <c r="AD53" s="9">
        <v>0.8</v>
      </c>
      <c r="AE53" s="9">
        <v>0</v>
      </c>
      <c r="AF53" s="9">
        <v>0.2</v>
      </c>
      <c r="AG53" s="9">
        <v>2.8</v>
      </c>
      <c r="AH53" s="9">
        <v>0</v>
      </c>
      <c r="AI53" s="9">
        <v>0</v>
      </c>
      <c r="AJ53" s="9"/>
      <c r="AK53" s="1">
        <f t="shared" si="6"/>
        <v>0</v>
      </c>
      <c r="AL53" s="1">
        <f t="shared" si="7"/>
        <v>0</v>
      </c>
      <c r="AM53" s="23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9" t="s">
        <v>95</v>
      </c>
      <c r="B54" s="9" t="s">
        <v>39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84</v>
      </c>
      <c r="J54" s="9" t="s">
        <v>96</v>
      </c>
      <c r="K54" s="9"/>
      <c r="L54" s="9">
        <f t="shared" si="13"/>
        <v>0</v>
      </c>
      <c r="M54" s="9"/>
      <c r="N54" s="9"/>
      <c r="O54" s="9"/>
      <c r="P54" s="9">
        <f t="shared" si="14"/>
        <v>0</v>
      </c>
      <c r="Q54" s="11"/>
      <c r="R54" s="11"/>
      <c r="S54" s="19">
        <f t="shared" si="9"/>
        <v>0</v>
      </c>
      <c r="T54" s="19"/>
      <c r="U54" s="20"/>
      <c r="V54" s="1"/>
      <c r="W54" s="9"/>
      <c r="X54" s="1" t="e">
        <f t="shared" si="5"/>
        <v>#DIV/0!</v>
      </c>
      <c r="Y54" s="9" t="e">
        <f t="shared" si="15"/>
        <v>#DIV/0!</v>
      </c>
      <c r="Z54" s="9">
        <v>0.73480000000000001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/>
      <c r="AK54" s="1">
        <f t="shared" si="6"/>
        <v>0</v>
      </c>
      <c r="AL54" s="1">
        <f t="shared" si="7"/>
        <v>0</v>
      </c>
      <c r="AM54" s="23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39</v>
      </c>
      <c r="C55" s="1">
        <v>86.034000000000006</v>
      </c>
      <c r="D55" s="1">
        <v>395.06</v>
      </c>
      <c r="E55" s="1">
        <v>277.87799999999999</v>
      </c>
      <c r="F55" s="1"/>
      <c r="G55" s="7">
        <v>1</v>
      </c>
      <c r="H55" s="1">
        <v>120</v>
      </c>
      <c r="I55" s="1" t="s">
        <v>40</v>
      </c>
      <c r="J55" s="1"/>
      <c r="K55" s="1">
        <v>154.5</v>
      </c>
      <c r="L55" s="1">
        <f t="shared" si="13"/>
        <v>123.37799999999999</v>
      </c>
      <c r="M55" s="1"/>
      <c r="N55" s="1"/>
      <c r="O55" s="1">
        <v>195</v>
      </c>
      <c r="P55" s="1">
        <f t="shared" si="14"/>
        <v>55.575599999999994</v>
      </c>
      <c r="Q55" s="5">
        <f>8*P55-O55-F55</f>
        <v>249.60479999999995</v>
      </c>
      <c r="R55" s="5"/>
      <c r="S55" s="19">
        <f>V55</f>
        <v>500</v>
      </c>
      <c r="T55" s="19">
        <f>VLOOKUP(A55,заказ!A:B,2,0)</f>
        <v>495</v>
      </c>
      <c r="U55" s="19"/>
      <c r="V55" s="1">
        <f>VLOOKUP(A55,[1]Sheet!$A:$S,19,0)</f>
        <v>500</v>
      </c>
      <c r="W55" s="1"/>
      <c r="X55" s="1">
        <f t="shared" si="5"/>
        <v>12.505488019922414</v>
      </c>
      <c r="Y55" s="1">
        <f t="shared" si="15"/>
        <v>3.5087340487552097</v>
      </c>
      <c r="Z55" s="1">
        <v>7.6525999999999996</v>
      </c>
      <c r="AA55" s="1">
        <v>6.1512000000000002</v>
      </c>
      <c r="AB55" s="1">
        <v>13.141999999999999</v>
      </c>
      <c r="AC55" s="1">
        <v>4.5591999999999997</v>
      </c>
      <c r="AD55" s="1">
        <v>1.4184000000000001</v>
      </c>
      <c r="AE55" s="1">
        <v>15.4236</v>
      </c>
      <c r="AF55" s="1">
        <v>5.4283999999999999</v>
      </c>
      <c r="AG55" s="1">
        <v>6.0831999999999997</v>
      </c>
      <c r="AH55" s="1">
        <v>9.0995999999999988</v>
      </c>
      <c r="AI55" s="1">
        <v>9.1796000000000006</v>
      </c>
      <c r="AJ55" s="14" t="s">
        <v>102</v>
      </c>
      <c r="AK55" s="1">
        <f t="shared" si="6"/>
        <v>500</v>
      </c>
      <c r="AL55" s="1">
        <f t="shared" si="7"/>
        <v>0</v>
      </c>
      <c r="AM55" s="23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7"/>
      <c r="T56" s="17"/>
      <c r="U56" s="1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3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7"/>
      <c r="T57" s="17"/>
      <c r="U57" s="1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3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7"/>
      <c r="T58" s="17"/>
      <c r="U58" s="1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3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7"/>
      <c r="T59" s="17"/>
      <c r="U59" s="1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3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7"/>
      <c r="T60" s="17"/>
      <c r="U60" s="1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3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7"/>
      <c r="T61" s="17"/>
      <c r="U61" s="17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3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7"/>
      <c r="T62" s="17"/>
      <c r="U62" s="1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3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7"/>
      <c r="T63" s="17"/>
      <c r="U63" s="17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3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7"/>
      <c r="T64" s="17"/>
      <c r="U64" s="1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3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7"/>
      <c r="T65" s="17"/>
      <c r="U65" s="1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3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7"/>
      <c r="T66" s="17"/>
      <c r="U66" s="1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3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7"/>
      <c r="T67" s="17"/>
      <c r="U67" s="1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3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7"/>
      <c r="T68" s="17"/>
      <c r="U68" s="1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3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7"/>
      <c r="T69" s="17"/>
      <c r="U69" s="17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3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7"/>
      <c r="T70" s="17"/>
      <c r="U70" s="1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3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7"/>
      <c r="T71" s="17"/>
      <c r="U71" s="17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3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7"/>
      <c r="T72" s="17"/>
      <c r="U72" s="1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3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7"/>
      <c r="T73" s="17"/>
      <c r="U73" s="17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3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7"/>
      <c r="T74" s="17"/>
      <c r="U74" s="17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3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7"/>
      <c r="T75" s="17"/>
      <c r="U75" s="17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3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7"/>
      <c r="T76" s="17"/>
      <c r="U76" s="1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3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7"/>
      <c r="T77" s="17"/>
      <c r="U77" s="17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3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7"/>
      <c r="T78" s="17"/>
      <c r="U78" s="17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3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7"/>
      <c r="T79" s="17"/>
      <c r="U79" s="1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3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7"/>
      <c r="T80" s="17"/>
      <c r="U80" s="1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3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7"/>
      <c r="T81" s="17"/>
      <c r="U81" s="1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3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7"/>
      <c r="T82" s="17"/>
      <c r="U82" s="1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3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7"/>
      <c r="T83" s="17"/>
      <c r="U83" s="1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3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7"/>
      <c r="T84" s="17"/>
      <c r="U84" s="1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3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7"/>
      <c r="T85" s="17"/>
      <c r="U85" s="1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3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7"/>
      <c r="T86" s="17"/>
      <c r="U86" s="1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3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7"/>
      <c r="T87" s="17"/>
      <c r="U87" s="1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3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7"/>
      <c r="T88" s="17"/>
      <c r="U88" s="1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3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7"/>
      <c r="T89" s="17"/>
      <c r="U89" s="1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3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7"/>
      <c r="T90" s="17"/>
      <c r="U90" s="1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3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7"/>
      <c r="T91" s="17"/>
      <c r="U91" s="1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3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7"/>
      <c r="T92" s="17"/>
      <c r="U92" s="1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3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7"/>
      <c r="T93" s="17"/>
      <c r="U93" s="1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3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7"/>
      <c r="T94" s="17"/>
      <c r="U94" s="1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3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7"/>
      <c r="T95" s="17"/>
      <c r="U95" s="1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3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7"/>
      <c r="T96" s="17"/>
      <c r="U96" s="1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3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7"/>
      <c r="T97" s="17"/>
      <c r="U97" s="1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3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7"/>
      <c r="T98" s="17"/>
      <c r="U98" s="1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3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7"/>
      <c r="T99" s="17"/>
      <c r="U99" s="1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3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7"/>
      <c r="T100" s="17"/>
      <c r="U100" s="1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3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7"/>
      <c r="T101" s="17"/>
      <c r="U101" s="1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3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7"/>
      <c r="T102" s="17"/>
      <c r="U102" s="1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3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7"/>
      <c r="T103" s="17"/>
      <c r="U103" s="1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3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7"/>
      <c r="T104" s="17"/>
      <c r="U104" s="1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3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7"/>
      <c r="T105" s="17"/>
      <c r="U105" s="1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3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7"/>
      <c r="T106" s="17"/>
      <c r="U106" s="1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3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7"/>
      <c r="T107" s="17"/>
      <c r="U107" s="1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3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7"/>
      <c r="T108" s="17"/>
      <c r="U108" s="1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3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7"/>
      <c r="T109" s="17"/>
      <c r="U109" s="1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3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7"/>
      <c r="T110" s="17"/>
      <c r="U110" s="1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3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7"/>
      <c r="T111" s="17"/>
      <c r="U111" s="17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3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7"/>
      <c r="T112" s="17"/>
      <c r="U112" s="17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3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7"/>
      <c r="T113" s="17"/>
      <c r="U113" s="17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3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7"/>
      <c r="T114" s="17"/>
      <c r="U114" s="17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3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7"/>
      <c r="T115" s="17"/>
      <c r="U115" s="17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3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7"/>
      <c r="T116" s="17"/>
      <c r="U116" s="17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3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7"/>
      <c r="T117" s="17"/>
      <c r="U117" s="17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3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7"/>
      <c r="T118" s="17"/>
      <c r="U118" s="17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3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7"/>
      <c r="T119" s="17"/>
      <c r="U119" s="17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3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7"/>
      <c r="T120" s="17"/>
      <c r="U120" s="17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3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7"/>
      <c r="T121" s="17"/>
      <c r="U121" s="17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3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7"/>
      <c r="T122" s="17"/>
      <c r="U122" s="17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3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7"/>
      <c r="T123" s="17"/>
      <c r="U123" s="17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3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7"/>
      <c r="T124" s="17"/>
      <c r="U124" s="1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3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7"/>
      <c r="T125" s="17"/>
      <c r="U125" s="1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3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7"/>
      <c r="T126" s="17"/>
      <c r="U126" s="1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3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7"/>
      <c r="T127" s="17"/>
      <c r="U127" s="1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3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7"/>
      <c r="T128" s="17"/>
      <c r="U128" s="1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3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7"/>
      <c r="T129" s="17"/>
      <c r="U129" s="1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3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7"/>
      <c r="T130" s="17"/>
      <c r="U130" s="17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3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7"/>
      <c r="T131" s="17"/>
      <c r="U131" s="17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3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7"/>
      <c r="T132" s="17"/>
      <c r="U132" s="17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3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7"/>
      <c r="T133" s="17"/>
      <c r="U133" s="17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3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7"/>
      <c r="T134" s="17"/>
      <c r="U134" s="17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3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7"/>
      <c r="T135" s="17"/>
      <c r="U135" s="17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3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7"/>
      <c r="T136" s="17"/>
      <c r="U136" s="17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3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7"/>
      <c r="T137" s="17"/>
      <c r="U137" s="17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3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7"/>
      <c r="T138" s="17"/>
      <c r="U138" s="17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3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7"/>
      <c r="T139" s="17"/>
      <c r="U139" s="17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3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7"/>
      <c r="T140" s="17"/>
      <c r="U140" s="17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3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7"/>
      <c r="T141" s="17"/>
      <c r="U141" s="17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3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7"/>
      <c r="T142" s="17"/>
      <c r="U142" s="17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3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7"/>
      <c r="T143" s="17"/>
      <c r="U143" s="17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3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7"/>
      <c r="T144" s="17"/>
      <c r="U144" s="17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3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7"/>
      <c r="T145" s="17"/>
      <c r="U145" s="17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3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7"/>
      <c r="T146" s="17"/>
      <c r="U146" s="17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3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7"/>
      <c r="T147" s="17"/>
      <c r="U147" s="17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3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7"/>
      <c r="T148" s="17"/>
      <c r="U148" s="17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3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7"/>
      <c r="T149" s="17"/>
      <c r="U149" s="17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3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7"/>
      <c r="T150" s="17"/>
      <c r="U150" s="17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3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7"/>
      <c r="T151" s="17"/>
      <c r="U151" s="17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3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7"/>
      <c r="T152" s="17"/>
      <c r="U152" s="17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3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7"/>
      <c r="T153" s="17"/>
      <c r="U153" s="17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3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7"/>
      <c r="T154" s="17"/>
      <c r="U154" s="17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3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7"/>
      <c r="T155" s="17"/>
      <c r="U155" s="17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3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7"/>
      <c r="T156" s="17"/>
      <c r="U156" s="17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3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7"/>
      <c r="T157" s="17"/>
      <c r="U157" s="17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3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7"/>
      <c r="T158" s="17"/>
      <c r="U158" s="17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3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7"/>
      <c r="T159" s="17"/>
      <c r="U159" s="17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3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7"/>
      <c r="T160" s="17"/>
      <c r="U160" s="17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3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7"/>
      <c r="T161" s="17"/>
      <c r="U161" s="17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3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7"/>
      <c r="T162" s="17"/>
      <c r="U162" s="17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3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7"/>
      <c r="T163" s="17"/>
      <c r="U163" s="17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3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7"/>
      <c r="T164" s="17"/>
      <c r="U164" s="17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3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7"/>
      <c r="T165" s="17"/>
      <c r="U165" s="17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3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7"/>
      <c r="T166" s="17"/>
      <c r="U166" s="17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3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7"/>
      <c r="T167" s="17"/>
      <c r="U167" s="17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3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7"/>
      <c r="T168" s="17"/>
      <c r="U168" s="17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3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7"/>
      <c r="T169" s="17"/>
      <c r="U169" s="17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3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7"/>
      <c r="T170" s="17"/>
      <c r="U170" s="17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3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7"/>
      <c r="T171" s="17"/>
      <c r="U171" s="17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3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7"/>
      <c r="T172" s="17"/>
      <c r="U172" s="17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3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7"/>
      <c r="T173" s="17"/>
      <c r="U173" s="17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3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7"/>
      <c r="T174" s="17"/>
      <c r="U174" s="17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3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7"/>
      <c r="T175" s="17"/>
      <c r="U175" s="17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3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7"/>
      <c r="T176" s="17"/>
      <c r="U176" s="17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3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7"/>
      <c r="T177" s="17"/>
      <c r="U177" s="17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3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7"/>
      <c r="T178" s="17"/>
      <c r="U178" s="17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3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7"/>
      <c r="T179" s="17"/>
      <c r="U179" s="17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3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7"/>
      <c r="T180" s="17"/>
      <c r="U180" s="17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3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7"/>
      <c r="T181" s="17"/>
      <c r="U181" s="17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3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7"/>
      <c r="T182" s="17"/>
      <c r="U182" s="17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3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7"/>
      <c r="T183" s="17"/>
      <c r="U183" s="17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3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7"/>
      <c r="T184" s="17"/>
      <c r="U184" s="17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3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7"/>
      <c r="T185" s="17"/>
      <c r="U185" s="17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3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7"/>
      <c r="T186" s="17"/>
      <c r="U186" s="17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3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7"/>
      <c r="T187" s="17"/>
      <c r="U187" s="17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3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7"/>
      <c r="T188" s="17"/>
      <c r="U188" s="17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3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7"/>
      <c r="T189" s="17"/>
      <c r="U189" s="17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3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7"/>
      <c r="T190" s="17"/>
      <c r="U190" s="17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3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7"/>
      <c r="T191" s="17"/>
      <c r="U191" s="17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3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7"/>
      <c r="T192" s="17"/>
      <c r="U192" s="17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3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7"/>
      <c r="T193" s="17"/>
      <c r="U193" s="17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3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7"/>
      <c r="T194" s="17"/>
      <c r="U194" s="17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3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7"/>
      <c r="T195" s="17"/>
      <c r="U195" s="17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3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7"/>
      <c r="T196" s="17"/>
      <c r="U196" s="17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3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7"/>
      <c r="T197" s="17"/>
      <c r="U197" s="17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3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7"/>
      <c r="T198" s="17"/>
      <c r="U198" s="17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3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7"/>
      <c r="T199" s="17"/>
      <c r="U199" s="17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3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7"/>
      <c r="T200" s="17"/>
      <c r="U200" s="17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3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7"/>
      <c r="T201" s="17"/>
      <c r="U201" s="17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3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7"/>
      <c r="T202" s="17"/>
      <c r="U202" s="17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3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7"/>
      <c r="T203" s="17"/>
      <c r="U203" s="17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3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7"/>
      <c r="T204" s="17"/>
      <c r="U204" s="17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3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7"/>
      <c r="T205" s="17"/>
      <c r="U205" s="17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3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7"/>
      <c r="T206" s="17"/>
      <c r="U206" s="17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3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7"/>
      <c r="T207" s="17"/>
      <c r="U207" s="17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3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7"/>
      <c r="T208" s="17"/>
      <c r="U208" s="17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3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7"/>
      <c r="T209" s="17"/>
      <c r="U209" s="17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3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7"/>
      <c r="T210" s="17"/>
      <c r="U210" s="17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3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7"/>
      <c r="T211" s="17"/>
      <c r="U211" s="17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3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7"/>
      <c r="T212" s="17"/>
      <c r="U212" s="17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3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7"/>
      <c r="T213" s="17"/>
      <c r="U213" s="17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3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7"/>
      <c r="T214" s="17"/>
      <c r="U214" s="17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3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7"/>
      <c r="T215" s="17"/>
      <c r="U215" s="17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3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7"/>
      <c r="T216" s="17"/>
      <c r="U216" s="17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3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7"/>
      <c r="T217" s="17"/>
      <c r="U217" s="17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3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7"/>
      <c r="T218" s="17"/>
      <c r="U218" s="17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3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7"/>
      <c r="T219" s="17"/>
      <c r="U219" s="17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3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7"/>
      <c r="T220" s="17"/>
      <c r="U220" s="17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3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7"/>
      <c r="T221" s="17"/>
      <c r="U221" s="17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3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7"/>
      <c r="T222" s="17"/>
      <c r="U222" s="17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3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7"/>
      <c r="T223" s="17"/>
      <c r="U223" s="17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3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7"/>
      <c r="T224" s="17"/>
      <c r="U224" s="17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3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7"/>
      <c r="T225" s="17"/>
      <c r="U225" s="17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3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7"/>
      <c r="T226" s="17"/>
      <c r="U226" s="17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3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7"/>
      <c r="T227" s="17"/>
      <c r="U227" s="17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3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7"/>
      <c r="T228" s="17"/>
      <c r="U228" s="17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3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7"/>
      <c r="T229" s="17"/>
      <c r="U229" s="17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3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7"/>
      <c r="T230" s="17"/>
      <c r="U230" s="17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3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7"/>
      <c r="T231" s="17"/>
      <c r="U231" s="17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3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7"/>
      <c r="T232" s="17"/>
      <c r="U232" s="17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3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7"/>
      <c r="T233" s="17"/>
      <c r="U233" s="17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3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7"/>
      <c r="T234" s="17"/>
      <c r="U234" s="17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3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7"/>
      <c r="T235" s="17"/>
      <c r="U235" s="17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3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7"/>
      <c r="T236" s="17"/>
      <c r="U236" s="17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3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7"/>
      <c r="T237" s="17"/>
      <c r="U237" s="17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3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7"/>
      <c r="T238" s="17"/>
      <c r="U238" s="17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3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7"/>
      <c r="T239" s="17"/>
      <c r="U239" s="17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3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7"/>
      <c r="T240" s="17"/>
      <c r="U240" s="17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3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7"/>
      <c r="T241" s="17"/>
      <c r="U241" s="17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3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7"/>
      <c r="T242" s="17"/>
      <c r="U242" s="17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3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7"/>
      <c r="T243" s="17"/>
      <c r="U243" s="17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3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7"/>
      <c r="T244" s="17"/>
      <c r="U244" s="17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3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7"/>
      <c r="T245" s="17"/>
      <c r="U245" s="17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3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7"/>
      <c r="T246" s="17"/>
      <c r="U246" s="17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3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7"/>
      <c r="T247" s="17"/>
      <c r="U247" s="17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3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7"/>
      <c r="T248" s="17"/>
      <c r="U248" s="17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3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7"/>
      <c r="T249" s="17"/>
      <c r="U249" s="17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3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7"/>
      <c r="T250" s="17"/>
      <c r="U250" s="17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3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7"/>
      <c r="T251" s="17"/>
      <c r="U251" s="17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3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7"/>
      <c r="T252" s="17"/>
      <c r="U252" s="17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3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7"/>
      <c r="T253" s="17"/>
      <c r="U253" s="17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3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7"/>
      <c r="T254" s="17"/>
      <c r="U254" s="17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3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7"/>
      <c r="T255" s="17"/>
      <c r="U255" s="17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3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7"/>
      <c r="T256" s="17"/>
      <c r="U256" s="17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3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7"/>
      <c r="T257" s="17"/>
      <c r="U257" s="17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3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7"/>
      <c r="T258" s="17"/>
      <c r="U258" s="17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3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7"/>
      <c r="T259" s="17"/>
      <c r="U259" s="17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3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7"/>
      <c r="T260" s="17"/>
      <c r="U260" s="17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3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7"/>
      <c r="T261" s="17"/>
      <c r="U261" s="17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3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7"/>
      <c r="T262" s="17"/>
      <c r="U262" s="17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3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7"/>
      <c r="T263" s="17"/>
      <c r="U263" s="17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3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7"/>
      <c r="T264" s="17"/>
      <c r="U264" s="17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3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7"/>
      <c r="T265" s="17"/>
      <c r="U265" s="17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3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7"/>
      <c r="T266" s="17"/>
      <c r="U266" s="17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3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7"/>
      <c r="T267" s="17"/>
      <c r="U267" s="17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3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7"/>
      <c r="T268" s="17"/>
      <c r="U268" s="17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3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7"/>
      <c r="T269" s="17"/>
      <c r="U269" s="17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3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7"/>
      <c r="T270" s="17"/>
      <c r="U270" s="17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3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7"/>
      <c r="T271" s="17"/>
      <c r="U271" s="17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3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7"/>
      <c r="T272" s="17"/>
      <c r="U272" s="17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3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7"/>
      <c r="T273" s="17"/>
      <c r="U273" s="17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3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7"/>
      <c r="T274" s="17"/>
      <c r="U274" s="17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3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7"/>
      <c r="T275" s="17"/>
      <c r="U275" s="17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3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7"/>
      <c r="T276" s="17"/>
      <c r="U276" s="17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3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7"/>
      <c r="T277" s="17"/>
      <c r="U277" s="17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3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7"/>
      <c r="T278" s="17"/>
      <c r="U278" s="17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3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7"/>
      <c r="T279" s="17"/>
      <c r="U279" s="17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3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7"/>
      <c r="T280" s="17"/>
      <c r="U280" s="17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3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7"/>
      <c r="T281" s="17"/>
      <c r="U281" s="17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3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7"/>
      <c r="T282" s="17"/>
      <c r="U282" s="17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3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7"/>
      <c r="T283" s="17"/>
      <c r="U283" s="17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3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7"/>
      <c r="T284" s="17"/>
      <c r="U284" s="17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3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7"/>
      <c r="T285" s="17"/>
      <c r="U285" s="17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3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7"/>
      <c r="T286" s="17"/>
      <c r="U286" s="17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3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7"/>
      <c r="T287" s="17"/>
      <c r="U287" s="17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3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7"/>
      <c r="T288" s="17"/>
      <c r="U288" s="17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3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7"/>
      <c r="T289" s="17"/>
      <c r="U289" s="17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3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7"/>
      <c r="T290" s="17"/>
      <c r="U290" s="17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3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7"/>
      <c r="T291" s="17"/>
      <c r="U291" s="17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3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7"/>
      <c r="T292" s="17"/>
      <c r="U292" s="17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3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7"/>
      <c r="T293" s="17"/>
      <c r="U293" s="17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3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7"/>
      <c r="T294" s="17"/>
      <c r="U294" s="17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3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7"/>
      <c r="T295" s="17"/>
      <c r="U295" s="17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3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7"/>
      <c r="T296" s="17"/>
      <c r="U296" s="17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3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7"/>
      <c r="T297" s="17"/>
      <c r="U297" s="17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3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7"/>
      <c r="T298" s="17"/>
      <c r="U298" s="17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3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7"/>
      <c r="T299" s="17"/>
      <c r="U299" s="17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3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7"/>
      <c r="T300" s="17"/>
      <c r="U300" s="17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3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7"/>
      <c r="T301" s="17"/>
      <c r="U301" s="17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3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7"/>
      <c r="T302" s="17"/>
      <c r="U302" s="17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3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7"/>
      <c r="T303" s="17"/>
      <c r="U303" s="17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3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7"/>
      <c r="T304" s="17"/>
      <c r="U304" s="17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3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7"/>
      <c r="T305" s="17"/>
      <c r="U305" s="17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3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7"/>
      <c r="T306" s="17"/>
      <c r="U306" s="17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3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7"/>
      <c r="T307" s="17"/>
      <c r="U307" s="17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3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7"/>
      <c r="T308" s="17"/>
      <c r="U308" s="17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3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7"/>
      <c r="T309" s="17"/>
      <c r="U309" s="17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3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7"/>
      <c r="T310" s="17"/>
      <c r="U310" s="17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3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7"/>
      <c r="T311" s="17"/>
      <c r="U311" s="17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3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7"/>
      <c r="T312" s="17"/>
      <c r="U312" s="17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3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7"/>
      <c r="T313" s="17"/>
      <c r="U313" s="17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3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7"/>
      <c r="T314" s="17"/>
      <c r="U314" s="17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3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7"/>
      <c r="T315" s="17"/>
      <c r="U315" s="17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3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7"/>
      <c r="T316" s="17"/>
      <c r="U316" s="17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3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7"/>
      <c r="T317" s="17"/>
      <c r="U317" s="17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3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7"/>
      <c r="T318" s="17"/>
      <c r="U318" s="17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3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7"/>
      <c r="T319" s="17"/>
      <c r="U319" s="17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3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7"/>
      <c r="T320" s="17"/>
      <c r="U320" s="17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3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7"/>
      <c r="T321" s="17"/>
      <c r="U321" s="17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3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7"/>
      <c r="T322" s="17"/>
      <c r="U322" s="17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3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7"/>
      <c r="T323" s="17"/>
      <c r="U323" s="17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3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7"/>
      <c r="T324" s="17"/>
      <c r="U324" s="17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3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7"/>
      <c r="T325" s="17"/>
      <c r="U325" s="17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3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7"/>
      <c r="T326" s="17"/>
      <c r="U326" s="17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3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7"/>
      <c r="T327" s="17"/>
      <c r="U327" s="17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3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7"/>
      <c r="T328" s="17"/>
      <c r="U328" s="17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3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7"/>
      <c r="T329" s="17"/>
      <c r="U329" s="17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3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7"/>
      <c r="T330" s="17"/>
      <c r="U330" s="17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3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7"/>
      <c r="T331" s="17"/>
      <c r="U331" s="17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3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7"/>
      <c r="T332" s="17"/>
      <c r="U332" s="17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3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7"/>
      <c r="T333" s="17"/>
      <c r="U333" s="17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3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7"/>
      <c r="T334" s="17"/>
      <c r="U334" s="17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3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7"/>
      <c r="T335" s="17"/>
      <c r="U335" s="17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3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7"/>
      <c r="T336" s="17"/>
      <c r="U336" s="17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3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7"/>
      <c r="T337" s="17"/>
      <c r="U337" s="17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3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7"/>
      <c r="T338" s="17"/>
      <c r="U338" s="17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3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7"/>
      <c r="T339" s="17"/>
      <c r="U339" s="17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3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7"/>
      <c r="T340" s="17"/>
      <c r="U340" s="17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3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7"/>
      <c r="T341" s="17"/>
      <c r="U341" s="17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3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7"/>
      <c r="T342" s="17"/>
      <c r="U342" s="17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3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7"/>
      <c r="T343" s="17"/>
      <c r="U343" s="17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3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7"/>
      <c r="T344" s="17"/>
      <c r="U344" s="17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3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7"/>
      <c r="T345" s="17"/>
      <c r="U345" s="17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3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7"/>
      <c r="T346" s="17"/>
      <c r="U346" s="17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3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7"/>
      <c r="T347" s="17"/>
      <c r="U347" s="17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3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7"/>
      <c r="T348" s="17"/>
      <c r="U348" s="17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3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7"/>
      <c r="T349" s="17"/>
      <c r="U349" s="17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3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7"/>
      <c r="T350" s="17"/>
      <c r="U350" s="17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3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7"/>
      <c r="T351" s="17"/>
      <c r="U351" s="17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3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7"/>
      <c r="T352" s="17"/>
      <c r="U352" s="17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3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7"/>
      <c r="T353" s="17"/>
      <c r="U353" s="17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3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7"/>
      <c r="T354" s="17"/>
      <c r="U354" s="17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3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7"/>
      <c r="T355" s="17"/>
      <c r="U355" s="17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3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7"/>
      <c r="T356" s="17"/>
      <c r="U356" s="17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3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7"/>
      <c r="T357" s="17"/>
      <c r="U357" s="17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3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7"/>
      <c r="T358" s="17"/>
      <c r="U358" s="17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3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7"/>
      <c r="T359" s="17"/>
      <c r="U359" s="17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3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7"/>
      <c r="T360" s="17"/>
      <c r="U360" s="17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3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7"/>
      <c r="T361" s="17"/>
      <c r="U361" s="17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3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7"/>
      <c r="T362" s="17"/>
      <c r="U362" s="17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3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7"/>
      <c r="T363" s="17"/>
      <c r="U363" s="17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3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7"/>
      <c r="T364" s="17"/>
      <c r="U364" s="17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3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7"/>
      <c r="T365" s="17"/>
      <c r="U365" s="17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3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7"/>
      <c r="T366" s="17"/>
      <c r="U366" s="17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3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7"/>
      <c r="T367" s="17"/>
      <c r="U367" s="17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3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7"/>
      <c r="T368" s="17"/>
      <c r="U368" s="17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3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7"/>
      <c r="T369" s="17"/>
      <c r="U369" s="17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3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7"/>
      <c r="T370" s="17"/>
      <c r="U370" s="17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3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7"/>
      <c r="T371" s="17"/>
      <c r="U371" s="17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3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7"/>
      <c r="T372" s="17"/>
      <c r="U372" s="17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3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7"/>
      <c r="T373" s="17"/>
      <c r="U373" s="17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3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7"/>
      <c r="T374" s="17"/>
      <c r="U374" s="17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3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7"/>
      <c r="T375" s="17"/>
      <c r="U375" s="17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3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7"/>
      <c r="T376" s="17"/>
      <c r="U376" s="17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3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7"/>
      <c r="T377" s="17"/>
      <c r="U377" s="17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3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7"/>
      <c r="T378" s="17"/>
      <c r="U378" s="17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3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7"/>
      <c r="T379" s="17"/>
      <c r="U379" s="17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3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7"/>
      <c r="T380" s="17"/>
      <c r="U380" s="17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3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7"/>
      <c r="T381" s="17"/>
      <c r="U381" s="17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3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7"/>
      <c r="T382" s="17"/>
      <c r="U382" s="17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3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7"/>
      <c r="T383" s="17"/>
      <c r="U383" s="17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3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7"/>
      <c r="T384" s="17"/>
      <c r="U384" s="17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3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7"/>
      <c r="T385" s="17"/>
      <c r="U385" s="17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3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7"/>
      <c r="T386" s="17"/>
      <c r="U386" s="17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3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7"/>
      <c r="T387" s="17"/>
      <c r="U387" s="17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3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7"/>
      <c r="T388" s="17"/>
      <c r="U388" s="17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3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7"/>
      <c r="T389" s="17"/>
      <c r="U389" s="17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3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7"/>
      <c r="T390" s="17"/>
      <c r="U390" s="17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3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7"/>
      <c r="T391" s="17"/>
      <c r="U391" s="17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3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7"/>
      <c r="T392" s="17"/>
      <c r="U392" s="17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3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7"/>
      <c r="T393" s="17"/>
      <c r="U393" s="17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3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7"/>
      <c r="T394" s="17"/>
      <c r="U394" s="17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3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7"/>
      <c r="T395" s="17"/>
      <c r="U395" s="17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3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7"/>
      <c r="T396" s="17"/>
      <c r="U396" s="17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3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7"/>
      <c r="T397" s="17"/>
      <c r="U397" s="17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3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7"/>
      <c r="T398" s="17"/>
      <c r="U398" s="17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3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7"/>
      <c r="T399" s="17"/>
      <c r="U399" s="17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3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7"/>
      <c r="T400" s="17"/>
      <c r="U400" s="17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3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7"/>
      <c r="T401" s="17"/>
      <c r="U401" s="17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3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7"/>
      <c r="T402" s="17"/>
      <c r="U402" s="17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3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7"/>
      <c r="T403" s="17"/>
      <c r="U403" s="17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3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7"/>
      <c r="T404" s="17"/>
      <c r="U404" s="17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3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7"/>
      <c r="T405" s="17"/>
      <c r="U405" s="17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3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7"/>
      <c r="T406" s="17"/>
      <c r="U406" s="17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3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7"/>
      <c r="T407" s="17"/>
      <c r="U407" s="17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3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7"/>
      <c r="T408" s="17"/>
      <c r="U408" s="17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3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7"/>
      <c r="T409" s="17"/>
      <c r="U409" s="17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3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7"/>
      <c r="T410" s="17"/>
      <c r="U410" s="17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3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7"/>
      <c r="T411" s="17"/>
      <c r="U411" s="17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3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7"/>
      <c r="T412" s="17"/>
      <c r="U412" s="17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3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7"/>
      <c r="T413" s="17"/>
      <c r="U413" s="17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3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7"/>
      <c r="T414" s="17"/>
      <c r="U414" s="17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3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7"/>
      <c r="T415" s="17"/>
      <c r="U415" s="17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3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7"/>
      <c r="T416" s="17"/>
      <c r="U416" s="17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3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7"/>
      <c r="T417" s="17"/>
      <c r="U417" s="17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3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7"/>
      <c r="T418" s="17"/>
      <c r="U418" s="17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3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7"/>
      <c r="T419" s="17"/>
      <c r="U419" s="17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3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7"/>
      <c r="T420" s="17"/>
      <c r="U420" s="17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3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7"/>
      <c r="T421" s="17"/>
      <c r="U421" s="17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3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7"/>
      <c r="T422" s="17"/>
      <c r="U422" s="17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3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7"/>
      <c r="T423" s="17"/>
      <c r="U423" s="17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3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7"/>
      <c r="T424" s="17"/>
      <c r="U424" s="17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3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7"/>
      <c r="T425" s="17"/>
      <c r="U425" s="17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3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7"/>
      <c r="T426" s="17"/>
      <c r="U426" s="17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3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7"/>
      <c r="T427" s="17"/>
      <c r="U427" s="17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3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7"/>
      <c r="T428" s="17"/>
      <c r="U428" s="17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3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7"/>
      <c r="T429" s="17"/>
      <c r="U429" s="17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3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7"/>
      <c r="T430" s="17"/>
      <c r="U430" s="17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3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7"/>
      <c r="T431" s="17"/>
      <c r="U431" s="17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3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7"/>
      <c r="T432" s="17"/>
      <c r="U432" s="17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3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7"/>
      <c r="T433" s="17"/>
      <c r="U433" s="17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3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7"/>
      <c r="T434" s="17"/>
      <c r="U434" s="17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3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7"/>
      <c r="T435" s="17"/>
      <c r="U435" s="17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3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7"/>
      <c r="T436" s="17"/>
      <c r="U436" s="17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3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7"/>
      <c r="T437" s="17"/>
      <c r="U437" s="17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3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7"/>
      <c r="T438" s="17"/>
      <c r="U438" s="17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3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7"/>
      <c r="T439" s="17"/>
      <c r="U439" s="17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3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7"/>
      <c r="T440" s="17"/>
      <c r="U440" s="17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3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7"/>
      <c r="T441" s="17"/>
      <c r="U441" s="17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3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7"/>
      <c r="T442" s="17"/>
      <c r="U442" s="17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3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7"/>
      <c r="T443" s="17"/>
      <c r="U443" s="17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3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7"/>
      <c r="T444" s="17"/>
      <c r="U444" s="17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3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7"/>
      <c r="T445" s="17"/>
      <c r="U445" s="17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3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7"/>
      <c r="T446" s="17"/>
      <c r="U446" s="17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3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7"/>
      <c r="T447" s="17"/>
      <c r="U447" s="17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3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7"/>
      <c r="T448" s="17"/>
      <c r="U448" s="17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3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7"/>
      <c r="T449" s="17"/>
      <c r="U449" s="17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3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7"/>
      <c r="T450" s="17"/>
      <c r="U450" s="17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3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7"/>
      <c r="T451" s="17"/>
      <c r="U451" s="17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3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7"/>
      <c r="T452" s="17"/>
      <c r="U452" s="17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3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7"/>
      <c r="T453" s="17"/>
      <c r="U453" s="17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3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7"/>
      <c r="T454" s="17"/>
      <c r="U454" s="17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3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7"/>
      <c r="T455" s="17"/>
      <c r="U455" s="17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3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7"/>
      <c r="T456" s="17"/>
      <c r="U456" s="17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3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7"/>
      <c r="T457" s="17"/>
      <c r="U457" s="17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3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7"/>
      <c r="T458" s="17"/>
      <c r="U458" s="17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3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7"/>
      <c r="T459" s="17"/>
      <c r="U459" s="17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3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7"/>
      <c r="T460" s="17"/>
      <c r="U460" s="17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3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7"/>
      <c r="T461" s="17"/>
      <c r="U461" s="17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3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7"/>
      <c r="T462" s="17"/>
      <c r="U462" s="17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3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7"/>
      <c r="T463" s="17"/>
      <c r="U463" s="17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3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7"/>
      <c r="T464" s="17"/>
      <c r="U464" s="17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3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7"/>
      <c r="T465" s="17"/>
      <c r="U465" s="17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3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7"/>
      <c r="T466" s="17"/>
      <c r="U466" s="17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3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7"/>
      <c r="T467" s="17"/>
      <c r="U467" s="17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3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7"/>
      <c r="T468" s="17"/>
      <c r="U468" s="17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3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7"/>
      <c r="T469" s="17"/>
      <c r="U469" s="17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3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7"/>
      <c r="T470" s="17"/>
      <c r="U470" s="17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3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7"/>
      <c r="T471" s="17"/>
      <c r="U471" s="17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3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7"/>
      <c r="T472" s="17"/>
      <c r="U472" s="17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3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7"/>
      <c r="T473" s="17"/>
      <c r="U473" s="17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3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7"/>
      <c r="T474" s="17"/>
      <c r="U474" s="17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3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7"/>
      <c r="T475" s="17"/>
      <c r="U475" s="17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3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7"/>
      <c r="T476" s="17"/>
      <c r="U476" s="17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3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7"/>
      <c r="T477" s="17"/>
      <c r="U477" s="17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3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7"/>
      <c r="T478" s="17"/>
      <c r="U478" s="17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3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7"/>
      <c r="T479" s="17"/>
      <c r="U479" s="17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3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7"/>
      <c r="T480" s="17"/>
      <c r="U480" s="17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3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7"/>
      <c r="T481" s="17"/>
      <c r="U481" s="17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3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7"/>
      <c r="T482" s="17"/>
      <c r="U482" s="17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3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7"/>
      <c r="T483" s="17"/>
      <c r="U483" s="17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3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7"/>
      <c r="T484" s="17"/>
      <c r="U484" s="17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3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7"/>
      <c r="T485" s="17"/>
      <c r="U485" s="17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3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7"/>
      <c r="T486" s="17"/>
      <c r="U486" s="17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3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7"/>
      <c r="T487" s="17"/>
      <c r="U487" s="17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3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7"/>
      <c r="T488" s="17"/>
      <c r="U488" s="17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3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7"/>
      <c r="T489" s="17"/>
      <c r="U489" s="17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3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7"/>
      <c r="T490" s="17"/>
      <c r="U490" s="17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3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7"/>
      <c r="T491" s="17"/>
      <c r="U491" s="17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3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7"/>
      <c r="T492" s="17"/>
      <c r="U492" s="17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3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7"/>
      <c r="T493" s="17"/>
      <c r="U493" s="17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3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7"/>
      <c r="T494" s="17"/>
      <c r="U494" s="17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3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7"/>
      <c r="T495" s="17"/>
      <c r="U495" s="17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3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7"/>
      <c r="T496" s="17"/>
      <c r="U496" s="17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3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7"/>
      <c r="T497" s="17"/>
      <c r="U497" s="17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3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7"/>
      <c r="T498" s="17"/>
      <c r="U498" s="17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3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7"/>
      <c r="T499" s="17"/>
      <c r="U499" s="17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3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7"/>
      <c r="T500" s="17"/>
      <c r="U500" s="17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3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55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4BFA-D297-45A5-ACB6-E9CE11574FF6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400</v>
      </c>
    </row>
    <row r="2" spans="1:2" x14ac:dyDescent="0.25">
      <c r="A2" t="s">
        <v>41</v>
      </c>
      <c r="B2">
        <v>33</v>
      </c>
    </row>
    <row r="3" spans="1:2" x14ac:dyDescent="0.25">
      <c r="A3" t="s">
        <v>43</v>
      </c>
      <c r="B3">
        <v>300</v>
      </c>
    </row>
    <row r="4" spans="1:2" x14ac:dyDescent="0.25">
      <c r="A4" t="s">
        <v>44</v>
      </c>
      <c r="B4">
        <v>504</v>
      </c>
    </row>
    <row r="5" spans="1:2" x14ac:dyDescent="0.25">
      <c r="A5" t="s">
        <v>45</v>
      </c>
      <c r="B5">
        <v>600</v>
      </c>
    </row>
    <row r="6" spans="1:2" x14ac:dyDescent="0.25">
      <c r="A6" t="s">
        <v>46</v>
      </c>
      <c r="B6">
        <v>600</v>
      </c>
    </row>
    <row r="7" spans="1:2" x14ac:dyDescent="0.25">
      <c r="A7" t="s">
        <v>48</v>
      </c>
      <c r="B7">
        <v>192</v>
      </c>
    </row>
    <row r="8" spans="1:2" x14ac:dyDescent="0.25">
      <c r="A8" t="s">
        <v>52</v>
      </c>
      <c r="B8">
        <v>100</v>
      </c>
    </row>
    <row r="9" spans="1:2" x14ac:dyDescent="0.25">
      <c r="A9" t="s">
        <v>53</v>
      </c>
      <c r="B9">
        <v>980</v>
      </c>
    </row>
    <row r="10" spans="1:2" x14ac:dyDescent="0.25">
      <c r="A10" t="s">
        <v>54</v>
      </c>
      <c r="B10">
        <v>8</v>
      </c>
    </row>
    <row r="11" spans="1:2" x14ac:dyDescent="0.25">
      <c r="A11" t="s">
        <v>57</v>
      </c>
      <c r="B11">
        <v>36</v>
      </c>
    </row>
    <row r="12" spans="1:2" x14ac:dyDescent="0.25">
      <c r="A12" t="s">
        <v>63</v>
      </c>
      <c r="B12">
        <v>198</v>
      </c>
    </row>
    <row r="13" spans="1:2" x14ac:dyDescent="0.25">
      <c r="A13" t="s">
        <v>66</v>
      </c>
      <c r="B13">
        <v>496</v>
      </c>
    </row>
    <row r="14" spans="1:2" x14ac:dyDescent="0.25">
      <c r="A14" t="s">
        <v>67</v>
      </c>
      <c r="B14">
        <v>96</v>
      </c>
    </row>
    <row r="15" spans="1:2" x14ac:dyDescent="0.25">
      <c r="A15" t="s">
        <v>68</v>
      </c>
      <c r="B15">
        <v>100</v>
      </c>
    </row>
    <row r="16" spans="1:2" x14ac:dyDescent="0.25">
      <c r="A16" t="s">
        <v>70</v>
      </c>
      <c r="B16">
        <v>100</v>
      </c>
    </row>
    <row r="17" spans="1:2" x14ac:dyDescent="0.25">
      <c r="A17" t="s">
        <v>71</v>
      </c>
      <c r="B17">
        <v>100</v>
      </c>
    </row>
    <row r="18" spans="1:2" x14ac:dyDescent="0.25">
      <c r="A18" t="s">
        <v>73</v>
      </c>
      <c r="B18">
        <v>200</v>
      </c>
    </row>
    <row r="19" spans="1:2" x14ac:dyDescent="0.25">
      <c r="A19" t="s">
        <v>75</v>
      </c>
      <c r="B19">
        <v>400</v>
      </c>
    </row>
    <row r="20" spans="1:2" x14ac:dyDescent="0.25">
      <c r="A20" t="s">
        <v>76</v>
      </c>
      <c r="B20">
        <v>400</v>
      </c>
    </row>
    <row r="21" spans="1:2" x14ac:dyDescent="0.25">
      <c r="A21" t="s">
        <v>80</v>
      </c>
      <c r="B21">
        <v>608</v>
      </c>
    </row>
    <row r="22" spans="1:2" x14ac:dyDescent="0.25">
      <c r="A22" t="s">
        <v>85</v>
      </c>
      <c r="B22">
        <v>148</v>
      </c>
    </row>
    <row r="23" spans="1:2" x14ac:dyDescent="0.25">
      <c r="A23" t="s">
        <v>87</v>
      </c>
      <c r="B23">
        <v>48</v>
      </c>
    </row>
    <row r="24" spans="1:2" x14ac:dyDescent="0.25">
      <c r="A24" t="s">
        <v>89</v>
      </c>
      <c r="B24">
        <v>96</v>
      </c>
    </row>
    <row r="25" spans="1:2" x14ac:dyDescent="0.25">
      <c r="A25" t="s">
        <v>90</v>
      </c>
      <c r="B25">
        <v>40</v>
      </c>
    </row>
    <row r="26" spans="1:2" x14ac:dyDescent="0.25">
      <c r="A26" t="s">
        <v>92</v>
      </c>
      <c r="B26">
        <v>150</v>
      </c>
    </row>
    <row r="27" spans="1:2" x14ac:dyDescent="0.25">
      <c r="A27" t="s">
        <v>93</v>
      </c>
      <c r="B27">
        <v>70</v>
      </c>
    </row>
    <row r="28" spans="1:2" x14ac:dyDescent="0.25">
      <c r="A28" t="s">
        <v>96</v>
      </c>
      <c r="B28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2026-10-20T13:44:14Z</dcterms:created>
  <dcterms:modified xsi:type="dcterms:W3CDTF">2026-10-27T15:51:53Z</dcterms:modified>
</cp:coreProperties>
</file>