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94D5A7AB-2DBF-48A4-BCEA-2BEF4E40D2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Sheet!$A$3:$AB$37</definedName>
  </definedNames>
  <calcPr calcId="191029"/>
</workbook>
</file>

<file path=xl/calcChain.xml><?xml version="1.0" encoding="utf-8"?>
<calcChain xmlns="http://schemas.openxmlformats.org/spreadsheetml/2006/main">
  <c r="AB37" i="1" l="1"/>
  <c r="AB36" i="1"/>
  <c r="AB35" i="1"/>
  <c r="AB34" i="1"/>
  <c r="AB33" i="1"/>
  <c r="AB32" i="1"/>
  <c r="AB31" i="1"/>
  <c r="AB30" i="1"/>
  <c r="AB29" i="1"/>
  <c r="AB28" i="1"/>
  <c r="AB27" i="1"/>
  <c r="AB26" i="1"/>
  <c r="AB23" i="1"/>
  <c r="AB22" i="1"/>
  <c r="AB21" i="1"/>
  <c r="AB20" i="1"/>
  <c r="AB19" i="1"/>
  <c r="AB18" i="1"/>
  <c r="AB17" i="1"/>
  <c r="AB16" i="1"/>
  <c r="AB14" i="1"/>
  <c r="AB12" i="1"/>
  <c r="AB11" i="1"/>
  <c r="AB10" i="1"/>
  <c r="AB9" i="1"/>
  <c r="AB8" i="1"/>
  <c r="AB6" i="1"/>
  <c r="E15" i="1"/>
  <c r="P15" i="1" s="1"/>
  <c r="F15" i="1"/>
  <c r="P7" i="1"/>
  <c r="T7" i="1" s="1"/>
  <c r="P8" i="1"/>
  <c r="P9" i="1"/>
  <c r="U9" i="1" s="1"/>
  <c r="P10" i="1"/>
  <c r="P11" i="1"/>
  <c r="P12" i="1"/>
  <c r="P13" i="1"/>
  <c r="U13" i="1" s="1"/>
  <c r="P14" i="1"/>
  <c r="U14" i="1" s="1"/>
  <c r="P16" i="1"/>
  <c r="P17" i="1"/>
  <c r="P18" i="1"/>
  <c r="P19" i="1"/>
  <c r="U19" i="1" s="1"/>
  <c r="P20" i="1"/>
  <c r="P21" i="1"/>
  <c r="P22" i="1"/>
  <c r="P23" i="1"/>
  <c r="P24" i="1"/>
  <c r="U24" i="1" s="1"/>
  <c r="P25" i="1"/>
  <c r="U25" i="1" s="1"/>
  <c r="P26" i="1"/>
  <c r="P27" i="1"/>
  <c r="P28" i="1"/>
  <c r="P29" i="1"/>
  <c r="U29" i="1" s="1"/>
  <c r="P30" i="1"/>
  <c r="P31" i="1"/>
  <c r="P32" i="1"/>
  <c r="P33" i="1"/>
  <c r="U33" i="1" s="1"/>
  <c r="P34" i="1"/>
  <c r="P35" i="1"/>
  <c r="P36" i="1"/>
  <c r="P37" i="1"/>
  <c r="P6" i="1"/>
  <c r="U6" i="1" s="1"/>
  <c r="L7" i="1"/>
  <c r="L8" i="1"/>
  <c r="L21" i="1"/>
  <c r="L37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6" i="1"/>
  <c r="L6" i="1" s="1"/>
  <c r="V7" i="1"/>
  <c r="W7" i="1"/>
  <c r="X7" i="1"/>
  <c r="Y7" i="1"/>
  <c r="Z7" i="1"/>
  <c r="V8" i="1"/>
  <c r="W8" i="1"/>
  <c r="X8" i="1"/>
  <c r="Y8" i="1"/>
  <c r="Z8" i="1"/>
  <c r="V9" i="1"/>
  <c r="W9" i="1"/>
  <c r="X9" i="1"/>
  <c r="Y9" i="1"/>
  <c r="Z9" i="1"/>
  <c r="V10" i="1"/>
  <c r="W10" i="1"/>
  <c r="X10" i="1"/>
  <c r="Y10" i="1"/>
  <c r="Z10" i="1"/>
  <c r="V11" i="1"/>
  <c r="W11" i="1"/>
  <c r="X11" i="1"/>
  <c r="Y11" i="1"/>
  <c r="Z11" i="1"/>
  <c r="V12" i="1"/>
  <c r="W12" i="1"/>
  <c r="X12" i="1"/>
  <c r="Y12" i="1"/>
  <c r="Z12" i="1"/>
  <c r="V13" i="1"/>
  <c r="W13" i="1"/>
  <c r="X13" i="1"/>
  <c r="Y13" i="1"/>
  <c r="Z13" i="1"/>
  <c r="V14" i="1"/>
  <c r="W14" i="1"/>
  <c r="X14" i="1"/>
  <c r="Y14" i="1"/>
  <c r="Z14" i="1"/>
  <c r="V15" i="1"/>
  <c r="W15" i="1"/>
  <c r="X15" i="1"/>
  <c r="Y15" i="1"/>
  <c r="Z15" i="1"/>
  <c r="V16" i="1"/>
  <c r="W16" i="1"/>
  <c r="X16" i="1"/>
  <c r="Y16" i="1"/>
  <c r="Z16" i="1"/>
  <c r="V17" i="1"/>
  <c r="W17" i="1"/>
  <c r="X17" i="1"/>
  <c r="Y17" i="1"/>
  <c r="Z17" i="1"/>
  <c r="V18" i="1"/>
  <c r="W18" i="1"/>
  <c r="X18" i="1"/>
  <c r="Y18" i="1"/>
  <c r="Z18" i="1"/>
  <c r="V19" i="1"/>
  <c r="W19" i="1"/>
  <c r="X19" i="1"/>
  <c r="Y19" i="1"/>
  <c r="Z19" i="1"/>
  <c r="V20" i="1"/>
  <c r="W20" i="1"/>
  <c r="X20" i="1"/>
  <c r="Y20" i="1"/>
  <c r="Z20" i="1"/>
  <c r="V21" i="1"/>
  <c r="W21" i="1"/>
  <c r="X21" i="1"/>
  <c r="Y21" i="1"/>
  <c r="Z21" i="1"/>
  <c r="V22" i="1"/>
  <c r="W22" i="1"/>
  <c r="X22" i="1"/>
  <c r="Y22" i="1"/>
  <c r="Z22" i="1"/>
  <c r="V23" i="1"/>
  <c r="W23" i="1"/>
  <c r="X23" i="1"/>
  <c r="Y23" i="1"/>
  <c r="Z23" i="1"/>
  <c r="V24" i="1"/>
  <c r="W24" i="1"/>
  <c r="X24" i="1"/>
  <c r="Y24" i="1"/>
  <c r="Z24" i="1"/>
  <c r="V25" i="1"/>
  <c r="W25" i="1"/>
  <c r="X25" i="1"/>
  <c r="Y25" i="1"/>
  <c r="Z25" i="1"/>
  <c r="V26" i="1"/>
  <c r="W26" i="1"/>
  <c r="X26" i="1"/>
  <c r="Y26" i="1"/>
  <c r="Z26" i="1"/>
  <c r="V27" i="1"/>
  <c r="W27" i="1"/>
  <c r="X27" i="1"/>
  <c r="Y27" i="1"/>
  <c r="Z27" i="1"/>
  <c r="V28" i="1"/>
  <c r="W28" i="1"/>
  <c r="X28" i="1"/>
  <c r="Y28" i="1"/>
  <c r="Z28" i="1"/>
  <c r="V29" i="1"/>
  <c r="W29" i="1"/>
  <c r="X29" i="1"/>
  <c r="Y29" i="1"/>
  <c r="Z29" i="1"/>
  <c r="V30" i="1"/>
  <c r="W30" i="1"/>
  <c r="X30" i="1"/>
  <c r="Y30" i="1"/>
  <c r="Z30" i="1"/>
  <c r="V31" i="1"/>
  <c r="W31" i="1"/>
  <c r="X31" i="1"/>
  <c r="Y31" i="1"/>
  <c r="Z31" i="1"/>
  <c r="V32" i="1"/>
  <c r="W32" i="1"/>
  <c r="X32" i="1"/>
  <c r="Y32" i="1"/>
  <c r="Z32" i="1"/>
  <c r="V33" i="1"/>
  <c r="W33" i="1"/>
  <c r="X33" i="1"/>
  <c r="Y33" i="1"/>
  <c r="Z33" i="1"/>
  <c r="V34" i="1"/>
  <c r="W34" i="1"/>
  <c r="X34" i="1"/>
  <c r="Y34" i="1"/>
  <c r="Z34" i="1"/>
  <c r="V35" i="1"/>
  <c r="W35" i="1"/>
  <c r="X35" i="1"/>
  <c r="Y35" i="1"/>
  <c r="Z35" i="1"/>
  <c r="V36" i="1"/>
  <c r="W36" i="1"/>
  <c r="X36" i="1"/>
  <c r="Y36" i="1"/>
  <c r="Z36" i="1"/>
  <c r="V37" i="1"/>
  <c r="W37" i="1"/>
  <c r="X37" i="1"/>
  <c r="Y37" i="1"/>
  <c r="Z37" i="1"/>
  <c r="Z6" i="1"/>
  <c r="Y6" i="1"/>
  <c r="X6" i="1"/>
  <c r="W6" i="1"/>
  <c r="V6" i="1"/>
  <c r="Q13" i="1" l="1"/>
  <c r="Q15" i="1"/>
  <c r="Q24" i="1"/>
  <c r="AB24" i="1" s="1"/>
  <c r="Q25" i="1"/>
  <c r="T26" i="1"/>
  <c r="T27" i="1"/>
  <c r="T8" i="1"/>
  <c r="T28" i="1"/>
  <c r="T9" i="1"/>
  <c r="T29" i="1"/>
  <c r="T10" i="1"/>
  <c r="T30" i="1"/>
  <c r="T37" i="1"/>
  <c r="T17" i="1"/>
  <c r="T33" i="1"/>
  <c r="T34" i="1"/>
  <c r="T35" i="1"/>
  <c r="T32" i="1"/>
  <c r="T12" i="1"/>
  <c r="T23" i="1"/>
  <c r="T22" i="1"/>
  <c r="T21" i="1"/>
  <c r="T20" i="1"/>
  <c r="T18" i="1"/>
  <c r="T16" i="1"/>
  <c r="T36" i="1"/>
  <c r="T31" i="1"/>
  <c r="T11" i="1"/>
  <c r="U36" i="1"/>
  <c r="U35" i="1"/>
  <c r="U34" i="1"/>
  <c r="U32" i="1"/>
  <c r="U16" i="1"/>
  <c r="U12" i="1"/>
  <c r="U15" i="1"/>
  <c r="U26" i="1"/>
  <c r="T24" i="1"/>
  <c r="U23" i="1"/>
  <c r="T19" i="1"/>
  <c r="T14" i="1"/>
  <c r="U22" i="1"/>
  <c r="U31" i="1"/>
  <c r="U21" i="1"/>
  <c r="U11" i="1"/>
  <c r="U30" i="1"/>
  <c r="U20" i="1"/>
  <c r="U10" i="1"/>
  <c r="T6" i="1"/>
  <c r="U28" i="1"/>
  <c r="U18" i="1"/>
  <c r="U8" i="1"/>
  <c r="U37" i="1"/>
  <c r="U27" i="1"/>
  <c r="U17" i="1"/>
  <c r="U7" i="1"/>
  <c r="F5" i="1"/>
  <c r="R5" i="1"/>
  <c r="N5" i="1"/>
  <c r="M5" i="1"/>
  <c r="K5" i="1"/>
  <c r="T25" i="1" l="1"/>
  <c r="AB25" i="1"/>
  <c r="T15" i="1"/>
  <c r="AB15" i="1"/>
  <c r="T13" i="1"/>
  <c r="AB13" i="1"/>
  <c r="P5" i="1"/>
  <c r="Y5" i="1"/>
  <c r="Z5" i="1"/>
  <c r="E5" i="1"/>
  <c r="W5" i="1"/>
  <c r="X5" i="1"/>
  <c r="O5" i="1"/>
  <c r="V5" i="1"/>
  <c r="Q5" i="1" l="1"/>
  <c r="AB5" i="1"/>
  <c r="L5" i="1"/>
</calcChain>
</file>

<file path=xl/sharedStrings.xml><?xml version="1.0" encoding="utf-8"?>
<sst xmlns="http://schemas.openxmlformats.org/spreadsheetml/2006/main" count="120" uniqueCount="68">
  <si>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</si>
  <si>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</si>
  <si>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</si>
  <si>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</si>
  <si>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</si>
  <si>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</si>
  <si>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</si>
  <si>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</si>
  <si>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</si>
  <si>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</si>
  <si>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</si>
  <si>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</si>
  <si>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</si>
  <si>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</si>
  <si>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</si>
  <si>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</si>
  <si>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</si>
  <si>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</si>
  <si>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</si>
  <si>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</si>
  <si>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</si>
  <si>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</si>
  <si>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</si>
  <si>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</si>
  <si>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</si>
  <si>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</si>
  <si>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</si>
  <si>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</si>
  <si>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</si>
  <si>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</si>
  <si>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</si>
  <si>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</si>
  <si>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</si>
  <si>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</si>
  <si>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</si>
  <si>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шт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</si>
  <si>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</si>
  <si>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</si>
  <si>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</si>
  <si>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</si>
  <si>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</si>
  <si>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</si>
  <si>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</si>
  <si>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</si>
  <si>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</si>
  <si>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</si>
  <si>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</si>
  <si>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</si>
  <si>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</si>
  <si>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</si>
  <si>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</si>
  <si>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</si>
  <si>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</si>
  <si>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</si>
  <si>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</si>
  <si>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</si>
  <si>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</si>
  <si>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</si>
  <si>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</si>
  <si>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</si>
  <si>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</si>
  <si>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</si>
  <si>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</si>
  <si>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</si>
  <si>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</si>
  <si>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3534796 Масло сливочное ж.82,5% 180г фольга ТМ Папа может(вл 12)  Останкино</t>
  </si>
  <si>
    <t>Сыр Папа Может "Гауда Голд" 45% (-2,5 кг брус) (6 шт)  Останкино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</si>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</sst>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5" borderId="1" xfId="1" applyNumberFormat="1" applyFon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51;&#1091;&#1075;&#1072;&#1085;&#1089;&#1082;\&#1044;&#1074;.%2022.06.2026%20&#1054;&#1089;&#1090;&#1072;&#1085;&#1082;&#1080;&#1085;&#1086;%20&#1057;&#1099;&#1088;%20&#1051;&#1091;&#1075;&#1072;&#1085;&#1089;&#1082;%20(&#1089;&#1086;&#1075;&#1083;&#1072;&#1089;&#1086;&#1074;&#1072;&#1085;).xlsx" TargetMode="External"/><Relationship Id="rId1" Type="http://schemas.openxmlformats.org/officeDocument/2006/relationships/externalLinkPath" Target="&#1044;&#1074;.%2022.06.2026%20&#1054;&#1089;&#1090;&#1072;&#1085;&#1082;&#1080;&#1085;&#1086;%20&#1057;&#1099;&#1088;%20&#1051;&#1091;&#1075;&#1072;&#1085;&#1089;&#1082;%20(&#1089;&#1086;&#1075;&#1083;&#1072;&#1089;&#1086;&#1074;&#1072;&#1085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51;&#1091;&#1075;&#1072;&#1085;&#1089;&#1082;\&#1079;&#1072;&#1103;&#1074;&#1083;&#1077;&#1085;&#1086;-&#1086;&#1090;&#1075;&#1088;&#1091;&#1078;&#1077;&#1085;&#1086;%20&#1051;&#1091;&#1075;&#1072;&#1085;&#1089;&#1082;%2023,06,26-29,06,26.xlsx" TargetMode="External"/><Relationship Id="rId1" Type="http://schemas.openxmlformats.org/officeDocument/2006/relationships/externalLinkPath" Target="&#1079;&#1072;&#1103;&#1074;&#1083;&#1077;&#1085;&#1086;-&#1086;&#1090;&#1075;&#1088;&#1091;&#1078;&#1077;&#1085;&#1086;%20&#1051;&#1091;&#1075;&#1072;&#1085;&#1089;&#1082;%2023,06,26-29,06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15.06.2026 - 22.06.2026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O8" t="str">
            <v>заказ в пути</v>
          </cell>
          <cell r="P8" t="str">
            <v>ср нов</v>
          </cell>
          <cell r="Q8" t="str">
            <v>заказ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</row>
        <row r="9">
          <cell r="A9" t="str">
            <v>-</v>
          </cell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O9">
            <v>22.06</v>
          </cell>
          <cell r="P9" t="str">
            <v>22,06,</v>
          </cell>
          <cell r="Q9" t="str">
            <v>29,06,</v>
          </cell>
          <cell r="V9" t="str">
            <v>25,05,</v>
          </cell>
          <cell r="W9" t="str">
            <v>01,06,</v>
          </cell>
          <cell r="X9" t="str">
            <v>08,06,</v>
          </cell>
          <cell r="Y9" t="str">
            <v>15,06,</v>
          </cell>
        </row>
        <row r="10">
          <cell r="A10" t="str">
            <v>-</v>
          </cell>
          <cell r="D10">
            <v>10943.041000000001</v>
          </cell>
          <cell r="E10">
            <v>1823.9380000000001</v>
          </cell>
          <cell r="F10">
            <v>2297.4469999999997</v>
          </cell>
          <cell r="G10">
            <v>9944.6679999999997</v>
          </cell>
          <cell r="L10">
            <v>2361.674</v>
          </cell>
          <cell r="M10">
            <v>-64.227000000000004</v>
          </cell>
          <cell r="N10">
            <v>0</v>
          </cell>
          <cell r="O10">
            <v>908</v>
          </cell>
          <cell r="P10">
            <v>459.4894000000001</v>
          </cell>
          <cell r="Q10">
            <v>1660.318</v>
          </cell>
          <cell r="R10">
            <v>0</v>
          </cell>
          <cell r="V10">
            <v>434.69040000000001</v>
          </cell>
          <cell r="W10">
            <v>398.81840000000017</v>
          </cell>
          <cell r="X10">
            <v>444.38119999999998</v>
          </cell>
          <cell r="Y10">
            <v>443.2724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245.053</v>
          </cell>
          <cell r="E11">
            <v>31.533999999999999</v>
          </cell>
          <cell r="F11">
            <v>39.036999999999999</v>
          </cell>
          <cell r="G11">
            <v>236.09</v>
          </cell>
          <cell r="H11">
            <v>1</v>
          </cell>
          <cell r="L11">
            <v>45.973999999999997</v>
          </cell>
          <cell r="M11">
            <v>-6.9369999999999976</v>
          </cell>
          <cell r="O11">
            <v>0</v>
          </cell>
          <cell r="P11">
            <v>7.8073999999999995</v>
          </cell>
          <cell r="T11">
            <v>30.239260189051414</v>
          </cell>
          <cell r="U11">
            <v>30.239260189051414</v>
          </cell>
          <cell r="V11">
            <v>19.646799999999999</v>
          </cell>
          <cell r="W11">
            <v>12.090399999999999</v>
          </cell>
          <cell r="X11">
            <v>15.026400000000001</v>
          </cell>
          <cell r="Y11">
            <v>5.952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4931</v>
          </cell>
          <cell r="D12">
            <v>165.32</v>
          </cell>
          <cell r="F12">
            <v>16.384</v>
          </cell>
          <cell r="G12">
            <v>148.93600000000001</v>
          </cell>
          <cell r="H12">
            <v>1</v>
          </cell>
          <cell r="L12">
            <v>0</v>
          </cell>
          <cell r="M12">
            <v>16.384</v>
          </cell>
          <cell r="O12">
            <v>0</v>
          </cell>
          <cell r="P12">
            <v>3.2768000000000002</v>
          </cell>
          <cell r="T12">
            <v>45.45166015625</v>
          </cell>
          <cell r="U12">
            <v>45.45166015625</v>
          </cell>
          <cell r="V12">
            <v>0</v>
          </cell>
          <cell r="W12">
            <v>0</v>
          </cell>
          <cell r="X12">
            <v>1.9536000000000002</v>
          </cell>
          <cell r="Y12">
            <v>4.0444000000000004</v>
          </cell>
        </row>
        <row r="13">
          <cell r="A13" t="str">
            <v>5579 БЛИНЧ.КРУГЛЫЕ С САД.ЯБЛОК.пл.1/420 зам. ОСТАНКИНО</v>
          </cell>
          <cell r="B13" t="str">
            <v>шт</v>
          </cell>
          <cell r="C13">
            <v>5579</v>
          </cell>
          <cell r="D13">
            <v>-10</v>
          </cell>
          <cell r="F13">
            <v>0</v>
          </cell>
          <cell r="G13">
            <v>-10</v>
          </cell>
          <cell r="H13">
            <v>0.42</v>
          </cell>
          <cell r="L13">
            <v>23</v>
          </cell>
          <cell r="M13">
            <v>-23</v>
          </cell>
          <cell r="O13">
            <v>22</v>
          </cell>
          <cell r="P13">
            <v>0</v>
          </cell>
          <cell r="S13" t="str">
            <v>блины</v>
          </cell>
          <cell r="T13" t="e">
            <v>#DIV/0!</v>
          </cell>
          <cell r="U13" t="e">
            <v>#DIV/0!</v>
          </cell>
          <cell r="V13">
            <v>8</v>
          </cell>
          <cell r="W13">
            <v>5.6</v>
          </cell>
          <cell r="X13">
            <v>2</v>
          </cell>
          <cell r="Y13">
            <v>0.6</v>
          </cell>
        </row>
        <row r="14">
          <cell r="A14" t="str">
            <v>5754 БЛИНЧ.КРУГЛЫЕ С МЯСОМ 4,5кг зам. ПМ ОСТАНКИНО</v>
          </cell>
          <cell r="B14" t="str">
            <v>кг</v>
          </cell>
          <cell r="C14">
            <v>5754</v>
          </cell>
          <cell r="D14">
            <v>245.12200000000001</v>
          </cell>
          <cell r="E14">
            <v>40.5</v>
          </cell>
          <cell r="F14">
            <v>27.21</v>
          </cell>
          <cell r="G14">
            <v>217.91200000000001</v>
          </cell>
          <cell r="H14">
            <v>1</v>
          </cell>
          <cell r="L14">
            <v>27</v>
          </cell>
          <cell r="M14">
            <v>0.21000000000000085</v>
          </cell>
          <cell r="O14">
            <v>0</v>
          </cell>
          <cell r="P14">
            <v>5.4420000000000002</v>
          </cell>
          <cell r="S14" t="str">
            <v>блины</v>
          </cell>
          <cell r="T14">
            <v>40.042631385520032</v>
          </cell>
          <cell r="U14">
            <v>40.042631385520032</v>
          </cell>
          <cell r="V14">
            <v>11.7</v>
          </cell>
          <cell r="W14">
            <v>12.6</v>
          </cell>
          <cell r="X14">
            <v>5.4</v>
          </cell>
          <cell r="Y14">
            <v>9.9</v>
          </cell>
        </row>
        <row r="15">
          <cell r="A15" t="str">
            <v>5755 БЛИНЧ.КРУГЛЫЕ С ТВОРОГОМ 4,5кг зам. ПМ ОСТАНКИНО</v>
          </cell>
          <cell r="B15" t="str">
            <v>кг</v>
          </cell>
          <cell r="C15">
            <v>5755</v>
          </cell>
          <cell r="D15">
            <v>327.72</v>
          </cell>
          <cell r="E15">
            <v>4.59</v>
          </cell>
          <cell r="F15">
            <v>9.1579999999999995</v>
          </cell>
          <cell r="G15">
            <v>318.56200000000001</v>
          </cell>
          <cell r="H15">
            <v>1</v>
          </cell>
          <cell r="L15">
            <v>13.5</v>
          </cell>
          <cell r="M15">
            <v>-4.3420000000000005</v>
          </cell>
          <cell r="O15">
            <v>0</v>
          </cell>
          <cell r="P15">
            <v>1.8315999999999999</v>
          </cell>
          <cell r="S15" t="str">
            <v>блины</v>
          </cell>
          <cell r="T15">
            <v>173.92552959161389</v>
          </cell>
          <cell r="U15">
            <v>173.92552959161389</v>
          </cell>
          <cell r="V15">
            <v>7.2</v>
          </cell>
          <cell r="W15">
            <v>6.3</v>
          </cell>
          <cell r="X15">
            <v>5.4</v>
          </cell>
          <cell r="Y15">
            <v>1.8</v>
          </cell>
        </row>
        <row r="16">
          <cell r="A16" t="str">
            <v>5897 БЛИНЧ.КРУГЛЫЕ С ГРУШЕЙ пл.1/420 зам.   ОСТАНКИНО</v>
          </cell>
          <cell r="B16" t="str">
            <v>шт</v>
          </cell>
          <cell r="C16">
            <v>5897</v>
          </cell>
          <cell r="E16">
            <v>5</v>
          </cell>
          <cell r="F16">
            <v>0</v>
          </cell>
          <cell r="H16">
            <v>0.42</v>
          </cell>
          <cell r="L16">
            <v>4</v>
          </cell>
          <cell r="M16">
            <v>-4</v>
          </cell>
          <cell r="O16">
            <v>52</v>
          </cell>
          <cell r="P16">
            <v>0</v>
          </cell>
          <cell r="S16" t="str">
            <v>блины</v>
          </cell>
          <cell r="T16" t="e">
            <v>#DIV/0!</v>
          </cell>
          <cell r="U16" t="e">
            <v>#DIV/0!</v>
          </cell>
          <cell r="V16">
            <v>8.8000000000000007</v>
          </cell>
          <cell r="W16">
            <v>5.6</v>
          </cell>
          <cell r="X16">
            <v>3.8</v>
          </cell>
          <cell r="Y16">
            <v>2.6</v>
          </cell>
        </row>
        <row r="17">
          <cell r="A17" t="str">
            <v>6148 БЛИНЧ.КРУГЛЫЕ С ВЕТЧ.И СЫР. ПМ 1/300 зам. ОСТАНКИНО</v>
          </cell>
          <cell r="B17" t="str">
            <v>шт</v>
          </cell>
          <cell r="C17">
            <v>6148</v>
          </cell>
          <cell r="D17">
            <v>343</v>
          </cell>
          <cell r="E17">
            <v>65</v>
          </cell>
          <cell r="F17">
            <v>46</v>
          </cell>
          <cell r="G17">
            <v>297</v>
          </cell>
          <cell r="H17">
            <v>0.3</v>
          </cell>
          <cell r="L17">
            <v>52</v>
          </cell>
          <cell r="M17">
            <v>-6</v>
          </cell>
          <cell r="O17">
            <v>0</v>
          </cell>
          <cell r="P17">
            <v>9.1999999999999993</v>
          </cell>
          <cell r="S17" t="str">
            <v>блины</v>
          </cell>
          <cell r="T17">
            <v>32.282608695652179</v>
          </cell>
          <cell r="U17">
            <v>32.282608695652179</v>
          </cell>
          <cell r="V17">
            <v>6.6</v>
          </cell>
          <cell r="W17">
            <v>0</v>
          </cell>
          <cell r="X17">
            <v>8.8000000000000007</v>
          </cell>
          <cell r="Y17">
            <v>11.4</v>
          </cell>
        </row>
        <row r="18">
          <cell r="A18" t="str">
            <v>6149 БЛИНЧ.КРУГЛЫЕ С ПЕЧЕНЬЮ ПМ 1/300 зам. ОСТАНКИНО</v>
          </cell>
          <cell r="B18" t="str">
            <v>шт</v>
          </cell>
          <cell r="C18">
            <v>6149</v>
          </cell>
          <cell r="D18">
            <v>481</v>
          </cell>
          <cell r="E18">
            <v>68</v>
          </cell>
          <cell r="F18">
            <v>43</v>
          </cell>
          <cell r="G18">
            <v>438</v>
          </cell>
          <cell r="H18">
            <v>0.3</v>
          </cell>
          <cell r="L18">
            <v>4</v>
          </cell>
          <cell r="M18">
            <v>39</v>
          </cell>
          <cell r="O18">
            <v>0</v>
          </cell>
          <cell r="P18">
            <v>8.6</v>
          </cell>
          <cell r="S18" t="str">
            <v>блины</v>
          </cell>
          <cell r="T18">
            <v>50.930232558139537</v>
          </cell>
          <cell r="U18">
            <v>50.930232558139537</v>
          </cell>
          <cell r="V18">
            <v>7</v>
          </cell>
          <cell r="W18">
            <v>0</v>
          </cell>
          <cell r="X18">
            <v>9.1999999999999993</v>
          </cell>
          <cell r="Y18">
            <v>14.6</v>
          </cell>
        </row>
        <row r="19">
          <cell r="A19" t="str">
            <v>6168 Блинчики с мясом пл. 1/350 зам. ОСТАНКИНО</v>
          </cell>
          <cell r="B19" t="str">
            <v>шт</v>
          </cell>
          <cell r="C19">
            <v>6168</v>
          </cell>
          <cell r="D19">
            <v>504</v>
          </cell>
          <cell r="E19">
            <v>85</v>
          </cell>
          <cell r="F19">
            <v>118</v>
          </cell>
          <cell r="G19">
            <v>387</v>
          </cell>
          <cell r="H19">
            <v>0.35</v>
          </cell>
          <cell r="L19">
            <v>128</v>
          </cell>
          <cell r="M19">
            <v>-10</v>
          </cell>
          <cell r="O19">
            <v>0</v>
          </cell>
          <cell r="P19">
            <v>23.6</v>
          </cell>
          <cell r="Q19">
            <v>0</v>
          </cell>
          <cell r="S19" t="str">
            <v>блины</v>
          </cell>
          <cell r="T19">
            <v>16.398305084745761</v>
          </cell>
          <cell r="U19">
            <v>16.398305084745761</v>
          </cell>
          <cell r="V19">
            <v>8</v>
          </cell>
          <cell r="W19">
            <v>0.2</v>
          </cell>
          <cell r="X19">
            <v>8.6</v>
          </cell>
          <cell r="Y19">
            <v>10.4</v>
          </cell>
        </row>
        <row r="20">
          <cell r="A20" t="str">
            <v>6202 БЛИНЧ.КРУГЛЫЕ С ТВОРОГОМ ПМ 1/300 зам. ОСТАНКИНО</v>
          </cell>
          <cell r="B20" t="str">
            <v>шт</v>
          </cell>
          <cell r="C20">
            <v>6202</v>
          </cell>
          <cell r="D20">
            <v>324</v>
          </cell>
          <cell r="E20">
            <v>39</v>
          </cell>
          <cell r="F20">
            <v>54</v>
          </cell>
          <cell r="G20">
            <v>270</v>
          </cell>
          <cell r="H20">
            <v>0.3</v>
          </cell>
          <cell r="L20">
            <v>64</v>
          </cell>
          <cell r="M20">
            <v>-10</v>
          </cell>
          <cell r="O20">
            <v>0</v>
          </cell>
          <cell r="P20">
            <v>10.8</v>
          </cell>
          <cell r="S20" t="str">
            <v>блины</v>
          </cell>
          <cell r="T20">
            <v>25</v>
          </cell>
          <cell r="U20">
            <v>25</v>
          </cell>
          <cell r="V20">
            <v>4.8</v>
          </cell>
          <cell r="W20">
            <v>1</v>
          </cell>
          <cell r="X20">
            <v>5</v>
          </cell>
          <cell r="Y20">
            <v>9.6</v>
          </cell>
        </row>
        <row r="21">
          <cell r="A21" t="str">
            <v>6209 Блинчики с куриным мясом пл. 1/350 зам. ОСТАНКИНО</v>
          </cell>
          <cell r="B21" t="str">
            <v>шт</v>
          </cell>
          <cell r="C21">
            <v>6209</v>
          </cell>
          <cell r="D21">
            <v>495</v>
          </cell>
          <cell r="E21">
            <v>91</v>
          </cell>
          <cell r="F21">
            <v>73</v>
          </cell>
          <cell r="G21">
            <v>422</v>
          </cell>
          <cell r="H21">
            <v>0.35</v>
          </cell>
          <cell r="L21">
            <v>89</v>
          </cell>
          <cell r="M21">
            <v>-16</v>
          </cell>
          <cell r="O21">
            <v>0</v>
          </cell>
          <cell r="P21">
            <v>14.6</v>
          </cell>
          <cell r="S21" t="str">
            <v>блины</v>
          </cell>
          <cell r="T21">
            <v>28.904109589041095</v>
          </cell>
          <cell r="U21">
            <v>28.904109589041095</v>
          </cell>
          <cell r="V21">
            <v>6.6</v>
          </cell>
          <cell r="W21">
            <v>0</v>
          </cell>
          <cell r="X21">
            <v>9.1999999999999993</v>
          </cell>
          <cell r="Y21">
            <v>11.8</v>
          </cell>
        </row>
        <row r="22">
          <cell r="A22" t="str">
            <v>6948249 Майонезный соус провансаль 824,5гр деликатес.с массовой долей жирн.25% Коровино Останкино</v>
          </cell>
          <cell r="B22" t="str">
            <v>шт</v>
          </cell>
          <cell r="C22">
            <v>6948249</v>
          </cell>
          <cell r="D22">
            <v>28</v>
          </cell>
          <cell r="F22">
            <v>12</v>
          </cell>
          <cell r="G22">
            <v>16</v>
          </cell>
          <cell r="H22">
            <v>0.82450000000000001</v>
          </cell>
          <cell r="I22">
            <v>180</v>
          </cell>
          <cell r="L22">
            <v>12</v>
          </cell>
          <cell r="M22">
            <v>0</v>
          </cell>
          <cell r="O22">
            <v>0</v>
          </cell>
          <cell r="P22">
            <v>2.4</v>
          </cell>
          <cell r="Q22">
            <v>32</v>
          </cell>
          <cell r="T22">
            <v>20</v>
          </cell>
          <cell r="U22">
            <v>6.666666666666667</v>
          </cell>
          <cell r="V22">
            <v>1.4</v>
          </cell>
          <cell r="W22">
            <v>1.2</v>
          </cell>
          <cell r="X22">
            <v>0.6</v>
          </cell>
          <cell r="Y22">
            <v>0.4</v>
          </cell>
        </row>
        <row r="23">
          <cell r="A23" t="str">
            <v>6948256 Майонез провансаль классич.оливковый Папа может 372гр с массовой долей жирн. 67% Останкино</v>
          </cell>
          <cell r="B23" t="str">
            <v>шт</v>
          </cell>
          <cell r="C23">
            <v>6948256</v>
          </cell>
          <cell r="D23">
            <v>411</v>
          </cell>
          <cell r="F23">
            <v>77</v>
          </cell>
          <cell r="G23">
            <v>334</v>
          </cell>
          <cell r="H23">
            <v>0.372</v>
          </cell>
          <cell r="L23">
            <v>84</v>
          </cell>
          <cell r="M23">
            <v>-7</v>
          </cell>
          <cell r="O23">
            <v>0</v>
          </cell>
          <cell r="P23">
            <v>15.4</v>
          </cell>
          <cell r="T23">
            <v>21.688311688311689</v>
          </cell>
          <cell r="U23">
            <v>21.688311688311689</v>
          </cell>
          <cell r="V23">
            <v>3.4</v>
          </cell>
          <cell r="W23">
            <v>30.8</v>
          </cell>
          <cell r="X23">
            <v>21.8</v>
          </cell>
          <cell r="Y23">
            <v>20.2</v>
          </cell>
        </row>
        <row r="24">
          <cell r="A24" t="str">
            <v>6948263 Майонез провансаль классич.оливковый Папа может 744гр с массовой долей жирн. 67% Останкино</v>
          </cell>
          <cell r="B24" t="str">
            <v>шт</v>
          </cell>
          <cell r="C24">
            <v>6948263</v>
          </cell>
          <cell r="D24">
            <v>428</v>
          </cell>
          <cell r="F24">
            <v>40</v>
          </cell>
          <cell r="G24">
            <v>388</v>
          </cell>
          <cell r="H24">
            <v>0.74399999999999999</v>
          </cell>
          <cell r="I24">
            <v>180</v>
          </cell>
          <cell r="L24">
            <v>47</v>
          </cell>
          <cell r="M24">
            <v>-7</v>
          </cell>
          <cell r="O24">
            <v>0</v>
          </cell>
          <cell r="P24">
            <v>8</v>
          </cell>
          <cell r="T24">
            <v>48.5</v>
          </cell>
          <cell r="U24">
            <v>48.5</v>
          </cell>
          <cell r="V24">
            <v>17.399999999999999</v>
          </cell>
          <cell r="W24">
            <v>30.2</v>
          </cell>
          <cell r="X24">
            <v>20.2</v>
          </cell>
          <cell r="Y24">
            <v>19.399999999999999</v>
          </cell>
        </row>
        <row r="25">
          <cell r="A25" t="str">
            <v>6948270 Майонез провансаль классич.Папа может 372гр с массовой долей жирн. 67% Останкино</v>
          </cell>
          <cell r="B25" t="str">
            <v>шт</v>
          </cell>
          <cell r="C25">
            <v>6948270</v>
          </cell>
          <cell r="D25">
            <v>669</v>
          </cell>
          <cell r="E25">
            <v>552</v>
          </cell>
          <cell r="F25">
            <v>175</v>
          </cell>
          <cell r="G25">
            <v>1046</v>
          </cell>
          <cell r="H25">
            <v>0.372</v>
          </cell>
          <cell r="I25">
            <v>180</v>
          </cell>
          <cell r="L25">
            <v>199</v>
          </cell>
          <cell r="M25">
            <v>-24</v>
          </cell>
          <cell r="O25">
            <v>0</v>
          </cell>
          <cell r="P25">
            <v>35</v>
          </cell>
          <cell r="T25">
            <v>29.885714285714286</v>
          </cell>
          <cell r="U25">
            <v>29.885714285714286</v>
          </cell>
          <cell r="V25">
            <v>33.6</v>
          </cell>
          <cell r="W25">
            <v>10.4</v>
          </cell>
          <cell r="X25">
            <v>70.400000000000006</v>
          </cell>
          <cell r="Y25">
            <v>33.6</v>
          </cell>
        </row>
        <row r="26">
          <cell r="A26" t="str">
            <v>6948287 Майонез провансаль классич.Папа может 744гр с массовой долей жирн. 67% Останкино</v>
          </cell>
          <cell r="B26" t="str">
            <v>шт</v>
          </cell>
          <cell r="C26">
            <v>6948287</v>
          </cell>
          <cell r="D26">
            <v>551</v>
          </cell>
          <cell r="F26">
            <v>127</v>
          </cell>
          <cell r="G26">
            <v>424</v>
          </cell>
          <cell r="H26">
            <v>0.74399999999999999</v>
          </cell>
          <cell r="I26">
            <v>180</v>
          </cell>
          <cell r="L26">
            <v>141</v>
          </cell>
          <cell r="M26">
            <v>-14</v>
          </cell>
          <cell r="O26">
            <v>273</v>
          </cell>
          <cell r="P26">
            <v>25.4</v>
          </cell>
          <cell r="T26">
            <v>27.440944881889767</v>
          </cell>
          <cell r="U26">
            <v>16.692913385826774</v>
          </cell>
          <cell r="V26">
            <v>41.2</v>
          </cell>
          <cell r="W26">
            <v>40.6</v>
          </cell>
          <cell r="X26">
            <v>14.2</v>
          </cell>
          <cell r="Y26">
            <v>41.2</v>
          </cell>
        </row>
        <row r="27">
          <cell r="A27" t="str">
            <v>9988438 Плавленый Сыр 45% "С ветчиной" СТМ"ПапаМожет" 180гр  Останкино</v>
          </cell>
          <cell r="B27" t="str">
            <v>шт</v>
          </cell>
          <cell r="C27">
            <v>9988438</v>
          </cell>
          <cell r="D27">
            <v>130</v>
          </cell>
          <cell r="F27">
            <v>29</v>
          </cell>
          <cell r="G27">
            <v>101</v>
          </cell>
          <cell r="H27">
            <v>0.18</v>
          </cell>
          <cell r="I27">
            <v>270</v>
          </cell>
          <cell r="L27">
            <v>30</v>
          </cell>
          <cell r="M27">
            <v>-1</v>
          </cell>
          <cell r="O27">
            <v>26</v>
          </cell>
          <cell r="P27">
            <v>5.8</v>
          </cell>
          <cell r="T27">
            <v>21.896551724137932</v>
          </cell>
          <cell r="U27">
            <v>17.413793103448278</v>
          </cell>
          <cell r="V27">
            <v>9.8000000000000007</v>
          </cell>
          <cell r="W27">
            <v>6</v>
          </cell>
          <cell r="X27">
            <v>2.8</v>
          </cell>
          <cell r="Y27">
            <v>7.8</v>
          </cell>
        </row>
        <row r="28">
          <cell r="A28" t="str">
            <v>А_6948249 Майонезный соус провансаль 824,5гр деликатес.с массовой долей жирн.25% Коровино Останкино</v>
          </cell>
          <cell r="B28" t="str">
            <v>шт</v>
          </cell>
          <cell r="E28">
            <v>35</v>
          </cell>
          <cell r="F28">
            <v>0</v>
          </cell>
          <cell r="G28">
            <v>35</v>
          </cell>
          <cell r="H28">
            <v>0.82399999999999995</v>
          </cell>
          <cell r="L28">
            <v>0</v>
          </cell>
          <cell r="M28">
            <v>0</v>
          </cell>
          <cell r="O28">
            <v>0</v>
          </cell>
          <cell r="P28">
            <v>0</v>
          </cell>
          <cell r="T28" t="e">
            <v>#DIV/0!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 t="str">
            <v>А_Сыр "Пармезан" 40% кусок 180 гр  ОСТАНКИНО</v>
          </cell>
          <cell r="B29" t="str">
            <v>шт</v>
          </cell>
          <cell r="D29">
            <v>153</v>
          </cell>
          <cell r="F29">
            <v>0</v>
          </cell>
          <cell r="H29">
            <v>0.18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  <cell r="T29" t="e">
            <v>#DIV/0!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 t="str">
            <v>А_Сыр ПАПА МОЖЕТ "Министерский" 180 г фасованный массовая  Останкино</v>
          </cell>
          <cell r="B30" t="str">
            <v>шт</v>
          </cell>
          <cell r="E30">
            <v>17</v>
          </cell>
          <cell r="F30">
            <v>0</v>
          </cell>
          <cell r="G30">
            <v>17</v>
          </cell>
          <cell r="H30">
            <v>0.18</v>
          </cell>
          <cell r="L30">
            <v>0</v>
          </cell>
          <cell r="M30">
            <v>0</v>
          </cell>
          <cell r="O30">
            <v>0</v>
          </cell>
          <cell r="P30">
            <v>0</v>
          </cell>
          <cell r="T30" t="e">
            <v>#DIV/0!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A31" t="str">
            <v>Масло "Папа может" 82,5% 180гр  Останкино</v>
          </cell>
          <cell r="B31" t="str">
            <v>шт</v>
          </cell>
          <cell r="C31">
            <v>1018967</v>
          </cell>
          <cell r="D31">
            <v>68</v>
          </cell>
          <cell r="E31">
            <v>220</v>
          </cell>
          <cell r="F31">
            <v>75</v>
          </cell>
          <cell r="G31">
            <v>211</v>
          </cell>
          <cell r="H31">
            <v>0.18</v>
          </cell>
          <cell r="I31">
            <v>120</v>
          </cell>
          <cell r="L31">
            <v>77</v>
          </cell>
          <cell r="M31">
            <v>-2</v>
          </cell>
          <cell r="O31">
            <v>144</v>
          </cell>
          <cell r="P31">
            <v>15</v>
          </cell>
          <cell r="T31">
            <v>23.666666666666668</v>
          </cell>
          <cell r="U31">
            <v>14.066666666666666</v>
          </cell>
          <cell r="V31">
            <v>6.2</v>
          </cell>
          <cell r="W31">
            <v>13.8</v>
          </cell>
          <cell r="X31">
            <v>20</v>
          </cell>
          <cell r="Y31">
            <v>21.6</v>
          </cell>
        </row>
        <row r="32">
          <cell r="A32" t="str">
            <v>Масло сливочное 72,5 % 180 гр.(10 шт) СЛАВЯНА  Останкино</v>
          </cell>
          <cell r="B32" t="str">
            <v>шт</v>
          </cell>
          <cell r="C32">
            <v>1018950</v>
          </cell>
          <cell r="D32">
            <v>1583</v>
          </cell>
          <cell r="F32">
            <v>104</v>
          </cell>
          <cell r="G32">
            <v>1479</v>
          </cell>
          <cell r="H32">
            <v>0.18</v>
          </cell>
          <cell r="I32">
            <v>120</v>
          </cell>
          <cell r="L32">
            <v>104</v>
          </cell>
          <cell r="M32">
            <v>0</v>
          </cell>
          <cell r="O32">
            <v>0</v>
          </cell>
          <cell r="P32">
            <v>20.8</v>
          </cell>
          <cell r="T32">
            <v>71.105769230769226</v>
          </cell>
          <cell r="U32">
            <v>71.105769230769226</v>
          </cell>
          <cell r="V32">
            <v>4.8</v>
          </cell>
          <cell r="W32">
            <v>19</v>
          </cell>
          <cell r="X32">
            <v>25</v>
          </cell>
          <cell r="Y32">
            <v>25</v>
          </cell>
        </row>
        <row r="33">
          <cell r="A33" t="str">
            <v>Плавленый продукт с Сыром колбасный копченый 40% СТМ "Коровино" 400гр  Останкино</v>
          </cell>
          <cell r="B33" t="str">
            <v>шт</v>
          </cell>
          <cell r="C33">
            <v>9988476</v>
          </cell>
          <cell r="D33">
            <v>175</v>
          </cell>
          <cell r="F33">
            <v>23</v>
          </cell>
          <cell r="G33">
            <v>152</v>
          </cell>
          <cell r="H33">
            <v>0.4</v>
          </cell>
          <cell r="I33">
            <v>270</v>
          </cell>
          <cell r="L33">
            <v>24</v>
          </cell>
          <cell r="M33">
            <v>-1</v>
          </cell>
          <cell r="O33">
            <v>0</v>
          </cell>
          <cell r="P33">
            <v>4.5999999999999996</v>
          </cell>
          <cell r="T33">
            <v>33.04347826086957</v>
          </cell>
          <cell r="U33">
            <v>33.04347826086957</v>
          </cell>
          <cell r="V33">
            <v>10</v>
          </cell>
          <cell r="W33">
            <v>0</v>
          </cell>
          <cell r="X33">
            <v>1.8</v>
          </cell>
          <cell r="Y33">
            <v>2.4</v>
          </cell>
        </row>
        <row r="34">
          <cell r="A34" t="str">
            <v>Плавленый Сыр колбасный копченый 40% СТМ"ПапаМожет"400гр  Останкино</v>
          </cell>
          <cell r="B34" t="str">
            <v>шт</v>
          </cell>
          <cell r="D34">
            <v>-1</v>
          </cell>
          <cell r="F34">
            <v>0</v>
          </cell>
          <cell r="G34">
            <v>-1</v>
          </cell>
          <cell r="H34">
            <v>0.4</v>
          </cell>
          <cell r="L34">
            <v>3</v>
          </cell>
          <cell r="M34">
            <v>-3</v>
          </cell>
          <cell r="O34">
            <v>5</v>
          </cell>
          <cell r="P34">
            <v>0</v>
          </cell>
          <cell r="T34" t="e">
            <v>#DIV/0!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0.2</v>
          </cell>
        </row>
        <row r="35">
          <cell r="A35" t="str">
            <v>Сыр "Пармезан" 40% кусок 180 гр  ОСТАНКИНО</v>
          </cell>
          <cell r="B35" t="str">
            <v>шт</v>
          </cell>
          <cell r="C35">
            <v>5034819</v>
          </cell>
          <cell r="D35">
            <v>-42</v>
          </cell>
          <cell r="E35">
            <v>153</v>
          </cell>
          <cell r="F35">
            <v>7</v>
          </cell>
          <cell r="G35">
            <v>102</v>
          </cell>
          <cell r="H35">
            <v>0.18</v>
          </cell>
          <cell r="L35">
            <v>10</v>
          </cell>
          <cell r="M35">
            <v>-3</v>
          </cell>
          <cell r="O35">
            <v>0</v>
          </cell>
          <cell r="P35">
            <v>1.4</v>
          </cell>
          <cell r="T35">
            <v>72.857142857142861</v>
          </cell>
          <cell r="U35">
            <v>72.857142857142861</v>
          </cell>
          <cell r="V35">
            <v>7.4</v>
          </cell>
          <cell r="W35">
            <v>4.8</v>
          </cell>
          <cell r="X35">
            <v>3.8</v>
          </cell>
          <cell r="Y35">
            <v>3.2</v>
          </cell>
        </row>
        <row r="36">
          <cell r="A36" t="str">
            <v>Сыр Косичка сырная копченая 43% 100г/8шт Папа Может Останкино</v>
          </cell>
          <cell r="B36" t="str">
            <v>шт</v>
          </cell>
          <cell r="C36">
            <v>8445177</v>
          </cell>
          <cell r="D36">
            <v>115</v>
          </cell>
          <cell r="E36">
            <v>3</v>
          </cell>
          <cell r="F36">
            <v>44</v>
          </cell>
          <cell r="G36">
            <v>72</v>
          </cell>
          <cell r="H36">
            <v>0.1</v>
          </cell>
          <cell r="L36">
            <v>46</v>
          </cell>
          <cell r="M36">
            <v>-2</v>
          </cell>
          <cell r="O36">
            <v>61</v>
          </cell>
          <cell r="P36">
            <v>8.8000000000000007</v>
          </cell>
          <cell r="Q36">
            <v>43</v>
          </cell>
          <cell r="T36">
            <v>20</v>
          </cell>
          <cell r="U36">
            <v>8.1818181818181817</v>
          </cell>
          <cell r="V36">
            <v>9.1999999999999993</v>
          </cell>
          <cell r="W36">
            <v>0.4</v>
          </cell>
          <cell r="X36">
            <v>6.2</v>
          </cell>
          <cell r="Y36">
            <v>8.8000000000000007</v>
          </cell>
        </row>
        <row r="37">
          <cell r="A37" t="str">
            <v>Сыр ПАПА МОЖЕТ "Гауда Голд" 45 % 180 гр (10шт) Останкино</v>
          </cell>
          <cell r="B37" t="str">
            <v>шт</v>
          </cell>
          <cell r="C37">
            <v>5038411</v>
          </cell>
          <cell r="D37">
            <v>337</v>
          </cell>
          <cell r="F37">
            <v>119</v>
          </cell>
          <cell r="G37">
            <v>218</v>
          </cell>
          <cell r="H37">
            <v>0.18</v>
          </cell>
          <cell r="I37">
            <v>150</v>
          </cell>
          <cell r="L37">
            <v>129</v>
          </cell>
          <cell r="M37">
            <v>-10</v>
          </cell>
          <cell r="O37">
            <v>0</v>
          </cell>
          <cell r="P37">
            <v>23.8</v>
          </cell>
          <cell r="Q37">
            <v>258</v>
          </cell>
          <cell r="T37">
            <v>20</v>
          </cell>
          <cell r="U37">
            <v>9.1596638655462179</v>
          </cell>
          <cell r="V37">
            <v>19</v>
          </cell>
          <cell r="W37">
            <v>27.2</v>
          </cell>
          <cell r="X37">
            <v>27.6</v>
          </cell>
          <cell r="Y37">
            <v>13</v>
          </cell>
        </row>
        <row r="38">
          <cell r="A38" t="str">
            <v>Сыр Папа Может "Гауда Голд" 45% (-2,5 кг брус) (6 шт)  Останкино</v>
          </cell>
          <cell r="B38" t="str">
            <v>кг</v>
          </cell>
          <cell r="D38">
            <v>36.363999999999997</v>
          </cell>
          <cell r="F38">
            <v>0</v>
          </cell>
          <cell r="G38">
            <v>36.363999999999997</v>
          </cell>
          <cell r="H38">
            <v>1</v>
          </cell>
          <cell r="I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T38" t="e">
            <v>#DIV/0!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 t="str">
            <v>Сыр ПАПА МОЖЕТ "Голландский традиционный" 45% 180 гр (10шт)  Останкино</v>
          </cell>
          <cell r="B39" t="str">
            <v>шт</v>
          </cell>
          <cell r="C39">
            <v>5038459</v>
          </cell>
          <cell r="D39">
            <v>398</v>
          </cell>
          <cell r="E39">
            <v>1</v>
          </cell>
          <cell r="F39">
            <v>128</v>
          </cell>
          <cell r="G39">
            <v>270</v>
          </cell>
          <cell r="H39">
            <v>0.18</v>
          </cell>
          <cell r="I39">
            <v>150</v>
          </cell>
          <cell r="L39">
            <v>140</v>
          </cell>
          <cell r="M39">
            <v>-12</v>
          </cell>
          <cell r="O39">
            <v>0</v>
          </cell>
          <cell r="P39">
            <v>25.6</v>
          </cell>
          <cell r="Q39">
            <v>242</v>
          </cell>
          <cell r="T39">
            <v>20</v>
          </cell>
          <cell r="U39">
            <v>10.546875</v>
          </cell>
          <cell r="V39">
            <v>23.2</v>
          </cell>
          <cell r="W39">
            <v>29.6</v>
          </cell>
          <cell r="X39">
            <v>23.4</v>
          </cell>
          <cell r="Y39">
            <v>19.399999999999999</v>
          </cell>
        </row>
        <row r="40">
          <cell r="A40" t="str">
            <v>Сыр ПАПА МОЖЕТ "Министерский" 180 г фасованный массовая  Останкино</v>
          </cell>
          <cell r="B40" t="str">
            <v>шт</v>
          </cell>
          <cell r="C40">
            <v>5038831</v>
          </cell>
          <cell r="D40">
            <v>283</v>
          </cell>
          <cell r="F40">
            <v>43</v>
          </cell>
          <cell r="G40">
            <v>240</v>
          </cell>
          <cell r="H40">
            <v>0.18</v>
          </cell>
          <cell r="L40">
            <v>53</v>
          </cell>
          <cell r="M40">
            <v>-10</v>
          </cell>
          <cell r="O40">
            <v>0</v>
          </cell>
          <cell r="P40">
            <v>8.6</v>
          </cell>
          <cell r="T40">
            <v>27.906976744186046</v>
          </cell>
          <cell r="U40">
            <v>27.906976744186046</v>
          </cell>
          <cell r="V40">
            <v>13.2</v>
          </cell>
          <cell r="W40">
            <v>15.2</v>
          </cell>
          <cell r="X40">
            <v>9.6</v>
          </cell>
          <cell r="Y40">
            <v>11.8</v>
          </cell>
        </row>
        <row r="41">
          <cell r="A41" t="str">
            <v>Сыр ПАПА МОЖЕТ "Папин завтрак"  45% 180 г  Останкино</v>
          </cell>
          <cell r="B41" t="str">
            <v>шт</v>
          </cell>
          <cell r="C41">
            <v>5038855</v>
          </cell>
          <cell r="D41">
            <v>195</v>
          </cell>
          <cell r="F41">
            <v>36</v>
          </cell>
          <cell r="G41">
            <v>159</v>
          </cell>
          <cell r="H41">
            <v>0.18</v>
          </cell>
          <cell r="L41">
            <v>43</v>
          </cell>
          <cell r="M41">
            <v>-7</v>
          </cell>
          <cell r="O41">
            <v>0</v>
          </cell>
          <cell r="P41">
            <v>7.2</v>
          </cell>
          <cell r="T41">
            <v>22.083333333333332</v>
          </cell>
          <cell r="U41">
            <v>22.083333333333332</v>
          </cell>
          <cell r="V41">
            <v>0</v>
          </cell>
          <cell r="W41">
            <v>6.2</v>
          </cell>
          <cell r="X41">
            <v>9.8000000000000007</v>
          </cell>
          <cell r="Y41">
            <v>9</v>
          </cell>
        </row>
        <row r="42">
          <cell r="A42" t="str">
            <v>Сыр ПАПА МОЖЕТ "Российский традиционный"45 % 180 г Останкино</v>
          </cell>
          <cell r="B42" t="str">
            <v>шт</v>
          </cell>
          <cell r="C42">
            <v>5038435</v>
          </cell>
          <cell r="D42">
            <v>262</v>
          </cell>
          <cell r="E42">
            <v>32</v>
          </cell>
          <cell r="F42">
            <v>137</v>
          </cell>
          <cell r="G42">
            <v>157</v>
          </cell>
          <cell r="H42">
            <v>0.18</v>
          </cell>
          <cell r="I42">
            <v>150</v>
          </cell>
          <cell r="L42">
            <v>151</v>
          </cell>
          <cell r="M42">
            <v>-14</v>
          </cell>
          <cell r="O42">
            <v>216</v>
          </cell>
          <cell r="P42">
            <v>27.4</v>
          </cell>
          <cell r="Q42">
            <v>175</v>
          </cell>
          <cell r="T42">
            <v>20</v>
          </cell>
          <cell r="U42">
            <v>5.7299270072992705</v>
          </cell>
          <cell r="V42">
            <v>32.4</v>
          </cell>
          <cell r="W42">
            <v>24.6</v>
          </cell>
          <cell r="X42">
            <v>20.8</v>
          </cell>
          <cell r="Y42">
            <v>25.4</v>
          </cell>
        </row>
        <row r="43">
          <cell r="A43" t="str">
            <v>Сыр ПАПА МОЖЕТ "Тильзитер" фасованный массовая доля жира в сухом веществе 45%, 180г  Останкино</v>
          </cell>
          <cell r="B43" t="str">
            <v>шт</v>
          </cell>
          <cell r="C43">
            <v>5038398</v>
          </cell>
          <cell r="D43">
            <v>371</v>
          </cell>
          <cell r="E43">
            <v>150</v>
          </cell>
          <cell r="F43">
            <v>58</v>
          </cell>
          <cell r="G43">
            <v>463</v>
          </cell>
          <cell r="H43">
            <v>0.18</v>
          </cell>
          <cell r="I43">
            <v>120</v>
          </cell>
          <cell r="L43">
            <v>66</v>
          </cell>
          <cell r="M43">
            <v>-8</v>
          </cell>
          <cell r="O43">
            <v>0</v>
          </cell>
          <cell r="P43">
            <v>11.6</v>
          </cell>
          <cell r="T43">
            <v>39.913793103448278</v>
          </cell>
          <cell r="U43">
            <v>39.913793103448278</v>
          </cell>
          <cell r="V43">
            <v>4.8</v>
          </cell>
          <cell r="W43">
            <v>12.8</v>
          </cell>
          <cell r="X43">
            <v>13.2</v>
          </cell>
          <cell r="Y43">
            <v>9.4</v>
          </cell>
        </row>
        <row r="44">
          <cell r="A44" t="str">
            <v>Сыр плавленный Сливочный ж.45% 180г ТМ Папа может (16шт)  Останкино</v>
          </cell>
          <cell r="B44" t="str">
            <v>шт</v>
          </cell>
          <cell r="C44">
            <v>9988681</v>
          </cell>
          <cell r="D44">
            <v>186</v>
          </cell>
          <cell r="F44">
            <v>41</v>
          </cell>
          <cell r="G44">
            <v>145</v>
          </cell>
          <cell r="H44">
            <v>0.18</v>
          </cell>
          <cell r="L44">
            <v>42</v>
          </cell>
          <cell r="M44">
            <v>-1</v>
          </cell>
          <cell r="O44">
            <v>0</v>
          </cell>
          <cell r="P44">
            <v>8.1999999999999993</v>
          </cell>
          <cell r="Q44">
            <v>19</v>
          </cell>
          <cell r="T44">
            <v>20</v>
          </cell>
          <cell r="U44">
            <v>17.682926829268293</v>
          </cell>
          <cell r="V44">
            <v>12.4</v>
          </cell>
          <cell r="W44">
            <v>5.8</v>
          </cell>
          <cell r="X44">
            <v>7.4</v>
          </cell>
          <cell r="Y44">
            <v>8.6</v>
          </cell>
        </row>
        <row r="45">
          <cell r="A45" t="str">
            <v>Сыр полутвердый "Гауда" с массовой долей жира в пересчете на сухое вещество 45%,   Останкино</v>
          </cell>
          <cell r="B45" t="str">
            <v>кг</v>
          </cell>
          <cell r="C45" t="str">
            <v>дубль</v>
          </cell>
          <cell r="D45">
            <v>59.167999999999999</v>
          </cell>
          <cell r="F45">
            <v>6.6180000000000003</v>
          </cell>
          <cell r="G45">
            <v>52.55</v>
          </cell>
          <cell r="H45">
            <v>1</v>
          </cell>
          <cell r="L45">
            <v>5</v>
          </cell>
          <cell r="M45">
            <v>1.6180000000000003</v>
          </cell>
          <cell r="O45">
            <v>0</v>
          </cell>
          <cell r="P45">
            <v>1.3236000000000001</v>
          </cell>
          <cell r="T45">
            <v>39.702326987005129</v>
          </cell>
          <cell r="U45">
            <v>39.702326987005129</v>
          </cell>
          <cell r="V45">
            <v>1.3355999999999999</v>
          </cell>
          <cell r="W45">
            <v>1.988</v>
          </cell>
          <cell r="X45">
            <v>2.0207999999999999</v>
          </cell>
          <cell r="Y45">
            <v>0.68840000000000001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C46">
            <v>8785198</v>
          </cell>
          <cell r="D46">
            <v>80.581999999999994</v>
          </cell>
          <cell r="F46">
            <v>18.98</v>
          </cell>
          <cell r="G46">
            <v>61.601999999999997</v>
          </cell>
          <cell r="H46">
            <v>1</v>
          </cell>
          <cell r="L46">
            <v>20.2</v>
          </cell>
          <cell r="M46">
            <v>-1.2199999999999989</v>
          </cell>
          <cell r="O46">
            <v>0</v>
          </cell>
          <cell r="P46">
            <v>3.7960000000000003</v>
          </cell>
          <cell r="Q46">
            <v>14.318000000000005</v>
          </cell>
          <cell r="T46">
            <v>20</v>
          </cell>
          <cell r="U46">
            <v>16.228134878819809</v>
          </cell>
          <cell r="V46">
            <v>3.8764000000000003</v>
          </cell>
          <cell r="W46">
            <v>3.9607999999999999</v>
          </cell>
          <cell r="X46">
            <v>0.71599999999999997</v>
          </cell>
          <cell r="Y46">
            <v>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8444187</v>
          </cell>
          <cell r="D47">
            <v>112</v>
          </cell>
          <cell r="F47">
            <v>68</v>
          </cell>
          <cell r="G47">
            <v>42</v>
          </cell>
          <cell r="H47">
            <v>0.1</v>
          </cell>
          <cell r="L47">
            <v>70</v>
          </cell>
          <cell r="M47">
            <v>-2</v>
          </cell>
          <cell r="O47">
            <v>52</v>
          </cell>
          <cell r="P47">
            <v>13.6</v>
          </cell>
          <cell r="Q47">
            <v>178</v>
          </cell>
          <cell r="T47">
            <v>20</v>
          </cell>
          <cell r="U47">
            <v>3.0882352941176472</v>
          </cell>
          <cell r="V47">
            <v>8.6</v>
          </cell>
          <cell r="W47">
            <v>-0.4</v>
          </cell>
          <cell r="X47">
            <v>4.8</v>
          </cell>
          <cell r="Y47">
            <v>8.1999999999999993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8444194</v>
          </cell>
          <cell r="D48">
            <v>174</v>
          </cell>
          <cell r="E48">
            <v>2</v>
          </cell>
          <cell r="F48">
            <v>71</v>
          </cell>
          <cell r="G48">
            <v>101</v>
          </cell>
          <cell r="H48">
            <v>0.1</v>
          </cell>
          <cell r="L48">
            <v>75</v>
          </cell>
          <cell r="M48">
            <v>-4</v>
          </cell>
          <cell r="O48">
            <v>0</v>
          </cell>
          <cell r="P48">
            <v>14.2</v>
          </cell>
          <cell r="Q48">
            <v>183</v>
          </cell>
          <cell r="T48">
            <v>20</v>
          </cell>
          <cell r="U48">
            <v>7.1126760563380289</v>
          </cell>
          <cell r="V48">
            <v>12.6</v>
          </cell>
          <cell r="W48">
            <v>2.6</v>
          </cell>
          <cell r="X48">
            <v>7.4</v>
          </cell>
          <cell r="Y48">
            <v>7.6</v>
          </cell>
        </row>
        <row r="49">
          <cell r="A49" t="str">
            <v>Сыр Творожный с зеленью 60% Папа может 140 гр.  Останкино</v>
          </cell>
          <cell r="B49" t="str">
            <v>шт</v>
          </cell>
          <cell r="C49">
            <v>9988391</v>
          </cell>
          <cell r="D49">
            <v>48</v>
          </cell>
          <cell r="E49">
            <v>64</v>
          </cell>
          <cell r="F49">
            <v>31</v>
          </cell>
          <cell r="G49">
            <v>81</v>
          </cell>
          <cell r="H49">
            <v>0.14000000000000001</v>
          </cell>
          <cell r="L49">
            <v>31</v>
          </cell>
          <cell r="M49">
            <v>0</v>
          </cell>
          <cell r="O49">
            <v>32</v>
          </cell>
          <cell r="P49">
            <v>6.2</v>
          </cell>
          <cell r="Q49">
            <v>11</v>
          </cell>
          <cell r="T49">
            <v>20</v>
          </cell>
          <cell r="U49">
            <v>13.064516129032258</v>
          </cell>
          <cell r="V49">
            <v>1</v>
          </cell>
          <cell r="W49">
            <v>3.6</v>
          </cell>
          <cell r="X49">
            <v>7</v>
          </cell>
          <cell r="Y49">
            <v>7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C50">
            <v>9988377</v>
          </cell>
          <cell r="D50">
            <v>97</v>
          </cell>
          <cell r="E50">
            <v>32</v>
          </cell>
          <cell r="F50">
            <v>40</v>
          </cell>
          <cell r="G50">
            <v>89</v>
          </cell>
          <cell r="H50">
            <v>0.14000000000000001</v>
          </cell>
          <cell r="L50">
            <v>40</v>
          </cell>
          <cell r="M50">
            <v>0</v>
          </cell>
          <cell r="O50">
            <v>25</v>
          </cell>
          <cell r="P50">
            <v>8</v>
          </cell>
          <cell r="Q50">
            <v>46</v>
          </cell>
          <cell r="T50">
            <v>20</v>
          </cell>
          <cell r="U50">
            <v>11.125</v>
          </cell>
          <cell r="V50">
            <v>5.2</v>
          </cell>
          <cell r="W50">
            <v>7.4</v>
          </cell>
          <cell r="X50">
            <v>7.4</v>
          </cell>
          <cell r="Y50">
            <v>7.6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 t="str">
            <v>783К798</v>
          </cell>
          <cell r="D51">
            <v>333</v>
          </cell>
          <cell r="E51">
            <v>72</v>
          </cell>
          <cell r="F51">
            <v>123</v>
          </cell>
          <cell r="G51">
            <v>210</v>
          </cell>
          <cell r="H51">
            <v>0.2</v>
          </cell>
          <cell r="L51">
            <v>123</v>
          </cell>
          <cell r="M51">
            <v>0</v>
          </cell>
          <cell r="O51">
            <v>0</v>
          </cell>
          <cell r="P51">
            <v>24.6</v>
          </cell>
          <cell r="Q51">
            <v>282</v>
          </cell>
          <cell r="T51">
            <v>20</v>
          </cell>
          <cell r="U51">
            <v>8.5365853658536572</v>
          </cell>
          <cell r="V51">
            <v>31.8</v>
          </cell>
          <cell r="W51">
            <v>13.8</v>
          </cell>
          <cell r="X51">
            <v>8.1999999999999993</v>
          </cell>
          <cell r="Y51">
            <v>13.2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 t="str">
            <v>дубль798</v>
          </cell>
          <cell r="D52">
            <v>154.012</v>
          </cell>
          <cell r="E52">
            <v>3.3140000000000001</v>
          </cell>
          <cell r="F52">
            <v>15.311999999999999</v>
          </cell>
          <cell r="G52">
            <v>138.69999999999999</v>
          </cell>
          <cell r="H52">
            <v>1</v>
          </cell>
          <cell r="L52">
            <v>25</v>
          </cell>
          <cell r="M52">
            <v>-9.6880000000000006</v>
          </cell>
          <cell r="O52">
            <v>0</v>
          </cell>
          <cell r="P52">
            <v>3.0623999999999998</v>
          </cell>
          <cell r="T52">
            <v>45.291274817136888</v>
          </cell>
          <cell r="U52">
            <v>45.291274817136888</v>
          </cell>
          <cell r="V52">
            <v>3.8747999999999996</v>
          </cell>
          <cell r="W52">
            <v>1.1103999999999998</v>
          </cell>
          <cell r="X52">
            <v>7.4767999999999999</v>
          </cell>
          <cell r="Y52">
            <v>3.6636000000000002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 t="str">
            <v>783К801</v>
          </cell>
          <cell r="D53">
            <v>158</v>
          </cell>
          <cell r="E53">
            <v>58</v>
          </cell>
          <cell r="F53">
            <v>75</v>
          </cell>
          <cell r="G53">
            <v>123</v>
          </cell>
          <cell r="H53">
            <v>0.2</v>
          </cell>
          <cell r="L53">
            <v>75</v>
          </cell>
          <cell r="M53">
            <v>0</v>
          </cell>
          <cell r="O53">
            <v>0</v>
          </cell>
          <cell r="P53">
            <v>15</v>
          </cell>
          <cell r="Q53">
            <v>177</v>
          </cell>
          <cell r="T53">
            <v>20</v>
          </cell>
          <cell r="U53">
            <v>8.1999999999999993</v>
          </cell>
          <cell r="V53">
            <v>18.600000000000001</v>
          </cell>
          <cell r="W53">
            <v>14</v>
          </cell>
          <cell r="X53">
            <v>12.2</v>
          </cell>
          <cell r="Y53">
            <v>8.6</v>
          </cell>
        </row>
        <row r="54">
          <cell r="A54" t="str">
            <v>Сыч/Прод Коровино Тильзитер Оригин 50% ВЕС НОВАЯ (5 кг брус) СЗМЖ  ОСТАНКИНО</v>
          </cell>
          <cell r="B54" t="str">
            <v>кг</v>
          </cell>
          <cell r="D54">
            <v>270.7</v>
          </cell>
          <cell r="F54">
            <v>14.747999999999999</v>
          </cell>
          <cell r="G54">
            <v>255.952</v>
          </cell>
          <cell r="H54">
            <v>1</v>
          </cell>
          <cell r="L54">
            <v>14</v>
          </cell>
          <cell r="M54">
            <v>0.74799999999999933</v>
          </cell>
          <cell r="O54">
            <v>0</v>
          </cell>
          <cell r="P54">
            <v>2.9495999999999998</v>
          </cell>
          <cell r="T54">
            <v>86.775155953349611</v>
          </cell>
          <cell r="U54">
            <v>86.775155953349611</v>
          </cell>
          <cell r="V54">
            <v>1.4567999999999999</v>
          </cell>
          <cell r="W54">
            <v>8.5687999999999995</v>
          </cell>
          <cell r="X54">
            <v>2.1876000000000002</v>
          </cell>
          <cell r="Y54">
            <v>2.4E-2</v>
          </cell>
        </row>
        <row r="55">
          <cell r="A55" t="str">
            <v>3534796 Масло сливочное ж.82,5% 180г фольга ТМ Папа может(вл 12)  Останкино</v>
          </cell>
          <cell r="B55" t="str">
            <v>шт</v>
          </cell>
          <cell r="C55">
            <v>3534796</v>
          </cell>
          <cell r="F55">
            <v>0</v>
          </cell>
          <cell r="H55">
            <v>0.18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T55" t="e">
            <v>#DIV/0!</v>
          </cell>
          <cell r="U55" t="e">
            <v>#DIV/0!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A56" t="str">
            <v>6819 БЛИНЧ.КРУГЛЫЕ С САД.ЯБЛОК. пл. 1/300 зам. ОСТАНКИНО</v>
          </cell>
          <cell r="B56" t="str">
            <v>шт</v>
          </cell>
          <cell r="C56">
            <v>6819</v>
          </cell>
          <cell r="F56">
            <v>0</v>
          </cell>
          <cell r="H56">
            <v>0.3</v>
          </cell>
          <cell r="L56">
            <v>28</v>
          </cell>
          <cell r="M56">
            <v>-28</v>
          </cell>
          <cell r="O56">
            <v>0</v>
          </cell>
          <cell r="P56">
            <v>0</v>
          </cell>
          <cell r="S56" t="str">
            <v>блины</v>
          </cell>
          <cell r="T56" t="e">
            <v>#DIV/0!</v>
          </cell>
          <cell r="U56" t="e">
            <v>#DIV/0!</v>
          </cell>
          <cell r="V56">
            <v>8.6</v>
          </cell>
          <cell r="W56">
            <v>0</v>
          </cell>
          <cell r="X56">
            <v>0</v>
          </cell>
          <cell r="Y56">
            <v>0</v>
          </cell>
        </row>
        <row r="57">
          <cell r="A57" t="str">
            <v>7216 СОЧНЫЕ СО СЛ.МАСЛ.ПМ пельм пл.0.7кг зам. ОСТАНКИНО</v>
          </cell>
          <cell r="B57" t="str">
            <v>шт</v>
          </cell>
          <cell r="C57">
            <v>7216</v>
          </cell>
          <cell r="F57">
            <v>133</v>
          </cell>
          <cell r="H57">
            <v>0.7</v>
          </cell>
          <cell r="L57">
            <v>4</v>
          </cell>
          <cell r="M57">
            <v>129</v>
          </cell>
          <cell r="O57">
            <v>0</v>
          </cell>
          <cell r="P57">
            <v>26.6</v>
          </cell>
          <cell r="T57">
            <v>0</v>
          </cell>
          <cell r="U57">
            <v>0</v>
          </cell>
          <cell r="V57">
            <v>0</v>
          </cell>
          <cell r="W57">
            <v>20.2</v>
          </cell>
          <cell r="X57">
            <v>12</v>
          </cell>
          <cell r="Y57">
            <v>23.6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Останкино молоко</v>
          </cell>
          <cell r="E6">
            <v>1684.1</v>
          </cell>
        </row>
        <row r="7">
          <cell r="A7" t="str">
            <v>Останкино ООО</v>
          </cell>
          <cell r="E7">
            <v>1684.1</v>
          </cell>
        </row>
        <row r="8">
          <cell r="A8" t="str">
            <v>Останкино (соусы, майонезы)</v>
          </cell>
          <cell r="E8">
            <v>524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5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60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54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174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231</v>
          </cell>
        </row>
        <row r="14">
          <cell r="A14" t="str">
            <v>Останкино СЫР</v>
          </cell>
          <cell r="E14">
            <v>1160.0999999999999</v>
          </cell>
        </row>
        <row r="15">
          <cell r="A15" t="str">
            <v>3323 Сыр Российский цилиндр 1/4 пленка ЮКМП м.д.ж. 50%  ОСТАНКИНО</v>
          </cell>
          <cell r="E15">
            <v>47.6</v>
          </cell>
        </row>
        <row r="16">
          <cell r="A16" t="str">
            <v>3534796 Масло сливочное ж.82,5% 180г фольга ТМ Папа может(вл 12)  Останкино</v>
          </cell>
        </row>
        <row r="17">
          <cell r="A17" t="str">
            <v>9988438 Плавленый Сыр 45% "С ветчиной" СТМ"ПапаМожет" 180гр  Останкино</v>
          </cell>
          <cell r="E17">
            <v>10</v>
          </cell>
        </row>
        <row r="18">
          <cell r="A18" t="str">
            <v>9988445 Плавленый Сыр 45%"С грибами" СТМ"ПапаМожет" 180 гр  Останкино</v>
          </cell>
          <cell r="E18">
            <v>8</v>
          </cell>
        </row>
        <row r="19">
          <cell r="A19" t="str">
            <v>Cыр Перлини 40% 100гр (8шт)  Останкино</v>
          </cell>
          <cell r="E19">
            <v>2</v>
          </cell>
        </row>
        <row r="20">
          <cell r="A20" t="str">
            <v>Cыр Перлини копченый 40% 100гр (8шт)  Останкино</v>
          </cell>
          <cell r="E20">
            <v>2</v>
          </cell>
        </row>
        <row r="21">
          <cell r="A21" t="str">
            <v>Cыр Перлини со вкусом Васаби 40% 100гр (8шт)  Останкино</v>
          </cell>
          <cell r="E21">
            <v>2</v>
          </cell>
        </row>
        <row r="22">
          <cell r="A22" t="str">
            <v>Масло "Папа может" 82,5% 180гр  Останкино</v>
          </cell>
          <cell r="E22">
            <v>78</v>
          </cell>
        </row>
        <row r="23">
          <cell r="A23" t="str">
            <v>Масло сливочное 72,5 % 180 гр.(10 шт) СЛАВЯНА  Останкино</v>
          </cell>
          <cell r="E23">
            <v>114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6</v>
          </cell>
        </row>
        <row r="25">
          <cell r="A25" t="str">
            <v>Плавленый сыр "Шоколадный" 30% 180гр Папа Может Останкино</v>
          </cell>
          <cell r="E25">
            <v>3</v>
          </cell>
        </row>
        <row r="26">
          <cell r="A26" t="str">
            <v>Плавленый Сыр колбасный копченый 40% СТМ"ПапаМожет"400гр  Останкино</v>
          </cell>
          <cell r="E26">
            <v>3</v>
          </cell>
        </row>
        <row r="27">
          <cell r="A27" t="str">
            <v>Продукт По-Росийски Классический с ЗМЖ 50% 200г Коровино Останкино</v>
          </cell>
          <cell r="E27">
            <v>10</v>
          </cell>
        </row>
        <row r="28">
          <cell r="A28" t="str">
            <v>Сыр "Пармезан" 40% кусок 180 гр  ОСТАНКИНО</v>
          </cell>
          <cell r="E28">
            <v>8</v>
          </cell>
        </row>
        <row r="29">
          <cell r="A29" t="str">
            <v>Сыр Боккончини копченый 40% 100 гр.  ОСТАНКИНО</v>
          </cell>
          <cell r="E29">
            <v>6</v>
          </cell>
        </row>
        <row r="30">
          <cell r="A30" t="str">
            <v>Сыр Косичка сырная 45% 100г/8шт Папа Может Останкино</v>
          </cell>
          <cell r="E30">
            <v>22</v>
          </cell>
        </row>
        <row r="31">
          <cell r="A31" t="str">
            <v>Сыр Косичка сырная копченая 43% 100г/8шт Папа Может Останкино</v>
          </cell>
          <cell r="E31">
            <v>26</v>
          </cell>
        </row>
        <row r="32">
          <cell r="A32" t="str">
            <v>Сыр ПАПА МОЖЕТ "Гауда Голд" 45 % 180 гр (10шт) Останкино</v>
          </cell>
          <cell r="E32">
            <v>98</v>
          </cell>
        </row>
        <row r="33">
          <cell r="A33" t="str">
            <v>Сыр ПАПА МОЖЕТ "Голландский традиционный" 45% 180 гр (10шт)  Останкино</v>
          </cell>
          <cell r="E33">
            <v>114</v>
          </cell>
        </row>
        <row r="34">
          <cell r="A34" t="str">
            <v>Сыр ПАПА МОЖЕТ "Министерский" 180 г фасованный массовая  Останкино</v>
          </cell>
          <cell r="E34">
            <v>54</v>
          </cell>
        </row>
        <row r="35">
          <cell r="A35" t="str">
            <v>Сыр ПАПА МОЖЕТ "Папин завтрак"  45% 180 г  Останкино</v>
          </cell>
          <cell r="E35">
            <v>53</v>
          </cell>
        </row>
        <row r="36">
          <cell r="A36" t="str">
            <v>Сыр ПАПА МОЖЕТ "Российский традиционный"45 % 180 г Останкино</v>
          </cell>
          <cell r="E36">
            <v>139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E37">
            <v>58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12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3.5</v>
          </cell>
        </row>
        <row r="40">
          <cell r="A40" t="str">
            <v>Сыр полутвердый "Сметанковый", с масс долей жира в пересчете на сухое вещес50%, брус  Останкино</v>
          </cell>
          <cell r="E40">
            <v>14</v>
          </cell>
        </row>
        <row r="41">
          <cell r="A41" t="str">
            <v>Сыр рассольный жирный Чечил 45% 100 гр  ОСТАНКИНО</v>
          </cell>
          <cell r="E41">
            <v>46</v>
          </cell>
        </row>
        <row r="42">
          <cell r="A42" t="str">
            <v>Сыр рассольный жирный Чечил копченый 43% 100 гр  Останкино</v>
          </cell>
          <cell r="E42">
            <v>37</v>
          </cell>
        </row>
        <row r="43">
          <cell r="A43" t="str">
            <v>Сыр Творожный с зеленью 60% Папа может 140 гр.  Останкино</v>
          </cell>
          <cell r="E43">
            <v>15</v>
          </cell>
        </row>
        <row r="44">
          <cell r="A44" t="str">
            <v>Сыр творожный Сливочный 140 гр.  Останкино</v>
          </cell>
          <cell r="E44">
            <v>23</v>
          </cell>
        </row>
        <row r="45">
          <cell r="A45" t="str">
            <v>Сыч/Прод Коровино Российский 50% 200г НОВАЯ СЗМЖ  ОСТАНКИНО</v>
          </cell>
          <cell r="E45">
            <v>66</v>
          </cell>
        </row>
        <row r="46">
          <cell r="A46" t="str">
            <v>Сыч/Прод Коровино Российский Оригин 50% ВЕС НОВАЯ (3,5 кг)  ОСТАНКИНО</v>
          </cell>
          <cell r="E46">
            <v>21</v>
          </cell>
        </row>
        <row r="47">
          <cell r="A47" t="str">
            <v>Сыч/Прод Коровино Тильзитер 50% 200г НОВАЯ СЗМЖ  ОСТАНКИНО</v>
          </cell>
          <cell r="E47">
            <v>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6" width="6" customWidth="1"/>
    <col min="27" max="27" width="31.42578125" customWidth="1"/>
    <col min="28" max="28" width="7" customWidth="1"/>
    <col min="2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22</v>
      </c>
      <c r="AB3" s="2" t="s">
        <v>23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SUM(E6:E362)</f>
        <v>1496.6580000000001</v>
      </c>
      <c r="F5" s="4">
        <f>SUM(F6:F362)</f>
        <v>5857.101999999999</v>
      </c>
      <c r="G5" s="7"/>
      <c r="H5" s="1"/>
      <c r="I5" s="1"/>
      <c r="J5" s="1"/>
      <c r="K5" s="4">
        <f>SUM(K6:K362)</f>
        <v>1626.1</v>
      </c>
      <c r="L5" s="4">
        <f>SUM(L6:L362)</f>
        <v>-129.44200000000001</v>
      </c>
      <c r="M5" s="4">
        <f>SUM(M6:M362)</f>
        <v>0</v>
      </c>
      <c r="N5" s="4">
        <f>SUM(N6:N362)</f>
        <v>0</v>
      </c>
      <c r="O5" s="4">
        <f>SUM(O6:O362)</f>
        <v>1660.318</v>
      </c>
      <c r="P5" s="4">
        <f>SUM(P6:P362)</f>
        <v>299.33160000000004</v>
      </c>
      <c r="Q5" s="4">
        <f>SUM(Q6:Q362)</f>
        <v>1253.2</v>
      </c>
      <c r="R5" s="4">
        <f>SUM(R6:R362)</f>
        <v>0</v>
      </c>
      <c r="S5" s="1"/>
      <c r="T5" s="1"/>
      <c r="U5" s="1"/>
      <c r="V5" s="4">
        <f>SUM(V6:V362)</f>
        <v>358.81580000000002</v>
      </c>
      <c r="W5" s="4">
        <f>SUM(W6:W362)</f>
        <v>346.77240000000006</v>
      </c>
      <c r="X5" s="4">
        <f>SUM(X6:X362)</f>
        <v>374.9812</v>
      </c>
      <c r="Y5" s="4">
        <f>SUM(Y6:Y362)</f>
        <v>347.31840000000011</v>
      </c>
      <c r="Z5" s="4">
        <f>SUM(Z6:Z362)</f>
        <v>357.3904</v>
      </c>
      <c r="AA5" s="1"/>
      <c r="AB5" s="4">
        <f>SUM(AB6:AB362)</f>
        <v>617.10480000000007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236.09</v>
      </c>
      <c r="D6" s="1"/>
      <c r="E6" s="1">
        <v>33.305999999999997</v>
      </c>
      <c r="F6" s="1">
        <v>197.75200000000001</v>
      </c>
      <c r="G6" s="7">
        <v>1</v>
      </c>
      <c r="H6" s="1"/>
      <c r="I6" s="1"/>
      <c r="J6" s="1"/>
      <c r="K6" s="1">
        <f>VLOOKUP(A6,[2]TDSheet!$A:$E,5,0)</f>
        <v>47.6</v>
      </c>
      <c r="L6" s="1">
        <f>E6-K6</f>
        <v>-14.294000000000004</v>
      </c>
      <c r="M6" s="1"/>
      <c r="N6" s="1"/>
      <c r="O6" s="1">
        <v>0</v>
      </c>
      <c r="P6" s="1">
        <f>E6/5</f>
        <v>6.6611999999999991</v>
      </c>
      <c r="Q6" s="9"/>
      <c r="R6" s="9"/>
      <c r="S6" s="1"/>
      <c r="T6" s="1">
        <f>(F6+O6+Q6)/P6</f>
        <v>29.687143457635266</v>
      </c>
      <c r="U6" s="1">
        <f>(F6+O6)/P6</f>
        <v>29.687143457635266</v>
      </c>
      <c r="V6" s="1">
        <f>VLOOKUP(A6,[1]TDSheet!$A:$Y,16,0)</f>
        <v>7.8073999999999995</v>
      </c>
      <c r="W6" s="1">
        <f>VLOOKUP(A6,[1]TDSheet!$A:$Y,25,0)</f>
        <v>5.952</v>
      </c>
      <c r="X6" s="1">
        <f>VLOOKUP(A6,[1]TDSheet!$A:$Y,24,0)</f>
        <v>15.026400000000001</v>
      </c>
      <c r="Y6" s="1">
        <f>VLOOKUP(A6,[1]TDSheet!$A:$Y,23,0)</f>
        <v>12.090399999999999</v>
      </c>
      <c r="Z6" s="1">
        <f>VLOOKUP(A6,[1]TDSheet!$A:$Y,22,0)</f>
        <v>19.646799999999999</v>
      </c>
      <c r="AA6" s="15" t="s">
        <v>64</v>
      </c>
      <c r="AB6" s="1">
        <f>Q6*G6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1" t="s">
        <v>65</v>
      </c>
      <c r="B7" s="11" t="s">
        <v>35</v>
      </c>
      <c r="C7" s="11"/>
      <c r="D7" s="11"/>
      <c r="E7" s="14">
        <v>1</v>
      </c>
      <c r="F7" s="14">
        <v>-1</v>
      </c>
      <c r="G7" s="12">
        <v>0</v>
      </c>
      <c r="H7" s="11"/>
      <c r="I7" s="11" t="s">
        <v>67</v>
      </c>
      <c r="J7" s="11" t="s">
        <v>43</v>
      </c>
      <c r="K7" s="11"/>
      <c r="L7" s="11">
        <f t="shared" ref="L7:L37" si="0">E7-K7</f>
        <v>1</v>
      </c>
      <c r="M7" s="11"/>
      <c r="N7" s="11"/>
      <c r="O7" s="11">
        <v>0</v>
      </c>
      <c r="P7" s="11">
        <f t="shared" ref="P7:P37" si="1">E7/5</f>
        <v>0.2</v>
      </c>
      <c r="Q7" s="13"/>
      <c r="R7" s="13"/>
      <c r="S7" s="11"/>
      <c r="T7" s="11">
        <f t="shared" ref="T7:T37" si="2">(F7+O7+Q7)/P7</f>
        <v>-5</v>
      </c>
      <c r="U7" s="11">
        <f t="shared" ref="U7:U37" si="3">(F7+O7)/P7</f>
        <v>-5</v>
      </c>
      <c r="V7" s="11">
        <f>VLOOKUP(A7,[1]TDSheet!$A:$Y,16,0)</f>
        <v>0</v>
      </c>
      <c r="W7" s="11">
        <f>VLOOKUP(A7,[1]TDSheet!$A:$Y,25,0)</f>
        <v>0</v>
      </c>
      <c r="X7" s="11">
        <f>VLOOKUP(A7,[1]TDSheet!$A:$Y,24,0)</f>
        <v>0</v>
      </c>
      <c r="Y7" s="11">
        <f>VLOOKUP(A7,[1]TDSheet!$A:$Y,23,0)</f>
        <v>0</v>
      </c>
      <c r="Z7" s="11">
        <f>VLOOKUP(A7,[1]TDSheet!$A:$Y,22,0)</f>
        <v>0</v>
      </c>
      <c r="AA7" s="11"/>
      <c r="AB7" s="1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36</v>
      </c>
      <c r="B8" s="1" t="s">
        <v>34</v>
      </c>
      <c r="C8" s="1">
        <v>148.93600000000001</v>
      </c>
      <c r="D8" s="1"/>
      <c r="E8" s="1"/>
      <c r="F8" s="1">
        <v>148.93600000000001</v>
      </c>
      <c r="G8" s="7">
        <v>1</v>
      </c>
      <c r="H8" s="1"/>
      <c r="I8" s="1"/>
      <c r="J8" s="1"/>
      <c r="K8" s="1"/>
      <c r="L8" s="1">
        <f t="shared" si="0"/>
        <v>0</v>
      </c>
      <c r="M8" s="1"/>
      <c r="N8" s="1"/>
      <c r="O8" s="1">
        <v>0</v>
      </c>
      <c r="P8" s="1">
        <f t="shared" si="1"/>
        <v>0</v>
      </c>
      <c r="Q8" s="9"/>
      <c r="R8" s="9"/>
      <c r="S8" s="1"/>
      <c r="T8" s="1" t="e">
        <f t="shared" si="2"/>
        <v>#DIV/0!</v>
      </c>
      <c r="U8" s="1" t="e">
        <f t="shared" si="3"/>
        <v>#DIV/0!</v>
      </c>
      <c r="V8" s="1">
        <f>VLOOKUP(A8,[1]TDSheet!$A:$Y,16,0)</f>
        <v>3.2768000000000002</v>
      </c>
      <c r="W8" s="1">
        <f>VLOOKUP(A8,[1]TDSheet!$A:$Y,25,0)</f>
        <v>4.0444000000000004</v>
      </c>
      <c r="X8" s="1">
        <f>VLOOKUP(A8,[1]TDSheet!$A:$Y,24,0)</f>
        <v>1.9536000000000002</v>
      </c>
      <c r="Y8" s="1">
        <f>VLOOKUP(A8,[1]TDSheet!$A:$Y,23,0)</f>
        <v>0</v>
      </c>
      <c r="Z8" s="1">
        <f>VLOOKUP(A8,[1]TDSheet!$A:$Y,22,0)</f>
        <v>0</v>
      </c>
      <c r="AA8" s="10" t="s">
        <v>63</v>
      </c>
      <c r="AB8" s="1">
        <f t="shared" ref="AB8:AB37" si="4">Q8*G8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37</v>
      </c>
      <c r="B9" s="1" t="s">
        <v>35</v>
      </c>
      <c r="C9" s="1">
        <v>51</v>
      </c>
      <c r="D9" s="1"/>
      <c r="E9" s="1">
        <v>5</v>
      </c>
      <c r="F9" s="1">
        <v>41</v>
      </c>
      <c r="G9" s="7">
        <v>0.82450000000000001</v>
      </c>
      <c r="H9" s="1">
        <v>180</v>
      </c>
      <c r="I9" s="1"/>
      <c r="J9" s="1"/>
      <c r="K9" s="1">
        <f>VLOOKUP(A9,[2]TDSheet!$A:$E,5,0)</f>
        <v>5</v>
      </c>
      <c r="L9" s="1">
        <f t="shared" si="0"/>
        <v>0</v>
      </c>
      <c r="M9" s="1"/>
      <c r="N9" s="1"/>
      <c r="O9" s="1">
        <v>32</v>
      </c>
      <c r="P9" s="1">
        <f t="shared" si="1"/>
        <v>1</v>
      </c>
      <c r="Q9" s="9"/>
      <c r="R9" s="9"/>
      <c r="S9" s="1"/>
      <c r="T9" s="1">
        <f t="shared" si="2"/>
        <v>73</v>
      </c>
      <c r="U9" s="1">
        <f t="shared" si="3"/>
        <v>73</v>
      </c>
      <c r="V9" s="1">
        <f>VLOOKUP(A9,[1]TDSheet!$A:$Y,16,0)</f>
        <v>2.4</v>
      </c>
      <c r="W9" s="1">
        <f>VLOOKUP(A9,[1]TDSheet!$A:$Y,25,0)</f>
        <v>0.4</v>
      </c>
      <c r="X9" s="1">
        <f>VLOOKUP(A9,[1]TDSheet!$A:$Y,24,0)</f>
        <v>0.6</v>
      </c>
      <c r="Y9" s="1">
        <f>VLOOKUP(A9,[1]TDSheet!$A:$Y,23,0)</f>
        <v>1.2</v>
      </c>
      <c r="Z9" s="1">
        <f>VLOOKUP(A9,[1]TDSheet!$A:$Y,22,0)</f>
        <v>1.4</v>
      </c>
      <c r="AA9" s="10" t="s">
        <v>63</v>
      </c>
      <c r="AB9" s="1">
        <f t="shared" si="4"/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38</v>
      </c>
      <c r="B10" s="1" t="s">
        <v>35</v>
      </c>
      <c r="C10" s="1">
        <v>346</v>
      </c>
      <c r="D10" s="1"/>
      <c r="E10" s="1">
        <v>52</v>
      </c>
      <c r="F10" s="1">
        <v>286</v>
      </c>
      <c r="G10" s="7">
        <v>0.372</v>
      </c>
      <c r="H10" s="1"/>
      <c r="I10" s="1"/>
      <c r="J10" s="1"/>
      <c r="K10" s="1">
        <f>VLOOKUP(A10,[2]TDSheet!$A:$E,5,0)</f>
        <v>60</v>
      </c>
      <c r="L10" s="1">
        <f t="shared" si="0"/>
        <v>-8</v>
      </c>
      <c r="M10" s="1"/>
      <c r="N10" s="1"/>
      <c r="O10" s="1">
        <v>0</v>
      </c>
      <c r="P10" s="1">
        <f t="shared" si="1"/>
        <v>10.4</v>
      </c>
      <c r="Q10" s="9"/>
      <c r="R10" s="9"/>
      <c r="S10" s="1"/>
      <c r="T10" s="1">
        <f t="shared" si="2"/>
        <v>27.5</v>
      </c>
      <c r="U10" s="1">
        <f t="shared" si="3"/>
        <v>27.5</v>
      </c>
      <c r="V10" s="1">
        <f>VLOOKUP(A10,[1]TDSheet!$A:$Y,16,0)</f>
        <v>15.4</v>
      </c>
      <c r="W10" s="1">
        <f>VLOOKUP(A10,[1]TDSheet!$A:$Y,25,0)</f>
        <v>20.2</v>
      </c>
      <c r="X10" s="1">
        <f>VLOOKUP(A10,[1]TDSheet!$A:$Y,24,0)</f>
        <v>21.8</v>
      </c>
      <c r="Y10" s="1">
        <f>VLOOKUP(A10,[1]TDSheet!$A:$Y,23,0)</f>
        <v>30.8</v>
      </c>
      <c r="Z10" s="1">
        <f>VLOOKUP(A10,[1]TDSheet!$A:$Y,22,0)</f>
        <v>3.4</v>
      </c>
      <c r="AA10" s="10" t="s">
        <v>63</v>
      </c>
      <c r="AB10" s="1">
        <f t="shared" si="4"/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39</v>
      </c>
      <c r="B11" s="1" t="s">
        <v>35</v>
      </c>
      <c r="C11" s="1">
        <v>407</v>
      </c>
      <c r="D11" s="1"/>
      <c r="E11" s="1">
        <v>54</v>
      </c>
      <c r="F11" s="1">
        <v>346</v>
      </c>
      <c r="G11" s="7">
        <v>0.74399999999999999</v>
      </c>
      <c r="H11" s="1">
        <v>180</v>
      </c>
      <c r="I11" s="1"/>
      <c r="J11" s="1"/>
      <c r="K11" s="1">
        <f>VLOOKUP(A11,[2]TDSheet!$A:$E,5,0)</f>
        <v>54</v>
      </c>
      <c r="L11" s="1">
        <f t="shared" si="0"/>
        <v>0</v>
      </c>
      <c r="M11" s="1"/>
      <c r="N11" s="1"/>
      <c r="O11" s="1">
        <v>0</v>
      </c>
      <c r="P11" s="1">
        <f t="shared" si="1"/>
        <v>10.8</v>
      </c>
      <c r="Q11" s="9"/>
      <c r="R11" s="9"/>
      <c r="S11" s="1"/>
      <c r="T11" s="1">
        <f t="shared" si="2"/>
        <v>32.037037037037038</v>
      </c>
      <c r="U11" s="1">
        <f t="shared" si="3"/>
        <v>32.037037037037038</v>
      </c>
      <c r="V11" s="1">
        <f>VLOOKUP(A11,[1]TDSheet!$A:$Y,16,0)</f>
        <v>8</v>
      </c>
      <c r="W11" s="1">
        <f>VLOOKUP(A11,[1]TDSheet!$A:$Y,25,0)</f>
        <v>19.399999999999999</v>
      </c>
      <c r="X11" s="1">
        <f>VLOOKUP(A11,[1]TDSheet!$A:$Y,24,0)</f>
        <v>20.2</v>
      </c>
      <c r="Y11" s="1">
        <f>VLOOKUP(A11,[1]TDSheet!$A:$Y,23,0)</f>
        <v>30.2</v>
      </c>
      <c r="Z11" s="1">
        <f>VLOOKUP(A11,[1]TDSheet!$A:$Y,22,0)</f>
        <v>17.399999999999999</v>
      </c>
      <c r="AA11" s="10" t="s">
        <v>63</v>
      </c>
      <c r="AB11" s="1">
        <f t="shared" si="4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40</v>
      </c>
      <c r="B12" s="1" t="s">
        <v>35</v>
      </c>
      <c r="C12" s="1">
        <v>1040</v>
      </c>
      <c r="D12" s="1"/>
      <c r="E12" s="1">
        <v>162</v>
      </c>
      <c r="F12" s="1">
        <v>870</v>
      </c>
      <c r="G12" s="7">
        <v>0.372</v>
      </c>
      <c r="H12" s="1">
        <v>180</v>
      </c>
      <c r="I12" s="1"/>
      <c r="J12" s="1"/>
      <c r="K12" s="1">
        <f>VLOOKUP(A12,[2]TDSheet!$A:$E,5,0)</f>
        <v>174</v>
      </c>
      <c r="L12" s="1">
        <f t="shared" si="0"/>
        <v>-12</v>
      </c>
      <c r="M12" s="1"/>
      <c r="N12" s="1"/>
      <c r="O12" s="1">
        <v>0</v>
      </c>
      <c r="P12" s="1">
        <f t="shared" si="1"/>
        <v>32.4</v>
      </c>
      <c r="Q12" s="9"/>
      <c r="R12" s="9"/>
      <c r="S12" s="1"/>
      <c r="T12" s="1">
        <f t="shared" si="2"/>
        <v>26.851851851851855</v>
      </c>
      <c r="U12" s="1">
        <f t="shared" si="3"/>
        <v>26.851851851851855</v>
      </c>
      <c r="V12" s="1">
        <f>VLOOKUP(A12,[1]TDSheet!$A:$Y,16,0)</f>
        <v>35</v>
      </c>
      <c r="W12" s="1">
        <f>VLOOKUP(A12,[1]TDSheet!$A:$Y,25,0)</f>
        <v>33.6</v>
      </c>
      <c r="X12" s="1">
        <f>VLOOKUP(A12,[1]TDSheet!$A:$Y,24,0)</f>
        <v>70.400000000000006</v>
      </c>
      <c r="Y12" s="1">
        <f>VLOOKUP(A12,[1]TDSheet!$A:$Y,23,0)</f>
        <v>10.4</v>
      </c>
      <c r="Z12" s="1">
        <f>VLOOKUP(A12,[1]TDSheet!$A:$Y,22,0)</f>
        <v>33.6</v>
      </c>
      <c r="AA12" s="15" t="s">
        <v>64</v>
      </c>
      <c r="AB12" s="1">
        <f t="shared" si="4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41</v>
      </c>
      <c r="B13" s="1" t="s">
        <v>35</v>
      </c>
      <c r="C13" s="1">
        <v>400</v>
      </c>
      <c r="D13" s="1"/>
      <c r="E13" s="1">
        <v>231</v>
      </c>
      <c r="F13" s="1">
        <v>45</v>
      </c>
      <c r="G13" s="7">
        <v>0.74399999999999999</v>
      </c>
      <c r="H13" s="1">
        <v>180</v>
      </c>
      <c r="I13" s="1"/>
      <c r="J13" s="1"/>
      <c r="K13" s="1">
        <f>VLOOKUP(A13,[2]TDSheet!$A:$E,5,0)</f>
        <v>231</v>
      </c>
      <c r="L13" s="1">
        <f t="shared" si="0"/>
        <v>0</v>
      </c>
      <c r="M13" s="1"/>
      <c r="N13" s="1"/>
      <c r="O13" s="1">
        <v>0</v>
      </c>
      <c r="P13" s="1">
        <f t="shared" si="1"/>
        <v>46.2</v>
      </c>
      <c r="Q13" s="9">
        <f>16*P13-O13-F13</f>
        <v>694.2</v>
      </c>
      <c r="R13" s="9"/>
      <c r="S13" s="1"/>
      <c r="T13" s="1">
        <f t="shared" si="2"/>
        <v>16</v>
      </c>
      <c r="U13" s="1">
        <f t="shared" si="3"/>
        <v>0.97402597402597402</v>
      </c>
      <c r="V13" s="1">
        <f>VLOOKUP(A13,[1]TDSheet!$A:$Y,16,0)</f>
        <v>25.4</v>
      </c>
      <c r="W13" s="1">
        <f>VLOOKUP(A13,[1]TDSheet!$A:$Y,25,0)</f>
        <v>41.2</v>
      </c>
      <c r="X13" s="1">
        <f>VLOOKUP(A13,[1]TDSheet!$A:$Y,24,0)</f>
        <v>14.2</v>
      </c>
      <c r="Y13" s="1">
        <f>VLOOKUP(A13,[1]TDSheet!$A:$Y,23,0)</f>
        <v>40.6</v>
      </c>
      <c r="Z13" s="1">
        <f>VLOOKUP(A13,[1]TDSheet!$A:$Y,22,0)</f>
        <v>41.2</v>
      </c>
      <c r="AA13" s="1"/>
      <c r="AB13" s="1">
        <f t="shared" si="4"/>
        <v>516.48480000000006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42</v>
      </c>
      <c r="B14" s="1" t="s">
        <v>35</v>
      </c>
      <c r="C14" s="1">
        <v>101</v>
      </c>
      <c r="D14" s="1"/>
      <c r="E14" s="1">
        <v>9</v>
      </c>
      <c r="F14" s="1">
        <v>90</v>
      </c>
      <c r="G14" s="7">
        <v>0.18</v>
      </c>
      <c r="H14" s="1">
        <v>270</v>
      </c>
      <c r="I14" s="1"/>
      <c r="J14" s="1"/>
      <c r="K14" s="1">
        <f>VLOOKUP(A14,[2]TDSheet!$A:$E,5,0)</f>
        <v>10</v>
      </c>
      <c r="L14" s="1">
        <f t="shared" si="0"/>
        <v>-1</v>
      </c>
      <c r="M14" s="1"/>
      <c r="N14" s="1"/>
      <c r="O14" s="1">
        <v>0</v>
      </c>
      <c r="P14" s="1">
        <f t="shared" si="1"/>
        <v>1.8</v>
      </c>
      <c r="Q14" s="9"/>
      <c r="R14" s="9"/>
      <c r="S14" s="1"/>
      <c r="T14" s="1">
        <f t="shared" si="2"/>
        <v>50</v>
      </c>
      <c r="U14" s="1">
        <f t="shared" si="3"/>
        <v>50</v>
      </c>
      <c r="V14" s="1">
        <f>VLOOKUP(A14,[1]TDSheet!$A:$Y,16,0)</f>
        <v>5.8</v>
      </c>
      <c r="W14" s="1">
        <f>VLOOKUP(A14,[1]TDSheet!$A:$Y,25,0)</f>
        <v>7.8</v>
      </c>
      <c r="X14" s="1">
        <f>VLOOKUP(A14,[1]TDSheet!$A:$Y,24,0)</f>
        <v>2.8</v>
      </c>
      <c r="Y14" s="1">
        <f>VLOOKUP(A14,[1]TDSheet!$A:$Y,23,0)</f>
        <v>6</v>
      </c>
      <c r="Z14" s="1">
        <f>VLOOKUP(A14,[1]TDSheet!$A:$Y,22,0)</f>
        <v>9.8000000000000007</v>
      </c>
      <c r="AA14" s="10" t="s">
        <v>63</v>
      </c>
      <c r="AB14" s="1">
        <f t="shared" si="4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43</v>
      </c>
      <c r="B15" s="1" t="s">
        <v>35</v>
      </c>
      <c r="C15" s="1">
        <v>208</v>
      </c>
      <c r="D15" s="1"/>
      <c r="E15" s="14">
        <f>76+E7</f>
        <v>77</v>
      </c>
      <c r="F15" s="14">
        <f>122+F7</f>
        <v>121</v>
      </c>
      <c r="G15" s="7">
        <v>0.18</v>
      </c>
      <c r="H15" s="1">
        <v>120</v>
      </c>
      <c r="I15" s="1"/>
      <c r="J15" s="1"/>
      <c r="K15" s="1">
        <f>VLOOKUP(A15,[2]TDSheet!$A:$E,5,0)</f>
        <v>78</v>
      </c>
      <c r="L15" s="1">
        <f t="shared" si="0"/>
        <v>-1</v>
      </c>
      <c r="M15" s="1"/>
      <c r="N15" s="1"/>
      <c r="O15" s="1">
        <v>0</v>
      </c>
      <c r="P15" s="1">
        <f t="shared" si="1"/>
        <v>15.4</v>
      </c>
      <c r="Q15" s="9">
        <f t="shared" ref="Q8:Q37" si="5">20*P15-O15-F15</f>
        <v>187</v>
      </c>
      <c r="R15" s="9"/>
      <c r="S15" s="1"/>
      <c r="T15" s="1">
        <f t="shared" si="2"/>
        <v>20</v>
      </c>
      <c r="U15" s="1">
        <f t="shared" si="3"/>
        <v>7.8571428571428568</v>
      </c>
      <c r="V15" s="1">
        <f>VLOOKUP(A15,[1]TDSheet!$A:$Y,16,0)</f>
        <v>15</v>
      </c>
      <c r="W15" s="1">
        <f>VLOOKUP(A15,[1]TDSheet!$A:$Y,25,0)</f>
        <v>21.6</v>
      </c>
      <c r="X15" s="1">
        <f>VLOOKUP(A15,[1]TDSheet!$A:$Y,24,0)</f>
        <v>20</v>
      </c>
      <c r="Y15" s="1">
        <f>VLOOKUP(A15,[1]TDSheet!$A:$Y,23,0)</f>
        <v>13.8</v>
      </c>
      <c r="Z15" s="1">
        <f>VLOOKUP(A15,[1]TDSheet!$A:$Y,22,0)</f>
        <v>6.2</v>
      </c>
      <c r="AA15" s="1"/>
      <c r="AB15" s="1">
        <f t="shared" si="4"/>
        <v>33.659999999999997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44</v>
      </c>
      <c r="B16" s="1" t="s">
        <v>35</v>
      </c>
      <c r="C16" s="1">
        <v>1479</v>
      </c>
      <c r="D16" s="1"/>
      <c r="E16" s="1">
        <v>114</v>
      </c>
      <c r="F16" s="1">
        <v>1361</v>
      </c>
      <c r="G16" s="7">
        <v>0.18</v>
      </c>
      <c r="H16" s="1">
        <v>120</v>
      </c>
      <c r="I16" s="1"/>
      <c r="J16" s="1"/>
      <c r="K16" s="1">
        <f>VLOOKUP(A16,[2]TDSheet!$A:$E,5,0)</f>
        <v>114</v>
      </c>
      <c r="L16" s="1">
        <f t="shared" si="0"/>
        <v>0</v>
      </c>
      <c r="M16" s="1"/>
      <c r="N16" s="1"/>
      <c r="O16" s="1">
        <v>0</v>
      </c>
      <c r="P16" s="1">
        <f t="shared" si="1"/>
        <v>22.8</v>
      </c>
      <c r="Q16" s="9"/>
      <c r="R16" s="9"/>
      <c r="S16" s="1"/>
      <c r="T16" s="1">
        <f t="shared" si="2"/>
        <v>59.692982456140349</v>
      </c>
      <c r="U16" s="1">
        <f t="shared" si="3"/>
        <v>59.692982456140349</v>
      </c>
      <c r="V16" s="1">
        <f>VLOOKUP(A16,[1]TDSheet!$A:$Y,16,0)</f>
        <v>20.8</v>
      </c>
      <c r="W16" s="1">
        <f>VLOOKUP(A16,[1]TDSheet!$A:$Y,25,0)</f>
        <v>25</v>
      </c>
      <c r="X16" s="1">
        <f>VLOOKUP(A16,[1]TDSheet!$A:$Y,24,0)</f>
        <v>25</v>
      </c>
      <c r="Y16" s="1">
        <f>VLOOKUP(A16,[1]TDSheet!$A:$Y,23,0)</f>
        <v>19</v>
      </c>
      <c r="Z16" s="1">
        <f>VLOOKUP(A16,[1]TDSheet!$A:$Y,22,0)</f>
        <v>4.8</v>
      </c>
      <c r="AA16" s="10" t="s">
        <v>63</v>
      </c>
      <c r="AB16" s="1">
        <f t="shared" si="4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45</v>
      </c>
      <c r="B17" s="1" t="s">
        <v>35</v>
      </c>
      <c r="C17" s="1">
        <v>151</v>
      </c>
      <c r="D17" s="1"/>
      <c r="E17" s="1">
        <v>6</v>
      </c>
      <c r="F17" s="1">
        <v>144</v>
      </c>
      <c r="G17" s="7">
        <v>0.4</v>
      </c>
      <c r="H17" s="1">
        <v>270</v>
      </c>
      <c r="I17" s="1"/>
      <c r="J17" s="1"/>
      <c r="K17" s="1">
        <f>VLOOKUP(A17,[2]TDSheet!$A:$E,5,0)</f>
        <v>6</v>
      </c>
      <c r="L17" s="1">
        <f t="shared" si="0"/>
        <v>0</v>
      </c>
      <c r="M17" s="1"/>
      <c r="N17" s="1"/>
      <c r="O17" s="1">
        <v>0</v>
      </c>
      <c r="P17" s="1">
        <f t="shared" si="1"/>
        <v>1.2</v>
      </c>
      <c r="Q17" s="9"/>
      <c r="R17" s="9"/>
      <c r="S17" s="1"/>
      <c r="T17" s="1">
        <f t="shared" si="2"/>
        <v>120</v>
      </c>
      <c r="U17" s="1">
        <f t="shared" si="3"/>
        <v>120</v>
      </c>
      <c r="V17" s="1">
        <f>VLOOKUP(A17,[1]TDSheet!$A:$Y,16,0)</f>
        <v>4.5999999999999996</v>
      </c>
      <c r="W17" s="1">
        <f>VLOOKUP(A17,[1]TDSheet!$A:$Y,25,0)</f>
        <v>2.4</v>
      </c>
      <c r="X17" s="1">
        <f>VLOOKUP(A17,[1]TDSheet!$A:$Y,24,0)</f>
        <v>1.8</v>
      </c>
      <c r="Y17" s="1">
        <f>VLOOKUP(A17,[1]TDSheet!$A:$Y,23,0)</f>
        <v>0</v>
      </c>
      <c r="Z17" s="1">
        <f>VLOOKUP(A17,[1]TDSheet!$A:$Y,22,0)</f>
        <v>10</v>
      </c>
      <c r="AA17" s="10" t="s">
        <v>63</v>
      </c>
      <c r="AB17" s="1">
        <f t="shared" si="4"/>
        <v>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46</v>
      </c>
      <c r="B18" s="1" t="s">
        <v>35</v>
      </c>
      <c r="C18" s="1">
        <v>86</v>
      </c>
      <c r="D18" s="1"/>
      <c r="E18" s="1">
        <v>8</v>
      </c>
      <c r="F18" s="1">
        <v>73</v>
      </c>
      <c r="G18" s="7">
        <v>0.18</v>
      </c>
      <c r="H18" s="1"/>
      <c r="I18" s="1"/>
      <c r="J18" s="1"/>
      <c r="K18" s="1">
        <f>VLOOKUP(A18,[2]TDSheet!$A:$E,5,0)</f>
        <v>8</v>
      </c>
      <c r="L18" s="1">
        <f t="shared" si="0"/>
        <v>0</v>
      </c>
      <c r="M18" s="1"/>
      <c r="N18" s="1"/>
      <c r="O18" s="1">
        <v>0</v>
      </c>
      <c r="P18" s="1">
        <f t="shared" si="1"/>
        <v>1.6</v>
      </c>
      <c r="Q18" s="9"/>
      <c r="R18" s="9"/>
      <c r="S18" s="1"/>
      <c r="T18" s="1">
        <f t="shared" si="2"/>
        <v>45.625</v>
      </c>
      <c r="U18" s="1">
        <f t="shared" si="3"/>
        <v>45.625</v>
      </c>
      <c r="V18" s="1">
        <f>VLOOKUP(A18,[1]TDSheet!$A:$Y,16,0)</f>
        <v>1.4</v>
      </c>
      <c r="W18" s="1">
        <f>VLOOKUP(A18,[1]TDSheet!$A:$Y,25,0)</f>
        <v>3.2</v>
      </c>
      <c r="X18" s="1">
        <f>VLOOKUP(A18,[1]TDSheet!$A:$Y,24,0)</f>
        <v>3.8</v>
      </c>
      <c r="Y18" s="1">
        <f>VLOOKUP(A18,[1]TDSheet!$A:$Y,23,0)</f>
        <v>4.8</v>
      </c>
      <c r="Z18" s="1">
        <f>VLOOKUP(A18,[1]TDSheet!$A:$Y,22,0)</f>
        <v>7.4</v>
      </c>
      <c r="AA18" s="10" t="s">
        <v>63</v>
      </c>
      <c r="AB18" s="1">
        <f t="shared" si="4"/>
        <v>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47</v>
      </c>
      <c r="B19" s="1" t="s">
        <v>35</v>
      </c>
      <c r="C19" s="1">
        <v>75</v>
      </c>
      <c r="D19" s="1"/>
      <c r="E19" s="1">
        <v>24</v>
      </c>
      <c r="F19" s="1">
        <v>50</v>
      </c>
      <c r="G19" s="7">
        <v>0.1</v>
      </c>
      <c r="H19" s="1"/>
      <c r="I19" s="1"/>
      <c r="J19" s="1"/>
      <c r="K19" s="1">
        <f>VLOOKUP(A19,[2]TDSheet!$A:$E,5,0)</f>
        <v>26</v>
      </c>
      <c r="L19" s="1">
        <f t="shared" si="0"/>
        <v>-2</v>
      </c>
      <c r="M19" s="1"/>
      <c r="N19" s="1"/>
      <c r="O19" s="1">
        <v>43</v>
      </c>
      <c r="P19" s="1">
        <f t="shared" si="1"/>
        <v>4.8</v>
      </c>
      <c r="Q19" s="9"/>
      <c r="R19" s="9"/>
      <c r="S19" s="1"/>
      <c r="T19" s="1">
        <f t="shared" si="2"/>
        <v>19.375</v>
      </c>
      <c r="U19" s="1">
        <f t="shared" si="3"/>
        <v>19.375</v>
      </c>
      <c r="V19" s="1">
        <f>VLOOKUP(A19,[1]TDSheet!$A:$Y,16,0)</f>
        <v>8.8000000000000007</v>
      </c>
      <c r="W19" s="1">
        <f>VLOOKUP(A19,[1]TDSheet!$A:$Y,25,0)</f>
        <v>8.8000000000000007</v>
      </c>
      <c r="X19" s="1">
        <f>VLOOKUP(A19,[1]TDSheet!$A:$Y,24,0)</f>
        <v>6.2</v>
      </c>
      <c r="Y19" s="1">
        <f>VLOOKUP(A19,[1]TDSheet!$A:$Y,23,0)</f>
        <v>0.4</v>
      </c>
      <c r="Z19" s="1">
        <f>VLOOKUP(A19,[1]TDSheet!$A:$Y,22,0)</f>
        <v>9.1999999999999993</v>
      </c>
      <c r="AA19" s="1"/>
      <c r="AB19" s="1">
        <f t="shared" si="4"/>
        <v>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48</v>
      </c>
      <c r="B20" s="1" t="s">
        <v>35</v>
      </c>
      <c r="C20" s="1">
        <v>218</v>
      </c>
      <c r="D20" s="1"/>
      <c r="E20" s="1">
        <v>91</v>
      </c>
      <c r="F20" s="1">
        <v>104</v>
      </c>
      <c r="G20" s="7">
        <v>0.18</v>
      </c>
      <c r="H20" s="1">
        <v>150</v>
      </c>
      <c r="I20" s="1"/>
      <c r="J20" s="1"/>
      <c r="K20" s="1">
        <f>VLOOKUP(A20,[2]TDSheet!$A:$E,5,0)</f>
        <v>98</v>
      </c>
      <c r="L20" s="1">
        <f t="shared" si="0"/>
        <v>-7</v>
      </c>
      <c r="M20" s="1"/>
      <c r="N20" s="1"/>
      <c r="O20" s="1">
        <v>258</v>
      </c>
      <c r="P20" s="1">
        <f t="shared" si="1"/>
        <v>18.2</v>
      </c>
      <c r="Q20" s="9"/>
      <c r="R20" s="9"/>
      <c r="S20" s="1"/>
      <c r="T20" s="1">
        <f t="shared" si="2"/>
        <v>19.890109890109891</v>
      </c>
      <c r="U20" s="1">
        <f t="shared" si="3"/>
        <v>19.890109890109891</v>
      </c>
      <c r="V20" s="1">
        <f>VLOOKUP(A20,[1]TDSheet!$A:$Y,16,0)</f>
        <v>23.8</v>
      </c>
      <c r="W20" s="1">
        <f>VLOOKUP(A20,[1]TDSheet!$A:$Y,25,0)</f>
        <v>13</v>
      </c>
      <c r="X20" s="1">
        <f>VLOOKUP(A20,[1]TDSheet!$A:$Y,24,0)</f>
        <v>27.6</v>
      </c>
      <c r="Y20" s="1">
        <f>VLOOKUP(A20,[1]TDSheet!$A:$Y,23,0)</f>
        <v>27.2</v>
      </c>
      <c r="Z20" s="1">
        <f>VLOOKUP(A20,[1]TDSheet!$A:$Y,22,0)</f>
        <v>19</v>
      </c>
      <c r="AA20" s="1"/>
      <c r="AB20" s="1">
        <f t="shared" si="4"/>
        <v>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66</v>
      </c>
      <c r="B21" s="1" t="s">
        <v>34</v>
      </c>
      <c r="C21" s="1">
        <v>36.363999999999997</v>
      </c>
      <c r="D21" s="1"/>
      <c r="E21" s="1"/>
      <c r="F21" s="1">
        <v>36.363999999999997</v>
      </c>
      <c r="G21" s="7">
        <v>1</v>
      </c>
      <c r="H21" s="1"/>
      <c r="I21" s="1"/>
      <c r="J21" s="1"/>
      <c r="K21" s="1"/>
      <c r="L21" s="1">
        <f t="shared" si="0"/>
        <v>0</v>
      </c>
      <c r="M21" s="1"/>
      <c r="N21" s="1"/>
      <c r="O21" s="1">
        <v>0</v>
      </c>
      <c r="P21" s="1">
        <f t="shared" si="1"/>
        <v>0</v>
      </c>
      <c r="Q21" s="9"/>
      <c r="R21" s="9"/>
      <c r="S21" s="1"/>
      <c r="T21" s="1" t="e">
        <f t="shared" si="2"/>
        <v>#DIV/0!</v>
      </c>
      <c r="U21" s="1" t="e">
        <f t="shared" si="3"/>
        <v>#DIV/0!</v>
      </c>
      <c r="V21" s="1">
        <f>VLOOKUP(A21,[1]TDSheet!$A:$Y,16,0)</f>
        <v>0</v>
      </c>
      <c r="W21" s="1">
        <f>VLOOKUP(A21,[1]TDSheet!$A:$Y,25,0)</f>
        <v>0</v>
      </c>
      <c r="X21" s="1">
        <f>VLOOKUP(A21,[1]TDSheet!$A:$Y,24,0)</f>
        <v>0</v>
      </c>
      <c r="Y21" s="1">
        <f>VLOOKUP(A21,[1]TDSheet!$A:$Y,23,0)</f>
        <v>0</v>
      </c>
      <c r="Z21" s="1">
        <f>VLOOKUP(A21,[1]TDSheet!$A:$Y,22,0)</f>
        <v>0</v>
      </c>
      <c r="AA21" s="10" t="s">
        <v>63</v>
      </c>
      <c r="AB21" s="1">
        <f t="shared" si="4"/>
        <v>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49</v>
      </c>
      <c r="B22" s="1" t="s">
        <v>35</v>
      </c>
      <c r="C22" s="1">
        <v>270</v>
      </c>
      <c r="D22" s="1">
        <v>5</v>
      </c>
      <c r="E22" s="1">
        <v>98</v>
      </c>
      <c r="F22" s="1">
        <v>156</v>
      </c>
      <c r="G22" s="7">
        <v>0.18</v>
      </c>
      <c r="H22" s="1">
        <v>150</v>
      </c>
      <c r="I22" s="1"/>
      <c r="J22" s="1"/>
      <c r="K22" s="1">
        <f>VLOOKUP(A22,[2]TDSheet!$A:$E,5,0)</f>
        <v>114</v>
      </c>
      <c r="L22" s="1">
        <f t="shared" si="0"/>
        <v>-16</v>
      </c>
      <c r="M22" s="1"/>
      <c r="N22" s="1"/>
      <c r="O22" s="1">
        <v>242</v>
      </c>
      <c r="P22" s="1">
        <f t="shared" si="1"/>
        <v>19.600000000000001</v>
      </c>
      <c r="Q22" s="9"/>
      <c r="R22" s="9"/>
      <c r="S22" s="1"/>
      <c r="T22" s="1">
        <f t="shared" si="2"/>
        <v>20.30612244897959</v>
      </c>
      <c r="U22" s="1">
        <f t="shared" si="3"/>
        <v>20.30612244897959</v>
      </c>
      <c r="V22" s="1">
        <f>VLOOKUP(A22,[1]TDSheet!$A:$Y,16,0)</f>
        <v>25.6</v>
      </c>
      <c r="W22" s="1">
        <f>VLOOKUP(A22,[1]TDSheet!$A:$Y,25,0)</f>
        <v>19.399999999999999</v>
      </c>
      <c r="X22" s="1">
        <f>VLOOKUP(A22,[1]TDSheet!$A:$Y,24,0)</f>
        <v>23.4</v>
      </c>
      <c r="Y22" s="1">
        <f>VLOOKUP(A22,[1]TDSheet!$A:$Y,23,0)</f>
        <v>29.6</v>
      </c>
      <c r="Z22" s="1">
        <f>VLOOKUP(A22,[1]TDSheet!$A:$Y,22,0)</f>
        <v>23.2</v>
      </c>
      <c r="AA22" s="1"/>
      <c r="AB22" s="1">
        <f t="shared" si="4"/>
        <v>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50</v>
      </c>
      <c r="B23" s="1" t="s">
        <v>35</v>
      </c>
      <c r="C23" s="1">
        <v>277</v>
      </c>
      <c r="D23" s="1"/>
      <c r="E23" s="1">
        <v>45</v>
      </c>
      <c r="F23" s="1">
        <v>224</v>
      </c>
      <c r="G23" s="7">
        <v>0.18</v>
      </c>
      <c r="H23" s="1"/>
      <c r="I23" s="1"/>
      <c r="J23" s="1"/>
      <c r="K23" s="1">
        <f>VLOOKUP(A23,[2]TDSheet!$A:$E,5,0)</f>
        <v>54</v>
      </c>
      <c r="L23" s="1">
        <f t="shared" si="0"/>
        <v>-9</v>
      </c>
      <c r="M23" s="1"/>
      <c r="N23" s="1"/>
      <c r="O23" s="1">
        <v>0</v>
      </c>
      <c r="P23" s="1">
        <f t="shared" si="1"/>
        <v>9</v>
      </c>
      <c r="Q23" s="9"/>
      <c r="R23" s="9"/>
      <c r="S23" s="1"/>
      <c r="T23" s="1">
        <f t="shared" si="2"/>
        <v>24.888888888888889</v>
      </c>
      <c r="U23" s="1">
        <f t="shared" si="3"/>
        <v>24.888888888888889</v>
      </c>
      <c r="V23" s="1">
        <f>VLOOKUP(A23,[1]TDSheet!$A:$Y,16,0)</f>
        <v>8.6</v>
      </c>
      <c r="W23" s="1">
        <f>VLOOKUP(A23,[1]TDSheet!$A:$Y,25,0)</f>
        <v>11.8</v>
      </c>
      <c r="X23" s="1">
        <f>VLOOKUP(A23,[1]TDSheet!$A:$Y,24,0)</f>
        <v>9.6</v>
      </c>
      <c r="Y23" s="1">
        <f>VLOOKUP(A23,[1]TDSheet!$A:$Y,23,0)</f>
        <v>15.2</v>
      </c>
      <c r="Z23" s="1">
        <f>VLOOKUP(A23,[1]TDSheet!$A:$Y,22,0)</f>
        <v>13.2</v>
      </c>
      <c r="AA23" s="15" t="s">
        <v>64</v>
      </c>
      <c r="AB23" s="1">
        <f t="shared" si="4"/>
        <v>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51</v>
      </c>
      <c r="B24" s="1" t="s">
        <v>35</v>
      </c>
      <c r="C24" s="1">
        <v>139</v>
      </c>
      <c r="D24" s="1">
        <v>5</v>
      </c>
      <c r="E24" s="1">
        <v>39</v>
      </c>
      <c r="F24" s="1">
        <v>90</v>
      </c>
      <c r="G24" s="7">
        <v>0.18</v>
      </c>
      <c r="H24" s="1"/>
      <c r="I24" s="1"/>
      <c r="J24" s="1"/>
      <c r="K24" s="1">
        <f>VLOOKUP(A24,[2]TDSheet!$A:$E,5,0)</f>
        <v>53</v>
      </c>
      <c r="L24" s="1">
        <f t="shared" si="0"/>
        <v>-14</v>
      </c>
      <c r="M24" s="1"/>
      <c r="N24" s="1"/>
      <c r="O24" s="1">
        <v>0</v>
      </c>
      <c r="P24" s="1">
        <f t="shared" si="1"/>
        <v>7.8</v>
      </c>
      <c r="Q24" s="9">
        <f t="shared" si="5"/>
        <v>66</v>
      </c>
      <c r="R24" s="9"/>
      <c r="S24" s="1"/>
      <c r="T24" s="1">
        <f t="shared" si="2"/>
        <v>20</v>
      </c>
      <c r="U24" s="1">
        <f t="shared" si="3"/>
        <v>11.538461538461538</v>
      </c>
      <c r="V24" s="1">
        <f>VLOOKUP(A24,[1]TDSheet!$A:$Y,16,0)</f>
        <v>7.2</v>
      </c>
      <c r="W24" s="1">
        <f>VLOOKUP(A24,[1]TDSheet!$A:$Y,25,0)</f>
        <v>9</v>
      </c>
      <c r="X24" s="1">
        <f>VLOOKUP(A24,[1]TDSheet!$A:$Y,24,0)</f>
        <v>9.8000000000000007</v>
      </c>
      <c r="Y24" s="1">
        <f>VLOOKUP(A24,[1]TDSheet!$A:$Y,23,0)</f>
        <v>6.2</v>
      </c>
      <c r="Z24" s="1">
        <f>VLOOKUP(A24,[1]TDSheet!$A:$Y,22,0)</f>
        <v>0</v>
      </c>
      <c r="AA24" s="1"/>
      <c r="AB24" s="1">
        <f t="shared" si="4"/>
        <v>11.879999999999999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52</v>
      </c>
      <c r="B25" s="1" t="s">
        <v>35</v>
      </c>
      <c r="C25" s="1">
        <v>156</v>
      </c>
      <c r="D25" s="1">
        <v>5</v>
      </c>
      <c r="E25" s="1">
        <v>123</v>
      </c>
      <c r="F25" s="1">
        <v>11</v>
      </c>
      <c r="G25" s="7">
        <v>0.18</v>
      </c>
      <c r="H25" s="1">
        <v>150</v>
      </c>
      <c r="I25" s="1"/>
      <c r="J25" s="1"/>
      <c r="K25" s="1">
        <f>VLOOKUP(A25,[2]TDSheet!$A:$E,5,0)</f>
        <v>139</v>
      </c>
      <c r="L25" s="1">
        <f t="shared" si="0"/>
        <v>-16</v>
      </c>
      <c r="M25" s="1"/>
      <c r="N25" s="1"/>
      <c r="O25" s="1">
        <v>175</v>
      </c>
      <c r="P25" s="1">
        <f t="shared" si="1"/>
        <v>24.6</v>
      </c>
      <c r="Q25" s="9">
        <f t="shared" si="5"/>
        <v>306</v>
      </c>
      <c r="R25" s="9"/>
      <c r="S25" s="1"/>
      <c r="T25" s="1">
        <f t="shared" si="2"/>
        <v>20</v>
      </c>
      <c r="U25" s="1">
        <f t="shared" si="3"/>
        <v>7.5609756097560972</v>
      </c>
      <c r="V25" s="1">
        <f>VLOOKUP(A25,[1]TDSheet!$A:$Y,16,0)</f>
        <v>27.4</v>
      </c>
      <c r="W25" s="1">
        <f>VLOOKUP(A25,[1]TDSheet!$A:$Y,25,0)</f>
        <v>25.4</v>
      </c>
      <c r="X25" s="1">
        <f>VLOOKUP(A25,[1]TDSheet!$A:$Y,24,0)</f>
        <v>20.8</v>
      </c>
      <c r="Y25" s="1">
        <f>VLOOKUP(A25,[1]TDSheet!$A:$Y,23,0)</f>
        <v>24.6</v>
      </c>
      <c r="Z25" s="1">
        <f>VLOOKUP(A25,[1]TDSheet!$A:$Y,22,0)</f>
        <v>32.4</v>
      </c>
      <c r="AA25" s="1"/>
      <c r="AB25" s="1">
        <f t="shared" si="4"/>
        <v>55.08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53</v>
      </c>
      <c r="B26" s="1" t="s">
        <v>35</v>
      </c>
      <c r="C26" s="1">
        <v>458</v>
      </c>
      <c r="D26" s="1"/>
      <c r="E26" s="1">
        <v>54</v>
      </c>
      <c r="F26" s="1">
        <v>395</v>
      </c>
      <c r="G26" s="7">
        <v>0.18</v>
      </c>
      <c r="H26" s="1">
        <v>120</v>
      </c>
      <c r="I26" s="1"/>
      <c r="J26" s="1"/>
      <c r="K26" s="1">
        <f>VLOOKUP(A26,[2]TDSheet!$A:$E,5,0)</f>
        <v>58</v>
      </c>
      <c r="L26" s="1">
        <f t="shared" si="0"/>
        <v>-4</v>
      </c>
      <c r="M26" s="1"/>
      <c r="N26" s="1"/>
      <c r="O26" s="1">
        <v>0</v>
      </c>
      <c r="P26" s="1">
        <f t="shared" si="1"/>
        <v>10.8</v>
      </c>
      <c r="Q26" s="9"/>
      <c r="R26" s="9"/>
      <c r="S26" s="1"/>
      <c r="T26" s="1">
        <f t="shared" si="2"/>
        <v>36.574074074074069</v>
      </c>
      <c r="U26" s="1">
        <f t="shared" si="3"/>
        <v>36.574074074074069</v>
      </c>
      <c r="V26" s="1">
        <f>VLOOKUP(A26,[1]TDSheet!$A:$Y,16,0)</f>
        <v>11.6</v>
      </c>
      <c r="W26" s="1">
        <f>VLOOKUP(A26,[1]TDSheet!$A:$Y,25,0)</f>
        <v>9.4</v>
      </c>
      <c r="X26" s="1">
        <f>VLOOKUP(A26,[1]TDSheet!$A:$Y,24,0)</f>
        <v>13.2</v>
      </c>
      <c r="Y26" s="1">
        <f>VLOOKUP(A26,[1]TDSheet!$A:$Y,23,0)</f>
        <v>12.8</v>
      </c>
      <c r="Z26" s="1">
        <f>VLOOKUP(A26,[1]TDSheet!$A:$Y,22,0)</f>
        <v>4.8</v>
      </c>
      <c r="AA26" s="10" t="s">
        <v>63</v>
      </c>
      <c r="AB26" s="1">
        <f t="shared" si="4"/>
        <v>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54</v>
      </c>
      <c r="B27" s="1" t="s">
        <v>35</v>
      </c>
      <c r="C27" s="1">
        <v>145</v>
      </c>
      <c r="D27" s="1"/>
      <c r="E27" s="1">
        <v>11</v>
      </c>
      <c r="F27" s="1">
        <v>132</v>
      </c>
      <c r="G27" s="7">
        <v>0.18</v>
      </c>
      <c r="H27" s="1"/>
      <c r="I27" s="1"/>
      <c r="J27" s="1"/>
      <c r="K27" s="1">
        <f>VLOOKUP(A27,[2]TDSheet!$A:$E,5,0)</f>
        <v>12</v>
      </c>
      <c r="L27" s="1">
        <f t="shared" si="0"/>
        <v>-1</v>
      </c>
      <c r="M27" s="1"/>
      <c r="N27" s="1"/>
      <c r="O27" s="1">
        <v>19</v>
      </c>
      <c r="P27" s="1">
        <f t="shared" si="1"/>
        <v>2.2000000000000002</v>
      </c>
      <c r="Q27" s="9"/>
      <c r="R27" s="9"/>
      <c r="S27" s="1"/>
      <c r="T27" s="1">
        <f t="shared" si="2"/>
        <v>68.636363636363626</v>
      </c>
      <c r="U27" s="1">
        <f t="shared" si="3"/>
        <v>68.636363636363626</v>
      </c>
      <c r="V27" s="1">
        <f>VLOOKUP(A27,[1]TDSheet!$A:$Y,16,0)</f>
        <v>8.1999999999999993</v>
      </c>
      <c r="W27" s="1">
        <f>VLOOKUP(A27,[1]TDSheet!$A:$Y,25,0)</f>
        <v>8.6</v>
      </c>
      <c r="X27" s="1">
        <f>VLOOKUP(A27,[1]TDSheet!$A:$Y,24,0)</f>
        <v>7.4</v>
      </c>
      <c r="Y27" s="1">
        <f>VLOOKUP(A27,[1]TDSheet!$A:$Y,23,0)</f>
        <v>5.8</v>
      </c>
      <c r="Z27" s="1">
        <f>VLOOKUP(A27,[1]TDSheet!$A:$Y,22,0)</f>
        <v>12.4</v>
      </c>
      <c r="AA27" s="10" t="s">
        <v>63</v>
      </c>
      <c r="AB27" s="1">
        <f t="shared" si="4"/>
        <v>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55</v>
      </c>
      <c r="B28" s="1" t="s">
        <v>34</v>
      </c>
      <c r="C28" s="1">
        <v>52.55</v>
      </c>
      <c r="D28" s="1"/>
      <c r="E28" s="1">
        <v>3.4420000000000002</v>
      </c>
      <c r="F28" s="1">
        <v>46.095999999999997</v>
      </c>
      <c r="G28" s="7">
        <v>1</v>
      </c>
      <c r="H28" s="1"/>
      <c r="I28" s="1"/>
      <c r="J28" s="1"/>
      <c r="K28" s="1">
        <f>VLOOKUP(A28,[2]TDSheet!$A:$E,5,0)</f>
        <v>3.5</v>
      </c>
      <c r="L28" s="1">
        <f t="shared" si="0"/>
        <v>-5.7999999999999829E-2</v>
      </c>
      <c r="M28" s="1"/>
      <c r="N28" s="1"/>
      <c r="O28" s="1">
        <v>0</v>
      </c>
      <c r="P28" s="1">
        <f t="shared" si="1"/>
        <v>0.68840000000000001</v>
      </c>
      <c r="Q28" s="9"/>
      <c r="R28" s="9"/>
      <c r="S28" s="1"/>
      <c r="T28" s="1">
        <f t="shared" si="2"/>
        <v>66.961069145845428</v>
      </c>
      <c r="U28" s="1">
        <f t="shared" si="3"/>
        <v>66.961069145845428</v>
      </c>
      <c r="V28" s="1">
        <f>VLOOKUP(A28,[1]TDSheet!$A:$Y,16,0)</f>
        <v>1.3236000000000001</v>
      </c>
      <c r="W28" s="1">
        <f>VLOOKUP(A28,[1]TDSheet!$A:$Y,25,0)</f>
        <v>0.68840000000000001</v>
      </c>
      <c r="X28" s="1">
        <f>VLOOKUP(A28,[1]TDSheet!$A:$Y,24,0)</f>
        <v>2.0207999999999999</v>
      </c>
      <c r="Y28" s="1">
        <f>VLOOKUP(A28,[1]TDSheet!$A:$Y,23,0)</f>
        <v>1.988</v>
      </c>
      <c r="Z28" s="1">
        <f>VLOOKUP(A28,[1]TDSheet!$A:$Y,22,0)</f>
        <v>1.3355999999999999</v>
      </c>
      <c r="AA28" s="10" t="s">
        <v>63</v>
      </c>
      <c r="AB28" s="1">
        <f t="shared" si="4"/>
        <v>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56</v>
      </c>
      <c r="B29" s="1" t="s">
        <v>34</v>
      </c>
      <c r="C29" s="1">
        <v>61.201999999999998</v>
      </c>
      <c r="D29" s="1"/>
      <c r="E29" s="1">
        <v>13.054</v>
      </c>
      <c r="F29" s="1">
        <v>48.148000000000003</v>
      </c>
      <c r="G29" s="7">
        <v>1</v>
      </c>
      <c r="H29" s="1"/>
      <c r="I29" s="1"/>
      <c r="J29" s="1"/>
      <c r="K29" s="1">
        <f>VLOOKUP(A29,[2]TDSheet!$A:$E,5,0)</f>
        <v>14</v>
      </c>
      <c r="L29" s="1">
        <f t="shared" si="0"/>
        <v>-0.94599999999999973</v>
      </c>
      <c r="M29" s="1"/>
      <c r="N29" s="1"/>
      <c r="O29" s="1">
        <v>14.318000000000005</v>
      </c>
      <c r="P29" s="1">
        <f t="shared" si="1"/>
        <v>2.6108000000000002</v>
      </c>
      <c r="Q29" s="9"/>
      <c r="R29" s="9"/>
      <c r="S29" s="1"/>
      <c r="T29" s="1">
        <f t="shared" si="2"/>
        <v>23.925999693580511</v>
      </c>
      <c r="U29" s="1">
        <f t="shared" si="3"/>
        <v>23.925999693580511</v>
      </c>
      <c r="V29" s="1">
        <f>VLOOKUP(A29,[1]TDSheet!$A:$Y,16,0)</f>
        <v>3.7960000000000003</v>
      </c>
      <c r="W29" s="1">
        <f>VLOOKUP(A29,[1]TDSheet!$A:$Y,25,0)</f>
        <v>0</v>
      </c>
      <c r="X29" s="1">
        <f>VLOOKUP(A29,[1]TDSheet!$A:$Y,24,0)</f>
        <v>0.71599999999999997</v>
      </c>
      <c r="Y29" s="1">
        <f>VLOOKUP(A29,[1]TDSheet!$A:$Y,23,0)</f>
        <v>3.9607999999999999</v>
      </c>
      <c r="Z29" s="1">
        <f>VLOOKUP(A29,[1]TDSheet!$A:$Y,22,0)</f>
        <v>3.8764000000000003</v>
      </c>
      <c r="AA29" s="1"/>
      <c r="AB29" s="1">
        <f t="shared" si="4"/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31</v>
      </c>
      <c r="B30" s="1" t="s">
        <v>35</v>
      </c>
      <c r="C30" s="1">
        <v>42</v>
      </c>
      <c r="D30" s="1"/>
      <c r="E30" s="1">
        <v>41</v>
      </c>
      <c r="F30" s="1"/>
      <c r="G30" s="7">
        <v>0.1</v>
      </c>
      <c r="H30" s="1"/>
      <c r="I30" s="1"/>
      <c r="J30" s="1"/>
      <c r="K30" s="1">
        <f>VLOOKUP(A30,[2]TDSheet!$A:$E,5,0)</f>
        <v>46</v>
      </c>
      <c r="L30" s="1">
        <f t="shared" si="0"/>
        <v>-5</v>
      </c>
      <c r="M30" s="1"/>
      <c r="N30" s="1"/>
      <c r="O30" s="1">
        <v>178</v>
      </c>
      <c r="P30" s="1">
        <f t="shared" si="1"/>
        <v>8.1999999999999993</v>
      </c>
      <c r="Q30" s="9"/>
      <c r="R30" s="9"/>
      <c r="S30" s="1"/>
      <c r="T30" s="1">
        <f t="shared" si="2"/>
        <v>21.707317073170735</v>
      </c>
      <c r="U30" s="1">
        <f t="shared" si="3"/>
        <v>21.707317073170735</v>
      </c>
      <c r="V30" s="1">
        <f>VLOOKUP(A30,[1]TDSheet!$A:$Y,16,0)</f>
        <v>13.6</v>
      </c>
      <c r="W30" s="1">
        <f>VLOOKUP(A30,[1]TDSheet!$A:$Y,25,0)</f>
        <v>8.1999999999999993</v>
      </c>
      <c r="X30" s="1">
        <f>VLOOKUP(A30,[1]TDSheet!$A:$Y,24,0)</f>
        <v>4.8</v>
      </c>
      <c r="Y30" s="1">
        <f>VLOOKUP(A30,[1]TDSheet!$A:$Y,23,0)</f>
        <v>-0.4</v>
      </c>
      <c r="Z30" s="1">
        <f>VLOOKUP(A30,[1]TDSheet!$A:$Y,22,0)</f>
        <v>8.6</v>
      </c>
      <c r="AA30" s="1"/>
      <c r="AB30" s="1">
        <f t="shared" si="4"/>
        <v>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57</v>
      </c>
      <c r="B31" s="1" t="s">
        <v>35</v>
      </c>
      <c r="C31" s="1">
        <v>101</v>
      </c>
      <c r="D31" s="1"/>
      <c r="E31" s="1">
        <v>35</v>
      </c>
      <c r="F31" s="1">
        <v>55</v>
      </c>
      <c r="G31" s="7">
        <v>0.1</v>
      </c>
      <c r="H31" s="1"/>
      <c r="I31" s="1"/>
      <c r="J31" s="1"/>
      <c r="K31" s="1">
        <f>VLOOKUP(A31,[2]TDSheet!$A:$E,5,0)</f>
        <v>37</v>
      </c>
      <c r="L31" s="1">
        <f t="shared" si="0"/>
        <v>-2</v>
      </c>
      <c r="M31" s="1"/>
      <c r="N31" s="1"/>
      <c r="O31" s="1">
        <v>183</v>
      </c>
      <c r="P31" s="1">
        <f t="shared" si="1"/>
        <v>7</v>
      </c>
      <c r="Q31" s="9"/>
      <c r="R31" s="9"/>
      <c r="S31" s="1"/>
      <c r="T31" s="1">
        <f t="shared" si="2"/>
        <v>34</v>
      </c>
      <c r="U31" s="1">
        <f t="shared" si="3"/>
        <v>34</v>
      </c>
      <c r="V31" s="1">
        <f>VLOOKUP(A31,[1]TDSheet!$A:$Y,16,0)</f>
        <v>14.2</v>
      </c>
      <c r="W31" s="1">
        <f>VLOOKUP(A31,[1]TDSheet!$A:$Y,25,0)</f>
        <v>7.6</v>
      </c>
      <c r="X31" s="1">
        <f>VLOOKUP(A31,[1]TDSheet!$A:$Y,24,0)</f>
        <v>7.4</v>
      </c>
      <c r="Y31" s="1">
        <f>VLOOKUP(A31,[1]TDSheet!$A:$Y,23,0)</f>
        <v>2.6</v>
      </c>
      <c r="Z31" s="1">
        <f>VLOOKUP(A31,[1]TDSheet!$A:$Y,22,0)</f>
        <v>12.6</v>
      </c>
      <c r="AA31" s="1"/>
      <c r="AB31" s="1">
        <f t="shared" si="4"/>
        <v>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32</v>
      </c>
      <c r="B32" s="1" t="s">
        <v>35</v>
      </c>
      <c r="C32" s="1">
        <v>97</v>
      </c>
      <c r="D32" s="1"/>
      <c r="E32" s="1">
        <v>15</v>
      </c>
      <c r="F32" s="1">
        <v>78</v>
      </c>
      <c r="G32" s="7">
        <v>0.14000000000000001</v>
      </c>
      <c r="H32" s="1"/>
      <c r="I32" s="1"/>
      <c r="J32" s="1"/>
      <c r="K32" s="1">
        <f>VLOOKUP(A32,[2]TDSheet!$A:$E,5,0)</f>
        <v>15</v>
      </c>
      <c r="L32" s="1">
        <f t="shared" si="0"/>
        <v>0</v>
      </c>
      <c r="M32" s="1"/>
      <c r="N32" s="1"/>
      <c r="O32" s="1">
        <v>11</v>
      </c>
      <c r="P32" s="1">
        <f t="shared" si="1"/>
        <v>3</v>
      </c>
      <c r="Q32" s="9"/>
      <c r="R32" s="9"/>
      <c r="S32" s="1"/>
      <c r="T32" s="1">
        <f t="shared" si="2"/>
        <v>29.666666666666668</v>
      </c>
      <c r="U32" s="1">
        <f t="shared" si="3"/>
        <v>29.666666666666668</v>
      </c>
      <c r="V32" s="1">
        <f>VLOOKUP(A32,[1]TDSheet!$A:$Y,16,0)</f>
        <v>6.2</v>
      </c>
      <c r="W32" s="1">
        <f>VLOOKUP(A32,[1]TDSheet!$A:$Y,25,0)</f>
        <v>7</v>
      </c>
      <c r="X32" s="1">
        <f>VLOOKUP(A32,[1]TDSheet!$A:$Y,24,0)</f>
        <v>7</v>
      </c>
      <c r="Y32" s="1">
        <f>VLOOKUP(A32,[1]TDSheet!$A:$Y,23,0)</f>
        <v>3.6</v>
      </c>
      <c r="Z32" s="1">
        <f>VLOOKUP(A32,[1]TDSheet!$A:$Y,22,0)</f>
        <v>1</v>
      </c>
      <c r="AA32" s="1"/>
      <c r="AB32" s="1">
        <f t="shared" si="4"/>
        <v>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58</v>
      </c>
      <c r="B33" s="1" t="s">
        <v>35</v>
      </c>
      <c r="C33" s="1">
        <v>73</v>
      </c>
      <c r="D33" s="1"/>
      <c r="E33" s="1">
        <v>20</v>
      </c>
      <c r="F33" s="1">
        <v>44</v>
      </c>
      <c r="G33" s="7">
        <v>0.14000000000000001</v>
      </c>
      <c r="H33" s="1"/>
      <c r="I33" s="1"/>
      <c r="J33" s="1"/>
      <c r="K33" s="1">
        <f>VLOOKUP(A33,[2]TDSheet!$A:$E,5,0)</f>
        <v>23</v>
      </c>
      <c r="L33" s="1">
        <f t="shared" si="0"/>
        <v>-3</v>
      </c>
      <c r="M33" s="1"/>
      <c r="N33" s="1"/>
      <c r="O33" s="1">
        <v>46</v>
      </c>
      <c r="P33" s="1">
        <f t="shared" si="1"/>
        <v>4</v>
      </c>
      <c r="Q33" s="9"/>
      <c r="R33" s="9"/>
      <c r="S33" s="1"/>
      <c r="T33" s="1">
        <f t="shared" si="2"/>
        <v>22.5</v>
      </c>
      <c r="U33" s="1">
        <f t="shared" si="3"/>
        <v>22.5</v>
      </c>
      <c r="V33" s="1">
        <f>VLOOKUP(A33,[1]TDSheet!$A:$Y,16,0)</f>
        <v>8</v>
      </c>
      <c r="W33" s="1">
        <f>VLOOKUP(A33,[1]TDSheet!$A:$Y,25,0)</f>
        <v>7.6</v>
      </c>
      <c r="X33" s="1">
        <f>VLOOKUP(A33,[1]TDSheet!$A:$Y,24,0)</f>
        <v>7.4</v>
      </c>
      <c r="Y33" s="1">
        <f>VLOOKUP(A33,[1]TDSheet!$A:$Y,23,0)</f>
        <v>7.4</v>
      </c>
      <c r="Z33" s="1">
        <f>VLOOKUP(A33,[1]TDSheet!$A:$Y,22,0)</f>
        <v>5.2</v>
      </c>
      <c r="AA33" s="1"/>
      <c r="AB33" s="1">
        <f t="shared" si="4"/>
        <v>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59</v>
      </c>
      <c r="B34" s="1" t="s">
        <v>35</v>
      </c>
      <c r="C34" s="1">
        <v>283</v>
      </c>
      <c r="D34" s="1"/>
      <c r="E34" s="1">
        <v>60</v>
      </c>
      <c r="F34" s="1">
        <v>215</v>
      </c>
      <c r="G34" s="7">
        <v>0.2</v>
      </c>
      <c r="H34" s="1"/>
      <c r="I34" s="1"/>
      <c r="J34" s="1"/>
      <c r="K34" s="1">
        <f>VLOOKUP(A34,[2]TDSheet!$A:$E,5,0)</f>
        <v>66</v>
      </c>
      <c r="L34" s="1">
        <f t="shared" si="0"/>
        <v>-6</v>
      </c>
      <c r="M34" s="1"/>
      <c r="N34" s="1"/>
      <c r="O34" s="1">
        <v>282</v>
      </c>
      <c r="P34" s="1">
        <f t="shared" si="1"/>
        <v>12</v>
      </c>
      <c r="Q34" s="9"/>
      <c r="R34" s="9"/>
      <c r="S34" s="1"/>
      <c r="T34" s="1">
        <f t="shared" si="2"/>
        <v>41.416666666666664</v>
      </c>
      <c r="U34" s="1">
        <f t="shared" si="3"/>
        <v>41.416666666666664</v>
      </c>
      <c r="V34" s="1">
        <f>VLOOKUP(A34,[1]TDSheet!$A:$Y,16,0)</f>
        <v>24.6</v>
      </c>
      <c r="W34" s="1">
        <f>VLOOKUP(A34,[1]TDSheet!$A:$Y,25,0)</f>
        <v>13.2</v>
      </c>
      <c r="X34" s="1">
        <f>VLOOKUP(A34,[1]TDSheet!$A:$Y,24,0)</f>
        <v>8.1999999999999993</v>
      </c>
      <c r="Y34" s="1">
        <f>VLOOKUP(A34,[1]TDSheet!$A:$Y,23,0)</f>
        <v>13.8</v>
      </c>
      <c r="Z34" s="1">
        <f>VLOOKUP(A34,[1]TDSheet!$A:$Y,22,0)</f>
        <v>31.8</v>
      </c>
      <c r="AA34" s="10" t="s">
        <v>63</v>
      </c>
      <c r="AB34" s="1">
        <f t="shared" si="4"/>
        <v>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60</v>
      </c>
      <c r="B35" s="1" t="s">
        <v>34</v>
      </c>
      <c r="C35" s="1">
        <v>142.01400000000001</v>
      </c>
      <c r="D35" s="1"/>
      <c r="E35" s="1">
        <v>18.856000000000002</v>
      </c>
      <c r="F35" s="1">
        <v>117.154</v>
      </c>
      <c r="G35" s="7">
        <v>1</v>
      </c>
      <c r="H35" s="1"/>
      <c r="I35" s="1"/>
      <c r="J35" s="1"/>
      <c r="K35" s="1">
        <f>VLOOKUP(A35,[2]TDSheet!$A:$E,5,0)</f>
        <v>21</v>
      </c>
      <c r="L35" s="1">
        <f t="shared" si="0"/>
        <v>-2.1439999999999984</v>
      </c>
      <c r="M35" s="1"/>
      <c r="N35" s="1"/>
      <c r="O35" s="1">
        <v>0</v>
      </c>
      <c r="P35" s="1">
        <f t="shared" si="1"/>
        <v>3.7712000000000003</v>
      </c>
      <c r="Q35" s="9"/>
      <c r="R35" s="9"/>
      <c r="S35" s="1"/>
      <c r="T35" s="1">
        <f t="shared" si="2"/>
        <v>31.065443360203645</v>
      </c>
      <c r="U35" s="1">
        <f t="shared" si="3"/>
        <v>31.065443360203645</v>
      </c>
      <c r="V35" s="1">
        <f>VLOOKUP(A35,[1]TDSheet!$A:$Y,16,0)</f>
        <v>3.0623999999999998</v>
      </c>
      <c r="W35" s="1">
        <f>VLOOKUP(A35,[1]TDSheet!$A:$Y,25,0)</f>
        <v>3.6636000000000002</v>
      </c>
      <c r="X35" s="1">
        <f>VLOOKUP(A35,[1]TDSheet!$A:$Y,24,0)</f>
        <v>7.4767999999999999</v>
      </c>
      <c r="Y35" s="1">
        <f>VLOOKUP(A35,[1]TDSheet!$A:$Y,23,0)</f>
        <v>1.1103999999999998</v>
      </c>
      <c r="Z35" s="1">
        <f>VLOOKUP(A35,[1]TDSheet!$A:$Y,22,0)</f>
        <v>3.8747999999999996</v>
      </c>
      <c r="AA35" s="10" t="s">
        <v>63</v>
      </c>
      <c r="AB35" s="1">
        <f t="shared" si="4"/>
        <v>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61</v>
      </c>
      <c r="B36" s="1" t="s">
        <v>35</v>
      </c>
      <c r="C36" s="1">
        <v>154</v>
      </c>
      <c r="D36" s="1"/>
      <c r="E36" s="1">
        <v>53</v>
      </c>
      <c r="F36" s="1">
        <v>94</v>
      </c>
      <c r="G36" s="7">
        <v>0.2</v>
      </c>
      <c r="H36" s="1"/>
      <c r="I36" s="1"/>
      <c r="J36" s="1"/>
      <c r="K36" s="1">
        <f>VLOOKUP(A36,[2]TDSheet!$A:$E,5,0)</f>
        <v>59</v>
      </c>
      <c r="L36" s="1">
        <f t="shared" si="0"/>
        <v>-6</v>
      </c>
      <c r="M36" s="1"/>
      <c r="N36" s="1"/>
      <c r="O36" s="1">
        <v>177</v>
      </c>
      <c r="P36" s="1">
        <f t="shared" si="1"/>
        <v>10.6</v>
      </c>
      <c r="Q36" s="9"/>
      <c r="R36" s="9"/>
      <c r="S36" s="1"/>
      <c r="T36" s="1">
        <f t="shared" si="2"/>
        <v>25.566037735849058</v>
      </c>
      <c r="U36" s="1">
        <f t="shared" si="3"/>
        <v>25.566037735849058</v>
      </c>
      <c r="V36" s="1">
        <f>VLOOKUP(A36,[1]TDSheet!$A:$Y,16,0)</f>
        <v>15</v>
      </c>
      <c r="W36" s="1">
        <f>VLOOKUP(A36,[1]TDSheet!$A:$Y,25,0)</f>
        <v>8.6</v>
      </c>
      <c r="X36" s="1">
        <f>VLOOKUP(A36,[1]TDSheet!$A:$Y,24,0)</f>
        <v>12.2</v>
      </c>
      <c r="Y36" s="1">
        <f>VLOOKUP(A36,[1]TDSheet!$A:$Y,23,0)</f>
        <v>14</v>
      </c>
      <c r="Z36" s="1">
        <f>VLOOKUP(A36,[1]TDSheet!$A:$Y,22,0)</f>
        <v>18.600000000000001</v>
      </c>
      <c r="AA36" s="15" t="s">
        <v>64</v>
      </c>
      <c r="AB36" s="1">
        <f t="shared" si="4"/>
        <v>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62</v>
      </c>
      <c r="B37" s="1" t="s">
        <v>34</v>
      </c>
      <c r="C37" s="1">
        <v>242.25200000000001</v>
      </c>
      <c r="D37" s="1"/>
      <c r="E37" s="1"/>
      <c r="F37" s="1">
        <v>238.65199999999999</v>
      </c>
      <c r="G37" s="7">
        <v>1</v>
      </c>
      <c r="H37" s="1"/>
      <c r="I37" s="1"/>
      <c r="J37" s="1"/>
      <c r="K37" s="1"/>
      <c r="L37" s="1">
        <f t="shared" si="0"/>
        <v>0</v>
      </c>
      <c r="M37" s="1"/>
      <c r="N37" s="1"/>
      <c r="O37" s="1">
        <v>0</v>
      </c>
      <c r="P37" s="1">
        <f t="shared" si="1"/>
        <v>0</v>
      </c>
      <c r="Q37" s="9"/>
      <c r="R37" s="9"/>
      <c r="S37" s="1"/>
      <c r="T37" s="1" t="e">
        <f t="shared" si="2"/>
        <v>#DIV/0!</v>
      </c>
      <c r="U37" s="1" t="e">
        <f t="shared" si="3"/>
        <v>#DIV/0!</v>
      </c>
      <c r="V37" s="1">
        <f>VLOOKUP(A37,[1]TDSheet!$A:$Y,16,0)</f>
        <v>2.9495999999999998</v>
      </c>
      <c r="W37" s="1">
        <f>VLOOKUP(A37,[1]TDSheet!$A:$Y,25,0)</f>
        <v>2.4E-2</v>
      </c>
      <c r="X37" s="1">
        <f>VLOOKUP(A37,[1]TDSheet!$A:$Y,24,0)</f>
        <v>2.1876000000000002</v>
      </c>
      <c r="Y37" s="1">
        <f>VLOOKUP(A37,[1]TDSheet!$A:$Y,23,0)</f>
        <v>8.5687999999999995</v>
      </c>
      <c r="Z37" s="1">
        <f>VLOOKUP(A37,[1]TDSheet!$A:$Y,22,0)</f>
        <v>1.4567999999999999</v>
      </c>
      <c r="AA37" s="10" t="s">
        <v>63</v>
      </c>
      <c r="AB37" s="1">
        <f t="shared" si="4"/>
        <v>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</sheetData>
  <autoFilter ref="A3:AB37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2026-06-29T16:03:30Z</dcterms:modified>
</cp:coreProperties>
</file>