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8B862E-1D1E-4C87-8CC0-6FC5155343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Sheet!$A$3:$X$53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1" l="1"/>
  <c r="X28" i="1"/>
  <c r="X32" i="1"/>
  <c r="X42" i="1"/>
  <c r="X46" i="1"/>
  <c r="Q7" i="1"/>
  <c r="Q8" i="1"/>
  <c r="X8" i="1" s="1"/>
  <c r="Q9" i="1"/>
  <c r="U9" i="1" s="1"/>
  <c r="Q10" i="1"/>
  <c r="T10" i="1" s="1"/>
  <c r="Q11" i="1"/>
  <c r="T11" i="1" s="1"/>
  <c r="Q12" i="1"/>
  <c r="U12" i="1" s="1"/>
  <c r="Q13" i="1"/>
  <c r="Q14" i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T22" i="1" s="1"/>
  <c r="Q23" i="1"/>
  <c r="T23" i="1" s="1"/>
  <c r="Q24" i="1"/>
  <c r="Q25" i="1"/>
  <c r="T25" i="1" s="1"/>
  <c r="Q26" i="1"/>
  <c r="T26" i="1" s="1"/>
  <c r="Q27" i="1"/>
  <c r="T27" i="1" s="1"/>
  <c r="Q28" i="1"/>
  <c r="U28" i="1" s="1"/>
  <c r="Q29" i="1"/>
  <c r="U29" i="1" s="1"/>
  <c r="Q30" i="1"/>
  <c r="Q31" i="1"/>
  <c r="R31" i="1" s="1"/>
  <c r="Q32" i="1"/>
  <c r="U32" i="1" s="1"/>
  <c r="Q33" i="1"/>
  <c r="U33" i="1" s="1"/>
  <c r="Q34" i="1"/>
  <c r="Q35" i="1"/>
  <c r="Q36" i="1"/>
  <c r="U36" i="1" s="1"/>
  <c r="Q37" i="1"/>
  <c r="Q38" i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U50" i="1" s="1"/>
  <c r="Q51" i="1"/>
  <c r="U51" i="1" s="1"/>
  <c r="Q52" i="1"/>
  <c r="T52" i="1" s="1"/>
  <c r="Q53" i="1"/>
  <c r="Q6" i="1"/>
  <c r="U6" i="1" s="1"/>
  <c r="X53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X27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X13" i="1"/>
  <c r="L13" i="1"/>
  <c r="L12" i="1"/>
  <c r="X11" i="1"/>
  <c r="L11" i="1"/>
  <c r="X10" i="1"/>
  <c r="L10" i="1"/>
  <c r="X9" i="1"/>
  <c r="L9" i="1"/>
  <c r="L8" i="1"/>
  <c r="L7" i="1"/>
  <c r="L6" i="1"/>
  <c r="V5" i="1"/>
  <c r="P5" i="1"/>
  <c r="O5" i="1"/>
  <c r="N5" i="1"/>
  <c r="M5" i="1"/>
  <c r="K5" i="1"/>
  <c r="F5" i="1"/>
  <c r="E5" i="1"/>
  <c r="T13" i="1" l="1"/>
  <c r="U13" i="1"/>
  <c r="T53" i="1"/>
  <c r="U53" i="1"/>
  <c r="U52" i="1"/>
  <c r="U11" i="1"/>
  <c r="R48" i="1"/>
  <c r="R47" i="1"/>
  <c r="T43" i="1"/>
  <c r="T33" i="1"/>
  <c r="U27" i="1"/>
  <c r="U26" i="1"/>
  <c r="U23" i="1"/>
  <c r="U22" i="1"/>
  <c r="T9" i="1"/>
  <c r="T7" i="1"/>
  <c r="X7" i="1"/>
  <c r="T30" i="1"/>
  <c r="X30" i="1"/>
  <c r="T29" i="1"/>
  <c r="X29" i="1"/>
  <c r="T31" i="1"/>
  <c r="X31" i="1"/>
  <c r="X21" i="1"/>
  <c r="T21" i="1"/>
  <c r="X37" i="1"/>
  <c r="T37" i="1"/>
  <c r="T17" i="1"/>
  <c r="X17" i="1"/>
  <c r="T24" i="1"/>
  <c r="X24" i="1"/>
  <c r="T41" i="1"/>
  <c r="X41" i="1"/>
  <c r="X36" i="1"/>
  <c r="T36" i="1"/>
  <c r="X38" i="1"/>
  <c r="T38" i="1"/>
  <c r="T6" i="1"/>
  <c r="X6" i="1"/>
  <c r="T34" i="1"/>
  <c r="X34" i="1"/>
  <c r="T14" i="1"/>
  <c r="X14" i="1"/>
  <c r="T15" i="1"/>
  <c r="X15" i="1"/>
  <c r="X49" i="1"/>
  <c r="T49" i="1"/>
  <c r="T35" i="1"/>
  <c r="X35" i="1"/>
  <c r="X50" i="1"/>
  <c r="T50" i="1"/>
  <c r="U38" i="1"/>
  <c r="U14" i="1"/>
  <c r="X52" i="1"/>
  <c r="U37" i="1"/>
  <c r="U25" i="1"/>
  <c r="T45" i="1"/>
  <c r="U24" i="1"/>
  <c r="T12" i="1"/>
  <c r="U35" i="1"/>
  <c r="U10" i="1"/>
  <c r="U34" i="1"/>
  <c r="X43" i="1"/>
  <c r="X33" i="1"/>
  <c r="T32" i="1"/>
  <c r="U8" i="1"/>
  <c r="U31" i="1"/>
  <c r="U7" i="1"/>
  <c r="X23" i="1"/>
  <c r="T42" i="1"/>
  <c r="U30" i="1"/>
  <c r="T28" i="1"/>
  <c r="X22" i="1"/>
  <c r="T8" i="1"/>
  <c r="X45" i="1"/>
  <c r="T46" i="1"/>
  <c r="X25" i="1"/>
  <c r="X26" i="1"/>
  <c r="Q5" i="1"/>
  <c r="L5" i="1"/>
  <c r="X48" i="1" l="1"/>
  <c r="T48" i="1"/>
  <c r="X47" i="1"/>
  <c r="T47" i="1"/>
  <c r="R5" i="1"/>
  <c r="T40" i="1"/>
  <c r="X40" i="1"/>
  <c r="T19" i="1"/>
  <c r="X19" i="1"/>
  <c r="X18" i="1"/>
  <c r="T18" i="1"/>
  <c r="T20" i="1"/>
  <c r="X20" i="1"/>
  <c r="T44" i="1"/>
  <c r="X44" i="1"/>
  <c r="T39" i="1"/>
  <c r="X39" i="1"/>
  <c r="T51" i="1"/>
  <c r="X51" i="1"/>
  <c r="T16" i="1"/>
  <c r="X16" i="1"/>
  <c r="X5" i="1" l="1"/>
</calcChain>
</file>

<file path=xl/sharedStrings.xml><?xml version="1.0" encoding="utf-8"?>
<sst xmlns="http://schemas.openxmlformats.org/spreadsheetml/2006/main" count="129" uniqueCount="78">
  <si>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</si>
  <si>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</si>
  <si>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</si>
  <si>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</si>
  <si>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</si>
  <si>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</si>
  <si>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</si>
  <si>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</si>
  <si>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</si>
  <si>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</si>
  <si>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</si>
  <si>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</si>
  <si>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</si>
  <si>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</si>
  <si>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</si>
  <si>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</si>
  <si>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</si>
  <si>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</si>
  <si>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</si>
  <si>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</si>
  <si>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</si>
  <si>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</si>
  <si>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</si>
  <si>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</si>
  <si>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06,10,</t>
  </si>
  <si>
    <t>30,09,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</si>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</sst>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39" activePane="bottomRight" state="frozen"/>
      <selection pane="topRight"/>
      <selection pane="bottomLeft"/>
      <selection pane="bottomRight" activeCell="S54" sqref="S54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1640625" customWidth="1"/>
    <col min="10" max="10" width="1" customWidth="1"/>
    <col min="11" max="12" width="7" customWidth="1"/>
    <col min="13" max="14" width="0.54296875" customWidth="1"/>
    <col min="15" max="19" width="7" customWidth="1"/>
    <col min="20" max="21" width="5" customWidth="1"/>
    <col min="22" max="22" width="6" customWidth="1"/>
    <col min="23" max="23" width="34.26953125" customWidth="1"/>
    <col min="24" max="24" width="7" customWidth="1"/>
    <col min="25" max="50" width="8" customWidth="1"/>
  </cols>
  <sheetData>
    <row r="1" spans="1:50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1"/>
      <c r="B5" s="1"/>
      <c r="C5" s="1"/>
      <c r="D5" s="1"/>
      <c r="E5" s="4">
        <f>SUM(E6:E500)</f>
        <v>318</v>
      </c>
      <c r="F5" s="4">
        <f>SUM(F6:F500)</f>
        <v>161.27199999999999</v>
      </c>
      <c r="G5" s="7"/>
      <c r="H5" s="1"/>
      <c r="I5" s="1"/>
      <c r="J5" s="1"/>
      <c r="K5" s="4">
        <f t="shared" ref="K5:R5" si="0">SUM(K6:K500)</f>
        <v>574</v>
      </c>
      <c r="L5" s="4">
        <f t="shared" si="0"/>
        <v>-256</v>
      </c>
      <c r="M5" s="4">
        <f t="shared" si="0"/>
        <v>0</v>
      </c>
      <c r="N5" s="4">
        <f t="shared" si="0"/>
        <v>0</v>
      </c>
      <c r="O5" s="4">
        <f t="shared" si="0"/>
        <v>3416</v>
      </c>
      <c r="P5" s="4">
        <f t="shared" si="0"/>
        <v>1989</v>
      </c>
      <c r="Q5" s="4">
        <f t="shared" si="0"/>
        <v>63.6</v>
      </c>
      <c r="R5" s="4">
        <f t="shared" si="0"/>
        <v>286.79999999999995</v>
      </c>
      <c r="S5" s="4"/>
      <c r="T5" s="1"/>
      <c r="U5" s="1"/>
      <c r="V5" s="4">
        <f>SUM(V6:V500)</f>
        <v>40.945999999999998</v>
      </c>
      <c r="W5" s="1"/>
      <c r="X5" s="4">
        <f>SUM(X6:X500)</f>
        <v>30.6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5">
      <c r="A6" s="1" t="s">
        <v>26</v>
      </c>
      <c r="B6" s="1" t="s">
        <v>27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/>
      <c r="L6" s="1">
        <f t="shared" ref="L6:L53" si="1">E6-K6</f>
        <v>0</v>
      </c>
      <c r="M6" s="1"/>
      <c r="N6" s="1"/>
      <c r="O6" s="1">
        <v>24</v>
      </c>
      <c r="P6" s="1">
        <v>48</v>
      </c>
      <c r="Q6" s="1">
        <f>E6/5</f>
        <v>0</v>
      </c>
      <c r="R6" s="5"/>
      <c r="S6" s="10">
        <v>70</v>
      </c>
      <c r="T6" s="1" t="e">
        <f>(F6+O6+P6+R6)/Q6</f>
        <v>#DIV/0!</v>
      </c>
      <c r="U6" s="1" t="e">
        <f>(F6+O6+P6)/Q6</f>
        <v>#DIV/0!</v>
      </c>
      <c r="V6" s="1">
        <v>0</v>
      </c>
      <c r="W6" s="1"/>
      <c r="X6" s="1">
        <f t="shared" ref="X6:X53" si="2">G6*R6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5">
      <c r="A7" s="1" t="s">
        <v>28</v>
      </c>
      <c r="B7" s="1" t="s">
        <v>27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/>
      <c r="L7" s="1">
        <f t="shared" si="1"/>
        <v>0</v>
      </c>
      <c r="M7" s="1"/>
      <c r="N7" s="1"/>
      <c r="O7" s="1">
        <v>24</v>
      </c>
      <c r="P7" s="1">
        <v>24</v>
      </c>
      <c r="Q7" s="1">
        <f t="shared" ref="Q7:Q53" si="3">E7/5</f>
        <v>0</v>
      </c>
      <c r="R7" s="5"/>
      <c r="S7" s="10"/>
      <c r="T7" s="1" t="e">
        <f t="shared" ref="T7:T53" si="4">(F7+O7+P7+R7)/Q7</f>
        <v>#DIV/0!</v>
      </c>
      <c r="U7" s="1" t="e">
        <f t="shared" ref="U7:U53" si="5">(F7+O7+P7)/Q7</f>
        <v>#DIV/0!</v>
      </c>
      <c r="V7" s="1">
        <v>0</v>
      </c>
      <c r="W7" s="1"/>
      <c r="X7" s="1">
        <f t="shared" si="2"/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5">
      <c r="A8" s="1" t="s">
        <v>29</v>
      </c>
      <c r="B8" s="1" t="s">
        <v>27</v>
      </c>
      <c r="C8" s="1"/>
      <c r="D8" s="1"/>
      <c r="E8" s="1"/>
      <c r="F8" s="1"/>
      <c r="G8" s="7">
        <v>0.1</v>
      </c>
      <c r="H8" s="1">
        <v>120</v>
      </c>
      <c r="I8" s="1"/>
      <c r="J8" s="1"/>
      <c r="K8" s="1"/>
      <c r="L8" s="1">
        <f t="shared" si="1"/>
        <v>0</v>
      </c>
      <c r="M8" s="1"/>
      <c r="N8" s="1"/>
      <c r="O8" s="1">
        <v>24</v>
      </c>
      <c r="P8" s="1">
        <v>24</v>
      </c>
      <c r="Q8" s="1">
        <f t="shared" si="3"/>
        <v>0</v>
      </c>
      <c r="R8" s="5"/>
      <c r="S8" s="10"/>
      <c r="T8" s="1" t="e">
        <f t="shared" si="4"/>
        <v>#DIV/0!</v>
      </c>
      <c r="U8" s="1" t="e">
        <f t="shared" si="5"/>
        <v>#DIV/0!</v>
      </c>
      <c r="V8" s="1">
        <v>0</v>
      </c>
      <c r="W8" s="1"/>
      <c r="X8" s="1">
        <f t="shared" si="2"/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5">
      <c r="A9" s="1" t="s">
        <v>30</v>
      </c>
      <c r="B9" s="1" t="s">
        <v>31</v>
      </c>
      <c r="C9" s="1"/>
      <c r="D9" s="1"/>
      <c r="E9" s="1"/>
      <c r="F9" s="1"/>
      <c r="G9" s="7">
        <v>1</v>
      </c>
      <c r="H9" s="1">
        <v>120</v>
      </c>
      <c r="I9" s="1"/>
      <c r="J9" s="1"/>
      <c r="K9" s="1">
        <v>6</v>
      </c>
      <c r="L9" s="1">
        <f t="shared" si="1"/>
        <v>-6</v>
      </c>
      <c r="M9" s="1"/>
      <c r="N9" s="1"/>
      <c r="O9" s="1">
        <v>80</v>
      </c>
      <c r="P9" s="1">
        <v>40</v>
      </c>
      <c r="Q9" s="1">
        <f t="shared" si="3"/>
        <v>0</v>
      </c>
      <c r="R9" s="5"/>
      <c r="S9" s="10">
        <v>70</v>
      </c>
      <c r="T9" s="1" t="e">
        <f t="shared" si="4"/>
        <v>#DIV/0!</v>
      </c>
      <c r="U9" s="1" t="e">
        <f t="shared" si="5"/>
        <v>#DIV/0!</v>
      </c>
      <c r="V9" s="1">
        <v>0</v>
      </c>
      <c r="W9" s="1"/>
      <c r="X9" s="1">
        <f t="shared" si="2"/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5">
      <c r="A10" s="1" t="s">
        <v>32</v>
      </c>
      <c r="B10" s="1" t="s">
        <v>27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1"/>
        <v>0</v>
      </c>
      <c r="M10" s="1"/>
      <c r="N10" s="1"/>
      <c r="O10" s="1">
        <v>0</v>
      </c>
      <c r="P10" s="1">
        <v>0</v>
      </c>
      <c r="Q10" s="1">
        <f t="shared" si="3"/>
        <v>0</v>
      </c>
      <c r="R10" s="5">
        <v>12</v>
      </c>
      <c r="S10" s="10"/>
      <c r="T10" s="1" t="e">
        <f t="shared" si="4"/>
        <v>#DIV/0!</v>
      </c>
      <c r="U10" s="1" t="e">
        <f t="shared" si="5"/>
        <v>#DIV/0!</v>
      </c>
      <c r="V10" s="1">
        <v>0</v>
      </c>
      <c r="W10" s="1" t="s">
        <v>33</v>
      </c>
      <c r="X10" s="1">
        <f t="shared" si="2"/>
        <v>2.16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5">
      <c r="A11" s="1" t="s">
        <v>34</v>
      </c>
      <c r="B11" s="1" t="s">
        <v>27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1"/>
        <v>0</v>
      </c>
      <c r="M11" s="1"/>
      <c r="N11" s="1"/>
      <c r="O11" s="1">
        <v>0</v>
      </c>
      <c r="P11" s="1">
        <v>0</v>
      </c>
      <c r="Q11" s="1">
        <f t="shared" si="3"/>
        <v>0</v>
      </c>
      <c r="R11" s="5">
        <v>12</v>
      </c>
      <c r="S11" s="10"/>
      <c r="T11" s="1" t="e">
        <f t="shared" si="4"/>
        <v>#DIV/0!</v>
      </c>
      <c r="U11" s="1" t="e">
        <f t="shared" si="5"/>
        <v>#DIV/0!</v>
      </c>
      <c r="V11" s="1">
        <v>0</v>
      </c>
      <c r="W11" s="1" t="s">
        <v>33</v>
      </c>
      <c r="X11" s="1">
        <f t="shared" si="2"/>
        <v>2.16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5">
      <c r="A12" s="1" t="s">
        <v>35</v>
      </c>
      <c r="B12" s="1" t="s">
        <v>31</v>
      </c>
      <c r="C12" s="1"/>
      <c r="D12" s="1"/>
      <c r="E12" s="1"/>
      <c r="F12" s="1"/>
      <c r="G12" s="7">
        <v>1</v>
      </c>
      <c r="H12" s="1">
        <v>180</v>
      </c>
      <c r="I12" s="1"/>
      <c r="J12" s="1"/>
      <c r="K12" s="1"/>
      <c r="L12" s="1">
        <f t="shared" si="1"/>
        <v>0</v>
      </c>
      <c r="M12" s="1"/>
      <c r="N12" s="1"/>
      <c r="O12" s="1">
        <v>33</v>
      </c>
      <c r="P12" s="1">
        <v>33</v>
      </c>
      <c r="Q12" s="1">
        <f t="shared" si="3"/>
        <v>0</v>
      </c>
      <c r="R12" s="5"/>
      <c r="S12" s="10">
        <v>70</v>
      </c>
      <c r="T12" s="1" t="e">
        <f t="shared" si="4"/>
        <v>#DIV/0!</v>
      </c>
      <c r="U12" s="1" t="e">
        <f t="shared" si="5"/>
        <v>#DIV/0!</v>
      </c>
      <c r="V12" s="1">
        <v>0</v>
      </c>
      <c r="W12" s="1"/>
      <c r="X12" s="1">
        <f t="shared" si="2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5">
      <c r="A13" s="1" t="s">
        <v>36</v>
      </c>
      <c r="B13" s="1" t="s">
        <v>27</v>
      </c>
      <c r="C13" s="1">
        <v>54</v>
      </c>
      <c r="D13" s="1">
        <v>3</v>
      </c>
      <c r="E13" s="1">
        <v>5</v>
      </c>
      <c r="F13" s="1">
        <v>49</v>
      </c>
      <c r="G13" s="7">
        <v>0.82450000000000001</v>
      </c>
      <c r="H13" s="1">
        <v>180</v>
      </c>
      <c r="I13" s="1"/>
      <c r="J13" s="1"/>
      <c r="K13" s="1">
        <v>8</v>
      </c>
      <c r="L13" s="1">
        <f t="shared" si="1"/>
        <v>-3</v>
      </c>
      <c r="M13" s="1"/>
      <c r="N13" s="1"/>
      <c r="O13" s="1">
        <v>24</v>
      </c>
      <c r="P13" s="1"/>
      <c r="Q13" s="1">
        <f t="shared" si="3"/>
        <v>1</v>
      </c>
      <c r="R13" s="5"/>
      <c r="S13" s="10"/>
      <c r="T13" s="1">
        <f t="shared" si="4"/>
        <v>73</v>
      </c>
      <c r="U13" s="1">
        <f t="shared" si="5"/>
        <v>73</v>
      </c>
      <c r="V13" s="1">
        <v>0.4</v>
      </c>
      <c r="W13" s="9" t="s">
        <v>77</v>
      </c>
      <c r="X13" s="1">
        <f t="shared" si="2"/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5">
      <c r="A14" s="1" t="s">
        <v>37</v>
      </c>
      <c r="B14" s="1" t="s">
        <v>27</v>
      </c>
      <c r="C14" s="1">
        <v>31</v>
      </c>
      <c r="D14" s="1"/>
      <c r="E14" s="1">
        <v>23</v>
      </c>
      <c r="F14" s="1"/>
      <c r="G14" s="7">
        <v>0.372</v>
      </c>
      <c r="H14" s="1">
        <v>180</v>
      </c>
      <c r="I14" s="1"/>
      <c r="J14" s="1"/>
      <c r="K14" s="1">
        <v>25</v>
      </c>
      <c r="L14" s="1">
        <f t="shared" si="1"/>
        <v>-2</v>
      </c>
      <c r="M14" s="1"/>
      <c r="N14" s="1"/>
      <c r="O14" s="1">
        <v>96</v>
      </c>
      <c r="P14" s="1">
        <v>48</v>
      </c>
      <c r="Q14" s="1">
        <f t="shared" si="3"/>
        <v>4.5999999999999996</v>
      </c>
      <c r="R14" s="5"/>
      <c r="S14" s="10">
        <v>100</v>
      </c>
      <c r="T14" s="1">
        <f t="shared" si="4"/>
        <v>31.304347826086961</v>
      </c>
      <c r="U14" s="1">
        <f t="shared" si="5"/>
        <v>31.304347826086961</v>
      </c>
      <c r="V14" s="1">
        <v>6</v>
      </c>
      <c r="W14" s="1"/>
      <c r="X14" s="1">
        <f t="shared" si="2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5">
      <c r="A15" s="1" t="s">
        <v>38</v>
      </c>
      <c r="B15" s="1" t="s">
        <v>27</v>
      </c>
      <c r="C15" s="1">
        <v>3</v>
      </c>
      <c r="D15" s="1"/>
      <c r="E15" s="1">
        <v>5</v>
      </c>
      <c r="F15" s="1">
        <v>-2</v>
      </c>
      <c r="G15" s="7">
        <v>0.74399999999999999</v>
      </c>
      <c r="H15" s="1">
        <v>180</v>
      </c>
      <c r="I15" s="1"/>
      <c r="J15" s="1"/>
      <c r="K15" s="1">
        <v>7</v>
      </c>
      <c r="L15" s="1">
        <f t="shared" si="1"/>
        <v>-2</v>
      </c>
      <c r="M15" s="1"/>
      <c r="N15" s="1"/>
      <c r="O15" s="1">
        <v>96</v>
      </c>
      <c r="P15" s="1">
        <v>48</v>
      </c>
      <c r="Q15" s="1">
        <f t="shared" si="3"/>
        <v>1</v>
      </c>
      <c r="R15" s="5"/>
      <c r="S15" s="10">
        <v>100</v>
      </c>
      <c r="T15" s="1">
        <f t="shared" si="4"/>
        <v>142</v>
      </c>
      <c r="U15" s="1">
        <f t="shared" si="5"/>
        <v>142</v>
      </c>
      <c r="V15" s="1">
        <v>3.6</v>
      </c>
      <c r="W15" s="1"/>
      <c r="X15" s="1">
        <f t="shared" si="2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5">
      <c r="A16" s="1" t="s">
        <v>39</v>
      </c>
      <c r="B16" s="1" t="s">
        <v>27</v>
      </c>
      <c r="C16" s="1">
        <v>2</v>
      </c>
      <c r="D16" s="1"/>
      <c r="E16" s="1">
        <v>4</v>
      </c>
      <c r="F16" s="1">
        <v>-2</v>
      </c>
      <c r="G16" s="7">
        <v>0.372</v>
      </c>
      <c r="H16" s="1">
        <v>180</v>
      </c>
      <c r="I16" s="1"/>
      <c r="J16" s="1"/>
      <c r="K16" s="1">
        <v>16</v>
      </c>
      <c r="L16" s="1">
        <f t="shared" si="1"/>
        <v>-12</v>
      </c>
      <c r="M16" s="1"/>
      <c r="N16" s="1"/>
      <c r="O16" s="1">
        <v>180</v>
      </c>
      <c r="P16" s="1">
        <v>24</v>
      </c>
      <c r="Q16" s="1">
        <f t="shared" si="3"/>
        <v>0.8</v>
      </c>
      <c r="R16" s="5"/>
      <c r="S16" s="10">
        <v>100</v>
      </c>
      <c r="T16" s="1">
        <f t="shared" si="4"/>
        <v>252.5</v>
      </c>
      <c r="U16" s="1">
        <f t="shared" si="5"/>
        <v>252.5</v>
      </c>
      <c r="V16" s="1">
        <v>2</v>
      </c>
      <c r="W16" s="1"/>
      <c r="X16" s="1">
        <f t="shared" si="2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5">
      <c r="A17" s="1" t="s">
        <v>40</v>
      </c>
      <c r="B17" s="1" t="s">
        <v>27</v>
      </c>
      <c r="C17" s="1"/>
      <c r="D17" s="1"/>
      <c r="E17" s="1"/>
      <c r="F17" s="1"/>
      <c r="G17" s="7">
        <v>0.74399999999999999</v>
      </c>
      <c r="H17" s="1">
        <v>180</v>
      </c>
      <c r="I17" s="1"/>
      <c r="J17" s="1"/>
      <c r="K17" s="1">
        <v>2</v>
      </c>
      <c r="L17" s="1">
        <f t="shared" si="1"/>
        <v>-2</v>
      </c>
      <c r="M17" s="1"/>
      <c r="N17" s="1"/>
      <c r="O17" s="1">
        <v>144</v>
      </c>
      <c r="P17" s="1"/>
      <c r="Q17" s="1">
        <f t="shared" si="3"/>
        <v>0</v>
      </c>
      <c r="R17" s="5"/>
      <c r="S17" s="10">
        <v>100</v>
      </c>
      <c r="T17" s="1" t="e">
        <f t="shared" si="4"/>
        <v>#DIV/0!</v>
      </c>
      <c r="U17" s="1" t="e">
        <f t="shared" si="5"/>
        <v>#DIV/0!</v>
      </c>
      <c r="V17" s="1">
        <v>0</v>
      </c>
      <c r="W17" s="1"/>
      <c r="X17" s="1">
        <f t="shared" si="2"/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5">
      <c r="A18" s="1" t="s">
        <v>41</v>
      </c>
      <c r="B18" s="1" t="s">
        <v>27</v>
      </c>
      <c r="C18" s="1"/>
      <c r="D18" s="1"/>
      <c r="E18" s="1"/>
      <c r="F18" s="1"/>
      <c r="G18" s="7">
        <v>0.14000000000000001</v>
      </c>
      <c r="H18" s="1">
        <v>180</v>
      </c>
      <c r="I18" s="1"/>
      <c r="J18" s="1"/>
      <c r="K18" s="1"/>
      <c r="L18" s="1">
        <f t="shared" si="1"/>
        <v>0</v>
      </c>
      <c r="M18" s="1"/>
      <c r="N18" s="1"/>
      <c r="O18" s="1">
        <v>16</v>
      </c>
      <c r="P18" s="1">
        <v>16</v>
      </c>
      <c r="Q18" s="1">
        <f t="shared" si="3"/>
        <v>0</v>
      </c>
      <c r="R18" s="5"/>
      <c r="S18" s="10">
        <v>50</v>
      </c>
      <c r="T18" s="1" t="e">
        <f t="shared" si="4"/>
        <v>#DIV/0!</v>
      </c>
      <c r="U18" s="1" t="e">
        <f t="shared" si="5"/>
        <v>#DIV/0!</v>
      </c>
      <c r="V18" s="1">
        <v>0</v>
      </c>
      <c r="W18" s="1"/>
      <c r="X18" s="1">
        <f t="shared" si="2"/>
        <v>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5">
      <c r="A19" s="1" t="s">
        <v>42</v>
      </c>
      <c r="B19" s="1" t="s">
        <v>27</v>
      </c>
      <c r="C19" s="1"/>
      <c r="D19" s="1"/>
      <c r="E19" s="1"/>
      <c r="F19" s="1"/>
      <c r="G19" s="7">
        <v>0.18</v>
      </c>
      <c r="H19" s="1">
        <v>270</v>
      </c>
      <c r="I19" s="1"/>
      <c r="J19" s="1"/>
      <c r="K19" s="1">
        <v>6</v>
      </c>
      <c r="L19" s="1">
        <f t="shared" si="1"/>
        <v>-6</v>
      </c>
      <c r="M19" s="1"/>
      <c r="N19" s="1"/>
      <c r="O19" s="1">
        <v>16</v>
      </c>
      <c r="P19" s="1">
        <v>16</v>
      </c>
      <c r="Q19" s="1">
        <f t="shared" si="3"/>
        <v>0</v>
      </c>
      <c r="R19" s="5"/>
      <c r="S19" s="10">
        <v>50</v>
      </c>
      <c r="T19" s="1" t="e">
        <f t="shared" si="4"/>
        <v>#DIV/0!</v>
      </c>
      <c r="U19" s="1" t="e">
        <f t="shared" si="5"/>
        <v>#DIV/0!</v>
      </c>
      <c r="V19" s="1">
        <v>0</v>
      </c>
      <c r="W19" s="1"/>
      <c r="X19" s="1">
        <f t="shared" si="2"/>
        <v>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5">
      <c r="A20" s="1" t="s">
        <v>43</v>
      </c>
      <c r="B20" s="1" t="s">
        <v>27</v>
      </c>
      <c r="C20" s="1"/>
      <c r="D20" s="1"/>
      <c r="E20" s="1"/>
      <c r="F20" s="1"/>
      <c r="G20" s="7">
        <v>0.18</v>
      </c>
      <c r="H20" s="1">
        <v>270</v>
      </c>
      <c r="I20" s="1"/>
      <c r="J20" s="1"/>
      <c r="K20" s="1">
        <v>5</v>
      </c>
      <c r="L20" s="1">
        <f t="shared" si="1"/>
        <v>-5</v>
      </c>
      <c r="M20" s="1"/>
      <c r="N20" s="1"/>
      <c r="O20" s="1">
        <v>16</v>
      </c>
      <c r="P20" s="1">
        <v>16</v>
      </c>
      <c r="Q20" s="1">
        <f t="shared" si="3"/>
        <v>0</v>
      </c>
      <c r="R20" s="5"/>
      <c r="S20" s="10">
        <v>50</v>
      </c>
      <c r="T20" s="1" t="e">
        <f t="shared" si="4"/>
        <v>#DIV/0!</v>
      </c>
      <c r="U20" s="1" t="e">
        <f t="shared" si="5"/>
        <v>#DIV/0!</v>
      </c>
      <c r="V20" s="1">
        <v>0</v>
      </c>
      <c r="W20" s="1"/>
      <c r="X20" s="1">
        <f t="shared" si="2"/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5">
      <c r="A21" s="1" t="s">
        <v>44</v>
      </c>
      <c r="B21" s="1" t="s">
        <v>27</v>
      </c>
      <c r="C21" s="1"/>
      <c r="D21" s="1"/>
      <c r="E21" s="1"/>
      <c r="F21" s="1"/>
      <c r="G21" s="7">
        <v>0.1</v>
      </c>
      <c r="H21" s="1">
        <v>60</v>
      </c>
      <c r="I21" s="1"/>
      <c r="J21" s="1"/>
      <c r="K21" s="1"/>
      <c r="L21" s="1">
        <f t="shared" si="1"/>
        <v>0</v>
      </c>
      <c r="M21" s="1"/>
      <c r="N21" s="1"/>
      <c r="O21" s="1"/>
      <c r="P21" s="1">
        <v>80</v>
      </c>
      <c r="Q21" s="1">
        <f t="shared" si="3"/>
        <v>0</v>
      </c>
      <c r="R21" s="5"/>
      <c r="S21" s="10"/>
      <c r="T21" s="1" t="e">
        <f t="shared" si="4"/>
        <v>#DIV/0!</v>
      </c>
      <c r="U21" s="1" t="e">
        <f t="shared" si="5"/>
        <v>#DIV/0!</v>
      </c>
      <c r="V21" s="1">
        <v>0</v>
      </c>
      <c r="W21" s="1"/>
      <c r="X21" s="1">
        <f t="shared" si="2"/>
        <v>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5">
      <c r="A22" s="1" t="s">
        <v>45</v>
      </c>
      <c r="B22" s="1" t="s">
        <v>27</v>
      </c>
      <c r="C22" s="1"/>
      <c r="D22" s="1"/>
      <c r="E22" s="1"/>
      <c r="F22" s="1"/>
      <c r="G22" s="7">
        <v>0.18</v>
      </c>
      <c r="H22" s="1">
        <v>180</v>
      </c>
      <c r="I22" s="1"/>
      <c r="J22" s="1"/>
      <c r="K22" s="1">
        <v>30</v>
      </c>
      <c r="L22" s="1">
        <f t="shared" si="1"/>
        <v>-30</v>
      </c>
      <c r="M22" s="1"/>
      <c r="N22" s="1"/>
      <c r="O22" s="1">
        <v>500</v>
      </c>
      <c r="P22" s="1">
        <v>300</v>
      </c>
      <c r="Q22" s="1">
        <f t="shared" si="3"/>
        <v>0</v>
      </c>
      <c r="R22" s="5"/>
      <c r="S22" s="10">
        <v>200</v>
      </c>
      <c r="T22" s="1" t="e">
        <f t="shared" si="4"/>
        <v>#DIV/0!</v>
      </c>
      <c r="U22" s="1" t="e">
        <f t="shared" si="5"/>
        <v>#DIV/0!</v>
      </c>
      <c r="V22" s="1">
        <v>0</v>
      </c>
      <c r="W22" s="1"/>
      <c r="X22" s="1">
        <f t="shared" si="2"/>
        <v>0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5">
      <c r="A23" s="1" t="s">
        <v>46</v>
      </c>
      <c r="B23" s="1" t="s">
        <v>27</v>
      </c>
      <c r="C23" s="1"/>
      <c r="D23" s="1"/>
      <c r="E23" s="1"/>
      <c r="F23" s="1"/>
      <c r="G23" s="7">
        <v>0.18</v>
      </c>
      <c r="H23" s="1">
        <v>180</v>
      </c>
      <c r="I23" s="1"/>
      <c r="J23" s="1"/>
      <c r="K23" s="1">
        <v>23</v>
      </c>
      <c r="L23" s="1">
        <f t="shared" si="1"/>
        <v>-23</v>
      </c>
      <c r="M23" s="1"/>
      <c r="N23" s="1"/>
      <c r="O23" s="1">
        <v>500</v>
      </c>
      <c r="P23" s="1">
        <v>300</v>
      </c>
      <c r="Q23" s="1">
        <f t="shared" si="3"/>
        <v>0</v>
      </c>
      <c r="R23" s="5"/>
      <c r="S23" s="10">
        <v>200</v>
      </c>
      <c r="T23" s="1" t="e">
        <f t="shared" si="4"/>
        <v>#DIV/0!</v>
      </c>
      <c r="U23" s="1" t="e">
        <f t="shared" si="5"/>
        <v>#DIV/0!</v>
      </c>
      <c r="V23" s="1">
        <v>0</v>
      </c>
      <c r="W23" s="1"/>
      <c r="X23" s="1">
        <f t="shared" si="2"/>
        <v>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5">
      <c r="A24" s="1" t="s">
        <v>47</v>
      </c>
      <c r="B24" s="1" t="s">
        <v>27</v>
      </c>
      <c r="C24" s="1">
        <v>16</v>
      </c>
      <c r="D24" s="1"/>
      <c r="E24" s="1"/>
      <c r="F24" s="1">
        <v>16</v>
      </c>
      <c r="G24" s="7">
        <v>0.4</v>
      </c>
      <c r="H24" s="1">
        <v>270</v>
      </c>
      <c r="I24" s="1"/>
      <c r="J24" s="1"/>
      <c r="K24" s="1"/>
      <c r="L24" s="1">
        <f t="shared" si="1"/>
        <v>0</v>
      </c>
      <c r="M24" s="1"/>
      <c r="N24" s="1"/>
      <c r="O24" s="1">
        <v>8</v>
      </c>
      <c r="P24" s="1">
        <v>8</v>
      </c>
      <c r="Q24" s="1">
        <f t="shared" si="3"/>
        <v>0</v>
      </c>
      <c r="R24" s="5"/>
      <c r="S24" s="10"/>
      <c r="T24" s="1" t="e">
        <f t="shared" si="4"/>
        <v>#DIV/0!</v>
      </c>
      <c r="U24" s="1" t="e">
        <f t="shared" si="5"/>
        <v>#DIV/0!</v>
      </c>
      <c r="V24" s="1">
        <v>0</v>
      </c>
      <c r="W24" s="9" t="s">
        <v>77</v>
      </c>
      <c r="X24" s="1">
        <f t="shared" si="2"/>
        <v>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5">
      <c r="A25" s="1" t="s">
        <v>48</v>
      </c>
      <c r="B25" s="1" t="s">
        <v>27</v>
      </c>
      <c r="C25" s="1"/>
      <c r="D25" s="1"/>
      <c r="E25" s="1"/>
      <c r="F25" s="1"/>
      <c r="G25" s="7">
        <v>0.4</v>
      </c>
      <c r="H25" s="1">
        <v>270</v>
      </c>
      <c r="I25" s="1"/>
      <c r="J25" s="1"/>
      <c r="K25" s="1"/>
      <c r="L25" s="1">
        <f t="shared" si="1"/>
        <v>0</v>
      </c>
      <c r="M25" s="1"/>
      <c r="N25" s="1"/>
      <c r="O25" s="1">
        <v>28</v>
      </c>
      <c r="P25" s="1"/>
      <c r="Q25" s="1">
        <f t="shared" si="3"/>
        <v>0</v>
      </c>
      <c r="R25" s="5"/>
      <c r="S25" s="10">
        <v>50</v>
      </c>
      <c r="T25" s="1" t="e">
        <f t="shared" si="4"/>
        <v>#DIV/0!</v>
      </c>
      <c r="U25" s="1" t="e">
        <f t="shared" si="5"/>
        <v>#DIV/0!</v>
      </c>
      <c r="V25" s="1">
        <v>0</v>
      </c>
      <c r="W25" s="1"/>
      <c r="X25" s="1">
        <f t="shared" si="2"/>
        <v>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5">
      <c r="A26" s="1" t="s">
        <v>49</v>
      </c>
      <c r="B26" s="1" t="s">
        <v>27</v>
      </c>
      <c r="C26" s="1">
        <v>32</v>
      </c>
      <c r="D26" s="1"/>
      <c r="E26" s="1"/>
      <c r="F26" s="1">
        <v>32</v>
      </c>
      <c r="G26" s="7">
        <v>0.18</v>
      </c>
      <c r="H26" s="1">
        <v>270</v>
      </c>
      <c r="I26" s="1"/>
      <c r="J26" s="1"/>
      <c r="K26" s="1"/>
      <c r="L26" s="1">
        <f t="shared" si="1"/>
        <v>0</v>
      </c>
      <c r="M26" s="1"/>
      <c r="N26" s="1"/>
      <c r="O26" s="1"/>
      <c r="P26" s="1"/>
      <c r="Q26" s="1">
        <f t="shared" si="3"/>
        <v>0</v>
      </c>
      <c r="R26" s="5"/>
      <c r="S26" s="10"/>
      <c r="T26" s="1" t="e">
        <f t="shared" si="4"/>
        <v>#DIV/0!</v>
      </c>
      <c r="U26" s="1" t="e">
        <f t="shared" si="5"/>
        <v>#DIV/0!</v>
      </c>
      <c r="V26" s="1">
        <v>0</v>
      </c>
      <c r="W26" s="9" t="s">
        <v>77</v>
      </c>
      <c r="X26" s="1">
        <f t="shared" si="2"/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5">
      <c r="A27" s="1" t="s">
        <v>50</v>
      </c>
      <c r="B27" s="1" t="s">
        <v>27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1"/>
        <v>0</v>
      </c>
      <c r="M27" s="1"/>
      <c r="N27" s="1"/>
      <c r="O27" s="1">
        <v>24</v>
      </c>
      <c r="P27" s="1">
        <v>48</v>
      </c>
      <c r="Q27" s="1">
        <f t="shared" si="3"/>
        <v>0</v>
      </c>
      <c r="R27" s="5"/>
      <c r="S27" s="10">
        <v>50</v>
      </c>
      <c r="T27" s="1" t="e">
        <f t="shared" si="4"/>
        <v>#DIV/0!</v>
      </c>
      <c r="U27" s="1" t="e">
        <f t="shared" si="5"/>
        <v>#DIV/0!</v>
      </c>
      <c r="V27" s="1">
        <v>0</v>
      </c>
      <c r="W27" s="1"/>
      <c r="X27" s="1">
        <f t="shared" si="2"/>
        <v>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5">
      <c r="A28" s="1" t="s">
        <v>51</v>
      </c>
      <c r="B28" s="1" t="s">
        <v>31</v>
      </c>
      <c r="C28" s="1"/>
      <c r="D28" s="1"/>
      <c r="E28" s="1"/>
      <c r="F28" s="1"/>
      <c r="G28" s="7">
        <v>1</v>
      </c>
      <c r="H28" s="1">
        <v>180</v>
      </c>
      <c r="I28" s="1"/>
      <c r="J28" s="1"/>
      <c r="K28" s="1"/>
      <c r="L28" s="1">
        <f t="shared" si="1"/>
        <v>0</v>
      </c>
      <c r="M28" s="1"/>
      <c r="N28" s="1"/>
      <c r="O28" s="1"/>
      <c r="P28" s="1">
        <v>40</v>
      </c>
      <c r="Q28" s="1">
        <f t="shared" si="3"/>
        <v>0</v>
      </c>
      <c r="R28" s="5"/>
      <c r="S28" s="10">
        <v>50</v>
      </c>
      <c r="T28" s="1" t="e">
        <f t="shared" si="4"/>
        <v>#DIV/0!</v>
      </c>
      <c r="U28" s="1" t="e">
        <f t="shared" si="5"/>
        <v>#DIV/0!</v>
      </c>
      <c r="V28" s="1">
        <v>0</v>
      </c>
      <c r="W28" s="1"/>
      <c r="X28" s="1">
        <f t="shared" si="2"/>
        <v>0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5">
      <c r="A29" s="1" t="s">
        <v>52</v>
      </c>
      <c r="B29" s="1" t="s">
        <v>31</v>
      </c>
      <c r="C29" s="1"/>
      <c r="D29" s="1"/>
      <c r="E29" s="1"/>
      <c r="F29" s="1"/>
      <c r="G29" s="7">
        <v>1</v>
      </c>
      <c r="H29" s="1">
        <v>180</v>
      </c>
      <c r="I29" s="1"/>
      <c r="J29" s="1"/>
      <c r="K29" s="1"/>
      <c r="L29" s="1">
        <f t="shared" si="1"/>
        <v>0</v>
      </c>
      <c r="M29" s="1"/>
      <c r="N29" s="1"/>
      <c r="O29" s="1">
        <v>20</v>
      </c>
      <c r="P29" s="1">
        <v>20</v>
      </c>
      <c r="Q29" s="1">
        <f t="shared" si="3"/>
        <v>0</v>
      </c>
      <c r="R29" s="5"/>
      <c r="S29" s="10">
        <v>50</v>
      </c>
      <c r="T29" s="1" t="e">
        <f t="shared" si="4"/>
        <v>#DIV/0!</v>
      </c>
      <c r="U29" s="1" t="e">
        <f t="shared" si="5"/>
        <v>#DIV/0!</v>
      </c>
      <c r="V29" s="1">
        <v>0</v>
      </c>
      <c r="W29" s="1"/>
      <c r="X29" s="1">
        <f t="shared" si="2"/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5">
      <c r="A30" s="1" t="s">
        <v>53</v>
      </c>
      <c r="B30" s="1" t="s">
        <v>27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1</v>
      </c>
      <c r="L30" s="1">
        <f t="shared" si="1"/>
        <v>-1</v>
      </c>
      <c r="M30" s="1"/>
      <c r="N30" s="1"/>
      <c r="O30" s="1">
        <v>102</v>
      </c>
      <c r="P30" s="1"/>
      <c r="Q30" s="1">
        <f t="shared" si="3"/>
        <v>0</v>
      </c>
      <c r="R30" s="5"/>
      <c r="S30" s="10">
        <v>50</v>
      </c>
      <c r="T30" s="1" t="e">
        <f t="shared" si="4"/>
        <v>#DIV/0!</v>
      </c>
      <c r="U30" s="1" t="e">
        <f t="shared" si="5"/>
        <v>#DIV/0!</v>
      </c>
      <c r="V30" s="1">
        <v>0</v>
      </c>
      <c r="W30" s="1"/>
      <c r="X30" s="1">
        <f t="shared" si="2"/>
        <v>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5">
      <c r="A31" s="1" t="s">
        <v>54</v>
      </c>
      <c r="B31" s="1" t="s">
        <v>27</v>
      </c>
      <c r="C31" s="1">
        <v>102</v>
      </c>
      <c r="D31" s="1"/>
      <c r="E31" s="1">
        <v>64</v>
      </c>
      <c r="F31" s="1">
        <v>38</v>
      </c>
      <c r="G31" s="7">
        <v>0.1</v>
      </c>
      <c r="H31" s="1">
        <v>90</v>
      </c>
      <c r="I31" s="1"/>
      <c r="J31" s="1"/>
      <c r="K31" s="1">
        <v>64</v>
      </c>
      <c r="L31" s="1">
        <f t="shared" si="1"/>
        <v>0</v>
      </c>
      <c r="M31" s="1"/>
      <c r="N31" s="1"/>
      <c r="O31" s="1"/>
      <c r="P31" s="1">
        <v>48</v>
      </c>
      <c r="Q31" s="1">
        <f t="shared" si="3"/>
        <v>12.8</v>
      </c>
      <c r="R31" s="5">
        <f t="shared" ref="R31:R48" si="6">18*Q31-P31-O31-F31</f>
        <v>144.4</v>
      </c>
      <c r="S31" s="10">
        <v>250</v>
      </c>
      <c r="T31" s="1">
        <f t="shared" si="4"/>
        <v>18</v>
      </c>
      <c r="U31" s="1">
        <f t="shared" si="5"/>
        <v>6.71875</v>
      </c>
      <c r="V31" s="1">
        <v>3.6</v>
      </c>
      <c r="W31" s="1"/>
      <c r="X31" s="1">
        <f t="shared" si="2"/>
        <v>14.440000000000001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5">
      <c r="A32" s="1" t="s">
        <v>55</v>
      </c>
      <c r="B32" s="1" t="s">
        <v>27</v>
      </c>
      <c r="C32" s="1"/>
      <c r="D32" s="1"/>
      <c r="E32" s="1"/>
      <c r="F32" s="1"/>
      <c r="G32" s="7">
        <v>0.1</v>
      </c>
      <c r="H32" s="1">
        <v>60</v>
      </c>
      <c r="I32" s="1"/>
      <c r="J32" s="1"/>
      <c r="K32" s="1">
        <v>11</v>
      </c>
      <c r="L32" s="1">
        <f t="shared" si="1"/>
        <v>-11</v>
      </c>
      <c r="M32" s="1"/>
      <c r="N32" s="1"/>
      <c r="O32" s="1">
        <v>128</v>
      </c>
      <c r="P32" s="1">
        <v>16</v>
      </c>
      <c r="Q32" s="1">
        <f t="shared" si="3"/>
        <v>0</v>
      </c>
      <c r="R32" s="5"/>
      <c r="S32" s="10"/>
      <c r="T32" s="1" t="e">
        <f t="shared" si="4"/>
        <v>#DIV/0!</v>
      </c>
      <c r="U32" s="1" t="e">
        <f t="shared" si="5"/>
        <v>#DIV/0!</v>
      </c>
      <c r="V32" s="1">
        <v>0</v>
      </c>
      <c r="W32" s="1"/>
      <c r="X32" s="1">
        <f t="shared" si="2"/>
        <v>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5">
      <c r="A33" s="1" t="s">
        <v>56</v>
      </c>
      <c r="B33" s="1" t="s">
        <v>27</v>
      </c>
      <c r="C33" s="1"/>
      <c r="D33" s="1"/>
      <c r="E33" s="1"/>
      <c r="F33" s="1"/>
      <c r="G33" s="7">
        <v>0.1</v>
      </c>
      <c r="H33" s="1">
        <v>90</v>
      </c>
      <c r="I33" s="1"/>
      <c r="J33" s="1"/>
      <c r="K33" s="1">
        <v>13</v>
      </c>
      <c r="L33" s="1">
        <f t="shared" si="1"/>
        <v>-13</v>
      </c>
      <c r="M33" s="1"/>
      <c r="N33" s="1"/>
      <c r="O33" s="1">
        <v>128</v>
      </c>
      <c r="P33" s="1">
        <v>16</v>
      </c>
      <c r="Q33" s="1">
        <f t="shared" si="3"/>
        <v>0</v>
      </c>
      <c r="R33" s="5"/>
      <c r="S33" s="10"/>
      <c r="T33" s="1" t="e">
        <f t="shared" si="4"/>
        <v>#DIV/0!</v>
      </c>
      <c r="U33" s="1" t="e">
        <f t="shared" si="5"/>
        <v>#DIV/0!</v>
      </c>
      <c r="V33" s="1">
        <v>0</v>
      </c>
      <c r="W33" s="1"/>
      <c r="X33" s="1">
        <f t="shared" si="2"/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5">
      <c r="A34" s="1" t="s">
        <v>57</v>
      </c>
      <c r="B34" s="1" t="s">
        <v>27</v>
      </c>
      <c r="C34" s="1"/>
      <c r="D34" s="1"/>
      <c r="E34" s="1"/>
      <c r="F34" s="1"/>
      <c r="G34" s="7">
        <v>0.18</v>
      </c>
      <c r="H34" s="1">
        <v>150</v>
      </c>
      <c r="I34" s="1"/>
      <c r="J34" s="1"/>
      <c r="K34" s="1">
        <v>4</v>
      </c>
      <c r="L34" s="1">
        <f t="shared" si="1"/>
        <v>-4</v>
      </c>
      <c r="M34" s="1"/>
      <c r="N34" s="1"/>
      <c r="O34" s="1">
        <v>80</v>
      </c>
      <c r="P34" s="1">
        <v>20</v>
      </c>
      <c r="Q34" s="1">
        <f t="shared" si="3"/>
        <v>0</v>
      </c>
      <c r="R34" s="5"/>
      <c r="S34" s="10">
        <v>50</v>
      </c>
      <c r="T34" s="1" t="e">
        <f t="shared" si="4"/>
        <v>#DIV/0!</v>
      </c>
      <c r="U34" s="1" t="e">
        <f t="shared" si="5"/>
        <v>#DIV/0!</v>
      </c>
      <c r="V34" s="1">
        <v>0</v>
      </c>
      <c r="W34" s="1"/>
      <c r="X34" s="1">
        <f t="shared" si="2"/>
        <v>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5">
      <c r="A35" s="1" t="s">
        <v>58</v>
      </c>
      <c r="B35" s="1" t="s">
        <v>27</v>
      </c>
      <c r="C35" s="1"/>
      <c r="D35" s="1"/>
      <c r="E35" s="1"/>
      <c r="F35" s="1"/>
      <c r="G35" s="7">
        <v>0.18</v>
      </c>
      <c r="H35" s="1">
        <v>150</v>
      </c>
      <c r="I35" s="1"/>
      <c r="J35" s="1"/>
      <c r="K35" s="1">
        <v>46</v>
      </c>
      <c r="L35" s="1">
        <f t="shared" si="1"/>
        <v>-46</v>
      </c>
      <c r="M35" s="1"/>
      <c r="N35" s="1"/>
      <c r="O35" s="1">
        <v>150</v>
      </c>
      <c r="P35" s="1">
        <v>30</v>
      </c>
      <c r="Q35" s="1">
        <f t="shared" si="3"/>
        <v>0</v>
      </c>
      <c r="R35" s="5"/>
      <c r="S35" s="10">
        <v>50</v>
      </c>
      <c r="T35" s="1" t="e">
        <f t="shared" si="4"/>
        <v>#DIV/0!</v>
      </c>
      <c r="U35" s="1" t="e">
        <f t="shared" si="5"/>
        <v>#DIV/0!</v>
      </c>
      <c r="V35" s="1">
        <v>0</v>
      </c>
      <c r="W35" s="1"/>
      <c r="X35" s="1">
        <f t="shared" si="2"/>
        <v>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5">
      <c r="A36" s="1" t="s">
        <v>59</v>
      </c>
      <c r="B36" s="1" t="s">
        <v>27</v>
      </c>
      <c r="C36" s="1"/>
      <c r="D36" s="1"/>
      <c r="E36" s="1"/>
      <c r="F36" s="1"/>
      <c r="G36" s="7">
        <v>0.18</v>
      </c>
      <c r="H36" s="1">
        <v>150</v>
      </c>
      <c r="I36" s="1"/>
      <c r="J36" s="1"/>
      <c r="K36" s="1">
        <v>3</v>
      </c>
      <c r="L36" s="1">
        <f t="shared" si="1"/>
        <v>-3</v>
      </c>
      <c r="M36" s="1"/>
      <c r="N36" s="1"/>
      <c r="O36" s="1">
        <v>30</v>
      </c>
      <c r="P36" s="1">
        <v>10</v>
      </c>
      <c r="Q36" s="1">
        <f t="shared" si="3"/>
        <v>0</v>
      </c>
      <c r="R36" s="5"/>
      <c r="S36" s="10">
        <v>50</v>
      </c>
      <c r="T36" s="1" t="e">
        <f t="shared" si="4"/>
        <v>#DIV/0!</v>
      </c>
      <c r="U36" s="1" t="e">
        <f t="shared" si="5"/>
        <v>#DIV/0!</v>
      </c>
      <c r="V36" s="1">
        <v>0</v>
      </c>
      <c r="W36" s="1"/>
      <c r="X36" s="1">
        <f t="shared" si="2"/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5">
      <c r="A37" s="1" t="s">
        <v>60</v>
      </c>
      <c r="B37" s="1" t="s">
        <v>27</v>
      </c>
      <c r="C37" s="1"/>
      <c r="D37" s="1"/>
      <c r="E37" s="1"/>
      <c r="F37" s="1"/>
      <c r="G37" s="7">
        <v>0.18</v>
      </c>
      <c r="H37" s="1">
        <v>150</v>
      </c>
      <c r="I37" s="1"/>
      <c r="J37" s="1"/>
      <c r="K37" s="1">
        <v>2</v>
      </c>
      <c r="L37" s="1">
        <f t="shared" si="1"/>
        <v>-2</v>
      </c>
      <c r="M37" s="1"/>
      <c r="N37" s="1"/>
      <c r="O37" s="1">
        <v>10</v>
      </c>
      <c r="P37" s="1">
        <v>30</v>
      </c>
      <c r="Q37" s="1">
        <f t="shared" si="3"/>
        <v>0</v>
      </c>
      <c r="R37" s="5"/>
      <c r="S37" s="10">
        <v>50</v>
      </c>
      <c r="T37" s="1" t="e">
        <f t="shared" si="4"/>
        <v>#DIV/0!</v>
      </c>
      <c r="U37" s="1" t="e">
        <f t="shared" si="5"/>
        <v>#DIV/0!</v>
      </c>
      <c r="V37" s="1">
        <v>0</v>
      </c>
      <c r="W37" s="1"/>
      <c r="X37" s="1">
        <f t="shared" si="2"/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5">
      <c r="A38" s="1" t="s">
        <v>61</v>
      </c>
      <c r="B38" s="1" t="s">
        <v>27</v>
      </c>
      <c r="C38" s="1">
        <v>19</v>
      </c>
      <c r="D38" s="1"/>
      <c r="E38" s="1">
        <v>18</v>
      </c>
      <c r="F38" s="1">
        <v>1</v>
      </c>
      <c r="G38" s="7">
        <v>0.18</v>
      </c>
      <c r="H38" s="1">
        <v>150</v>
      </c>
      <c r="I38" s="1"/>
      <c r="J38" s="1"/>
      <c r="K38" s="1">
        <v>36</v>
      </c>
      <c r="L38" s="1">
        <f t="shared" si="1"/>
        <v>-18</v>
      </c>
      <c r="M38" s="1"/>
      <c r="N38" s="1"/>
      <c r="O38" s="1">
        <v>150</v>
      </c>
      <c r="P38" s="1">
        <v>80</v>
      </c>
      <c r="Q38" s="1">
        <f t="shared" si="3"/>
        <v>3.6</v>
      </c>
      <c r="R38" s="5"/>
      <c r="S38" s="10">
        <v>50</v>
      </c>
      <c r="T38" s="1">
        <f t="shared" si="4"/>
        <v>64.166666666666671</v>
      </c>
      <c r="U38" s="1">
        <f t="shared" si="5"/>
        <v>64.166666666666671</v>
      </c>
      <c r="V38" s="1">
        <v>4.8</v>
      </c>
      <c r="W38" s="1"/>
      <c r="X38" s="1">
        <f t="shared" si="2"/>
        <v>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5">
      <c r="A39" s="1" t="s">
        <v>62</v>
      </c>
      <c r="B39" s="1" t="s">
        <v>27</v>
      </c>
      <c r="C39" s="1"/>
      <c r="D39" s="1"/>
      <c r="E39" s="1"/>
      <c r="F39" s="1"/>
      <c r="G39" s="7">
        <v>0.18</v>
      </c>
      <c r="H39" s="1">
        <v>150</v>
      </c>
      <c r="I39" s="1"/>
      <c r="J39" s="1"/>
      <c r="K39" s="1">
        <v>24</v>
      </c>
      <c r="L39" s="1">
        <f t="shared" si="1"/>
        <v>-24</v>
      </c>
      <c r="M39" s="1"/>
      <c r="N39" s="1"/>
      <c r="O39" s="1">
        <v>50</v>
      </c>
      <c r="P39" s="1"/>
      <c r="Q39" s="1">
        <f t="shared" si="3"/>
        <v>0</v>
      </c>
      <c r="R39" s="5"/>
      <c r="S39" s="10">
        <v>50</v>
      </c>
      <c r="T39" s="1" t="e">
        <f t="shared" si="4"/>
        <v>#DIV/0!</v>
      </c>
      <c r="U39" s="1" t="e">
        <f t="shared" si="5"/>
        <v>#DIV/0!</v>
      </c>
      <c r="V39" s="1">
        <v>0</v>
      </c>
      <c r="W39" s="1"/>
      <c r="X39" s="1">
        <f t="shared" si="2"/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5">
      <c r="A40" s="1" t="s">
        <v>63</v>
      </c>
      <c r="B40" s="1" t="s">
        <v>27</v>
      </c>
      <c r="C40" s="1"/>
      <c r="D40" s="1"/>
      <c r="E40" s="1"/>
      <c r="F40" s="1"/>
      <c r="G40" s="7">
        <v>0.1</v>
      </c>
      <c r="H40" s="1">
        <v>60</v>
      </c>
      <c r="I40" s="1"/>
      <c r="J40" s="1"/>
      <c r="K40" s="1"/>
      <c r="L40" s="1">
        <f t="shared" si="1"/>
        <v>0</v>
      </c>
      <c r="M40" s="1"/>
      <c r="N40" s="1"/>
      <c r="O40" s="1">
        <v>8</v>
      </c>
      <c r="P40" s="1"/>
      <c r="Q40" s="1">
        <f t="shared" si="3"/>
        <v>0</v>
      </c>
      <c r="R40" s="5"/>
      <c r="S40" s="10">
        <v>70</v>
      </c>
      <c r="T40" s="1" t="e">
        <f t="shared" si="4"/>
        <v>#DIV/0!</v>
      </c>
      <c r="U40" s="1" t="e">
        <f t="shared" si="5"/>
        <v>#DIV/0!</v>
      </c>
      <c r="V40" s="1">
        <v>0</v>
      </c>
      <c r="W40" s="1"/>
      <c r="X40" s="1">
        <f t="shared" si="2"/>
        <v>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5">
      <c r="A41" s="1" t="s">
        <v>64</v>
      </c>
      <c r="B41" s="1" t="s">
        <v>27</v>
      </c>
      <c r="C41" s="1"/>
      <c r="D41" s="1"/>
      <c r="E41" s="1"/>
      <c r="F41" s="1"/>
      <c r="G41" s="7">
        <v>0.14000000000000001</v>
      </c>
      <c r="H41" s="1">
        <v>180</v>
      </c>
      <c r="I41" s="1"/>
      <c r="J41" s="1"/>
      <c r="K41" s="1">
        <v>1</v>
      </c>
      <c r="L41" s="1">
        <f t="shared" si="1"/>
        <v>-1</v>
      </c>
      <c r="M41" s="1"/>
      <c r="N41" s="1"/>
      <c r="O41" s="1">
        <v>32</v>
      </c>
      <c r="P41" s="1"/>
      <c r="Q41" s="1">
        <f t="shared" si="3"/>
        <v>0</v>
      </c>
      <c r="R41" s="5"/>
      <c r="S41" s="10"/>
      <c r="T41" s="1" t="e">
        <f t="shared" si="4"/>
        <v>#DIV/0!</v>
      </c>
      <c r="U41" s="1" t="e">
        <f t="shared" si="5"/>
        <v>#DIV/0!</v>
      </c>
      <c r="V41" s="1">
        <v>0</v>
      </c>
      <c r="W41" s="1"/>
      <c r="X41" s="1">
        <f t="shared" si="2"/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5">
      <c r="A42" s="1" t="s">
        <v>65</v>
      </c>
      <c r="B42" s="1" t="s">
        <v>27</v>
      </c>
      <c r="C42" s="1"/>
      <c r="D42" s="1"/>
      <c r="E42" s="1"/>
      <c r="F42" s="1"/>
      <c r="G42" s="7">
        <v>0.18</v>
      </c>
      <c r="H42" s="1">
        <v>270</v>
      </c>
      <c r="I42" s="1"/>
      <c r="J42" s="1"/>
      <c r="K42" s="1">
        <v>12</v>
      </c>
      <c r="L42" s="1">
        <f t="shared" si="1"/>
        <v>-12</v>
      </c>
      <c r="M42" s="1"/>
      <c r="N42" s="1"/>
      <c r="O42" s="1">
        <v>48</v>
      </c>
      <c r="P42" s="1">
        <v>80</v>
      </c>
      <c r="Q42" s="1">
        <f t="shared" si="3"/>
        <v>0</v>
      </c>
      <c r="R42" s="5"/>
      <c r="S42" s="10">
        <v>60</v>
      </c>
      <c r="T42" s="1" t="e">
        <f t="shared" si="4"/>
        <v>#DIV/0!</v>
      </c>
      <c r="U42" s="1" t="e">
        <f t="shared" si="5"/>
        <v>#DIV/0!</v>
      </c>
      <c r="V42" s="1">
        <v>0</v>
      </c>
      <c r="W42" s="1"/>
      <c r="X42" s="1">
        <f t="shared" si="2"/>
        <v>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5">
      <c r="A43" s="1" t="s">
        <v>66</v>
      </c>
      <c r="B43" s="1" t="s">
        <v>31</v>
      </c>
      <c r="C43" s="1">
        <v>31.271999999999998</v>
      </c>
      <c r="D43" s="1"/>
      <c r="E43" s="1"/>
      <c r="F43" s="1">
        <v>31.271999999999998</v>
      </c>
      <c r="G43" s="7">
        <v>1</v>
      </c>
      <c r="H43" s="1">
        <v>180</v>
      </c>
      <c r="I43" s="1"/>
      <c r="J43" s="1"/>
      <c r="K43" s="1"/>
      <c r="L43" s="1">
        <f t="shared" si="1"/>
        <v>0</v>
      </c>
      <c r="M43" s="1"/>
      <c r="N43" s="1"/>
      <c r="O43" s="1"/>
      <c r="P43" s="1">
        <v>16</v>
      </c>
      <c r="Q43" s="1">
        <f t="shared" si="3"/>
        <v>0</v>
      </c>
      <c r="R43" s="5"/>
      <c r="S43" s="10"/>
      <c r="T43" s="1" t="e">
        <f t="shared" si="4"/>
        <v>#DIV/0!</v>
      </c>
      <c r="U43" s="1" t="e">
        <f t="shared" si="5"/>
        <v>#DIV/0!</v>
      </c>
      <c r="V43" s="1">
        <v>1.946</v>
      </c>
      <c r="W43" s="9" t="s">
        <v>77</v>
      </c>
      <c r="X43" s="1">
        <f t="shared" si="2"/>
        <v>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5">
      <c r="A44" s="1" t="s">
        <v>67</v>
      </c>
      <c r="B44" s="1" t="s">
        <v>31</v>
      </c>
      <c r="C44" s="1"/>
      <c r="D44" s="1"/>
      <c r="E44" s="1"/>
      <c r="F44" s="1"/>
      <c r="G44" s="7">
        <v>1</v>
      </c>
      <c r="H44" s="1">
        <v>180</v>
      </c>
      <c r="I44" s="1"/>
      <c r="J44" s="1"/>
      <c r="K44" s="1"/>
      <c r="L44" s="1">
        <f t="shared" si="1"/>
        <v>0</v>
      </c>
      <c r="M44" s="1"/>
      <c r="N44" s="1"/>
      <c r="O44" s="1">
        <v>16</v>
      </c>
      <c r="P44" s="1">
        <v>33</v>
      </c>
      <c r="Q44" s="1">
        <f t="shared" si="3"/>
        <v>0</v>
      </c>
      <c r="R44" s="5"/>
      <c r="S44" s="10">
        <v>50</v>
      </c>
      <c r="T44" s="1" t="e">
        <f t="shared" si="4"/>
        <v>#DIV/0!</v>
      </c>
      <c r="U44" s="1" t="e">
        <f t="shared" si="5"/>
        <v>#DIV/0!</v>
      </c>
      <c r="V44" s="1">
        <v>0</v>
      </c>
      <c r="W44" s="1"/>
      <c r="X44" s="1">
        <f t="shared" si="2"/>
        <v>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5">
      <c r="A45" s="1" t="s">
        <v>68</v>
      </c>
      <c r="B45" s="1" t="s">
        <v>31</v>
      </c>
      <c r="C45" s="1"/>
      <c r="D45" s="1"/>
      <c r="E45" s="1"/>
      <c r="F45" s="1"/>
      <c r="G45" s="7">
        <v>1</v>
      </c>
      <c r="H45" s="1">
        <v>180</v>
      </c>
      <c r="I45" s="1"/>
      <c r="J45" s="1"/>
      <c r="K45" s="1">
        <v>12</v>
      </c>
      <c r="L45" s="1">
        <f t="shared" si="1"/>
        <v>-12</v>
      </c>
      <c r="M45" s="1"/>
      <c r="N45" s="1"/>
      <c r="O45" s="1">
        <v>99</v>
      </c>
      <c r="P45" s="1">
        <v>16</v>
      </c>
      <c r="Q45" s="1">
        <f t="shared" si="3"/>
        <v>0</v>
      </c>
      <c r="R45" s="5"/>
      <c r="S45" s="10">
        <v>50</v>
      </c>
      <c r="T45" s="1" t="e">
        <f t="shared" si="4"/>
        <v>#DIV/0!</v>
      </c>
      <c r="U45" s="1" t="e">
        <f t="shared" si="5"/>
        <v>#DIV/0!</v>
      </c>
      <c r="V45" s="1">
        <v>0</v>
      </c>
      <c r="W45" s="1"/>
      <c r="X45" s="1">
        <f t="shared" si="2"/>
        <v>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5">
      <c r="A46" s="1" t="s">
        <v>69</v>
      </c>
      <c r="B46" s="1" t="s">
        <v>31</v>
      </c>
      <c r="C46" s="1"/>
      <c r="D46" s="1"/>
      <c r="E46" s="1"/>
      <c r="F46" s="1"/>
      <c r="G46" s="7">
        <v>1</v>
      </c>
      <c r="H46" s="1">
        <v>180</v>
      </c>
      <c r="I46" s="1"/>
      <c r="J46" s="1"/>
      <c r="K46" s="1"/>
      <c r="L46" s="1">
        <f t="shared" si="1"/>
        <v>0</v>
      </c>
      <c r="M46" s="1"/>
      <c r="N46" s="1"/>
      <c r="O46" s="1">
        <v>16</v>
      </c>
      <c r="P46" s="1">
        <v>33</v>
      </c>
      <c r="Q46" s="1">
        <f t="shared" si="3"/>
        <v>0</v>
      </c>
      <c r="R46" s="5"/>
      <c r="S46" s="10">
        <v>50</v>
      </c>
      <c r="T46" s="1" t="e">
        <f t="shared" si="4"/>
        <v>#DIV/0!</v>
      </c>
      <c r="U46" s="1" t="e">
        <f t="shared" si="5"/>
        <v>#DIV/0!</v>
      </c>
      <c r="V46" s="1">
        <v>0</v>
      </c>
      <c r="W46" s="1"/>
      <c r="X46" s="1">
        <f t="shared" si="2"/>
        <v>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5">
      <c r="A47" s="1" t="s">
        <v>70</v>
      </c>
      <c r="B47" s="1" t="s">
        <v>27</v>
      </c>
      <c r="C47" s="1">
        <v>120</v>
      </c>
      <c r="D47" s="1">
        <v>8</v>
      </c>
      <c r="E47" s="1">
        <v>102</v>
      </c>
      <c r="F47" s="1">
        <v>9</v>
      </c>
      <c r="G47" s="7">
        <v>0.1</v>
      </c>
      <c r="H47" s="1">
        <v>60</v>
      </c>
      <c r="I47" s="1"/>
      <c r="J47" s="1"/>
      <c r="K47" s="1">
        <v>110</v>
      </c>
      <c r="L47" s="1">
        <f t="shared" si="1"/>
        <v>-8</v>
      </c>
      <c r="M47" s="1"/>
      <c r="N47" s="1"/>
      <c r="O47" s="1">
        <v>300</v>
      </c>
      <c r="P47" s="1">
        <v>30</v>
      </c>
      <c r="Q47" s="1">
        <f t="shared" si="3"/>
        <v>20.399999999999999</v>
      </c>
      <c r="R47" s="5">
        <f t="shared" si="6"/>
        <v>28.199999999999989</v>
      </c>
      <c r="S47" s="10">
        <v>100</v>
      </c>
      <c r="T47" s="1">
        <f t="shared" si="4"/>
        <v>18</v>
      </c>
      <c r="U47" s="1">
        <f t="shared" si="5"/>
        <v>16.617647058823529</v>
      </c>
      <c r="V47" s="1">
        <v>7.2</v>
      </c>
      <c r="W47" s="1"/>
      <c r="X47" s="1">
        <f t="shared" si="2"/>
        <v>2.819999999999999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5">
      <c r="A48" s="1" t="s">
        <v>71</v>
      </c>
      <c r="B48" s="1" t="s">
        <v>27</v>
      </c>
      <c r="C48" s="1">
        <v>98</v>
      </c>
      <c r="D48" s="1">
        <v>1</v>
      </c>
      <c r="E48" s="1">
        <v>97</v>
      </c>
      <c r="F48" s="1">
        <v>-11</v>
      </c>
      <c r="G48" s="7">
        <v>0.1</v>
      </c>
      <c r="H48" s="1">
        <v>90</v>
      </c>
      <c r="I48" s="1"/>
      <c r="J48" s="1"/>
      <c r="K48" s="1">
        <v>103</v>
      </c>
      <c r="L48" s="1">
        <f t="shared" si="1"/>
        <v>-6</v>
      </c>
      <c r="M48" s="1"/>
      <c r="N48" s="1"/>
      <c r="O48" s="1">
        <v>150</v>
      </c>
      <c r="P48" s="1">
        <v>120</v>
      </c>
      <c r="Q48" s="1">
        <f t="shared" si="3"/>
        <v>19.399999999999999</v>
      </c>
      <c r="R48" s="5">
        <f t="shared" si="6"/>
        <v>90.199999999999989</v>
      </c>
      <c r="S48" s="10"/>
      <c r="T48" s="1">
        <f t="shared" si="4"/>
        <v>18</v>
      </c>
      <c r="U48" s="1">
        <f t="shared" si="5"/>
        <v>13.350515463917526</v>
      </c>
      <c r="V48" s="1">
        <v>11.4</v>
      </c>
      <c r="W48" s="1"/>
      <c r="X48" s="1">
        <f t="shared" si="2"/>
        <v>9.02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5">
      <c r="A49" s="1" t="s">
        <v>72</v>
      </c>
      <c r="B49" s="1" t="s">
        <v>27</v>
      </c>
      <c r="C49" s="1"/>
      <c r="D49" s="1"/>
      <c r="E49" s="1"/>
      <c r="F49" s="1"/>
      <c r="G49" s="7">
        <v>0.14000000000000001</v>
      </c>
      <c r="H49" s="1">
        <v>180</v>
      </c>
      <c r="I49" s="1"/>
      <c r="J49" s="1"/>
      <c r="K49" s="1">
        <v>4</v>
      </c>
      <c r="L49" s="1">
        <f t="shared" si="1"/>
        <v>-4</v>
      </c>
      <c r="M49" s="1"/>
      <c r="N49" s="1"/>
      <c r="O49" s="1">
        <v>16</v>
      </c>
      <c r="P49" s="1">
        <v>48</v>
      </c>
      <c r="Q49" s="1">
        <f t="shared" si="3"/>
        <v>0</v>
      </c>
      <c r="R49" s="5"/>
      <c r="S49" s="10"/>
      <c r="T49" s="1" t="e">
        <f t="shared" si="4"/>
        <v>#DIV/0!</v>
      </c>
      <c r="U49" s="1" t="e">
        <f t="shared" si="5"/>
        <v>#DIV/0!</v>
      </c>
      <c r="V49" s="1">
        <v>0</v>
      </c>
      <c r="W49" s="1"/>
      <c r="X49" s="1">
        <f t="shared" si="2"/>
        <v>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5">
      <c r="A50" s="1" t="s">
        <v>73</v>
      </c>
      <c r="B50" s="1" t="s">
        <v>27</v>
      </c>
      <c r="C50" s="1"/>
      <c r="D50" s="1"/>
      <c r="E50" s="1"/>
      <c r="F50" s="1"/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>
        <v>10</v>
      </c>
      <c r="P50" s="1">
        <v>70</v>
      </c>
      <c r="Q50" s="1">
        <f t="shared" si="3"/>
        <v>0</v>
      </c>
      <c r="R50" s="5"/>
      <c r="S50" s="10">
        <v>50</v>
      </c>
      <c r="T50" s="1" t="e">
        <f t="shared" si="4"/>
        <v>#DIV/0!</v>
      </c>
      <c r="U50" s="1" t="e">
        <f t="shared" si="5"/>
        <v>#DIV/0!</v>
      </c>
      <c r="V50" s="1">
        <v>0</v>
      </c>
      <c r="W50" s="1"/>
      <c r="X50" s="1">
        <f t="shared" si="2"/>
        <v>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5">
      <c r="A51" s="1" t="s">
        <v>74</v>
      </c>
      <c r="B51" s="1" t="s">
        <v>31</v>
      </c>
      <c r="C51" s="1"/>
      <c r="D51" s="1"/>
      <c r="E51" s="1"/>
      <c r="F51" s="1"/>
      <c r="G51" s="7">
        <v>1</v>
      </c>
      <c r="H51" s="1">
        <v>120</v>
      </c>
      <c r="I51" s="1"/>
      <c r="J51" s="1"/>
      <c r="K51" s="1"/>
      <c r="L51" s="1">
        <f t="shared" si="1"/>
        <v>0</v>
      </c>
      <c r="M51" s="1"/>
      <c r="N51" s="1"/>
      <c r="O51" s="1">
        <v>15</v>
      </c>
      <c r="P51" s="1">
        <v>45</v>
      </c>
      <c r="Q51" s="1">
        <f t="shared" si="3"/>
        <v>0</v>
      </c>
      <c r="R51" s="5"/>
      <c r="S51" s="10">
        <v>30</v>
      </c>
      <c r="T51" s="1" t="e">
        <f t="shared" si="4"/>
        <v>#DIV/0!</v>
      </c>
      <c r="U51" s="1" t="e">
        <f t="shared" si="5"/>
        <v>#DIV/0!</v>
      </c>
      <c r="V51" s="1">
        <v>0</v>
      </c>
      <c r="W51" s="1"/>
      <c r="X51" s="1">
        <f t="shared" si="2"/>
        <v>0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5">
      <c r="A52" s="1" t="s">
        <v>75</v>
      </c>
      <c r="B52" s="1" t="s">
        <v>27</v>
      </c>
      <c r="C52" s="1"/>
      <c r="D52" s="1"/>
      <c r="E52" s="1"/>
      <c r="F52" s="1"/>
      <c r="G52" s="7">
        <v>0.2</v>
      </c>
      <c r="H52" s="1">
        <v>120</v>
      </c>
      <c r="I52" s="1"/>
      <c r="J52" s="1"/>
      <c r="K52" s="1"/>
      <c r="L52" s="1">
        <f t="shared" si="1"/>
        <v>0</v>
      </c>
      <c r="M52" s="1"/>
      <c r="N52" s="1"/>
      <c r="O52" s="1">
        <v>10</v>
      </c>
      <c r="P52" s="1">
        <v>70</v>
      </c>
      <c r="Q52" s="1">
        <f t="shared" si="3"/>
        <v>0</v>
      </c>
      <c r="R52" s="5"/>
      <c r="S52" s="10">
        <v>50</v>
      </c>
      <c r="T52" s="1" t="e">
        <f t="shared" si="4"/>
        <v>#DIV/0!</v>
      </c>
      <c r="U52" s="1" t="e">
        <f t="shared" si="5"/>
        <v>#DIV/0!</v>
      </c>
      <c r="V52" s="1">
        <v>0</v>
      </c>
      <c r="W52" s="1"/>
      <c r="X52" s="1">
        <f t="shared" si="2"/>
        <v>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5">
      <c r="A53" s="1" t="s">
        <v>76</v>
      </c>
      <c r="B53" s="1" t="s">
        <v>31</v>
      </c>
      <c r="C53" s="1"/>
      <c r="D53" s="1"/>
      <c r="E53" s="1"/>
      <c r="F53" s="1"/>
      <c r="G53" s="7">
        <v>1</v>
      </c>
      <c r="H53" s="1">
        <v>120</v>
      </c>
      <c r="I53" s="1"/>
      <c r="J53" s="1"/>
      <c r="K53" s="1"/>
      <c r="L53" s="1">
        <f t="shared" si="1"/>
        <v>0</v>
      </c>
      <c r="M53" s="1"/>
      <c r="N53" s="1"/>
      <c r="O53" s="1">
        <v>15</v>
      </c>
      <c r="P53" s="1">
        <v>45</v>
      </c>
      <c r="Q53" s="1">
        <f t="shared" si="3"/>
        <v>0</v>
      </c>
      <c r="R53" s="5"/>
      <c r="S53" s="10">
        <v>30</v>
      </c>
      <c r="T53" s="1" t="e">
        <f t="shared" si="4"/>
        <v>#DIV/0!</v>
      </c>
      <c r="U53" s="1" t="e">
        <f t="shared" si="5"/>
        <v>#DIV/0!</v>
      </c>
      <c r="V53" s="1">
        <v>0</v>
      </c>
      <c r="W53" s="1"/>
      <c r="X53" s="1">
        <f t="shared" si="2"/>
        <v>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X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2026-10-06T15:56:24Z</dcterms:created>
  <dcterms:modified xsi:type="dcterms:W3CDTF">2026-10-07T04:30:19Z</dcterms:modified>
</cp:coreProperties>
</file>