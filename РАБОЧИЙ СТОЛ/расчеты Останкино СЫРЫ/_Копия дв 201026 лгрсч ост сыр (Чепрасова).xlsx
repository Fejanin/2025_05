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ладелец\Desktop\Заказы ЛП\"/>
    </mc:Choice>
  </mc:AlternateContent>
  <bookViews>
    <workbookView xWindow="0" yWindow="0" windowWidth="23040" windowHeight="8784"/>
  </bookViews>
  <sheets>
    <sheet name="Sheet" sheetId="1" r:id="rId1"/>
  </sheets>
  <definedNames>
    <definedName name="_xlnm._FilterDatabase" localSheetId="0" hidden="1">Sheet!$A$3:$AI$40</definedName>
  </definedNames>
  <calcPr calcId="162913" refMode="R1C1"/>
</workbook>
</file>

<file path=xl/calcChain.xml><?xml version="1.0" encoding="utf-8"?>
<calcChain xmlns="http://schemas.openxmlformats.org/spreadsheetml/2006/main">
  <c r="U18" i="1" l="1"/>
  <c r="U17" i="1"/>
  <c r="S5" i="1"/>
  <c r="AI18" i="1"/>
  <c r="AI20" i="1"/>
  <c r="AI40" i="1"/>
  <c r="Q7" i="1"/>
  <c r="R7" i="1" s="1"/>
  <c r="Q8" i="1"/>
  <c r="R8" i="1" s="1"/>
  <c r="Q9" i="1"/>
  <c r="V9" i="1" s="1"/>
  <c r="Q10" i="1"/>
  <c r="AI10" i="1" s="1"/>
  <c r="Q11" i="1"/>
  <c r="V11" i="1" s="1"/>
  <c r="Q12" i="1"/>
  <c r="V12" i="1" s="1"/>
  <c r="Q13" i="1"/>
  <c r="Q14" i="1"/>
  <c r="R14" i="1" s="1"/>
  <c r="Q15" i="1"/>
  <c r="V15" i="1" s="1"/>
  <c r="Q16" i="1"/>
  <c r="R16" i="1" s="1"/>
  <c r="Q17" i="1"/>
  <c r="Q19" i="1"/>
  <c r="V19" i="1" s="1"/>
  <c r="Q20" i="1"/>
  <c r="V20" i="1" s="1"/>
  <c r="Q21" i="1"/>
  <c r="V21" i="1" s="1"/>
  <c r="Q22" i="1"/>
  <c r="V22" i="1" s="1"/>
  <c r="Q23" i="1"/>
  <c r="V23" i="1" s="1"/>
  <c r="Q24" i="1"/>
  <c r="V24" i="1" s="1"/>
  <c r="Q25" i="1"/>
  <c r="V25" i="1" s="1"/>
  <c r="Q26" i="1"/>
  <c r="Q27" i="1"/>
  <c r="R27" i="1" s="1"/>
  <c r="Q28" i="1"/>
  <c r="R28" i="1" s="1"/>
  <c r="Q29" i="1"/>
  <c r="Q30" i="1"/>
  <c r="AI30" i="1" s="1"/>
  <c r="Q31" i="1"/>
  <c r="R31" i="1" s="1"/>
  <c r="Q32" i="1"/>
  <c r="V32" i="1" s="1"/>
  <c r="Q33" i="1"/>
  <c r="R33" i="1" s="1"/>
  <c r="Q34" i="1"/>
  <c r="R34" i="1" s="1"/>
  <c r="Q35" i="1"/>
  <c r="V35" i="1" s="1"/>
  <c r="Q36" i="1"/>
  <c r="V36" i="1" s="1"/>
  <c r="Q37" i="1"/>
  <c r="R37" i="1" s="1"/>
  <c r="AI37" i="1" s="1"/>
  <c r="Q38" i="1"/>
  <c r="V38" i="1" s="1"/>
  <c r="Q39" i="1"/>
  <c r="V39" i="1" s="1"/>
  <c r="Q40" i="1"/>
  <c r="V40" i="1" s="1"/>
  <c r="Q6" i="1"/>
  <c r="V6" i="1" s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AI17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F5" i="1"/>
  <c r="E5" i="1"/>
  <c r="V37" i="1" l="1"/>
  <c r="R38" i="1"/>
  <c r="V31" i="1"/>
  <c r="V30" i="1"/>
  <c r="R25" i="1"/>
  <c r="AI25" i="1" s="1"/>
  <c r="R24" i="1"/>
  <c r="U24" i="1" s="1"/>
  <c r="V18" i="1"/>
  <c r="V17" i="1"/>
  <c r="V16" i="1"/>
  <c r="V14" i="1"/>
  <c r="V10" i="1"/>
  <c r="V34" i="1"/>
  <c r="R23" i="1"/>
  <c r="U23" i="1" s="1"/>
  <c r="V33" i="1"/>
  <c r="U15" i="1"/>
  <c r="AI15" i="1"/>
  <c r="U33" i="1"/>
  <c r="AI33" i="1"/>
  <c r="AI8" i="1"/>
  <c r="U8" i="1"/>
  <c r="U13" i="1"/>
  <c r="AI13" i="1"/>
  <c r="U34" i="1"/>
  <c r="AI34" i="1"/>
  <c r="AI29" i="1"/>
  <c r="U29" i="1"/>
  <c r="AI32" i="1"/>
  <c r="U32" i="1"/>
  <c r="U28" i="1"/>
  <c r="AI28" i="1"/>
  <c r="U14" i="1"/>
  <c r="AI14" i="1"/>
  <c r="AI31" i="1"/>
  <c r="U31" i="1"/>
  <c r="U21" i="1"/>
  <c r="AI21" i="1"/>
  <c r="U27" i="1"/>
  <c r="AI27" i="1"/>
  <c r="AI6" i="1"/>
  <c r="U6" i="1"/>
  <c r="U39" i="1"/>
  <c r="AI39" i="1"/>
  <c r="AI16" i="1"/>
  <c r="U16" i="1"/>
  <c r="AI7" i="1"/>
  <c r="U7" i="1"/>
  <c r="AI19" i="1"/>
  <c r="U19" i="1"/>
  <c r="V7" i="1"/>
  <c r="V28" i="1"/>
  <c r="V8" i="1"/>
  <c r="V27" i="1"/>
  <c r="R36" i="1"/>
  <c r="V29" i="1"/>
  <c r="R35" i="1"/>
  <c r="U37" i="1"/>
  <c r="V26" i="1"/>
  <c r="V13" i="1"/>
  <c r="U25" i="1"/>
  <c r="R5" i="1"/>
  <c r="U26" i="1"/>
  <c r="AI26" i="1"/>
  <c r="U40" i="1"/>
  <c r="U30" i="1"/>
  <c r="U20" i="1"/>
  <c r="U10" i="1"/>
  <c r="Q5" i="1"/>
  <c r="L5" i="1"/>
  <c r="AI24" i="1" l="1"/>
  <c r="AI23" i="1"/>
  <c r="U38" i="1"/>
  <c r="AI38" i="1"/>
  <c r="AI9" i="1"/>
  <c r="U9" i="1"/>
  <c r="AI11" i="1"/>
  <c r="U11" i="1"/>
  <c r="U22" i="1"/>
  <c r="AI22" i="1"/>
  <c r="AI35" i="1"/>
  <c r="U35" i="1"/>
  <c r="U12" i="1"/>
  <c r="AI12" i="1"/>
  <c r="U36" i="1"/>
  <c r="AI36" i="1"/>
  <c r="AI5" i="1" l="1"/>
</calcChain>
</file>

<file path=xl/sharedStrings.xml><?xml version="1.0" encoding="utf-8"?>
<sst xmlns="http://schemas.openxmlformats.org/spreadsheetml/2006/main" count="133" uniqueCount="84">
  <si>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</si>
  <si>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</si>
  <si>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</si>
  <si>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</si>
  <si>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</si>
  <si>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</si>
  <si>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</si>
  <si>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</si>
  <si>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</si>
  <si>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</si>
  <si>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</si>
  <si>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</si>
  <si>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</si>
  <si>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</si>
  <si>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</si>
  <si>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</si>
  <si>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</si>
  <si>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</si>
  <si>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</si>
  <si>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</si>
  <si>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</si>
  <si>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</si>
  <si>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</si>
  <si>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19,10,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</si>
  <si>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</si>
  <si>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</si>
  <si>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</si>
  <si>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</si>
  <si>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</si>
  <si>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</si>
  <si>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</si>
  <si>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</si>
  <si>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</si>
  <si>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</si>
  <si>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</si>
  <si>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</si>
  <si>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</si>
  <si>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</si>
  <si>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</si>
  <si>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нужно увеличить продажи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</si>
  <si>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</si>
  <si>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</si>
  <si>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</si>
  <si>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</si>
  <si>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</si>
  <si>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</si>
  <si>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</si>
  <si>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</si>
  <si>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</si>
  <si>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</si>
  <si>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</si>
  <si>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</si>
  <si>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</si>
  <si>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</si>
  <si>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</si>
  <si>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</si>
  <si>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</si>
  <si>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</si>
  <si>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</si>
  <si>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</si>
  <si>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</si>
  <si>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</si>
  <si>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</si>
  <si>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</si>
  <si>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</si>
  <si>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</si>
  <si>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</si>
  <si>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</si>
  <si>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</si>
  <si>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</si>
  <si>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28,09,26 завод не отгрузил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</si>
  <si>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</si>
  <si>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</si>
  <si>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</si>
  <si>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</si>
  <si>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</si>
  <si>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</si>
  <si>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132шт в уценку (04,08,26) / 400шт в уценку (24,07,26)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</si>
  <si>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18кг списано (29,08,26 инвенторизация)</t>
    </r>
  </si>
  <si>
    <t>нужно увеличить продажи / 127кг в уценке (04,09,26)</t>
  </si>
  <si>
    <t>предзаказ</t>
  </si>
  <si>
    <t>масло</t>
  </si>
  <si>
    <t>02,11,</t>
  </si>
  <si>
    <t xml:space="preserve">Есть потребность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</si>
</sst>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0" fontId="0" fillId="0" borderId="1" xfId="0" applyBorder="1"/>
    <xf numFmtId="164" fontId="1" fillId="0" borderId="4" xfId="1" applyNumberFormat="1" applyBorder="1"/>
    <xf numFmtId="164" fontId="1" fillId="0" borderId="3" xfId="1" applyNumberFormat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98"/>
  <sheetViews>
    <sheetView tabSelected="1" zoomScale="85" workbookViewId="0">
      <pane xSplit="2" ySplit="5" topLeftCell="P6" activePane="bottomRight" state="frozen"/>
      <selection pane="topRight"/>
      <selection pane="bottomLeft"/>
      <selection pane="bottomRight" activeCell="AG27" sqref="AG27"/>
    </sheetView>
  </sheetViews>
  <sheetFormatPr defaultRowHeight="14.4" x14ac:dyDescent="0.3"/>
  <cols>
    <col min="1" max="1" width="60" customWidth="1"/>
    <col min="2" max="2" width="3" customWidth="1"/>
    <col min="3" max="4" width="6" hidden="1" customWidth="1"/>
    <col min="5" max="6" width="7" hidden="1" customWidth="1"/>
    <col min="7" max="7" width="5" style="6" hidden="1" customWidth="1"/>
    <col min="8" max="8" width="5" hidden="1" customWidth="1"/>
    <col min="9" max="9" width="7.88671875" hidden="1" customWidth="1"/>
    <col min="10" max="10" width="1" hidden="1" customWidth="1"/>
    <col min="11" max="12" width="7" hidden="1" customWidth="1"/>
    <col min="13" max="14" width="0.44140625" hidden="1" customWidth="1"/>
    <col min="15" max="15" width="7" hidden="1" customWidth="1"/>
    <col min="16" max="19" width="7" customWidth="1"/>
    <col min="20" max="20" width="7" style="12" customWidth="1"/>
    <col min="21" max="22" width="5" customWidth="1"/>
    <col min="23" max="32" width="6" customWidth="1"/>
    <col min="33" max="33" width="20.6640625" style="12" customWidth="1"/>
    <col min="34" max="34" width="42.44140625" customWidth="1"/>
    <col min="35" max="35" width="7" customWidth="1"/>
    <col min="36" max="51" width="3" customWidth="1"/>
  </cols>
  <sheetData>
    <row r="1" spans="1:51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82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80</v>
      </c>
      <c r="T3" s="3"/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/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81</v>
      </c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3">
      <c r="A5" s="1"/>
      <c r="B5" s="1"/>
      <c r="C5" s="1"/>
      <c r="D5" s="1"/>
      <c r="E5" s="4">
        <f>SUM(E6:E498)</f>
        <v>1644.327</v>
      </c>
      <c r="F5" s="4">
        <f>SUM(F6:F498)</f>
        <v>3715.54</v>
      </c>
      <c r="G5" s="7"/>
      <c r="H5" s="1"/>
      <c r="I5" s="1"/>
      <c r="J5" s="1"/>
      <c r="K5" s="4">
        <f t="shared" ref="K5:S5" si="0">SUM(K6:K498)</f>
        <v>1819.1999999999998</v>
      </c>
      <c r="L5" s="4">
        <f t="shared" si="0"/>
        <v>-174.87299999999999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1473</v>
      </c>
      <c r="Q5" s="4">
        <f t="shared" si="0"/>
        <v>339.06539999999995</v>
      </c>
      <c r="R5" s="4">
        <f t="shared" si="0"/>
        <v>1714.0452000000002</v>
      </c>
      <c r="S5" s="4">
        <f t="shared" si="0"/>
        <v>70</v>
      </c>
      <c r="T5" s="4"/>
      <c r="U5" s="1"/>
      <c r="V5" s="1"/>
      <c r="W5" s="4">
        <f t="shared" ref="W5:AF5" si="1">SUM(W6:W498)</f>
        <v>318.79100000000005</v>
      </c>
      <c r="X5" s="4">
        <f t="shared" si="1"/>
        <v>298.00299999999999</v>
      </c>
      <c r="Y5" s="4">
        <f t="shared" si="1"/>
        <v>305.68039999999996</v>
      </c>
      <c r="Z5" s="4">
        <f t="shared" si="1"/>
        <v>255.13099999999997</v>
      </c>
      <c r="AA5" s="4">
        <f t="shared" si="1"/>
        <v>344.86660000000001</v>
      </c>
      <c r="AB5" s="4">
        <f t="shared" si="1"/>
        <v>356.29920000000016</v>
      </c>
      <c r="AC5" s="4">
        <f t="shared" si="1"/>
        <v>297.89479999999998</v>
      </c>
      <c r="AD5" s="4">
        <f t="shared" si="1"/>
        <v>334.9140000000001</v>
      </c>
      <c r="AE5" s="4">
        <f t="shared" si="1"/>
        <v>295.55619999999999</v>
      </c>
      <c r="AF5" s="4">
        <f t="shared" si="1"/>
        <v>290.54040000000003</v>
      </c>
      <c r="AG5" s="4"/>
      <c r="AH5" s="1"/>
      <c r="AI5" s="4">
        <f>SUM(AI6:AI498)</f>
        <v>435.01659999999993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3">
      <c r="A6" s="1" t="s">
        <v>35</v>
      </c>
      <c r="B6" s="1" t="s">
        <v>36</v>
      </c>
      <c r="C6" s="1">
        <v>29</v>
      </c>
      <c r="D6" s="1">
        <v>24</v>
      </c>
      <c r="E6" s="1">
        <v>5</v>
      </c>
      <c r="F6" s="1">
        <v>47</v>
      </c>
      <c r="G6" s="7">
        <v>5.5E-2</v>
      </c>
      <c r="H6" s="1">
        <v>120</v>
      </c>
      <c r="I6" s="1"/>
      <c r="J6" s="1"/>
      <c r="K6" s="1">
        <v>5</v>
      </c>
      <c r="L6" s="1">
        <f t="shared" ref="L6:L40" si="2">E6-K6</f>
        <v>0</v>
      </c>
      <c r="M6" s="1"/>
      <c r="N6" s="1"/>
      <c r="O6" s="1"/>
      <c r="P6" s="1"/>
      <c r="Q6" s="1">
        <f>E6/5</f>
        <v>1</v>
      </c>
      <c r="R6" s="5"/>
      <c r="S6" s="13"/>
      <c r="T6" s="14"/>
      <c r="U6" s="1">
        <f>(F6+O6+P6+R6)/Q6</f>
        <v>47</v>
      </c>
      <c r="V6" s="1">
        <f>(F6+O6+P6)/Q6</f>
        <v>47</v>
      </c>
      <c r="W6" s="1">
        <v>0.4</v>
      </c>
      <c r="X6" s="1">
        <v>1.2</v>
      </c>
      <c r="Y6" s="1">
        <v>2.2000000000000002</v>
      </c>
      <c r="Z6" s="1">
        <v>0.2</v>
      </c>
      <c r="AA6" s="1">
        <v>3.2</v>
      </c>
      <c r="AB6" s="1">
        <v>0.4</v>
      </c>
      <c r="AC6" s="1">
        <v>2.4</v>
      </c>
      <c r="AD6" s="1">
        <v>1.6</v>
      </c>
      <c r="AE6" s="1">
        <v>0</v>
      </c>
      <c r="AF6" s="1">
        <v>1.8</v>
      </c>
      <c r="AG6" s="1"/>
      <c r="AH6" s="10" t="s">
        <v>37</v>
      </c>
      <c r="AI6" s="1">
        <f t="shared" ref="AI6:AI40" si="3">G6*R6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3">
      <c r="A7" s="1" t="s">
        <v>38</v>
      </c>
      <c r="B7" s="1" t="s">
        <v>36</v>
      </c>
      <c r="C7" s="1">
        <v>49</v>
      </c>
      <c r="D7" s="1"/>
      <c r="E7" s="1">
        <v>18</v>
      </c>
      <c r="F7" s="1">
        <v>30</v>
      </c>
      <c r="G7" s="7">
        <v>0.1</v>
      </c>
      <c r="H7" s="1">
        <v>120</v>
      </c>
      <c r="I7" s="1"/>
      <c r="J7" s="1"/>
      <c r="K7" s="1">
        <v>18</v>
      </c>
      <c r="L7" s="1">
        <f t="shared" si="2"/>
        <v>0</v>
      </c>
      <c r="M7" s="1"/>
      <c r="N7" s="1"/>
      <c r="O7" s="1"/>
      <c r="P7" s="1"/>
      <c r="Q7" s="1">
        <f t="shared" ref="Q7:Q40" si="4">E7/5</f>
        <v>3.6</v>
      </c>
      <c r="R7" s="5">
        <f t="shared" ref="R7:R37" si="5">17*Q7-P7-O7-F7</f>
        <v>31.200000000000003</v>
      </c>
      <c r="S7" s="13"/>
      <c r="T7" s="14"/>
      <c r="U7" s="1">
        <f t="shared" ref="U7:U40" si="6">(F7+O7+P7+R7)/Q7</f>
        <v>17</v>
      </c>
      <c r="V7" s="1">
        <f t="shared" ref="V7:V40" si="7">(F7+O7+P7)/Q7</f>
        <v>8.3333333333333339</v>
      </c>
      <c r="W7" s="1">
        <v>1.8</v>
      </c>
      <c r="X7" s="1">
        <v>2.4</v>
      </c>
      <c r="Y7" s="1">
        <v>2.8</v>
      </c>
      <c r="Z7" s="1">
        <v>2</v>
      </c>
      <c r="AA7" s="1">
        <v>5.6</v>
      </c>
      <c r="AB7" s="1">
        <v>6.2</v>
      </c>
      <c r="AC7" s="1">
        <v>4</v>
      </c>
      <c r="AD7" s="1">
        <v>9.4</v>
      </c>
      <c r="AE7" s="1">
        <v>0.4</v>
      </c>
      <c r="AF7" s="1">
        <v>0</v>
      </c>
      <c r="AG7" s="1"/>
      <c r="AH7" s="1"/>
      <c r="AI7" s="1">
        <f t="shared" si="3"/>
        <v>3.1200000000000006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3">
      <c r="A8" s="1" t="s">
        <v>40</v>
      </c>
      <c r="B8" s="1" t="s">
        <v>36</v>
      </c>
      <c r="C8" s="1">
        <v>63</v>
      </c>
      <c r="D8" s="1"/>
      <c r="E8" s="1">
        <v>21</v>
      </c>
      <c r="F8" s="1">
        <v>42</v>
      </c>
      <c r="G8" s="7">
        <v>0.1</v>
      </c>
      <c r="H8" s="1">
        <v>120</v>
      </c>
      <c r="I8" s="1"/>
      <c r="J8" s="1"/>
      <c r="K8" s="1">
        <v>21</v>
      </c>
      <c r="L8" s="1">
        <f t="shared" si="2"/>
        <v>0</v>
      </c>
      <c r="M8" s="1"/>
      <c r="N8" s="1"/>
      <c r="O8" s="1"/>
      <c r="P8" s="1"/>
      <c r="Q8" s="1">
        <f t="shared" si="4"/>
        <v>4.2</v>
      </c>
      <c r="R8" s="5">
        <f>15*Q8-P8-O8-F8</f>
        <v>21</v>
      </c>
      <c r="S8" s="13"/>
      <c r="T8" s="14"/>
      <c r="U8" s="1">
        <f t="shared" si="6"/>
        <v>15</v>
      </c>
      <c r="V8" s="1">
        <f t="shared" si="7"/>
        <v>10</v>
      </c>
      <c r="W8" s="1">
        <v>0.2</v>
      </c>
      <c r="X8" s="1">
        <v>1.4</v>
      </c>
      <c r="Y8" s="1">
        <v>2.4</v>
      </c>
      <c r="Z8" s="1">
        <v>1.4</v>
      </c>
      <c r="AA8" s="1">
        <v>2.6</v>
      </c>
      <c r="AB8" s="1">
        <v>4.8</v>
      </c>
      <c r="AC8" s="1">
        <v>3.4</v>
      </c>
      <c r="AD8" s="1">
        <v>7.6</v>
      </c>
      <c r="AE8" s="1">
        <v>0.4</v>
      </c>
      <c r="AF8" s="1">
        <v>0.2</v>
      </c>
      <c r="AG8" s="1"/>
      <c r="AH8" s="1"/>
      <c r="AI8" s="1">
        <f t="shared" si="3"/>
        <v>2.1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3">
      <c r="A9" s="1" t="s">
        <v>41</v>
      </c>
      <c r="B9" s="1" t="s">
        <v>42</v>
      </c>
      <c r="C9" s="1">
        <v>419.17500000000001</v>
      </c>
      <c r="D9" s="1">
        <v>57.09</v>
      </c>
      <c r="E9" s="1">
        <v>50.875</v>
      </c>
      <c r="F9" s="1">
        <v>415.76400000000001</v>
      </c>
      <c r="G9" s="7">
        <v>1</v>
      </c>
      <c r="H9" s="1">
        <v>120</v>
      </c>
      <c r="I9" s="1"/>
      <c r="J9" s="1"/>
      <c r="K9" s="1">
        <v>51.9</v>
      </c>
      <c r="L9" s="1">
        <f t="shared" si="2"/>
        <v>-1.0249999999999986</v>
      </c>
      <c r="M9" s="1"/>
      <c r="N9" s="1"/>
      <c r="O9" s="1">
        <v>-320</v>
      </c>
      <c r="P9" s="1">
        <v>80</v>
      </c>
      <c r="Q9" s="1">
        <f t="shared" si="4"/>
        <v>10.175000000000001</v>
      </c>
      <c r="R9" s="5"/>
      <c r="S9" s="13"/>
      <c r="T9" s="14">
        <v>70</v>
      </c>
      <c r="U9" s="1">
        <f t="shared" si="6"/>
        <v>17.274103194103194</v>
      </c>
      <c r="V9" s="1">
        <f t="shared" si="7"/>
        <v>17.274103194103194</v>
      </c>
      <c r="W9" s="1">
        <v>9.1402000000000001</v>
      </c>
      <c r="X9" s="1">
        <v>10.6038</v>
      </c>
      <c r="Y9" s="1">
        <v>8.9152000000000005</v>
      </c>
      <c r="Z9" s="1">
        <v>4.7877999999999998</v>
      </c>
      <c r="AA9" s="1">
        <v>13.945</v>
      </c>
      <c r="AB9" s="1">
        <v>3.8052000000000001</v>
      </c>
      <c r="AC9" s="1">
        <v>0</v>
      </c>
      <c r="AD9" s="1">
        <v>8.1988000000000003</v>
      </c>
      <c r="AE9" s="1">
        <v>12.0482</v>
      </c>
      <c r="AF9" s="1">
        <v>5.5632000000000001</v>
      </c>
      <c r="AG9" s="1" t="s">
        <v>83</v>
      </c>
      <c r="AH9" s="1" t="s">
        <v>43</v>
      </c>
      <c r="AI9" s="1">
        <f t="shared" si="3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3">
      <c r="A10" s="1" t="s">
        <v>44</v>
      </c>
      <c r="B10" s="1" t="s">
        <v>42</v>
      </c>
      <c r="C10" s="1">
        <v>56.118000000000002</v>
      </c>
      <c r="D10" s="1"/>
      <c r="E10" s="1">
        <v>15.23</v>
      </c>
      <c r="F10" s="1">
        <v>38.042000000000002</v>
      </c>
      <c r="G10" s="7">
        <v>1</v>
      </c>
      <c r="H10" s="1">
        <v>180</v>
      </c>
      <c r="I10" s="1"/>
      <c r="J10" s="1"/>
      <c r="K10" s="1">
        <v>16.600000000000001</v>
      </c>
      <c r="L10" s="1">
        <f t="shared" si="2"/>
        <v>-1.370000000000001</v>
      </c>
      <c r="M10" s="1"/>
      <c r="N10" s="1"/>
      <c r="O10" s="1"/>
      <c r="P10" s="1">
        <v>16</v>
      </c>
      <c r="Q10" s="1">
        <f t="shared" si="4"/>
        <v>3.0460000000000003</v>
      </c>
      <c r="R10" s="5"/>
      <c r="S10" s="13"/>
      <c r="T10" s="14"/>
      <c r="U10" s="1">
        <f t="shared" si="6"/>
        <v>17.741956664478003</v>
      </c>
      <c r="V10" s="1">
        <f t="shared" si="7"/>
        <v>17.741956664478003</v>
      </c>
      <c r="W10" s="1">
        <v>3.5596000000000001</v>
      </c>
      <c r="X10" s="1">
        <v>2.3111999999999999</v>
      </c>
      <c r="Y10" s="1">
        <v>3.9127999999999998</v>
      </c>
      <c r="Z10" s="1">
        <v>4.5728</v>
      </c>
      <c r="AA10" s="1">
        <v>6.242</v>
      </c>
      <c r="AB10" s="1">
        <v>3.8908</v>
      </c>
      <c r="AC10" s="1">
        <v>3.9020000000000001</v>
      </c>
      <c r="AD10" s="1">
        <v>4.0808</v>
      </c>
      <c r="AE10" s="1">
        <v>2.5880000000000001</v>
      </c>
      <c r="AF10" s="1">
        <v>2.6507999999999998</v>
      </c>
      <c r="AG10" s="1"/>
      <c r="AH10" s="1"/>
      <c r="AI10" s="1">
        <f t="shared" si="3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3">
      <c r="A11" s="1" t="s">
        <v>45</v>
      </c>
      <c r="B11" s="1" t="s">
        <v>36</v>
      </c>
      <c r="C11" s="1">
        <v>30</v>
      </c>
      <c r="D11" s="1"/>
      <c r="E11" s="1"/>
      <c r="F11" s="1"/>
      <c r="G11" s="7">
        <v>0.82450000000000001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/>
      <c r="Q11" s="1">
        <f t="shared" si="4"/>
        <v>0</v>
      </c>
      <c r="R11" s="5">
        <v>10</v>
      </c>
      <c r="S11" s="13"/>
      <c r="T11" s="14"/>
      <c r="U11" s="1" t="e">
        <f t="shared" si="6"/>
        <v>#DIV/0!</v>
      </c>
      <c r="V11" s="1" t="e">
        <f t="shared" si="7"/>
        <v>#DIV/0!</v>
      </c>
      <c r="W11" s="1">
        <v>0</v>
      </c>
      <c r="X11" s="1">
        <v>0.8</v>
      </c>
      <c r="Y11" s="1">
        <v>0</v>
      </c>
      <c r="Z11" s="1">
        <v>0.8</v>
      </c>
      <c r="AA11" s="1">
        <v>0.4</v>
      </c>
      <c r="AB11" s="1">
        <v>0.8</v>
      </c>
      <c r="AC11" s="1">
        <v>1</v>
      </c>
      <c r="AD11" s="1">
        <v>1</v>
      </c>
      <c r="AE11" s="1">
        <v>3</v>
      </c>
      <c r="AF11" s="1">
        <v>1.4</v>
      </c>
      <c r="AG11" s="1"/>
      <c r="AH11" s="1"/>
      <c r="AI11" s="1">
        <f t="shared" si="3"/>
        <v>8.245000000000001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3">
      <c r="A12" s="1" t="s">
        <v>46</v>
      </c>
      <c r="B12" s="1" t="s">
        <v>36</v>
      </c>
      <c r="C12" s="1">
        <v>438</v>
      </c>
      <c r="D12" s="1"/>
      <c r="E12" s="1">
        <v>78</v>
      </c>
      <c r="F12" s="1">
        <v>319</v>
      </c>
      <c r="G12" s="7">
        <v>0.372</v>
      </c>
      <c r="H12" s="1">
        <v>180</v>
      </c>
      <c r="I12" s="1"/>
      <c r="J12" s="1"/>
      <c r="K12" s="1">
        <v>78</v>
      </c>
      <c r="L12" s="1">
        <f t="shared" si="2"/>
        <v>0</v>
      </c>
      <c r="M12" s="1"/>
      <c r="N12" s="1"/>
      <c r="O12" s="1"/>
      <c r="P12" s="1"/>
      <c r="Q12" s="1">
        <f t="shared" si="4"/>
        <v>15.6</v>
      </c>
      <c r="R12" s="5"/>
      <c r="S12" s="13"/>
      <c r="T12" s="14"/>
      <c r="U12" s="1">
        <f t="shared" si="6"/>
        <v>20.448717948717949</v>
      </c>
      <c r="V12" s="1">
        <f t="shared" si="7"/>
        <v>20.448717948717949</v>
      </c>
      <c r="W12" s="1">
        <v>18</v>
      </c>
      <c r="X12" s="1">
        <v>14.2</v>
      </c>
      <c r="Y12" s="1">
        <v>13.6</v>
      </c>
      <c r="Z12" s="1">
        <v>0</v>
      </c>
      <c r="AA12" s="1">
        <v>16.8</v>
      </c>
      <c r="AB12" s="1">
        <v>32.200000000000003</v>
      </c>
      <c r="AC12" s="1">
        <v>13.2</v>
      </c>
      <c r="AD12" s="1">
        <v>15</v>
      </c>
      <c r="AE12" s="1">
        <v>22.8</v>
      </c>
      <c r="AF12" s="1">
        <v>15.2</v>
      </c>
      <c r="AG12" s="1"/>
      <c r="AH12" s="11" t="s">
        <v>39</v>
      </c>
      <c r="AI12" s="1">
        <f t="shared" si="3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3">
      <c r="A13" s="1" t="s">
        <v>47</v>
      </c>
      <c r="B13" s="1" t="s">
        <v>36</v>
      </c>
      <c r="C13" s="1">
        <v>385</v>
      </c>
      <c r="D13" s="1"/>
      <c r="E13" s="1">
        <v>83</v>
      </c>
      <c r="F13" s="1">
        <v>290</v>
      </c>
      <c r="G13" s="7">
        <v>0.74399999999999999</v>
      </c>
      <c r="H13" s="1">
        <v>180</v>
      </c>
      <c r="I13" s="1"/>
      <c r="J13" s="1"/>
      <c r="K13" s="1">
        <v>83</v>
      </c>
      <c r="L13" s="1">
        <f t="shared" si="2"/>
        <v>0</v>
      </c>
      <c r="M13" s="1"/>
      <c r="N13" s="1"/>
      <c r="O13" s="1"/>
      <c r="P13" s="1"/>
      <c r="Q13" s="1">
        <f t="shared" si="4"/>
        <v>16.600000000000001</v>
      </c>
      <c r="R13" s="5"/>
      <c r="S13" s="13"/>
      <c r="T13" s="14"/>
      <c r="U13" s="1">
        <f t="shared" si="6"/>
        <v>17.469879518072286</v>
      </c>
      <c r="V13" s="1">
        <f t="shared" si="7"/>
        <v>17.469879518072286</v>
      </c>
      <c r="W13" s="1">
        <v>16.600000000000001</v>
      </c>
      <c r="X13" s="1">
        <v>3.6</v>
      </c>
      <c r="Y13" s="1">
        <v>24</v>
      </c>
      <c r="Z13" s="1">
        <v>16.399999999999999</v>
      </c>
      <c r="AA13" s="1">
        <v>8.1999999999999993</v>
      </c>
      <c r="AB13" s="1">
        <v>16.600000000000001</v>
      </c>
      <c r="AC13" s="1">
        <v>5.2</v>
      </c>
      <c r="AD13" s="1">
        <v>7</v>
      </c>
      <c r="AE13" s="1">
        <v>12.6</v>
      </c>
      <c r="AF13" s="1">
        <v>4.2</v>
      </c>
      <c r="AG13" s="1"/>
      <c r="AH13" s="1"/>
      <c r="AI13" s="1">
        <f t="shared" si="3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3">
      <c r="A14" s="1" t="s">
        <v>48</v>
      </c>
      <c r="B14" s="1" t="s">
        <v>36</v>
      </c>
      <c r="C14" s="1">
        <v>491</v>
      </c>
      <c r="D14" s="1">
        <v>12</v>
      </c>
      <c r="E14" s="1">
        <v>203</v>
      </c>
      <c r="F14" s="1">
        <v>223</v>
      </c>
      <c r="G14" s="7">
        <v>0.372</v>
      </c>
      <c r="H14" s="1">
        <v>180</v>
      </c>
      <c r="I14" s="1"/>
      <c r="J14" s="1"/>
      <c r="K14" s="1">
        <v>203</v>
      </c>
      <c r="L14" s="1">
        <f t="shared" si="2"/>
        <v>0</v>
      </c>
      <c r="M14" s="1"/>
      <c r="N14" s="1"/>
      <c r="O14" s="1"/>
      <c r="P14" s="1"/>
      <c r="Q14" s="1">
        <f t="shared" si="4"/>
        <v>40.6</v>
      </c>
      <c r="R14" s="5">
        <f t="shared" si="5"/>
        <v>467.20000000000005</v>
      </c>
      <c r="S14" s="13"/>
      <c r="T14" s="14"/>
      <c r="U14" s="1">
        <f t="shared" si="6"/>
        <v>17</v>
      </c>
      <c r="V14" s="1">
        <f t="shared" si="7"/>
        <v>5.4926108374384235</v>
      </c>
      <c r="W14" s="1">
        <v>24.8</v>
      </c>
      <c r="X14" s="1">
        <v>34.4</v>
      </c>
      <c r="Y14" s="1">
        <v>39.200000000000003</v>
      </c>
      <c r="Z14" s="1">
        <v>9.4</v>
      </c>
      <c r="AA14" s="1">
        <v>41.6</v>
      </c>
      <c r="AB14" s="1">
        <v>55.2</v>
      </c>
      <c r="AC14" s="1">
        <v>32.6</v>
      </c>
      <c r="AD14" s="1">
        <v>31.8</v>
      </c>
      <c r="AE14" s="1">
        <v>48.2</v>
      </c>
      <c r="AF14" s="1">
        <v>30.2</v>
      </c>
      <c r="AG14" s="1"/>
      <c r="AH14" s="1"/>
      <c r="AI14" s="1">
        <f t="shared" si="3"/>
        <v>173.79840000000002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3">
      <c r="A15" s="1" t="s">
        <v>49</v>
      </c>
      <c r="B15" s="1" t="s">
        <v>36</v>
      </c>
      <c r="C15" s="1">
        <v>158</v>
      </c>
      <c r="D15" s="1">
        <v>228</v>
      </c>
      <c r="E15" s="1">
        <v>156</v>
      </c>
      <c r="F15" s="1">
        <v>228</v>
      </c>
      <c r="G15" s="7">
        <v>0.74399999999999999</v>
      </c>
      <c r="H15" s="1">
        <v>180</v>
      </c>
      <c r="I15" s="1"/>
      <c r="J15" s="1"/>
      <c r="K15" s="1">
        <v>161</v>
      </c>
      <c r="L15" s="1">
        <f t="shared" si="2"/>
        <v>-5</v>
      </c>
      <c r="M15" s="1"/>
      <c r="N15" s="1"/>
      <c r="O15" s="1"/>
      <c r="P15" s="1">
        <v>384</v>
      </c>
      <c r="Q15" s="1">
        <f t="shared" si="4"/>
        <v>31.2</v>
      </c>
      <c r="R15" s="5"/>
      <c r="S15" s="13"/>
      <c r="T15" s="14"/>
      <c r="U15" s="1">
        <f t="shared" si="6"/>
        <v>19.615384615384617</v>
      </c>
      <c r="V15" s="1">
        <f t="shared" si="7"/>
        <v>19.615384615384617</v>
      </c>
      <c r="W15" s="1">
        <v>43.8</v>
      </c>
      <c r="X15" s="1">
        <v>32.4</v>
      </c>
      <c r="Y15" s="1">
        <v>10.199999999999999</v>
      </c>
      <c r="Z15" s="1">
        <v>38.200000000000003</v>
      </c>
      <c r="AA15" s="1">
        <v>27</v>
      </c>
      <c r="AB15" s="1">
        <v>21.6</v>
      </c>
      <c r="AC15" s="1">
        <v>31.8</v>
      </c>
      <c r="AD15" s="1">
        <v>35.200000000000003</v>
      </c>
      <c r="AE15" s="1">
        <v>35.200000000000003</v>
      </c>
      <c r="AF15" s="1">
        <v>38.799999999999997</v>
      </c>
      <c r="AG15" s="1"/>
      <c r="AH15" s="1"/>
      <c r="AI15" s="1">
        <f t="shared" si="3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3">
      <c r="A16" s="1" t="s">
        <v>50</v>
      </c>
      <c r="B16" s="1" t="s">
        <v>36</v>
      </c>
      <c r="C16" s="1">
        <v>165</v>
      </c>
      <c r="D16" s="1"/>
      <c r="E16" s="1">
        <v>48</v>
      </c>
      <c r="F16" s="1">
        <v>111</v>
      </c>
      <c r="G16" s="7">
        <v>0.18</v>
      </c>
      <c r="H16" s="1">
        <v>270</v>
      </c>
      <c r="I16" s="1"/>
      <c r="J16" s="1"/>
      <c r="K16" s="1">
        <v>56</v>
      </c>
      <c r="L16" s="1">
        <f t="shared" si="2"/>
        <v>-8</v>
      </c>
      <c r="M16" s="1"/>
      <c r="N16" s="1"/>
      <c r="O16" s="1"/>
      <c r="P16" s="1"/>
      <c r="Q16" s="1">
        <f t="shared" si="4"/>
        <v>9.6</v>
      </c>
      <c r="R16" s="5">
        <f t="shared" si="5"/>
        <v>52.199999999999989</v>
      </c>
      <c r="S16" s="13"/>
      <c r="T16" s="14"/>
      <c r="U16" s="1">
        <f t="shared" si="6"/>
        <v>17</v>
      </c>
      <c r="V16" s="1">
        <f t="shared" si="7"/>
        <v>11.5625</v>
      </c>
      <c r="W16" s="1">
        <v>4.4000000000000004</v>
      </c>
      <c r="X16" s="1">
        <v>9.6</v>
      </c>
      <c r="Y16" s="1">
        <v>11.2</v>
      </c>
      <c r="Z16" s="1">
        <v>5</v>
      </c>
      <c r="AA16" s="1">
        <v>3.4</v>
      </c>
      <c r="AB16" s="1">
        <v>12.4</v>
      </c>
      <c r="AC16" s="1">
        <v>4.5999999999999996</v>
      </c>
      <c r="AD16" s="1">
        <v>9.6</v>
      </c>
      <c r="AE16" s="1">
        <v>5.6</v>
      </c>
      <c r="AF16" s="1">
        <v>2.8</v>
      </c>
      <c r="AG16" s="1"/>
      <c r="AH16" s="1"/>
      <c r="AI16" s="1">
        <f t="shared" si="3"/>
        <v>9.3959999999999972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3">
      <c r="A17" s="1" t="s">
        <v>51</v>
      </c>
      <c r="B17" s="1" t="s">
        <v>36</v>
      </c>
      <c r="C17" s="1">
        <v>84</v>
      </c>
      <c r="D17" s="1">
        <v>102</v>
      </c>
      <c r="E17" s="1">
        <v>60</v>
      </c>
      <c r="F17" s="1">
        <v>112</v>
      </c>
      <c r="G17" s="7">
        <v>0.18</v>
      </c>
      <c r="H17" s="1">
        <v>180</v>
      </c>
      <c r="I17" s="1"/>
      <c r="J17" s="1"/>
      <c r="K17" s="1">
        <v>62</v>
      </c>
      <c r="L17" s="1">
        <f t="shared" si="2"/>
        <v>-2</v>
      </c>
      <c r="M17" s="1"/>
      <c r="N17" s="1"/>
      <c r="O17" s="1"/>
      <c r="P17" s="1">
        <v>410</v>
      </c>
      <c r="Q17" s="1">
        <f t="shared" si="4"/>
        <v>12</v>
      </c>
      <c r="R17" s="5"/>
      <c r="S17" s="13"/>
      <c r="T17" s="14"/>
      <c r="U17" s="1">
        <f>(F17+O17+P17+R17+S17)/Q17</f>
        <v>43.5</v>
      </c>
      <c r="V17" s="1">
        <f t="shared" si="7"/>
        <v>43.5</v>
      </c>
      <c r="W17" s="1">
        <v>34.799999999999997</v>
      </c>
      <c r="X17" s="1">
        <v>18.600000000000001</v>
      </c>
      <c r="Y17" s="1">
        <v>19.2</v>
      </c>
      <c r="Z17" s="1">
        <v>10.4</v>
      </c>
      <c r="AA17" s="1">
        <v>27.6</v>
      </c>
      <c r="AB17" s="1">
        <v>4</v>
      </c>
      <c r="AC17" s="1">
        <v>6.6</v>
      </c>
      <c r="AD17" s="1">
        <v>28.6</v>
      </c>
      <c r="AE17" s="1">
        <v>10.199999999999999</v>
      </c>
      <c r="AF17" s="1">
        <v>10.199999999999999</v>
      </c>
      <c r="AG17" s="1"/>
      <c r="AH17" s="11" t="s">
        <v>39</v>
      </c>
      <c r="AI17" s="1">
        <f t="shared" si="3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3">
      <c r="A18" s="1" t="s">
        <v>52</v>
      </c>
      <c r="B18" s="1" t="s">
        <v>36</v>
      </c>
      <c r="C18" s="1">
        <v>30</v>
      </c>
      <c r="D18" s="1">
        <v>212</v>
      </c>
      <c r="E18" s="1">
        <v>24</v>
      </c>
      <c r="F18" s="1">
        <v>214</v>
      </c>
      <c r="G18" s="7">
        <v>0.18</v>
      </c>
      <c r="H18" s="1">
        <v>180</v>
      </c>
      <c r="I18" s="1"/>
      <c r="J18" s="1"/>
      <c r="K18" s="1">
        <v>64</v>
      </c>
      <c r="L18" s="1">
        <f t="shared" si="2"/>
        <v>-40</v>
      </c>
      <c r="M18" s="1"/>
      <c r="N18" s="1"/>
      <c r="O18" s="1"/>
      <c r="P18" s="1"/>
      <c r="Q18" s="1">
        <v>15</v>
      </c>
      <c r="R18" s="5">
        <v>40</v>
      </c>
      <c r="S18" s="13">
        <v>70</v>
      </c>
      <c r="T18" s="14"/>
      <c r="U18" s="1">
        <f>(F18+O18+P18+R18+S18)/Q18</f>
        <v>21.6</v>
      </c>
      <c r="V18" s="1">
        <f t="shared" si="7"/>
        <v>14.266666666666667</v>
      </c>
      <c r="W18" s="1">
        <v>12.4</v>
      </c>
      <c r="X18" s="1">
        <v>21.2</v>
      </c>
      <c r="Y18" s="1">
        <v>9.8000000000000007</v>
      </c>
      <c r="Z18" s="1">
        <v>0.2</v>
      </c>
      <c r="AA18" s="1">
        <v>15</v>
      </c>
      <c r="AB18" s="1">
        <v>4.8</v>
      </c>
      <c r="AC18" s="1">
        <v>6.8</v>
      </c>
      <c r="AD18" s="1">
        <v>9.8000000000000007</v>
      </c>
      <c r="AE18" s="1">
        <v>5.6</v>
      </c>
      <c r="AF18" s="1">
        <v>-5.4</v>
      </c>
      <c r="AG18" s="1"/>
      <c r="AH18" s="11" t="s">
        <v>77</v>
      </c>
      <c r="AI18" s="1">
        <f t="shared" si="3"/>
        <v>7.1999999999999993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3">
      <c r="A19" s="1" t="s">
        <v>53</v>
      </c>
      <c r="B19" s="1" t="s">
        <v>36</v>
      </c>
      <c r="C19" s="1">
        <v>12</v>
      </c>
      <c r="D19" s="1"/>
      <c r="E19" s="1">
        <v>2</v>
      </c>
      <c r="F19" s="1">
        <v>10</v>
      </c>
      <c r="G19" s="7">
        <v>0.4</v>
      </c>
      <c r="H19" s="1">
        <v>270</v>
      </c>
      <c r="I19" s="1"/>
      <c r="J19" s="1"/>
      <c r="K19" s="1">
        <v>2</v>
      </c>
      <c r="L19" s="1">
        <f t="shared" si="2"/>
        <v>0</v>
      </c>
      <c r="M19" s="1"/>
      <c r="N19" s="1"/>
      <c r="O19" s="1"/>
      <c r="P19" s="1"/>
      <c r="Q19" s="1">
        <f t="shared" si="4"/>
        <v>0.4</v>
      </c>
      <c r="R19" s="5"/>
      <c r="S19" s="13"/>
      <c r="T19" s="14"/>
      <c r="U19" s="1">
        <f t="shared" si="6"/>
        <v>25</v>
      </c>
      <c r="V19" s="1">
        <f t="shared" si="7"/>
        <v>25</v>
      </c>
      <c r="W19" s="1">
        <v>0.4</v>
      </c>
      <c r="X19" s="1">
        <v>0</v>
      </c>
      <c r="Y19" s="1">
        <v>0</v>
      </c>
      <c r="Z19" s="1">
        <v>0.8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/>
      <c r="AH19" s="10" t="s">
        <v>37</v>
      </c>
      <c r="AI19" s="1">
        <f t="shared" si="3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3">
      <c r="A20" s="1" t="s">
        <v>54</v>
      </c>
      <c r="B20" s="1" t="s">
        <v>36</v>
      </c>
      <c r="C20" s="1">
        <v>37</v>
      </c>
      <c r="D20" s="1"/>
      <c r="E20" s="1">
        <v>5</v>
      </c>
      <c r="F20" s="1">
        <v>32</v>
      </c>
      <c r="G20" s="7">
        <v>0.4</v>
      </c>
      <c r="H20" s="1">
        <v>270</v>
      </c>
      <c r="I20" s="1"/>
      <c r="J20" s="1"/>
      <c r="K20" s="1">
        <v>5</v>
      </c>
      <c r="L20" s="1">
        <f t="shared" si="2"/>
        <v>0</v>
      </c>
      <c r="M20" s="1"/>
      <c r="N20" s="1"/>
      <c r="O20" s="1"/>
      <c r="P20" s="1"/>
      <c r="Q20" s="1">
        <f t="shared" si="4"/>
        <v>1</v>
      </c>
      <c r="R20" s="5"/>
      <c r="S20" s="13"/>
      <c r="T20" s="14"/>
      <c r="U20" s="1">
        <f t="shared" si="6"/>
        <v>32</v>
      </c>
      <c r="V20" s="1">
        <f t="shared" si="7"/>
        <v>32</v>
      </c>
      <c r="W20" s="1">
        <v>0.6</v>
      </c>
      <c r="X20" s="1">
        <v>1.4</v>
      </c>
      <c r="Y20" s="1">
        <v>1.6</v>
      </c>
      <c r="Z20" s="1">
        <v>0.6</v>
      </c>
      <c r="AA20" s="1">
        <v>0.6</v>
      </c>
      <c r="AB20" s="1">
        <v>0.8</v>
      </c>
      <c r="AC20" s="1">
        <v>1</v>
      </c>
      <c r="AD20" s="1">
        <v>0.8</v>
      </c>
      <c r="AE20" s="1">
        <v>0.4</v>
      </c>
      <c r="AF20" s="1">
        <v>3.8</v>
      </c>
      <c r="AG20" s="1"/>
      <c r="AH20" s="10" t="s">
        <v>37</v>
      </c>
      <c r="AI20" s="1">
        <f t="shared" si="3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3">
      <c r="A21" s="1" t="s">
        <v>55</v>
      </c>
      <c r="B21" s="1" t="s">
        <v>36</v>
      </c>
      <c r="C21" s="1">
        <v>28</v>
      </c>
      <c r="D21" s="1">
        <v>65</v>
      </c>
      <c r="E21" s="1">
        <v>16</v>
      </c>
      <c r="F21" s="1">
        <v>69</v>
      </c>
      <c r="G21" s="7">
        <v>0.18</v>
      </c>
      <c r="H21" s="1">
        <v>150</v>
      </c>
      <c r="I21" s="1"/>
      <c r="J21" s="1"/>
      <c r="K21" s="1">
        <v>17</v>
      </c>
      <c r="L21" s="1">
        <f t="shared" si="2"/>
        <v>-1</v>
      </c>
      <c r="M21" s="1"/>
      <c r="N21" s="1"/>
      <c r="O21" s="1"/>
      <c r="P21" s="1"/>
      <c r="Q21" s="1">
        <f t="shared" si="4"/>
        <v>3.2</v>
      </c>
      <c r="R21" s="5"/>
      <c r="S21" s="13"/>
      <c r="T21" s="14"/>
      <c r="U21" s="1">
        <f t="shared" si="6"/>
        <v>21.5625</v>
      </c>
      <c r="V21" s="1">
        <f t="shared" si="7"/>
        <v>21.5625</v>
      </c>
      <c r="W21" s="1">
        <v>0.4</v>
      </c>
      <c r="X21" s="1">
        <v>3</v>
      </c>
      <c r="Y21" s="1">
        <v>0.8</v>
      </c>
      <c r="Z21" s="1">
        <v>3.2</v>
      </c>
      <c r="AA21" s="1">
        <v>4.5999999999999996</v>
      </c>
      <c r="AB21" s="1">
        <v>0</v>
      </c>
      <c r="AC21" s="1">
        <v>0</v>
      </c>
      <c r="AD21" s="1">
        <v>2.6</v>
      </c>
      <c r="AE21" s="1">
        <v>0.8</v>
      </c>
      <c r="AF21" s="1">
        <v>4.2</v>
      </c>
      <c r="AG21" s="1"/>
      <c r="AH21" s="1"/>
      <c r="AI21" s="1">
        <f t="shared" si="3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3">
      <c r="A22" s="1" t="s">
        <v>56</v>
      </c>
      <c r="B22" s="1" t="s">
        <v>36</v>
      </c>
      <c r="C22" s="1">
        <v>123</v>
      </c>
      <c r="D22" s="1"/>
      <c r="E22" s="1">
        <v>20</v>
      </c>
      <c r="F22" s="1">
        <v>103</v>
      </c>
      <c r="G22" s="7">
        <v>0.1</v>
      </c>
      <c r="H22" s="1">
        <v>90</v>
      </c>
      <c r="I22" s="1"/>
      <c r="J22" s="1"/>
      <c r="K22" s="1">
        <v>20</v>
      </c>
      <c r="L22" s="1">
        <f t="shared" si="2"/>
        <v>0</v>
      </c>
      <c r="M22" s="1"/>
      <c r="N22" s="1"/>
      <c r="O22" s="1"/>
      <c r="P22" s="1"/>
      <c r="Q22" s="1">
        <f t="shared" si="4"/>
        <v>4</v>
      </c>
      <c r="R22" s="5"/>
      <c r="S22" s="13"/>
      <c r="T22" s="14"/>
      <c r="U22" s="1">
        <f t="shared" si="6"/>
        <v>25.75</v>
      </c>
      <c r="V22" s="1">
        <f t="shared" si="7"/>
        <v>25.75</v>
      </c>
      <c r="W22" s="1">
        <v>3</v>
      </c>
      <c r="X22" s="1">
        <v>4.5999999999999996</v>
      </c>
      <c r="Y22" s="1">
        <v>9.1999999999999993</v>
      </c>
      <c r="Z22" s="1">
        <v>1.6</v>
      </c>
      <c r="AA22" s="1">
        <v>8.6</v>
      </c>
      <c r="AB22" s="1">
        <v>7.8</v>
      </c>
      <c r="AC22" s="1">
        <v>8</v>
      </c>
      <c r="AD22" s="1">
        <v>7.2</v>
      </c>
      <c r="AE22" s="1">
        <v>6.6</v>
      </c>
      <c r="AF22" s="1">
        <v>9.4</v>
      </c>
      <c r="AG22" s="1"/>
      <c r="AH22" s="10" t="s">
        <v>37</v>
      </c>
      <c r="AI22" s="1">
        <f t="shared" si="3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3">
      <c r="A23" s="1" t="s">
        <v>57</v>
      </c>
      <c r="B23" s="1" t="s">
        <v>36</v>
      </c>
      <c r="C23" s="1">
        <v>250</v>
      </c>
      <c r="D23" s="1">
        <v>1</v>
      </c>
      <c r="E23" s="1">
        <v>137</v>
      </c>
      <c r="F23" s="1">
        <v>99</v>
      </c>
      <c r="G23" s="7">
        <v>0.18</v>
      </c>
      <c r="H23" s="1">
        <v>150</v>
      </c>
      <c r="I23" s="1"/>
      <c r="J23" s="1"/>
      <c r="K23" s="1">
        <v>140</v>
      </c>
      <c r="L23" s="1">
        <f t="shared" si="2"/>
        <v>-3</v>
      </c>
      <c r="M23" s="1"/>
      <c r="N23" s="1"/>
      <c r="O23" s="1"/>
      <c r="P23" s="1">
        <v>160</v>
      </c>
      <c r="Q23" s="1">
        <f t="shared" si="4"/>
        <v>27.4</v>
      </c>
      <c r="R23" s="5">
        <f t="shared" si="5"/>
        <v>206.79999999999995</v>
      </c>
      <c r="S23" s="13"/>
      <c r="T23" s="14"/>
      <c r="U23" s="1">
        <f t="shared" si="6"/>
        <v>17</v>
      </c>
      <c r="V23" s="1">
        <f t="shared" si="7"/>
        <v>9.452554744525548</v>
      </c>
      <c r="W23" s="1">
        <v>23.8</v>
      </c>
      <c r="X23" s="1">
        <v>18.2</v>
      </c>
      <c r="Y23" s="1">
        <v>23.6</v>
      </c>
      <c r="Z23" s="1">
        <v>34</v>
      </c>
      <c r="AA23" s="1">
        <v>27.8</v>
      </c>
      <c r="AB23" s="1">
        <v>25</v>
      </c>
      <c r="AC23" s="1">
        <v>24</v>
      </c>
      <c r="AD23" s="1">
        <v>23.2</v>
      </c>
      <c r="AE23" s="1">
        <v>17.2</v>
      </c>
      <c r="AF23" s="1">
        <v>21.4</v>
      </c>
      <c r="AG23" s="1"/>
      <c r="AH23" s="1" t="s">
        <v>58</v>
      </c>
      <c r="AI23" s="1">
        <f t="shared" si="3"/>
        <v>37.22399999999999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3">
      <c r="A24" s="1" t="s">
        <v>59</v>
      </c>
      <c r="B24" s="1" t="s">
        <v>36</v>
      </c>
      <c r="C24" s="1">
        <v>122</v>
      </c>
      <c r="D24" s="1">
        <v>110</v>
      </c>
      <c r="E24" s="1">
        <v>108</v>
      </c>
      <c r="F24" s="1">
        <v>105</v>
      </c>
      <c r="G24" s="7">
        <v>0.18</v>
      </c>
      <c r="H24" s="1">
        <v>150</v>
      </c>
      <c r="I24" s="1"/>
      <c r="J24" s="1"/>
      <c r="K24" s="1">
        <v>109</v>
      </c>
      <c r="L24" s="1">
        <f t="shared" si="2"/>
        <v>-1</v>
      </c>
      <c r="M24" s="1"/>
      <c r="N24" s="1"/>
      <c r="O24" s="1"/>
      <c r="P24" s="1">
        <v>10</v>
      </c>
      <c r="Q24" s="1">
        <f t="shared" si="4"/>
        <v>21.6</v>
      </c>
      <c r="R24" s="5">
        <f t="shared" si="5"/>
        <v>252.20000000000005</v>
      </c>
      <c r="S24" s="13"/>
      <c r="T24" s="14"/>
      <c r="U24" s="1">
        <f t="shared" si="6"/>
        <v>17</v>
      </c>
      <c r="V24" s="1">
        <f t="shared" si="7"/>
        <v>5.3240740740740735</v>
      </c>
      <c r="W24" s="1">
        <v>14.2</v>
      </c>
      <c r="X24" s="1">
        <v>16.600000000000001</v>
      </c>
      <c r="Y24" s="1">
        <v>14.2</v>
      </c>
      <c r="Z24" s="1">
        <v>11.2</v>
      </c>
      <c r="AA24" s="1">
        <v>14.8</v>
      </c>
      <c r="AB24" s="1">
        <v>21.2</v>
      </c>
      <c r="AC24" s="1">
        <v>14.6</v>
      </c>
      <c r="AD24" s="1">
        <v>10.8</v>
      </c>
      <c r="AE24" s="1">
        <v>16.399999999999999</v>
      </c>
      <c r="AF24" s="1">
        <v>20.2</v>
      </c>
      <c r="AG24" s="1"/>
      <c r="AH24" s="1"/>
      <c r="AI24" s="1">
        <f t="shared" si="3"/>
        <v>45.396000000000008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3">
      <c r="A25" s="1" t="s">
        <v>60</v>
      </c>
      <c r="B25" s="1" t="s">
        <v>36</v>
      </c>
      <c r="C25" s="1">
        <v>102</v>
      </c>
      <c r="D25" s="1">
        <v>110</v>
      </c>
      <c r="E25" s="1">
        <v>71</v>
      </c>
      <c r="F25" s="1">
        <v>131</v>
      </c>
      <c r="G25" s="7">
        <v>0.18</v>
      </c>
      <c r="H25" s="1">
        <v>150</v>
      </c>
      <c r="I25" s="1"/>
      <c r="J25" s="1"/>
      <c r="K25" s="1">
        <v>71</v>
      </c>
      <c r="L25" s="1">
        <f t="shared" si="2"/>
        <v>0</v>
      </c>
      <c r="M25" s="1"/>
      <c r="N25" s="1"/>
      <c r="O25" s="1"/>
      <c r="P25" s="1"/>
      <c r="Q25" s="1">
        <f t="shared" si="4"/>
        <v>14.2</v>
      </c>
      <c r="R25" s="5">
        <f t="shared" si="5"/>
        <v>110.39999999999998</v>
      </c>
      <c r="S25" s="13"/>
      <c r="T25" s="14"/>
      <c r="U25" s="1">
        <f t="shared" si="6"/>
        <v>17</v>
      </c>
      <c r="V25" s="1">
        <f t="shared" si="7"/>
        <v>9.225352112676056</v>
      </c>
      <c r="W25" s="1">
        <v>7.4</v>
      </c>
      <c r="X25" s="1">
        <v>13.4</v>
      </c>
      <c r="Y25" s="1">
        <v>9.8000000000000007</v>
      </c>
      <c r="Z25" s="1">
        <v>5</v>
      </c>
      <c r="AA25" s="1">
        <v>2</v>
      </c>
      <c r="AB25" s="1">
        <v>17.600000000000001</v>
      </c>
      <c r="AC25" s="1">
        <v>8.4</v>
      </c>
      <c r="AD25" s="1">
        <v>4.5999999999999996</v>
      </c>
      <c r="AE25" s="1">
        <v>10.199999999999999</v>
      </c>
      <c r="AF25" s="1">
        <v>7.2</v>
      </c>
      <c r="AG25" s="1"/>
      <c r="AH25" s="1"/>
      <c r="AI25" s="1">
        <f t="shared" si="3"/>
        <v>19.871999999999996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3">
      <c r="A26" s="1" t="s">
        <v>61</v>
      </c>
      <c r="B26" s="1" t="s">
        <v>36</v>
      </c>
      <c r="C26" s="1">
        <v>3</v>
      </c>
      <c r="D26" s="1">
        <v>70</v>
      </c>
      <c r="E26" s="1">
        <v>4</v>
      </c>
      <c r="F26" s="1">
        <v>65</v>
      </c>
      <c r="G26" s="7">
        <v>0.18</v>
      </c>
      <c r="H26" s="1">
        <v>150</v>
      </c>
      <c r="I26" s="1"/>
      <c r="J26" s="1"/>
      <c r="K26" s="1">
        <v>26</v>
      </c>
      <c r="L26" s="1">
        <f t="shared" si="2"/>
        <v>-22</v>
      </c>
      <c r="M26" s="1"/>
      <c r="N26" s="1"/>
      <c r="O26" s="1"/>
      <c r="P26" s="1">
        <v>50</v>
      </c>
      <c r="Q26" s="1">
        <f t="shared" si="4"/>
        <v>0.8</v>
      </c>
      <c r="R26" s="5"/>
      <c r="S26" s="13"/>
      <c r="T26" s="14"/>
      <c r="U26" s="1">
        <f t="shared" si="6"/>
        <v>143.75</v>
      </c>
      <c r="V26" s="1">
        <f t="shared" si="7"/>
        <v>143.75</v>
      </c>
      <c r="W26" s="1">
        <v>7.2</v>
      </c>
      <c r="X26" s="1">
        <v>6.6</v>
      </c>
      <c r="Y26" s="1">
        <v>3.2</v>
      </c>
      <c r="Z26" s="1">
        <v>6.2</v>
      </c>
      <c r="AA26" s="1">
        <v>5</v>
      </c>
      <c r="AB26" s="1">
        <v>4</v>
      </c>
      <c r="AC26" s="1">
        <v>9</v>
      </c>
      <c r="AD26" s="1">
        <v>7.8</v>
      </c>
      <c r="AE26" s="1">
        <v>6.4</v>
      </c>
      <c r="AF26" s="1">
        <v>7</v>
      </c>
      <c r="AG26" s="1"/>
      <c r="AH26" s="1"/>
      <c r="AI26" s="1">
        <f t="shared" si="3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3">
      <c r="A27" s="1" t="s">
        <v>62</v>
      </c>
      <c r="B27" s="1" t="s">
        <v>36</v>
      </c>
      <c r="C27" s="1">
        <v>107</v>
      </c>
      <c r="D27" s="1">
        <v>170</v>
      </c>
      <c r="E27" s="1">
        <v>97</v>
      </c>
      <c r="F27" s="1">
        <v>169</v>
      </c>
      <c r="G27" s="7">
        <v>0.18</v>
      </c>
      <c r="H27" s="1">
        <v>150</v>
      </c>
      <c r="I27" s="1"/>
      <c r="J27" s="1"/>
      <c r="K27" s="1">
        <v>134</v>
      </c>
      <c r="L27" s="1">
        <f t="shared" si="2"/>
        <v>-37</v>
      </c>
      <c r="M27" s="1"/>
      <c r="N27" s="1"/>
      <c r="O27" s="1"/>
      <c r="P27" s="1">
        <v>120</v>
      </c>
      <c r="Q27" s="1">
        <f t="shared" si="4"/>
        <v>19.399999999999999</v>
      </c>
      <c r="R27" s="5">
        <f t="shared" si="5"/>
        <v>40.799999999999955</v>
      </c>
      <c r="S27" s="13"/>
      <c r="T27" s="14"/>
      <c r="U27" s="1">
        <f t="shared" si="6"/>
        <v>17</v>
      </c>
      <c r="V27" s="1">
        <f t="shared" si="7"/>
        <v>14.896907216494846</v>
      </c>
      <c r="W27" s="1">
        <v>22.8</v>
      </c>
      <c r="X27" s="1">
        <v>20.399999999999999</v>
      </c>
      <c r="Y27" s="1">
        <v>13.4</v>
      </c>
      <c r="Z27" s="1">
        <v>13.4</v>
      </c>
      <c r="AA27" s="1">
        <v>27.2</v>
      </c>
      <c r="AB27" s="1">
        <v>22.2</v>
      </c>
      <c r="AC27" s="1">
        <v>20.399999999999999</v>
      </c>
      <c r="AD27" s="1">
        <v>18.2</v>
      </c>
      <c r="AE27" s="1">
        <v>19.8</v>
      </c>
      <c r="AF27" s="1">
        <v>24.6</v>
      </c>
      <c r="AG27" s="1"/>
      <c r="AH27" s="1"/>
      <c r="AI27" s="1">
        <f t="shared" si="3"/>
        <v>7.3439999999999914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3">
      <c r="A28" s="1" t="s">
        <v>63</v>
      </c>
      <c r="B28" s="1" t="s">
        <v>36</v>
      </c>
      <c r="C28" s="1">
        <v>57</v>
      </c>
      <c r="D28" s="1">
        <v>20</v>
      </c>
      <c r="E28" s="1">
        <v>49</v>
      </c>
      <c r="F28" s="1">
        <v>19</v>
      </c>
      <c r="G28" s="7">
        <v>0.18</v>
      </c>
      <c r="H28" s="1">
        <v>150</v>
      </c>
      <c r="I28" s="1"/>
      <c r="J28" s="1"/>
      <c r="K28" s="1">
        <v>50</v>
      </c>
      <c r="L28" s="1">
        <f t="shared" si="2"/>
        <v>-1</v>
      </c>
      <c r="M28" s="1"/>
      <c r="N28" s="1"/>
      <c r="O28" s="1"/>
      <c r="P28" s="1">
        <v>40</v>
      </c>
      <c r="Q28" s="1">
        <f t="shared" si="4"/>
        <v>9.8000000000000007</v>
      </c>
      <c r="R28" s="5">
        <f t="shared" si="5"/>
        <v>107.60000000000002</v>
      </c>
      <c r="S28" s="13"/>
      <c r="T28" s="14"/>
      <c r="U28" s="1">
        <f t="shared" si="6"/>
        <v>17</v>
      </c>
      <c r="V28" s="1">
        <f t="shared" si="7"/>
        <v>6.0204081632653059</v>
      </c>
      <c r="W28" s="1">
        <v>6.4</v>
      </c>
      <c r="X28" s="1">
        <v>5.6</v>
      </c>
      <c r="Y28" s="1">
        <v>3.8</v>
      </c>
      <c r="Z28" s="1">
        <v>8.6</v>
      </c>
      <c r="AA28" s="1">
        <v>8.6</v>
      </c>
      <c r="AB28" s="1">
        <v>10.8</v>
      </c>
      <c r="AC28" s="1">
        <v>5.2</v>
      </c>
      <c r="AD28" s="1">
        <v>9.4</v>
      </c>
      <c r="AE28" s="1">
        <v>10.199999999999999</v>
      </c>
      <c r="AF28" s="1">
        <v>8</v>
      </c>
      <c r="AG28" s="1"/>
      <c r="AH28" s="1"/>
      <c r="AI28" s="1">
        <f t="shared" si="3"/>
        <v>19.368000000000002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3">
      <c r="A29" s="1" t="s">
        <v>64</v>
      </c>
      <c r="B29" s="1" t="s">
        <v>42</v>
      </c>
      <c r="C29" s="1">
        <v>36.363999999999997</v>
      </c>
      <c r="D29" s="1"/>
      <c r="E29" s="1"/>
      <c r="F29" s="1">
        <v>36.363999999999997</v>
      </c>
      <c r="G29" s="7">
        <v>1</v>
      </c>
      <c r="H29" s="1">
        <v>180</v>
      </c>
      <c r="I29" s="1"/>
      <c r="J29" s="1"/>
      <c r="K29" s="1">
        <v>5</v>
      </c>
      <c r="L29" s="1">
        <f t="shared" si="2"/>
        <v>-5</v>
      </c>
      <c r="M29" s="1"/>
      <c r="N29" s="1"/>
      <c r="O29" s="1"/>
      <c r="P29" s="1"/>
      <c r="Q29" s="1">
        <f t="shared" si="4"/>
        <v>0</v>
      </c>
      <c r="R29" s="5"/>
      <c r="S29" s="13"/>
      <c r="T29" s="14"/>
      <c r="U29" s="1" t="e">
        <f t="shared" si="6"/>
        <v>#DIV/0!</v>
      </c>
      <c r="V29" s="1" t="e">
        <f t="shared" si="7"/>
        <v>#DIV/0!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/>
      <c r="AH29" s="10" t="s">
        <v>37</v>
      </c>
      <c r="AI29" s="1">
        <f t="shared" si="3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3">
      <c r="A30" s="1" t="s">
        <v>65</v>
      </c>
      <c r="B30" s="1" t="s">
        <v>36</v>
      </c>
      <c r="C30" s="1">
        <v>66</v>
      </c>
      <c r="D30" s="1">
        <v>48</v>
      </c>
      <c r="E30" s="1">
        <v>21</v>
      </c>
      <c r="F30" s="1">
        <v>85</v>
      </c>
      <c r="G30" s="7">
        <v>0.14000000000000001</v>
      </c>
      <c r="H30" s="1">
        <v>180</v>
      </c>
      <c r="I30" s="1"/>
      <c r="J30" s="1"/>
      <c r="K30" s="1">
        <v>22</v>
      </c>
      <c r="L30" s="1">
        <f t="shared" si="2"/>
        <v>-1</v>
      </c>
      <c r="M30" s="1"/>
      <c r="N30" s="1"/>
      <c r="O30" s="1"/>
      <c r="P30" s="1"/>
      <c r="Q30" s="1">
        <f t="shared" si="4"/>
        <v>4.2</v>
      </c>
      <c r="R30" s="5"/>
      <c r="S30" s="13"/>
      <c r="T30" s="14"/>
      <c r="U30" s="1">
        <f t="shared" si="6"/>
        <v>20.238095238095237</v>
      </c>
      <c r="V30" s="1">
        <f t="shared" si="7"/>
        <v>20.238095238095237</v>
      </c>
      <c r="W30" s="1">
        <v>2.8</v>
      </c>
      <c r="X30" s="1">
        <v>6.6</v>
      </c>
      <c r="Y30" s="1">
        <v>5.2</v>
      </c>
      <c r="Z30" s="1">
        <v>7.8</v>
      </c>
      <c r="AA30" s="1">
        <v>2.8</v>
      </c>
      <c r="AB30" s="1">
        <v>5.6</v>
      </c>
      <c r="AC30" s="1">
        <v>9.8000000000000007</v>
      </c>
      <c r="AD30" s="1">
        <v>7.2</v>
      </c>
      <c r="AE30" s="1">
        <v>4.8</v>
      </c>
      <c r="AF30" s="1">
        <v>3</v>
      </c>
      <c r="AG30" s="1"/>
      <c r="AH30" s="9" t="s">
        <v>39</v>
      </c>
      <c r="AI30" s="1">
        <f t="shared" si="3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3">
      <c r="A31" s="1" t="s">
        <v>66</v>
      </c>
      <c r="B31" s="1" t="s">
        <v>36</v>
      </c>
      <c r="C31" s="1">
        <v>186</v>
      </c>
      <c r="D31" s="1"/>
      <c r="E31" s="1">
        <v>52</v>
      </c>
      <c r="F31" s="1">
        <v>128</v>
      </c>
      <c r="G31" s="7">
        <v>0.18</v>
      </c>
      <c r="H31" s="1">
        <v>270</v>
      </c>
      <c r="I31" s="1"/>
      <c r="J31" s="1"/>
      <c r="K31" s="1">
        <v>60</v>
      </c>
      <c r="L31" s="1">
        <f t="shared" si="2"/>
        <v>-8</v>
      </c>
      <c r="M31" s="1"/>
      <c r="N31" s="1"/>
      <c r="O31" s="1"/>
      <c r="P31" s="1"/>
      <c r="Q31" s="1">
        <f t="shared" si="4"/>
        <v>10.4</v>
      </c>
      <c r="R31" s="5">
        <f>16*Q31-P31-O31-F31</f>
        <v>38.400000000000006</v>
      </c>
      <c r="S31" s="13"/>
      <c r="T31" s="14"/>
      <c r="U31" s="1">
        <f t="shared" si="6"/>
        <v>16</v>
      </c>
      <c r="V31" s="1">
        <f t="shared" si="7"/>
        <v>12.307692307692307</v>
      </c>
      <c r="W31" s="1">
        <v>4.8</v>
      </c>
      <c r="X31" s="1">
        <v>9.1999999999999993</v>
      </c>
      <c r="Y31" s="1">
        <v>13</v>
      </c>
      <c r="Z31" s="1">
        <v>8.8000000000000007</v>
      </c>
      <c r="AA31" s="1">
        <v>3.4</v>
      </c>
      <c r="AB31" s="1">
        <v>10</v>
      </c>
      <c r="AC31" s="1">
        <v>3.6</v>
      </c>
      <c r="AD31" s="1">
        <v>11.8</v>
      </c>
      <c r="AE31" s="1">
        <v>3.8</v>
      </c>
      <c r="AF31" s="1">
        <v>2.4</v>
      </c>
      <c r="AG31" s="1"/>
      <c r="AH31" s="1"/>
      <c r="AI31" s="1">
        <f t="shared" si="3"/>
        <v>6.9120000000000008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3">
      <c r="A32" s="1" t="s">
        <v>67</v>
      </c>
      <c r="B32" s="1" t="s">
        <v>42</v>
      </c>
      <c r="C32" s="1">
        <v>64.016000000000005</v>
      </c>
      <c r="D32" s="1"/>
      <c r="E32" s="1">
        <v>3.1739999999999999</v>
      </c>
      <c r="F32" s="1">
        <v>60.841999999999999</v>
      </c>
      <c r="G32" s="7">
        <v>1</v>
      </c>
      <c r="H32" s="1">
        <v>180</v>
      </c>
      <c r="I32" s="1"/>
      <c r="J32" s="1"/>
      <c r="K32" s="1">
        <v>2.5</v>
      </c>
      <c r="L32" s="1">
        <f t="shared" si="2"/>
        <v>0.67399999999999993</v>
      </c>
      <c r="M32" s="1"/>
      <c r="N32" s="1"/>
      <c r="O32" s="1"/>
      <c r="P32" s="1"/>
      <c r="Q32" s="1">
        <f t="shared" si="4"/>
        <v>0.63480000000000003</v>
      </c>
      <c r="R32" s="5"/>
      <c r="S32" s="13"/>
      <c r="T32" s="14"/>
      <c r="U32" s="1">
        <f t="shared" si="6"/>
        <v>95.844360428481409</v>
      </c>
      <c r="V32" s="1">
        <f t="shared" si="7"/>
        <v>95.844360428481409</v>
      </c>
      <c r="W32" s="1">
        <v>0</v>
      </c>
      <c r="X32" s="1">
        <v>0</v>
      </c>
      <c r="Y32" s="1">
        <v>3.3952</v>
      </c>
      <c r="Z32" s="1">
        <v>1.7916000000000001</v>
      </c>
      <c r="AA32" s="1">
        <v>0.64680000000000004</v>
      </c>
      <c r="AB32" s="1">
        <v>0.61040000000000005</v>
      </c>
      <c r="AC32" s="1">
        <v>0</v>
      </c>
      <c r="AD32" s="1">
        <v>0.69920000000000004</v>
      </c>
      <c r="AE32" s="1">
        <v>1.3295999999999999</v>
      </c>
      <c r="AF32" s="1">
        <v>0</v>
      </c>
      <c r="AG32" s="1"/>
      <c r="AH32" s="11" t="s">
        <v>78</v>
      </c>
      <c r="AI32" s="1">
        <f t="shared" si="3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3">
      <c r="A33" s="1" t="s">
        <v>68</v>
      </c>
      <c r="B33" s="1" t="s">
        <v>42</v>
      </c>
      <c r="C33" s="1">
        <v>79.262</v>
      </c>
      <c r="D33" s="1"/>
      <c r="E33" s="1">
        <v>23.187999999999999</v>
      </c>
      <c r="F33" s="1">
        <v>56.073999999999998</v>
      </c>
      <c r="G33" s="7">
        <v>1</v>
      </c>
      <c r="H33" s="1">
        <v>180</v>
      </c>
      <c r="I33" s="1"/>
      <c r="J33" s="1"/>
      <c r="K33" s="1">
        <v>25.6</v>
      </c>
      <c r="L33" s="1">
        <f t="shared" si="2"/>
        <v>-2.4120000000000026</v>
      </c>
      <c r="M33" s="1"/>
      <c r="N33" s="1"/>
      <c r="O33" s="1"/>
      <c r="P33" s="1"/>
      <c r="Q33" s="1">
        <f t="shared" si="4"/>
        <v>4.6375999999999999</v>
      </c>
      <c r="R33" s="5">
        <f t="shared" si="5"/>
        <v>22.765200000000007</v>
      </c>
      <c r="S33" s="13"/>
      <c r="T33" s="14"/>
      <c r="U33" s="1">
        <f t="shared" si="6"/>
        <v>17</v>
      </c>
      <c r="V33" s="1">
        <f t="shared" si="7"/>
        <v>12.091167845437296</v>
      </c>
      <c r="W33" s="1">
        <v>1.7132000000000001</v>
      </c>
      <c r="X33" s="1">
        <v>1.3268</v>
      </c>
      <c r="Y33" s="1">
        <v>5.9131999999999998</v>
      </c>
      <c r="Z33" s="1">
        <v>2.468</v>
      </c>
      <c r="AA33" s="1">
        <v>4.2824</v>
      </c>
      <c r="AB33" s="1">
        <v>4.2279999999999998</v>
      </c>
      <c r="AC33" s="1">
        <v>1.8388</v>
      </c>
      <c r="AD33" s="1">
        <v>1.8648</v>
      </c>
      <c r="AE33" s="1">
        <v>2.508</v>
      </c>
      <c r="AF33" s="1">
        <v>6.5763999999999996</v>
      </c>
      <c r="AG33" s="1"/>
      <c r="AH33" s="1"/>
      <c r="AI33" s="1">
        <f t="shared" si="3"/>
        <v>22.765200000000007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3">
      <c r="A34" s="1" t="s">
        <v>69</v>
      </c>
      <c r="B34" s="1" t="s">
        <v>36</v>
      </c>
      <c r="C34" s="1">
        <v>34</v>
      </c>
      <c r="D34" s="1">
        <v>12</v>
      </c>
      <c r="E34" s="1">
        <v>30</v>
      </c>
      <c r="F34" s="1">
        <v>12</v>
      </c>
      <c r="G34" s="7">
        <v>0.1</v>
      </c>
      <c r="H34" s="1">
        <v>60</v>
      </c>
      <c r="I34" s="1"/>
      <c r="J34" s="1"/>
      <c r="K34" s="1">
        <v>52</v>
      </c>
      <c r="L34" s="1">
        <f t="shared" si="2"/>
        <v>-22</v>
      </c>
      <c r="M34" s="1"/>
      <c r="N34" s="1"/>
      <c r="O34" s="1"/>
      <c r="P34" s="1">
        <v>12</v>
      </c>
      <c r="Q34" s="1">
        <f t="shared" si="4"/>
        <v>6</v>
      </c>
      <c r="R34" s="5">
        <f t="shared" si="5"/>
        <v>78</v>
      </c>
      <c r="S34" s="13"/>
      <c r="T34" s="14"/>
      <c r="U34" s="1">
        <f t="shared" si="6"/>
        <v>17</v>
      </c>
      <c r="V34" s="1">
        <f t="shared" si="7"/>
        <v>4</v>
      </c>
      <c r="W34" s="1">
        <v>2.6</v>
      </c>
      <c r="X34" s="1">
        <v>3.2</v>
      </c>
      <c r="Y34" s="1">
        <v>5</v>
      </c>
      <c r="Z34" s="1">
        <v>4.5999999999999996</v>
      </c>
      <c r="AA34" s="1">
        <v>3.6</v>
      </c>
      <c r="AB34" s="1">
        <v>4.8</v>
      </c>
      <c r="AC34" s="1">
        <v>6.4</v>
      </c>
      <c r="AD34" s="1">
        <v>7.6</v>
      </c>
      <c r="AE34" s="1">
        <v>2.8</v>
      </c>
      <c r="AF34" s="1">
        <v>7.4</v>
      </c>
      <c r="AG34" s="1"/>
      <c r="AH34" s="1" t="s">
        <v>70</v>
      </c>
      <c r="AI34" s="1">
        <f t="shared" si="3"/>
        <v>7.8000000000000007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3">
      <c r="A35" s="1" t="s">
        <v>71</v>
      </c>
      <c r="B35" s="1" t="s">
        <v>36</v>
      </c>
      <c r="C35" s="1">
        <v>151</v>
      </c>
      <c r="D35" s="1">
        <v>8</v>
      </c>
      <c r="E35" s="1">
        <v>36</v>
      </c>
      <c r="F35" s="1">
        <v>111</v>
      </c>
      <c r="G35" s="7">
        <v>0.1</v>
      </c>
      <c r="H35" s="1">
        <v>90</v>
      </c>
      <c r="I35" s="1"/>
      <c r="J35" s="1"/>
      <c r="K35" s="1">
        <v>47</v>
      </c>
      <c r="L35" s="1">
        <f t="shared" si="2"/>
        <v>-11</v>
      </c>
      <c r="M35" s="1"/>
      <c r="N35" s="1"/>
      <c r="O35" s="1"/>
      <c r="P35" s="1"/>
      <c r="Q35" s="1">
        <f t="shared" si="4"/>
        <v>7.2</v>
      </c>
      <c r="R35" s="5">
        <f t="shared" si="5"/>
        <v>11.400000000000006</v>
      </c>
      <c r="S35" s="13"/>
      <c r="T35" s="14"/>
      <c r="U35" s="1">
        <f t="shared" si="6"/>
        <v>17</v>
      </c>
      <c r="V35" s="1">
        <f t="shared" si="7"/>
        <v>15.416666666666666</v>
      </c>
      <c r="W35" s="1">
        <v>8</v>
      </c>
      <c r="X35" s="1">
        <v>0.6</v>
      </c>
      <c r="Y35" s="1">
        <v>10.6</v>
      </c>
      <c r="Z35" s="1">
        <v>8.1999999999999993</v>
      </c>
      <c r="AA35" s="1">
        <v>4.4000000000000004</v>
      </c>
      <c r="AB35" s="1">
        <v>3</v>
      </c>
      <c r="AC35" s="1">
        <v>4.5999999999999996</v>
      </c>
      <c r="AD35" s="1">
        <v>12.6</v>
      </c>
      <c r="AE35" s="1">
        <v>6.2</v>
      </c>
      <c r="AF35" s="1">
        <v>6</v>
      </c>
      <c r="AG35" s="1"/>
      <c r="AH35" s="1"/>
      <c r="AI35" s="1">
        <f t="shared" si="3"/>
        <v>1.1400000000000006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3">
      <c r="A36" s="1" t="s">
        <v>72</v>
      </c>
      <c r="B36" s="1" t="s">
        <v>36</v>
      </c>
      <c r="C36" s="1">
        <v>94</v>
      </c>
      <c r="D36" s="1">
        <v>32</v>
      </c>
      <c r="E36" s="1">
        <v>36</v>
      </c>
      <c r="F36" s="1">
        <v>78</v>
      </c>
      <c r="G36" s="7">
        <v>0.14000000000000001</v>
      </c>
      <c r="H36" s="1">
        <v>180</v>
      </c>
      <c r="I36" s="1"/>
      <c r="J36" s="1"/>
      <c r="K36" s="1">
        <v>37</v>
      </c>
      <c r="L36" s="1">
        <f t="shared" si="2"/>
        <v>-1</v>
      </c>
      <c r="M36" s="1"/>
      <c r="N36" s="1"/>
      <c r="O36" s="1"/>
      <c r="P36" s="1">
        <v>16</v>
      </c>
      <c r="Q36" s="1">
        <f t="shared" si="4"/>
        <v>7.2</v>
      </c>
      <c r="R36" s="5">
        <f t="shared" si="5"/>
        <v>28.400000000000006</v>
      </c>
      <c r="S36" s="13"/>
      <c r="T36" s="14"/>
      <c r="U36" s="1">
        <f t="shared" si="6"/>
        <v>17</v>
      </c>
      <c r="V36" s="1">
        <f t="shared" si="7"/>
        <v>13.055555555555555</v>
      </c>
      <c r="W36" s="1">
        <v>7.4</v>
      </c>
      <c r="X36" s="1">
        <v>8.8000000000000007</v>
      </c>
      <c r="Y36" s="1">
        <v>8</v>
      </c>
      <c r="Z36" s="1">
        <v>7.2</v>
      </c>
      <c r="AA36" s="1">
        <v>2.2000000000000002</v>
      </c>
      <c r="AB36" s="1">
        <v>8.1999999999999993</v>
      </c>
      <c r="AC36" s="1">
        <v>9.6</v>
      </c>
      <c r="AD36" s="1">
        <v>4</v>
      </c>
      <c r="AE36" s="1">
        <v>5.8</v>
      </c>
      <c r="AF36" s="1">
        <v>4.4000000000000004</v>
      </c>
      <c r="AG36" s="1"/>
      <c r="AH36" s="1"/>
      <c r="AI36" s="1">
        <f t="shared" si="3"/>
        <v>3.9760000000000013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3">
      <c r="A37" s="1" t="s">
        <v>73</v>
      </c>
      <c r="B37" s="1" t="s">
        <v>36</v>
      </c>
      <c r="C37" s="1">
        <v>167</v>
      </c>
      <c r="D37" s="1">
        <v>172</v>
      </c>
      <c r="E37" s="1">
        <v>121</v>
      </c>
      <c r="F37" s="1">
        <v>211</v>
      </c>
      <c r="G37" s="7">
        <v>0.2</v>
      </c>
      <c r="H37" s="1">
        <v>120</v>
      </c>
      <c r="I37" s="1"/>
      <c r="J37" s="1"/>
      <c r="K37" s="1">
        <v>115</v>
      </c>
      <c r="L37" s="1">
        <f t="shared" si="2"/>
        <v>6</v>
      </c>
      <c r="M37" s="1"/>
      <c r="N37" s="1"/>
      <c r="O37" s="1"/>
      <c r="P37" s="1">
        <v>30</v>
      </c>
      <c r="Q37" s="1">
        <f t="shared" si="4"/>
        <v>24.2</v>
      </c>
      <c r="R37" s="5">
        <f t="shared" si="5"/>
        <v>170.39999999999998</v>
      </c>
      <c r="S37" s="13"/>
      <c r="T37" s="14"/>
      <c r="U37" s="1">
        <f t="shared" si="6"/>
        <v>17</v>
      </c>
      <c r="V37" s="1">
        <f t="shared" si="7"/>
        <v>9.9586776859504127</v>
      </c>
      <c r="W37" s="1">
        <v>17.399999999999999</v>
      </c>
      <c r="X37" s="1">
        <v>19.8</v>
      </c>
      <c r="Y37" s="1">
        <v>17.2</v>
      </c>
      <c r="Z37" s="1">
        <v>21.6</v>
      </c>
      <c r="AA37" s="1">
        <v>33.6</v>
      </c>
      <c r="AB37" s="1">
        <v>27.6</v>
      </c>
      <c r="AC37" s="1">
        <v>28.6</v>
      </c>
      <c r="AD37" s="1">
        <v>19.600000000000001</v>
      </c>
      <c r="AE37" s="1">
        <v>9</v>
      </c>
      <c r="AF37" s="1">
        <v>28.4</v>
      </c>
      <c r="AG37" s="1"/>
      <c r="AH37" s="1"/>
      <c r="AI37" s="1">
        <f t="shared" si="3"/>
        <v>34.08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3">
      <c r="A38" s="1" t="s">
        <v>74</v>
      </c>
      <c r="B38" s="1" t="s">
        <v>42</v>
      </c>
      <c r="C38" s="1">
        <v>28.731999999999999</v>
      </c>
      <c r="D38" s="1"/>
      <c r="E38" s="1">
        <v>12.86</v>
      </c>
      <c r="F38" s="1">
        <v>15.872</v>
      </c>
      <c r="G38" s="7">
        <v>1</v>
      </c>
      <c r="H38" s="1">
        <v>120</v>
      </c>
      <c r="I38" s="1"/>
      <c r="J38" s="1"/>
      <c r="K38" s="1">
        <v>13.6</v>
      </c>
      <c r="L38" s="1">
        <f t="shared" si="2"/>
        <v>-0.74000000000000021</v>
      </c>
      <c r="M38" s="1"/>
      <c r="N38" s="1"/>
      <c r="O38" s="1"/>
      <c r="P38" s="1"/>
      <c r="Q38" s="1">
        <f t="shared" si="4"/>
        <v>2.5720000000000001</v>
      </c>
      <c r="R38" s="5">
        <f>16*Q38-P38-O38-F38</f>
        <v>25.28</v>
      </c>
      <c r="S38" s="13"/>
      <c r="T38" s="14"/>
      <c r="U38" s="1">
        <f t="shared" si="6"/>
        <v>16</v>
      </c>
      <c r="V38" s="1">
        <f t="shared" si="7"/>
        <v>6.1710730948678068</v>
      </c>
      <c r="W38" s="1">
        <v>1.2916000000000001</v>
      </c>
      <c r="X38" s="1">
        <v>0.6492</v>
      </c>
      <c r="Y38" s="1">
        <v>0.61599999999999999</v>
      </c>
      <c r="Z38" s="1">
        <v>1.9108000000000001</v>
      </c>
      <c r="AA38" s="1">
        <v>1.9503999999999999</v>
      </c>
      <c r="AB38" s="1">
        <v>0</v>
      </c>
      <c r="AC38" s="1">
        <v>3.2932000000000001</v>
      </c>
      <c r="AD38" s="1">
        <v>3.2704</v>
      </c>
      <c r="AE38" s="1">
        <v>4.3572000000000006</v>
      </c>
      <c r="AF38" s="1">
        <v>1.8528</v>
      </c>
      <c r="AG38" s="1"/>
      <c r="AH38" s="1"/>
      <c r="AI38" s="1">
        <f t="shared" si="3"/>
        <v>25.28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3">
      <c r="A39" s="1" t="s">
        <v>75</v>
      </c>
      <c r="B39" s="1" t="s">
        <v>36</v>
      </c>
      <c r="C39" s="1">
        <v>70</v>
      </c>
      <c r="D39" s="1">
        <v>8</v>
      </c>
      <c r="E39" s="1">
        <v>38</v>
      </c>
      <c r="F39" s="1">
        <v>33</v>
      </c>
      <c r="G39" s="7">
        <v>0.2</v>
      </c>
      <c r="H39" s="1">
        <v>120</v>
      </c>
      <c r="I39" s="1"/>
      <c r="J39" s="1"/>
      <c r="K39" s="1">
        <v>46</v>
      </c>
      <c r="L39" s="1">
        <f t="shared" si="2"/>
        <v>-8</v>
      </c>
      <c r="M39" s="1"/>
      <c r="N39" s="1"/>
      <c r="O39" s="1"/>
      <c r="P39" s="1">
        <v>130</v>
      </c>
      <c r="Q39" s="1">
        <f t="shared" si="4"/>
        <v>7.6</v>
      </c>
      <c r="R39" s="5"/>
      <c r="S39" s="13"/>
      <c r="T39" s="14"/>
      <c r="U39" s="1">
        <f t="shared" si="6"/>
        <v>21.447368421052634</v>
      </c>
      <c r="V39" s="1">
        <f t="shared" si="7"/>
        <v>21.447368421052634</v>
      </c>
      <c r="W39" s="1">
        <v>14.6</v>
      </c>
      <c r="X39" s="1">
        <v>3.8</v>
      </c>
      <c r="Y39" s="1">
        <v>8.1999999999999993</v>
      </c>
      <c r="Z39" s="1">
        <v>12.8</v>
      </c>
      <c r="AA39" s="1">
        <v>17.2</v>
      </c>
      <c r="AB39" s="1">
        <v>14.8</v>
      </c>
      <c r="AC39" s="1">
        <v>16.2</v>
      </c>
      <c r="AD39" s="1">
        <v>12.8</v>
      </c>
      <c r="AE39" s="1">
        <v>6.8</v>
      </c>
      <c r="AF39" s="1">
        <v>15.6</v>
      </c>
      <c r="AG39" s="1"/>
      <c r="AH39" s="1"/>
      <c r="AI39" s="1">
        <f t="shared" si="3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3">
      <c r="A40" s="1" t="s">
        <v>76</v>
      </c>
      <c r="B40" s="1" t="s">
        <v>42</v>
      </c>
      <c r="C40" s="1">
        <v>6.8760000000000003</v>
      </c>
      <c r="D40" s="1">
        <v>13.256</v>
      </c>
      <c r="E40" s="1"/>
      <c r="F40" s="1">
        <v>16.582000000000001</v>
      </c>
      <c r="G40" s="7">
        <v>1</v>
      </c>
      <c r="H40" s="1">
        <v>120</v>
      </c>
      <c r="I40" s="1"/>
      <c r="J40" s="1"/>
      <c r="K40" s="1"/>
      <c r="L40" s="1">
        <f t="shared" si="2"/>
        <v>0</v>
      </c>
      <c r="M40" s="1"/>
      <c r="N40" s="1"/>
      <c r="O40" s="1"/>
      <c r="P40" s="1">
        <v>15</v>
      </c>
      <c r="Q40" s="1">
        <f t="shared" si="4"/>
        <v>0</v>
      </c>
      <c r="R40" s="5"/>
      <c r="S40" s="13"/>
      <c r="T40" s="14"/>
      <c r="U40" s="1" t="e">
        <f t="shared" si="6"/>
        <v>#DIV/0!</v>
      </c>
      <c r="V40" s="1" t="e">
        <f t="shared" si="7"/>
        <v>#DIV/0!</v>
      </c>
      <c r="W40" s="1">
        <v>2.0863999999999998</v>
      </c>
      <c r="X40" s="1">
        <v>1.512</v>
      </c>
      <c r="Y40" s="1">
        <v>1.528</v>
      </c>
      <c r="Z40" s="1">
        <v>0</v>
      </c>
      <c r="AA40" s="1">
        <v>0</v>
      </c>
      <c r="AB40" s="1">
        <v>1.3648</v>
      </c>
      <c r="AC40" s="1">
        <v>6.8608000000000002</v>
      </c>
      <c r="AD40" s="1">
        <v>0</v>
      </c>
      <c r="AE40" s="1">
        <v>1.5251999999999999</v>
      </c>
      <c r="AF40" s="1">
        <v>1.4972000000000001</v>
      </c>
      <c r="AG40" s="1"/>
      <c r="AH40" s="11" t="s">
        <v>79</v>
      </c>
      <c r="AI40" s="1">
        <f t="shared" si="3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3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3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3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3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3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3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3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3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3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3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3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3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3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3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3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3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3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3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3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3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3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3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3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3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3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3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3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3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3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3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3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3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3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3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3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3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3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3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3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3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3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3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3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3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3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3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3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3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3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3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3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3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3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3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3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3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3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3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3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3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3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3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3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3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3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3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3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3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3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3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3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3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3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3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3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3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3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3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3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3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3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I4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Чепрасова Елена Михайловна</cp:lastModifiedBy>
  <dcterms:created xsi:type="dcterms:W3CDTF">2026-10-20T16:31:52Z</dcterms:created>
  <dcterms:modified xsi:type="dcterms:W3CDTF">2026-10-21T06:18:08Z</dcterms:modified>
</cp:coreProperties>
</file>