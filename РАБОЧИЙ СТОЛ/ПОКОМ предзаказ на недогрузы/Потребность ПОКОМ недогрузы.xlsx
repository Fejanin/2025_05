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ПОКОМ предзаказ на недогрузы\"/>
    </mc:Choice>
  </mc:AlternateContent>
  <xr:revisionPtr revIDLastSave="0" documentId="13_ncr:1_{ED1138EA-468C-4F33-9AB6-E87ECE2B01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Лист1!$A$1:$S$39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0" i="1" l="1"/>
  <c r="M40" i="1"/>
  <c r="I40" i="1"/>
  <c r="E40" i="1"/>
  <c r="Q20" i="1"/>
  <c r="R20" i="1" s="1"/>
  <c r="Q21" i="1"/>
  <c r="R21" i="1" s="1"/>
  <c r="Q4" i="1"/>
  <c r="R4" i="1" s="1"/>
  <c r="M20" i="1" l="1"/>
  <c r="N20" i="1" s="1"/>
  <c r="M21" i="1"/>
  <c r="N21" i="1" s="1"/>
  <c r="M4" i="1" l="1"/>
  <c r="N4" i="1" s="1"/>
  <c r="I20" i="1" l="1"/>
  <c r="J20" i="1" s="1"/>
  <c r="I21" i="1"/>
  <c r="J21" i="1" s="1"/>
  <c r="I4" i="1"/>
  <c r="J4" i="1" s="1"/>
  <c r="E4" i="1" l="1"/>
  <c r="F4" i="1" s="1"/>
  <c r="E20" i="1"/>
  <c r="F20" i="1" s="1"/>
  <c r="E21" i="1"/>
  <c r="F21" i="1" s="1"/>
  <c r="E5" i="1" l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3" i="1"/>
  <c r="F3" i="1" s="1"/>
  <c r="I5" i="1" l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3" i="1"/>
  <c r="J3" i="1" s="1"/>
  <c r="M36" i="1" l="1"/>
  <c r="N36" i="1" s="1"/>
  <c r="M33" i="1"/>
  <c r="N33" i="1" s="1"/>
  <c r="M8" i="1"/>
  <c r="N8" i="1" s="1"/>
  <c r="M5" i="1"/>
  <c r="N5" i="1" s="1"/>
  <c r="M6" i="1"/>
  <c r="N6" i="1" s="1"/>
  <c r="M7" i="1"/>
  <c r="N7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4" i="1"/>
  <c r="N34" i="1" s="1"/>
  <c r="M35" i="1"/>
  <c r="N35" i="1" s="1"/>
  <c r="M37" i="1"/>
  <c r="N37" i="1" s="1"/>
  <c r="M38" i="1"/>
  <c r="N38" i="1" s="1"/>
  <c r="M39" i="1"/>
  <c r="N39" i="1" s="1"/>
  <c r="M3" i="1"/>
  <c r="N3" i="1" s="1"/>
  <c r="F40" i="1" l="1"/>
  <c r="J40" i="1"/>
  <c r="N40" i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3" i="1"/>
  <c r="R3" i="1" s="1"/>
  <c r="R40" i="1" l="1"/>
</calcChain>
</file>

<file path=xl/sharedStrings.xml><?xml version="1.0" encoding="utf-8"?>
<sst xmlns="http://schemas.openxmlformats.org/spreadsheetml/2006/main" count="119" uniqueCount="52">
  <si>
    <t>Номенклатура</t>
  </si>
  <si>
    <t>Бердянск</t>
  </si>
  <si>
    <t>ср.пр./дн</t>
  </si>
  <si>
    <t>комментарии</t>
  </si>
  <si>
    <t>Ед. изм.</t>
  </si>
  <si>
    <t>Донецк</t>
  </si>
  <si>
    <t>Луганск</t>
  </si>
  <si>
    <t>Мелитополь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</si>
  <si>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</si>
  <si>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</si>
  <si>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</si>
  <si>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</si>
  <si>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</si>
  <si>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</si>
  <si>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</si>
  <si>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</si>
  <si>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</si>
  <si>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</si>
  <si>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</si>
  <si>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</si>
  <si>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</si>
  <si>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</si>
  <si>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</si>
  <si>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</si>
  <si>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</si>
  <si>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</si>
  <si>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</si>
  <si>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</si>
  <si>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</si>
  <si>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</si>
  <si>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</si>
  <si>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</si>
  <si>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</si>
  <si>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</si>
  <si>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</si>
  <si>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515  Колбаса Сервелат Мясорубский Делюкс 0,3кг ТМ Стародворье  ПОКОМ</t>
  </si>
  <si>
    <t xml:space="preserve"> 240  Колбаса Салями охотничья, ВЕС. ПОКОМ</t>
  </si>
  <si>
    <t xml:space="preserve"> 248  Сардельки Сочные ТМ Особый рецепт,   ПОКОМ</t>
  </si>
  <si>
    <t xml:space="preserve"> 318  Сосиски Датские ТМ Зареченские, ВЕС  ПОКОМ</t>
  </si>
  <si>
    <t>495  Колбаса Сочинка по-европейски с сочной грудинкой 0,3кг ТМ Стародворье  ПОКОМ</t>
  </si>
  <si>
    <t>кооф.</t>
  </si>
  <si>
    <t>потребность, шт</t>
  </si>
  <si>
    <t xml:space="preserve"> 257  Сосиски Молочные оригинальные ТМ Особый рецепт, ВЕС.   ПОКОМ</t>
  </si>
  <si>
    <t xml:space="preserve"> 328  Сардельки Сочинки Стародворье ТМ  0,4 кг ПОКОМ</t>
  </si>
  <si>
    <t>кг</t>
  </si>
  <si>
    <t>шт</t>
  </si>
  <si>
    <t>ВЕС, кг</t>
  </si>
  <si>
    <t>нет потребности</t>
  </si>
  <si>
    <t>только начали заказывать</t>
  </si>
  <si>
    <t xml:space="preserve"> 247  Сардельки Нежные, ВЕС.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</si>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</sst>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" fontId="1" fillId="0" borderId="3" xfId="0" applyNumberFormat="1" applyFon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3" borderId="6" xfId="0" applyNumberFormat="1" applyFill="1" applyBorder="1"/>
    <xf numFmtId="165" fontId="0" fillId="3" borderId="7" xfId="0" applyNumberFormat="1" applyFill="1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2" fontId="0" fillId="0" borderId="2" xfId="0" applyNumberFormat="1" applyBorder="1"/>
    <xf numFmtId="165" fontId="1" fillId="3" borderId="1" xfId="0" applyNumberFormat="1" applyFont="1" applyFill="1" applyBorder="1"/>
    <xf numFmtId="165" fontId="1" fillId="0" borderId="1" xfId="0" applyNumberFormat="1" applyFont="1" applyBorder="1"/>
    <xf numFmtId="165" fontId="1" fillId="0" borderId="9" xfId="0" applyNumberFormat="1" applyFont="1" applyBorder="1"/>
    <xf numFmtId="165" fontId="1" fillId="0" borderId="0" xfId="0" applyNumberFormat="1" applyFont="1"/>
    <xf numFmtId="165" fontId="0" fillId="0" borderId="12" xfId="0" applyNumberFormat="1" applyBorder="1"/>
    <xf numFmtId="165" fontId="1" fillId="0" borderId="12" xfId="0" applyNumberFormat="1" applyFont="1" applyBorder="1"/>
    <xf numFmtId="0" fontId="0" fillId="0" borderId="12" xfId="0" applyBorder="1"/>
    <xf numFmtId="2" fontId="0" fillId="0" borderId="12" xfId="0" applyNumberFormat="1" applyBorder="1"/>
    <xf numFmtId="2" fontId="0" fillId="0" borderId="22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165" fontId="0" fillId="3" borderId="14" xfId="0" applyNumberFormat="1" applyFill="1" applyBorder="1"/>
    <xf numFmtId="165" fontId="0" fillId="3" borderId="12" xfId="0" applyNumberFormat="1" applyFill="1" applyBorder="1"/>
    <xf numFmtId="165" fontId="1" fillId="3" borderId="12" xfId="0" applyNumberFormat="1" applyFont="1" applyFill="1" applyBorder="1"/>
    <xf numFmtId="165" fontId="0" fillId="3" borderId="15" xfId="0" applyNumberFormat="1" applyFill="1" applyBorder="1"/>
    <xf numFmtId="165" fontId="3" fillId="2" borderId="11" xfId="1" applyNumberFormat="1" applyFont="1" applyFill="1" applyBorder="1"/>
    <xf numFmtId="165" fontId="3" fillId="2" borderId="25" xfId="1" applyNumberFormat="1" applyFont="1" applyFill="1" applyBorder="1" applyAlignment="1">
      <alignment wrapText="1"/>
    </xf>
    <xf numFmtId="165" fontId="3" fillId="2" borderId="13" xfId="1" applyNumberFormat="1" applyFont="1" applyFill="1" applyBorder="1"/>
    <xf numFmtId="165" fontId="3" fillId="2" borderId="19" xfId="1" applyNumberFormat="1" applyFont="1" applyFill="1" applyBorder="1"/>
    <xf numFmtId="165" fontId="3" fillId="2" borderId="20" xfId="1" applyNumberFormat="1" applyFont="1" applyFill="1" applyBorder="1" applyAlignment="1">
      <alignment wrapText="1"/>
    </xf>
    <xf numFmtId="165" fontId="3" fillId="2" borderId="21" xfId="1" applyNumberFormat="1" applyFont="1" applyFill="1" applyBorder="1"/>
    <xf numFmtId="165" fontId="3" fillId="2" borderId="16" xfId="1" applyNumberFormat="1" applyFont="1" applyFill="1" applyBorder="1" applyAlignment="1">
      <alignment horizontal="center"/>
    </xf>
    <xf numFmtId="165" fontId="3" fillId="2" borderId="17" xfId="1" applyNumberFormat="1" applyFont="1" applyFill="1" applyBorder="1" applyAlignment="1">
      <alignment horizontal="center"/>
    </xf>
    <xf numFmtId="165" fontId="3" fillId="2" borderId="18" xfId="1" applyNumberFormat="1" applyFont="1" applyFill="1" applyBorder="1" applyAlignment="1">
      <alignment horizontal="center"/>
    </xf>
    <xf numFmtId="165" fontId="3" fillId="2" borderId="19" xfId="1" applyNumberFormat="1" applyFont="1" applyFill="1" applyBorder="1" applyAlignment="1">
      <alignment horizontal="center"/>
    </xf>
    <xf numFmtId="165" fontId="3" fillId="2" borderId="20" xfId="1" applyNumberFormat="1" applyFont="1" applyFill="1" applyBorder="1" applyAlignment="1">
      <alignment horizontal="center"/>
    </xf>
    <xf numFmtId="165" fontId="3" fillId="2" borderId="21" xfId="1" applyNumberFormat="1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8" xfId="1" applyNumberFormat="1" applyFont="1" applyFill="1" applyBorder="1" applyAlignment="1">
      <alignment horizontal="center" vertical="center"/>
    </xf>
    <xf numFmtId="2" fontId="3" fillId="2" borderId="5" xfId="1" applyNumberFormat="1" applyFont="1" applyFill="1" applyBorder="1" applyAlignment="1">
      <alignment horizontal="center" vertical="center"/>
    </xf>
    <xf numFmtId="2" fontId="3" fillId="2" borderId="9" xfId="1" applyNumberFormat="1" applyFont="1" applyFill="1" applyBorder="1" applyAlignment="1">
      <alignment horizontal="center" vertical="center"/>
    </xf>
    <xf numFmtId="164" fontId="3" fillId="2" borderId="23" xfId="1" applyNumberFormat="1" applyFont="1" applyFill="1" applyBorder="1" applyAlignment="1">
      <alignment horizontal="center" vertical="center"/>
    </xf>
    <xf numFmtId="164" fontId="3" fillId="2" borderId="24" xfId="1" applyNumberFormat="1" applyFont="1" applyFill="1" applyBorder="1" applyAlignment="1">
      <alignment horizontal="center" vertical="center"/>
    </xf>
    <xf numFmtId="0" fontId="5" fillId="0" borderId="0" xfId="0" applyFont="1"/>
    <xf numFmtId="165" fontId="4" fillId="0" borderId="0" xfId="0" applyNumberFormat="1" applyFont="1"/>
  </cellXfs>
  <cellStyles count="2">
    <cellStyle name="Arial10px" xfId="1" xr:uid="{E5E8C9D5-A55E-4401-88F8-BB9AD3BFBDB8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tabSelected="1" zoomScale="80" zoomScaleNormal="80" workbookViewId="0">
      <selection activeCell="U15" sqref="U15"/>
    </sheetView>
  </sheetViews>
  <sheetFormatPr defaultRowHeight="15" x14ac:dyDescent="0.25"/>
  <cols>
    <col min="1" max="1" width="102.140625" bestFit="1" customWidth="1"/>
    <col min="2" max="2" width="8.28515625" style="1" customWidth="1"/>
    <col min="3" max="3" width="8.28515625" customWidth="1"/>
    <col min="4" max="4" width="10" style="2" customWidth="1"/>
    <col min="5" max="5" width="13.42578125" style="2" customWidth="1"/>
    <col min="6" max="6" width="6.85546875" style="20" customWidth="1"/>
    <col min="7" max="7" width="17.140625" style="2" customWidth="1"/>
    <col min="8" max="8" width="10" style="2" customWidth="1"/>
    <col min="9" max="9" width="13.42578125" style="2" customWidth="1"/>
    <col min="10" max="10" width="6.85546875" style="20" customWidth="1"/>
    <col min="11" max="11" width="17.140625" style="2" customWidth="1"/>
    <col min="12" max="12" width="10" style="2" customWidth="1"/>
    <col min="13" max="13" width="13.42578125" style="2" customWidth="1"/>
    <col min="14" max="14" width="6.85546875" style="20" customWidth="1"/>
    <col min="15" max="15" width="17.140625" style="2" customWidth="1"/>
    <col min="16" max="16" width="10" style="2" customWidth="1"/>
    <col min="17" max="17" width="13.42578125" style="2" customWidth="1"/>
    <col min="18" max="18" width="6.85546875" style="20" customWidth="1"/>
    <col min="19" max="19" width="17.140625" style="2" customWidth="1"/>
    <col min="20" max="20" width="10.5703125" bestFit="1" customWidth="1"/>
  </cols>
  <sheetData>
    <row r="1" spans="1:20" ht="15.75" thickBot="1" x14ac:dyDescent="0.3">
      <c r="A1" s="44" t="s">
        <v>0</v>
      </c>
      <c r="B1" s="46" t="s">
        <v>4</v>
      </c>
      <c r="C1" s="48" t="s">
        <v>40</v>
      </c>
      <c r="D1" s="38" t="s">
        <v>1</v>
      </c>
      <c r="E1" s="39"/>
      <c r="F1" s="39"/>
      <c r="G1" s="40"/>
      <c r="H1" s="38" t="s">
        <v>5</v>
      </c>
      <c r="I1" s="39"/>
      <c r="J1" s="39"/>
      <c r="K1" s="40"/>
      <c r="L1" s="38" t="s">
        <v>6</v>
      </c>
      <c r="M1" s="39"/>
      <c r="N1" s="39"/>
      <c r="O1" s="40"/>
      <c r="P1" s="41" t="s">
        <v>7</v>
      </c>
      <c r="Q1" s="42"/>
      <c r="R1" s="42"/>
      <c r="S1" s="43"/>
      <c r="T1" s="50">
        <v>5</v>
      </c>
    </row>
    <row r="2" spans="1:20" ht="30.75" thickBot="1" x14ac:dyDescent="0.3">
      <c r="A2" s="45"/>
      <c r="B2" s="47"/>
      <c r="C2" s="49"/>
      <c r="D2" s="35" t="s">
        <v>2</v>
      </c>
      <c r="E2" s="36" t="s">
        <v>41</v>
      </c>
      <c r="F2" s="36" t="s">
        <v>46</v>
      </c>
      <c r="G2" s="37" t="s">
        <v>3</v>
      </c>
      <c r="H2" s="32" t="s">
        <v>2</v>
      </c>
      <c r="I2" s="33" t="s">
        <v>41</v>
      </c>
      <c r="J2" s="33" t="s">
        <v>46</v>
      </c>
      <c r="K2" s="34" t="s">
        <v>3</v>
      </c>
      <c r="L2" s="32" t="s">
        <v>2</v>
      </c>
      <c r="M2" s="33" t="s">
        <v>41</v>
      </c>
      <c r="N2" s="33" t="s">
        <v>46</v>
      </c>
      <c r="O2" s="34" t="s">
        <v>3</v>
      </c>
      <c r="P2" s="32" t="s">
        <v>2</v>
      </c>
      <c r="Q2" s="33" t="s">
        <v>41</v>
      </c>
      <c r="R2" s="33" t="s">
        <v>46</v>
      </c>
      <c r="S2" s="34" t="s">
        <v>3</v>
      </c>
    </row>
    <row r="3" spans="1:20" x14ac:dyDescent="0.25">
      <c r="A3" s="23" t="s">
        <v>36</v>
      </c>
      <c r="B3" s="24" t="s">
        <v>44</v>
      </c>
      <c r="C3" s="25">
        <v>1</v>
      </c>
      <c r="D3" s="26">
        <v>4.0744545454545449</v>
      </c>
      <c r="E3" s="21">
        <f>D3*$E$40</f>
        <v>20.372272727272723</v>
      </c>
      <c r="F3" s="22">
        <f>E3*C3</f>
        <v>20.372272727272723</v>
      </c>
      <c r="G3" s="27"/>
      <c r="H3" s="28">
        <v>0</v>
      </c>
      <c r="I3" s="29">
        <f>H3*$I$40</f>
        <v>0</v>
      </c>
      <c r="J3" s="30">
        <f>I3*C3</f>
        <v>0</v>
      </c>
      <c r="K3" s="31" t="s">
        <v>47</v>
      </c>
      <c r="L3" s="28">
        <v>0</v>
      </c>
      <c r="M3" s="29">
        <f t="shared" ref="M3:M19" si="0">L3*$M$40</f>
        <v>0</v>
      </c>
      <c r="N3" s="30">
        <f>M3*C3</f>
        <v>0</v>
      </c>
      <c r="O3" s="31" t="s">
        <v>47</v>
      </c>
      <c r="P3" s="26">
        <v>4.0110363636363635</v>
      </c>
      <c r="Q3" s="21">
        <f>P3*$Q$40</f>
        <v>20.055181818181818</v>
      </c>
      <c r="R3" s="22">
        <f>Q3*C3</f>
        <v>20.055181818181818</v>
      </c>
      <c r="S3" s="27"/>
    </row>
    <row r="4" spans="1:20" x14ac:dyDescent="0.25">
      <c r="A4" s="23" t="s">
        <v>49</v>
      </c>
      <c r="B4" s="24" t="s">
        <v>44</v>
      </c>
      <c r="C4" s="25">
        <v>1</v>
      </c>
      <c r="D4" s="26">
        <v>2.6847272727272724</v>
      </c>
      <c r="E4" s="21">
        <f>D4*$E$40</f>
        <v>13.423636363636362</v>
      </c>
      <c r="F4" s="22">
        <f>E4*C4</f>
        <v>13.423636363636362</v>
      </c>
      <c r="G4" s="27"/>
      <c r="H4" s="28">
        <v>0</v>
      </c>
      <c r="I4" s="29">
        <f>H4*$I$40</f>
        <v>0</v>
      </c>
      <c r="J4" s="30">
        <f>I4*C4</f>
        <v>0</v>
      </c>
      <c r="K4" s="31" t="s">
        <v>47</v>
      </c>
      <c r="L4" s="9">
        <v>51.29614545454546</v>
      </c>
      <c r="M4" s="6">
        <f t="shared" si="0"/>
        <v>256.48072727272728</v>
      </c>
      <c r="N4" s="18">
        <f t="shared" ref="N4" si="1">M4*C4</f>
        <v>256.48072727272728</v>
      </c>
      <c r="O4" s="10"/>
      <c r="P4" s="26">
        <v>32.715327272727272</v>
      </c>
      <c r="Q4" s="21">
        <f>P4*$Q$40</f>
        <v>163.57663636363637</v>
      </c>
      <c r="R4" s="22">
        <f>Q4*C4</f>
        <v>163.57663636363637</v>
      </c>
      <c r="S4" s="27"/>
    </row>
    <row r="5" spans="1:20" x14ac:dyDescent="0.25">
      <c r="A5" s="4" t="s">
        <v>37</v>
      </c>
      <c r="B5" s="5" t="s">
        <v>44</v>
      </c>
      <c r="C5" s="16">
        <v>1</v>
      </c>
      <c r="D5" s="9">
        <v>34.961581818181806</v>
      </c>
      <c r="E5" s="6">
        <f t="shared" ref="E5:E39" si="2">D5*$E$40</f>
        <v>174.80790909090902</v>
      </c>
      <c r="F5" s="18">
        <f t="shared" ref="F5:F39" si="3">E5*C5</f>
        <v>174.80790909090902</v>
      </c>
      <c r="G5" s="10"/>
      <c r="H5" s="11">
        <v>0</v>
      </c>
      <c r="I5" s="7">
        <f t="shared" ref="I5:I39" si="4">H5*$I$40</f>
        <v>0</v>
      </c>
      <c r="J5" s="17">
        <f t="shared" ref="J5:J39" si="5">I5*C5</f>
        <v>0</v>
      </c>
      <c r="K5" s="12" t="s">
        <v>47</v>
      </c>
      <c r="L5" s="9">
        <v>40.588654545454546</v>
      </c>
      <c r="M5" s="6">
        <f t="shared" si="0"/>
        <v>202.94327272727273</v>
      </c>
      <c r="N5" s="18">
        <f t="shared" ref="N5:N39" si="6">M5*C5</f>
        <v>202.94327272727273</v>
      </c>
      <c r="O5" s="10"/>
      <c r="P5" s="9">
        <v>64.362636363636369</v>
      </c>
      <c r="Q5" s="6">
        <f t="shared" ref="Q5:Q39" si="7">P5*$Q$40</f>
        <v>321.81318181818187</v>
      </c>
      <c r="R5" s="18">
        <f t="shared" ref="R5:R39" si="8">Q5*C5</f>
        <v>321.81318181818187</v>
      </c>
      <c r="S5" s="10"/>
    </row>
    <row r="6" spans="1:20" x14ac:dyDescent="0.25">
      <c r="A6" s="4" t="s">
        <v>8</v>
      </c>
      <c r="B6" s="5" t="s">
        <v>44</v>
      </c>
      <c r="C6" s="16">
        <v>1</v>
      </c>
      <c r="D6" s="9">
        <v>39.956745454545455</v>
      </c>
      <c r="E6" s="6">
        <f t="shared" si="2"/>
        <v>199.78372727272728</v>
      </c>
      <c r="F6" s="18">
        <f t="shared" si="3"/>
        <v>199.78372727272728</v>
      </c>
      <c r="G6" s="10"/>
      <c r="H6" s="9">
        <v>376.6624888888889</v>
      </c>
      <c r="I6" s="6">
        <f t="shared" si="4"/>
        <v>1883.3124444444445</v>
      </c>
      <c r="J6" s="18">
        <f t="shared" si="5"/>
        <v>1883.3124444444445</v>
      </c>
      <c r="K6" s="10"/>
      <c r="L6" s="9">
        <v>392.35176363636361</v>
      </c>
      <c r="M6" s="6">
        <f t="shared" si="0"/>
        <v>1961.758818181818</v>
      </c>
      <c r="N6" s="18">
        <f t="shared" si="6"/>
        <v>1961.758818181818</v>
      </c>
      <c r="O6" s="10"/>
      <c r="P6" s="9">
        <v>50.255509090909094</v>
      </c>
      <c r="Q6" s="6">
        <f t="shared" si="7"/>
        <v>251.27754545454547</v>
      </c>
      <c r="R6" s="18">
        <f t="shared" si="8"/>
        <v>251.27754545454547</v>
      </c>
      <c r="S6" s="10"/>
    </row>
    <row r="7" spans="1:20" x14ac:dyDescent="0.25">
      <c r="A7" s="4" t="s">
        <v>9</v>
      </c>
      <c r="B7" s="5" t="s">
        <v>44</v>
      </c>
      <c r="C7" s="16">
        <v>1</v>
      </c>
      <c r="D7" s="9">
        <v>175.87180000000001</v>
      </c>
      <c r="E7" s="6">
        <f t="shared" si="2"/>
        <v>879.35900000000004</v>
      </c>
      <c r="F7" s="18">
        <f t="shared" si="3"/>
        <v>879.35900000000004</v>
      </c>
      <c r="G7" s="10"/>
      <c r="H7" s="9">
        <v>1097.6750888888889</v>
      </c>
      <c r="I7" s="6">
        <f t="shared" si="4"/>
        <v>5488.3754444444448</v>
      </c>
      <c r="J7" s="18">
        <f t="shared" si="5"/>
        <v>5488.3754444444448</v>
      </c>
      <c r="K7" s="10"/>
      <c r="L7" s="9">
        <v>403.02340000000004</v>
      </c>
      <c r="M7" s="6">
        <f t="shared" si="0"/>
        <v>2015.1170000000002</v>
      </c>
      <c r="N7" s="18">
        <f t="shared" si="6"/>
        <v>2015.1170000000002</v>
      </c>
      <c r="O7" s="10"/>
      <c r="P7" s="9">
        <v>107.99512727272726</v>
      </c>
      <c r="Q7" s="6">
        <f t="shared" si="7"/>
        <v>539.97563636363634</v>
      </c>
      <c r="R7" s="18">
        <f t="shared" si="8"/>
        <v>539.97563636363634</v>
      </c>
      <c r="S7" s="10"/>
    </row>
    <row r="8" spans="1:20" x14ac:dyDescent="0.25">
      <c r="A8" s="4" t="s">
        <v>42</v>
      </c>
      <c r="B8" s="5" t="s">
        <v>44</v>
      </c>
      <c r="C8" s="16">
        <v>1</v>
      </c>
      <c r="D8" s="9">
        <v>0.84945454545454524</v>
      </c>
      <c r="E8" s="6">
        <f t="shared" si="2"/>
        <v>4.2472727272727262</v>
      </c>
      <c r="F8" s="18">
        <f t="shared" si="3"/>
        <v>4.2472727272727262</v>
      </c>
      <c r="G8" s="10"/>
      <c r="H8" s="11">
        <v>0</v>
      </c>
      <c r="I8" s="7">
        <f t="shared" si="4"/>
        <v>0</v>
      </c>
      <c r="J8" s="17">
        <f t="shared" si="5"/>
        <v>0</v>
      </c>
      <c r="K8" s="12" t="s">
        <v>47</v>
      </c>
      <c r="L8" s="11">
        <v>0</v>
      </c>
      <c r="M8" s="7">
        <f t="shared" si="0"/>
        <v>0</v>
      </c>
      <c r="N8" s="17">
        <f>M8*C8</f>
        <v>0</v>
      </c>
      <c r="O8" s="12" t="s">
        <v>47</v>
      </c>
      <c r="P8" s="9">
        <v>1.5492181818181818</v>
      </c>
      <c r="Q8" s="6">
        <f t="shared" si="7"/>
        <v>7.7460909090909089</v>
      </c>
      <c r="R8" s="18">
        <f t="shared" si="8"/>
        <v>7.7460909090909089</v>
      </c>
      <c r="S8" s="10"/>
    </row>
    <row r="9" spans="1:20" x14ac:dyDescent="0.25">
      <c r="A9" s="4" t="s">
        <v>10</v>
      </c>
      <c r="B9" s="5" t="s">
        <v>45</v>
      </c>
      <c r="C9" s="16">
        <v>0.4</v>
      </c>
      <c r="D9" s="9">
        <v>327.61872727272726</v>
      </c>
      <c r="E9" s="6">
        <f t="shared" si="2"/>
        <v>1638.0936363636363</v>
      </c>
      <c r="F9" s="18">
        <f t="shared" si="3"/>
        <v>655.23745454545451</v>
      </c>
      <c r="G9" s="10"/>
      <c r="H9" s="9">
        <v>775.06666666666661</v>
      </c>
      <c r="I9" s="6">
        <f t="shared" si="4"/>
        <v>3875.333333333333</v>
      </c>
      <c r="J9" s="18">
        <f t="shared" si="5"/>
        <v>1550.1333333333332</v>
      </c>
      <c r="K9" s="10"/>
      <c r="L9" s="9">
        <v>896.28447272727271</v>
      </c>
      <c r="M9" s="6">
        <f t="shared" si="0"/>
        <v>4481.422363636364</v>
      </c>
      <c r="N9" s="18">
        <f t="shared" si="6"/>
        <v>1792.5689454545457</v>
      </c>
      <c r="O9" s="10"/>
      <c r="P9" s="9">
        <v>236.15636363636366</v>
      </c>
      <c r="Q9" s="6">
        <f t="shared" si="7"/>
        <v>1180.7818181818184</v>
      </c>
      <c r="R9" s="18">
        <f t="shared" si="8"/>
        <v>472.31272727272739</v>
      </c>
      <c r="S9" s="10"/>
    </row>
    <row r="10" spans="1:20" x14ac:dyDescent="0.25">
      <c r="A10" s="4" t="s">
        <v>11</v>
      </c>
      <c r="B10" s="5" t="s">
        <v>45</v>
      </c>
      <c r="C10" s="16">
        <v>0.4</v>
      </c>
      <c r="D10" s="9">
        <v>126.1090909090909</v>
      </c>
      <c r="E10" s="6">
        <f t="shared" si="2"/>
        <v>630.5454545454545</v>
      </c>
      <c r="F10" s="18">
        <f t="shared" si="3"/>
        <v>252.21818181818182</v>
      </c>
      <c r="G10" s="10"/>
      <c r="H10" s="9">
        <v>198.93333333333334</v>
      </c>
      <c r="I10" s="6">
        <f t="shared" si="4"/>
        <v>994.66666666666674</v>
      </c>
      <c r="J10" s="18">
        <f t="shared" si="5"/>
        <v>397.86666666666673</v>
      </c>
      <c r="K10" s="10"/>
      <c r="L10" s="9">
        <v>203</v>
      </c>
      <c r="M10" s="6">
        <f t="shared" si="0"/>
        <v>1015</v>
      </c>
      <c r="N10" s="18">
        <f t="shared" si="6"/>
        <v>406</v>
      </c>
      <c r="O10" s="10"/>
      <c r="P10" s="9">
        <v>52.709090909090904</v>
      </c>
      <c r="Q10" s="6">
        <f t="shared" si="7"/>
        <v>263.5454545454545</v>
      </c>
      <c r="R10" s="18">
        <f t="shared" si="8"/>
        <v>105.41818181818181</v>
      </c>
      <c r="S10" s="10"/>
    </row>
    <row r="11" spans="1:20" x14ac:dyDescent="0.25">
      <c r="A11" s="4" t="s">
        <v>12</v>
      </c>
      <c r="B11" s="5" t="s">
        <v>45</v>
      </c>
      <c r="C11" s="16">
        <v>0.4</v>
      </c>
      <c r="D11" s="9">
        <v>19.654545454545456</v>
      </c>
      <c r="E11" s="6">
        <f t="shared" si="2"/>
        <v>98.27272727272728</v>
      </c>
      <c r="F11" s="18">
        <f t="shared" si="3"/>
        <v>39.309090909090912</v>
      </c>
      <c r="G11" s="10"/>
      <c r="H11" s="9">
        <v>96.022222222222226</v>
      </c>
      <c r="I11" s="6">
        <f t="shared" si="4"/>
        <v>480.11111111111114</v>
      </c>
      <c r="J11" s="18">
        <f t="shared" si="5"/>
        <v>192.04444444444448</v>
      </c>
      <c r="K11" s="10"/>
      <c r="L11" s="9">
        <v>2.4</v>
      </c>
      <c r="M11" s="6">
        <f t="shared" si="0"/>
        <v>12</v>
      </c>
      <c r="N11" s="18">
        <f t="shared" si="6"/>
        <v>4.8000000000000007</v>
      </c>
      <c r="O11" s="10"/>
      <c r="P11" s="9">
        <v>7.745454545454546</v>
      </c>
      <c r="Q11" s="6">
        <f t="shared" si="7"/>
        <v>38.727272727272734</v>
      </c>
      <c r="R11" s="18">
        <f t="shared" si="8"/>
        <v>15.490909090909094</v>
      </c>
      <c r="S11" s="10"/>
    </row>
    <row r="12" spans="1:20" x14ac:dyDescent="0.25">
      <c r="A12" s="4" t="s">
        <v>13</v>
      </c>
      <c r="B12" s="5" t="s">
        <v>44</v>
      </c>
      <c r="C12" s="16">
        <v>1</v>
      </c>
      <c r="D12" s="9">
        <v>4.0202909090909094</v>
      </c>
      <c r="E12" s="6">
        <f t="shared" si="2"/>
        <v>20.101454545454548</v>
      </c>
      <c r="F12" s="18">
        <f t="shared" si="3"/>
        <v>20.101454545454548</v>
      </c>
      <c r="G12" s="10"/>
      <c r="H12" s="9">
        <v>0</v>
      </c>
      <c r="I12" s="6">
        <f t="shared" si="4"/>
        <v>0</v>
      </c>
      <c r="J12" s="18">
        <f t="shared" si="5"/>
        <v>0</v>
      </c>
      <c r="K12" s="10" t="s">
        <v>48</v>
      </c>
      <c r="L12" s="9">
        <v>55.282181818181812</v>
      </c>
      <c r="M12" s="6">
        <f t="shared" si="0"/>
        <v>276.41090909090906</v>
      </c>
      <c r="N12" s="18">
        <f t="shared" si="6"/>
        <v>276.41090909090906</v>
      </c>
      <c r="O12" s="10"/>
      <c r="P12" s="9">
        <v>2.9330363636363641</v>
      </c>
      <c r="Q12" s="6">
        <f t="shared" si="7"/>
        <v>14.665181818181821</v>
      </c>
      <c r="R12" s="18">
        <f t="shared" si="8"/>
        <v>14.665181818181821</v>
      </c>
      <c r="S12" s="10"/>
    </row>
    <row r="13" spans="1:20" x14ac:dyDescent="0.25">
      <c r="A13" s="4" t="s">
        <v>14</v>
      </c>
      <c r="B13" s="5" t="s">
        <v>45</v>
      </c>
      <c r="C13" s="16">
        <v>0.35</v>
      </c>
      <c r="D13" s="9">
        <v>18.963636363636365</v>
      </c>
      <c r="E13" s="6">
        <f t="shared" si="2"/>
        <v>94.818181818181827</v>
      </c>
      <c r="F13" s="18">
        <f t="shared" si="3"/>
        <v>33.186363636363637</v>
      </c>
      <c r="G13" s="10"/>
      <c r="H13" s="9">
        <v>17.333333333333332</v>
      </c>
      <c r="I13" s="6">
        <f t="shared" si="4"/>
        <v>86.666666666666657</v>
      </c>
      <c r="J13" s="18">
        <f t="shared" si="5"/>
        <v>30.333333333333329</v>
      </c>
      <c r="K13" s="10"/>
      <c r="L13" s="9">
        <v>47.327272727272728</v>
      </c>
      <c r="M13" s="6">
        <f t="shared" si="0"/>
        <v>236.63636363636363</v>
      </c>
      <c r="N13" s="18">
        <f t="shared" si="6"/>
        <v>82.822727272727263</v>
      </c>
      <c r="O13" s="10"/>
      <c r="P13" s="9">
        <v>29.25454545454545</v>
      </c>
      <c r="Q13" s="6">
        <f t="shared" si="7"/>
        <v>146.27272727272725</v>
      </c>
      <c r="R13" s="18">
        <f t="shared" si="8"/>
        <v>51.195454545454538</v>
      </c>
      <c r="S13" s="10"/>
    </row>
    <row r="14" spans="1:20" x14ac:dyDescent="0.25">
      <c r="A14" s="4" t="s">
        <v>15</v>
      </c>
      <c r="B14" s="5" t="s">
        <v>45</v>
      </c>
      <c r="C14" s="16">
        <v>0.4</v>
      </c>
      <c r="D14" s="9">
        <v>24.254545454545454</v>
      </c>
      <c r="E14" s="6">
        <f t="shared" si="2"/>
        <v>121.27272727272727</v>
      </c>
      <c r="F14" s="18">
        <f t="shared" si="3"/>
        <v>48.509090909090908</v>
      </c>
      <c r="G14" s="10"/>
      <c r="H14" s="9">
        <v>1.0222222222222221</v>
      </c>
      <c r="I14" s="6">
        <f t="shared" si="4"/>
        <v>5.1111111111111107</v>
      </c>
      <c r="J14" s="18">
        <f t="shared" si="5"/>
        <v>2.0444444444444443</v>
      </c>
      <c r="K14" s="10"/>
      <c r="L14" s="9">
        <v>35.236363636363635</v>
      </c>
      <c r="M14" s="6">
        <f t="shared" si="0"/>
        <v>176.18181818181819</v>
      </c>
      <c r="N14" s="18">
        <f t="shared" si="6"/>
        <v>70.472727272727283</v>
      </c>
      <c r="O14" s="10"/>
      <c r="P14" s="9">
        <v>13.854545454545455</v>
      </c>
      <c r="Q14" s="6">
        <f t="shared" si="7"/>
        <v>69.27272727272728</v>
      </c>
      <c r="R14" s="18">
        <f t="shared" si="8"/>
        <v>27.709090909090914</v>
      </c>
      <c r="S14" s="10"/>
    </row>
    <row r="15" spans="1:20" x14ac:dyDescent="0.25">
      <c r="A15" s="4" t="s">
        <v>16</v>
      </c>
      <c r="B15" s="5" t="s">
        <v>45</v>
      </c>
      <c r="C15" s="16">
        <v>0.4</v>
      </c>
      <c r="D15" s="9">
        <v>31.290909090909089</v>
      </c>
      <c r="E15" s="6">
        <f t="shared" si="2"/>
        <v>156.45454545454544</v>
      </c>
      <c r="F15" s="18">
        <f t="shared" si="3"/>
        <v>62.581818181818178</v>
      </c>
      <c r="G15" s="10"/>
      <c r="H15" s="9">
        <v>45.55555555555555</v>
      </c>
      <c r="I15" s="6">
        <f t="shared" si="4"/>
        <v>227.77777777777774</v>
      </c>
      <c r="J15" s="18">
        <f t="shared" si="5"/>
        <v>91.1111111111111</v>
      </c>
      <c r="K15" s="10"/>
      <c r="L15" s="9">
        <v>33.909090909090907</v>
      </c>
      <c r="M15" s="6">
        <f t="shared" si="0"/>
        <v>169.54545454545453</v>
      </c>
      <c r="N15" s="18">
        <f t="shared" si="6"/>
        <v>67.818181818181813</v>
      </c>
      <c r="O15" s="10"/>
      <c r="P15" s="9">
        <v>20.509090909090911</v>
      </c>
      <c r="Q15" s="6">
        <f t="shared" si="7"/>
        <v>102.54545454545456</v>
      </c>
      <c r="R15" s="18">
        <f t="shared" si="8"/>
        <v>41.01818181818183</v>
      </c>
      <c r="S15" s="10"/>
    </row>
    <row r="16" spans="1:20" x14ac:dyDescent="0.25">
      <c r="A16" s="4" t="s">
        <v>17</v>
      </c>
      <c r="B16" s="5" t="s">
        <v>45</v>
      </c>
      <c r="C16" s="16">
        <v>0.4</v>
      </c>
      <c r="D16" s="9">
        <v>51.891418181818175</v>
      </c>
      <c r="E16" s="6">
        <f t="shared" si="2"/>
        <v>259.45709090909088</v>
      </c>
      <c r="F16" s="18">
        <f t="shared" si="3"/>
        <v>103.78283636363636</v>
      </c>
      <c r="G16" s="10"/>
      <c r="H16" s="9">
        <v>58.555555555555557</v>
      </c>
      <c r="I16" s="6">
        <f t="shared" si="4"/>
        <v>292.77777777777777</v>
      </c>
      <c r="J16" s="18">
        <f t="shared" si="5"/>
        <v>117.11111111111111</v>
      </c>
      <c r="K16" s="10"/>
      <c r="L16" s="9">
        <v>115.61818181818181</v>
      </c>
      <c r="M16" s="6">
        <f t="shared" si="0"/>
        <v>578.09090909090901</v>
      </c>
      <c r="N16" s="18">
        <f t="shared" si="6"/>
        <v>231.23636363636362</v>
      </c>
      <c r="O16" s="10"/>
      <c r="P16" s="9">
        <v>41.836363636363643</v>
      </c>
      <c r="Q16" s="6">
        <f t="shared" si="7"/>
        <v>209.18181818181822</v>
      </c>
      <c r="R16" s="18">
        <f t="shared" si="8"/>
        <v>83.672727272727286</v>
      </c>
      <c r="S16" s="10"/>
    </row>
    <row r="17" spans="1:19" x14ac:dyDescent="0.25">
      <c r="A17" s="4" t="s">
        <v>38</v>
      </c>
      <c r="B17" s="5" t="s">
        <v>44</v>
      </c>
      <c r="C17" s="16">
        <v>1</v>
      </c>
      <c r="D17" s="9">
        <v>22.699436363636366</v>
      </c>
      <c r="E17" s="6">
        <f t="shared" si="2"/>
        <v>113.49718181818183</v>
      </c>
      <c r="F17" s="18">
        <f t="shared" si="3"/>
        <v>113.49718181818183</v>
      </c>
      <c r="G17" s="10"/>
      <c r="H17" s="11">
        <v>0</v>
      </c>
      <c r="I17" s="7">
        <f t="shared" si="4"/>
        <v>0</v>
      </c>
      <c r="J17" s="17">
        <f t="shared" si="5"/>
        <v>0</v>
      </c>
      <c r="K17" s="12" t="s">
        <v>47</v>
      </c>
      <c r="L17" s="9">
        <v>9.9446909090909106</v>
      </c>
      <c r="M17" s="6">
        <f t="shared" si="0"/>
        <v>49.723454545454551</v>
      </c>
      <c r="N17" s="18">
        <f t="shared" si="6"/>
        <v>49.723454545454551</v>
      </c>
      <c r="O17" s="10"/>
      <c r="P17" s="9">
        <v>7.1843272727272725</v>
      </c>
      <c r="Q17" s="6">
        <f t="shared" si="7"/>
        <v>35.92163636363636</v>
      </c>
      <c r="R17" s="18">
        <f t="shared" si="8"/>
        <v>35.92163636363636</v>
      </c>
      <c r="S17" s="10"/>
    </row>
    <row r="18" spans="1:19" x14ac:dyDescent="0.25">
      <c r="A18" s="4" t="s">
        <v>43</v>
      </c>
      <c r="B18" s="5" t="s">
        <v>45</v>
      </c>
      <c r="C18" s="16">
        <v>0.4</v>
      </c>
      <c r="D18" s="9">
        <v>4.254545454545454</v>
      </c>
      <c r="E18" s="6">
        <f t="shared" si="2"/>
        <v>21.27272727272727</v>
      </c>
      <c r="F18" s="18">
        <f t="shared" si="3"/>
        <v>8.5090909090909079</v>
      </c>
      <c r="G18" s="10"/>
      <c r="H18" s="11">
        <v>0</v>
      </c>
      <c r="I18" s="7">
        <f t="shared" si="4"/>
        <v>0</v>
      </c>
      <c r="J18" s="17">
        <f t="shared" si="5"/>
        <v>0</v>
      </c>
      <c r="K18" s="12" t="s">
        <v>47</v>
      </c>
      <c r="L18" s="9">
        <v>28.218181818181822</v>
      </c>
      <c r="M18" s="6">
        <f t="shared" si="0"/>
        <v>141.09090909090912</v>
      </c>
      <c r="N18" s="18">
        <f t="shared" si="6"/>
        <v>56.436363636363652</v>
      </c>
      <c r="O18" s="10"/>
      <c r="P18" s="9">
        <v>18.799999999999997</v>
      </c>
      <c r="Q18" s="6">
        <f t="shared" si="7"/>
        <v>93.999999999999986</v>
      </c>
      <c r="R18" s="18">
        <f t="shared" si="8"/>
        <v>37.599999999999994</v>
      </c>
      <c r="S18" s="10"/>
    </row>
    <row r="19" spans="1:19" x14ac:dyDescent="0.25">
      <c r="A19" s="4" t="s">
        <v>18</v>
      </c>
      <c r="B19" s="5" t="s">
        <v>45</v>
      </c>
      <c r="C19" s="16">
        <v>0.4</v>
      </c>
      <c r="D19" s="9">
        <v>10</v>
      </c>
      <c r="E19" s="6">
        <f t="shared" si="2"/>
        <v>50</v>
      </c>
      <c r="F19" s="18">
        <f t="shared" si="3"/>
        <v>20</v>
      </c>
      <c r="G19" s="10"/>
      <c r="H19" s="9">
        <v>3.0222222222222221</v>
      </c>
      <c r="I19" s="6">
        <f t="shared" si="4"/>
        <v>15.111111111111111</v>
      </c>
      <c r="J19" s="18">
        <f t="shared" si="5"/>
        <v>6.0444444444444443</v>
      </c>
      <c r="K19" s="10"/>
      <c r="L19" s="9">
        <v>12.69090909090909</v>
      </c>
      <c r="M19" s="6">
        <f t="shared" si="0"/>
        <v>63.454545454545446</v>
      </c>
      <c r="N19" s="18">
        <f t="shared" si="6"/>
        <v>25.381818181818179</v>
      </c>
      <c r="O19" s="10"/>
      <c r="P19" s="9">
        <v>12.527272727272729</v>
      </c>
      <c r="Q19" s="6">
        <f t="shared" si="7"/>
        <v>62.636363636363647</v>
      </c>
      <c r="R19" s="18">
        <f t="shared" si="8"/>
        <v>25.054545454545462</v>
      </c>
      <c r="S19" s="10"/>
    </row>
    <row r="20" spans="1:19" x14ac:dyDescent="0.25">
      <c r="A20" s="4" t="s">
        <v>50</v>
      </c>
      <c r="B20" s="5" t="s">
        <v>44</v>
      </c>
      <c r="C20" s="16">
        <v>1</v>
      </c>
      <c r="D20" s="9">
        <v>13.369254545454544</v>
      </c>
      <c r="E20" s="6">
        <f t="shared" si="2"/>
        <v>66.846272727272719</v>
      </c>
      <c r="F20" s="18">
        <f t="shared" si="3"/>
        <v>66.846272727272719</v>
      </c>
      <c r="G20" s="10"/>
      <c r="H20" s="9">
        <v>10.868822222222223</v>
      </c>
      <c r="I20" s="6">
        <f t="shared" si="4"/>
        <v>54.344111111111111</v>
      </c>
      <c r="J20" s="18">
        <f t="shared" ref="J20:J21" si="9">I20*C20</f>
        <v>54.344111111111111</v>
      </c>
      <c r="K20" s="10"/>
      <c r="L20" s="9">
        <v>9.9568909090909088</v>
      </c>
      <c r="M20" s="6">
        <f t="shared" ref="M20:M21" si="10">L20*$M$40</f>
        <v>49.784454545454544</v>
      </c>
      <c r="N20" s="18">
        <f t="shared" ref="N20:N21" si="11">M20*C20</f>
        <v>49.784454545454544</v>
      </c>
      <c r="O20" s="10"/>
      <c r="P20" s="9">
        <v>2.6069636363636364</v>
      </c>
      <c r="Q20" s="6">
        <f t="shared" si="7"/>
        <v>13.034818181818181</v>
      </c>
      <c r="R20" s="18">
        <f t="shared" ref="R20:R21" si="12">Q20*C20</f>
        <v>13.034818181818181</v>
      </c>
      <c r="S20" s="10"/>
    </row>
    <row r="21" spans="1:19" x14ac:dyDescent="0.25">
      <c r="A21" s="4" t="s">
        <v>51</v>
      </c>
      <c r="B21" s="5" t="s">
        <v>44</v>
      </c>
      <c r="C21" s="16">
        <v>1</v>
      </c>
      <c r="D21" s="9">
        <v>4.8971454545454556</v>
      </c>
      <c r="E21" s="6">
        <f t="shared" si="2"/>
        <v>24.485727272727278</v>
      </c>
      <c r="F21" s="18">
        <f t="shared" si="3"/>
        <v>24.485727272727278</v>
      </c>
      <c r="G21" s="10"/>
      <c r="H21" s="9">
        <v>2.5757333333333334</v>
      </c>
      <c r="I21" s="6">
        <f t="shared" si="4"/>
        <v>12.878666666666668</v>
      </c>
      <c r="J21" s="18">
        <f t="shared" si="9"/>
        <v>12.878666666666668</v>
      </c>
      <c r="K21" s="10"/>
      <c r="L21" s="9">
        <v>7.4163636363636362E-2</v>
      </c>
      <c r="M21" s="6">
        <f t="shared" si="10"/>
        <v>0.37081818181818182</v>
      </c>
      <c r="N21" s="18">
        <f t="shared" si="11"/>
        <v>0.37081818181818182</v>
      </c>
      <c r="O21" s="10" t="s">
        <v>48</v>
      </c>
      <c r="P21" s="9">
        <v>6.4128909090909101</v>
      </c>
      <c r="Q21" s="6">
        <f t="shared" si="7"/>
        <v>32.064454545454552</v>
      </c>
      <c r="R21" s="18">
        <f t="shared" si="12"/>
        <v>32.064454545454552</v>
      </c>
      <c r="S21" s="10"/>
    </row>
    <row r="22" spans="1:19" x14ac:dyDescent="0.25">
      <c r="A22" s="4" t="s">
        <v>19</v>
      </c>
      <c r="B22" s="5" t="s">
        <v>45</v>
      </c>
      <c r="C22" s="16">
        <v>0.4</v>
      </c>
      <c r="D22" s="9">
        <v>55.56363636363637</v>
      </c>
      <c r="E22" s="6">
        <f t="shared" si="2"/>
        <v>277.81818181818187</v>
      </c>
      <c r="F22" s="18">
        <f t="shared" si="3"/>
        <v>111.12727272727275</v>
      </c>
      <c r="G22" s="10"/>
      <c r="H22" s="9">
        <v>77.155555555555566</v>
      </c>
      <c r="I22" s="6">
        <f t="shared" si="4"/>
        <v>385.77777777777783</v>
      </c>
      <c r="J22" s="18">
        <f t="shared" si="5"/>
        <v>154.31111111111113</v>
      </c>
      <c r="K22" s="10"/>
      <c r="L22" s="9">
        <v>104.23636363636365</v>
      </c>
      <c r="M22" s="6">
        <f t="shared" ref="M22:M39" si="13">L22*$M$40</f>
        <v>521.18181818181824</v>
      </c>
      <c r="N22" s="18">
        <f t="shared" si="6"/>
        <v>208.4727272727273</v>
      </c>
      <c r="O22" s="10"/>
      <c r="P22" s="9">
        <v>51.81818181818182</v>
      </c>
      <c r="Q22" s="6">
        <f t="shared" si="7"/>
        <v>259.09090909090912</v>
      </c>
      <c r="R22" s="18">
        <f t="shared" si="8"/>
        <v>103.63636363636365</v>
      </c>
      <c r="S22" s="10"/>
    </row>
    <row r="23" spans="1:19" x14ac:dyDescent="0.25">
      <c r="A23" s="4" t="s">
        <v>20</v>
      </c>
      <c r="B23" s="5" t="s">
        <v>44</v>
      </c>
      <c r="C23" s="16">
        <v>1</v>
      </c>
      <c r="D23" s="9">
        <v>30.725945454545457</v>
      </c>
      <c r="E23" s="6">
        <f t="shared" si="2"/>
        <v>153.62972727272728</v>
      </c>
      <c r="F23" s="18">
        <f t="shared" si="3"/>
        <v>153.62972727272728</v>
      </c>
      <c r="G23" s="10"/>
      <c r="H23" s="9">
        <v>10.745244444444445</v>
      </c>
      <c r="I23" s="6">
        <f t="shared" si="4"/>
        <v>53.726222222222226</v>
      </c>
      <c r="J23" s="18">
        <f t="shared" si="5"/>
        <v>53.726222222222226</v>
      </c>
      <c r="K23" s="10"/>
      <c r="L23" s="9">
        <v>57.340545454545456</v>
      </c>
      <c r="M23" s="6">
        <f t="shared" si="13"/>
        <v>286.70272727272726</v>
      </c>
      <c r="N23" s="18">
        <f t="shared" si="6"/>
        <v>286.70272727272726</v>
      </c>
      <c r="O23" s="10"/>
      <c r="P23" s="9">
        <v>26.931236363636355</v>
      </c>
      <c r="Q23" s="6">
        <f t="shared" si="7"/>
        <v>134.65618181818178</v>
      </c>
      <c r="R23" s="18">
        <f t="shared" si="8"/>
        <v>134.65618181818178</v>
      </c>
      <c r="S23" s="10"/>
    </row>
    <row r="24" spans="1:19" x14ac:dyDescent="0.25">
      <c r="A24" s="4" t="s">
        <v>21</v>
      </c>
      <c r="B24" s="5" t="s">
        <v>44</v>
      </c>
      <c r="C24" s="16">
        <v>1</v>
      </c>
      <c r="D24" s="9">
        <v>27.621327272727271</v>
      </c>
      <c r="E24" s="6">
        <f t="shared" si="2"/>
        <v>138.10663636363637</v>
      </c>
      <c r="F24" s="18">
        <f t="shared" si="3"/>
        <v>138.10663636363637</v>
      </c>
      <c r="G24" s="10"/>
      <c r="H24" s="9">
        <v>15.893799999999999</v>
      </c>
      <c r="I24" s="6">
        <f t="shared" si="4"/>
        <v>79.468999999999994</v>
      </c>
      <c r="J24" s="18">
        <f t="shared" si="5"/>
        <v>79.468999999999994</v>
      </c>
      <c r="K24" s="10"/>
      <c r="L24" s="9">
        <v>67.759490909090914</v>
      </c>
      <c r="M24" s="6">
        <f t="shared" si="13"/>
        <v>338.79745454545457</v>
      </c>
      <c r="N24" s="18">
        <f t="shared" si="6"/>
        <v>338.79745454545457</v>
      </c>
      <c r="O24" s="10"/>
      <c r="P24" s="9">
        <v>29.374563636363636</v>
      </c>
      <c r="Q24" s="6">
        <f t="shared" si="7"/>
        <v>146.87281818181819</v>
      </c>
      <c r="R24" s="18">
        <f t="shared" si="8"/>
        <v>146.87281818181819</v>
      </c>
      <c r="S24" s="10"/>
    </row>
    <row r="25" spans="1:19" x14ac:dyDescent="0.25">
      <c r="A25" s="4" t="s">
        <v>22</v>
      </c>
      <c r="B25" s="5" t="s">
        <v>44</v>
      </c>
      <c r="C25" s="16">
        <v>1</v>
      </c>
      <c r="D25" s="9">
        <v>33.777581818181822</v>
      </c>
      <c r="E25" s="6">
        <f t="shared" si="2"/>
        <v>168.88790909090912</v>
      </c>
      <c r="F25" s="18">
        <f t="shared" si="3"/>
        <v>168.88790909090912</v>
      </c>
      <c r="G25" s="10"/>
      <c r="H25" s="9">
        <v>10.90248888888889</v>
      </c>
      <c r="I25" s="6">
        <f t="shared" si="4"/>
        <v>54.512444444444448</v>
      </c>
      <c r="J25" s="18">
        <f t="shared" si="5"/>
        <v>54.512444444444448</v>
      </c>
      <c r="K25" s="10"/>
      <c r="L25" s="9">
        <v>49.726290909090899</v>
      </c>
      <c r="M25" s="6">
        <f t="shared" si="13"/>
        <v>248.63145454545449</v>
      </c>
      <c r="N25" s="18">
        <f t="shared" si="6"/>
        <v>248.63145454545449</v>
      </c>
      <c r="O25" s="10"/>
      <c r="P25" s="9">
        <v>28.597381818181816</v>
      </c>
      <c r="Q25" s="6">
        <f t="shared" si="7"/>
        <v>142.98690909090908</v>
      </c>
      <c r="R25" s="18">
        <f t="shared" si="8"/>
        <v>142.98690909090908</v>
      </c>
      <c r="S25" s="10"/>
    </row>
    <row r="26" spans="1:19" x14ac:dyDescent="0.25">
      <c r="A26" s="4" t="s">
        <v>23</v>
      </c>
      <c r="B26" s="5" t="s">
        <v>45</v>
      </c>
      <c r="C26" s="16">
        <v>0.33</v>
      </c>
      <c r="D26" s="9">
        <v>10.872727272727273</v>
      </c>
      <c r="E26" s="6">
        <f t="shared" si="2"/>
        <v>54.363636363636367</v>
      </c>
      <c r="F26" s="18">
        <f t="shared" si="3"/>
        <v>17.940000000000001</v>
      </c>
      <c r="G26" s="10"/>
      <c r="H26" s="9">
        <v>34.844444444444441</v>
      </c>
      <c r="I26" s="6">
        <f t="shared" si="4"/>
        <v>174.2222222222222</v>
      </c>
      <c r="J26" s="18">
        <f t="shared" si="5"/>
        <v>57.493333333333332</v>
      </c>
      <c r="K26" s="10"/>
      <c r="L26" s="9">
        <v>7.4727272727272718</v>
      </c>
      <c r="M26" s="6">
        <f t="shared" si="13"/>
        <v>37.36363636363636</v>
      </c>
      <c r="N26" s="18">
        <f t="shared" si="6"/>
        <v>12.33</v>
      </c>
      <c r="O26" s="10"/>
      <c r="P26" s="9">
        <v>7.8363636363636369</v>
      </c>
      <c r="Q26" s="6">
        <f t="shared" si="7"/>
        <v>39.181818181818187</v>
      </c>
      <c r="R26" s="18">
        <f t="shared" si="8"/>
        <v>12.930000000000001</v>
      </c>
      <c r="S26" s="10"/>
    </row>
    <row r="27" spans="1:19" x14ac:dyDescent="0.25">
      <c r="A27" s="4" t="s">
        <v>24</v>
      </c>
      <c r="B27" s="5" t="s">
        <v>45</v>
      </c>
      <c r="C27" s="16">
        <v>0.35</v>
      </c>
      <c r="D27" s="9">
        <v>5.5454545454545459</v>
      </c>
      <c r="E27" s="6">
        <f t="shared" si="2"/>
        <v>27.72727272727273</v>
      </c>
      <c r="F27" s="18">
        <f t="shared" si="3"/>
        <v>9.704545454545455</v>
      </c>
      <c r="G27" s="10"/>
      <c r="H27" s="9">
        <v>29.911111111111111</v>
      </c>
      <c r="I27" s="6">
        <f t="shared" si="4"/>
        <v>149.55555555555554</v>
      </c>
      <c r="J27" s="18">
        <f t="shared" si="5"/>
        <v>52.344444444444434</v>
      </c>
      <c r="K27" s="10"/>
      <c r="L27" s="9">
        <v>16.945454545454542</v>
      </c>
      <c r="M27" s="6">
        <f t="shared" si="13"/>
        <v>84.727272727272705</v>
      </c>
      <c r="N27" s="18">
        <f t="shared" si="6"/>
        <v>29.654545454545445</v>
      </c>
      <c r="O27" s="10"/>
      <c r="P27" s="9">
        <v>5.327272727272728</v>
      </c>
      <c r="Q27" s="6">
        <f t="shared" si="7"/>
        <v>26.63636363636364</v>
      </c>
      <c r="R27" s="18">
        <f t="shared" si="8"/>
        <v>9.3227272727272741</v>
      </c>
      <c r="S27" s="10"/>
    </row>
    <row r="28" spans="1:19" x14ac:dyDescent="0.25">
      <c r="A28" s="4" t="s">
        <v>25</v>
      </c>
      <c r="B28" s="5" t="s">
        <v>45</v>
      </c>
      <c r="C28" s="16">
        <v>0.35</v>
      </c>
      <c r="D28" s="9">
        <v>29.127272727272729</v>
      </c>
      <c r="E28" s="6">
        <f t="shared" si="2"/>
        <v>145.63636363636365</v>
      </c>
      <c r="F28" s="18">
        <f t="shared" si="3"/>
        <v>50.972727272727276</v>
      </c>
      <c r="G28" s="10"/>
      <c r="H28" s="9">
        <v>70.62222222222222</v>
      </c>
      <c r="I28" s="6">
        <f t="shared" si="4"/>
        <v>353.11111111111109</v>
      </c>
      <c r="J28" s="18">
        <f t="shared" si="5"/>
        <v>123.58888888888887</v>
      </c>
      <c r="K28" s="10"/>
      <c r="L28" s="9">
        <v>48.345454545454544</v>
      </c>
      <c r="M28" s="6">
        <f t="shared" si="13"/>
        <v>241.72727272727272</v>
      </c>
      <c r="N28" s="18">
        <f t="shared" si="6"/>
        <v>84.604545454545445</v>
      </c>
      <c r="O28" s="10"/>
      <c r="P28" s="9">
        <v>4.6000000000000005</v>
      </c>
      <c r="Q28" s="6">
        <f t="shared" si="7"/>
        <v>23.000000000000004</v>
      </c>
      <c r="R28" s="18">
        <f t="shared" si="8"/>
        <v>8.0500000000000007</v>
      </c>
      <c r="S28" s="10"/>
    </row>
    <row r="29" spans="1:19" x14ac:dyDescent="0.25">
      <c r="A29" s="4" t="s">
        <v>26</v>
      </c>
      <c r="B29" s="5" t="s">
        <v>45</v>
      </c>
      <c r="C29" s="16">
        <v>0.3</v>
      </c>
      <c r="D29" s="9">
        <v>21.127272727272722</v>
      </c>
      <c r="E29" s="6">
        <f t="shared" si="2"/>
        <v>105.63636363636361</v>
      </c>
      <c r="F29" s="18">
        <f t="shared" si="3"/>
        <v>31.690909090909081</v>
      </c>
      <c r="G29" s="10"/>
      <c r="H29" s="9">
        <v>20.266666666666666</v>
      </c>
      <c r="I29" s="6">
        <f t="shared" si="4"/>
        <v>101.33333333333333</v>
      </c>
      <c r="J29" s="18">
        <f t="shared" si="5"/>
        <v>30.4</v>
      </c>
      <c r="K29" s="10"/>
      <c r="L29" s="9">
        <v>42.345454545454551</v>
      </c>
      <c r="M29" s="6">
        <f t="shared" si="13"/>
        <v>211.72727272727275</v>
      </c>
      <c r="N29" s="18">
        <f t="shared" si="6"/>
        <v>63.518181818181823</v>
      </c>
      <c r="O29" s="10"/>
      <c r="P29" s="9">
        <v>22.945454545454545</v>
      </c>
      <c r="Q29" s="6">
        <f t="shared" si="7"/>
        <v>114.72727272727272</v>
      </c>
      <c r="R29" s="18">
        <f t="shared" si="8"/>
        <v>34.418181818181814</v>
      </c>
      <c r="S29" s="10"/>
    </row>
    <row r="30" spans="1:19" x14ac:dyDescent="0.25">
      <c r="A30" s="4" t="s">
        <v>27</v>
      </c>
      <c r="B30" s="5" t="s">
        <v>45</v>
      </c>
      <c r="C30" s="16">
        <v>0.3</v>
      </c>
      <c r="D30" s="11">
        <v>0</v>
      </c>
      <c r="E30" s="7">
        <f t="shared" si="2"/>
        <v>0</v>
      </c>
      <c r="F30" s="17">
        <f t="shared" si="3"/>
        <v>0</v>
      </c>
      <c r="G30" s="12" t="s">
        <v>47</v>
      </c>
      <c r="H30" s="9">
        <v>7.133333333333332</v>
      </c>
      <c r="I30" s="6">
        <f t="shared" si="4"/>
        <v>35.666666666666657</v>
      </c>
      <c r="J30" s="18">
        <f t="shared" si="5"/>
        <v>10.699999999999998</v>
      </c>
      <c r="K30" s="10"/>
      <c r="L30" s="9">
        <v>36.545454545454554</v>
      </c>
      <c r="M30" s="6">
        <f t="shared" si="13"/>
        <v>182.72727272727278</v>
      </c>
      <c r="N30" s="18">
        <f t="shared" si="6"/>
        <v>54.818181818181834</v>
      </c>
      <c r="O30" s="10"/>
      <c r="P30" s="11">
        <v>0</v>
      </c>
      <c r="Q30" s="7">
        <f t="shared" si="7"/>
        <v>0</v>
      </c>
      <c r="R30" s="17">
        <f t="shared" si="8"/>
        <v>0</v>
      </c>
      <c r="S30" s="12" t="s">
        <v>47</v>
      </c>
    </row>
    <row r="31" spans="1:19" x14ac:dyDescent="0.25">
      <c r="A31" s="4" t="s">
        <v>28</v>
      </c>
      <c r="B31" s="5" t="s">
        <v>45</v>
      </c>
      <c r="C31" s="16">
        <v>7.0000000000000007E-2</v>
      </c>
      <c r="D31" s="9">
        <v>16.109090909090909</v>
      </c>
      <c r="E31" s="6">
        <f t="shared" si="2"/>
        <v>80.545454545454547</v>
      </c>
      <c r="F31" s="18">
        <f t="shared" si="3"/>
        <v>5.6381818181818186</v>
      </c>
      <c r="G31" s="10"/>
      <c r="H31" s="9">
        <v>26.31111111111111</v>
      </c>
      <c r="I31" s="6">
        <f t="shared" si="4"/>
        <v>131.55555555555554</v>
      </c>
      <c r="J31" s="18">
        <f t="shared" si="5"/>
        <v>9.2088888888888896</v>
      </c>
      <c r="K31" s="10"/>
      <c r="L31" s="9">
        <v>33.909090909090907</v>
      </c>
      <c r="M31" s="6">
        <f t="shared" si="13"/>
        <v>169.54545454545453</v>
      </c>
      <c r="N31" s="18">
        <f t="shared" si="6"/>
        <v>11.868181818181819</v>
      </c>
      <c r="O31" s="10"/>
      <c r="P31" s="9">
        <v>6.8</v>
      </c>
      <c r="Q31" s="6">
        <f t="shared" si="7"/>
        <v>34</v>
      </c>
      <c r="R31" s="18">
        <f t="shared" si="8"/>
        <v>2.3800000000000003</v>
      </c>
      <c r="S31" s="10"/>
    </row>
    <row r="32" spans="1:19" x14ac:dyDescent="0.25">
      <c r="A32" s="4" t="s">
        <v>29</v>
      </c>
      <c r="B32" s="5" t="s">
        <v>45</v>
      </c>
      <c r="C32" s="16">
        <v>0.3</v>
      </c>
      <c r="D32" s="11">
        <v>0</v>
      </c>
      <c r="E32" s="7">
        <f t="shared" si="2"/>
        <v>0</v>
      </c>
      <c r="F32" s="17">
        <f t="shared" si="3"/>
        <v>0</v>
      </c>
      <c r="G32" s="12" t="s">
        <v>47</v>
      </c>
      <c r="H32" s="9">
        <v>2.6222222222222222</v>
      </c>
      <c r="I32" s="6">
        <f t="shared" si="4"/>
        <v>13.111111111111111</v>
      </c>
      <c r="J32" s="18">
        <f t="shared" si="5"/>
        <v>3.9333333333333331</v>
      </c>
      <c r="K32" s="10"/>
      <c r="L32" s="9">
        <v>32.599999999999994</v>
      </c>
      <c r="M32" s="6">
        <f t="shared" si="13"/>
        <v>162.99999999999997</v>
      </c>
      <c r="N32" s="18">
        <f t="shared" si="6"/>
        <v>48.899999999999991</v>
      </c>
      <c r="O32" s="10"/>
      <c r="P32" s="11">
        <v>0</v>
      </c>
      <c r="Q32" s="7">
        <f t="shared" si="7"/>
        <v>0</v>
      </c>
      <c r="R32" s="17">
        <f t="shared" si="8"/>
        <v>0</v>
      </c>
      <c r="S32" s="12" t="s">
        <v>47</v>
      </c>
    </row>
    <row r="33" spans="1:19" x14ac:dyDescent="0.25">
      <c r="A33" s="4" t="s">
        <v>30</v>
      </c>
      <c r="B33" s="5" t="s">
        <v>45</v>
      </c>
      <c r="C33" s="16">
        <v>0.11</v>
      </c>
      <c r="D33" s="9">
        <v>0.47272727272727272</v>
      </c>
      <c r="E33" s="6">
        <f t="shared" si="2"/>
        <v>2.3636363636363638</v>
      </c>
      <c r="F33" s="18">
        <f t="shared" si="3"/>
        <v>0.26</v>
      </c>
      <c r="G33" s="10"/>
      <c r="H33" s="9">
        <v>1.2666666666666666</v>
      </c>
      <c r="I33" s="6">
        <f t="shared" si="4"/>
        <v>6.333333333333333</v>
      </c>
      <c r="J33" s="18">
        <f t="shared" si="5"/>
        <v>0.69666666666666666</v>
      </c>
      <c r="K33" s="10"/>
      <c r="L33" s="11">
        <v>0</v>
      </c>
      <c r="M33" s="7">
        <f t="shared" si="13"/>
        <v>0</v>
      </c>
      <c r="N33" s="17">
        <f>M33*C33</f>
        <v>0</v>
      </c>
      <c r="O33" s="12" t="s">
        <v>47</v>
      </c>
      <c r="P33" s="11">
        <v>0</v>
      </c>
      <c r="Q33" s="7">
        <f t="shared" si="7"/>
        <v>0</v>
      </c>
      <c r="R33" s="17">
        <f t="shared" si="8"/>
        <v>0</v>
      </c>
      <c r="S33" s="12" t="s">
        <v>47</v>
      </c>
    </row>
    <row r="34" spans="1:19" x14ac:dyDescent="0.25">
      <c r="A34" s="4" t="s">
        <v>31</v>
      </c>
      <c r="B34" s="5" t="s">
        <v>45</v>
      </c>
      <c r="C34" s="16">
        <v>0.3</v>
      </c>
      <c r="D34" s="11">
        <v>0</v>
      </c>
      <c r="E34" s="7">
        <f t="shared" si="2"/>
        <v>0</v>
      </c>
      <c r="F34" s="17">
        <f t="shared" si="3"/>
        <v>0</v>
      </c>
      <c r="G34" s="12" t="s">
        <v>47</v>
      </c>
      <c r="H34" s="9">
        <v>8.0444444444444443</v>
      </c>
      <c r="I34" s="6">
        <f t="shared" si="4"/>
        <v>40.222222222222221</v>
      </c>
      <c r="J34" s="18">
        <f t="shared" si="5"/>
        <v>12.066666666666666</v>
      </c>
      <c r="K34" s="10"/>
      <c r="L34" s="11">
        <v>0</v>
      </c>
      <c r="M34" s="7">
        <f t="shared" si="13"/>
        <v>0</v>
      </c>
      <c r="N34" s="17">
        <f t="shared" si="6"/>
        <v>0</v>
      </c>
      <c r="O34" s="12" t="s">
        <v>47</v>
      </c>
      <c r="P34" s="11">
        <v>0</v>
      </c>
      <c r="Q34" s="7">
        <f t="shared" si="7"/>
        <v>0</v>
      </c>
      <c r="R34" s="17">
        <f t="shared" si="8"/>
        <v>0</v>
      </c>
      <c r="S34" s="12" t="s">
        <v>47</v>
      </c>
    </row>
    <row r="35" spans="1:19" x14ac:dyDescent="0.25">
      <c r="A35" s="4" t="s">
        <v>32</v>
      </c>
      <c r="B35" s="5" t="s">
        <v>45</v>
      </c>
      <c r="C35" s="16">
        <v>0.28000000000000003</v>
      </c>
      <c r="D35" s="9">
        <v>44.218181818181819</v>
      </c>
      <c r="E35" s="6">
        <f t="shared" si="2"/>
        <v>221.09090909090909</v>
      </c>
      <c r="F35" s="18">
        <f t="shared" si="3"/>
        <v>61.905454545454553</v>
      </c>
      <c r="G35" s="10"/>
      <c r="H35" s="9">
        <v>69.977777777777789</v>
      </c>
      <c r="I35" s="6">
        <f t="shared" si="4"/>
        <v>349.88888888888891</v>
      </c>
      <c r="J35" s="18">
        <f t="shared" si="5"/>
        <v>97.968888888888898</v>
      </c>
      <c r="K35" s="10"/>
      <c r="L35" s="9">
        <v>65.672727272727258</v>
      </c>
      <c r="M35" s="6">
        <f t="shared" si="13"/>
        <v>328.36363636363626</v>
      </c>
      <c r="N35" s="18">
        <f t="shared" si="6"/>
        <v>91.941818181818164</v>
      </c>
      <c r="O35" s="10"/>
      <c r="P35" s="9">
        <v>21.290909090909093</v>
      </c>
      <c r="Q35" s="6">
        <f t="shared" si="7"/>
        <v>106.45454545454547</v>
      </c>
      <c r="R35" s="18">
        <f t="shared" si="8"/>
        <v>29.807272727272732</v>
      </c>
      <c r="S35" s="10"/>
    </row>
    <row r="36" spans="1:19" x14ac:dyDescent="0.25">
      <c r="A36" s="4" t="s">
        <v>33</v>
      </c>
      <c r="B36" s="5" t="s">
        <v>45</v>
      </c>
      <c r="C36" s="16">
        <v>0.28000000000000003</v>
      </c>
      <c r="D36" s="9">
        <v>23.836363636363636</v>
      </c>
      <c r="E36" s="6">
        <f t="shared" si="2"/>
        <v>119.18181818181819</v>
      </c>
      <c r="F36" s="18">
        <f t="shared" si="3"/>
        <v>33.370909090909095</v>
      </c>
      <c r="G36" s="10"/>
      <c r="H36" s="9">
        <v>61.818266666666673</v>
      </c>
      <c r="I36" s="6">
        <f t="shared" si="4"/>
        <v>309.09133333333335</v>
      </c>
      <c r="J36" s="18">
        <f t="shared" si="5"/>
        <v>86.545573333333351</v>
      </c>
      <c r="K36" s="10"/>
      <c r="L36" s="11">
        <v>0</v>
      </c>
      <c r="M36" s="7">
        <f t="shared" si="13"/>
        <v>0</v>
      </c>
      <c r="N36" s="17">
        <f>M36*C36</f>
        <v>0</v>
      </c>
      <c r="O36" s="12" t="s">
        <v>47</v>
      </c>
      <c r="P36" s="9">
        <v>30.581818181818186</v>
      </c>
      <c r="Q36" s="6">
        <f t="shared" si="7"/>
        <v>152.90909090909093</v>
      </c>
      <c r="R36" s="18">
        <f t="shared" si="8"/>
        <v>42.814545454545467</v>
      </c>
      <c r="S36" s="10"/>
    </row>
    <row r="37" spans="1:19" x14ac:dyDescent="0.25">
      <c r="A37" s="4" t="s">
        <v>34</v>
      </c>
      <c r="B37" s="5" t="s">
        <v>45</v>
      </c>
      <c r="C37" s="16">
        <v>0.09</v>
      </c>
      <c r="D37" s="9">
        <v>5.1636363636363631</v>
      </c>
      <c r="E37" s="6">
        <f t="shared" si="2"/>
        <v>25.818181818181817</v>
      </c>
      <c r="F37" s="18">
        <f t="shared" si="3"/>
        <v>2.3236363636363633</v>
      </c>
      <c r="G37" s="10"/>
      <c r="H37" s="9">
        <v>9.6888888888888882</v>
      </c>
      <c r="I37" s="6">
        <f t="shared" si="4"/>
        <v>48.444444444444443</v>
      </c>
      <c r="J37" s="18">
        <f t="shared" si="5"/>
        <v>4.3599999999999994</v>
      </c>
      <c r="K37" s="10"/>
      <c r="L37" s="9">
        <v>0</v>
      </c>
      <c r="M37" s="6">
        <f t="shared" si="13"/>
        <v>0</v>
      </c>
      <c r="N37" s="18">
        <f t="shared" si="6"/>
        <v>0</v>
      </c>
      <c r="O37" s="10" t="s">
        <v>48</v>
      </c>
      <c r="P37" s="11">
        <v>0</v>
      </c>
      <c r="Q37" s="7">
        <f t="shared" si="7"/>
        <v>0</v>
      </c>
      <c r="R37" s="17">
        <f t="shared" si="8"/>
        <v>0</v>
      </c>
      <c r="S37" s="12" t="s">
        <v>47</v>
      </c>
    </row>
    <row r="38" spans="1:19" x14ac:dyDescent="0.25">
      <c r="A38" s="4" t="s">
        <v>39</v>
      </c>
      <c r="B38" s="5" t="s">
        <v>45</v>
      </c>
      <c r="C38" s="16">
        <v>0.3</v>
      </c>
      <c r="D38" s="9">
        <v>34.909090909090907</v>
      </c>
      <c r="E38" s="6">
        <f t="shared" si="2"/>
        <v>174.54545454545453</v>
      </c>
      <c r="F38" s="18">
        <f t="shared" si="3"/>
        <v>52.36363636363636</v>
      </c>
      <c r="G38" s="10"/>
      <c r="H38" s="9">
        <v>29.777777777777779</v>
      </c>
      <c r="I38" s="6">
        <f t="shared" si="4"/>
        <v>148.88888888888889</v>
      </c>
      <c r="J38" s="18">
        <f t="shared" si="5"/>
        <v>44.666666666666664</v>
      </c>
      <c r="K38" s="10"/>
      <c r="L38" s="9">
        <v>69.927272727272722</v>
      </c>
      <c r="M38" s="6">
        <f t="shared" si="13"/>
        <v>349.63636363636363</v>
      </c>
      <c r="N38" s="18">
        <f t="shared" si="6"/>
        <v>104.89090909090909</v>
      </c>
      <c r="O38" s="10"/>
      <c r="P38" s="9">
        <v>41.909090909090907</v>
      </c>
      <c r="Q38" s="6">
        <f t="shared" si="7"/>
        <v>209.54545454545453</v>
      </c>
      <c r="R38" s="18">
        <f t="shared" si="8"/>
        <v>62.86363636363636</v>
      </c>
      <c r="S38" s="10"/>
    </row>
    <row r="39" spans="1:19" ht="15.75" thickBot="1" x14ac:dyDescent="0.3">
      <c r="A39" s="4" t="s">
        <v>35</v>
      </c>
      <c r="B39" s="5" t="s">
        <v>45</v>
      </c>
      <c r="C39" s="16">
        <v>0.3</v>
      </c>
      <c r="D39" s="13">
        <v>18.163636363636364</v>
      </c>
      <c r="E39" s="14">
        <f t="shared" si="2"/>
        <v>90.818181818181813</v>
      </c>
      <c r="F39" s="19">
        <f t="shared" si="3"/>
        <v>27.245454545454542</v>
      </c>
      <c r="G39" s="15"/>
      <c r="H39" s="13">
        <v>9.844444444444445</v>
      </c>
      <c r="I39" s="14">
        <f t="shared" si="4"/>
        <v>49.222222222222229</v>
      </c>
      <c r="J39" s="19">
        <f t="shared" si="5"/>
        <v>14.766666666666667</v>
      </c>
      <c r="K39" s="15"/>
      <c r="L39" s="13">
        <v>54.709090909090918</v>
      </c>
      <c r="M39" s="14">
        <f t="shared" si="13"/>
        <v>273.54545454545462</v>
      </c>
      <c r="N39" s="19">
        <f t="shared" si="6"/>
        <v>82.063636363636377</v>
      </c>
      <c r="O39" s="15"/>
      <c r="P39" s="13">
        <v>24.090909090909097</v>
      </c>
      <c r="Q39" s="14">
        <f t="shared" si="7"/>
        <v>120.45454545454548</v>
      </c>
      <c r="R39" s="19">
        <f t="shared" si="8"/>
        <v>36.13636363636364</v>
      </c>
      <c r="S39" s="15"/>
    </row>
    <row r="40" spans="1:19" s="3" customFormat="1" ht="15.75" thickBot="1" x14ac:dyDescent="0.3">
      <c r="E40" s="51">
        <f>T1</f>
        <v>5</v>
      </c>
      <c r="F40" s="8">
        <f>SUM(F3:F39)</f>
        <v>3605.4253818181819</v>
      </c>
      <c r="I40" s="51">
        <f>T1</f>
        <v>5</v>
      </c>
      <c r="J40" s="8">
        <f>SUM(J3:J39)</f>
        <v>10716.35835111111</v>
      </c>
      <c r="M40" s="51">
        <f>T1</f>
        <v>5</v>
      </c>
      <c r="N40" s="8">
        <f>SUM(N3:N39)</f>
        <v>9217.3209454545467</v>
      </c>
      <c r="Q40" s="51">
        <f>T1</f>
        <v>5</v>
      </c>
      <c r="R40" s="8">
        <f>SUM(R3:R39)</f>
        <v>3026.4771818181825</v>
      </c>
    </row>
  </sheetData>
  <autoFilter ref="A1:S39" xr:uid="{00000000-0001-0000-0000-000000000000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</autoFilter>
  <mergeCells count="7">
    <mergeCell ref="D1:G1"/>
    <mergeCell ref="H1:K1"/>
    <mergeCell ref="L1:O1"/>
    <mergeCell ref="P1:S1"/>
    <mergeCell ref="A1:A2"/>
    <mergeCell ref="B1:B2"/>
    <mergeCell ref="C1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2026-08-05T15:46:47Z</dcterms:modified>
</cp:coreProperties>
</file>