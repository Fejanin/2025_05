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FFD7F62-CE63-4A4A-9313-F1D7964B6CA2}" xr6:coauthVersionLast="45" xr6:coauthVersionMax="45" xr10:uidLastSave="{00000000-0000-0000-0000-000000000000}"/>
  <bookViews>
    <workbookView xWindow="12045" yWindow="1275" windowWidth="17100" windowHeight="14670" xr2:uid="{00000000-000D-0000-FFFF-FFFF00000000}"/>
  </bookViews>
  <sheets>
    <sheet name="Лист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5" i="3" l="1"/>
  <c r="O45" i="3"/>
  <c r="K45" i="3"/>
  <c r="G45" i="3"/>
</calcChain>
</file>

<file path=xl/sharedStrings.xml><?xml version="1.0" encoding="utf-8"?>
<sst xmlns="http://schemas.openxmlformats.org/spreadsheetml/2006/main" count="127" uniqueCount="56">
  <si>
    <t>Номенклатура</t>
  </si>
  <si>
    <t>Ед. изм.</t>
  </si>
  <si>
    <t>кооф.</t>
  </si>
  <si>
    <t>Бердянск</t>
  </si>
  <si>
    <t>Донецк</t>
  </si>
  <si>
    <t>Луганск</t>
  </si>
  <si>
    <t>Мелитополь</t>
  </si>
  <si>
    <t>ср.пр./дн</t>
  </si>
  <si>
    <t>потребность, шт</t>
  </si>
  <si>
    <t>ВЕС, кг</t>
  </si>
  <si>
    <t>комментарии</t>
  </si>
  <si>
    <t xml:space="preserve"> 240  Колбаса Салями охотничья, ВЕС. ПОКОМ</t>
  </si>
  <si>
    <t>кг</t>
  </si>
  <si>
    <t>нет потребности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</si>
  <si>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</si>
  <si>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</si>
  <si>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</si>
  <si>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</si>
  <si>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</si>
  <si>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273  Сосиски Сочинки с сочной грудинкой, МГС 0.4кг,   ПОКОМ</t>
  </si>
  <si>
    <t>шт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</si>
  <si>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</si>
  <si>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</si>
  <si>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</si>
  <si>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только начали заказывать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</si>
  <si>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</si>
  <si>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</si>
  <si>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</si>
  <si>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</si>
  <si>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318  Сосиски Датские ТМ Зареченские, ВЕС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</si>
  <si>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</si>
  <si>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</si>
  <si>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</si>
  <si>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</si>
  <si>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</si>
  <si>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</si>
  <si>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</si>
  <si>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</si>
  <si>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</si>
  <si>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</si>
  <si>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</si>
  <si>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</si>
  <si>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</si>
  <si>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</si>
  <si>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</si>
  <si>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</si>
  <si>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</si>
  <si>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</si>
  <si>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</si>
  <si>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</si>
  <si>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495  Колбаса Сочинка по-европейски с сочной грудинкой 0,3кг ТМ Стародворье  ПОКОМ</t>
  </si>
  <si>
    <t>515  Колбаса Сервелат Мясорубский Делюкс 0,3кг ТМ Стародворье  ПОКОМ</t>
  </si>
  <si>
    <t xml:space="preserve"> 364  Сардельки Филейские Вязанка ВЕС NDX ТМ Вязанка  ПОКОМ, кг</t>
  </si>
  <si>
    <t xml:space="preserve"> 030  Сосиски Вязанка Молочные, Вязанка вискофан МГС, 0.45кг, ПОКОМ, шт</t>
  </si>
  <si>
    <t xml:space="preserve"> 530  Окорок Хамон выдержанный нарезка 0,055кг ТМ Стародворье  ПОКОМ, SU003923</t>
  </si>
  <si>
    <t xml:space="preserve"> 342 Сосиски Сочинки Молочные ТМ Стародворье 0,4 кг ПОКОМ, SU002842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</si>
</sst>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  <numFmt numFmtId="167" formatCode="0_ ;[Red]\-0\ "/>
    <numFmt numFmtId="168" formatCode="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FFF4C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3" fillId="0" borderId="0"/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164" fontId="3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8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0" fillId="0" borderId="0"/>
    <xf numFmtId="0" fontId="11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9" fontId="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13" fillId="7" borderId="1" applyNumberFormat="0" applyAlignment="0" applyProtection="0"/>
    <xf numFmtId="0" fontId="14" fillId="20" borderId="2" applyNumberFormat="0" applyAlignment="0" applyProtection="0"/>
    <xf numFmtId="0" fontId="15" fillId="20" borderId="1" applyNumberFormat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21" borderId="7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22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6" fillId="0" borderId="0"/>
    <xf numFmtId="0" fontId="9" fillId="0" borderId="0">
      <alignment horizontal="left"/>
    </xf>
    <xf numFmtId="0" fontId="16" fillId="0" borderId="0"/>
    <xf numFmtId="0" fontId="16" fillId="0" borderId="0"/>
    <xf numFmtId="0" fontId="24" fillId="0" borderId="0"/>
    <xf numFmtId="0" fontId="16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9" fillId="0" borderId="0">
      <alignment horizontal="left"/>
    </xf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" fillId="0" borderId="0"/>
    <xf numFmtId="166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4" fillId="0" borderId="0"/>
    <xf numFmtId="0" fontId="24" fillId="0" borderId="0"/>
    <xf numFmtId="0" fontId="16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4" fillId="0" borderId="0"/>
    <xf numFmtId="0" fontId="1" fillId="0" borderId="0"/>
    <xf numFmtId="0" fontId="3" fillId="0" borderId="0"/>
    <xf numFmtId="0" fontId="16" fillId="0" borderId="0"/>
    <xf numFmtId="0" fontId="1" fillId="0" borderId="0"/>
    <xf numFmtId="0" fontId="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3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3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0" fillId="0" borderId="9" applyNumberFormat="0" applyFill="0" applyAlignment="0" applyProtection="0"/>
    <xf numFmtId="0" fontId="31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2" fillId="4" borderId="0" applyNumberFormat="0" applyBorder="0" applyAlignment="0" applyProtection="0"/>
    <xf numFmtId="0" fontId="12" fillId="0" borderId="0"/>
  </cellStyleXfs>
  <cellXfs count="25">
    <xf numFmtId="0" fontId="0" fillId="0" borderId="0" xfId="0"/>
    <xf numFmtId="168" fontId="2" fillId="0" borderId="10" xfId="1" applyNumberFormat="1" applyFont="1" applyBorder="1"/>
    <xf numFmtId="168" fontId="2" fillId="26" borderId="10" xfId="1" applyNumberFormat="1" applyFont="1" applyFill="1" applyBorder="1"/>
    <xf numFmtId="168" fontId="3" fillId="26" borderId="10" xfId="1" applyNumberFormat="1" applyFill="1" applyBorder="1"/>
    <xf numFmtId="168" fontId="3" fillId="0" borderId="10" xfId="1" applyNumberFormat="1" applyBorder="1"/>
    <xf numFmtId="2" fontId="3" fillId="0" borderId="10" xfId="1" applyNumberFormat="1" applyBorder="1"/>
    <xf numFmtId="0" fontId="3" fillId="0" borderId="10" xfId="1" applyBorder="1"/>
    <xf numFmtId="1" fontId="3" fillId="24" borderId="10" xfId="1" applyNumberFormat="1" applyFill="1" applyBorder="1"/>
    <xf numFmtId="168" fontId="2" fillId="24" borderId="10" xfId="1" applyNumberFormat="1" applyFont="1" applyFill="1" applyBorder="1"/>
    <xf numFmtId="2" fontId="3" fillId="24" borderId="10" xfId="1" applyNumberFormat="1" applyFill="1" applyBorder="1"/>
    <xf numFmtId="0" fontId="3" fillId="24" borderId="10" xfId="1" applyFill="1" applyBorder="1"/>
    <xf numFmtId="168" fontId="3" fillId="24" borderId="10" xfId="1" applyNumberFormat="1" applyFill="1" applyBorder="1"/>
    <xf numFmtId="1" fontId="2" fillId="0" borderId="10" xfId="1" applyNumberFormat="1" applyFont="1" applyBorder="1"/>
    <xf numFmtId="168" fontId="34" fillId="0" borderId="10" xfId="1" applyNumberFormat="1" applyFont="1" applyBorder="1"/>
    <xf numFmtId="1" fontId="3" fillId="0" borderId="10" xfId="1" applyNumberFormat="1" applyBorder="1"/>
    <xf numFmtId="168" fontId="33" fillId="25" borderId="10" xfId="529" applyNumberFormat="1" applyFont="1" applyFill="1" applyBorder="1" applyAlignment="1">
      <alignment wrapText="1"/>
    </xf>
    <xf numFmtId="168" fontId="33" fillId="25" borderId="10" xfId="529" applyNumberFormat="1" applyFont="1" applyFill="1" applyBorder="1"/>
    <xf numFmtId="0" fontId="35" fillId="0" borderId="10" xfId="1" applyFont="1" applyBorder="1"/>
    <xf numFmtId="0" fontId="0" fillId="0" borderId="0" xfId="0"/>
    <xf numFmtId="0" fontId="0" fillId="24" borderId="10" xfId="0" applyFill="1" applyBorder="1"/>
    <xf numFmtId="0" fontId="0" fillId="0" borderId="10" xfId="0" applyBorder="1"/>
    <xf numFmtId="168" fontId="33" fillId="25" borderId="10" xfId="529" applyNumberFormat="1" applyFont="1" applyFill="1" applyBorder="1" applyAlignment="1">
      <alignment horizontal="center"/>
    </xf>
    <xf numFmtId="167" fontId="33" fillId="25" borderId="10" xfId="529" applyNumberFormat="1" applyFont="1" applyFill="1" applyBorder="1" applyAlignment="1">
      <alignment horizontal="center" vertical="center"/>
    </xf>
    <xf numFmtId="2" fontId="33" fillId="25" borderId="10" xfId="529" applyNumberFormat="1" applyFont="1" applyFill="1" applyBorder="1" applyAlignment="1">
      <alignment horizontal="center" vertical="center"/>
    </xf>
    <xf numFmtId="0" fontId="34" fillId="0" borderId="0" xfId="0" applyFont="1"/>
  </cellXfs>
  <cellStyles count="530">
    <cellStyle name="0,0_x000d__x000a_NA_x000d__x000a_" xfId="2" xr:uid="{00000000-0005-0000-0000-000000000000}"/>
    <cellStyle name="20% - Акцент1 2" xfId="3" xr:uid="{00000000-0005-0000-0000-000001000000}"/>
    <cellStyle name="20% - Акцент2 2" xfId="4" xr:uid="{00000000-0005-0000-0000-000002000000}"/>
    <cellStyle name="20% - Акцент3 2" xfId="5" xr:uid="{00000000-0005-0000-0000-000003000000}"/>
    <cellStyle name="20% - Акцент4 2" xfId="6" xr:uid="{00000000-0005-0000-0000-000004000000}"/>
    <cellStyle name="20% - Акцент5 2" xfId="7" xr:uid="{00000000-0005-0000-0000-000005000000}"/>
    <cellStyle name="20% - Акцент6 2" xfId="8" xr:uid="{00000000-0005-0000-0000-000006000000}"/>
    <cellStyle name="40% - Акцент1 2" xfId="9" xr:uid="{00000000-0005-0000-0000-000007000000}"/>
    <cellStyle name="40% - Акцент2 2" xfId="10" xr:uid="{00000000-0005-0000-0000-000008000000}"/>
    <cellStyle name="40% - Акцент3 2" xfId="11" xr:uid="{00000000-0005-0000-0000-000009000000}"/>
    <cellStyle name="40% - Акцент4 2" xfId="12" xr:uid="{00000000-0005-0000-0000-00000A000000}"/>
    <cellStyle name="40% - Акцент5 2" xfId="13" xr:uid="{00000000-0005-0000-0000-00000B000000}"/>
    <cellStyle name="40% - Акцент6 2" xfId="14" xr:uid="{00000000-0005-0000-0000-00000C000000}"/>
    <cellStyle name="60% - Акцент1 2" xfId="15" xr:uid="{00000000-0005-0000-0000-00000D000000}"/>
    <cellStyle name="60% - Акцент2 2" xfId="16" xr:uid="{00000000-0005-0000-0000-00000E000000}"/>
    <cellStyle name="60% - Акцент3 2" xfId="17" xr:uid="{00000000-0005-0000-0000-00000F000000}"/>
    <cellStyle name="60% - Акцент4 2" xfId="18" xr:uid="{00000000-0005-0000-0000-000010000000}"/>
    <cellStyle name="60% - Акцент5 2" xfId="19" xr:uid="{00000000-0005-0000-0000-000011000000}"/>
    <cellStyle name="60% - Акцент6 2" xfId="20" xr:uid="{00000000-0005-0000-0000-000012000000}"/>
    <cellStyle name="Arial10px" xfId="529" xr:uid="{00000000-0005-0000-0000-000013000000}"/>
    <cellStyle name="Comma 2" xfId="21" xr:uid="{00000000-0005-0000-0000-000014000000}"/>
    <cellStyle name="Comma 2 2" xfId="22" xr:uid="{00000000-0005-0000-0000-000015000000}"/>
    <cellStyle name="Comma 2 2 2" xfId="23" xr:uid="{00000000-0005-0000-0000-000016000000}"/>
    <cellStyle name="Comma 2 3" xfId="24" xr:uid="{00000000-0005-0000-0000-000017000000}"/>
    <cellStyle name="Comma 3" xfId="25" xr:uid="{00000000-0005-0000-0000-000018000000}"/>
    <cellStyle name="Comma 4" xfId="26" xr:uid="{00000000-0005-0000-0000-000019000000}"/>
    <cellStyle name="Comma 4 2" xfId="27" xr:uid="{00000000-0005-0000-0000-00001A000000}"/>
    <cellStyle name="Comma 5" xfId="28" xr:uid="{00000000-0005-0000-0000-00001B000000}"/>
    <cellStyle name="Comma 5 2" xfId="29" xr:uid="{00000000-0005-0000-0000-00001C000000}"/>
    <cellStyle name="Comma 5 2 2" xfId="30" xr:uid="{00000000-0005-0000-0000-00001D000000}"/>
    <cellStyle name="Comma 5 3" xfId="31" xr:uid="{00000000-0005-0000-0000-00001E000000}"/>
    <cellStyle name="Comma 5 3 2" xfId="32" xr:uid="{00000000-0005-0000-0000-00001F000000}"/>
    <cellStyle name="Comma 5 4" xfId="33" xr:uid="{00000000-0005-0000-0000-000020000000}"/>
    <cellStyle name="Comma 5 4 2" xfId="34" xr:uid="{00000000-0005-0000-0000-000021000000}"/>
    <cellStyle name="Comma 5 5" xfId="35" xr:uid="{00000000-0005-0000-0000-000022000000}"/>
    <cellStyle name="Comma 6" xfId="36" xr:uid="{00000000-0005-0000-0000-000023000000}"/>
    <cellStyle name="Comma 6 2" xfId="37" xr:uid="{00000000-0005-0000-0000-000024000000}"/>
    <cellStyle name="Legal 8? x 14 in" xfId="38" xr:uid="{00000000-0005-0000-0000-000025000000}"/>
    <cellStyle name="Legal 8½ x 14 in" xfId="39" xr:uid="{00000000-0005-0000-0000-000026000000}"/>
    <cellStyle name="Normal 2" xfId="40" xr:uid="{00000000-0005-0000-0000-000027000000}"/>
    <cellStyle name="Normal 2 2" xfId="41" xr:uid="{00000000-0005-0000-0000-000028000000}"/>
    <cellStyle name="Normal 2 3" xfId="42" xr:uid="{00000000-0005-0000-0000-000029000000}"/>
    <cellStyle name="Normal 2 4" xfId="43" xr:uid="{00000000-0005-0000-0000-00002A000000}"/>
    <cellStyle name="Normal 3" xfId="44" xr:uid="{00000000-0005-0000-0000-00002B000000}"/>
    <cellStyle name="Normal 4" xfId="45" xr:uid="{00000000-0005-0000-0000-00002C000000}"/>
    <cellStyle name="Normal 4 2" xfId="46" xr:uid="{00000000-0005-0000-0000-00002D000000}"/>
    <cellStyle name="Normal 4 3" xfId="47" xr:uid="{00000000-0005-0000-0000-00002E000000}"/>
    <cellStyle name="Normal 4 4" xfId="48" xr:uid="{00000000-0005-0000-0000-00002F000000}"/>
    <cellStyle name="Normal 5" xfId="49" xr:uid="{00000000-0005-0000-0000-000030000000}"/>
    <cellStyle name="Normal 6" xfId="50" xr:uid="{00000000-0005-0000-0000-000031000000}"/>
    <cellStyle name="Normal 6 2" xfId="51" xr:uid="{00000000-0005-0000-0000-000032000000}"/>
    <cellStyle name="Normal 6 3" xfId="52" xr:uid="{00000000-0005-0000-0000-000033000000}"/>
    <cellStyle name="Normal 7" xfId="53" xr:uid="{00000000-0005-0000-0000-000034000000}"/>
    <cellStyle name="Normal 8" xfId="54" xr:uid="{00000000-0005-0000-0000-000035000000}"/>
    <cellStyle name="Normal 8 2" xfId="55" xr:uid="{00000000-0005-0000-0000-000036000000}"/>
    <cellStyle name="Normal 8 3" xfId="56" xr:uid="{00000000-0005-0000-0000-000037000000}"/>
    <cellStyle name="Normal 9" xfId="57" xr:uid="{00000000-0005-0000-0000-000038000000}"/>
    <cellStyle name="Percent 2" xfId="58" xr:uid="{00000000-0005-0000-0000-000039000000}"/>
    <cellStyle name="Percent 3" xfId="59" xr:uid="{00000000-0005-0000-0000-00003A000000}"/>
    <cellStyle name="Percent 4" xfId="60" xr:uid="{00000000-0005-0000-0000-00003B000000}"/>
    <cellStyle name="Акцент1 2" xfId="61" xr:uid="{00000000-0005-0000-0000-00003C000000}"/>
    <cellStyle name="Акцент2 2" xfId="62" xr:uid="{00000000-0005-0000-0000-00003D000000}"/>
    <cellStyle name="Акцент3 2" xfId="63" xr:uid="{00000000-0005-0000-0000-00003E000000}"/>
    <cellStyle name="Акцент4 2" xfId="64" xr:uid="{00000000-0005-0000-0000-00003F000000}"/>
    <cellStyle name="Акцент5 2" xfId="65" xr:uid="{00000000-0005-0000-0000-000040000000}"/>
    <cellStyle name="Акцент6 2" xfId="66" xr:uid="{00000000-0005-0000-0000-000041000000}"/>
    <cellStyle name="Ввод  2" xfId="67" xr:uid="{00000000-0005-0000-0000-000042000000}"/>
    <cellStyle name="Вывод 2" xfId="68" xr:uid="{00000000-0005-0000-0000-000043000000}"/>
    <cellStyle name="Вычисление 2" xfId="69" xr:uid="{00000000-0005-0000-0000-000044000000}"/>
    <cellStyle name="Денежный 2" xfId="70" xr:uid="{00000000-0005-0000-0000-000045000000}"/>
    <cellStyle name="Денежный 2 2" xfId="71" xr:uid="{00000000-0005-0000-0000-000046000000}"/>
    <cellStyle name="Денежный 2 3" xfId="72" xr:uid="{00000000-0005-0000-0000-000047000000}"/>
    <cellStyle name="Денежный 2 4" xfId="73" xr:uid="{00000000-0005-0000-0000-000048000000}"/>
    <cellStyle name="Заголовок 1 2" xfId="74" xr:uid="{00000000-0005-0000-0000-000049000000}"/>
    <cellStyle name="Заголовок 2 2" xfId="75" xr:uid="{00000000-0005-0000-0000-00004A000000}"/>
    <cellStyle name="Заголовок 3 2" xfId="76" xr:uid="{00000000-0005-0000-0000-00004B000000}"/>
    <cellStyle name="Заголовок 4 2" xfId="77" xr:uid="{00000000-0005-0000-0000-00004C000000}"/>
    <cellStyle name="Итог 2" xfId="78" xr:uid="{00000000-0005-0000-0000-00004D000000}"/>
    <cellStyle name="Контрольная ячейка 2" xfId="79" xr:uid="{00000000-0005-0000-0000-00004E000000}"/>
    <cellStyle name="Название 2" xfId="80" xr:uid="{00000000-0005-0000-0000-00004F000000}"/>
    <cellStyle name="Название 2 2" xfId="81" xr:uid="{00000000-0005-0000-0000-000050000000}"/>
    <cellStyle name="Название 2_Лист1" xfId="82" xr:uid="{00000000-0005-0000-0000-000051000000}"/>
    <cellStyle name="Нейтральный 2" xfId="83" xr:uid="{00000000-0005-0000-0000-000052000000}"/>
    <cellStyle name="Обычный" xfId="0" builtinId="0"/>
    <cellStyle name="Обычный 10" xfId="84" xr:uid="{00000000-0005-0000-0000-000054000000}"/>
    <cellStyle name="Обычный 100" xfId="85" xr:uid="{00000000-0005-0000-0000-000055000000}"/>
    <cellStyle name="Обычный 101" xfId="86" xr:uid="{00000000-0005-0000-0000-000056000000}"/>
    <cellStyle name="Обычный 102" xfId="87" xr:uid="{00000000-0005-0000-0000-000057000000}"/>
    <cellStyle name="Обычный 103" xfId="88" xr:uid="{00000000-0005-0000-0000-000058000000}"/>
    <cellStyle name="Обычный 104" xfId="89" xr:uid="{00000000-0005-0000-0000-000059000000}"/>
    <cellStyle name="Обычный 105" xfId="90" xr:uid="{00000000-0005-0000-0000-00005A000000}"/>
    <cellStyle name="Обычный 106" xfId="91" xr:uid="{00000000-0005-0000-0000-00005B000000}"/>
    <cellStyle name="Обычный 107" xfId="92" xr:uid="{00000000-0005-0000-0000-00005C000000}"/>
    <cellStyle name="Обычный 108" xfId="93" xr:uid="{00000000-0005-0000-0000-00005D000000}"/>
    <cellStyle name="Обычный 109" xfId="94" xr:uid="{00000000-0005-0000-0000-00005E000000}"/>
    <cellStyle name="Обычный 11" xfId="95" xr:uid="{00000000-0005-0000-0000-00005F000000}"/>
    <cellStyle name="Обычный 110" xfId="96" xr:uid="{00000000-0005-0000-0000-000060000000}"/>
    <cellStyle name="Обычный 111" xfId="97" xr:uid="{00000000-0005-0000-0000-000061000000}"/>
    <cellStyle name="Обычный 112" xfId="98" xr:uid="{00000000-0005-0000-0000-000062000000}"/>
    <cellStyle name="Обычный 113" xfId="99" xr:uid="{00000000-0005-0000-0000-000063000000}"/>
    <cellStyle name="Обычный 114" xfId="100" xr:uid="{00000000-0005-0000-0000-000064000000}"/>
    <cellStyle name="Обычный 115" xfId="101" xr:uid="{00000000-0005-0000-0000-000065000000}"/>
    <cellStyle name="Обычный 116" xfId="102" xr:uid="{00000000-0005-0000-0000-000066000000}"/>
    <cellStyle name="Обычный 117" xfId="103" xr:uid="{00000000-0005-0000-0000-000067000000}"/>
    <cellStyle name="Обычный 118" xfId="104" xr:uid="{00000000-0005-0000-0000-000068000000}"/>
    <cellStyle name="Обычный 119" xfId="105" xr:uid="{00000000-0005-0000-0000-000069000000}"/>
    <cellStyle name="Обычный 12" xfId="106" xr:uid="{00000000-0005-0000-0000-00006A000000}"/>
    <cellStyle name="Обычный 120" xfId="107" xr:uid="{00000000-0005-0000-0000-00006B000000}"/>
    <cellStyle name="Обычный 121" xfId="108" xr:uid="{00000000-0005-0000-0000-00006C000000}"/>
    <cellStyle name="Обычный 122" xfId="109" xr:uid="{00000000-0005-0000-0000-00006D000000}"/>
    <cellStyle name="Обычный 123" xfId="110" xr:uid="{00000000-0005-0000-0000-00006E000000}"/>
    <cellStyle name="Обычный 124" xfId="111" xr:uid="{00000000-0005-0000-0000-00006F000000}"/>
    <cellStyle name="Обычный 125" xfId="112" xr:uid="{00000000-0005-0000-0000-000070000000}"/>
    <cellStyle name="Обычный 126" xfId="113" xr:uid="{00000000-0005-0000-0000-000071000000}"/>
    <cellStyle name="Обычный 127" xfId="114" xr:uid="{00000000-0005-0000-0000-000072000000}"/>
    <cellStyle name="Обычный 128" xfId="115" xr:uid="{00000000-0005-0000-0000-000073000000}"/>
    <cellStyle name="Обычный 129" xfId="116" xr:uid="{00000000-0005-0000-0000-000074000000}"/>
    <cellStyle name="Обычный 13" xfId="117" xr:uid="{00000000-0005-0000-0000-000075000000}"/>
    <cellStyle name="Обычный 130" xfId="118" xr:uid="{00000000-0005-0000-0000-000076000000}"/>
    <cellStyle name="Обычный 131" xfId="119" xr:uid="{00000000-0005-0000-0000-000077000000}"/>
    <cellStyle name="Обычный 132" xfId="120" xr:uid="{00000000-0005-0000-0000-000078000000}"/>
    <cellStyle name="Обычный 133" xfId="121" xr:uid="{00000000-0005-0000-0000-000079000000}"/>
    <cellStyle name="Обычный 134" xfId="122" xr:uid="{00000000-0005-0000-0000-00007A000000}"/>
    <cellStyle name="Обычный 135" xfId="123" xr:uid="{00000000-0005-0000-0000-00007B000000}"/>
    <cellStyle name="Обычный 136" xfId="124" xr:uid="{00000000-0005-0000-0000-00007C000000}"/>
    <cellStyle name="Обычный 137" xfId="125" xr:uid="{00000000-0005-0000-0000-00007D000000}"/>
    <cellStyle name="Обычный 138" xfId="126" xr:uid="{00000000-0005-0000-0000-00007E000000}"/>
    <cellStyle name="Обычный 139" xfId="127" xr:uid="{00000000-0005-0000-0000-00007F000000}"/>
    <cellStyle name="Обычный 14" xfId="128" xr:uid="{00000000-0005-0000-0000-000080000000}"/>
    <cellStyle name="Обычный 140" xfId="129" xr:uid="{00000000-0005-0000-0000-000081000000}"/>
    <cellStyle name="Обычный 141" xfId="130" xr:uid="{00000000-0005-0000-0000-000082000000}"/>
    <cellStyle name="Обычный 142" xfId="131" xr:uid="{00000000-0005-0000-0000-000083000000}"/>
    <cellStyle name="Обычный 143" xfId="132" xr:uid="{00000000-0005-0000-0000-000084000000}"/>
    <cellStyle name="Обычный 144" xfId="133" xr:uid="{00000000-0005-0000-0000-000085000000}"/>
    <cellStyle name="Обычный 145" xfId="134" xr:uid="{00000000-0005-0000-0000-000086000000}"/>
    <cellStyle name="Обычный 146" xfId="135" xr:uid="{00000000-0005-0000-0000-000087000000}"/>
    <cellStyle name="Обычный 147" xfId="136" xr:uid="{00000000-0005-0000-0000-000088000000}"/>
    <cellStyle name="Обычный 148" xfId="137" xr:uid="{00000000-0005-0000-0000-000089000000}"/>
    <cellStyle name="Обычный 149" xfId="138" xr:uid="{00000000-0005-0000-0000-00008A000000}"/>
    <cellStyle name="Обычный 15" xfId="139" xr:uid="{00000000-0005-0000-0000-00008B000000}"/>
    <cellStyle name="Обычный 150" xfId="140" xr:uid="{00000000-0005-0000-0000-00008C000000}"/>
    <cellStyle name="Обычный 151" xfId="141" xr:uid="{00000000-0005-0000-0000-00008D000000}"/>
    <cellStyle name="Обычный 152" xfId="142" xr:uid="{00000000-0005-0000-0000-00008E000000}"/>
    <cellStyle name="Обычный 153" xfId="143" xr:uid="{00000000-0005-0000-0000-00008F000000}"/>
    <cellStyle name="Обычный 154" xfId="144" xr:uid="{00000000-0005-0000-0000-000090000000}"/>
    <cellStyle name="Обычный 155" xfId="145" xr:uid="{00000000-0005-0000-0000-000091000000}"/>
    <cellStyle name="Обычный 156" xfId="146" xr:uid="{00000000-0005-0000-0000-000092000000}"/>
    <cellStyle name="Обычный 157" xfId="147" xr:uid="{00000000-0005-0000-0000-000093000000}"/>
    <cellStyle name="Обычный 158" xfId="148" xr:uid="{00000000-0005-0000-0000-000094000000}"/>
    <cellStyle name="Обычный 159" xfId="149" xr:uid="{00000000-0005-0000-0000-000095000000}"/>
    <cellStyle name="Обычный 16" xfId="150" xr:uid="{00000000-0005-0000-0000-000096000000}"/>
    <cellStyle name="Обычный 160" xfId="151" xr:uid="{00000000-0005-0000-0000-000097000000}"/>
    <cellStyle name="Обычный 161" xfId="152" xr:uid="{00000000-0005-0000-0000-000098000000}"/>
    <cellStyle name="Обычный 162" xfId="153" xr:uid="{00000000-0005-0000-0000-000099000000}"/>
    <cellStyle name="Обычный 163" xfId="154" xr:uid="{00000000-0005-0000-0000-00009A000000}"/>
    <cellStyle name="Обычный 164" xfId="155" xr:uid="{00000000-0005-0000-0000-00009B000000}"/>
    <cellStyle name="Обычный 165" xfId="156" xr:uid="{00000000-0005-0000-0000-00009C000000}"/>
    <cellStyle name="Обычный 166" xfId="157" xr:uid="{00000000-0005-0000-0000-00009D000000}"/>
    <cellStyle name="Обычный 167" xfId="158" xr:uid="{00000000-0005-0000-0000-00009E000000}"/>
    <cellStyle name="Обычный 168" xfId="159" xr:uid="{00000000-0005-0000-0000-00009F000000}"/>
    <cellStyle name="Обычный 169" xfId="160" xr:uid="{00000000-0005-0000-0000-0000A0000000}"/>
    <cellStyle name="Обычный 17" xfId="161" xr:uid="{00000000-0005-0000-0000-0000A1000000}"/>
    <cellStyle name="Обычный 170" xfId="162" xr:uid="{00000000-0005-0000-0000-0000A2000000}"/>
    <cellStyle name="Обычный 171" xfId="163" xr:uid="{00000000-0005-0000-0000-0000A3000000}"/>
    <cellStyle name="Обычный 172" xfId="164" xr:uid="{00000000-0005-0000-0000-0000A4000000}"/>
    <cellStyle name="Обычный 173" xfId="165" xr:uid="{00000000-0005-0000-0000-0000A5000000}"/>
    <cellStyle name="Обычный 174" xfId="166" xr:uid="{00000000-0005-0000-0000-0000A6000000}"/>
    <cellStyle name="Обычный 175" xfId="167" xr:uid="{00000000-0005-0000-0000-0000A7000000}"/>
    <cellStyle name="Обычный 176" xfId="168" xr:uid="{00000000-0005-0000-0000-0000A8000000}"/>
    <cellStyle name="Обычный 177" xfId="169" xr:uid="{00000000-0005-0000-0000-0000A9000000}"/>
    <cellStyle name="Обычный 178" xfId="170" xr:uid="{00000000-0005-0000-0000-0000AA000000}"/>
    <cellStyle name="Обычный 179" xfId="171" xr:uid="{00000000-0005-0000-0000-0000AB000000}"/>
    <cellStyle name="Обычный 18" xfId="172" xr:uid="{00000000-0005-0000-0000-0000AC000000}"/>
    <cellStyle name="Обычный 180" xfId="173" xr:uid="{00000000-0005-0000-0000-0000AD000000}"/>
    <cellStyle name="Обычный 181" xfId="174" xr:uid="{00000000-0005-0000-0000-0000AE000000}"/>
    <cellStyle name="Обычный 182" xfId="175" xr:uid="{00000000-0005-0000-0000-0000AF000000}"/>
    <cellStyle name="Обычный 183" xfId="176" xr:uid="{00000000-0005-0000-0000-0000B0000000}"/>
    <cellStyle name="Обычный 184" xfId="177" xr:uid="{00000000-0005-0000-0000-0000B1000000}"/>
    <cellStyle name="Обычный 185" xfId="178" xr:uid="{00000000-0005-0000-0000-0000B2000000}"/>
    <cellStyle name="Обычный 186" xfId="179" xr:uid="{00000000-0005-0000-0000-0000B3000000}"/>
    <cellStyle name="Обычный 187" xfId="180" xr:uid="{00000000-0005-0000-0000-0000B4000000}"/>
    <cellStyle name="Обычный 188" xfId="181" xr:uid="{00000000-0005-0000-0000-0000B5000000}"/>
    <cellStyle name="Обычный 189" xfId="182" xr:uid="{00000000-0005-0000-0000-0000B6000000}"/>
    <cellStyle name="Обычный 19" xfId="183" xr:uid="{00000000-0005-0000-0000-0000B7000000}"/>
    <cellStyle name="Обычный 190" xfId="184" xr:uid="{00000000-0005-0000-0000-0000B8000000}"/>
    <cellStyle name="Обычный 191" xfId="185" xr:uid="{00000000-0005-0000-0000-0000B9000000}"/>
    <cellStyle name="Обычный 192" xfId="186" xr:uid="{00000000-0005-0000-0000-0000BA000000}"/>
    <cellStyle name="Обычный 193" xfId="187" xr:uid="{00000000-0005-0000-0000-0000BB000000}"/>
    <cellStyle name="Обычный 194" xfId="188" xr:uid="{00000000-0005-0000-0000-0000BC000000}"/>
    <cellStyle name="Обычный 195" xfId="189" xr:uid="{00000000-0005-0000-0000-0000BD000000}"/>
    <cellStyle name="Обычный 196" xfId="190" xr:uid="{00000000-0005-0000-0000-0000BE000000}"/>
    <cellStyle name="Обычный 197" xfId="191" xr:uid="{00000000-0005-0000-0000-0000BF000000}"/>
    <cellStyle name="Обычный 198" xfId="192" xr:uid="{00000000-0005-0000-0000-0000C0000000}"/>
    <cellStyle name="Обычный 199" xfId="193" xr:uid="{00000000-0005-0000-0000-0000C1000000}"/>
    <cellStyle name="Обычный 2" xfId="1" xr:uid="{00000000-0005-0000-0000-0000C2000000}"/>
    <cellStyle name="Обычный 2 10" xfId="194" xr:uid="{00000000-0005-0000-0000-0000C3000000}"/>
    <cellStyle name="Обычный 2 10 2" xfId="195" xr:uid="{00000000-0005-0000-0000-0000C4000000}"/>
    <cellStyle name="Обычный 2 10 2 2" xfId="196" xr:uid="{00000000-0005-0000-0000-0000C5000000}"/>
    <cellStyle name="Обычный 2 10 2 3" xfId="197" xr:uid="{00000000-0005-0000-0000-0000C6000000}"/>
    <cellStyle name="Обычный 2 10 2 3 2" xfId="198" xr:uid="{00000000-0005-0000-0000-0000C7000000}"/>
    <cellStyle name="Обычный 2 10 2 4" xfId="199" xr:uid="{00000000-0005-0000-0000-0000C8000000}"/>
    <cellStyle name="Обычный 2 11" xfId="200" xr:uid="{00000000-0005-0000-0000-0000C9000000}"/>
    <cellStyle name="Обычный 2 11 2" xfId="201" xr:uid="{00000000-0005-0000-0000-0000CA000000}"/>
    <cellStyle name="Обычный 2 12" xfId="202" xr:uid="{00000000-0005-0000-0000-0000CB000000}"/>
    <cellStyle name="Обычный 2 13" xfId="203" xr:uid="{00000000-0005-0000-0000-0000CC000000}"/>
    <cellStyle name="Обычный 2 2" xfId="204" xr:uid="{00000000-0005-0000-0000-0000CD000000}"/>
    <cellStyle name="Обычный 2 2 2" xfId="205" xr:uid="{00000000-0005-0000-0000-0000CE000000}"/>
    <cellStyle name="Обычный 2 2 3" xfId="206" xr:uid="{00000000-0005-0000-0000-0000CF000000}"/>
    <cellStyle name="Обычный 2 2 3 2" xfId="207" xr:uid="{00000000-0005-0000-0000-0000D0000000}"/>
    <cellStyle name="Обычный 2 2 3 3" xfId="208" xr:uid="{00000000-0005-0000-0000-0000D1000000}"/>
    <cellStyle name="Обычный 2 2 4" xfId="209" xr:uid="{00000000-0005-0000-0000-0000D2000000}"/>
    <cellStyle name="Обычный 2 2 5" xfId="210" xr:uid="{00000000-0005-0000-0000-0000D3000000}"/>
    <cellStyle name="Обычный 2 3" xfId="211" xr:uid="{00000000-0005-0000-0000-0000D4000000}"/>
    <cellStyle name="Обычный 2 3 2" xfId="212" xr:uid="{00000000-0005-0000-0000-0000D5000000}"/>
    <cellStyle name="Обычный 2 3 2 2" xfId="213" xr:uid="{00000000-0005-0000-0000-0000D6000000}"/>
    <cellStyle name="Обычный 2 3 3" xfId="214" xr:uid="{00000000-0005-0000-0000-0000D7000000}"/>
    <cellStyle name="Обычный 2 3 4" xfId="215" xr:uid="{00000000-0005-0000-0000-0000D8000000}"/>
    <cellStyle name="Обычный 2 3 5" xfId="216" xr:uid="{00000000-0005-0000-0000-0000D9000000}"/>
    <cellStyle name="Обычный 2 3 6" xfId="217" xr:uid="{00000000-0005-0000-0000-0000DA000000}"/>
    <cellStyle name="Обычный 2 4" xfId="218" xr:uid="{00000000-0005-0000-0000-0000DB000000}"/>
    <cellStyle name="Обычный 2 4 2" xfId="219" xr:uid="{00000000-0005-0000-0000-0000DC000000}"/>
    <cellStyle name="Обычный 2 4 2 2" xfId="220" xr:uid="{00000000-0005-0000-0000-0000DD000000}"/>
    <cellStyle name="Обычный 2 4 3" xfId="221" xr:uid="{00000000-0005-0000-0000-0000DE000000}"/>
    <cellStyle name="Обычный 2 4 4" xfId="222" xr:uid="{00000000-0005-0000-0000-0000DF000000}"/>
    <cellStyle name="Обычный 2 5" xfId="223" xr:uid="{00000000-0005-0000-0000-0000E0000000}"/>
    <cellStyle name="Обычный 2 5 2" xfId="224" xr:uid="{00000000-0005-0000-0000-0000E1000000}"/>
    <cellStyle name="Обычный 2 5 2 2" xfId="225" xr:uid="{00000000-0005-0000-0000-0000E2000000}"/>
    <cellStyle name="Обычный 2 5 3" xfId="226" xr:uid="{00000000-0005-0000-0000-0000E3000000}"/>
    <cellStyle name="Обычный 2 6" xfId="227" xr:uid="{00000000-0005-0000-0000-0000E4000000}"/>
    <cellStyle name="Обычный 2 6 2" xfId="228" xr:uid="{00000000-0005-0000-0000-0000E5000000}"/>
    <cellStyle name="Обычный 2 6 2 2" xfId="229" xr:uid="{00000000-0005-0000-0000-0000E6000000}"/>
    <cellStyle name="Обычный 2 6 3" xfId="230" xr:uid="{00000000-0005-0000-0000-0000E7000000}"/>
    <cellStyle name="Обычный 2 6 4" xfId="231" xr:uid="{00000000-0005-0000-0000-0000E8000000}"/>
    <cellStyle name="Обычный 2 7" xfId="232" xr:uid="{00000000-0005-0000-0000-0000E9000000}"/>
    <cellStyle name="Обычный 2 7 2" xfId="233" xr:uid="{00000000-0005-0000-0000-0000EA000000}"/>
    <cellStyle name="Обычный 2 7 2 2" xfId="234" xr:uid="{00000000-0005-0000-0000-0000EB000000}"/>
    <cellStyle name="Обычный 2 7 3" xfId="235" xr:uid="{00000000-0005-0000-0000-0000EC000000}"/>
    <cellStyle name="Обычный 2 8" xfId="236" xr:uid="{00000000-0005-0000-0000-0000ED000000}"/>
    <cellStyle name="Обычный 2 8 2" xfId="237" xr:uid="{00000000-0005-0000-0000-0000EE000000}"/>
    <cellStyle name="Обычный 2 8 2 2" xfId="238" xr:uid="{00000000-0005-0000-0000-0000EF000000}"/>
    <cellStyle name="Обычный 2 8 2 2 2" xfId="239" xr:uid="{00000000-0005-0000-0000-0000F0000000}"/>
    <cellStyle name="Обычный 2 8 2 3" xfId="240" xr:uid="{00000000-0005-0000-0000-0000F1000000}"/>
    <cellStyle name="Обычный 2 8 3" xfId="241" xr:uid="{00000000-0005-0000-0000-0000F2000000}"/>
    <cellStyle name="Обычный 2 9" xfId="242" xr:uid="{00000000-0005-0000-0000-0000F3000000}"/>
    <cellStyle name="Обычный 2 9 2" xfId="243" xr:uid="{00000000-0005-0000-0000-0000F4000000}"/>
    <cellStyle name="Обычный 2 9 3" xfId="244" xr:uid="{00000000-0005-0000-0000-0000F5000000}"/>
    <cellStyle name="Обычный 2 9 3 2" xfId="245" xr:uid="{00000000-0005-0000-0000-0000F6000000}"/>
    <cellStyle name="Обычный 2 9 3 3" xfId="246" xr:uid="{00000000-0005-0000-0000-0000F7000000}"/>
    <cellStyle name="Обычный 2 9 4" xfId="247" xr:uid="{00000000-0005-0000-0000-0000F8000000}"/>
    <cellStyle name="Обычный 20" xfId="248" xr:uid="{00000000-0005-0000-0000-0000F9000000}"/>
    <cellStyle name="Обычный 200" xfId="249" xr:uid="{00000000-0005-0000-0000-0000FA000000}"/>
    <cellStyle name="Обычный 201" xfId="250" xr:uid="{00000000-0005-0000-0000-0000FB000000}"/>
    <cellStyle name="Обычный 202" xfId="251" xr:uid="{00000000-0005-0000-0000-0000FC000000}"/>
    <cellStyle name="Обычный 203" xfId="252" xr:uid="{00000000-0005-0000-0000-0000FD000000}"/>
    <cellStyle name="Обычный 204" xfId="253" xr:uid="{00000000-0005-0000-0000-0000FE000000}"/>
    <cellStyle name="Обычный 205" xfId="254" xr:uid="{00000000-0005-0000-0000-0000FF000000}"/>
    <cellStyle name="Обычный 206" xfId="255" xr:uid="{00000000-0005-0000-0000-000000010000}"/>
    <cellStyle name="Обычный 207" xfId="256" xr:uid="{00000000-0005-0000-0000-000001010000}"/>
    <cellStyle name="Обычный 208" xfId="257" xr:uid="{00000000-0005-0000-0000-000002010000}"/>
    <cellStyle name="Обычный 209" xfId="258" xr:uid="{00000000-0005-0000-0000-000003010000}"/>
    <cellStyle name="Обычный 21" xfId="259" xr:uid="{00000000-0005-0000-0000-000004010000}"/>
    <cellStyle name="Обычный 210" xfId="260" xr:uid="{00000000-0005-0000-0000-000005010000}"/>
    <cellStyle name="Обычный 211" xfId="261" xr:uid="{00000000-0005-0000-0000-000006010000}"/>
    <cellStyle name="Обычный 212" xfId="262" xr:uid="{00000000-0005-0000-0000-000007010000}"/>
    <cellStyle name="Обычный 213" xfId="263" xr:uid="{00000000-0005-0000-0000-000008010000}"/>
    <cellStyle name="Обычный 214" xfId="264" xr:uid="{00000000-0005-0000-0000-000009010000}"/>
    <cellStyle name="Обычный 215" xfId="265" xr:uid="{00000000-0005-0000-0000-00000A010000}"/>
    <cellStyle name="Обычный 216" xfId="266" xr:uid="{00000000-0005-0000-0000-00000B010000}"/>
    <cellStyle name="Обычный 217" xfId="267" xr:uid="{00000000-0005-0000-0000-00000C010000}"/>
    <cellStyle name="Обычный 218" xfId="268" xr:uid="{00000000-0005-0000-0000-00000D010000}"/>
    <cellStyle name="Обычный 219" xfId="269" xr:uid="{00000000-0005-0000-0000-00000E010000}"/>
    <cellStyle name="Обычный 22" xfId="270" xr:uid="{00000000-0005-0000-0000-00000F010000}"/>
    <cellStyle name="Обычный 220" xfId="271" xr:uid="{00000000-0005-0000-0000-000010010000}"/>
    <cellStyle name="Обычный 221" xfId="272" xr:uid="{00000000-0005-0000-0000-000011010000}"/>
    <cellStyle name="Обычный 222" xfId="273" xr:uid="{00000000-0005-0000-0000-000012010000}"/>
    <cellStyle name="Обычный 223" xfId="274" xr:uid="{00000000-0005-0000-0000-000013010000}"/>
    <cellStyle name="Обычный 224" xfId="275" xr:uid="{00000000-0005-0000-0000-000014010000}"/>
    <cellStyle name="Обычный 225" xfId="276" xr:uid="{00000000-0005-0000-0000-000015010000}"/>
    <cellStyle name="Обычный 226" xfId="277" xr:uid="{00000000-0005-0000-0000-000016010000}"/>
    <cellStyle name="Обычный 227" xfId="278" xr:uid="{00000000-0005-0000-0000-000017010000}"/>
    <cellStyle name="Обычный 228" xfId="279" xr:uid="{00000000-0005-0000-0000-000018010000}"/>
    <cellStyle name="Обычный 229" xfId="280" xr:uid="{00000000-0005-0000-0000-000019010000}"/>
    <cellStyle name="Обычный 23" xfId="281" xr:uid="{00000000-0005-0000-0000-00001A010000}"/>
    <cellStyle name="Обычный 230" xfId="282" xr:uid="{00000000-0005-0000-0000-00001B010000}"/>
    <cellStyle name="Обычный 231" xfId="283" xr:uid="{00000000-0005-0000-0000-00001C010000}"/>
    <cellStyle name="Обычный 232" xfId="284" xr:uid="{00000000-0005-0000-0000-00001D010000}"/>
    <cellStyle name="Обычный 233" xfId="285" xr:uid="{00000000-0005-0000-0000-00001E010000}"/>
    <cellStyle name="Обычный 234" xfId="286" xr:uid="{00000000-0005-0000-0000-00001F010000}"/>
    <cellStyle name="Обычный 235" xfId="287" xr:uid="{00000000-0005-0000-0000-000020010000}"/>
    <cellStyle name="Обычный 236" xfId="288" xr:uid="{00000000-0005-0000-0000-000021010000}"/>
    <cellStyle name="Обычный 237" xfId="289" xr:uid="{00000000-0005-0000-0000-000022010000}"/>
    <cellStyle name="Обычный 238" xfId="290" xr:uid="{00000000-0005-0000-0000-000023010000}"/>
    <cellStyle name="Обычный 239" xfId="291" xr:uid="{00000000-0005-0000-0000-000024010000}"/>
    <cellStyle name="Обычный 24" xfId="292" xr:uid="{00000000-0005-0000-0000-000025010000}"/>
    <cellStyle name="Обычный 240" xfId="293" xr:uid="{00000000-0005-0000-0000-000026010000}"/>
    <cellStyle name="Обычный 241" xfId="294" xr:uid="{00000000-0005-0000-0000-000027010000}"/>
    <cellStyle name="Обычный 242" xfId="295" xr:uid="{00000000-0005-0000-0000-000028010000}"/>
    <cellStyle name="Обычный 243" xfId="296" xr:uid="{00000000-0005-0000-0000-000029010000}"/>
    <cellStyle name="Обычный 244" xfId="297" xr:uid="{00000000-0005-0000-0000-00002A010000}"/>
    <cellStyle name="Обычный 245" xfId="298" xr:uid="{00000000-0005-0000-0000-00002B010000}"/>
    <cellStyle name="Обычный 25" xfId="299" xr:uid="{00000000-0005-0000-0000-00002C010000}"/>
    <cellStyle name="Обычный 26" xfId="300" xr:uid="{00000000-0005-0000-0000-00002D010000}"/>
    <cellStyle name="Обычный 27" xfId="301" xr:uid="{00000000-0005-0000-0000-00002E010000}"/>
    <cellStyle name="Обычный 28" xfId="302" xr:uid="{00000000-0005-0000-0000-00002F010000}"/>
    <cellStyle name="Обычный 29" xfId="303" xr:uid="{00000000-0005-0000-0000-000030010000}"/>
    <cellStyle name="Обычный 3" xfId="304" xr:uid="{00000000-0005-0000-0000-000031010000}"/>
    <cellStyle name="Обычный 3 2" xfId="305" xr:uid="{00000000-0005-0000-0000-000032010000}"/>
    <cellStyle name="Обычный 3 2 2" xfId="306" xr:uid="{00000000-0005-0000-0000-000033010000}"/>
    <cellStyle name="Обычный 3 2 2 2" xfId="307" xr:uid="{00000000-0005-0000-0000-000034010000}"/>
    <cellStyle name="Обычный 3 2 2 2 2" xfId="308" xr:uid="{00000000-0005-0000-0000-000035010000}"/>
    <cellStyle name="Обычный 3 2 2 3" xfId="309" xr:uid="{00000000-0005-0000-0000-000036010000}"/>
    <cellStyle name="Обычный 3 2 3" xfId="310" xr:uid="{00000000-0005-0000-0000-000037010000}"/>
    <cellStyle name="Обычный 3 2 3 2" xfId="311" xr:uid="{00000000-0005-0000-0000-000038010000}"/>
    <cellStyle name="Обычный 3 2 3 3" xfId="312" xr:uid="{00000000-0005-0000-0000-000039010000}"/>
    <cellStyle name="Обычный 3 2 4" xfId="313" xr:uid="{00000000-0005-0000-0000-00003A010000}"/>
    <cellStyle name="Обычный 3 2 5" xfId="314" xr:uid="{00000000-0005-0000-0000-00003B010000}"/>
    <cellStyle name="Обычный 3 3" xfId="315" xr:uid="{00000000-0005-0000-0000-00003C010000}"/>
    <cellStyle name="Обычный 3 3 2" xfId="316" xr:uid="{00000000-0005-0000-0000-00003D010000}"/>
    <cellStyle name="Обычный 3 4" xfId="317" xr:uid="{00000000-0005-0000-0000-00003E010000}"/>
    <cellStyle name="Обычный 3 5" xfId="318" xr:uid="{00000000-0005-0000-0000-00003F010000}"/>
    <cellStyle name="Обычный 3 5 2" xfId="319" xr:uid="{00000000-0005-0000-0000-000040010000}"/>
    <cellStyle name="Обычный 3 5 3" xfId="320" xr:uid="{00000000-0005-0000-0000-000041010000}"/>
    <cellStyle name="Обычный 3 6" xfId="321" xr:uid="{00000000-0005-0000-0000-000042010000}"/>
    <cellStyle name="Обычный 3 6 2" xfId="322" xr:uid="{00000000-0005-0000-0000-000043010000}"/>
    <cellStyle name="Обычный 3 6 3" xfId="323" xr:uid="{00000000-0005-0000-0000-000044010000}"/>
    <cellStyle name="Обычный 3 7" xfId="324" xr:uid="{00000000-0005-0000-0000-000045010000}"/>
    <cellStyle name="Обычный 3 7 2" xfId="325" xr:uid="{00000000-0005-0000-0000-000046010000}"/>
    <cellStyle name="Обычный 3 8" xfId="326" xr:uid="{00000000-0005-0000-0000-000047010000}"/>
    <cellStyle name="Обычный 30" xfId="327" xr:uid="{00000000-0005-0000-0000-000048010000}"/>
    <cellStyle name="Обычный 31" xfId="328" xr:uid="{00000000-0005-0000-0000-000049010000}"/>
    <cellStyle name="Обычный 32" xfId="329" xr:uid="{00000000-0005-0000-0000-00004A010000}"/>
    <cellStyle name="Обычный 33" xfId="330" xr:uid="{00000000-0005-0000-0000-00004B010000}"/>
    <cellStyle name="Обычный 34" xfId="331" xr:uid="{00000000-0005-0000-0000-00004C010000}"/>
    <cellStyle name="Обычный 35" xfId="332" xr:uid="{00000000-0005-0000-0000-00004D010000}"/>
    <cellStyle name="Обычный 36" xfId="333" xr:uid="{00000000-0005-0000-0000-00004E010000}"/>
    <cellStyle name="Обычный 37" xfId="334" xr:uid="{00000000-0005-0000-0000-00004F010000}"/>
    <cellStyle name="Обычный 38" xfId="335" xr:uid="{00000000-0005-0000-0000-000050010000}"/>
    <cellStyle name="Обычный 39" xfId="336" xr:uid="{00000000-0005-0000-0000-000051010000}"/>
    <cellStyle name="Обычный 4" xfId="337" xr:uid="{00000000-0005-0000-0000-000052010000}"/>
    <cellStyle name="Обычный 4 2" xfId="338" xr:uid="{00000000-0005-0000-0000-000053010000}"/>
    <cellStyle name="Обычный 4 2 2" xfId="339" xr:uid="{00000000-0005-0000-0000-000054010000}"/>
    <cellStyle name="Обычный 4 3" xfId="340" xr:uid="{00000000-0005-0000-0000-000055010000}"/>
    <cellStyle name="Обычный 40" xfId="341" xr:uid="{00000000-0005-0000-0000-000056010000}"/>
    <cellStyle name="Обычный 41" xfId="342" xr:uid="{00000000-0005-0000-0000-000057010000}"/>
    <cellStyle name="Обычный 42" xfId="343" xr:uid="{00000000-0005-0000-0000-000058010000}"/>
    <cellStyle name="Обычный 43" xfId="344" xr:uid="{00000000-0005-0000-0000-000059010000}"/>
    <cellStyle name="Обычный 44" xfId="345" xr:uid="{00000000-0005-0000-0000-00005A010000}"/>
    <cellStyle name="Обычный 45" xfId="346" xr:uid="{00000000-0005-0000-0000-00005B010000}"/>
    <cellStyle name="Обычный 46" xfId="347" xr:uid="{00000000-0005-0000-0000-00005C010000}"/>
    <cellStyle name="Обычный 47" xfId="348" xr:uid="{00000000-0005-0000-0000-00005D010000}"/>
    <cellStyle name="Обычный 48" xfId="349" xr:uid="{00000000-0005-0000-0000-00005E010000}"/>
    <cellStyle name="Обычный 49" xfId="350" xr:uid="{00000000-0005-0000-0000-00005F010000}"/>
    <cellStyle name="Обычный 5" xfId="351" xr:uid="{00000000-0005-0000-0000-000060010000}"/>
    <cellStyle name="Обычный 5 2" xfId="352" xr:uid="{00000000-0005-0000-0000-000061010000}"/>
    <cellStyle name="Обычный 5 2 2" xfId="353" xr:uid="{00000000-0005-0000-0000-000062010000}"/>
    <cellStyle name="Обычный 5 3" xfId="354" xr:uid="{00000000-0005-0000-0000-000063010000}"/>
    <cellStyle name="Обычный 5 4" xfId="355" xr:uid="{00000000-0005-0000-0000-000064010000}"/>
    <cellStyle name="Обычный 5 5" xfId="356" xr:uid="{00000000-0005-0000-0000-000065010000}"/>
    <cellStyle name="Обычный 50" xfId="357" xr:uid="{00000000-0005-0000-0000-000066010000}"/>
    <cellStyle name="Обычный 51" xfId="358" xr:uid="{00000000-0005-0000-0000-000067010000}"/>
    <cellStyle name="Обычный 52" xfId="359" xr:uid="{00000000-0005-0000-0000-000068010000}"/>
    <cellStyle name="Обычный 53" xfId="360" xr:uid="{00000000-0005-0000-0000-000069010000}"/>
    <cellStyle name="Обычный 54" xfId="361" xr:uid="{00000000-0005-0000-0000-00006A010000}"/>
    <cellStyle name="Обычный 55" xfId="362" xr:uid="{00000000-0005-0000-0000-00006B010000}"/>
    <cellStyle name="Обычный 56" xfId="363" xr:uid="{00000000-0005-0000-0000-00006C010000}"/>
    <cellStyle name="Обычный 57" xfId="364" xr:uid="{00000000-0005-0000-0000-00006D010000}"/>
    <cellStyle name="Обычный 58" xfId="365" xr:uid="{00000000-0005-0000-0000-00006E010000}"/>
    <cellStyle name="Обычный 59" xfId="366" xr:uid="{00000000-0005-0000-0000-00006F010000}"/>
    <cellStyle name="Обычный 6" xfId="367" xr:uid="{00000000-0005-0000-0000-000070010000}"/>
    <cellStyle name="Обычный 6 2" xfId="368" xr:uid="{00000000-0005-0000-0000-000071010000}"/>
    <cellStyle name="Обычный 6 2 2" xfId="369" xr:uid="{00000000-0005-0000-0000-000072010000}"/>
    <cellStyle name="Обычный 6 3" xfId="370" xr:uid="{00000000-0005-0000-0000-000073010000}"/>
    <cellStyle name="Обычный 6 4" xfId="371" xr:uid="{00000000-0005-0000-0000-000074010000}"/>
    <cellStyle name="Обычный 60" xfId="372" xr:uid="{00000000-0005-0000-0000-000075010000}"/>
    <cellStyle name="Обычный 61" xfId="373" xr:uid="{00000000-0005-0000-0000-000076010000}"/>
    <cellStyle name="Обычный 62" xfId="374" xr:uid="{00000000-0005-0000-0000-000077010000}"/>
    <cellStyle name="Обычный 63" xfId="375" xr:uid="{00000000-0005-0000-0000-000078010000}"/>
    <cellStyle name="Обычный 64" xfId="376" xr:uid="{00000000-0005-0000-0000-000079010000}"/>
    <cellStyle name="Обычный 65" xfId="377" xr:uid="{00000000-0005-0000-0000-00007A010000}"/>
    <cellStyle name="Обычный 66" xfId="378" xr:uid="{00000000-0005-0000-0000-00007B010000}"/>
    <cellStyle name="Обычный 67" xfId="379" xr:uid="{00000000-0005-0000-0000-00007C010000}"/>
    <cellStyle name="Обычный 68" xfId="380" xr:uid="{00000000-0005-0000-0000-00007D010000}"/>
    <cellStyle name="Обычный 69" xfId="381" xr:uid="{00000000-0005-0000-0000-00007E010000}"/>
    <cellStyle name="Обычный 7" xfId="382" xr:uid="{00000000-0005-0000-0000-00007F010000}"/>
    <cellStyle name="Обычный 7 2" xfId="383" xr:uid="{00000000-0005-0000-0000-000080010000}"/>
    <cellStyle name="Обычный 7 4" xfId="384" xr:uid="{00000000-0005-0000-0000-000081010000}"/>
    <cellStyle name="Обычный 70" xfId="385" xr:uid="{00000000-0005-0000-0000-000082010000}"/>
    <cellStyle name="Обычный 71" xfId="386" xr:uid="{00000000-0005-0000-0000-000083010000}"/>
    <cellStyle name="Обычный 72" xfId="387" xr:uid="{00000000-0005-0000-0000-000084010000}"/>
    <cellStyle name="Обычный 73" xfId="388" xr:uid="{00000000-0005-0000-0000-000085010000}"/>
    <cellStyle name="Обычный 74" xfId="389" xr:uid="{00000000-0005-0000-0000-000086010000}"/>
    <cellStyle name="Обычный 75" xfId="390" xr:uid="{00000000-0005-0000-0000-000087010000}"/>
    <cellStyle name="Обычный 76" xfId="391" xr:uid="{00000000-0005-0000-0000-000088010000}"/>
    <cellStyle name="Обычный 77" xfId="392" xr:uid="{00000000-0005-0000-0000-000089010000}"/>
    <cellStyle name="Обычный 78" xfId="393" xr:uid="{00000000-0005-0000-0000-00008A010000}"/>
    <cellStyle name="Обычный 79" xfId="394" xr:uid="{00000000-0005-0000-0000-00008B010000}"/>
    <cellStyle name="Обычный 8" xfId="395" xr:uid="{00000000-0005-0000-0000-00008C010000}"/>
    <cellStyle name="Обычный 80" xfId="396" xr:uid="{00000000-0005-0000-0000-00008D010000}"/>
    <cellStyle name="Обычный 81" xfId="397" xr:uid="{00000000-0005-0000-0000-00008E010000}"/>
    <cellStyle name="Обычный 82" xfId="398" xr:uid="{00000000-0005-0000-0000-00008F010000}"/>
    <cellStyle name="Обычный 83" xfId="399" xr:uid="{00000000-0005-0000-0000-000090010000}"/>
    <cellStyle name="Обычный 84" xfId="400" xr:uid="{00000000-0005-0000-0000-000091010000}"/>
    <cellStyle name="Обычный 85" xfId="401" xr:uid="{00000000-0005-0000-0000-000092010000}"/>
    <cellStyle name="Обычный 86" xfId="402" xr:uid="{00000000-0005-0000-0000-000093010000}"/>
    <cellStyle name="Обычный 87" xfId="403" xr:uid="{00000000-0005-0000-0000-000094010000}"/>
    <cellStyle name="Обычный 88" xfId="404" xr:uid="{00000000-0005-0000-0000-000095010000}"/>
    <cellStyle name="Обычный 89" xfId="405" xr:uid="{00000000-0005-0000-0000-000096010000}"/>
    <cellStyle name="Обычный 9" xfId="406" xr:uid="{00000000-0005-0000-0000-000097010000}"/>
    <cellStyle name="Обычный 90" xfId="407" xr:uid="{00000000-0005-0000-0000-000098010000}"/>
    <cellStyle name="Обычный 91" xfId="408" xr:uid="{00000000-0005-0000-0000-000099010000}"/>
    <cellStyle name="Обычный 92" xfId="409" xr:uid="{00000000-0005-0000-0000-00009A010000}"/>
    <cellStyle name="Обычный 93" xfId="410" xr:uid="{00000000-0005-0000-0000-00009B010000}"/>
    <cellStyle name="Обычный 94" xfId="411" xr:uid="{00000000-0005-0000-0000-00009C010000}"/>
    <cellStyle name="Обычный 95" xfId="412" xr:uid="{00000000-0005-0000-0000-00009D010000}"/>
    <cellStyle name="Обычный 96" xfId="413" xr:uid="{00000000-0005-0000-0000-00009E010000}"/>
    <cellStyle name="Обычный 97" xfId="414" xr:uid="{00000000-0005-0000-0000-00009F010000}"/>
    <cellStyle name="Обычный 98" xfId="415" xr:uid="{00000000-0005-0000-0000-0000A0010000}"/>
    <cellStyle name="Обычный 99" xfId="416" xr:uid="{00000000-0005-0000-0000-0000A1010000}"/>
    <cellStyle name="Плохой 2" xfId="417" xr:uid="{00000000-0005-0000-0000-0000A2010000}"/>
    <cellStyle name="Пояснение 2" xfId="418" xr:uid="{00000000-0005-0000-0000-0000A3010000}"/>
    <cellStyle name="Примечание 2" xfId="419" xr:uid="{00000000-0005-0000-0000-0000A4010000}"/>
    <cellStyle name="Процентный 2" xfId="420" xr:uid="{00000000-0005-0000-0000-0000A5010000}"/>
    <cellStyle name="Процентный 2 2" xfId="421" xr:uid="{00000000-0005-0000-0000-0000A6010000}"/>
    <cellStyle name="Процентный 2 2 2" xfId="422" xr:uid="{00000000-0005-0000-0000-0000A7010000}"/>
    <cellStyle name="Процентный 2 2 2 2" xfId="423" xr:uid="{00000000-0005-0000-0000-0000A8010000}"/>
    <cellStyle name="Процентный 2 2 3" xfId="424" xr:uid="{00000000-0005-0000-0000-0000A9010000}"/>
    <cellStyle name="Процентный 2 2 3 2" xfId="425" xr:uid="{00000000-0005-0000-0000-0000AA010000}"/>
    <cellStyle name="Процентный 2 3" xfId="426" xr:uid="{00000000-0005-0000-0000-0000AB010000}"/>
    <cellStyle name="Процентный 2 3 2" xfId="427" xr:uid="{00000000-0005-0000-0000-0000AC010000}"/>
    <cellStyle name="Процентный 2 4" xfId="428" xr:uid="{00000000-0005-0000-0000-0000AD010000}"/>
    <cellStyle name="Процентный 2 4 2" xfId="429" xr:uid="{00000000-0005-0000-0000-0000AE010000}"/>
    <cellStyle name="Процентный 2 5" xfId="430" xr:uid="{00000000-0005-0000-0000-0000AF010000}"/>
    <cellStyle name="Процентный 3" xfId="431" xr:uid="{00000000-0005-0000-0000-0000B0010000}"/>
    <cellStyle name="Процентный 4" xfId="432" xr:uid="{00000000-0005-0000-0000-0000B1010000}"/>
    <cellStyle name="Процентный 4 2" xfId="433" xr:uid="{00000000-0005-0000-0000-0000B2010000}"/>
    <cellStyle name="Процентный 5" xfId="434" xr:uid="{00000000-0005-0000-0000-0000B3010000}"/>
    <cellStyle name="Процентный 6" xfId="435" xr:uid="{00000000-0005-0000-0000-0000B4010000}"/>
    <cellStyle name="Процентный 7" xfId="436" xr:uid="{00000000-0005-0000-0000-0000B5010000}"/>
    <cellStyle name="Процентный 8" xfId="437" xr:uid="{00000000-0005-0000-0000-0000B6010000}"/>
    <cellStyle name="Связанная ячейка 2" xfId="438" xr:uid="{00000000-0005-0000-0000-0000B7010000}"/>
    <cellStyle name="Текст предупреждения 2" xfId="439" xr:uid="{00000000-0005-0000-0000-0000B8010000}"/>
    <cellStyle name="Финансовый 2" xfId="440" xr:uid="{00000000-0005-0000-0000-0000B9010000}"/>
    <cellStyle name="Финансовый 2 2" xfId="441" xr:uid="{00000000-0005-0000-0000-0000BA010000}"/>
    <cellStyle name="Финансовый 2 2 2" xfId="442" xr:uid="{00000000-0005-0000-0000-0000BB010000}"/>
    <cellStyle name="Финансовый 2 2 2 2" xfId="443" xr:uid="{00000000-0005-0000-0000-0000BC010000}"/>
    <cellStyle name="Финансовый 2 2 2 3" xfId="444" xr:uid="{00000000-0005-0000-0000-0000BD010000}"/>
    <cellStyle name="Финансовый 2 2 2 4" xfId="445" xr:uid="{00000000-0005-0000-0000-0000BE010000}"/>
    <cellStyle name="Финансовый 2 2 3" xfId="446" xr:uid="{00000000-0005-0000-0000-0000BF010000}"/>
    <cellStyle name="Финансовый 2 2 4" xfId="447" xr:uid="{00000000-0005-0000-0000-0000C0010000}"/>
    <cellStyle name="Финансовый 2 2 5" xfId="448" xr:uid="{00000000-0005-0000-0000-0000C1010000}"/>
    <cellStyle name="Финансовый 2 2 6" xfId="449" xr:uid="{00000000-0005-0000-0000-0000C2010000}"/>
    <cellStyle name="Финансовый 2 3" xfId="450" xr:uid="{00000000-0005-0000-0000-0000C3010000}"/>
    <cellStyle name="Финансовый 2 3 2" xfId="451" xr:uid="{00000000-0005-0000-0000-0000C4010000}"/>
    <cellStyle name="Финансовый 2 3 2 2" xfId="452" xr:uid="{00000000-0005-0000-0000-0000C5010000}"/>
    <cellStyle name="Финансовый 2 3 2 3" xfId="453" xr:uid="{00000000-0005-0000-0000-0000C6010000}"/>
    <cellStyle name="Финансовый 2 3 2 4" xfId="454" xr:uid="{00000000-0005-0000-0000-0000C7010000}"/>
    <cellStyle name="Финансовый 2 3 3" xfId="455" xr:uid="{00000000-0005-0000-0000-0000C8010000}"/>
    <cellStyle name="Финансовый 2 3 3 2" xfId="456" xr:uid="{00000000-0005-0000-0000-0000C9010000}"/>
    <cellStyle name="Финансовый 2 3 4" xfId="457" xr:uid="{00000000-0005-0000-0000-0000CA010000}"/>
    <cellStyle name="Финансовый 2 3 4 2" xfId="458" xr:uid="{00000000-0005-0000-0000-0000CB010000}"/>
    <cellStyle name="Финансовый 2 3 4 3" xfId="459" xr:uid="{00000000-0005-0000-0000-0000CC010000}"/>
    <cellStyle name="Финансовый 2 3 4 4" xfId="460" xr:uid="{00000000-0005-0000-0000-0000CD010000}"/>
    <cellStyle name="Финансовый 2 3 5" xfId="461" xr:uid="{00000000-0005-0000-0000-0000CE010000}"/>
    <cellStyle name="Финансовый 2 3 6" xfId="462" xr:uid="{00000000-0005-0000-0000-0000CF010000}"/>
    <cellStyle name="Финансовый 2 3 7" xfId="463" xr:uid="{00000000-0005-0000-0000-0000D0010000}"/>
    <cellStyle name="Финансовый 2 4" xfId="464" xr:uid="{00000000-0005-0000-0000-0000D1010000}"/>
    <cellStyle name="Финансовый 2 4 2" xfId="465" xr:uid="{00000000-0005-0000-0000-0000D2010000}"/>
    <cellStyle name="Финансовый 2 4 3" xfId="466" xr:uid="{00000000-0005-0000-0000-0000D3010000}"/>
    <cellStyle name="Финансовый 2 4 4" xfId="467" xr:uid="{00000000-0005-0000-0000-0000D4010000}"/>
    <cellStyle name="Финансовый 2 5" xfId="468" xr:uid="{00000000-0005-0000-0000-0000D5010000}"/>
    <cellStyle name="Финансовый 2 6" xfId="469" xr:uid="{00000000-0005-0000-0000-0000D6010000}"/>
    <cellStyle name="Финансовый 2 7" xfId="470" xr:uid="{00000000-0005-0000-0000-0000D7010000}"/>
    <cellStyle name="Финансовый 2 8" xfId="471" xr:uid="{00000000-0005-0000-0000-0000D8010000}"/>
    <cellStyle name="Финансовый 3" xfId="472" xr:uid="{00000000-0005-0000-0000-0000D9010000}"/>
    <cellStyle name="Финансовый 3 2" xfId="473" xr:uid="{00000000-0005-0000-0000-0000DA010000}"/>
    <cellStyle name="Финансовый 3 2 2" xfId="474" xr:uid="{00000000-0005-0000-0000-0000DB010000}"/>
    <cellStyle name="Финансовый 3 2 2 2" xfId="475" xr:uid="{00000000-0005-0000-0000-0000DC010000}"/>
    <cellStyle name="Финансовый 3 2 2 2 2" xfId="476" xr:uid="{00000000-0005-0000-0000-0000DD010000}"/>
    <cellStyle name="Финансовый 3 2 2 2 3" xfId="477" xr:uid="{00000000-0005-0000-0000-0000DE010000}"/>
    <cellStyle name="Финансовый 3 2 2 2 4" xfId="478" xr:uid="{00000000-0005-0000-0000-0000DF010000}"/>
    <cellStyle name="Финансовый 3 2 2 3" xfId="479" xr:uid="{00000000-0005-0000-0000-0000E0010000}"/>
    <cellStyle name="Финансовый 3 2 2 4" xfId="480" xr:uid="{00000000-0005-0000-0000-0000E1010000}"/>
    <cellStyle name="Финансовый 3 2 2 5" xfId="481" xr:uid="{00000000-0005-0000-0000-0000E2010000}"/>
    <cellStyle name="Финансовый 3 2 3" xfId="482" xr:uid="{00000000-0005-0000-0000-0000E3010000}"/>
    <cellStyle name="Финансовый 3 2 3 2" xfId="483" xr:uid="{00000000-0005-0000-0000-0000E4010000}"/>
    <cellStyle name="Финансовый 3 2 3 3" xfId="484" xr:uid="{00000000-0005-0000-0000-0000E5010000}"/>
    <cellStyle name="Финансовый 3 2 3 4" xfId="485" xr:uid="{00000000-0005-0000-0000-0000E6010000}"/>
    <cellStyle name="Финансовый 3 2 4" xfId="486" xr:uid="{00000000-0005-0000-0000-0000E7010000}"/>
    <cellStyle name="Финансовый 3 2 5" xfId="487" xr:uid="{00000000-0005-0000-0000-0000E8010000}"/>
    <cellStyle name="Финансовый 3 2 6" xfId="488" xr:uid="{00000000-0005-0000-0000-0000E9010000}"/>
    <cellStyle name="Финансовый 3 2 7" xfId="489" xr:uid="{00000000-0005-0000-0000-0000EA010000}"/>
    <cellStyle name="Финансовый 3 3" xfId="490" xr:uid="{00000000-0005-0000-0000-0000EB010000}"/>
    <cellStyle name="Финансовый 3 3 2" xfId="491" xr:uid="{00000000-0005-0000-0000-0000EC010000}"/>
    <cellStyle name="Финансовый 3 3 2 2" xfId="492" xr:uid="{00000000-0005-0000-0000-0000ED010000}"/>
    <cellStyle name="Финансовый 3 3 2 3" xfId="493" xr:uid="{00000000-0005-0000-0000-0000EE010000}"/>
    <cellStyle name="Финансовый 3 3 2 4" xfId="494" xr:uid="{00000000-0005-0000-0000-0000EF010000}"/>
    <cellStyle name="Финансовый 3 3 3" xfId="495" xr:uid="{00000000-0005-0000-0000-0000F0010000}"/>
    <cellStyle name="Финансовый 3 3 4" xfId="496" xr:uid="{00000000-0005-0000-0000-0000F1010000}"/>
    <cellStyle name="Финансовый 3 3 5" xfId="497" xr:uid="{00000000-0005-0000-0000-0000F2010000}"/>
    <cellStyle name="Финансовый 3 4" xfId="498" xr:uid="{00000000-0005-0000-0000-0000F3010000}"/>
    <cellStyle name="Финансовый 3 4 2" xfId="499" xr:uid="{00000000-0005-0000-0000-0000F4010000}"/>
    <cellStyle name="Финансовый 3 4 3" xfId="500" xr:uid="{00000000-0005-0000-0000-0000F5010000}"/>
    <cellStyle name="Финансовый 3 4 4" xfId="501" xr:uid="{00000000-0005-0000-0000-0000F6010000}"/>
    <cellStyle name="Финансовый 3 5" xfId="502" xr:uid="{00000000-0005-0000-0000-0000F7010000}"/>
    <cellStyle name="Финансовый 3 6" xfId="503" xr:uid="{00000000-0005-0000-0000-0000F8010000}"/>
    <cellStyle name="Финансовый 3 7" xfId="504" xr:uid="{00000000-0005-0000-0000-0000F9010000}"/>
    <cellStyle name="Финансовый 3 8" xfId="505" xr:uid="{00000000-0005-0000-0000-0000FA010000}"/>
    <cellStyle name="Финансовый 4" xfId="506" xr:uid="{00000000-0005-0000-0000-0000FB010000}"/>
    <cellStyle name="Финансовый 4 2" xfId="507" xr:uid="{00000000-0005-0000-0000-0000FC010000}"/>
    <cellStyle name="Финансовый 4 2 2" xfId="508" xr:uid="{00000000-0005-0000-0000-0000FD010000}"/>
    <cellStyle name="Финансовый 4 2 2 2" xfId="509" xr:uid="{00000000-0005-0000-0000-0000FE010000}"/>
    <cellStyle name="Финансовый 4 2 2 3" xfId="510" xr:uid="{00000000-0005-0000-0000-0000FF010000}"/>
    <cellStyle name="Финансовый 4 2 2 4" xfId="511" xr:uid="{00000000-0005-0000-0000-000000020000}"/>
    <cellStyle name="Финансовый 4 2 3" xfId="512" xr:uid="{00000000-0005-0000-0000-000001020000}"/>
    <cellStyle name="Финансовый 4 2 4" xfId="513" xr:uid="{00000000-0005-0000-0000-000002020000}"/>
    <cellStyle name="Финансовый 4 2 5" xfId="514" xr:uid="{00000000-0005-0000-0000-000003020000}"/>
    <cellStyle name="Финансовый 4 3" xfId="515" xr:uid="{00000000-0005-0000-0000-000004020000}"/>
    <cellStyle name="Финансовый 4 3 2" xfId="516" xr:uid="{00000000-0005-0000-0000-000005020000}"/>
    <cellStyle name="Финансовый 4 3 3" xfId="517" xr:uid="{00000000-0005-0000-0000-000006020000}"/>
    <cellStyle name="Финансовый 4 3 4" xfId="518" xr:uid="{00000000-0005-0000-0000-000007020000}"/>
    <cellStyle name="Финансовый 4 4" xfId="519" xr:uid="{00000000-0005-0000-0000-000008020000}"/>
    <cellStyle name="Финансовый 4 5" xfId="520" xr:uid="{00000000-0005-0000-0000-000009020000}"/>
    <cellStyle name="Финансовый 4 6" xfId="521" xr:uid="{00000000-0005-0000-0000-00000A020000}"/>
    <cellStyle name="Финансовый 5" xfId="522" xr:uid="{00000000-0005-0000-0000-00000B020000}"/>
    <cellStyle name="Финансовый 5 2" xfId="523" xr:uid="{00000000-0005-0000-0000-00000C020000}"/>
    <cellStyle name="Финансовый 5 3" xfId="524" xr:uid="{00000000-0005-0000-0000-00000D020000}"/>
    <cellStyle name="Финансовый 5 4" xfId="525" xr:uid="{00000000-0005-0000-0000-00000E020000}"/>
    <cellStyle name="Финансовый 8" xfId="526" xr:uid="{00000000-0005-0000-0000-00000F020000}"/>
    <cellStyle name="Финансовый 8 2" xfId="527" xr:uid="{00000000-0005-0000-0000-000010020000}"/>
    <cellStyle name="Хороший 2" xfId="528" xr:uid="{00000000-0005-0000-0000-000011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46"/>
  <sheetViews>
    <sheetView tabSelected="1" zoomScale="85" zoomScaleNormal="85" workbookViewId="0">
      <pane ySplit="3" topLeftCell="A13" activePane="bottomLeft" state="frozen"/>
      <selection pane="bottomLeft" activeCell="R49" sqref="R49"/>
    </sheetView>
  </sheetViews>
  <sheetFormatPr defaultRowHeight="15" x14ac:dyDescent="0.25"/>
  <cols>
    <col min="2" max="2" width="90.28515625" bestFit="1" customWidth="1"/>
    <col min="5" max="16" width="8.7109375" customWidth="1"/>
    <col min="20" max="20" width="15.28515625" bestFit="1" customWidth="1"/>
  </cols>
  <sheetData>
    <row r="2" spans="2:21" x14ac:dyDescent="0.25">
      <c r="B2" s="22" t="s">
        <v>0</v>
      </c>
      <c r="C2" s="23" t="s">
        <v>1</v>
      </c>
      <c r="D2" s="22" t="s">
        <v>2</v>
      </c>
      <c r="E2" s="21" t="s">
        <v>3</v>
      </c>
      <c r="F2" s="21"/>
      <c r="G2" s="21"/>
      <c r="H2" s="21"/>
      <c r="I2" s="21" t="s">
        <v>4</v>
      </c>
      <c r="J2" s="21"/>
      <c r="K2" s="21"/>
      <c r="L2" s="21"/>
      <c r="M2" s="21" t="s">
        <v>5</v>
      </c>
      <c r="N2" s="21"/>
      <c r="O2" s="21"/>
      <c r="P2" s="21"/>
      <c r="Q2" s="21" t="s">
        <v>6</v>
      </c>
      <c r="R2" s="21"/>
      <c r="S2" s="21"/>
      <c r="T2" s="21"/>
      <c r="U2" s="17">
        <v>5</v>
      </c>
    </row>
    <row r="3" spans="2:21" ht="30" x14ac:dyDescent="0.25">
      <c r="B3" s="22"/>
      <c r="C3" s="23"/>
      <c r="D3" s="22"/>
      <c r="E3" s="16" t="s">
        <v>7</v>
      </c>
      <c r="F3" s="15" t="s">
        <v>8</v>
      </c>
      <c r="G3" s="15" t="s">
        <v>9</v>
      </c>
      <c r="H3" s="16" t="s">
        <v>10</v>
      </c>
      <c r="I3" s="16" t="s">
        <v>7</v>
      </c>
      <c r="J3" s="15" t="s">
        <v>8</v>
      </c>
      <c r="K3" s="15" t="s">
        <v>9</v>
      </c>
      <c r="L3" s="16" t="s">
        <v>10</v>
      </c>
      <c r="M3" s="16" t="s">
        <v>7</v>
      </c>
      <c r="N3" s="15" t="s">
        <v>8</v>
      </c>
      <c r="O3" s="15" t="s">
        <v>9</v>
      </c>
      <c r="P3" s="16" t="s">
        <v>10</v>
      </c>
      <c r="Q3" s="16" t="s">
        <v>7</v>
      </c>
      <c r="R3" s="15" t="s">
        <v>8</v>
      </c>
      <c r="S3" s="15" t="s">
        <v>9</v>
      </c>
      <c r="T3" s="16" t="s">
        <v>10</v>
      </c>
      <c r="U3" s="6"/>
    </row>
    <row r="4" spans="2:21" x14ac:dyDescent="0.25">
      <c r="B4" s="10" t="s">
        <v>11</v>
      </c>
      <c r="C4" s="9" t="s">
        <v>12</v>
      </c>
      <c r="D4" s="9">
        <v>1</v>
      </c>
      <c r="E4" s="11">
        <v>4.0744545454545449</v>
      </c>
      <c r="F4" s="11">
        <v>20.372272727272723</v>
      </c>
      <c r="G4" s="8">
        <v>20.372272727272723</v>
      </c>
      <c r="H4" s="11"/>
      <c r="I4" s="11">
        <v>0</v>
      </c>
      <c r="J4" s="11">
        <v>0</v>
      </c>
      <c r="K4" s="8">
        <v>0</v>
      </c>
      <c r="L4" s="11" t="s">
        <v>13</v>
      </c>
      <c r="M4" s="11">
        <v>0</v>
      </c>
      <c r="N4" s="11">
        <v>0</v>
      </c>
      <c r="O4" s="8">
        <v>0</v>
      </c>
      <c r="P4" s="11" t="s">
        <v>13</v>
      </c>
      <c r="Q4" s="11">
        <v>4.0110363636363635</v>
      </c>
      <c r="R4" s="11">
        <v>20.055181818181818</v>
      </c>
      <c r="S4" s="8">
        <v>20.055181818181818</v>
      </c>
      <c r="T4" s="11">
        <v>25</v>
      </c>
      <c r="U4" s="6"/>
    </row>
    <row r="5" spans="2:21" x14ac:dyDescent="0.25">
      <c r="B5" s="10" t="s">
        <v>14</v>
      </c>
      <c r="C5" s="9" t="s">
        <v>12</v>
      </c>
      <c r="D5" s="9">
        <v>1</v>
      </c>
      <c r="E5" s="11">
        <v>2.6847272727272724</v>
      </c>
      <c r="F5" s="11">
        <v>13.423636363636362</v>
      </c>
      <c r="G5" s="8">
        <v>13.423636363636362</v>
      </c>
      <c r="H5" s="11"/>
      <c r="I5" s="11">
        <v>0</v>
      </c>
      <c r="J5" s="11">
        <v>0</v>
      </c>
      <c r="K5" s="8">
        <v>0</v>
      </c>
      <c r="L5" s="11" t="s">
        <v>13</v>
      </c>
      <c r="M5" s="11">
        <v>51.29614545454546</v>
      </c>
      <c r="N5" s="11">
        <v>256.48072727272728</v>
      </c>
      <c r="O5" s="8">
        <v>256.48072727272728</v>
      </c>
      <c r="P5" s="11"/>
      <c r="Q5" s="11">
        <v>32.715327272727272</v>
      </c>
      <c r="R5" s="11">
        <v>163.57663636363637</v>
      </c>
      <c r="S5" s="8">
        <v>163.57663636363637</v>
      </c>
      <c r="T5" s="11">
        <v>300</v>
      </c>
      <c r="U5" s="6"/>
    </row>
    <row r="6" spans="2:21" x14ac:dyDescent="0.25">
      <c r="B6" s="6" t="s">
        <v>15</v>
      </c>
      <c r="C6" s="5" t="s">
        <v>12</v>
      </c>
      <c r="D6" s="5">
        <v>1</v>
      </c>
      <c r="E6" s="4">
        <v>34.961581818181806</v>
      </c>
      <c r="F6" s="4">
        <v>174.80790909090902</v>
      </c>
      <c r="G6" s="1">
        <v>174.80790909090902</v>
      </c>
      <c r="H6" s="4"/>
      <c r="I6" s="3">
        <v>0</v>
      </c>
      <c r="J6" s="3">
        <v>0</v>
      </c>
      <c r="K6" s="2">
        <v>0</v>
      </c>
      <c r="L6" s="3" t="s">
        <v>13</v>
      </c>
      <c r="M6" s="4">
        <v>40.588654545454546</v>
      </c>
      <c r="N6" s="4">
        <v>202.94327272727273</v>
      </c>
      <c r="O6" s="1">
        <v>202.94327272727273</v>
      </c>
      <c r="P6" s="4"/>
      <c r="Q6" s="4">
        <v>64.362636363636369</v>
      </c>
      <c r="R6" s="4">
        <v>321.81318181818187</v>
      </c>
      <c r="S6" s="1">
        <v>321.81318181818187</v>
      </c>
      <c r="T6" s="4"/>
      <c r="U6" s="6"/>
    </row>
    <row r="7" spans="2:21" x14ac:dyDescent="0.25">
      <c r="B7" s="10" t="s">
        <v>16</v>
      </c>
      <c r="C7" s="9" t="s">
        <v>12</v>
      </c>
      <c r="D7" s="9">
        <v>1</v>
      </c>
      <c r="E7" s="11">
        <v>39.956745454545455</v>
      </c>
      <c r="F7" s="11">
        <v>199.78372727272728</v>
      </c>
      <c r="G7" s="8">
        <v>199.78372727272728</v>
      </c>
      <c r="H7" s="11">
        <v>350</v>
      </c>
      <c r="I7" s="11">
        <v>376.6624888888889</v>
      </c>
      <c r="J7" s="11">
        <v>1883.3124444444445</v>
      </c>
      <c r="K7" s="8">
        <v>1883.3124444444445</v>
      </c>
      <c r="L7" s="11"/>
      <c r="M7" s="11">
        <v>392.35176363636361</v>
      </c>
      <c r="N7" s="11">
        <v>1961.758818181818</v>
      </c>
      <c r="O7" s="8">
        <v>1961.758818181818</v>
      </c>
      <c r="P7" s="11"/>
      <c r="Q7" s="11">
        <v>50.255509090909094</v>
      </c>
      <c r="R7" s="11">
        <v>251.27754545454547</v>
      </c>
      <c r="S7" s="8">
        <v>251.27754545454547</v>
      </c>
      <c r="T7" s="11">
        <v>400</v>
      </c>
      <c r="U7" s="6"/>
    </row>
    <row r="8" spans="2:21" x14ac:dyDescent="0.25">
      <c r="B8" s="10" t="s">
        <v>17</v>
      </c>
      <c r="C8" s="9" t="s">
        <v>12</v>
      </c>
      <c r="D8" s="9">
        <v>1</v>
      </c>
      <c r="E8" s="11">
        <v>175.87180000000001</v>
      </c>
      <c r="F8" s="11">
        <v>879.35900000000004</v>
      </c>
      <c r="G8" s="8">
        <v>879.35900000000004</v>
      </c>
      <c r="H8" s="11"/>
      <c r="I8" s="11">
        <v>1097.6750888888889</v>
      </c>
      <c r="J8" s="11">
        <v>5488.3754444444448</v>
      </c>
      <c r="K8" s="8">
        <v>5488.3754444444448</v>
      </c>
      <c r="L8" s="11"/>
      <c r="M8" s="11">
        <v>403.02340000000004</v>
      </c>
      <c r="N8" s="11">
        <v>2015.1170000000002</v>
      </c>
      <c r="O8" s="8">
        <v>2015.1170000000002</v>
      </c>
      <c r="P8" s="11"/>
      <c r="Q8" s="11">
        <v>107.99512727272726</v>
      </c>
      <c r="R8" s="11">
        <v>539.97563636363634</v>
      </c>
      <c r="S8" s="8">
        <v>539.97563636363634</v>
      </c>
      <c r="T8" s="11">
        <v>600</v>
      </c>
      <c r="U8" s="6"/>
    </row>
    <row r="9" spans="2:21" x14ac:dyDescent="0.25">
      <c r="B9" s="6" t="s">
        <v>18</v>
      </c>
      <c r="C9" s="5" t="s">
        <v>12</v>
      </c>
      <c r="D9" s="5">
        <v>1</v>
      </c>
      <c r="E9" s="4">
        <v>0.84945454545454524</v>
      </c>
      <c r="F9" s="4">
        <v>4.2472727272727262</v>
      </c>
      <c r="G9" s="1">
        <v>4.2472727272727262</v>
      </c>
      <c r="H9" s="4"/>
      <c r="I9" s="3">
        <v>0</v>
      </c>
      <c r="J9" s="3">
        <v>0</v>
      </c>
      <c r="K9" s="2">
        <v>0</v>
      </c>
      <c r="L9" s="3" t="s">
        <v>13</v>
      </c>
      <c r="M9" s="3">
        <v>0</v>
      </c>
      <c r="N9" s="3">
        <v>0</v>
      </c>
      <c r="O9" s="2">
        <v>0</v>
      </c>
      <c r="P9" s="3" t="s">
        <v>13</v>
      </c>
      <c r="Q9" s="4">
        <v>1.5492181818181818</v>
      </c>
      <c r="R9" s="4">
        <v>7.7460909090909089</v>
      </c>
      <c r="S9" s="1">
        <v>7.7460909090909089</v>
      </c>
      <c r="T9" s="4"/>
      <c r="U9" s="6"/>
    </row>
    <row r="10" spans="2:21" x14ac:dyDescent="0.25">
      <c r="B10" s="10" t="s">
        <v>19</v>
      </c>
      <c r="C10" s="9" t="s">
        <v>20</v>
      </c>
      <c r="D10" s="9">
        <v>0.4</v>
      </c>
      <c r="E10" s="11">
        <v>327.61872727272726</v>
      </c>
      <c r="F10" s="11">
        <v>1638.0936363636363</v>
      </c>
      <c r="G10" s="8">
        <v>655.23745454545451</v>
      </c>
      <c r="H10" s="11"/>
      <c r="I10" s="11">
        <v>775.06666666666661</v>
      </c>
      <c r="J10" s="11">
        <v>3875.333333333333</v>
      </c>
      <c r="K10" s="8">
        <v>1550.1333333333332</v>
      </c>
      <c r="L10" s="11"/>
      <c r="M10" s="11">
        <v>896.28447272727271</v>
      </c>
      <c r="N10" s="11">
        <v>4481.422363636364</v>
      </c>
      <c r="O10" s="8">
        <v>1792.5689454545457</v>
      </c>
      <c r="P10" s="11"/>
      <c r="Q10" s="11">
        <v>236.15636363636366</v>
      </c>
      <c r="R10" s="11">
        <v>1180.7818181818184</v>
      </c>
      <c r="S10" s="8">
        <v>472.31272727272739</v>
      </c>
      <c r="T10" s="11">
        <v>500</v>
      </c>
      <c r="U10" s="6"/>
    </row>
    <row r="11" spans="2:21" x14ac:dyDescent="0.25">
      <c r="B11" s="10" t="s">
        <v>21</v>
      </c>
      <c r="C11" s="9" t="s">
        <v>20</v>
      </c>
      <c r="D11" s="9">
        <v>0.4</v>
      </c>
      <c r="E11" s="11">
        <v>126.1090909090909</v>
      </c>
      <c r="F11" s="11">
        <v>630.5454545454545</v>
      </c>
      <c r="G11" s="8">
        <v>252.21818181818182</v>
      </c>
      <c r="H11" s="11"/>
      <c r="I11" s="11">
        <v>198.93333333333334</v>
      </c>
      <c r="J11" s="11">
        <v>994.66666666666674</v>
      </c>
      <c r="K11" s="8">
        <v>397.86666666666673</v>
      </c>
      <c r="L11" s="11"/>
      <c r="M11" s="11">
        <v>203</v>
      </c>
      <c r="N11" s="11">
        <v>1015</v>
      </c>
      <c r="O11" s="8">
        <v>406</v>
      </c>
      <c r="P11" s="11"/>
      <c r="Q11" s="11">
        <v>52.709090909090904</v>
      </c>
      <c r="R11" s="11">
        <v>263.5454545454545</v>
      </c>
      <c r="S11" s="8">
        <v>105.41818181818181</v>
      </c>
      <c r="T11" s="11">
        <v>400</v>
      </c>
      <c r="U11" s="6"/>
    </row>
    <row r="12" spans="2:21" x14ac:dyDescent="0.25">
      <c r="B12" s="6" t="s">
        <v>22</v>
      </c>
      <c r="C12" s="5" t="s">
        <v>20</v>
      </c>
      <c r="D12" s="5">
        <v>0.4</v>
      </c>
      <c r="E12" s="4">
        <v>19.654545454545456</v>
      </c>
      <c r="F12" s="4">
        <v>98.27272727272728</v>
      </c>
      <c r="G12" s="1">
        <v>39.309090909090912</v>
      </c>
      <c r="H12" s="4"/>
      <c r="I12" s="4">
        <v>96.022222222222226</v>
      </c>
      <c r="J12" s="4">
        <v>480.11111111111114</v>
      </c>
      <c r="K12" s="1">
        <v>192.04444444444448</v>
      </c>
      <c r="L12" s="4"/>
      <c r="M12" s="4">
        <v>2.4</v>
      </c>
      <c r="N12" s="4">
        <v>12</v>
      </c>
      <c r="O12" s="1">
        <v>4.8000000000000007</v>
      </c>
      <c r="P12" s="4"/>
      <c r="Q12" s="4">
        <v>7.745454545454546</v>
      </c>
      <c r="R12" s="4">
        <v>38.727272727272734</v>
      </c>
      <c r="S12" s="1">
        <v>15.490909090909094</v>
      </c>
      <c r="T12" s="4"/>
      <c r="U12" s="6"/>
    </row>
    <row r="13" spans="2:21" x14ac:dyDescent="0.25">
      <c r="B13" s="6" t="s">
        <v>23</v>
      </c>
      <c r="C13" s="5" t="s">
        <v>12</v>
      </c>
      <c r="D13" s="5">
        <v>1</v>
      </c>
      <c r="E13" s="4">
        <v>4.0202909090909094</v>
      </c>
      <c r="F13" s="4">
        <v>20.101454545454548</v>
      </c>
      <c r="G13" s="1">
        <v>20.101454545454548</v>
      </c>
      <c r="H13" s="4">
        <v>150</v>
      </c>
      <c r="I13" s="4">
        <v>0</v>
      </c>
      <c r="J13" s="4">
        <v>0</v>
      </c>
      <c r="K13" s="1">
        <v>0</v>
      </c>
      <c r="L13" s="4" t="s">
        <v>24</v>
      </c>
      <c r="M13" s="4">
        <v>55.282181818181812</v>
      </c>
      <c r="N13" s="4">
        <v>276.41090909090906</v>
      </c>
      <c r="O13" s="1">
        <v>276.41090909090906</v>
      </c>
      <c r="P13" s="4"/>
      <c r="Q13" s="4">
        <v>2.9330363636363641</v>
      </c>
      <c r="R13" s="4">
        <v>14.665181818181821</v>
      </c>
      <c r="S13" s="1">
        <v>14.665181818181821</v>
      </c>
      <c r="T13" s="4"/>
      <c r="U13" s="6"/>
    </row>
    <row r="14" spans="2:21" x14ac:dyDescent="0.25">
      <c r="B14" s="6" t="s">
        <v>25</v>
      </c>
      <c r="C14" s="5" t="s">
        <v>20</v>
      </c>
      <c r="D14" s="5">
        <v>0.35</v>
      </c>
      <c r="E14" s="4">
        <v>18.963636363636365</v>
      </c>
      <c r="F14" s="4">
        <v>94.818181818181827</v>
      </c>
      <c r="G14" s="1">
        <v>33.186363636363637</v>
      </c>
      <c r="H14" s="4"/>
      <c r="I14" s="4">
        <v>17.333333333333332</v>
      </c>
      <c r="J14" s="4">
        <v>86.666666666666657</v>
      </c>
      <c r="K14" s="1">
        <v>30.333333333333329</v>
      </c>
      <c r="L14" s="4"/>
      <c r="M14" s="4">
        <v>47.327272727272728</v>
      </c>
      <c r="N14" s="4">
        <v>236.63636363636363</v>
      </c>
      <c r="O14" s="1">
        <v>82.822727272727263</v>
      </c>
      <c r="P14" s="4"/>
      <c r="Q14" s="4">
        <v>29.25454545454545</v>
      </c>
      <c r="R14" s="4">
        <v>146.27272727272725</v>
      </c>
      <c r="S14" s="1">
        <v>51.195454545454538</v>
      </c>
      <c r="T14" s="4"/>
      <c r="U14" s="6"/>
    </row>
    <row r="15" spans="2:21" x14ac:dyDescent="0.25">
      <c r="B15" s="10" t="s">
        <v>26</v>
      </c>
      <c r="C15" s="9" t="s">
        <v>20</v>
      </c>
      <c r="D15" s="9">
        <v>0.4</v>
      </c>
      <c r="E15" s="11">
        <v>24.254545454545454</v>
      </c>
      <c r="F15" s="11">
        <v>121.27272727272727</v>
      </c>
      <c r="G15" s="8">
        <v>48.509090909090908</v>
      </c>
      <c r="H15" s="11"/>
      <c r="I15" s="11">
        <v>1.0222222222222221</v>
      </c>
      <c r="J15" s="11">
        <v>5.1111111111111107</v>
      </c>
      <c r="K15" s="8">
        <v>2.0444444444444443</v>
      </c>
      <c r="L15" s="11"/>
      <c r="M15" s="11">
        <v>35.236363636363635</v>
      </c>
      <c r="N15" s="11">
        <v>176.18181818181819</v>
      </c>
      <c r="O15" s="8">
        <v>70.472727272727283</v>
      </c>
      <c r="P15" s="11"/>
      <c r="Q15" s="11">
        <v>13.854545454545455</v>
      </c>
      <c r="R15" s="11">
        <v>69.27272727272728</v>
      </c>
      <c r="S15" s="8">
        <v>27.709090909090914</v>
      </c>
      <c r="T15" s="11">
        <v>300</v>
      </c>
      <c r="U15" s="6"/>
    </row>
    <row r="16" spans="2:21" x14ac:dyDescent="0.25">
      <c r="B16" s="10" t="s">
        <v>27</v>
      </c>
      <c r="C16" s="9" t="s">
        <v>20</v>
      </c>
      <c r="D16" s="9">
        <v>0.4</v>
      </c>
      <c r="E16" s="11">
        <v>31.290909090909089</v>
      </c>
      <c r="F16" s="11">
        <v>156.45454545454544</v>
      </c>
      <c r="G16" s="8">
        <v>62.581818181818178</v>
      </c>
      <c r="H16" s="11"/>
      <c r="I16" s="11">
        <v>45.55555555555555</v>
      </c>
      <c r="J16" s="11">
        <v>227.77777777777774</v>
      </c>
      <c r="K16" s="8">
        <v>91.1111111111111</v>
      </c>
      <c r="L16" s="11"/>
      <c r="M16" s="11">
        <v>33.909090909090907</v>
      </c>
      <c r="N16" s="11">
        <v>169.54545454545453</v>
      </c>
      <c r="O16" s="8">
        <v>67.818181818181813</v>
      </c>
      <c r="P16" s="11"/>
      <c r="Q16" s="11">
        <v>20.509090909090911</v>
      </c>
      <c r="R16" s="11">
        <v>102.54545454545456</v>
      </c>
      <c r="S16" s="8">
        <v>41.01818181818183</v>
      </c>
      <c r="T16" s="11">
        <v>300</v>
      </c>
      <c r="U16" s="6"/>
    </row>
    <row r="17" spans="2:21" x14ac:dyDescent="0.25">
      <c r="B17" s="6" t="s">
        <v>28</v>
      </c>
      <c r="C17" s="5" t="s">
        <v>20</v>
      </c>
      <c r="D17" s="5">
        <v>0.4</v>
      </c>
      <c r="E17" s="4">
        <v>51.891418181818175</v>
      </c>
      <c r="F17" s="4">
        <v>259.45709090909088</v>
      </c>
      <c r="G17" s="1">
        <v>103.78283636363636</v>
      </c>
      <c r="H17" s="4"/>
      <c r="I17" s="4">
        <v>58.555555555555557</v>
      </c>
      <c r="J17" s="4">
        <v>292.77777777777777</v>
      </c>
      <c r="K17" s="1">
        <v>117.11111111111111</v>
      </c>
      <c r="L17" s="4"/>
      <c r="M17" s="4">
        <v>115.61818181818181</v>
      </c>
      <c r="N17" s="4">
        <v>578.09090909090901</v>
      </c>
      <c r="O17" s="1">
        <v>231.23636363636362</v>
      </c>
      <c r="P17" s="4"/>
      <c r="Q17" s="4">
        <v>41.836363636363643</v>
      </c>
      <c r="R17" s="4">
        <v>209.18181818181822</v>
      </c>
      <c r="S17" s="1">
        <v>83.672727272727286</v>
      </c>
      <c r="T17" s="4"/>
      <c r="U17" s="6"/>
    </row>
    <row r="18" spans="2:21" x14ac:dyDescent="0.25">
      <c r="B18" s="10" t="s">
        <v>29</v>
      </c>
      <c r="C18" s="9" t="s">
        <v>12</v>
      </c>
      <c r="D18" s="9">
        <v>1</v>
      </c>
      <c r="E18" s="11">
        <v>22.699436363636366</v>
      </c>
      <c r="F18" s="11">
        <v>113.49718181818183</v>
      </c>
      <c r="G18" s="8">
        <v>113.49718181818183</v>
      </c>
      <c r="H18" s="11"/>
      <c r="I18" s="11">
        <v>0</v>
      </c>
      <c r="J18" s="11">
        <v>0</v>
      </c>
      <c r="K18" s="8">
        <v>0</v>
      </c>
      <c r="L18" s="11" t="s">
        <v>13</v>
      </c>
      <c r="M18" s="11">
        <v>9.9446909090909106</v>
      </c>
      <c r="N18" s="11">
        <v>49.723454545454551</v>
      </c>
      <c r="O18" s="8">
        <v>49.723454545454551</v>
      </c>
      <c r="P18" s="11"/>
      <c r="Q18" s="11">
        <v>7.1843272727272725</v>
      </c>
      <c r="R18" s="11">
        <v>35.92163636363636</v>
      </c>
      <c r="S18" s="8">
        <v>35.92163636363636</v>
      </c>
      <c r="T18" s="11">
        <v>200</v>
      </c>
      <c r="U18" s="20"/>
    </row>
    <row r="19" spans="2:21" x14ac:dyDescent="0.25">
      <c r="B19" s="6" t="s">
        <v>30</v>
      </c>
      <c r="C19" s="5" t="s">
        <v>20</v>
      </c>
      <c r="D19" s="5">
        <v>0.4</v>
      </c>
      <c r="E19" s="4">
        <v>4.254545454545454</v>
      </c>
      <c r="F19" s="4">
        <v>21.27272727272727</v>
      </c>
      <c r="G19" s="1">
        <v>8.5090909090909079</v>
      </c>
      <c r="H19" s="4"/>
      <c r="I19" s="3">
        <v>0</v>
      </c>
      <c r="J19" s="3">
        <v>0</v>
      </c>
      <c r="K19" s="2">
        <v>0</v>
      </c>
      <c r="L19" s="3" t="s">
        <v>13</v>
      </c>
      <c r="M19" s="4">
        <v>28.218181818181822</v>
      </c>
      <c r="N19" s="4">
        <v>141.09090909090912</v>
      </c>
      <c r="O19" s="1">
        <v>56.436363636363652</v>
      </c>
      <c r="P19" s="4"/>
      <c r="Q19" s="4">
        <v>18.799999999999997</v>
      </c>
      <c r="R19" s="4">
        <v>93.999999999999986</v>
      </c>
      <c r="S19" s="1">
        <v>37.599999999999994</v>
      </c>
      <c r="T19" s="4"/>
      <c r="U19" s="20"/>
    </row>
    <row r="20" spans="2:21" x14ac:dyDescent="0.25">
      <c r="B20" s="6" t="s">
        <v>31</v>
      </c>
      <c r="C20" s="5" t="s">
        <v>20</v>
      </c>
      <c r="D20" s="5">
        <v>0.4</v>
      </c>
      <c r="E20" s="4">
        <v>10</v>
      </c>
      <c r="F20" s="4">
        <v>50</v>
      </c>
      <c r="G20" s="1">
        <v>20</v>
      </c>
      <c r="H20" s="4"/>
      <c r="I20" s="4">
        <v>3.0222222222222221</v>
      </c>
      <c r="J20" s="4">
        <v>15.111111111111111</v>
      </c>
      <c r="K20" s="1">
        <v>6.0444444444444443</v>
      </c>
      <c r="L20" s="4"/>
      <c r="M20" s="4">
        <v>12.69090909090909</v>
      </c>
      <c r="N20" s="4">
        <v>63.454545454545446</v>
      </c>
      <c r="O20" s="1">
        <v>25.381818181818179</v>
      </c>
      <c r="P20" s="4"/>
      <c r="Q20" s="4">
        <v>12.527272727272729</v>
      </c>
      <c r="R20" s="4">
        <v>62.636363636363647</v>
      </c>
      <c r="S20" s="1">
        <v>25.054545454545462</v>
      </c>
      <c r="T20" s="4"/>
      <c r="U20" s="20"/>
    </row>
    <row r="21" spans="2:21" x14ac:dyDescent="0.25">
      <c r="B21" s="10" t="s">
        <v>32</v>
      </c>
      <c r="C21" s="9" t="s">
        <v>12</v>
      </c>
      <c r="D21" s="9">
        <v>1</v>
      </c>
      <c r="E21" s="11">
        <v>13.369254545454544</v>
      </c>
      <c r="F21" s="11">
        <v>66.846272727272719</v>
      </c>
      <c r="G21" s="8">
        <v>66.846272727272719</v>
      </c>
      <c r="H21" s="11">
        <v>200</v>
      </c>
      <c r="I21" s="11">
        <v>10.868822222222223</v>
      </c>
      <c r="J21" s="11">
        <v>54.344111111111111</v>
      </c>
      <c r="K21" s="8">
        <v>54.344111111111111</v>
      </c>
      <c r="L21" s="11"/>
      <c r="M21" s="11">
        <v>9.9568909090909088</v>
      </c>
      <c r="N21" s="11">
        <v>49.784454545454544</v>
      </c>
      <c r="O21" s="8">
        <v>49.784454545454544</v>
      </c>
      <c r="P21" s="11"/>
      <c r="Q21" s="11">
        <v>2.6069636363636364</v>
      </c>
      <c r="R21" s="11">
        <v>13.034818181818181</v>
      </c>
      <c r="S21" s="8">
        <v>13.034818181818181</v>
      </c>
      <c r="T21" s="11">
        <v>230</v>
      </c>
      <c r="U21" s="20"/>
    </row>
    <row r="22" spans="2:21" x14ac:dyDescent="0.25">
      <c r="B22" s="10" t="s">
        <v>33</v>
      </c>
      <c r="C22" s="9" t="s">
        <v>12</v>
      </c>
      <c r="D22" s="9">
        <v>1</v>
      </c>
      <c r="E22" s="11">
        <v>4.8971454545454556</v>
      </c>
      <c r="F22" s="11">
        <v>24.485727272727278</v>
      </c>
      <c r="G22" s="8">
        <v>24.485727272727278</v>
      </c>
      <c r="H22" s="11">
        <v>200</v>
      </c>
      <c r="I22" s="11">
        <v>2.5757333333333334</v>
      </c>
      <c r="J22" s="11">
        <v>12.878666666666668</v>
      </c>
      <c r="K22" s="8">
        <v>12.878666666666668</v>
      </c>
      <c r="L22" s="11"/>
      <c r="M22" s="11">
        <v>7.4163636363636362E-2</v>
      </c>
      <c r="N22" s="11">
        <v>0.37081818181818182</v>
      </c>
      <c r="O22" s="8">
        <v>0.37081818181818182</v>
      </c>
      <c r="P22" s="11" t="s">
        <v>24</v>
      </c>
      <c r="Q22" s="11">
        <v>6.4128909090909101</v>
      </c>
      <c r="R22" s="11">
        <v>32.064454545454552</v>
      </c>
      <c r="S22" s="8">
        <v>32.064454545454552</v>
      </c>
      <c r="T22" s="11">
        <v>230</v>
      </c>
      <c r="U22" s="20"/>
    </row>
    <row r="23" spans="2:21" x14ac:dyDescent="0.25">
      <c r="B23" s="10" t="s">
        <v>34</v>
      </c>
      <c r="C23" s="9" t="s">
        <v>20</v>
      </c>
      <c r="D23" s="9">
        <v>0.4</v>
      </c>
      <c r="E23" s="11">
        <v>55.56363636363637</v>
      </c>
      <c r="F23" s="11">
        <v>277.81818181818187</v>
      </c>
      <c r="G23" s="8">
        <v>111.12727272727275</v>
      </c>
      <c r="H23" s="11"/>
      <c r="I23" s="11">
        <v>77.155555555555566</v>
      </c>
      <c r="J23" s="11">
        <v>385.77777777777783</v>
      </c>
      <c r="K23" s="8">
        <v>154.31111111111113</v>
      </c>
      <c r="L23" s="11"/>
      <c r="M23" s="11">
        <v>104.23636363636365</v>
      </c>
      <c r="N23" s="11">
        <v>521.18181818181824</v>
      </c>
      <c r="O23" s="8">
        <v>208.4727272727273</v>
      </c>
      <c r="P23" s="11"/>
      <c r="Q23" s="11">
        <v>51.81818181818182</v>
      </c>
      <c r="R23" s="11">
        <v>259.09090909090912</v>
      </c>
      <c r="S23" s="8">
        <v>103.63636363636365</v>
      </c>
      <c r="T23" s="11">
        <v>500</v>
      </c>
      <c r="U23" s="20"/>
    </row>
    <row r="24" spans="2:21" x14ac:dyDescent="0.25">
      <c r="B24" s="6" t="s">
        <v>35</v>
      </c>
      <c r="C24" s="5" t="s">
        <v>12</v>
      </c>
      <c r="D24" s="5">
        <v>1</v>
      </c>
      <c r="E24" s="4">
        <v>30.725945454545457</v>
      </c>
      <c r="F24" s="4">
        <v>153.62972727272728</v>
      </c>
      <c r="G24" s="1">
        <v>153.62972727272728</v>
      </c>
      <c r="H24" s="4"/>
      <c r="I24" s="4">
        <v>10.745244444444445</v>
      </c>
      <c r="J24" s="4">
        <v>53.726222222222226</v>
      </c>
      <c r="K24" s="1">
        <v>53.726222222222226</v>
      </c>
      <c r="L24" s="4"/>
      <c r="M24" s="4">
        <v>57.340545454545456</v>
      </c>
      <c r="N24" s="4">
        <v>286.70272727272726</v>
      </c>
      <c r="O24" s="1">
        <v>286.70272727272726</v>
      </c>
      <c r="P24" s="4"/>
      <c r="Q24" s="4">
        <v>26.931236363636355</v>
      </c>
      <c r="R24" s="4">
        <v>134.65618181818178</v>
      </c>
      <c r="S24" s="1">
        <v>134.65618181818178</v>
      </c>
      <c r="T24" s="4"/>
      <c r="U24" s="20"/>
    </row>
    <row r="25" spans="2:21" x14ac:dyDescent="0.25">
      <c r="B25" s="6" t="s">
        <v>36</v>
      </c>
      <c r="C25" s="5" t="s">
        <v>12</v>
      </c>
      <c r="D25" s="5">
        <v>1</v>
      </c>
      <c r="E25" s="4">
        <v>27.621327272727271</v>
      </c>
      <c r="F25" s="4">
        <v>138.10663636363637</v>
      </c>
      <c r="G25" s="1">
        <v>138.10663636363637</v>
      </c>
      <c r="H25" s="4"/>
      <c r="I25" s="4">
        <v>15.893799999999999</v>
      </c>
      <c r="J25" s="4">
        <v>79.468999999999994</v>
      </c>
      <c r="K25" s="1">
        <v>79.468999999999994</v>
      </c>
      <c r="L25" s="4"/>
      <c r="M25" s="4">
        <v>67.759490909090914</v>
      </c>
      <c r="N25" s="4">
        <v>338.79745454545457</v>
      </c>
      <c r="O25" s="1">
        <v>338.79745454545457</v>
      </c>
      <c r="P25" s="4"/>
      <c r="Q25" s="4">
        <v>29.374563636363636</v>
      </c>
      <c r="R25" s="4">
        <v>146.87281818181819</v>
      </c>
      <c r="S25" s="1">
        <v>146.87281818181819</v>
      </c>
      <c r="T25" s="4"/>
      <c r="U25" s="20"/>
    </row>
    <row r="26" spans="2:21" x14ac:dyDescent="0.25">
      <c r="B26" s="6" t="s">
        <v>37</v>
      </c>
      <c r="C26" s="5" t="s">
        <v>12</v>
      </c>
      <c r="D26" s="5">
        <v>1</v>
      </c>
      <c r="E26" s="4">
        <v>33.777581818181822</v>
      </c>
      <c r="F26" s="4">
        <v>168.88790909090912</v>
      </c>
      <c r="G26" s="1">
        <v>168.88790909090912</v>
      </c>
      <c r="H26" s="4"/>
      <c r="I26" s="4">
        <v>10.90248888888889</v>
      </c>
      <c r="J26" s="4">
        <v>54.512444444444448</v>
      </c>
      <c r="K26" s="1">
        <v>54.512444444444448</v>
      </c>
      <c r="L26" s="4"/>
      <c r="M26" s="4">
        <v>49.726290909090899</v>
      </c>
      <c r="N26" s="4">
        <v>248.63145454545449</v>
      </c>
      <c r="O26" s="1">
        <v>248.63145454545449</v>
      </c>
      <c r="P26" s="4"/>
      <c r="Q26" s="4">
        <v>28.597381818181816</v>
      </c>
      <c r="R26" s="4">
        <v>142.98690909090908</v>
      </c>
      <c r="S26" s="1">
        <v>142.98690909090908</v>
      </c>
      <c r="T26" s="4"/>
      <c r="U26" s="20"/>
    </row>
    <row r="27" spans="2:21" x14ac:dyDescent="0.25">
      <c r="B27" s="6" t="s">
        <v>38</v>
      </c>
      <c r="C27" s="5" t="s">
        <v>20</v>
      </c>
      <c r="D27" s="5">
        <v>0.33</v>
      </c>
      <c r="E27" s="4">
        <v>10.872727272727273</v>
      </c>
      <c r="F27" s="4">
        <v>54.363636363636367</v>
      </c>
      <c r="G27" s="1">
        <v>17.940000000000001</v>
      </c>
      <c r="H27" s="4"/>
      <c r="I27" s="4">
        <v>34.844444444444441</v>
      </c>
      <c r="J27" s="4">
        <v>174.2222222222222</v>
      </c>
      <c r="K27" s="1">
        <v>57.493333333333332</v>
      </c>
      <c r="L27" s="4"/>
      <c r="M27" s="4">
        <v>7.4727272727272718</v>
      </c>
      <c r="N27" s="4">
        <v>37.36363636363636</v>
      </c>
      <c r="O27" s="1">
        <v>12.33</v>
      </c>
      <c r="P27" s="4"/>
      <c r="Q27" s="4">
        <v>7.8363636363636369</v>
      </c>
      <c r="R27" s="4">
        <v>39.181818181818187</v>
      </c>
      <c r="S27" s="1">
        <v>12.930000000000001</v>
      </c>
      <c r="T27" s="4"/>
      <c r="U27" s="20"/>
    </row>
    <row r="28" spans="2:21" x14ac:dyDescent="0.25">
      <c r="B28" s="6" t="s">
        <v>39</v>
      </c>
      <c r="C28" s="5" t="s">
        <v>20</v>
      </c>
      <c r="D28" s="5">
        <v>0.35</v>
      </c>
      <c r="E28" s="4">
        <v>5.5454545454545459</v>
      </c>
      <c r="F28" s="4">
        <v>27.72727272727273</v>
      </c>
      <c r="G28" s="1">
        <v>9.704545454545455</v>
      </c>
      <c r="H28" s="4"/>
      <c r="I28" s="4">
        <v>29.911111111111111</v>
      </c>
      <c r="J28" s="4">
        <v>149.55555555555554</v>
      </c>
      <c r="K28" s="1">
        <v>52.344444444444434</v>
      </c>
      <c r="L28" s="4"/>
      <c r="M28" s="4">
        <v>16.945454545454542</v>
      </c>
      <c r="N28" s="4">
        <v>84.727272727272705</v>
      </c>
      <c r="O28" s="1">
        <v>29.654545454545445</v>
      </c>
      <c r="P28" s="4"/>
      <c r="Q28" s="4">
        <v>5.327272727272728</v>
      </c>
      <c r="R28" s="4">
        <v>26.63636363636364</v>
      </c>
      <c r="S28" s="1">
        <v>9.3227272727272741</v>
      </c>
      <c r="T28" s="4"/>
      <c r="U28" s="20"/>
    </row>
    <row r="29" spans="2:21" x14ac:dyDescent="0.25">
      <c r="B29" s="6" t="s">
        <v>40</v>
      </c>
      <c r="C29" s="5" t="s">
        <v>20</v>
      </c>
      <c r="D29" s="5">
        <v>0.35</v>
      </c>
      <c r="E29" s="4">
        <v>29.127272727272729</v>
      </c>
      <c r="F29" s="4">
        <v>145.63636363636365</v>
      </c>
      <c r="G29" s="1">
        <v>50.972727272727276</v>
      </c>
      <c r="H29" s="4"/>
      <c r="I29" s="4">
        <v>70.62222222222222</v>
      </c>
      <c r="J29" s="4">
        <v>353.11111111111109</v>
      </c>
      <c r="K29" s="1">
        <v>123.58888888888887</v>
      </c>
      <c r="L29" s="4"/>
      <c r="M29" s="4">
        <v>48.345454545454544</v>
      </c>
      <c r="N29" s="4">
        <v>241.72727272727272</v>
      </c>
      <c r="O29" s="1">
        <v>84.604545454545445</v>
      </c>
      <c r="P29" s="4"/>
      <c r="Q29" s="4">
        <v>4.6000000000000005</v>
      </c>
      <c r="R29" s="4">
        <v>23.000000000000004</v>
      </c>
      <c r="S29" s="1">
        <v>8.0500000000000007</v>
      </c>
      <c r="T29" s="4"/>
      <c r="U29" s="20"/>
    </row>
    <row r="30" spans="2:21" x14ac:dyDescent="0.25">
      <c r="B30" s="6" t="s">
        <v>41</v>
      </c>
      <c r="C30" s="5" t="s">
        <v>20</v>
      </c>
      <c r="D30" s="5">
        <v>0.3</v>
      </c>
      <c r="E30" s="4">
        <v>21.127272727272722</v>
      </c>
      <c r="F30" s="4">
        <v>105.63636363636361</v>
      </c>
      <c r="G30" s="1">
        <v>31.690909090909081</v>
      </c>
      <c r="H30" s="4"/>
      <c r="I30" s="4">
        <v>20.266666666666666</v>
      </c>
      <c r="J30" s="4">
        <v>101.33333333333333</v>
      </c>
      <c r="K30" s="1">
        <v>30.4</v>
      </c>
      <c r="L30" s="4"/>
      <c r="M30" s="4">
        <v>42.345454545454551</v>
      </c>
      <c r="N30" s="4">
        <v>211.72727272727275</v>
      </c>
      <c r="O30" s="1">
        <v>63.518181818181823</v>
      </c>
      <c r="P30" s="4"/>
      <c r="Q30" s="4">
        <v>22.945454545454545</v>
      </c>
      <c r="R30" s="4">
        <v>114.72727272727272</v>
      </c>
      <c r="S30" s="1">
        <v>34.418181818181814</v>
      </c>
      <c r="T30" s="4"/>
      <c r="U30" s="20"/>
    </row>
    <row r="31" spans="2:21" x14ac:dyDescent="0.25">
      <c r="B31" s="6" t="s">
        <v>42</v>
      </c>
      <c r="C31" s="5" t="s">
        <v>20</v>
      </c>
      <c r="D31" s="5">
        <v>0.3</v>
      </c>
      <c r="E31" s="3">
        <v>0</v>
      </c>
      <c r="F31" s="3">
        <v>0</v>
      </c>
      <c r="G31" s="2">
        <v>0</v>
      </c>
      <c r="H31" s="3" t="s">
        <v>13</v>
      </c>
      <c r="I31" s="4">
        <v>7.133333333333332</v>
      </c>
      <c r="J31" s="4">
        <v>35.666666666666657</v>
      </c>
      <c r="K31" s="1">
        <v>10.699999999999998</v>
      </c>
      <c r="L31" s="4"/>
      <c r="M31" s="4">
        <v>36.545454545454554</v>
      </c>
      <c r="N31" s="4">
        <v>182.72727272727278</v>
      </c>
      <c r="O31" s="1">
        <v>54.818181818181834</v>
      </c>
      <c r="P31" s="4"/>
      <c r="Q31" s="3">
        <v>0</v>
      </c>
      <c r="R31" s="3">
        <v>0</v>
      </c>
      <c r="S31" s="2">
        <v>0</v>
      </c>
      <c r="T31" s="3" t="s">
        <v>13</v>
      </c>
      <c r="U31" s="20"/>
    </row>
    <row r="32" spans="2:21" x14ac:dyDescent="0.25">
      <c r="B32" s="6" t="s">
        <v>43</v>
      </c>
      <c r="C32" s="5" t="s">
        <v>20</v>
      </c>
      <c r="D32" s="5">
        <v>7.0000000000000007E-2</v>
      </c>
      <c r="E32" s="4">
        <v>16.109090909090909</v>
      </c>
      <c r="F32" s="4">
        <v>80.545454545454547</v>
      </c>
      <c r="G32" s="1">
        <v>5.6381818181818186</v>
      </c>
      <c r="H32" s="4"/>
      <c r="I32" s="4">
        <v>26.31111111111111</v>
      </c>
      <c r="J32" s="4">
        <v>131.55555555555554</v>
      </c>
      <c r="K32" s="1">
        <v>9.2088888888888896</v>
      </c>
      <c r="L32" s="4"/>
      <c r="M32" s="4">
        <v>33.909090909090907</v>
      </c>
      <c r="N32" s="4">
        <v>169.54545454545453</v>
      </c>
      <c r="O32" s="1">
        <v>11.868181818181819</v>
      </c>
      <c r="P32" s="4"/>
      <c r="Q32" s="4">
        <v>6.8</v>
      </c>
      <c r="R32" s="4">
        <v>34</v>
      </c>
      <c r="S32" s="1">
        <v>2.3800000000000003</v>
      </c>
      <c r="T32" s="4"/>
      <c r="U32" s="20"/>
    </row>
    <row r="33" spans="2:21" x14ac:dyDescent="0.25">
      <c r="B33" s="6" t="s">
        <v>44</v>
      </c>
      <c r="C33" s="5" t="s">
        <v>20</v>
      </c>
      <c r="D33" s="5">
        <v>0.3</v>
      </c>
      <c r="E33" s="3">
        <v>0</v>
      </c>
      <c r="F33" s="3">
        <v>0</v>
      </c>
      <c r="G33" s="2">
        <v>0</v>
      </c>
      <c r="H33" s="3" t="s">
        <v>13</v>
      </c>
      <c r="I33" s="4">
        <v>2.6222222222222222</v>
      </c>
      <c r="J33" s="4">
        <v>13.111111111111111</v>
      </c>
      <c r="K33" s="1">
        <v>3.9333333333333331</v>
      </c>
      <c r="L33" s="4"/>
      <c r="M33" s="4">
        <v>32.599999999999994</v>
      </c>
      <c r="N33" s="4">
        <v>162.99999999999997</v>
      </c>
      <c r="O33" s="1">
        <v>48.899999999999991</v>
      </c>
      <c r="P33" s="4"/>
      <c r="Q33" s="3">
        <v>0</v>
      </c>
      <c r="R33" s="3">
        <v>0</v>
      </c>
      <c r="S33" s="2">
        <v>0</v>
      </c>
      <c r="T33" s="3" t="s">
        <v>13</v>
      </c>
      <c r="U33" s="20"/>
    </row>
    <row r="34" spans="2:21" x14ac:dyDescent="0.25">
      <c r="B34" s="6" t="s">
        <v>45</v>
      </c>
      <c r="C34" s="5" t="s">
        <v>20</v>
      </c>
      <c r="D34" s="5">
        <v>0.11</v>
      </c>
      <c r="E34" s="4">
        <v>0.47272727272727272</v>
      </c>
      <c r="F34" s="4">
        <v>2.3636363636363638</v>
      </c>
      <c r="G34" s="1">
        <v>0.26</v>
      </c>
      <c r="H34" s="4"/>
      <c r="I34" s="4">
        <v>1.2666666666666666</v>
      </c>
      <c r="J34" s="4">
        <v>6.333333333333333</v>
      </c>
      <c r="K34" s="1">
        <v>0.69666666666666666</v>
      </c>
      <c r="L34" s="4"/>
      <c r="M34" s="3">
        <v>0</v>
      </c>
      <c r="N34" s="3">
        <v>0</v>
      </c>
      <c r="O34" s="2">
        <v>0</v>
      </c>
      <c r="P34" s="3" t="s">
        <v>13</v>
      </c>
      <c r="Q34" s="3">
        <v>0</v>
      </c>
      <c r="R34" s="3">
        <v>0</v>
      </c>
      <c r="S34" s="2">
        <v>0</v>
      </c>
      <c r="T34" s="3" t="s">
        <v>13</v>
      </c>
      <c r="U34" s="20"/>
    </row>
    <row r="35" spans="2:21" x14ac:dyDescent="0.25">
      <c r="B35" s="6" t="s">
        <v>46</v>
      </c>
      <c r="C35" s="5" t="s">
        <v>20</v>
      </c>
      <c r="D35" s="5">
        <v>0.3</v>
      </c>
      <c r="E35" s="3">
        <v>0</v>
      </c>
      <c r="F35" s="3">
        <v>0</v>
      </c>
      <c r="G35" s="2">
        <v>0</v>
      </c>
      <c r="H35" s="3" t="s">
        <v>13</v>
      </c>
      <c r="I35" s="4">
        <v>8.0444444444444443</v>
      </c>
      <c r="J35" s="4">
        <v>40.222222222222221</v>
      </c>
      <c r="K35" s="1">
        <v>12.066666666666666</v>
      </c>
      <c r="L35" s="4"/>
      <c r="M35" s="3">
        <v>0</v>
      </c>
      <c r="N35" s="3">
        <v>0</v>
      </c>
      <c r="O35" s="2">
        <v>0</v>
      </c>
      <c r="P35" s="3" t="s">
        <v>13</v>
      </c>
      <c r="Q35" s="3">
        <v>0</v>
      </c>
      <c r="R35" s="3">
        <v>0</v>
      </c>
      <c r="S35" s="2">
        <v>0</v>
      </c>
      <c r="T35" s="3" t="s">
        <v>13</v>
      </c>
      <c r="U35" s="20"/>
    </row>
    <row r="36" spans="2:21" x14ac:dyDescent="0.25">
      <c r="B36" s="6" t="s">
        <v>47</v>
      </c>
      <c r="C36" s="5" t="s">
        <v>20</v>
      </c>
      <c r="D36" s="5">
        <v>0.28000000000000003</v>
      </c>
      <c r="E36" s="4">
        <v>44.218181818181819</v>
      </c>
      <c r="F36" s="4">
        <v>221.09090909090909</v>
      </c>
      <c r="G36" s="1">
        <v>61.905454545454553</v>
      </c>
      <c r="H36" s="4"/>
      <c r="I36" s="4">
        <v>69.977777777777789</v>
      </c>
      <c r="J36" s="4">
        <v>349.88888888888891</v>
      </c>
      <c r="K36" s="1">
        <v>97.968888888888898</v>
      </c>
      <c r="L36" s="4"/>
      <c r="M36" s="4">
        <v>65.672727272727258</v>
      </c>
      <c r="N36" s="4">
        <v>328.36363636363626</v>
      </c>
      <c r="O36" s="1">
        <v>91.941818181818164</v>
      </c>
      <c r="P36" s="4"/>
      <c r="Q36" s="4">
        <v>21.290909090909093</v>
      </c>
      <c r="R36" s="4">
        <v>106.45454545454547</v>
      </c>
      <c r="S36" s="1">
        <v>29.807272727272732</v>
      </c>
      <c r="T36" s="4"/>
      <c r="U36" s="20"/>
    </row>
    <row r="37" spans="2:21" x14ac:dyDescent="0.25">
      <c r="B37" s="6" t="s">
        <v>48</v>
      </c>
      <c r="C37" s="5" t="s">
        <v>20</v>
      </c>
      <c r="D37" s="5">
        <v>0.28000000000000003</v>
      </c>
      <c r="E37" s="4">
        <v>23.836363636363636</v>
      </c>
      <c r="F37" s="4">
        <v>119.18181818181819</v>
      </c>
      <c r="G37" s="1">
        <v>33.370909090909095</v>
      </c>
      <c r="H37" s="4"/>
      <c r="I37" s="4">
        <v>61.818266666666673</v>
      </c>
      <c r="J37" s="4">
        <v>309.09133333333335</v>
      </c>
      <c r="K37" s="1">
        <v>86.545573333333351</v>
      </c>
      <c r="L37" s="4"/>
      <c r="M37" s="3">
        <v>0</v>
      </c>
      <c r="N37" s="3">
        <v>0</v>
      </c>
      <c r="O37" s="2">
        <v>0</v>
      </c>
      <c r="P37" s="3" t="s">
        <v>13</v>
      </c>
      <c r="Q37" s="4">
        <v>30.581818181818186</v>
      </c>
      <c r="R37" s="4">
        <v>152.90909090909093</v>
      </c>
      <c r="S37" s="1">
        <v>42.814545454545467</v>
      </c>
      <c r="T37" s="4"/>
      <c r="U37" s="20"/>
    </row>
    <row r="38" spans="2:21" x14ac:dyDescent="0.25">
      <c r="B38" s="6" t="s">
        <v>49</v>
      </c>
      <c r="C38" s="5" t="s">
        <v>20</v>
      </c>
      <c r="D38" s="5">
        <v>0.09</v>
      </c>
      <c r="E38" s="4">
        <v>5.1636363636363631</v>
      </c>
      <c r="F38" s="4">
        <v>25.818181818181817</v>
      </c>
      <c r="G38" s="1">
        <v>2.3236363636363633</v>
      </c>
      <c r="H38" s="4"/>
      <c r="I38" s="4">
        <v>9.6888888888888882</v>
      </c>
      <c r="J38" s="4">
        <v>48.444444444444443</v>
      </c>
      <c r="K38" s="1">
        <v>4.3599999999999994</v>
      </c>
      <c r="L38" s="4"/>
      <c r="M38" s="4">
        <v>0</v>
      </c>
      <c r="N38" s="4">
        <v>0</v>
      </c>
      <c r="O38" s="1">
        <v>0</v>
      </c>
      <c r="P38" s="4" t="s">
        <v>24</v>
      </c>
      <c r="Q38" s="3">
        <v>0</v>
      </c>
      <c r="R38" s="3">
        <v>0</v>
      </c>
      <c r="S38" s="2">
        <v>0</v>
      </c>
      <c r="T38" s="3" t="s">
        <v>13</v>
      </c>
      <c r="U38" s="20"/>
    </row>
    <row r="39" spans="2:21" x14ac:dyDescent="0.25">
      <c r="B39" s="6" t="s">
        <v>50</v>
      </c>
      <c r="C39" s="5" t="s">
        <v>20</v>
      </c>
      <c r="D39" s="5">
        <v>0.3</v>
      </c>
      <c r="E39" s="4">
        <v>34.909090909090907</v>
      </c>
      <c r="F39" s="4">
        <v>174.54545454545453</v>
      </c>
      <c r="G39" s="1">
        <v>52.36363636363636</v>
      </c>
      <c r="H39" s="4"/>
      <c r="I39" s="4">
        <v>29.777777777777779</v>
      </c>
      <c r="J39" s="4">
        <v>148.88888888888889</v>
      </c>
      <c r="K39" s="1">
        <v>44.666666666666664</v>
      </c>
      <c r="L39" s="4"/>
      <c r="M39" s="4">
        <v>69.927272727272722</v>
      </c>
      <c r="N39" s="4">
        <v>349.63636363636363</v>
      </c>
      <c r="O39" s="1">
        <v>104.89090909090909</v>
      </c>
      <c r="P39" s="4"/>
      <c r="Q39" s="4">
        <v>41.909090909090907</v>
      </c>
      <c r="R39" s="4">
        <v>209.54545454545453</v>
      </c>
      <c r="S39" s="1">
        <v>62.86363636363636</v>
      </c>
      <c r="T39" s="4"/>
      <c r="U39" s="20"/>
    </row>
    <row r="40" spans="2:21" x14ac:dyDescent="0.25">
      <c r="B40" s="6" t="s">
        <v>51</v>
      </c>
      <c r="C40" s="5" t="s">
        <v>20</v>
      </c>
      <c r="D40" s="5">
        <v>0.3</v>
      </c>
      <c r="E40" s="4">
        <v>18.163636363636364</v>
      </c>
      <c r="F40" s="4">
        <v>90.818181818181813</v>
      </c>
      <c r="G40" s="1">
        <v>27.245454545454542</v>
      </c>
      <c r="H40" s="4">
        <v>40</v>
      </c>
      <c r="I40" s="4">
        <v>9.844444444444445</v>
      </c>
      <c r="J40" s="4">
        <v>49.222222222222229</v>
      </c>
      <c r="K40" s="1">
        <v>14.766666666666667</v>
      </c>
      <c r="L40" s="4"/>
      <c r="M40" s="4">
        <v>54.709090909090918</v>
      </c>
      <c r="N40" s="4">
        <v>273.54545454545462</v>
      </c>
      <c r="O40" s="1">
        <v>82.063636363636377</v>
      </c>
      <c r="P40" s="4"/>
      <c r="Q40" s="4">
        <v>24.090909090909097</v>
      </c>
      <c r="R40" s="4">
        <v>120.45454545454548</v>
      </c>
      <c r="S40" s="1">
        <v>36.13636363636364</v>
      </c>
      <c r="T40" s="4"/>
      <c r="U40" s="20"/>
    </row>
    <row r="41" spans="2:21" s="18" customFormat="1" x14ac:dyDescent="0.25">
      <c r="B41" s="10" t="s">
        <v>54</v>
      </c>
      <c r="C41" s="10" t="s">
        <v>20</v>
      </c>
      <c r="D41" s="9">
        <v>5.5E-2</v>
      </c>
      <c r="E41" s="11"/>
      <c r="F41" s="11"/>
      <c r="G41" s="8"/>
      <c r="H41" s="11"/>
      <c r="I41" s="11"/>
      <c r="J41" s="11"/>
      <c r="K41" s="8"/>
      <c r="L41" s="11"/>
      <c r="M41" s="11"/>
      <c r="N41" s="11"/>
      <c r="O41" s="8"/>
      <c r="P41" s="11"/>
      <c r="Q41" s="11">
        <v>0.51800000000000002</v>
      </c>
      <c r="R41" s="19">
        <v>47</v>
      </c>
      <c r="S41" s="11">
        <v>2.59</v>
      </c>
      <c r="T41" s="11">
        <v>150</v>
      </c>
      <c r="U41" s="20"/>
    </row>
    <row r="42" spans="2:21" s="18" customFormat="1" x14ac:dyDescent="0.25">
      <c r="B42" s="10" t="s">
        <v>53</v>
      </c>
      <c r="C42" s="10" t="s">
        <v>20</v>
      </c>
      <c r="D42" s="9">
        <v>0.45</v>
      </c>
      <c r="E42" s="11"/>
      <c r="F42" s="11"/>
      <c r="G42" s="8"/>
      <c r="H42" s="11"/>
      <c r="I42" s="11"/>
      <c r="J42" s="11"/>
      <c r="K42" s="8"/>
      <c r="L42" s="11"/>
      <c r="M42" s="11"/>
      <c r="N42" s="11"/>
      <c r="O42" s="8"/>
      <c r="P42" s="11"/>
      <c r="Q42" s="11">
        <v>15</v>
      </c>
      <c r="R42" s="11">
        <v>511</v>
      </c>
      <c r="S42" s="8">
        <v>230</v>
      </c>
      <c r="T42" s="11">
        <v>230</v>
      </c>
      <c r="U42" s="20"/>
    </row>
    <row r="43" spans="2:21" s="18" customFormat="1" x14ac:dyDescent="0.25">
      <c r="B43" s="10" t="s">
        <v>55</v>
      </c>
      <c r="C43" s="9" t="s">
        <v>20</v>
      </c>
      <c r="D43" s="9">
        <v>0.4</v>
      </c>
      <c r="E43" s="11"/>
      <c r="F43" s="11"/>
      <c r="G43" s="8"/>
      <c r="H43" s="11"/>
      <c r="I43" s="11"/>
      <c r="J43" s="11"/>
      <c r="K43" s="8"/>
      <c r="L43" s="11"/>
      <c r="M43" s="11"/>
      <c r="N43" s="11"/>
      <c r="O43" s="8"/>
      <c r="P43" s="11"/>
      <c r="Q43" s="11">
        <v>32</v>
      </c>
      <c r="R43" s="11">
        <v>400</v>
      </c>
      <c r="S43" s="8">
        <v>160</v>
      </c>
      <c r="T43" s="11">
        <v>400</v>
      </c>
      <c r="U43" s="20"/>
    </row>
    <row r="44" spans="2:21" s="18" customFormat="1" x14ac:dyDescent="0.25">
      <c r="B44" s="7" t="s">
        <v>52</v>
      </c>
      <c r="C44" s="7" t="s">
        <v>12</v>
      </c>
      <c r="D44" s="9">
        <v>1</v>
      </c>
      <c r="E44" s="11"/>
      <c r="F44" s="11"/>
      <c r="G44" s="8"/>
      <c r="H44" s="11"/>
      <c r="I44" s="11"/>
      <c r="J44" s="11"/>
      <c r="K44" s="8"/>
      <c r="L44" s="11"/>
      <c r="M44" s="11"/>
      <c r="N44" s="11"/>
      <c r="O44" s="8"/>
      <c r="P44" s="11"/>
      <c r="Q44" s="11">
        <v>40</v>
      </c>
      <c r="R44" s="11">
        <v>400</v>
      </c>
      <c r="S44" s="8">
        <v>400</v>
      </c>
      <c r="T44" s="11">
        <v>400</v>
      </c>
      <c r="U44" s="20"/>
    </row>
    <row r="45" spans="2:21" x14ac:dyDescent="0.25">
      <c r="B45" s="14"/>
      <c r="C45" s="14"/>
      <c r="D45" s="14"/>
      <c r="E45" s="14"/>
      <c r="F45" s="13">
        <v>5</v>
      </c>
      <c r="G45" s="12">
        <f>SUM(G4:G41)</f>
        <v>3605.4253818181819</v>
      </c>
      <c r="H45" s="14"/>
      <c r="I45" s="14"/>
      <c r="J45" s="13">
        <v>5</v>
      </c>
      <c r="K45" s="12">
        <f>SUM(K4:K40)</f>
        <v>10716.35835111111</v>
      </c>
      <c r="L45" s="14"/>
      <c r="M45" s="14"/>
      <c r="N45" s="13">
        <v>5</v>
      </c>
      <c r="O45" s="12">
        <f>SUM(O4:O42)</f>
        <v>9217.3209454545467</v>
      </c>
      <c r="P45" s="14"/>
      <c r="Q45" s="14"/>
      <c r="R45" s="13">
        <v>5</v>
      </c>
      <c r="S45" s="12">
        <f>SUM(S4:S44)</f>
        <v>3819.0671818181827</v>
      </c>
      <c r="T45" s="14"/>
      <c r="U45" s="20"/>
    </row>
    <row r="46" spans="2:21" x14ac:dyDescent="0.25">
      <c r="G46" s="24">
        <v>4207</v>
      </c>
      <c r="S46" s="24">
        <v>6385</v>
      </c>
    </row>
  </sheetData>
  <mergeCells count="7">
    <mergeCell ref="E2:H2"/>
    <mergeCell ref="I2:L2"/>
    <mergeCell ref="M2:P2"/>
    <mergeCell ref="Q2:T2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Uaer4</cp:lastModifiedBy>
  <dcterms:created xsi:type="dcterms:W3CDTF">2026-08-07T07:07:20Z</dcterms:created>
  <dcterms:modified xsi:type="dcterms:W3CDTF">2026-08-07T11:30:00Z</dcterms:modified>
</cp:coreProperties>
</file>