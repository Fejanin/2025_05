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E72F22C-8D13-4B02-B95C-74E7803580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Z482" i="2" s="1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Z324" i="2" s="1"/>
  <c r="P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X318" i="2"/>
  <c r="X317" i="2"/>
  <c r="BO316" i="2"/>
  <c r="BM316" i="2"/>
  <c r="Y316" i="2"/>
  <c r="P316" i="2"/>
  <c r="X314" i="2"/>
  <c r="X313" i="2"/>
  <c r="BO312" i="2"/>
  <c r="BM312" i="2"/>
  <c r="Y312" i="2"/>
  <c r="Y313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P256" i="2" s="1"/>
  <c r="P256" i="2"/>
  <c r="X253" i="2"/>
  <c r="X252" i="2"/>
  <c r="BO251" i="2"/>
  <c r="BM251" i="2"/>
  <c r="Y251" i="2"/>
  <c r="Y252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Y208" i="2" s="1"/>
  <c r="P200" i="2"/>
  <c r="X196" i="2"/>
  <c r="X195" i="2"/>
  <c r="BO194" i="2"/>
  <c r="BM194" i="2"/>
  <c r="Y194" i="2"/>
  <c r="Z194" i="2" s="1"/>
  <c r="Z195" i="2" s="1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Y192" i="2" s="1"/>
  <c r="P188" i="2"/>
  <c r="X186" i="2"/>
  <c r="X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N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P138" i="2" s="1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5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N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Z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Y117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P101" i="2" s="1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D564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F9" i="2" s="1"/>
  <c r="D7" i="2"/>
  <c r="Q6" i="2"/>
  <c r="P2" i="2"/>
  <c r="Z162" i="2" l="1"/>
  <c r="BN162" i="2"/>
  <c r="Z40" i="2"/>
  <c r="Z286" i="2"/>
  <c r="BN286" i="2"/>
  <c r="Z96" i="2"/>
  <c r="Z229" i="2"/>
  <c r="Z438" i="2"/>
  <c r="Z66" i="2"/>
  <c r="Z121" i="2"/>
  <c r="BN121" i="2"/>
  <c r="Z190" i="2"/>
  <c r="Z304" i="2"/>
  <c r="Z322" i="2"/>
  <c r="Z388" i="2"/>
  <c r="BN388" i="2"/>
  <c r="Z511" i="2"/>
  <c r="BN511" i="2"/>
  <c r="Z512" i="2"/>
  <c r="Z57" i="2"/>
  <c r="BN57" i="2"/>
  <c r="Z107" i="2"/>
  <c r="Z143" i="2"/>
  <c r="Z180" i="2"/>
  <c r="Z217" i="2"/>
  <c r="BN217" i="2"/>
  <c r="Z256" i="2"/>
  <c r="BN256" i="2"/>
  <c r="Z273" i="2"/>
  <c r="Z293" i="2"/>
  <c r="Z333" i="2"/>
  <c r="Z363" i="2"/>
  <c r="BN363" i="2"/>
  <c r="BP394" i="2"/>
  <c r="BP460" i="2"/>
  <c r="Y461" i="2"/>
  <c r="Z464" i="2"/>
  <c r="BN464" i="2"/>
  <c r="Z493" i="2"/>
  <c r="BN493" i="2"/>
  <c r="Z429" i="2"/>
  <c r="Z28" i="2"/>
  <c r="Z56" i="2"/>
  <c r="Z67" i="2"/>
  <c r="BN67" i="2"/>
  <c r="Z88" i="2"/>
  <c r="BN88" i="2"/>
  <c r="Z89" i="2"/>
  <c r="BN89" i="2"/>
  <c r="Z101" i="2"/>
  <c r="BN101" i="2"/>
  <c r="Z132" i="2"/>
  <c r="BN132" i="2"/>
  <c r="Z133" i="2"/>
  <c r="BN133" i="2"/>
  <c r="Y134" i="2"/>
  <c r="Y145" i="2"/>
  <c r="Z175" i="2"/>
  <c r="Z182" i="2"/>
  <c r="BN182" i="2"/>
  <c r="Z211" i="2"/>
  <c r="Z212" i="2" s="1"/>
  <c r="BN211" i="2"/>
  <c r="Y213" i="2"/>
  <c r="Y231" i="2"/>
  <c r="Z221" i="2"/>
  <c r="BN221" i="2"/>
  <c r="Z222" i="2"/>
  <c r="BN222" i="2"/>
  <c r="Z239" i="2"/>
  <c r="Z262" i="2"/>
  <c r="Z271" i="2"/>
  <c r="Z282" i="2"/>
  <c r="Z288" i="2"/>
  <c r="BN288" i="2"/>
  <c r="Z300" i="2"/>
  <c r="BN300" i="2"/>
  <c r="Z302" i="2"/>
  <c r="Z326" i="2"/>
  <c r="BN326" i="2"/>
  <c r="Z354" i="2"/>
  <c r="Z370" i="2"/>
  <c r="Z432" i="2"/>
  <c r="BN432" i="2"/>
  <c r="Z433" i="2"/>
  <c r="Z445" i="2"/>
  <c r="BN445" i="2"/>
  <c r="Z501" i="2"/>
  <c r="BN501" i="2"/>
  <c r="Z505" i="2"/>
  <c r="BN505" i="2"/>
  <c r="Z521" i="2"/>
  <c r="BN521" i="2"/>
  <c r="Z522" i="2"/>
  <c r="X555" i="2"/>
  <c r="X556" i="2"/>
  <c r="X558" i="2"/>
  <c r="X554" i="2"/>
  <c r="BN27" i="2"/>
  <c r="BP27" i="2"/>
  <c r="BP28" i="2"/>
  <c r="BN29" i="2"/>
  <c r="Z30" i="2"/>
  <c r="BN30" i="2"/>
  <c r="Z31" i="2"/>
  <c r="BN31" i="2"/>
  <c r="Y32" i="2"/>
  <c r="Y33" i="2"/>
  <c r="BP38" i="2"/>
  <c r="BN38" i="2"/>
  <c r="Z38" i="2"/>
  <c r="BP50" i="2"/>
  <c r="BN50" i="2"/>
  <c r="Z50" i="2"/>
  <c r="BN58" i="2"/>
  <c r="BP58" i="2"/>
  <c r="BN59" i="2"/>
  <c r="Z59" i="2"/>
  <c r="Y81" i="2"/>
  <c r="BP78" i="2"/>
  <c r="BN78" i="2"/>
  <c r="Z78" i="2"/>
  <c r="Z81" i="2" s="1"/>
  <c r="F564" i="2"/>
  <c r="Y91" i="2"/>
  <c r="Y90" i="2"/>
  <c r="BN85" i="2"/>
  <c r="BP85" i="2"/>
  <c r="BN86" i="2"/>
  <c r="Z86" i="2"/>
  <c r="BN22" i="2"/>
  <c r="BP22" i="2"/>
  <c r="Y24" i="2"/>
  <c r="BN47" i="2"/>
  <c r="BP47" i="2"/>
  <c r="BN48" i="2"/>
  <c r="Z48" i="2"/>
  <c r="BP61" i="2"/>
  <c r="BN61" i="2"/>
  <c r="Z61" i="2"/>
  <c r="BN68" i="2"/>
  <c r="BP68" i="2"/>
  <c r="BN73" i="2"/>
  <c r="BP73" i="2"/>
  <c r="BN74" i="2"/>
  <c r="Z74" i="2"/>
  <c r="BN87" i="2"/>
  <c r="BN102" i="2"/>
  <c r="BP102" i="2"/>
  <c r="BP103" i="2"/>
  <c r="BN112" i="2"/>
  <c r="BP112" i="2"/>
  <c r="BP113" i="2"/>
  <c r="BN122" i="2"/>
  <c r="BP122" i="2"/>
  <c r="BP123" i="2"/>
  <c r="Y124" i="2"/>
  <c r="BN151" i="2"/>
  <c r="BP151" i="2"/>
  <c r="BN163" i="2"/>
  <c r="BP163" i="2"/>
  <c r="BP164" i="2"/>
  <c r="Y165" i="2"/>
  <c r="Y166" i="2"/>
  <c r="BP177" i="2"/>
  <c r="BN183" i="2"/>
  <c r="BP183" i="2"/>
  <c r="BP184" i="2"/>
  <c r="BN194" i="2"/>
  <c r="BP194" i="2"/>
  <c r="Y195" i="2"/>
  <c r="Y196" i="2"/>
  <c r="BN218" i="2"/>
  <c r="BP218" i="2"/>
  <c r="BP219" i="2"/>
  <c r="BN220" i="2"/>
  <c r="BN227" i="2"/>
  <c r="BP227" i="2"/>
  <c r="BN237" i="2"/>
  <c r="BP237" i="2"/>
  <c r="BP240" i="2"/>
  <c r="BN247" i="2"/>
  <c r="BP247" i="2"/>
  <c r="BN269" i="2"/>
  <c r="BN280" i="2"/>
  <c r="BP280" i="2"/>
  <c r="BP283" i="2"/>
  <c r="BN312" i="2"/>
  <c r="BP312" i="2"/>
  <c r="Y318" i="2"/>
  <c r="Z316" i="2"/>
  <c r="Z317" i="2" s="1"/>
  <c r="BN323" i="2"/>
  <c r="Z323" i="2"/>
  <c r="BP332" i="2"/>
  <c r="Z332" i="2"/>
  <c r="BN362" i="2"/>
  <c r="Y366" i="2"/>
  <c r="BP373" i="2"/>
  <c r="BN373" i="2"/>
  <c r="Z373" i="2"/>
  <c r="BN379" i="2"/>
  <c r="BP379" i="2"/>
  <c r="BN380" i="2"/>
  <c r="Z380" i="2"/>
  <c r="BN395" i="2"/>
  <c r="BP395" i="2"/>
  <c r="BP399" i="2"/>
  <c r="BN399" i="2"/>
  <c r="Z399" i="2"/>
  <c r="BN400" i="2"/>
  <c r="BP400" i="2"/>
  <c r="Y402" i="2"/>
  <c r="Y408" i="2"/>
  <c r="BP405" i="2"/>
  <c r="BN405" i="2"/>
  <c r="Z405" i="2"/>
  <c r="BN412" i="2"/>
  <c r="BP412" i="2"/>
  <c r="BN413" i="2"/>
  <c r="Z413" i="2"/>
  <c r="Z414" i="2" s="1"/>
  <c r="BN430" i="2"/>
  <c r="BP430" i="2"/>
  <c r="BP439" i="2"/>
  <c r="Z439" i="2"/>
  <c r="BN482" i="2"/>
  <c r="BP482" i="2"/>
  <c r="Z564" i="2"/>
  <c r="Z487" i="2"/>
  <c r="Z488" i="2" s="1"/>
  <c r="Z514" i="2"/>
  <c r="Y514" i="2"/>
  <c r="BN39" i="2"/>
  <c r="BP39" i="2"/>
  <c r="BP40" i="2"/>
  <c r="BN41" i="2"/>
  <c r="Y63" i="2"/>
  <c r="BP56" i="2"/>
  <c r="Y70" i="2"/>
  <c r="BP66" i="2"/>
  <c r="BN79" i="2"/>
  <c r="BP79" i="2"/>
  <c r="Z94" i="2"/>
  <c r="BN94" i="2"/>
  <c r="BN95" i="2"/>
  <c r="BP95" i="2"/>
  <c r="BP96" i="2"/>
  <c r="G564" i="2"/>
  <c r="Z103" i="2"/>
  <c r="Z105" i="2"/>
  <c r="BN105" i="2"/>
  <c r="BN106" i="2"/>
  <c r="BP106" i="2"/>
  <c r="BP107" i="2"/>
  <c r="BN108" i="2"/>
  <c r="Z113" i="2"/>
  <c r="Z115" i="2"/>
  <c r="BN115" i="2"/>
  <c r="BN116" i="2"/>
  <c r="BP116" i="2"/>
  <c r="Y125" i="2"/>
  <c r="BP120" i="2"/>
  <c r="Z123" i="2"/>
  <c r="BN127" i="2"/>
  <c r="BP127" i="2"/>
  <c r="Y128" i="2"/>
  <c r="Y129" i="2"/>
  <c r="H564" i="2"/>
  <c r="Z138" i="2"/>
  <c r="BN138" i="2"/>
  <c r="BP143" i="2"/>
  <c r="Z152" i="2"/>
  <c r="BN157" i="2"/>
  <c r="BP157" i="2"/>
  <c r="J564" i="2"/>
  <c r="Z164" i="2"/>
  <c r="Z165" i="2" s="1"/>
  <c r="Z168" i="2"/>
  <c r="BN168" i="2"/>
  <c r="Y171" i="2"/>
  <c r="BN169" i="2"/>
  <c r="BP169" i="2"/>
  <c r="BN174" i="2"/>
  <c r="BP174" i="2"/>
  <c r="Z177" i="2"/>
  <c r="Z178" i="2"/>
  <c r="BN178" i="2"/>
  <c r="BN179" i="2"/>
  <c r="BP179" i="2"/>
  <c r="BP180" i="2"/>
  <c r="Z184" i="2"/>
  <c r="Z188" i="2"/>
  <c r="BN188" i="2"/>
  <c r="BP188" i="2"/>
  <c r="BN189" i="2"/>
  <c r="BP189" i="2"/>
  <c r="BP190" i="2"/>
  <c r="Y191" i="2"/>
  <c r="Z200" i="2"/>
  <c r="BN200" i="2"/>
  <c r="Z201" i="2"/>
  <c r="BN201" i="2"/>
  <c r="BN202" i="2"/>
  <c r="BP202" i="2"/>
  <c r="BN206" i="2"/>
  <c r="BP206" i="2"/>
  <c r="Z215" i="2"/>
  <c r="BN215" i="2"/>
  <c r="BP215" i="2"/>
  <c r="Z219" i="2"/>
  <c r="BP223" i="2"/>
  <c r="BN226" i="2"/>
  <c r="Z228" i="2"/>
  <c r="BP233" i="2"/>
  <c r="BN236" i="2"/>
  <c r="Z238" i="2"/>
  <c r="Z240" i="2"/>
  <c r="Z241" i="2"/>
  <c r="BN241" i="2"/>
  <c r="Y249" i="2"/>
  <c r="BN246" i="2"/>
  <c r="Z251" i="2"/>
  <c r="Z252" i="2" s="1"/>
  <c r="BN251" i="2"/>
  <c r="Y253" i="2"/>
  <c r="M564" i="2"/>
  <c r="Z261" i="2"/>
  <c r="Y275" i="2"/>
  <c r="BN270" i="2"/>
  <c r="BP270" i="2"/>
  <c r="Z272" i="2"/>
  <c r="BP273" i="2"/>
  <c r="BN279" i="2"/>
  <c r="Z281" i="2"/>
  <c r="Z283" i="2"/>
  <c r="Z284" i="2"/>
  <c r="BN284" i="2"/>
  <c r="BN285" i="2"/>
  <c r="BP285" i="2"/>
  <c r="Z287" i="2"/>
  <c r="Z292" i="2"/>
  <c r="BP293" i="2"/>
  <c r="Z301" i="2"/>
  <c r="BP301" i="2"/>
  <c r="BN301" i="2"/>
  <c r="BP303" i="2"/>
  <c r="Z303" i="2"/>
  <c r="Y328" i="2"/>
  <c r="Z321" i="2"/>
  <c r="BP323" i="2"/>
  <c r="BN324" i="2"/>
  <c r="BP324" i="2"/>
  <c r="BP325" i="2"/>
  <c r="BN325" i="2"/>
  <c r="Z325" i="2"/>
  <c r="BP340" i="2"/>
  <c r="BN340" i="2"/>
  <c r="Z340" i="2"/>
  <c r="BN341" i="2"/>
  <c r="BP341" i="2"/>
  <c r="Y348" i="2"/>
  <c r="BP346" i="2"/>
  <c r="BN346" i="2"/>
  <c r="Z346" i="2"/>
  <c r="S564" i="2"/>
  <c r="Y356" i="2"/>
  <c r="Y355" i="2"/>
  <c r="BP352" i="2"/>
  <c r="BN352" i="2"/>
  <c r="Z352" i="2"/>
  <c r="Z355" i="2" s="1"/>
  <c r="BN359" i="2"/>
  <c r="BP359" i="2"/>
  <c r="BN360" i="2"/>
  <c r="Z360" i="2"/>
  <c r="BP380" i="2"/>
  <c r="BN382" i="2"/>
  <c r="Y384" i="2"/>
  <c r="BP386" i="2"/>
  <c r="Y390" i="2"/>
  <c r="BN386" i="2"/>
  <c r="Z386" i="2"/>
  <c r="BP387" i="2"/>
  <c r="BN387" i="2"/>
  <c r="Z387" i="2"/>
  <c r="BP393" i="2"/>
  <c r="Z393" i="2"/>
  <c r="BP413" i="2"/>
  <c r="Y414" i="2"/>
  <c r="BN419" i="2"/>
  <c r="BP419" i="2"/>
  <c r="BP420" i="2"/>
  <c r="BN420" i="2"/>
  <c r="Z420" i="2"/>
  <c r="W564" i="2"/>
  <c r="BN426" i="2"/>
  <c r="BP426" i="2"/>
  <c r="BP428" i="2"/>
  <c r="Z428" i="2"/>
  <c r="BN450" i="2"/>
  <c r="Y452" i="2"/>
  <c r="X564" i="2"/>
  <c r="Y458" i="2"/>
  <c r="Y457" i="2"/>
  <c r="BN455" i="2"/>
  <c r="Z455" i="2"/>
  <c r="BP456" i="2"/>
  <c r="BN456" i="2"/>
  <c r="Z456" i="2"/>
  <c r="Y564" i="2"/>
  <c r="BN472" i="2"/>
  <c r="BP472" i="2"/>
  <c r="BP473" i="2"/>
  <c r="BN473" i="2"/>
  <c r="Z473" i="2"/>
  <c r="BP476" i="2"/>
  <c r="BN476" i="2"/>
  <c r="Z476" i="2"/>
  <c r="Y478" i="2"/>
  <c r="AA564" i="2"/>
  <c r="BN500" i="2"/>
  <c r="BN506" i="2"/>
  <c r="BP506" i="2"/>
  <c r="BN518" i="2"/>
  <c r="BP518" i="2"/>
  <c r="BN520" i="2"/>
  <c r="Y535" i="2"/>
  <c r="Y534" i="2"/>
  <c r="Z533" i="2"/>
  <c r="Z534" i="2" s="1"/>
  <c r="BP545" i="2"/>
  <c r="Z545" i="2"/>
  <c r="BP304" i="2"/>
  <c r="Y309" i="2"/>
  <c r="BN353" i="2"/>
  <c r="BP353" i="2"/>
  <c r="BP354" i="2"/>
  <c r="BN369" i="2"/>
  <c r="BP369" i="2"/>
  <c r="BP370" i="2"/>
  <c r="BN372" i="2"/>
  <c r="Y376" i="2"/>
  <c r="Y389" i="2"/>
  <c r="Y397" i="2"/>
  <c r="Y422" i="2"/>
  <c r="BN431" i="2"/>
  <c r="BP431" i="2"/>
  <c r="BP433" i="2"/>
  <c r="Y441" i="2"/>
  <c r="Y467" i="2"/>
  <c r="BN475" i="2"/>
  <c r="Y483" i="2"/>
  <c r="BN481" i="2"/>
  <c r="BN507" i="2"/>
  <c r="BP507" i="2"/>
  <c r="BN51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BP114" i="2"/>
  <c r="BP137" i="2"/>
  <c r="BN148" i="2"/>
  <c r="Y159" i="2"/>
  <c r="Z169" i="2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104" i="2"/>
  <c r="Z137" i="2"/>
  <c r="Z55" i="2"/>
  <c r="Z65" i="2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39" i="2"/>
  <c r="Y435" i="2"/>
  <c r="Z444" i="2"/>
  <c r="Z492" i="2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65" i="2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BN406" i="2"/>
  <c r="Z418" i="2"/>
  <c r="Z430" i="2"/>
  <c r="BP455" i="2"/>
  <c r="BN465" i="2"/>
  <c r="BN477" i="2"/>
  <c r="BN502" i="2"/>
  <c r="BN512" i="2"/>
  <c r="BN522" i="2"/>
  <c r="Z546" i="2"/>
  <c r="Y552" i="2"/>
  <c r="E564" i="2"/>
  <c r="Y42" i="2"/>
  <c r="Y52" i="2"/>
  <c r="Z72" i="2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Y343" i="2"/>
  <c r="Y508" i="2"/>
  <c r="BP529" i="2"/>
  <c r="BP541" i="2"/>
  <c r="Y553" i="2"/>
  <c r="I564" i="2"/>
  <c r="AB564" i="2"/>
  <c r="Z60" i="2"/>
  <c r="Y110" i="2"/>
  <c r="Z547" i="2" l="1"/>
  <c r="Z396" i="2"/>
  <c r="Z348" i="2"/>
  <c r="Z383" i="2"/>
  <c r="Z69" i="2"/>
  <c r="Z402" i="2"/>
  <c r="Z494" i="2"/>
  <c r="Z144" i="2"/>
  <c r="Z327" i="2"/>
  <c r="Z75" i="2"/>
  <c r="Z32" i="2"/>
  <c r="Z457" i="2"/>
  <c r="Z389" i="2"/>
  <c r="Z294" i="2"/>
  <c r="Z263" i="2"/>
  <c r="Z191" i="2"/>
  <c r="Z124" i="2"/>
  <c r="Z170" i="2"/>
  <c r="Z258" i="2"/>
  <c r="Z467" i="2"/>
  <c r="Z207" i="2"/>
  <c r="Z446" i="2"/>
  <c r="Z154" i="2"/>
  <c r="Z524" i="2"/>
  <c r="Z90" i="2"/>
  <c r="Z408" i="2"/>
  <c r="Z366" i="2"/>
  <c r="Z376" i="2"/>
  <c r="Z305" i="2"/>
  <c r="Z62" i="2"/>
  <c r="X557" i="2"/>
  <c r="Z134" i="2"/>
  <c r="Z248" i="2"/>
  <c r="Z109" i="2"/>
  <c r="Y558" i="2"/>
  <c r="Z421" i="2"/>
  <c r="Z478" i="2"/>
  <c r="Z274" i="2"/>
  <c r="Z242" i="2"/>
  <c r="Z440" i="2"/>
  <c r="Z334" i="2"/>
  <c r="Z343" i="2"/>
  <c r="Z289" i="2"/>
  <c r="Z139" i="2"/>
  <c r="Z97" i="2"/>
  <c r="Y556" i="2"/>
  <c r="Z51" i="2"/>
  <c r="Z117" i="2"/>
  <c r="Y555" i="2"/>
  <c r="Z434" i="2"/>
  <c r="Z42" i="2"/>
  <c r="Z230" i="2"/>
  <c r="Z508" i="2"/>
  <c r="Z185" i="2"/>
  <c r="Y554" i="2"/>
  <c r="Y557" i="2" l="1"/>
  <c r="Z559" i="2"/>
</calcChain>
</file>

<file path=xl/sharedStrings.xml><?xml version="1.0" encoding="utf-8"?>
<sst xmlns="http://schemas.openxmlformats.org/spreadsheetml/2006/main" count="4257" uniqueCount="894">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</sst>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46285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876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Воскресенье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1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4.1666666666666664E-2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27.777777777777775</v>
      </c>
      <c r="Y51" s="43">
        <f>IFERROR(Y47/H47,"0")+IFERROR(Y48/H48,"0")+IFERROR(Y49/H49,"0")+IFERROR(Y50/H50,"0")</f>
        <v>28</v>
      </c>
      <c r="Z51" s="43">
        <f>IFERROR(IF(Z47="",0,Z47),"0")+IFERROR(IF(Z48="",0,Z48),"0")+IFERROR(IF(Z49="",0,Z49),"0")+IFERROR(IF(Z50="",0,Z50),"0")</f>
        <v>0.53144000000000002</v>
      </c>
      <c r="AA51" s="67"/>
      <c r="AB51" s="67"/>
      <c r="AC51" s="67"/>
    </row>
    <row r="52" spans="1:68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300</v>
      </c>
      <c r="Y52" s="43">
        <f>IFERROR(SUM(Y47:Y50),"0")</f>
        <v>302.40000000000003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13.888888888888888</v>
      </c>
      <c r="Y62" s="43">
        <f>IFERROR(Y55/H55,"0")+IFERROR(Y56/H56,"0")+IFERROR(Y57/H57,"0")+IFERROR(Y58/H58,"0")+IFERROR(Y59/H59,"0")+IFERROR(Y60/H60,"0")+IFERROR(Y61/H61,"0")</f>
        <v>14</v>
      </c>
      <c r="Z62" s="43">
        <f>IFERROR(IF(Z55="",0,Z55),"0")+IFERROR(IF(Z56="",0,Z56),"0")+IFERROR(IF(Z57="",0,Z57),"0")+IFERROR(IF(Z58="",0,Z58),"0")+IFERROR(IF(Z59="",0,Z59),"0")+IFERROR(IF(Z60="",0,Z60),"0")+IFERROR(IF(Z61="",0,Z61),"0")</f>
        <v>0.26572000000000001</v>
      </c>
      <c r="AA62" s="67"/>
      <c r="AB62" s="67"/>
      <c r="AC62" s="67"/>
    </row>
    <row r="63" spans="1:68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150</v>
      </c>
      <c r="Y63" s="43">
        <f>IFERROR(SUM(Y55:Y61),"0")</f>
        <v>151.20000000000002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60</v>
      </c>
      <c r="Y65" s="55">
        <f>IFERROR(IF(X65="",0,CEILING((X65/$H65),1)*$H65),"")</f>
        <v>64.800000000000011</v>
      </c>
      <c r="Z65" s="41">
        <f>IFERROR(IF(Y65=0,"",ROUNDUP(Y65/H65,0)*0.01898),"")</f>
        <v>0.11388000000000001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62.277777777777779</v>
      </c>
      <c r="BN65" s="78">
        <f>IFERROR(Y65*I65/H65,"0")</f>
        <v>67.260000000000005</v>
      </c>
      <c r="BO65" s="78">
        <f>IFERROR(1/J65*(X65/H65),"0")</f>
        <v>8.6805555555555552E-2</v>
      </c>
      <c r="BP65" s="78">
        <f>IFERROR(1/J65*(Y65/H65),"0")</f>
        <v>9.3750000000000014E-2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5.5555555555555554</v>
      </c>
      <c r="Y69" s="43">
        <f>IFERROR(Y65/H65,"0")+IFERROR(Y66/H66,"0")+IFERROR(Y67/H67,"0")+IFERROR(Y68/H68,"0")</f>
        <v>6.0000000000000009</v>
      </c>
      <c r="Z69" s="43">
        <f>IFERROR(IF(Z65="",0,Z65),"0")+IFERROR(IF(Z66="",0,Z66),"0")+IFERROR(IF(Z67="",0,Z67),"0")+IFERROR(IF(Z68="",0,Z68),"0")</f>
        <v>0.11388000000000001</v>
      </c>
      <c r="AA69" s="67"/>
      <c r="AB69" s="67"/>
      <c r="AC69" s="67"/>
    </row>
    <row r="70" spans="1:68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60</v>
      </c>
      <c r="Y70" s="43">
        <f>IFERROR(SUM(Y65:Y68),"0")</f>
        <v>64.800000000000011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100</v>
      </c>
      <c r="Y78" s="55">
        <f>IFERROR(IF(X78="",0,CEILING((X78/$H78),1)*$H78),"")</f>
        <v>101.39999999999999</v>
      </c>
      <c r="Z78" s="41">
        <f>IFERROR(IF(Y78=0,"",ROUNDUP(Y78/H78,0)*0.01898),"")</f>
        <v>0.24674000000000001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105.25641025641028</v>
      </c>
      <c r="BN78" s="78">
        <f>IFERROR(Y78*I78/H78,"0")</f>
        <v>106.73</v>
      </c>
      <c r="BO78" s="78">
        <f>IFERROR(1/J78*(X78/H78),"0")</f>
        <v>0.20032051282051283</v>
      </c>
      <c r="BP78" s="78">
        <f>IFERROR(1/J78*(Y78/H78),"0")</f>
        <v>0.203125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12.820512820512821</v>
      </c>
      <c r="Y81" s="43">
        <f>IFERROR(Y78/H78,"0")+IFERROR(Y79/H79,"0")+IFERROR(Y80/H80,"0")</f>
        <v>13</v>
      </c>
      <c r="Z81" s="43">
        <f>IFERROR(IF(Z78="",0,Z78),"0")+IFERROR(IF(Z79="",0,Z79),"0")+IFERROR(IF(Z80="",0,Z80),"0")</f>
        <v>0.24674000000000001</v>
      </c>
      <c r="AA81" s="67"/>
      <c r="AB81" s="67"/>
      <c r="AC81" s="67"/>
    </row>
    <row r="82" spans="1:68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100</v>
      </c>
      <c r="Y82" s="43">
        <f>IFERROR(SUM(Y78:Y80),"0")</f>
        <v>101.39999999999999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150</v>
      </c>
      <c r="Y85" s="55">
        <f>IFERROR(IF(X85="",0,CEILING((X85/$H85),1)*$H85),"")</f>
        <v>151.20000000000002</v>
      </c>
      <c r="Z85" s="41">
        <f>IFERROR(IF(Y85=0,"",ROUNDUP(Y85/H85,0)*0.01898),"")</f>
        <v>0.26572000000000001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155.69444444444446</v>
      </c>
      <c r="BN85" s="78">
        <f>IFERROR(Y85*I85/H85,"0")</f>
        <v>156.94</v>
      </c>
      <c r="BO85" s="78">
        <f>IFERROR(1/J85*(X85/H85),"0")</f>
        <v>0.21701388888888887</v>
      </c>
      <c r="BP85" s="78">
        <f>IFERROR(1/J85*(Y85/H85),"0")</f>
        <v>0.21875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18</v>
      </c>
      <c r="Y89" s="55">
        <f>IFERROR(IF(X89="",0,CEILING((X89/$H89),1)*$H89),"")</f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18.760000000000002</v>
      </c>
      <c r="BN89" s="78">
        <f>IFERROR(Y89*I89/H89,"0")</f>
        <v>18.760000000000002</v>
      </c>
      <c r="BO89" s="78">
        <f>IFERROR(1/J89*(X89/H89),"0")</f>
        <v>3.0303030303030304E-2</v>
      </c>
      <c r="BP89" s="78">
        <f>IFERROR(1/J89*(Y89/H89),"0")</f>
        <v>3.0303030303030304E-2</v>
      </c>
    </row>
    <row r="90" spans="1:68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17.888888888888886</v>
      </c>
      <c r="Y90" s="43">
        <f>IFERROR(Y85/H85,"0")+IFERROR(Y86/H86,"0")+IFERROR(Y87/H87,"0")+IFERROR(Y88/H88,"0")+IFERROR(Y89/H89,"0")</f>
        <v>18</v>
      </c>
      <c r="Z90" s="43">
        <f>IFERROR(IF(Z85="",0,Z85),"0")+IFERROR(IF(Z86="",0,Z86),"0")+IFERROR(IF(Z87="",0,Z87),"0")+IFERROR(IF(Z88="",0,Z88),"0")+IFERROR(IF(Z89="",0,Z89),"0")</f>
        <v>0.30180000000000001</v>
      </c>
      <c r="AA90" s="67"/>
      <c r="AB90" s="67"/>
      <c r="AC90" s="67"/>
    </row>
    <row r="91" spans="1:68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168</v>
      </c>
      <c r="Y91" s="43">
        <f>IFERROR(SUM(Y85:Y89),"0")</f>
        <v>169.20000000000002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300</v>
      </c>
      <c r="Y93" s="55">
        <f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318.2962962962963</v>
      </c>
      <c r="BN93" s="78">
        <f>IFERROR(Y93*I93/H93,"0")</f>
        <v>326.572</v>
      </c>
      <c r="BO93" s="78">
        <f>IFERROR(1/J93*(X93/H93),"0")</f>
        <v>0.57870370370370372</v>
      </c>
      <c r="BP93" s="78">
        <f>IFERROR(1/J93*(Y93/H93),"0")</f>
        <v>0.59375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37.037037037037038</v>
      </c>
      <c r="Y97" s="43">
        <f>IFERROR(Y93/H93,"0")+IFERROR(Y94/H94,"0")+IFERROR(Y95/H95,"0")+IFERROR(Y96/H96,"0")</f>
        <v>38</v>
      </c>
      <c r="Z97" s="43">
        <f>IFERROR(IF(Z93="",0,Z93),"0")+IFERROR(IF(Z94="",0,Z94),"0")+IFERROR(IF(Z95="",0,Z95),"0")+IFERROR(IF(Z96="",0,Z96),"0")</f>
        <v>0.72123999999999999</v>
      </c>
      <c r="AA97" s="67"/>
      <c r="AB97" s="67"/>
      <c r="AC97" s="67"/>
    </row>
    <row r="98" spans="1:68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300</v>
      </c>
      <c r="Y98" s="43">
        <f>IFERROR(SUM(Y93:Y96),"0")</f>
        <v>307.8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150</v>
      </c>
      <c r="Y101" s="55">
        <f t="shared" ref="Y101:Y108" si="5">IFERROR(IF(X101="",0,CEILING((X101/$H101),1)*$H101),"")</f>
        <v>151.20000000000002</v>
      </c>
      <c r="Z101" s="41">
        <f>IFERROR(IF(Y101=0,"",ROUNDUP(Y101/H101,0)*0.01898),"")</f>
        <v>0.26572000000000001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155.69444444444446</v>
      </c>
      <c r="BN101" s="78">
        <f t="shared" ref="BN101:BN108" si="7">IFERROR(Y101*I101/H101,"0")</f>
        <v>156.94</v>
      </c>
      <c r="BO101" s="78">
        <f t="shared" ref="BO101:BO108" si="8">IFERROR(1/J101*(X101/H101),"0")</f>
        <v>0.21701388888888887</v>
      </c>
      <c r="BP101" s="78">
        <f t="shared" ref="BP101:BP108" si="9">IFERROR(1/J101*(Y101/H101),"0")</f>
        <v>0.21875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13.888888888888888</v>
      </c>
      <c r="Y109" s="43">
        <f>IFERROR(Y101/H101,"0")+IFERROR(Y102/H102,"0")+IFERROR(Y103/H103,"0")+IFERROR(Y104/H104,"0")+IFERROR(Y105/H105,"0")+IFERROR(Y106/H106,"0")+IFERROR(Y107/H107,"0")+IFERROR(Y108/H108,"0")</f>
        <v>14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0.26572000000000001</v>
      </c>
      <c r="AA109" s="67"/>
      <c r="AB109" s="67"/>
      <c r="AC109" s="67"/>
    </row>
    <row r="110" spans="1:68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150</v>
      </c>
      <c r="Y110" s="43">
        <f>IFERROR(SUM(Y101:Y108),"0")</f>
        <v>151.20000000000002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600</v>
      </c>
      <c r="Y120" s="55">
        <f>IFERROR(IF(X120="",0,CEILING((X120/$H120),1)*$H120),"")</f>
        <v>607.5</v>
      </c>
      <c r="Z120" s="41">
        <f>IFERROR(IF(Y120=0,"",ROUNDUP(Y120/H120,0)*0.01898),"")</f>
        <v>1.4235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636.14814814814804</v>
      </c>
      <c r="BN120" s="78">
        <f>IFERROR(Y120*I120/H120,"0")</f>
        <v>644.09999999999991</v>
      </c>
      <c r="BO120" s="78">
        <f>IFERROR(1/J120*(X120/H120),"0")</f>
        <v>1.1574074074074074</v>
      </c>
      <c r="BP120" s="78">
        <f>IFERROR(1/J120*(Y120/H120),"0")</f>
        <v>1.171875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74.074074074074076</v>
      </c>
      <c r="Y124" s="43">
        <f>IFERROR(Y120/H120,"0")+IFERROR(Y121/H121,"0")+IFERROR(Y122/H122,"0")+IFERROR(Y123/H123,"0")</f>
        <v>75</v>
      </c>
      <c r="Z124" s="43">
        <f>IFERROR(IF(Z120="",0,Z120),"0")+IFERROR(IF(Z121="",0,Z121),"0")+IFERROR(IF(Z122="",0,Z122),"0")+IFERROR(IF(Z123="",0,Z123),"0")</f>
        <v>1.4235</v>
      </c>
      <c r="AA124" s="67"/>
      <c r="AB124" s="67"/>
      <c r="AC124" s="67"/>
    </row>
    <row r="125" spans="1:68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600</v>
      </c>
      <c r="Y125" s="43">
        <f>IFERROR(SUM(Y120:Y123),"0")</f>
        <v>607.5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80</v>
      </c>
      <c r="Y215" s="55">
        <f t="shared" ref="Y215:Y229" si="27">IFERROR(IF(X215="",0,CEILING((X215/$H215),1)*$H215),"")</f>
        <v>84</v>
      </c>
      <c r="Z215" s="41">
        <f>IFERROR(IF(Y215=0,"",ROUNDUP(Y215/H215,0)*0.00902),"")</f>
        <v>0.1804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84.761904761904759</v>
      </c>
      <c r="BN215" s="78">
        <f t="shared" ref="BN215:BN229" si="29">IFERROR(Y215*I215/H215,"0")</f>
        <v>89</v>
      </c>
      <c r="BO215" s="78">
        <f t="shared" ref="BO215:BO229" si="30">IFERROR(1/J215*(X215/H215),"0")</f>
        <v>0.14430014430014429</v>
      </c>
      <c r="BP215" s="78">
        <f t="shared" ref="BP215:BP229" si="31">IFERROR(1/J215*(Y215/H215),"0")</f>
        <v>0.15151515151515152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80</v>
      </c>
      <c r="Y217" s="55">
        <f t="shared" si="27"/>
        <v>84</v>
      </c>
      <c r="Z217" s="41">
        <f>IFERROR(IF(Y217=0,"",ROUNDUP(Y217/H217,0)*0.00902),"")</f>
        <v>0.1804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83.619047619047606</v>
      </c>
      <c r="BN217" s="78">
        <f t="shared" si="29"/>
        <v>87.8</v>
      </c>
      <c r="BO217" s="78">
        <f t="shared" si="30"/>
        <v>0.14430014430014429</v>
      </c>
      <c r="BP217" s="78">
        <f t="shared" si="31"/>
        <v>0.15151515151515152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38.095238095238095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0.36080000000000001</v>
      </c>
      <c r="AA230" s="67"/>
      <c r="AB230" s="67"/>
      <c r="AC230" s="67"/>
    </row>
    <row r="231" spans="1:68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160</v>
      </c>
      <c r="Y231" s="43">
        <f>IFERROR(SUM(Y215:Y229),"0")</f>
        <v>168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150</v>
      </c>
      <c r="Y266" s="55">
        <f t="shared" ref="Y266:Y273" si="38">IFERROR(IF(X266="",0,CEILING((X266/$H266),1)*$H266),"")</f>
        <v>151.20000000000002</v>
      </c>
      <c r="Z266" s="41">
        <f>IFERROR(IF(Y266=0,"",ROUNDUP(Y266/H266,0)*0.00902),"")</f>
        <v>0.25256000000000001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155.27777777777777</v>
      </c>
      <c r="BN266" s="78">
        <f t="shared" ref="BN266:BN273" si="40">IFERROR(Y266*I266/H266,"0")</f>
        <v>156.52000000000001</v>
      </c>
      <c r="BO266" s="78">
        <f t="shared" ref="BO266:BO273" si="41">IFERROR(1/J266*(X266/H266),"0")</f>
        <v>0.21043771043771042</v>
      </c>
      <c r="BP266" s="78">
        <f t="shared" ref="BP266:BP273" si="42">IFERROR(1/J266*(Y266/H266),"0")</f>
        <v>0.21212121212121213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si="38"/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155.27777777777777</v>
      </c>
      <c r="BN267" s="78">
        <f t="shared" si="40"/>
        <v>156.52000000000001</v>
      </c>
      <c r="BO267" s="78">
        <f t="shared" si="41"/>
        <v>0.21043771043771042</v>
      </c>
      <c r="BP267" s="78">
        <f t="shared" si="42"/>
        <v>0.21212121212121213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150</v>
      </c>
      <c r="Y268" s="55">
        <f t="shared" si="38"/>
        <v>151.20000000000002</v>
      </c>
      <c r="Z268" s="41">
        <f>IFERROR(IF(Y268=0,"",ROUNDUP(Y268/H268,0)*0.00902),"")</f>
        <v>0.25256000000000001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155.27777777777777</v>
      </c>
      <c r="BN268" s="78">
        <f t="shared" si="40"/>
        <v>156.52000000000001</v>
      </c>
      <c r="BO268" s="78">
        <f t="shared" si="41"/>
        <v>0.21043771043771042</v>
      </c>
      <c r="BP268" s="78">
        <f t="shared" si="42"/>
        <v>0.21212121212121213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8"/>
        <v>151.20000000000002</v>
      </c>
      <c r="Z269" s="41">
        <f>IFERROR(IF(Y269=0,"",ROUNDUP(Y269/H269,0)*0.00902),"")</f>
        <v>0.25256000000000001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155.27777777777777</v>
      </c>
      <c r="BN269" s="78">
        <f t="shared" si="40"/>
        <v>156.52000000000001</v>
      </c>
      <c r="BO269" s="78">
        <f t="shared" si="41"/>
        <v>0.21043771043771042</v>
      </c>
      <c r="BP269" s="78">
        <f t="shared" si="42"/>
        <v>0.21212121212121213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111.1111111111111</v>
      </c>
      <c r="Y274" s="43">
        <f>IFERROR(Y266/H266,"0")+IFERROR(Y267/H267,"0")+IFERROR(Y268/H268,"0")+IFERROR(Y269/H269,"0")+IFERROR(Y270/H270,"0")+IFERROR(Y271/H271,"0")+IFERROR(Y272/H272,"0")+IFERROR(Y273/H273,"0")</f>
        <v>112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1.01024</v>
      </c>
      <c r="AA274" s="67"/>
      <c r="AB274" s="67"/>
      <c r="AC274" s="67"/>
    </row>
    <row r="275" spans="1:68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600</v>
      </c>
      <c r="Y275" s="43">
        <f>IFERROR(SUM(Y266:Y273),"0")</f>
        <v>604.80000000000007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ref="Y277:Y288" si="43">IFERROR(IF(X277="",0,CEILING((X277/$H277),1)*$H277),"")</f>
        <v>202.5</v>
      </c>
      <c r="Z277" s="41">
        <f>IFERROR(IF(Y277=0,"",ROUNDUP(Y277/H277,0)*0.01898),"")</f>
        <v>0.47450000000000003</v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212.19753086419755</v>
      </c>
      <c r="BN277" s="78">
        <f t="shared" ref="BN277:BN288" si="45">IFERROR(Y277*I277/H277,"0")</f>
        <v>214.85</v>
      </c>
      <c r="BO277" s="78">
        <f t="shared" ref="BO277:BO288" si="46">IFERROR(1/J277*(X277/H277),"0")</f>
        <v>0.38580246913580246</v>
      </c>
      <c r="BP277" s="78">
        <f t="shared" ref="BP277:BP288" si="47">IFERROR(1/J277*(Y277/H277),"0")</f>
        <v>0.390625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3"/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105.87654320987654</v>
      </c>
      <c r="BN278" s="78">
        <f t="shared" si="45"/>
        <v>111.48800000000001</v>
      </c>
      <c r="BO278" s="78">
        <f t="shared" si="46"/>
        <v>0.19290123456790123</v>
      </c>
      <c r="BP278" s="78">
        <f t="shared" si="47"/>
        <v>0.203125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43"/>
        <v>200.1</v>
      </c>
      <c r="Z279" s="41">
        <f>IFERROR(IF(Y279=0,"",ROUNDUP(Y279/H279,0)*0.01898),"")</f>
        <v>0.43653999999999998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211.35632183908049</v>
      </c>
      <c r="BN279" s="78">
        <f t="shared" si="45"/>
        <v>211.46200000000005</v>
      </c>
      <c r="BO279" s="78">
        <f t="shared" si="46"/>
        <v>0.35919540229885061</v>
      </c>
      <c r="BP279" s="78">
        <f t="shared" si="47"/>
        <v>0.359375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24</v>
      </c>
      <c r="Y285" s="55">
        <f t="shared" si="43"/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26.520000000000003</v>
      </c>
      <c r="BN285" s="78">
        <f t="shared" si="45"/>
        <v>26.520000000000003</v>
      </c>
      <c r="BO285" s="78">
        <f t="shared" si="46"/>
        <v>5.4945054945054951E-2</v>
      </c>
      <c r="BP285" s="78">
        <f t="shared" si="47"/>
        <v>5.4945054945054951E-2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24</v>
      </c>
      <c r="Y287" s="55">
        <f t="shared" si="43"/>
        <v>24</v>
      </c>
      <c r="Z287" s="41">
        <f>IFERROR(IF(Y287=0,"",ROUNDUP(Y287/H287,0)*0.00651),"")</f>
        <v>6.5100000000000005E-2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26.580000000000002</v>
      </c>
      <c r="BN287" s="78">
        <f t="shared" si="45"/>
        <v>26.580000000000002</v>
      </c>
      <c r="BO287" s="78">
        <f t="shared" si="46"/>
        <v>5.4945054945054951E-2</v>
      </c>
      <c r="BP287" s="78">
        <f t="shared" si="47"/>
        <v>5.4945054945054951E-2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80.025542784163477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81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1.2879799999999999</v>
      </c>
      <c r="AA289" s="67"/>
      <c r="AB289" s="67"/>
      <c r="AC289" s="67"/>
    </row>
    <row r="290" spans="1:68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548</v>
      </c>
      <c r="Y290" s="43">
        <f>IFERROR(SUM(Y277:Y288),"0")</f>
        <v>555.9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120</v>
      </c>
      <c r="Y369" s="55">
        <f t="shared" ref="Y369:Y375" si="63">IFERROR(IF(X369="",0,CEILING((X369/$H369),1)*$H369),"")</f>
        <v>121.80000000000001</v>
      </c>
      <c r="Z369" s="41">
        <f>IFERROR(IF(Y369=0,"",ROUNDUP(Y369/H369,0)*0.00902),"")</f>
        <v>0.26158000000000003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127.14285714285714</v>
      </c>
      <c r="BN369" s="78">
        <f t="shared" ref="BN369:BN375" si="65">IFERROR(Y369*I369/H369,"0")</f>
        <v>129.05000000000001</v>
      </c>
      <c r="BO369" s="78">
        <f t="shared" ref="BO369:BO375" si="66">IFERROR(1/J369*(X369/H369),"0")</f>
        <v>0.21645021645021645</v>
      </c>
      <c r="BP369" s="78">
        <f t="shared" ref="BP369:BP375" si="67">IFERROR(1/J369*(Y369/H369),"0")</f>
        <v>0.2196969696969697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28.571428571428569</v>
      </c>
      <c r="Y376" s="43">
        <f>IFERROR(Y369/H369,"0")+IFERROR(Y370/H370,"0")+IFERROR(Y371/H371,"0")+IFERROR(Y372/H372,"0")+IFERROR(Y373/H373,"0")+IFERROR(Y374/H374,"0")+IFERROR(Y375/H375,"0")</f>
        <v>29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0.26158000000000003</v>
      </c>
      <c r="AA376" s="67"/>
      <c r="AB376" s="67"/>
      <c r="AC376" s="67"/>
    </row>
    <row r="377" spans="1:68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120</v>
      </c>
      <c r="Y377" s="43">
        <f>IFERROR(SUM(Y369:Y375),"0")</f>
        <v>121.80000000000001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300</v>
      </c>
      <c r="Y386" s="55">
        <f>IFERROR(IF(X386="",0,CEILING((X386/$H386),1)*$H386),"")</f>
        <v>302.40000000000003</v>
      </c>
      <c r="Z386" s="41">
        <f>IFERROR(IF(Y386=0,"",ROUNDUP(Y386/H386,0)*0.01898),"")</f>
        <v>0.68328</v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317.64285714285711</v>
      </c>
      <c r="BN386" s="78">
        <f>IFERROR(Y386*I386/H386,"0")</f>
        <v>320.18400000000003</v>
      </c>
      <c r="BO386" s="78">
        <f>IFERROR(1/J386*(X386/H386),"0")</f>
        <v>0.5580357142857143</v>
      </c>
      <c r="BP386" s="78">
        <f>IFERROR(1/J386*(Y386/H386),"0")</f>
        <v>0.5625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507</v>
      </c>
      <c r="Z387" s="41">
        <f>IFERROR(IF(Y387=0,"",ROUNDUP(Y387/H387,0)*0.01898),"")</f>
        <v>1.2337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531.66666666666663</v>
      </c>
      <c r="BN387" s="78">
        <f>IFERROR(Y387*I387/H387,"0")</f>
        <v>539.11</v>
      </c>
      <c r="BO387" s="78">
        <f>IFERROR(1/J387*(X387/H387),"0")</f>
        <v>1.0016025641025641</v>
      </c>
      <c r="BP387" s="78">
        <f>IFERROR(1/J387*(Y387/H387),"0")</f>
        <v>1.015625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99.81684981684981</v>
      </c>
      <c r="Y389" s="43">
        <f>IFERROR(Y386/H386,"0")+IFERROR(Y387/H387,"0")+IFERROR(Y388/H388,"0")</f>
        <v>101</v>
      </c>
      <c r="Z389" s="43">
        <f>IFERROR(IF(Z386="",0,Z386),"0")+IFERROR(IF(Z387="",0,Z387),"0")+IFERROR(IF(Z388="",0,Z388),"0")</f>
        <v>1.9169800000000001</v>
      </c>
      <c r="AA389" s="67"/>
      <c r="AB389" s="67"/>
      <c r="AC389" s="67"/>
    </row>
    <row r="390" spans="1:68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800</v>
      </c>
      <c r="Y390" s="43">
        <f>IFERROR(SUM(Y386:Y388),"0")</f>
        <v>809.40000000000009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42</v>
      </c>
      <c r="Y419" s="55">
        <f>IFERROR(IF(X419="",0,CEILING((X419/$H419),1)*$H419),"")</f>
        <v>42</v>
      </c>
      <c r="Z419" s="41">
        <f>IFERROR(IF(Y419=0,"",ROUNDUP(Y419/H419,0)*0.00651),"")</f>
        <v>0.13020000000000001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47.039999999999992</v>
      </c>
      <c r="BN419" s="78">
        <f>IFERROR(Y419*I419/H419,"0")</f>
        <v>47.039999999999992</v>
      </c>
      <c r="BO419" s="78">
        <f>IFERROR(1/J419*(X419/H419),"0")</f>
        <v>0.1098901098901099</v>
      </c>
      <c r="BP419" s="78">
        <f>IFERROR(1/J419*(Y419/H419),"0")</f>
        <v>0.1098901098901099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42</v>
      </c>
      <c r="Y420" s="55">
        <f>IFERROR(IF(X420="",0,CEILING((X420/$H420),1)*$H420),"")</f>
        <v>42</v>
      </c>
      <c r="Z420" s="41">
        <f>IFERROR(IF(Y420=0,"",ROUNDUP(Y420/H420,0)*0.00651),"")</f>
        <v>0.13020000000000001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46.8</v>
      </c>
      <c r="BN420" s="78">
        <f>IFERROR(Y420*I420/H420,"0")</f>
        <v>46.8</v>
      </c>
      <c r="BO420" s="78">
        <f>IFERROR(1/J420*(X420/H420),"0")</f>
        <v>0.1098901098901099</v>
      </c>
      <c r="BP420" s="78">
        <f>IFERROR(1/J420*(Y420/H420),"0")</f>
        <v>0.1098901098901099</v>
      </c>
    </row>
    <row r="421" spans="1:68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40</v>
      </c>
      <c r="Y421" s="43">
        <f>IFERROR(Y418/H418,"0")+IFERROR(Y419/H419,"0")+IFERROR(Y420/H420,"0")</f>
        <v>40</v>
      </c>
      <c r="Z421" s="43">
        <f>IFERROR(IF(Z418="",0,Z418),"0")+IFERROR(IF(Z419="",0,Z419),"0")+IFERROR(IF(Z420="",0,Z420),"0")</f>
        <v>0.26040000000000002</v>
      </c>
      <c r="AA421" s="67"/>
      <c r="AB421" s="67"/>
      <c r="AC421" s="67"/>
    </row>
    <row r="422" spans="1:68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84</v>
      </c>
      <c r="Y422" s="43">
        <f>IFERROR(SUM(Y418:Y420),"0")</f>
        <v>84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1400</v>
      </c>
      <c r="Y427" s="55">
        <f t="shared" si="68"/>
        <v>1410</v>
      </c>
      <c r="Z427" s="41">
        <f>IFERROR(IF(Y427=0,"",ROUNDUP(Y427/H427,0)*0.02175),"")</f>
        <v>2.0444999999999998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1443.8666666666666</v>
      </c>
      <c r="BN427" s="78">
        <f t="shared" si="70"/>
        <v>1454.18</v>
      </c>
      <c r="BO427" s="78">
        <f t="shared" si="71"/>
        <v>1.9444444444444442</v>
      </c>
      <c r="BP427" s="78">
        <f t="shared" si="72"/>
        <v>1.9583333333333333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800</v>
      </c>
      <c r="Y428" s="55">
        <f t="shared" si="68"/>
        <v>810</v>
      </c>
      <c r="Z428" s="41">
        <f>IFERROR(IF(Y428=0,"",ROUNDUP(Y428/H428,0)*0.02175),"")</f>
        <v>1.1744999999999999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825.06666666666672</v>
      </c>
      <c r="BN428" s="78">
        <f t="shared" si="70"/>
        <v>835.38</v>
      </c>
      <c r="BO428" s="78">
        <f t="shared" si="71"/>
        <v>1.1111111111111112</v>
      </c>
      <c r="BP428" s="78">
        <f t="shared" si="72"/>
        <v>1.125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1500</v>
      </c>
      <c r="Y429" s="55">
        <f t="shared" si="68"/>
        <v>1500</v>
      </c>
      <c r="Z429" s="41">
        <f>IFERROR(IF(Y429=0,"",ROUNDUP(Y429/H429,0)*0.02175),"")</f>
        <v>2.1749999999999998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1547</v>
      </c>
      <c r="BN429" s="78">
        <f t="shared" si="70"/>
        <v>1547</v>
      </c>
      <c r="BO429" s="78">
        <f t="shared" si="71"/>
        <v>2.083333333333333</v>
      </c>
      <c r="BP429" s="78">
        <f t="shared" si="72"/>
        <v>2.083333333333333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246.66666666666666</v>
      </c>
      <c r="Y434" s="43">
        <f>IFERROR(Y426/H426,"0")+IFERROR(Y427/H427,"0")+IFERROR(Y428/H428,"0")+IFERROR(Y429/H429,"0")+IFERROR(Y430/H430,"0")+IFERROR(Y431/H431,"0")+IFERROR(Y432/H432,"0")+IFERROR(Y433/H433,"0")</f>
        <v>248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5.3939999999999992</v>
      </c>
      <c r="AA434" s="67"/>
      <c r="AB434" s="67"/>
      <c r="AC434" s="67"/>
    </row>
    <row r="435" spans="1:68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3700</v>
      </c>
      <c r="Y435" s="43">
        <f>IFERROR(SUM(Y426:Y433),"0")</f>
        <v>3720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900</v>
      </c>
      <c r="Y437" s="55">
        <f>IFERROR(IF(X437="",0,CEILING((X437/$H437),1)*$H437),"")</f>
        <v>900</v>
      </c>
      <c r="Z437" s="41">
        <f>IFERROR(IF(Y437=0,"",ROUNDUP(Y437/H437,0)*0.02175),"")</f>
        <v>1.3049999999999999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928.2</v>
      </c>
      <c r="BN437" s="78">
        <f>IFERROR(Y437*I437/H437,"0")</f>
        <v>928.2</v>
      </c>
      <c r="BO437" s="78">
        <f>IFERROR(1/J437*(X437/H437),"0")</f>
        <v>1.25</v>
      </c>
      <c r="BP437" s="78">
        <f>IFERROR(1/J437*(Y437/H437),"0")</f>
        <v>1.25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60</v>
      </c>
      <c r="Y440" s="43">
        <f>IFERROR(Y437/H437,"0")+IFERROR(Y438/H438,"0")+IFERROR(Y439/H439,"0")</f>
        <v>60</v>
      </c>
      <c r="Z440" s="43">
        <f>IFERROR(IF(Z437="",0,Z437),"0")+IFERROR(IF(Z438="",0,Z438),"0")+IFERROR(IF(Z439="",0,Z439),"0")</f>
        <v>1.3049999999999999</v>
      </c>
      <c r="AA440" s="67"/>
      <c r="AB440" s="67"/>
      <c r="AC440" s="67"/>
    </row>
    <row r="441" spans="1:68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900</v>
      </c>
      <c r="Y441" s="43">
        <f>IFERROR(SUM(Y437:Y439),"0")</f>
        <v>900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300</v>
      </c>
      <c r="Y444" s="55">
        <f>IFERROR(IF(X444="",0,CEILING((X444/$H444),1)*$H444),"")</f>
        <v>306</v>
      </c>
      <c r="Z444" s="41">
        <f>IFERROR(IF(Y444=0,"",ROUNDUP(Y444/H444,0)*0.01898),"")</f>
        <v>0.64532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316.46666666666664</v>
      </c>
      <c r="BN444" s="78">
        <f>IFERROR(Y444*I444/H444,"0")</f>
        <v>322.79599999999999</v>
      </c>
      <c r="BO444" s="78">
        <f>IFERROR(1/J444*(X444/H444),"0")</f>
        <v>0.52083333333333337</v>
      </c>
      <c r="BP444" s="78">
        <f>IFERROR(1/J444*(Y444/H444),"0")</f>
        <v>0.53125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0.64532</v>
      </c>
      <c r="AA446" s="67"/>
      <c r="AB446" s="67"/>
      <c r="AC446" s="67"/>
    </row>
    <row r="447" spans="1:68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300</v>
      </c>
      <c r="Y447" s="43">
        <f>IFERROR(SUM(Y443:Y445),"0")</f>
        <v>306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250</v>
      </c>
      <c r="Y450" s="55">
        <f>IFERROR(IF(X450="",0,CEILING((X450/$H450),1)*$H450),"")</f>
        <v>252</v>
      </c>
      <c r="Z450" s="41">
        <f>IFERROR(IF(Y450=0,"",ROUNDUP(Y450/H450,0)*0.01898),"")</f>
        <v>0.53144000000000002</v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263.72222222222223</v>
      </c>
      <c r="BN450" s="78">
        <f>IFERROR(Y450*I450/H450,"0")</f>
        <v>265.83199999999999</v>
      </c>
      <c r="BO450" s="78">
        <f>IFERROR(1/J450*(X450/H450),"0")</f>
        <v>0.43402777777777779</v>
      </c>
      <c r="BP450" s="78">
        <f>IFERROR(1/J450*(Y450/H450),"0")</f>
        <v>0.4375</v>
      </c>
    </row>
    <row r="451" spans="1:68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27.777777777777779</v>
      </c>
      <c r="Y451" s="43">
        <f>IFERROR(Y449/H449,"0")+IFERROR(Y450/H450,"0")</f>
        <v>28</v>
      </c>
      <c r="Z451" s="43">
        <f>IFERROR(IF(Z449="",0,Z449),"0")+IFERROR(IF(Z450="",0,Z450),"0")</f>
        <v>0.53144000000000002</v>
      </c>
      <c r="AA451" s="67"/>
      <c r="AB451" s="67"/>
      <c r="AC451" s="67"/>
    </row>
    <row r="452" spans="1:68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250</v>
      </c>
      <c r="Y452" s="43">
        <f>IFERROR(SUM(Y449:Y450),"0")</f>
        <v>252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300</v>
      </c>
      <c r="Y464" s="55">
        <f>IFERROR(IF(X464="",0,CEILING((X464/$H464),1)*$H464),"")</f>
        <v>306</v>
      </c>
      <c r="Z464" s="41">
        <f>IFERROR(IF(Y464=0,"",ROUNDUP(Y464/H464,0)*0.01898),"")</f>
        <v>0.64532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316.46666666666664</v>
      </c>
      <c r="BN464" s="78">
        <f>IFERROR(Y464*I464/H464,"0")</f>
        <v>322.79599999999999</v>
      </c>
      <c r="BO464" s="78">
        <f>IFERROR(1/J464*(X464/H464),"0")</f>
        <v>0.52083333333333337</v>
      </c>
      <c r="BP464" s="78">
        <f>IFERROR(1/J464*(Y464/H464),"0")</f>
        <v>0.53125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33.333333333333336</v>
      </c>
      <c r="Y467" s="43">
        <f>IFERROR(Y464/H464,"0")+IFERROR(Y465/H465,"0")+IFERROR(Y466/H466,"0")</f>
        <v>34</v>
      </c>
      <c r="Z467" s="43">
        <f>IFERROR(IF(Z464="",0,Z464),"0")+IFERROR(IF(Z465="",0,Z465),"0")+IFERROR(IF(Z466="",0,Z466),"0")</f>
        <v>0.64532</v>
      </c>
      <c r="AA467" s="67"/>
      <c r="AB467" s="67"/>
      <c r="AC467" s="67"/>
    </row>
    <row r="468" spans="1:68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300</v>
      </c>
      <c r="Y468" s="43">
        <f>IFERROR(SUM(Y464:Y466),"0")</f>
        <v>306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120</v>
      </c>
      <c r="Y472" s="55">
        <f t="shared" ref="Y472:Y477" si="73">IFERROR(IF(X472="",0,CEILING((X472/$H472),1)*$H472),"")</f>
        <v>124.2</v>
      </c>
      <c r="Z472" s="41">
        <f>IFERROR(IF(Y472=0,"",ROUNDUP(Y472/H472,0)*0.00902),"")</f>
        <v>0.20746000000000001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124.2222222222222</v>
      </c>
      <c r="BN472" s="78">
        <f t="shared" ref="BN472:BN477" si="75">IFERROR(Y472*I472/H472,"0")</f>
        <v>128.57</v>
      </c>
      <c r="BO472" s="78">
        <f t="shared" ref="BO472:BO477" si="76">IFERROR(1/J472*(X472/H472),"0")</f>
        <v>0.16835016835016836</v>
      </c>
      <c r="BP472" s="78">
        <f t="shared" ref="BP472:BP477" si="77">IFERROR(1/J472*(Y472/H472),"0")</f>
        <v>0.17424242424242425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120</v>
      </c>
      <c r="Y473" s="55">
        <f t="shared" si="73"/>
        <v>124.2</v>
      </c>
      <c r="Z473" s="41">
        <f>IFERROR(IF(Y473=0,"",ROUNDUP(Y473/H473,0)*0.00902),"")</f>
        <v>0.20746000000000001</v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124.2222222222222</v>
      </c>
      <c r="BN473" s="78">
        <f t="shared" si="75"/>
        <v>128.57</v>
      </c>
      <c r="BO473" s="78">
        <f t="shared" si="76"/>
        <v>0.16835016835016836</v>
      </c>
      <c r="BP473" s="78">
        <f t="shared" si="77"/>
        <v>0.17424242424242425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44.444444444444443</v>
      </c>
      <c r="Y478" s="43">
        <f>IFERROR(Y472/H472,"0")+IFERROR(Y473/H473,"0")+IFERROR(Y474/H474,"0")+IFERROR(Y475/H475,"0")+IFERROR(Y476/H476,"0")+IFERROR(Y477/H477,"0")</f>
        <v>46</v>
      </c>
      <c r="Z478" s="43">
        <f>IFERROR(IF(Z472="",0,Z472),"0")+IFERROR(IF(Z473="",0,Z473),"0")+IFERROR(IF(Z474="",0,Z474),"0")+IFERROR(IF(Z475="",0,Z475),"0")+IFERROR(IF(Z476="",0,Z476),"0")+IFERROR(IF(Z477="",0,Z477),"0")</f>
        <v>0.41492000000000001</v>
      </c>
      <c r="AA478" s="67"/>
      <c r="AB478" s="67"/>
      <c r="AC478" s="67"/>
    </row>
    <row r="479" spans="1:68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240</v>
      </c>
      <c r="Y479" s="43">
        <f>IFERROR(SUM(Y472:Y477),"0")</f>
        <v>248.4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120</v>
      </c>
      <c r="Y491" s="55">
        <f>IFERROR(IF(X491="",0,CEILING((X491/$H491),1)*$H491),"")</f>
        <v>124.2</v>
      </c>
      <c r="Z491" s="41">
        <f>IFERROR(IF(Y491=0,"",ROUNDUP(Y491/H491,0)*0.00902),"")</f>
        <v>0.20746000000000001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124.2222222222222</v>
      </c>
      <c r="BN491" s="78">
        <f>IFERROR(Y491*I491/H491,"0")</f>
        <v>128.57</v>
      </c>
      <c r="BO491" s="78">
        <f>IFERROR(1/J491*(X491/H491),"0")</f>
        <v>0.16835016835016836</v>
      </c>
      <c r="BP491" s="78">
        <f>IFERROR(1/J491*(Y491/H491),"0")</f>
        <v>0.17424242424242425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22.222222222222221</v>
      </c>
      <c r="Y494" s="43">
        <f>IFERROR(Y491/H491,"0")+IFERROR(Y492/H492,"0")+IFERROR(Y493/H493,"0")</f>
        <v>23</v>
      </c>
      <c r="Z494" s="43">
        <f>IFERROR(IF(Z491="",0,Z491),"0")+IFERROR(IF(Z492="",0,Z492),"0")+IFERROR(IF(Z493="",0,Z493),"0")</f>
        <v>0.20746000000000001</v>
      </c>
      <c r="AA494" s="67"/>
      <c r="AB494" s="67"/>
      <c r="AC494" s="67"/>
    </row>
    <row r="495" spans="1:68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120</v>
      </c>
      <c r="Y495" s="43">
        <f>IFERROR(SUM(Y491:Y493),"0")</f>
        <v>124.2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250</v>
      </c>
      <c r="Y502" s="55">
        <f t="shared" si="78"/>
        <v>253.44</v>
      </c>
      <c r="Z502" s="41">
        <f t="shared" si="79"/>
        <v>0.57408000000000003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266.57196969696969</v>
      </c>
      <c r="BN502" s="78">
        <f t="shared" si="81"/>
        <v>270.23999999999995</v>
      </c>
      <c r="BO502" s="78">
        <f t="shared" si="82"/>
        <v>0.45527389277389274</v>
      </c>
      <c r="BP502" s="78">
        <f t="shared" si="83"/>
        <v>0.46153846153846156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250</v>
      </c>
      <c r="Y504" s="55">
        <f t="shared" si="78"/>
        <v>253.44</v>
      </c>
      <c r="Z504" s="41">
        <f t="shared" si="79"/>
        <v>0.57408000000000003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266.57196969696969</v>
      </c>
      <c r="BN504" s="78">
        <f t="shared" si="81"/>
        <v>270.23999999999995</v>
      </c>
      <c r="BO504" s="78">
        <f t="shared" si="82"/>
        <v>0.45527389277389274</v>
      </c>
      <c r="BP504" s="78">
        <f t="shared" si="83"/>
        <v>0.46153846153846156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94.696969696969688</v>
      </c>
      <c r="Y508" s="43">
        <f>IFERROR(Y499/H499,"0")+IFERROR(Y500/H500,"0")+IFERROR(Y501/H501,"0")+IFERROR(Y502/H502,"0")+IFERROR(Y503/H503,"0")+IFERROR(Y504/H504,"0")+IFERROR(Y505/H505,"0")+IFERROR(Y506/H506,"0")+IFERROR(Y507/H507,"0")</f>
        <v>96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1.1481600000000001</v>
      </c>
      <c r="AA508" s="67"/>
      <c r="AB508" s="67"/>
      <c r="AC508" s="67"/>
    </row>
    <row r="509" spans="1:68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500</v>
      </c>
      <c r="Y509" s="43">
        <f>IFERROR(SUM(Y499:Y507),"0")</f>
        <v>506.88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300</v>
      </c>
      <c r="Y511" s="55">
        <f>IFERROR(IF(X511="",0,CEILING((X511/$H511),1)*$H511),"")</f>
        <v>300.96000000000004</v>
      </c>
      <c r="Z511" s="41">
        <f>IFERROR(IF(Y511=0,"",ROUNDUP(Y511/H511,0)*0.01196),"")</f>
        <v>0.68171999999999999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319.88636363636363</v>
      </c>
      <c r="BN511" s="78">
        <f>IFERROR(Y511*I511/H511,"0")</f>
        <v>320.91000000000003</v>
      </c>
      <c r="BO511" s="78">
        <f>IFERROR(1/J511*(X511/H511),"0")</f>
        <v>0.54632867132867136</v>
      </c>
      <c r="BP511" s="78">
        <f>IFERROR(1/J511*(Y511/H511),"0")</f>
        <v>0.54807692307692313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56.818181818181813</v>
      </c>
      <c r="Y514" s="43">
        <f>IFERROR(Y511/H511,"0")+IFERROR(Y512/H512,"0")+IFERROR(Y513/H513,"0")</f>
        <v>57.000000000000007</v>
      </c>
      <c r="Z514" s="43">
        <f>IFERROR(IF(Z511="",0,Z511),"0")+IFERROR(IF(Z512="",0,Z512),"0")+IFERROR(IF(Z513="",0,Z513),"0")</f>
        <v>0.68171999999999999</v>
      </c>
      <c r="AA514" s="67"/>
      <c r="AB514" s="67"/>
      <c r="AC514" s="67"/>
    </row>
    <row r="515" spans="1:68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300</v>
      </c>
      <c r="Y515" s="43">
        <f>IFERROR(SUM(Y511:Y513),"0")</f>
        <v>300.96000000000004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100</v>
      </c>
      <c r="Y517" s="55">
        <f t="shared" ref="Y517:Y523" si="84">IFERROR(IF(X517="",0,CEILING((X517/$H517),1)*$H517),"")</f>
        <v>100.32000000000001</v>
      </c>
      <c r="Z517" s="41">
        <f>IFERROR(IF(Y517=0,"",ROUNDUP(Y517/H517,0)*0.01196),"")</f>
        <v>0.22724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106.62878787878788</v>
      </c>
      <c r="BN517" s="78">
        <f t="shared" ref="BN517:BN523" si="86">IFERROR(Y517*I517/H517,"0")</f>
        <v>106.97</v>
      </c>
      <c r="BO517" s="78">
        <f t="shared" ref="BO517:BO523" si="87">IFERROR(1/J517*(X517/H517),"0")</f>
        <v>0.18210955710955709</v>
      </c>
      <c r="BP517" s="78">
        <f t="shared" ref="BP517:BP523" si="88">IFERROR(1/J517*(Y517/H517),"0")</f>
        <v>0.18269230769230771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4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106.62878787878788</v>
      </c>
      <c r="BN518" s="78">
        <f t="shared" si="86"/>
        <v>106.97</v>
      </c>
      <c r="BO518" s="78">
        <f t="shared" si="87"/>
        <v>0.18210955710955709</v>
      </c>
      <c r="BP518" s="78">
        <f t="shared" si="88"/>
        <v>0.18269230769230771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100</v>
      </c>
      <c r="Y519" s="55">
        <f t="shared" si="84"/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106.62878787878788</v>
      </c>
      <c r="BN519" s="78">
        <f t="shared" si="86"/>
        <v>106.97</v>
      </c>
      <c r="BO519" s="78">
        <f t="shared" si="87"/>
        <v>0.18210955710955709</v>
      </c>
      <c r="BP519" s="78">
        <f t="shared" si="88"/>
        <v>0.18269230769230771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56.818181818181813</v>
      </c>
      <c r="Y524" s="43">
        <f>IFERROR(Y517/H517,"0")+IFERROR(Y518/H518,"0")+IFERROR(Y519/H519,"0")+IFERROR(Y520/H520,"0")+IFERROR(Y521/H521,"0")+IFERROR(Y522/H522,"0")+IFERROR(Y523/H523,"0")</f>
        <v>57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0.68171999999999999</v>
      </c>
      <c r="AA524" s="67"/>
      <c r="AB524" s="67"/>
      <c r="AC524" s="67"/>
    </row>
    <row r="525" spans="1:68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300</v>
      </c>
      <c r="Y525" s="43">
        <f>IFERROR(SUM(Y517:Y523),"0")</f>
        <v>300.96000000000004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100</v>
      </c>
      <c r="Y537" s="55">
        <f>IFERROR(IF(X537="",0,CEILING((X537/$H537),1)*$H537),"")</f>
        <v>100.80000000000001</v>
      </c>
      <c r="Z537" s="41">
        <f>IFERROR(IF(Y537=0,"",ROUNDUP(Y537/H537,0)*0.00902),"")</f>
        <v>0.21648000000000001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105.95238095238095</v>
      </c>
      <c r="BN537" s="78">
        <f>IFERROR(Y537*I537/H537,"0")</f>
        <v>106.80000000000001</v>
      </c>
      <c r="BO537" s="78">
        <f>IFERROR(1/J537*(X537/H537),"0")</f>
        <v>0.18037518037518038</v>
      </c>
      <c r="BP537" s="78">
        <f>IFERROR(1/J537*(Y537/H537),"0")</f>
        <v>0.18181818181818182</v>
      </c>
    </row>
    <row r="538" spans="1:68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23.80952380952381</v>
      </c>
      <c r="Y538" s="43">
        <f>IFERROR(Y537/H537,"0")</f>
        <v>24</v>
      </c>
      <c r="Z538" s="43">
        <f>IFERROR(IF(Z537="",0,Z537),"0")</f>
        <v>0.21648000000000001</v>
      </c>
      <c r="AA538" s="67"/>
      <c r="AB538" s="67"/>
      <c r="AC538" s="67"/>
    </row>
    <row r="539" spans="1:68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100</v>
      </c>
      <c r="Y539" s="43">
        <f>IFERROR(SUM(Y537:Y537),"0")</f>
        <v>100.80000000000001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900</v>
      </c>
      <c r="Y541" s="55">
        <f>IFERROR(IF(X541="",0,CEILING((X541/$H541),1)*$H541),"")</f>
        <v>900</v>
      </c>
      <c r="Z541" s="41">
        <f>IFERROR(IF(Y541=0,"",ROUNDUP(Y541/H541,0)*0.01898),"")</f>
        <v>1.8980000000000001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949.40000000000009</v>
      </c>
      <c r="BN541" s="78">
        <f>IFERROR(Y541*I541/H541,"0")</f>
        <v>949.40000000000009</v>
      </c>
      <c r="BO541" s="78">
        <f>IFERROR(1/J541*(X541/H541),"0")</f>
        <v>1.5625</v>
      </c>
      <c r="BP541" s="78">
        <f>IFERROR(1/J541*(Y541/H541),"0")</f>
        <v>1.5625</v>
      </c>
    </row>
    <row r="542" spans="1:68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100</v>
      </c>
      <c r="Y542" s="43">
        <f>IFERROR(Y541/H541,"0")</f>
        <v>100</v>
      </c>
      <c r="Z542" s="43">
        <f>IFERROR(IF(Z541="",0,Z541),"0")</f>
        <v>1.8980000000000001</v>
      </c>
      <c r="AA542" s="67"/>
      <c r="AB542" s="67"/>
      <c r="AC542" s="67"/>
    </row>
    <row r="543" spans="1:68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900</v>
      </c>
      <c r="Y543" s="43">
        <f>IFERROR(SUM(Y541:Y541),"0")</f>
        <v>900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12050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12165.599999999999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12603.250298233062</v>
      </c>
      <c r="Y555" s="43">
        <f>IFERROR(SUM(BN22:BN551),"0")</f>
        <v>12724.479999999998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20</v>
      </c>
      <c r="Y556" s="44">
        <f>ROUNDUP(SUM(BP22:BP551),0)</f>
        <v>20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13103.250298233062</v>
      </c>
      <c r="Y557" s="43">
        <f>GrossWeightTotalR+PalletQtyTotalR*25</f>
        <v>13224.479999999998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1400.4724292310498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1416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22.737560000000002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302.40000000000003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317.40000000000003</v>
      </c>
      <c r="F564" s="52">
        <f>IFERROR(Y85*1,"0")+IFERROR(Y86*1,"0")+IFERROR(Y87*1,"0")+IFERROR(Y88*1,"0")+IFERROR(Y89*1,"0")+IFERROR(Y93*1,"0")+IFERROR(Y94*1,"0")+IFERROR(Y95*1,"0")+IFERROR(Y96*1,"0")</f>
        <v>477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758.7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168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1160.7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931.2</v>
      </c>
      <c r="U564" s="52">
        <f>IFERROR(Y412*1,"0")+IFERROR(Y413*1,"0")</f>
        <v>0</v>
      </c>
      <c r="V564" s="52">
        <f>IFERROR(Y418*1,"0")+IFERROR(Y419*1,"0")+IFERROR(Y420*1,"0")</f>
        <v>84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5178</v>
      </c>
      <c r="X564" s="52">
        <f>IFERROR(Y455*1,"0")+IFERROR(Y456*1,"0")+IFERROR(Y460*1,"0")+IFERROR(Y464*1,"0")+IFERROR(Y465*1,"0")+IFERROR(Y466*1,"0")</f>
        <v>306</v>
      </c>
      <c r="Y564" s="52">
        <f>IFERROR(Y472*1,"0")+IFERROR(Y473*1,"0")+IFERROR(Y474*1,"0")+IFERROR(Y475*1,"0")+IFERROR(Y476*1,"0")+IFERROR(Y477*1,"0")+IFERROR(Y481*1,"0")+IFERROR(Y482*1,"0")</f>
        <v>248.4</v>
      </c>
      <c r="Z564" s="52">
        <f>IFERROR(Y487*1,"0")+IFERROR(Y491*1,"0")+IFERROR(Y492*1,"0")+IFERROR(Y493*1,"0")</f>
        <v>124.2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1108.8000000000002</v>
      </c>
      <c r="AB564" s="52">
        <f>IFERROR(Y529*1,"0")+IFERROR(Y533*1,"0")+IFERROR(Y537*1,"0")+IFERROR(Y541*1,"0")+IFERROR(Y545*1,"0")+IFERROR(Y546*1,"0")</f>
        <v>1000.8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400,47"/>
        <filter val="1 500,00"/>
        <filter val="100,00"/>
        <filter val="111,11"/>
        <filter val="12 050,00"/>
        <filter val="12 603,25"/>
        <filter val="12,82"/>
        <filter val="120,00"/>
        <filter val="13 103,25"/>
        <filter val="13,89"/>
        <filter val="150,00"/>
        <filter val="160,00"/>
        <filter val="168,00"/>
        <filter val="17,89"/>
        <filter val="18,00"/>
        <filter val="20"/>
        <filter val="200,00"/>
        <filter val="22,22"/>
        <filter val="23,81"/>
        <filter val="24,00"/>
        <filter val="240,00"/>
        <filter val="246,67"/>
        <filter val="250,00"/>
        <filter val="27,78"/>
        <filter val="28,57"/>
        <filter val="3 700,00"/>
        <filter val="300,00"/>
        <filter val="33,33"/>
        <filter val="37,04"/>
        <filter val="38,10"/>
        <filter val="40,00"/>
        <filter val="42,00"/>
        <filter val="44,44"/>
        <filter val="5,56"/>
        <filter val="500,00"/>
        <filter val="548,00"/>
        <filter val="56,82"/>
        <filter val="60,00"/>
        <filter val="600,00"/>
        <filter val="74,07"/>
        <filter val="80,00"/>
        <filter val="80,03"/>
        <filter val="800,00"/>
        <filter val="84,00"/>
        <filter val="900,00"/>
        <filter val="94,70"/>
        <filter val="99,82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2026-09-22T07:08:48Z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