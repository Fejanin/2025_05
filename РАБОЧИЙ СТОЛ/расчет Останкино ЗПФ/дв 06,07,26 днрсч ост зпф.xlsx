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"/>
    </mc:Choice>
  </mc:AlternateContent>
  <xr:revisionPtr revIDLastSave="0" documentId="13_ncr:1_{5D082581-EBE2-4A7A-9D0A-61F5E9FE43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1" i="1"/>
  <c r="V11" i="1" s="1"/>
  <c r="V5" i="1" s="1"/>
  <c r="Q7" i="1"/>
  <c r="S7" i="1"/>
  <c r="S9" i="1"/>
  <c r="S11" i="1"/>
  <c r="S13" i="1"/>
  <c r="S15" i="1"/>
  <c r="R6" i="1"/>
  <c r="P7" i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S6" i="1" s="1"/>
  <c r="V16" i="1"/>
  <c r="L16" i="1"/>
  <c r="V15" i="1"/>
  <c r="L15" i="1"/>
  <c r="V14" i="1"/>
  <c r="L14" i="1"/>
  <c r="V13" i="1"/>
  <c r="L13" i="1"/>
  <c r="V12" i="1"/>
  <c r="L12" i="1"/>
  <c r="L11" i="1"/>
  <c r="V10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Q5" i="1" l="1"/>
  <c r="R7" i="1"/>
  <c r="S16" i="1"/>
  <c r="S14" i="1"/>
  <c r="S12" i="1"/>
  <c r="S10" i="1"/>
  <c r="S8" i="1"/>
  <c r="P5" i="1"/>
</calcChain>
</file>

<file path=xl/sharedStrings.xml><?xml version="1.0" encoding="utf-8"?>
<sst xmlns="http://schemas.openxmlformats.org/spreadsheetml/2006/main" count="53" uniqueCount="39">
  <si>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</si>
  <si>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</si>
  <si>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</si>
  <si>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</si>
  <si>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</si>
  <si>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</si>
  <si>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</si>
  <si>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</si>
  <si>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</si>
  <si>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</si>
  <si>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</si>
  <si>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</si>
  <si>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</si>
  <si>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</si>
  <si>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</si>
  <si>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</si>
  <si>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</si>
  <si>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</si>
  <si>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</si>
  <si>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</si>
  <si>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</si>
  <si>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</si>
  <si>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</si>
  <si>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06,07,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</si>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</sst>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30" sqref="AI3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0" width="6" customWidth="1"/>
    <col min="21" max="21" width="35.1406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38</v>
      </c>
      <c r="P4" s="1" t="s">
        <v>23</v>
      </c>
      <c r="Q4" s="1"/>
      <c r="R4" s="1"/>
      <c r="S4" s="1"/>
      <c r="T4" s="1" t="s">
        <v>22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345.89</v>
      </c>
      <c r="F5" s="4">
        <f>SUM(F6:F500)</f>
        <v>1955.443</v>
      </c>
      <c r="G5" s="7"/>
      <c r="H5" s="1"/>
      <c r="I5" s="1"/>
      <c r="J5" s="1"/>
      <c r="K5" s="4">
        <f t="shared" ref="K5:Q5" si="0">SUM(K6:K500)</f>
        <v>498.5</v>
      </c>
      <c r="L5" s="4">
        <f t="shared" si="0"/>
        <v>-152.61000000000001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69.177999999999997</v>
      </c>
      <c r="Q5" s="4">
        <f t="shared" si="0"/>
        <v>146.65819999999997</v>
      </c>
      <c r="R5" s="1"/>
      <c r="S5" s="1"/>
      <c r="T5" s="4">
        <f>SUM(T6:T500)</f>
        <v>81.424800000000005</v>
      </c>
      <c r="U5" s="1"/>
      <c r="V5" s="4">
        <f>SUM(V6:V500)</f>
        <v>59.158199999999987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24</v>
      </c>
      <c r="B6" s="1" t="s">
        <v>25</v>
      </c>
      <c r="C6" s="1">
        <v>138</v>
      </c>
      <c r="D6" s="1">
        <v>29</v>
      </c>
      <c r="E6" s="1">
        <v>5</v>
      </c>
      <c r="F6" s="1">
        <v>160</v>
      </c>
      <c r="G6" s="7">
        <v>0.42</v>
      </c>
      <c r="H6" s="1"/>
      <c r="I6" s="1"/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 t="shared" ref="R6:R16" si="2">(F6+Q6)/P6</f>
        <v>160</v>
      </c>
      <c r="S6" s="1">
        <f>F6/P6</f>
        <v>160</v>
      </c>
      <c r="T6" s="1">
        <v>1</v>
      </c>
      <c r="U6" s="10" t="s">
        <v>26</v>
      </c>
      <c r="V6" s="1">
        <f t="shared" ref="V6:V16" si="3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27</v>
      </c>
      <c r="B7" s="1" t="s">
        <v>28</v>
      </c>
      <c r="C7" s="1">
        <v>50.218000000000004</v>
      </c>
      <c r="D7" s="1">
        <v>19.913</v>
      </c>
      <c r="E7" s="1">
        <v>22.734000000000002</v>
      </c>
      <c r="F7" s="1">
        <v>47.396999999999998</v>
      </c>
      <c r="G7" s="7">
        <v>1</v>
      </c>
      <c r="H7" s="1"/>
      <c r="I7" s="1"/>
      <c r="J7" s="1"/>
      <c r="K7" s="1">
        <v>22.5</v>
      </c>
      <c r="L7" s="1">
        <f t="shared" si="1"/>
        <v>0.23400000000000176</v>
      </c>
      <c r="M7" s="1"/>
      <c r="N7" s="1"/>
      <c r="O7" s="1"/>
      <c r="P7" s="1">
        <f t="shared" ref="P7:P16" si="4">E7/5</f>
        <v>4.5468000000000002</v>
      </c>
      <c r="Q7" s="5">
        <f>14*P7-F7</f>
        <v>16.258200000000002</v>
      </c>
      <c r="R7" s="1">
        <f t="shared" si="2"/>
        <v>14</v>
      </c>
      <c r="S7" s="1">
        <f t="shared" ref="S7:S16" si="5">F7/P7</f>
        <v>10.424254420691474</v>
      </c>
      <c r="T7" s="1">
        <v>0.91639999999999999</v>
      </c>
      <c r="U7" s="1"/>
      <c r="V7" s="1">
        <f t="shared" si="3"/>
        <v>16.258200000000002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29</v>
      </c>
      <c r="B8" s="1" t="s">
        <v>28</v>
      </c>
      <c r="C8" s="1">
        <v>113.91200000000001</v>
      </c>
      <c r="D8" s="1">
        <v>8.2899999999999991</v>
      </c>
      <c r="E8" s="1">
        <v>9.1560000000000006</v>
      </c>
      <c r="F8" s="1">
        <v>113.04600000000001</v>
      </c>
      <c r="G8" s="7">
        <v>1</v>
      </c>
      <c r="H8" s="1"/>
      <c r="I8" s="1"/>
      <c r="J8" s="1"/>
      <c r="K8" s="1">
        <v>9</v>
      </c>
      <c r="L8" s="1">
        <f t="shared" si="1"/>
        <v>0.15600000000000058</v>
      </c>
      <c r="M8" s="1"/>
      <c r="N8" s="1"/>
      <c r="O8" s="1"/>
      <c r="P8" s="1">
        <f t="shared" si="4"/>
        <v>1.8312000000000002</v>
      </c>
      <c r="Q8" s="5"/>
      <c r="R8" s="1">
        <f t="shared" si="2"/>
        <v>61.733289646133684</v>
      </c>
      <c r="S8" s="1">
        <f t="shared" si="5"/>
        <v>61.733289646133684</v>
      </c>
      <c r="T8" s="1">
        <v>0.90839999999999999</v>
      </c>
      <c r="U8" s="10" t="s">
        <v>26</v>
      </c>
      <c r="V8" s="1">
        <f t="shared" si="3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30</v>
      </c>
      <c r="B9" s="1" t="s">
        <v>25</v>
      </c>
      <c r="C9" s="1">
        <v>201</v>
      </c>
      <c r="D9" s="1">
        <v>14</v>
      </c>
      <c r="E9" s="1">
        <v>23</v>
      </c>
      <c r="F9" s="1">
        <v>188</v>
      </c>
      <c r="G9" s="7">
        <v>0.42</v>
      </c>
      <c r="H9" s="1"/>
      <c r="I9" s="1"/>
      <c r="J9" s="1"/>
      <c r="K9" s="1">
        <v>26</v>
      </c>
      <c r="L9" s="1">
        <f t="shared" si="1"/>
        <v>-3</v>
      </c>
      <c r="M9" s="1"/>
      <c r="N9" s="1"/>
      <c r="O9" s="1"/>
      <c r="P9" s="1">
        <f t="shared" si="4"/>
        <v>4.5999999999999996</v>
      </c>
      <c r="Q9" s="5"/>
      <c r="R9" s="1">
        <f t="shared" si="2"/>
        <v>40.869565217391305</v>
      </c>
      <c r="S9" s="1">
        <f t="shared" si="5"/>
        <v>40.869565217391305</v>
      </c>
      <c r="T9" s="1">
        <v>2.4</v>
      </c>
      <c r="U9" s="10" t="s">
        <v>26</v>
      </c>
      <c r="V9" s="1">
        <f t="shared" si="3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31</v>
      </c>
      <c r="B10" s="1" t="s">
        <v>25</v>
      </c>
      <c r="C10" s="1">
        <v>185</v>
      </c>
      <c r="D10" s="1">
        <v>38</v>
      </c>
      <c r="E10" s="1">
        <v>48</v>
      </c>
      <c r="F10" s="1">
        <v>160</v>
      </c>
      <c r="G10" s="7">
        <v>0.3</v>
      </c>
      <c r="H10" s="1"/>
      <c r="I10" s="1"/>
      <c r="J10" s="1"/>
      <c r="K10" s="1">
        <v>57</v>
      </c>
      <c r="L10" s="1">
        <f t="shared" si="1"/>
        <v>-9</v>
      </c>
      <c r="M10" s="1"/>
      <c r="N10" s="1"/>
      <c r="O10" s="1"/>
      <c r="P10" s="1">
        <f t="shared" si="4"/>
        <v>9.6</v>
      </c>
      <c r="Q10" s="5"/>
      <c r="R10" s="1">
        <f t="shared" si="2"/>
        <v>16.666666666666668</v>
      </c>
      <c r="S10" s="1">
        <f t="shared" si="5"/>
        <v>16.666666666666668</v>
      </c>
      <c r="T10" s="1">
        <v>10.199999999999999</v>
      </c>
      <c r="U10" s="1"/>
      <c r="V10" s="1">
        <f t="shared" si="3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32</v>
      </c>
      <c r="B11" s="1" t="s">
        <v>25</v>
      </c>
      <c r="C11" s="1">
        <v>137</v>
      </c>
      <c r="D11" s="1">
        <v>79</v>
      </c>
      <c r="E11" s="1">
        <v>71</v>
      </c>
      <c r="F11" s="1">
        <v>144</v>
      </c>
      <c r="G11" s="7">
        <v>0.3</v>
      </c>
      <c r="H11" s="1"/>
      <c r="I11" s="1"/>
      <c r="J11" s="1"/>
      <c r="K11" s="1">
        <v>91</v>
      </c>
      <c r="L11" s="1">
        <f t="shared" si="1"/>
        <v>-20</v>
      </c>
      <c r="M11" s="1"/>
      <c r="N11" s="1"/>
      <c r="O11" s="1"/>
      <c r="P11" s="1">
        <f t="shared" si="4"/>
        <v>14.2</v>
      </c>
      <c r="Q11" s="5">
        <f t="shared" ref="Q11:Q12" si="6">14*P11-F11</f>
        <v>54.799999999999983</v>
      </c>
      <c r="R11" s="1">
        <f t="shared" si="2"/>
        <v>14</v>
      </c>
      <c r="S11" s="1">
        <f t="shared" si="5"/>
        <v>10.140845070422536</v>
      </c>
      <c r="T11" s="1">
        <v>22.6</v>
      </c>
      <c r="U11" s="1"/>
      <c r="V11" s="1">
        <f t="shared" si="3"/>
        <v>16.439999999999994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33</v>
      </c>
      <c r="B12" s="1" t="s">
        <v>25</v>
      </c>
      <c r="C12" s="1">
        <v>207</v>
      </c>
      <c r="D12" s="1">
        <v>36</v>
      </c>
      <c r="E12" s="1">
        <v>82</v>
      </c>
      <c r="F12" s="1">
        <v>154</v>
      </c>
      <c r="G12" s="7">
        <v>0.35</v>
      </c>
      <c r="H12" s="1"/>
      <c r="I12" s="1"/>
      <c r="J12" s="1"/>
      <c r="K12" s="1">
        <v>90</v>
      </c>
      <c r="L12" s="1">
        <f t="shared" si="1"/>
        <v>-8</v>
      </c>
      <c r="M12" s="1"/>
      <c r="N12" s="1"/>
      <c r="O12" s="1"/>
      <c r="P12" s="1">
        <f t="shared" si="4"/>
        <v>16.399999999999999</v>
      </c>
      <c r="Q12" s="5">
        <f t="shared" si="6"/>
        <v>75.599999999999966</v>
      </c>
      <c r="R12" s="1">
        <f t="shared" si="2"/>
        <v>14</v>
      </c>
      <c r="S12" s="1">
        <f t="shared" si="5"/>
        <v>9.3902439024390247</v>
      </c>
      <c r="T12" s="1">
        <v>12</v>
      </c>
      <c r="U12" s="1"/>
      <c r="V12" s="1">
        <f t="shared" si="3"/>
        <v>26.459999999999987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34</v>
      </c>
      <c r="B13" s="1" t="s">
        <v>25</v>
      </c>
      <c r="C13" s="1">
        <v>170</v>
      </c>
      <c r="D13" s="1">
        <v>31</v>
      </c>
      <c r="E13" s="1">
        <v>41</v>
      </c>
      <c r="F13" s="1">
        <v>149</v>
      </c>
      <c r="G13" s="7">
        <v>0.3</v>
      </c>
      <c r="H13" s="1"/>
      <c r="I13" s="1"/>
      <c r="J13" s="1"/>
      <c r="K13" s="1">
        <v>49</v>
      </c>
      <c r="L13" s="1">
        <f t="shared" si="1"/>
        <v>-8</v>
      </c>
      <c r="M13" s="1"/>
      <c r="N13" s="1"/>
      <c r="O13" s="1"/>
      <c r="P13" s="1">
        <f t="shared" si="4"/>
        <v>8.1999999999999993</v>
      </c>
      <c r="Q13" s="5"/>
      <c r="R13" s="1">
        <f t="shared" si="2"/>
        <v>18.170731707317074</v>
      </c>
      <c r="S13" s="1">
        <f t="shared" si="5"/>
        <v>18.170731707317074</v>
      </c>
      <c r="T13" s="1">
        <v>13.2</v>
      </c>
      <c r="U13" s="1"/>
      <c r="V13" s="1">
        <f t="shared" si="3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35</v>
      </c>
      <c r="B14" s="1" t="s">
        <v>25</v>
      </c>
      <c r="C14" s="1">
        <v>93</v>
      </c>
      <c r="D14" s="1">
        <v>165</v>
      </c>
      <c r="E14" s="1">
        <v>1</v>
      </c>
      <c r="F14" s="1">
        <v>237</v>
      </c>
      <c r="G14" s="7">
        <v>0.35</v>
      </c>
      <c r="H14" s="1"/>
      <c r="I14" s="1"/>
      <c r="J14" s="1"/>
      <c r="K14" s="1">
        <v>96</v>
      </c>
      <c r="L14" s="1">
        <f t="shared" si="1"/>
        <v>-95</v>
      </c>
      <c r="M14" s="1"/>
      <c r="N14" s="1"/>
      <c r="O14" s="1"/>
      <c r="P14" s="1">
        <f t="shared" si="4"/>
        <v>0.2</v>
      </c>
      <c r="Q14" s="5"/>
      <c r="R14" s="1">
        <f t="shared" si="2"/>
        <v>1185</v>
      </c>
      <c r="S14" s="1">
        <f t="shared" si="5"/>
        <v>1185</v>
      </c>
      <c r="T14" s="1">
        <v>10.4</v>
      </c>
      <c r="U14" s="10" t="s">
        <v>26</v>
      </c>
      <c r="V14" s="1">
        <f t="shared" si="3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36</v>
      </c>
      <c r="B15" s="1" t="s">
        <v>25</v>
      </c>
      <c r="C15" s="1">
        <v>256</v>
      </c>
      <c r="D15" s="1">
        <v>2</v>
      </c>
      <c r="E15" s="1">
        <v>8</v>
      </c>
      <c r="F15" s="1">
        <v>208</v>
      </c>
      <c r="G15" s="7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1">
        <f t="shared" si="4"/>
        <v>1.6</v>
      </c>
      <c r="Q15" s="5"/>
      <c r="R15" s="1">
        <f t="shared" si="2"/>
        <v>130</v>
      </c>
      <c r="S15" s="1">
        <f t="shared" si="5"/>
        <v>130</v>
      </c>
      <c r="T15" s="1">
        <v>1.6</v>
      </c>
      <c r="U15" s="10" t="s">
        <v>26</v>
      </c>
      <c r="V15" s="1">
        <f t="shared" si="3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37</v>
      </c>
      <c r="B16" s="1" t="s">
        <v>25</v>
      </c>
      <c r="C16" s="1">
        <v>232</v>
      </c>
      <c r="D16" s="1">
        <v>277</v>
      </c>
      <c r="E16" s="1">
        <v>35</v>
      </c>
      <c r="F16" s="1">
        <v>395</v>
      </c>
      <c r="G16" s="7">
        <v>0.7</v>
      </c>
      <c r="H16" s="1"/>
      <c r="I16" s="1"/>
      <c r="J16" s="1"/>
      <c r="K16" s="1">
        <v>43</v>
      </c>
      <c r="L16" s="1">
        <f t="shared" si="1"/>
        <v>-8</v>
      </c>
      <c r="M16" s="1"/>
      <c r="N16" s="1"/>
      <c r="O16" s="1"/>
      <c r="P16" s="1">
        <f t="shared" si="4"/>
        <v>7</v>
      </c>
      <c r="Q16" s="5"/>
      <c r="R16" s="1">
        <f t="shared" si="2"/>
        <v>56.428571428571431</v>
      </c>
      <c r="S16" s="1">
        <f t="shared" si="5"/>
        <v>56.428571428571431</v>
      </c>
      <c r="T16" s="1">
        <v>6.2</v>
      </c>
      <c r="U16" s="10" t="s">
        <v>26</v>
      </c>
      <c r="V16" s="1">
        <f t="shared" si="3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2026-07-06T13:14:31Z</dcterms:created>
  <dcterms:modified xsi:type="dcterms:W3CDTF">2026-07-06T13:19:03Z</dcterms:modified>
</cp:coreProperties>
</file>