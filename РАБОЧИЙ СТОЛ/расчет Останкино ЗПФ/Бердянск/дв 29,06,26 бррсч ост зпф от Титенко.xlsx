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DF1EF44B-88B5-4AAA-AEAA-08EBE90E05B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Sheet!$A$3:$Y$16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7" i="1" l="1"/>
  <c r="Y8" i="1"/>
  <c r="Y9" i="1"/>
  <c r="Y10" i="1"/>
  <c r="Y11" i="1"/>
  <c r="Y12" i="1"/>
  <c r="Y13" i="1"/>
  <c r="Y14" i="1"/>
  <c r="Y15" i="1"/>
  <c r="Y16" i="1"/>
  <c r="Y6" i="1"/>
  <c r="U7" i="1"/>
  <c r="U8" i="1"/>
  <c r="U9" i="1"/>
  <c r="U10" i="1"/>
  <c r="U11" i="1"/>
  <c r="U12" i="1"/>
  <c r="U13" i="1"/>
  <c r="U14" i="1"/>
  <c r="U15" i="1"/>
  <c r="U16" i="1"/>
  <c r="U6" i="1"/>
  <c r="R5" i="1"/>
  <c r="P8" i="1" l="1"/>
  <c r="P16" i="1"/>
  <c r="P6" i="1"/>
  <c r="L6" i="1"/>
  <c r="E7" i="1"/>
  <c r="P7" i="1" s="1"/>
  <c r="E9" i="1"/>
  <c r="P9" i="1" s="1"/>
  <c r="E10" i="1"/>
  <c r="P10" i="1" s="1"/>
  <c r="E11" i="1"/>
  <c r="P11" i="1" s="1"/>
  <c r="E12" i="1"/>
  <c r="P12" i="1" s="1"/>
  <c r="E13" i="1"/>
  <c r="P13" i="1" s="1"/>
  <c r="E14" i="1"/>
  <c r="P14" i="1" s="1"/>
  <c r="E15" i="1"/>
  <c r="P15" i="1" s="1"/>
  <c r="K7" i="1"/>
  <c r="K8" i="1"/>
  <c r="L8" i="1" s="1"/>
  <c r="K9" i="1"/>
  <c r="K10" i="1"/>
  <c r="K11" i="1"/>
  <c r="K12" i="1"/>
  <c r="K13" i="1"/>
  <c r="K14" i="1"/>
  <c r="K15" i="1"/>
  <c r="K16" i="1"/>
  <c r="L16" i="1" s="1"/>
  <c r="O5" i="1"/>
  <c r="V14" i="1" l="1"/>
  <c r="V15" i="1"/>
  <c r="Q13" i="1"/>
  <c r="V13" i="1"/>
  <c r="V12" i="1"/>
  <c r="Q12" i="1"/>
  <c r="Q11" i="1"/>
  <c r="V11" i="1"/>
  <c r="V10" i="1"/>
  <c r="Q10" i="1"/>
  <c r="V9" i="1"/>
  <c r="V7" i="1"/>
  <c r="V6" i="1"/>
  <c r="V16" i="1"/>
  <c r="V8" i="1"/>
  <c r="L13" i="1"/>
  <c r="L15" i="1"/>
  <c r="L14" i="1"/>
  <c r="L11" i="1"/>
  <c r="L10" i="1"/>
  <c r="L12" i="1"/>
  <c r="L9" i="1"/>
  <c r="L7" i="1"/>
  <c r="W5" i="1"/>
  <c r="S5" i="1"/>
  <c r="N5" i="1"/>
  <c r="M5" i="1"/>
  <c r="K5" i="1"/>
  <c r="F5" i="1" l="1"/>
  <c r="E5" i="1"/>
  <c r="P5" i="1" l="1"/>
  <c r="L5" i="1"/>
  <c r="Q5" i="1" l="1"/>
  <c r="Y5" i="1" l="1"/>
</calcChain>
</file>

<file path=xl/sharedStrings.xml><?xml version="1.0" encoding="utf-8"?>
<sst xmlns="http://schemas.openxmlformats.org/spreadsheetml/2006/main" count="57" uniqueCount="42">
  <si>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</si>
  <si>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</si>
  <si>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</si>
  <si>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</si>
  <si>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</si>
  <si>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</si>
  <si>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</si>
  <si>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</si>
  <si>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</si>
  <si>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</si>
  <si>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</si>
  <si>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</si>
  <si>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</si>
  <si>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</si>
  <si>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</si>
  <si>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</si>
  <si>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</si>
  <si>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</si>
  <si>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</si>
  <si>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</si>
  <si>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</si>
  <si>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</si>
  <si>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</si>
  <si>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</si>
  <si>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</si>
  <si>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>5579 БЛИНЧ.КРУГЛЫЕ С САД.ЯБЛОК.пл.1/420 зам. ОСТАНКИНО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</si>
  <si>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</si>
  <si>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</si>
  <si>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</si>
  <si>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</si>
  <si>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</si>
  <si>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</si>
  <si>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</si>
  <si>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</si>
  <si>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</si>
  <si>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</si>
  <si>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</si>
  <si>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</si>
  <si>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29,06,</t>
  </si>
  <si>
    <t>нужно увеличить продажи!!!</t>
  </si>
  <si>
    <t>заказ</t>
  </si>
  <si>
    <t>04,07,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</si>
</sst>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64" fontId="1" fillId="0" borderId="0" xfId="1" applyNumberFormat="1"/>
    <xf numFmtId="164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164" fontId="0" fillId="0" borderId="0" xfId="0" applyNumberFormat="1"/>
    <xf numFmtId="165" fontId="1" fillId="0" borderId="0" xfId="1" applyNumberFormat="1"/>
    <xf numFmtId="165" fontId="2" fillId="2" borderId="0" xfId="1" applyNumberFormat="1" applyFont="1" applyFill="1"/>
    <xf numFmtId="165" fontId="0" fillId="0" borderId="0" xfId="0" applyNumberFormat="1"/>
    <xf numFmtId="164" fontId="5" fillId="0" borderId="0" xfId="1" applyNumberFormat="1" applyFont="1"/>
    <xf numFmtId="164" fontId="0" fillId="0" borderId="1" xfId="0" applyNumberFormat="1" applyBorder="1"/>
    <xf numFmtId="164" fontId="1" fillId="0" borderId="1" xfId="1" applyNumberFormat="1" applyBorder="1"/>
    <xf numFmtId="164" fontId="4" fillId="5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47;&#1055;&#1060;\&#1041;&#1077;&#1088;&#1076;&#1103;&#1085;&#1089;&#1082;\&#1087;&#1088;&#1086;&#1076;&#1072;&#1078;&#1080;%20&#1041;&#1077;&#1088;&#1076;&#1103;&#1085;&#1089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47;&#1055;&#1060;\&#1041;&#1077;&#1088;&#1076;&#1103;&#1085;&#1089;&#1082;\&#1079;&#1072;&#1082;&#1072;&#1079;&#1072;&#1085;&#1086;-&#1086;&#1090;&#1075;&#1088;&#1091;&#1078;&#1077;&#1085;&#1086;%20&#1041;&#1077;&#1088;&#1076;&#1103;&#1085;&#1089;&#1082;%2023,06,26-29,06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3">
          <cell r="A3" t="str">
            <v>Отбор:</v>
          </cell>
          <cell r="C3" t="str">
            <v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>5754 БЛИНЧ.КРУГЛЫЕ С МЯСОМ 4,5кг зам. ПМ ОСТАНКИНО</v>
          </cell>
          <cell r="D7" t="str">
            <v>00-ko011529</v>
          </cell>
          <cell r="F7">
            <v>4.5979999999999999</v>
          </cell>
          <cell r="G7">
            <v>4.5979999999999999</v>
          </cell>
        </row>
        <row r="8">
          <cell r="A8" t="str">
            <v>5897 БЛИНЧ.КРУГЛЫЕ С ГРУШЕЙ пл.1/420 зам.   ОСТАНКИНО</v>
          </cell>
          <cell r="D8" t="str">
            <v>00-00006237</v>
          </cell>
          <cell r="F8">
            <v>2.94</v>
          </cell>
          <cell r="G8">
            <v>7</v>
          </cell>
        </row>
        <row r="9">
          <cell r="A9" t="str">
            <v>6148 БЛИНЧ.КРУГЛЫЕ С ВЕТЧ.И СЫР. ПМ 1/300 зам. ОСТАНКИНО</v>
          </cell>
          <cell r="D9" t="str">
            <v>00-ko011526</v>
          </cell>
          <cell r="F9">
            <v>11.1</v>
          </cell>
          <cell r="G9">
            <v>37</v>
          </cell>
        </row>
        <row r="10">
          <cell r="A10" t="str">
            <v>6149 БЛИНЧ.КРУГЛЫЕ С ПЕЧЕНЬЮ ПМ 1/300 зам. ОСТАНКИНО</v>
          </cell>
          <cell r="D10" t="str">
            <v>00-ko011527</v>
          </cell>
          <cell r="F10">
            <v>15.3</v>
          </cell>
          <cell r="G10">
            <v>51</v>
          </cell>
        </row>
        <row r="11">
          <cell r="A11" t="str">
            <v>6168 Блинчики с мясом пл. 1/350 зам. ОСТАНКИНО</v>
          </cell>
          <cell r="D11" t="str">
            <v>00-ko011525</v>
          </cell>
          <cell r="F11">
            <v>31.85</v>
          </cell>
          <cell r="G11">
            <v>91</v>
          </cell>
        </row>
        <row r="12">
          <cell r="A12" t="str">
            <v>6202 БЛИНЧ.КРУГЛЫЕ С ТВОРОГОМ ПМ 1/300 зам. ОСТАНКИНО</v>
          </cell>
          <cell r="D12" t="str">
            <v>00-ko011528</v>
          </cell>
          <cell r="F12">
            <v>27</v>
          </cell>
          <cell r="G12">
            <v>90</v>
          </cell>
        </row>
        <row r="13">
          <cell r="A13" t="str">
            <v>6209 Блинчики с куриным мясом пл. 1/350 зам. ОСТАНКИНО</v>
          </cell>
          <cell r="D13" t="str">
            <v>00-ko011524</v>
          </cell>
          <cell r="F13">
            <v>5.25</v>
          </cell>
          <cell r="G13">
            <v>15</v>
          </cell>
        </row>
        <row r="14">
          <cell r="A14" t="str">
            <v>6819 БЛИНЧ.КРУГЛЫЕ С САД.ЯБЛОК. пл. 1/300 зам. ОСТАНКИНО</v>
          </cell>
          <cell r="D14" t="str">
            <v>00-ko011532</v>
          </cell>
          <cell r="F14">
            <v>1.5</v>
          </cell>
          <cell r="G14">
            <v>5</v>
          </cell>
        </row>
        <row r="15">
          <cell r="A15" t="str">
            <v>Итого</v>
          </cell>
          <cell r="F15">
            <v>99.537999999999997</v>
          </cell>
          <cell r="G15">
            <v>300.59800000000001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Бердянск Заморозка</v>
          </cell>
          <cell r="E6">
            <v>12693.2</v>
          </cell>
        </row>
        <row r="7">
          <cell r="A7" t="str">
            <v>Останкино ООО</v>
          </cell>
          <cell r="E7">
            <v>404.5</v>
          </cell>
        </row>
        <row r="8">
          <cell r="A8" t="str">
            <v>Останкино (соусы, майонезы)</v>
          </cell>
          <cell r="E8">
            <v>2</v>
          </cell>
        </row>
        <row r="9">
          <cell r="A9" t="str">
            <v>6948270 Майонез провансаль классич.Папа может 372гр с массовой долей жирн. 67% Останкино</v>
          </cell>
          <cell r="E9">
            <v>2</v>
          </cell>
        </row>
        <row r="10">
          <cell r="A10" t="str">
            <v>Останкино Заморозка</v>
          </cell>
          <cell r="E10">
            <v>402.5</v>
          </cell>
        </row>
        <row r="11">
          <cell r="A11" t="str">
            <v>5754 БЛИНЧ.КРУГЛЫЕ С МЯСОМ 4,5кг зам. ПМ ОСТАНКИНО</v>
          </cell>
          <cell r="E11">
            <v>5.5</v>
          </cell>
        </row>
        <row r="12">
          <cell r="A12" t="str">
            <v>5755 БЛИНЧ.КРУГЛЫЕ С ТВОРОГОМ 4,5кг зам. ПМ ОСТАНКИНО</v>
          </cell>
          <cell r="E12">
            <v>5</v>
          </cell>
        </row>
        <row r="13">
          <cell r="A13" t="str">
            <v>5897 БЛИНЧ.КРУГЛЫЕ С ГРУШЕЙ пл.1/420 зам.   ОСТАНКИНО</v>
          </cell>
          <cell r="E13">
            <v>9</v>
          </cell>
        </row>
        <row r="14">
          <cell r="A14" t="str">
            <v>6148 БЛИНЧ.КРУГЛЫЕ С ВЕТЧ.И СЫР. ПМ 1/300 зам. ОСТАНКИНО</v>
          </cell>
          <cell r="E14">
            <v>43</v>
          </cell>
        </row>
        <row r="15">
          <cell r="A15" t="str">
            <v>6149 БЛИНЧ.КРУГЛЫЕ С ПЕЧЕНЬЮ ПМ 1/300 зам. ОСТАНКИНО</v>
          </cell>
          <cell r="E15">
            <v>51</v>
          </cell>
        </row>
        <row r="16">
          <cell r="A16" t="str">
            <v>6168 Блинчики с мясом пл. 1/350 зам. ОСТАНКИНО</v>
          </cell>
          <cell r="E16">
            <v>98</v>
          </cell>
        </row>
        <row r="17">
          <cell r="A17" t="str">
            <v>6202 БЛИНЧ.КРУГЛЫЕ С ТВОРОГОМ ПМ 1/300 зам. ОСТАНКИНО</v>
          </cell>
          <cell r="E17">
            <v>94</v>
          </cell>
        </row>
        <row r="18">
          <cell r="A18" t="str">
            <v>6209 Блинчики с куриным мясом пл. 1/350 зам. ОСТАНКИНО</v>
          </cell>
          <cell r="E18">
            <v>81</v>
          </cell>
        </row>
        <row r="19">
          <cell r="A19" t="str">
            <v>6819 БЛИНЧ.КРУГЛЫЕ С САД.ЯБЛОК. пл. 1/300 зам. ОСТАНКИНО</v>
          </cell>
          <cell r="E19">
            <v>6</v>
          </cell>
        </row>
        <row r="20">
          <cell r="A20" t="str">
            <v>7216 СОЧНЫЕ СО СЛ.МАСЛ.ПМ пельм пл.0.7кг зам. ОСТАНКИНО</v>
          </cell>
          <cell r="E20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T9" sqref="T9"/>
    </sheetView>
  </sheetViews>
  <sheetFormatPr defaultColWidth="9" defaultRowHeight="15"/>
  <cols>
    <col min="1" max="1" width="60" style="6" customWidth="1"/>
    <col min="2" max="2" width="3" style="6" customWidth="1"/>
    <col min="3" max="4" width="6" style="6" customWidth="1"/>
    <col min="5" max="6" width="7" style="6" customWidth="1"/>
    <col min="7" max="7" width="5" style="9" customWidth="1"/>
    <col min="8" max="8" width="5" style="6" customWidth="1"/>
    <col min="9" max="9" width="8.42578125" style="6" customWidth="1"/>
    <col min="10" max="10" width="1" style="6" customWidth="1"/>
    <col min="11" max="12" width="7" style="6" customWidth="1"/>
    <col min="13" max="14" width="0.42578125" style="6" customWidth="1"/>
    <col min="15" max="15" width="7.140625" style="6" customWidth="1"/>
    <col min="16" max="19" width="7" style="6" customWidth="1"/>
    <col min="20" max="20" width="21" style="6" customWidth="1"/>
    <col min="21" max="22" width="5" style="6" customWidth="1"/>
    <col min="23" max="23" width="6" style="6" customWidth="1"/>
    <col min="24" max="24" width="28.7109375" style="6" customWidth="1"/>
    <col min="25" max="25" width="7" style="6" customWidth="1"/>
    <col min="26" max="41" width="3" style="6" customWidth="1"/>
    <col min="42" max="16384" width="9" style="6"/>
  </cols>
  <sheetData>
    <row r="1" spans="1:41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4" t="s">
        <v>16</v>
      </c>
      <c r="R3" s="4" t="s">
        <v>40</v>
      </c>
      <c r="S3" s="5" t="s">
        <v>17</v>
      </c>
      <c r="T3" s="5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0" t="s">
        <v>38</v>
      </c>
      <c r="P4" s="10" t="s">
        <v>38</v>
      </c>
      <c r="Q4" s="1"/>
      <c r="R4" s="1" t="s">
        <v>41</v>
      </c>
      <c r="S4" s="1"/>
      <c r="T4" s="1"/>
      <c r="U4" s="1"/>
      <c r="V4" s="1"/>
      <c r="W4" s="10" t="s">
        <v>37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/>
      <c r="B5" s="1"/>
      <c r="C5" s="1"/>
      <c r="D5" s="1"/>
      <c r="E5" s="3">
        <f>SUM(E6:E401)</f>
        <v>300.59800000000001</v>
      </c>
      <c r="F5" s="3">
        <f>SUM(F6:F401)</f>
        <v>861.49800000000005</v>
      </c>
      <c r="G5" s="7"/>
      <c r="H5" s="1"/>
      <c r="I5" s="1"/>
      <c r="J5" s="1"/>
      <c r="K5" s="3">
        <f t="shared" ref="K5:S5" si="0">SUM(K6:K401)</f>
        <v>402.5</v>
      </c>
      <c r="L5" s="3">
        <f t="shared" si="0"/>
        <v>-101.902</v>
      </c>
      <c r="M5" s="3">
        <f t="shared" si="0"/>
        <v>0</v>
      </c>
      <c r="N5" s="3">
        <f t="shared" si="0"/>
        <v>0</v>
      </c>
      <c r="O5" s="3">
        <f t="shared" si="0"/>
        <v>1100</v>
      </c>
      <c r="P5" s="3">
        <f t="shared" si="0"/>
        <v>60.119599999999998</v>
      </c>
      <c r="Q5" s="3">
        <f t="shared" si="0"/>
        <v>378</v>
      </c>
      <c r="R5" s="3">
        <f t="shared" si="0"/>
        <v>650</v>
      </c>
      <c r="S5" s="3">
        <f t="shared" si="0"/>
        <v>600</v>
      </c>
      <c r="T5" s="1"/>
      <c r="U5" s="1"/>
      <c r="V5" s="1"/>
      <c r="W5" s="3">
        <f>SUM(W6:W401)</f>
        <v>0</v>
      </c>
      <c r="X5" s="1"/>
      <c r="Y5" s="3">
        <f>SUM(Y6:Y401)</f>
        <v>207.5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 t="s">
        <v>25</v>
      </c>
      <c r="B6" s="1" t="s">
        <v>24</v>
      </c>
      <c r="C6" s="1">
        <v>224</v>
      </c>
      <c r="D6" s="1">
        <v>1</v>
      </c>
      <c r="E6" s="1"/>
      <c r="F6" s="6">
        <v>224</v>
      </c>
      <c r="G6" s="7">
        <v>0.42</v>
      </c>
      <c r="H6" s="1"/>
      <c r="I6" s="1"/>
      <c r="J6" s="1"/>
      <c r="K6" s="1"/>
      <c r="L6" s="1">
        <f>E6-K6</f>
        <v>0</v>
      </c>
      <c r="M6" s="1"/>
      <c r="N6" s="1"/>
      <c r="O6" s="1"/>
      <c r="P6" s="6">
        <f>E6/5</f>
        <v>0</v>
      </c>
      <c r="Q6" s="11"/>
      <c r="R6" s="11"/>
      <c r="S6" s="12"/>
      <c r="T6" s="1"/>
      <c r="U6" s="1" t="e">
        <f>(F6+O6+R6)/P6</f>
        <v>#DIV/0!</v>
      </c>
      <c r="V6" s="1" t="e">
        <f>(F6+O6)/P6</f>
        <v>#DIV/0!</v>
      </c>
      <c r="W6" s="1">
        <v>0</v>
      </c>
      <c r="X6" s="13" t="s">
        <v>39</v>
      </c>
      <c r="Y6" s="1">
        <f>R6*G6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 t="s">
        <v>26</v>
      </c>
      <c r="B7" s="1" t="s">
        <v>27</v>
      </c>
      <c r="C7" s="1">
        <v>104.54</v>
      </c>
      <c r="D7" s="1"/>
      <c r="E7" s="1">
        <f>VLOOKUP(A7,[1]TDSheet!$A:$G,7,0)</f>
        <v>4.5979999999999999</v>
      </c>
      <c r="F7" s="6">
        <v>90.762</v>
      </c>
      <c r="G7" s="7">
        <v>1</v>
      </c>
      <c r="H7" s="1"/>
      <c r="I7" s="1"/>
      <c r="J7" s="1"/>
      <c r="K7" s="1">
        <f>VLOOKUP(A7,[2]TDSheet!$A:$E,5,0)</f>
        <v>5.5</v>
      </c>
      <c r="L7" s="1">
        <f t="shared" ref="L7:L16" si="1">E7-K7</f>
        <v>-0.90200000000000014</v>
      </c>
      <c r="M7" s="1"/>
      <c r="N7" s="1"/>
      <c r="O7" s="1">
        <v>100</v>
      </c>
      <c r="P7" s="6">
        <f t="shared" ref="P7:P16" si="2">E7/5</f>
        <v>0.91959999999999997</v>
      </c>
      <c r="Q7" s="11"/>
      <c r="R7" s="11"/>
      <c r="S7" s="12"/>
      <c r="T7" s="1"/>
      <c r="U7" s="1">
        <f t="shared" ref="U7:U16" si="3">(F7+O7+R7)/P7</f>
        <v>207.44019138755982</v>
      </c>
      <c r="V7" s="1">
        <f t="shared" ref="V7:V16" si="4">(F7+O7)/P7</f>
        <v>207.44019138755982</v>
      </c>
      <c r="W7" s="1">
        <v>0</v>
      </c>
      <c r="X7" s="13" t="s">
        <v>39</v>
      </c>
      <c r="Y7" s="1">
        <f t="shared" ref="Y7:Y16" si="5">R7*G7</f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 t="s">
        <v>28</v>
      </c>
      <c r="B8" s="1" t="s">
        <v>27</v>
      </c>
      <c r="C8" s="1">
        <v>266.32600000000002</v>
      </c>
      <c r="D8" s="1"/>
      <c r="E8" s="1"/>
      <c r="F8" s="6">
        <v>261.73599999999999</v>
      </c>
      <c r="G8" s="7">
        <v>1</v>
      </c>
      <c r="H8" s="1"/>
      <c r="I8" s="1"/>
      <c r="J8" s="1"/>
      <c r="K8" s="1">
        <f>VLOOKUP(A8,[2]TDSheet!$A:$E,5,0)</f>
        <v>5</v>
      </c>
      <c r="L8" s="1">
        <f t="shared" si="1"/>
        <v>-5</v>
      </c>
      <c r="M8" s="1"/>
      <c r="N8" s="1"/>
      <c r="O8" s="1">
        <v>100</v>
      </c>
      <c r="P8" s="6">
        <f t="shared" si="2"/>
        <v>0</v>
      </c>
      <c r="Q8" s="11"/>
      <c r="R8" s="11"/>
      <c r="S8" s="12"/>
      <c r="T8" s="1"/>
      <c r="U8" s="1" t="e">
        <f t="shared" si="3"/>
        <v>#DIV/0!</v>
      </c>
      <c r="V8" s="1" t="e">
        <f t="shared" si="4"/>
        <v>#DIV/0!</v>
      </c>
      <c r="W8" s="1">
        <v>0</v>
      </c>
      <c r="X8" s="13" t="s">
        <v>39</v>
      </c>
      <c r="Y8" s="1">
        <f t="shared" si="5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 t="s">
        <v>29</v>
      </c>
      <c r="B9" s="1" t="s">
        <v>24</v>
      </c>
      <c r="C9" s="1">
        <v>146</v>
      </c>
      <c r="D9" s="1"/>
      <c r="E9" s="1">
        <f>VLOOKUP(A9,[1]TDSheet!$A:$G,7,0)</f>
        <v>7</v>
      </c>
      <c r="F9" s="6">
        <v>131</v>
      </c>
      <c r="G9" s="7">
        <v>0.42</v>
      </c>
      <c r="H9" s="1"/>
      <c r="I9" s="1"/>
      <c r="J9" s="1"/>
      <c r="K9" s="1">
        <f>VLOOKUP(A9,[2]TDSheet!$A:$E,5,0)</f>
        <v>9</v>
      </c>
      <c r="L9" s="1">
        <f t="shared" si="1"/>
        <v>-2</v>
      </c>
      <c r="M9" s="1"/>
      <c r="N9" s="1"/>
      <c r="O9" s="1"/>
      <c r="P9" s="6">
        <f t="shared" si="2"/>
        <v>1.4</v>
      </c>
      <c r="Q9" s="11"/>
      <c r="R9" s="11"/>
      <c r="S9" s="12"/>
      <c r="T9" s="1"/>
      <c r="U9" s="1">
        <f t="shared" si="3"/>
        <v>93.571428571428584</v>
      </c>
      <c r="V9" s="1">
        <f t="shared" si="4"/>
        <v>93.571428571428584</v>
      </c>
      <c r="W9" s="1">
        <v>0</v>
      </c>
      <c r="X9" s="13" t="s">
        <v>39</v>
      </c>
      <c r="Y9" s="1">
        <f t="shared" si="5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 t="s">
        <v>30</v>
      </c>
      <c r="B10" s="1" t="s">
        <v>24</v>
      </c>
      <c r="C10" s="1">
        <v>26</v>
      </c>
      <c r="D10" s="1">
        <v>1</v>
      </c>
      <c r="E10" s="1">
        <f>VLOOKUP(A10,[1]TDSheet!$A:$G,7,0)</f>
        <v>37</v>
      </c>
      <c r="F10" s="6">
        <v>-11</v>
      </c>
      <c r="G10" s="7">
        <v>0.3</v>
      </c>
      <c r="H10" s="1"/>
      <c r="I10" s="1"/>
      <c r="J10" s="1"/>
      <c r="K10" s="1">
        <f>VLOOKUP(A10,[2]TDSheet!$A:$E,5,0)</f>
        <v>43</v>
      </c>
      <c r="L10" s="1">
        <f t="shared" si="1"/>
        <v>-6</v>
      </c>
      <c r="M10" s="1"/>
      <c r="N10" s="1"/>
      <c r="O10" s="1">
        <v>100</v>
      </c>
      <c r="P10" s="6">
        <f t="shared" si="2"/>
        <v>7.4</v>
      </c>
      <c r="Q10" s="11">
        <f t="shared" ref="Q10:Q13" si="6">15*P10-O10-F10</f>
        <v>22</v>
      </c>
      <c r="R10" s="11">
        <v>100</v>
      </c>
      <c r="S10" s="12">
        <v>100</v>
      </c>
      <c r="T10" s="1"/>
      <c r="U10" s="1">
        <f t="shared" si="3"/>
        <v>25.54054054054054</v>
      </c>
      <c r="V10" s="1">
        <f t="shared" si="4"/>
        <v>12.027027027027026</v>
      </c>
      <c r="W10" s="1">
        <v>0</v>
      </c>
      <c r="X10" s="1"/>
      <c r="Y10" s="1">
        <f t="shared" si="5"/>
        <v>30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 t="s">
        <v>31</v>
      </c>
      <c r="B11" s="1" t="s">
        <v>24</v>
      </c>
      <c r="C11" s="1">
        <v>56</v>
      </c>
      <c r="D11" s="1"/>
      <c r="E11" s="1">
        <f>VLOOKUP(A11,[1]TDSheet!$A:$G,7,0)</f>
        <v>51</v>
      </c>
      <c r="F11" s="6">
        <v>5</v>
      </c>
      <c r="G11" s="7">
        <v>0.3</v>
      </c>
      <c r="H11" s="1"/>
      <c r="I11" s="1"/>
      <c r="J11" s="1"/>
      <c r="K11" s="1">
        <f>VLOOKUP(A11,[2]TDSheet!$A:$E,5,0)</f>
        <v>51</v>
      </c>
      <c r="L11" s="1">
        <f t="shared" si="1"/>
        <v>0</v>
      </c>
      <c r="M11" s="1"/>
      <c r="N11" s="1"/>
      <c r="O11" s="1">
        <v>100</v>
      </c>
      <c r="P11" s="6">
        <f t="shared" si="2"/>
        <v>10.199999999999999</v>
      </c>
      <c r="Q11" s="11">
        <f t="shared" si="6"/>
        <v>48</v>
      </c>
      <c r="R11" s="11">
        <v>50</v>
      </c>
      <c r="S11" s="12"/>
      <c r="T11" s="1"/>
      <c r="U11" s="1">
        <f t="shared" si="3"/>
        <v>15.19607843137255</v>
      </c>
      <c r="V11" s="1">
        <f t="shared" si="4"/>
        <v>10.294117647058824</v>
      </c>
      <c r="W11" s="1">
        <v>0</v>
      </c>
      <c r="X11" s="1"/>
      <c r="Y11" s="1">
        <f t="shared" si="5"/>
        <v>15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 t="s">
        <v>32</v>
      </c>
      <c r="B12" s="1" t="s">
        <v>24</v>
      </c>
      <c r="C12" s="1">
        <v>106</v>
      </c>
      <c r="D12" s="1"/>
      <c r="E12" s="1">
        <f>VLOOKUP(A12,[1]TDSheet!$A:$G,7,0)</f>
        <v>91</v>
      </c>
      <c r="F12" s="6">
        <v>14</v>
      </c>
      <c r="G12" s="7">
        <v>0.35</v>
      </c>
      <c r="H12" s="1"/>
      <c r="I12" s="1"/>
      <c r="J12" s="1"/>
      <c r="K12" s="1">
        <f>VLOOKUP(A12,[2]TDSheet!$A:$E,5,0)</f>
        <v>98</v>
      </c>
      <c r="L12" s="1">
        <f t="shared" si="1"/>
        <v>-7</v>
      </c>
      <c r="M12" s="1"/>
      <c r="N12" s="1"/>
      <c r="O12" s="1">
        <v>100</v>
      </c>
      <c r="P12" s="6">
        <f t="shared" si="2"/>
        <v>18.2</v>
      </c>
      <c r="Q12" s="11">
        <f t="shared" si="6"/>
        <v>159</v>
      </c>
      <c r="R12" s="11">
        <v>250</v>
      </c>
      <c r="S12" s="12">
        <v>250</v>
      </c>
      <c r="T12" s="1"/>
      <c r="U12" s="1">
        <f t="shared" si="3"/>
        <v>20</v>
      </c>
      <c r="V12" s="1">
        <f t="shared" si="4"/>
        <v>6.2637362637362637</v>
      </c>
      <c r="W12" s="1">
        <v>0</v>
      </c>
      <c r="X12" s="1"/>
      <c r="Y12" s="1">
        <f t="shared" si="5"/>
        <v>87.5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 t="s">
        <v>33</v>
      </c>
      <c r="B13" s="1" t="s">
        <v>24</v>
      </c>
      <c r="C13" s="1">
        <v>124</v>
      </c>
      <c r="D13" s="1"/>
      <c r="E13" s="1">
        <f>VLOOKUP(A13,[1]TDSheet!$A:$G,7,0)</f>
        <v>90</v>
      </c>
      <c r="F13" s="6">
        <v>21</v>
      </c>
      <c r="G13" s="7">
        <v>0.3</v>
      </c>
      <c r="H13" s="1"/>
      <c r="I13" s="1"/>
      <c r="J13" s="1"/>
      <c r="K13" s="1">
        <f>VLOOKUP(A13,[2]TDSheet!$A:$E,5,0)</f>
        <v>94</v>
      </c>
      <c r="L13" s="1">
        <f t="shared" si="1"/>
        <v>-4</v>
      </c>
      <c r="M13" s="1"/>
      <c r="N13" s="1"/>
      <c r="O13" s="1">
        <v>100</v>
      </c>
      <c r="P13" s="6">
        <f t="shared" si="2"/>
        <v>18</v>
      </c>
      <c r="Q13" s="11">
        <f t="shared" si="6"/>
        <v>149</v>
      </c>
      <c r="R13" s="11">
        <v>250</v>
      </c>
      <c r="S13" s="12">
        <v>250</v>
      </c>
      <c r="T13" s="1"/>
      <c r="U13" s="1">
        <f t="shared" si="3"/>
        <v>20.611111111111111</v>
      </c>
      <c r="V13" s="1">
        <f t="shared" si="4"/>
        <v>6.7222222222222223</v>
      </c>
      <c r="W13" s="1">
        <v>0</v>
      </c>
      <c r="X13" s="1"/>
      <c r="Y13" s="1">
        <f t="shared" si="5"/>
        <v>75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 t="s">
        <v>34</v>
      </c>
      <c r="B14" s="1" t="s">
        <v>24</v>
      </c>
      <c r="C14" s="1">
        <v>6</v>
      </c>
      <c r="D14" s="1"/>
      <c r="E14" s="1">
        <f>VLOOKUP(A14,[1]TDSheet!$A:$G,7,0)</f>
        <v>15</v>
      </c>
      <c r="F14" s="6">
        <v>-9</v>
      </c>
      <c r="G14" s="7">
        <v>0.35</v>
      </c>
      <c r="H14" s="1"/>
      <c r="I14" s="1"/>
      <c r="J14" s="1"/>
      <c r="K14" s="1">
        <f>VLOOKUP(A14,[2]TDSheet!$A:$E,5,0)</f>
        <v>81</v>
      </c>
      <c r="L14" s="1">
        <f t="shared" si="1"/>
        <v>-66</v>
      </c>
      <c r="M14" s="1"/>
      <c r="N14" s="1"/>
      <c r="O14" s="1">
        <v>100</v>
      </c>
      <c r="P14" s="6">
        <f t="shared" si="2"/>
        <v>3</v>
      </c>
      <c r="Q14" s="11"/>
      <c r="R14" s="11"/>
      <c r="S14" s="12"/>
      <c r="T14" s="1"/>
      <c r="U14" s="1">
        <f t="shared" si="3"/>
        <v>30.333333333333332</v>
      </c>
      <c r="V14" s="1">
        <f t="shared" si="4"/>
        <v>30.333333333333332</v>
      </c>
      <c r="W14" s="1">
        <v>0</v>
      </c>
      <c r="X14" s="1"/>
      <c r="Y14" s="1">
        <f t="shared" si="5"/>
        <v>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 t="s">
        <v>35</v>
      </c>
      <c r="B15" s="1" t="s">
        <v>24</v>
      </c>
      <c r="C15" s="1">
        <v>129</v>
      </c>
      <c r="D15" s="1"/>
      <c r="E15" s="1">
        <f>VLOOKUP(A15,[1]TDSheet!$A:$G,7,0)</f>
        <v>5</v>
      </c>
      <c r="F15" s="6">
        <v>117</v>
      </c>
      <c r="G15" s="7">
        <v>0.3</v>
      </c>
      <c r="H15" s="1"/>
      <c r="I15" s="1"/>
      <c r="J15" s="1"/>
      <c r="K15" s="1">
        <f>VLOOKUP(A15,[2]TDSheet!$A:$E,5,0)</f>
        <v>6</v>
      </c>
      <c r="L15" s="1">
        <f t="shared" si="1"/>
        <v>-1</v>
      </c>
      <c r="M15" s="1"/>
      <c r="N15" s="1"/>
      <c r="O15" s="1"/>
      <c r="P15" s="6">
        <f t="shared" si="2"/>
        <v>1</v>
      </c>
      <c r="Q15" s="11"/>
      <c r="R15" s="11"/>
      <c r="S15" s="12"/>
      <c r="T15" s="1"/>
      <c r="U15" s="1">
        <f t="shared" si="3"/>
        <v>117</v>
      </c>
      <c r="V15" s="1">
        <f t="shared" si="4"/>
        <v>117</v>
      </c>
      <c r="W15" s="1">
        <v>0</v>
      </c>
      <c r="X15" s="13" t="s">
        <v>39</v>
      </c>
      <c r="Y15" s="1">
        <f t="shared" si="5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 t="s">
        <v>36</v>
      </c>
      <c r="B16" s="1" t="s">
        <v>24</v>
      </c>
      <c r="C16" s="1">
        <v>17</v>
      </c>
      <c r="E16" s="1"/>
      <c r="F16" s="6">
        <v>17</v>
      </c>
      <c r="G16" s="7">
        <v>0.7</v>
      </c>
      <c r="H16" s="1"/>
      <c r="I16" s="1"/>
      <c r="J16" s="1"/>
      <c r="K16" s="1">
        <f>VLOOKUP(A16,[2]TDSheet!$A:$E,5,0)</f>
        <v>10</v>
      </c>
      <c r="L16" s="1">
        <f t="shared" si="1"/>
        <v>-10</v>
      </c>
      <c r="M16" s="1"/>
      <c r="N16" s="1"/>
      <c r="O16" s="1">
        <v>400</v>
      </c>
      <c r="P16" s="6">
        <f t="shared" si="2"/>
        <v>0</v>
      </c>
      <c r="Q16" s="11"/>
      <c r="R16" s="11"/>
      <c r="S16" s="12"/>
      <c r="T16" s="1"/>
      <c r="U16" s="1" t="e">
        <f t="shared" si="3"/>
        <v>#DIV/0!</v>
      </c>
      <c r="V16" s="1" t="e">
        <f t="shared" si="4"/>
        <v>#DIV/0!</v>
      </c>
      <c r="W16" s="1">
        <v>0</v>
      </c>
      <c r="X16" s="13" t="s">
        <v>39</v>
      </c>
      <c r="Y16" s="1">
        <f t="shared" si="5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</sheetData>
  <autoFilter ref="A3:Y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2026-01-27T09:49:00Z</dcterms:created>
  <dcterms:modified xsi:type="dcterms:W3CDTF">2026-07-01T10:03:46Z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