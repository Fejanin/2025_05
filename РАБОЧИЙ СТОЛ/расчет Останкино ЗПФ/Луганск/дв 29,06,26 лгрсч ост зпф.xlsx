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Создание расчетов\ПОКОМ_КИ_UK_Sch\"/>
    </mc:Choice>
  </mc:AlternateContent>
  <xr:revisionPtr revIDLastSave="0" documentId="13_ncr:1_{3ABE5696-85A4-4B40-9A5E-A2FBC87D07B7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</externalReferences>
  <definedNames>
    <definedName name="_xlnm._FilterDatabase" localSheetId="0" hidden="1">Sheet!$A$3:$X$16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9" i="1" l="1"/>
  <c r="X6" i="1"/>
  <c r="E7" i="1"/>
  <c r="P7" i="1" s="1"/>
  <c r="X7" i="1" s="1"/>
  <c r="E8" i="1"/>
  <c r="P8" i="1" s="1"/>
  <c r="X8" i="1" s="1"/>
  <c r="P9" i="1"/>
  <c r="E10" i="1"/>
  <c r="P10" i="1" s="1"/>
  <c r="X10" i="1" s="1"/>
  <c r="E11" i="1"/>
  <c r="P11" i="1" s="1"/>
  <c r="E12" i="1"/>
  <c r="P12" i="1" s="1"/>
  <c r="X12" i="1" s="1"/>
  <c r="E13" i="1"/>
  <c r="P13" i="1" s="1"/>
  <c r="X13" i="1" s="1"/>
  <c r="E14" i="1"/>
  <c r="P14" i="1" s="1"/>
  <c r="X14" i="1" s="1"/>
  <c r="P15" i="1"/>
  <c r="T15" i="1" s="1"/>
  <c r="E16" i="1"/>
  <c r="P16" i="1" s="1"/>
  <c r="P6" i="1"/>
  <c r="K7" i="1"/>
  <c r="K8" i="1"/>
  <c r="K9" i="1"/>
  <c r="K10" i="1"/>
  <c r="K11" i="1"/>
  <c r="K12" i="1"/>
  <c r="K13" i="1"/>
  <c r="K14" i="1"/>
  <c r="K15" i="1"/>
  <c r="K16" i="1"/>
  <c r="K6" i="1"/>
  <c r="X15" i="1"/>
  <c r="O5" i="1"/>
  <c r="X16" i="1" l="1"/>
  <c r="L6" i="1"/>
  <c r="L14" i="1"/>
  <c r="L16" i="1"/>
  <c r="L13" i="1"/>
  <c r="L12" i="1"/>
  <c r="L11" i="1"/>
  <c r="L8" i="1"/>
  <c r="L9" i="1"/>
  <c r="L15" i="1"/>
  <c r="L10" i="1"/>
  <c r="L7" i="1"/>
  <c r="U8" i="1"/>
  <c r="U15" i="1"/>
  <c r="U7" i="1"/>
  <c r="U11" i="1"/>
  <c r="T10" i="1"/>
  <c r="U9" i="1"/>
  <c r="U16" i="1"/>
  <c r="U14" i="1"/>
  <c r="U13" i="1"/>
  <c r="U12" i="1"/>
  <c r="U6" i="1"/>
  <c r="T14" i="1"/>
  <c r="T7" i="1"/>
  <c r="U10" i="1"/>
  <c r="T8" i="1"/>
  <c r="T6" i="1"/>
  <c r="T16" i="1"/>
  <c r="T13" i="1"/>
  <c r="T12" i="1"/>
  <c r="T9" i="1"/>
  <c r="V5" i="1"/>
  <c r="R5" i="1"/>
  <c r="N5" i="1"/>
  <c r="M5" i="1"/>
  <c r="K5" i="1"/>
  <c r="T11" i="1" l="1"/>
  <c r="X11" i="1"/>
  <c r="F5" i="1"/>
  <c r="E5" i="1"/>
  <c r="P5" i="1" l="1"/>
  <c r="L5" i="1"/>
  <c r="Q5" i="1" l="1"/>
  <c r="X5" i="1" l="1"/>
</calcChain>
</file>

<file path=xl/sharedStrings.xml><?xml version="1.0" encoding="utf-8"?>
<sst xmlns="http://schemas.openxmlformats.org/spreadsheetml/2006/main" count="56" uniqueCount="42">
  <si>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</si>
  <si>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</si>
  <si>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</si>
  <si>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</si>
  <si>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</si>
  <si>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</si>
  <si>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</si>
  <si>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</si>
  <si>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</si>
  <si>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</si>
  <si>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</si>
  <si>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</si>
  <si>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</si>
  <si>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</si>
  <si>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</si>
  <si>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</si>
  <si>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</si>
  <si>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</si>
  <si>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</si>
  <si>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</si>
  <si>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</si>
  <si>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</si>
  <si>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</si>
  <si>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шт</t>
  </si>
  <si>
    <t>5579 БЛИНЧ.КРУГЛЫЕ С САД.ЯБЛОК.пл.1/420 зам. ОСТАНКИНО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</si>
  <si>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</si>
  <si>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</si>
  <si>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</si>
  <si>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</si>
  <si>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</si>
  <si>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</si>
  <si>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</si>
  <si>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</si>
  <si>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</si>
  <si>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</si>
  <si>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</si>
  <si>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нет</t>
  </si>
  <si>
    <t>29,06,</t>
  </si>
  <si>
    <t>нужно увеличить продажи</t>
  </si>
  <si>
    <t>нужно увеличить продажи!!!</t>
  </si>
  <si>
    <t>заказ</t>
  </si>
  <si>
    <t>нет в пути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</si>
</sst>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name val="Calibri"/>
      <charset val="134"/>
    </font>
    <font>
      <b/>
      <sz val="11"/>
      <color rgb="FFFF0000"/>
      <name val="Calibri"/>
      <charset val="13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  <bgColor indexed="64"/>
      </patternFill>
    </fill>
    <fill>
      <patternFill patternType="solid">
        <fgColor rgb="FF758CE0"/>
        <bgColor indexed="64"/>
      </patternFill>
    </fill>
    <fill>
      <patternFill patternType="solid">
        <fgColor rgb="FF13E22E"/>
        <bgColor rgb="FF13E22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164" fontId="1" fillId="0" borderId="0" xfId="1" applyNumberFormat="1"/>
    <xf numFmtId="164" fontId="2" fillId="2" borderId="0" xfId="1" applyNumberFormat="1" applyFont="1" applyFill="1"/>
    <xf numFmtId="164" fontId="1" fillId="3" borderId="0" xfId="1" applyNumberFormat="1" applyFill="1"/>
    <xf numFmtId="164" fontId="3" fillId="2" borderId="0" xfId="1" applyNumberFormat="1" applyFont="1" applyFill="1"/>
    <xf numFmtId="164" fontId="2" fillId="4" borderId="0" xfId="1" applyNumberFormat="1" applyFont="1" applyFill="1"/>
    <xf numFmtId="164" fontId="0" fillId="0" borderId="0" xfId="0" applyNumberFormat="1"/>
    <xf numFmtId="164" fontId="4" fillId="0" borderId="0" xfId="1" applyNumberFormat="1" applyFont="1"/>
    <xf numFmtId="164" fontId="0" fillId="0" borderId="1" xfId="0" applyNumberFormat="1" applyBorder="1"/>
    <xf numFmtId="164" fontId="1" fillId="0" borderId="1" xfId="1" applyNumberFormat="1" applyBorder="1"/>
    <xf numFmtId="2" fontId="1" fillId="0" borderId="0" xfId="1" applyNumberFormat="1"/>
    <xf numFmtId="2" fontId="2" fillId="2" borderId="0" xfId="1" applyNumberFormat="1" applyFont="1" applyFill="1"/>
    <xf numFmtId="2" fontId="0" fillId="0" borderId="0" xfId="0" applyNumberFormat="1"/>
    <xf numFmtId="164" fontId="1" fillId="5" borderId="0" xfId="1" applyNumberFormat="1" applyFill="1"/>
    <xf numFmtId="164" fontId="5" fillId="5" borderId="0" xfId="1" applyNumberFormat="1" applyFont="1" applyFill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2026/&#1047;&#1040;&#1042;&#1054;&#1044;&#1067;/&#1054;&#1089;&#1090;&#1072;&#1085;&#1082;&#1080;&#1085;&#1086;/&#1092;&#1080;&#1083;&#1080;&#1072;&#1083;&#1099;%20&#1053;&#1042;/06,26/29,06,26%20&#1054;&#1089;&#1090;&#1072;&#1085;&#1082;&#1080;&#1085;&#1086;%20&#1050;&#1048;%20&#1080;%20&#1047;&#1055;&#1060;/&#1088;&#1072;&#1089;&#1095;&#1077;&#1090;&#1099;%20&#1054;&#1089;&#1090;&#1072;&#1085;&#1082;&#1080;&#1085;&#1086;%20&#1047;&#1055;&#1060;/&#1051;&#1091;&#1075;&#1072;&#1085;&#1089;&#1082;/&#1079;&#1072;&#1082;&#1072;&#1079;&#1072;&#1085;&#1086;-&#1086;&#1090;&#1075;&#1088;&#1091;&#1078;&#1077;&#1085;&#1086;%20&#1051;&#1091;&#1075;&#1072;&#1085;&#1089;&#1082;%2023,06,26-29,06,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2026/&#1047;&#1040;&#1042;&#1054;&#1044;&#1067;/&#1054;&#1089;&#1090;&#1072;&#1085;&#1082;&#1080;&#1085;&#1086;/&#1092;&#1080;&#1083;&#1080;&#1072;&#1083;&#1099;%20&#1053;&#1042;/06,26/29,06,26%20&#1054;&#1089;&#1090;&#1072;&#1085;&#1082;&#1080;&#1085;&#1086;%20&#1050;&#1048;%20&#1080;%20&#1047;&#1055;&#1060;/&#1088;&#1072;&#1089;&#1095;&#1077;&#1090;&#1099;%20&#1054;&#1089;&#1090;&#1072;&#1085;&#1082;&#1080;&#1085;&#1086;%20&#1047;&#1055;&#1060;/&#1051;&#1091;&#1075;&#1072;&#1085;&#1089;&#1082;/&#1087;&#1088;&#1086;&#1076;&#1072;&#1078;&#1080;%20&#1051;&#1091;&#1075;&#1072;&#1085;&#1089;&#1082;%2023,06,26-29,06,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23.06.2026 - 29.06.2026</v>
          </cell>
        </row>
        <row r="4">
          <cell r="A4" t="str">
            <v>Документ.Склад</v>
          </cell>
          <cell r="E4" t="str">
            <v>по заказам</v>
          </cell>
        </row>
        <row r="5">
          <cell r="A5" t="str">
            <v>Номенклатура</v>
          </cell>
          <cell r="E5" t="str">
            <v>Заказано</v>
          </cell>
        </row>
        <row r="6">
          <cell r="A6" t="str">
            <v>АСП Луганск Останкино</v>
          </cell>
          <cell r="E6">
            <v>16031.955</v>
          </cell>
        </row>
        <row r="7">
          <cell r="A7" t="str">
            <v>Останкино ООО</v>
          </cell>
          <cell r="E7">
            <v>16031.955</v>
          </cell>
        </row>
        <row r="8">
          <cell r="A8" t="str">
            <v>ООО Останкино-Краснодар</v>
          </cell>
          <cell r="E8">
            <v>5647.7550000000001</v>
          </cell>
        </row>
        <row r="9">
          <cell r="A9" t="str">
            <v>3287 САЛЯМИ ИТАЛЬЯНСКАЯ с/к в/у ОСТАНКИНО</v>
          </cell>
          <cell r="E9">
            <v>4.9000000000000004</v>
          </cell>
        </row>
        <row r="10">
          <cell r="A10" t="str">
            <v>4063 МЯСНАЯ Папа может вар п/о_Л   ОСТАНКИНО</v>
          </cell>
          <cell r="E10">
            <v>774.5</v>
          </cell>
        </row>
        <row r="11">
          <cell r="A11" t="str">
            <v>4117 ЭКСТРА Папа может с/к в/у_Л   ОСТАНКИНО</v>
          </cell>
          <cell r="E11">
            <v>27.2</v>
          </cell>
        </row>
        <row r="12">
          <cell r="A12" t="str">
            <v>4574 Мясная со шпиком Папа может вар п/о ОСТАНКИНО</v>
          </cell>
          <cell r="E12">
            <v>279.5</v>
          </cell>
        </row>
        <row r="13">
          <cell r="A13" t="str">
            <v>4813 ФИЛЕЙНАЯ Папа может вар п/о_Л   ОСТАНКИНО</v>
          </cell>
          <cell r="E13">
            <v>340.6</v>
          </cell>
        </row>
        <row r="14">
          <cell r="A14" t="str">
            <v>5452 ВЕТЧ.МЯСНАЯ Папа может п/о    ОСТАНКИНО</v>
          </cell>
          <cell r="E14">
            <v>83.75</v>
          </cell>
        </row>
        <row r="15">
          <cell r="A15" t="str">
            <v>5544 Сервелат Финский в/к в/у_45с НОВАЯ ОСТАНКИНО</v>
          </cell>
          <cell r="E15">
            <v>355.5</v>
          </cell>
        </row>
        <row r="16">
          <cell r="A16" t="str">
            <v>5708 ПОСОЛЬСКАЯ Папа может с/к в/у ОСТАНКИНО</v>
          </cell>
          <cell r="E16">
            <v>31.1</v>
          </cell>
        </row>
        <row r="17">
          <cell r="A17" t="str">
            <v>5851 ЭКСТРА Папа может вар п/о   ОСТАНКИНО</v>
          </cell>
          <cell r="E17">
            <v>391.85500000000002</v>
          </cell>
        </row>
        <row r="18">
          <cell r="A18" t="str">
            <v>6008 САЛО СОЛЕНОЕ С ЧЕРНЫМ ПЕРЦЕМ мл/к в/у ОСТАНКИНО</v>
          </cell>
          <cell r="E18">
            <v>11.6</v>
          </cell>
        </row>
        <row r="19">
          <cell r="A19" t="str">
            <v>6220 ГОВЯЖЬЯ папа может вар п/о  Останкино</v>
          </cell>
          <cell r="E19">
            <v>233.95</v>
          </cell>
        </row>
        <row r="20">
          <cell r="A20" t="str">
            <v>6303 Мясные Папа может сос п/о мгс 1,5*3  Останкино</v>
          </cell>
          <cell r="E20">
            <v>360.9</v>
          </cell>
        </row>
        <row r="21">
          <cell r="A21" t="str">
            <v>6498 МОЛОЧНАЯ Папа может вар п/о  ОСТАНКИНО</v>
          </cell>
          <cell r="E21">
            <v>133.9</v>
          </cell>
        </row>
        <row r="22">
          <cell r="A22" t="str">
            <v>6527 ШПИКАЧКИ СОЧНЫЕ ПМ сар б/о мгс 1*3 45с ОСТАНКИНО</v>
          </cell>
          <cell r="E22">
            <v>114.8</v>
          </cell>
        </row>
        <row r="23">
          <cell r="A23" t="str">
            <v>6550 МЯСНЫЕ Папа может сар б/о мгс 1*3 О 45с  Останкино</v>
          </cell>
          <cell r="E23">
            <v>173.2</v>
          </cell>
        </row>
        <row r="24">
          <cell r="A24" t="str">
            <v>6608 С ГОВЯДИНОЙ ОРИГИН. сар б/о мгс 1*3_45с  ОСТАНКИНО</v>
          </cell>
          <cell r="E24">
            <v>238.1</v>
          </cell>
        </row>
        <row r="25">
          <cell r="A25" t="str">
            <v>6620 РЕБРЫШКИ к/в в/у_30с  Останкино</v>
          </cell>
          <cell r="E25">
            <v>64.3</v>
          </cell>
        </row>
        <row r="26">
          <cell r="A26" t="str">
            <v>6661 СОЧНЫЙ ГРИЛЬ ПМ сос п/о мгс 1,5*4_Маяк Останкино</v>
          </cell>
          <cell r="E26">
            <v>269.7</v>
          </cell>
        </row>
        <row r="27">
          <cell r="A27" t="str">
            <v>6829  МОЛОЧНЫЕ КЛАССИЧЕСКИЕ сос п/о мгс 2*4 С  Останккино</v>
          </cell>
          <cell r="E27">
            <v>365.9</v>
          </cell>
        </row>
        <row r="28">
          <cell r="A28" t="str">
            <v>6955 СОЧНЫЕ Папа может сос п/о мгс 1,5*4 А  Останкино</v>
          </cell>
          <cell r="E28">
            <v>36</v>
          </cell>
        </row>
        <row r="29">
          <cell r="A29" t="str">
            <v>7001 КЛАССИЧЕСКИЕ Папа может сар б/о мгс 1*3  Останкино</v>
          </cell>
          <cell r="E29">
            <v>59</v>
          </cell>
        </row>
        <row r="30">
          <cell r="A30" t="str">
            <v>7070 СОЧНЫЕ ПМ сос п/о 1,5*4_А_50с  Останкино</v>
          </cell>
          <cell r="E30">
            <v>456.1</v>
          </cell>
        </row>
        <row r="31">
          <cell r="A31" t="str">
            <v>7075 МОЛОЧ.ПРЕМИУМ ПМ сос п/о мгс 1,5*4_О_50с  Останкино</v>
          </cell>
          <cell r="E31">
            <v>72.5</v>
          </cell>
        </row>
        <row r="32">
          <cell r="A32" t="str">
            <v>7082 СЛИВОЧНЫЕ ПМ сос п/о мгс 1,5*4_50с  Останкино</v>
          </cell>
          <cell r="E32">
            <v>26</v>
          </cell>
        </row>
        <row r="33">
          <cell r="A33" t="str">
            <v>7083 СЛИВОЧНЫЕ ПМ сос п/о мгс 1.5*4_А_50с  ОСТАНКИНО</v>
          </cell>
          <cell r="E33">
            <v>190.3</v>
          </cell>
        </row>
        <row r="34">
          <cell r="A34" t="str">
            <v>7131 БАЛЫКОВАЯ в/к в/у 0,84кг  Останкино</v>
          </cell>
          <cell r="E34">
            <v>2</v>
          </cell>
        </row>
        <row r="35">
          <cell r="A35" t="str">
            <v>7157 СЕРВЕЛАТ ЗЕРНИСТЫЙ ПМ в/к в/у_50с  Останкино</v>
          </cell>
          <cell r="E35">
            <v>240.6</v>
          </cell>
        </row>
        <row r="36">
          <cell r="A36" t="str">
            <v>7166 СЕРВЕЛАТ ОХОТНИЧИЙ ПМ в/к в/у_50с  Останкино</v>
          </cell>
          <cell r="E36">
            <v>302.2</v>
          </cell>
        </row>
        <row r="37">
          <cell r="A37" t="str">
            <v>БОНУС_6954 СОЧНЫЕ Папа может сос п/о мгс 1.5*4_Х5  ОСТАНКИНО</v>
          </cell>
          <cell r="E37">
            <v>7.8</v>
          </cell>
        </row>
        <row r="38">
          <cell r="A38" t="str">
            <v>ООО Останкино-Краснодар (ШТ)</v>
          </cell>
          <cell r="E38">
            <v>9492</v>
          </cell>
        </row>
        <row r="39">
          <cell r="A39" t="str">
            <v>3215 ВЕТЧ.МЯСНАЯ Папа может п/о 0.4кг 8шт.    ОСТАНКИНО</v>
          </cell>
          <cell r="E39">
            <v>127</v>
          </cell>
        </row>
        <row r="40">
          <cell r="A40" t="str">
            <v>3986 Ароматная с/к в/у 1/250 ОСТАНКИНО</v>
          </cell>
          <cell r="E40">
            <v>59</v>
          </cell>
        </row>
        <row r="41">
          <cell r="A41" t="str">
            <v>4993 САЛЯМИ ИТАЛЬЯНСКАЯ с/к в/у 1/250*8_120c ОСТАНКИНО</v>
          </cell>
          <cell r="E41">
            <v>82</v>
          </cell>
        </row>
        <row r="42">
          <cell r="A42" t="str">
            <v>5483 ЭКСТРА Папа может с/к в/у 1/250 8шт.   ОСТАНКИНО</v>
          </cell>
          <cell r="E42">
            <v>77</v>
          </cell>
        </row>
        <row r="43">
          <cell r="A43" t="str">
            <v>5495 ВЕТЧ.С ИНДЕЙКОЙ Папа может п/о 400*6  Останкино</v>
          </cell>
          <cell r="E43">
            <v>143</v>
          </cell>
        </row>
        <row r="44">
          <cell r="A44" t="str">
            <v>5706 АРОМАТНАЯ Папа может с/к в/у 1/250 8шт.  ОСТАНКИНО</v>
          </cell>
          <cell r="E44">
            <v>8</v>
          </cell>
        </row>
        <row r="45">
          <cell r="A45" t="str">
            <v>5819 Сосиски Папа может 400г Мясные  ОСТАНКИНО</v>
          </cell>
          <cell r="E45">
            <v>93</v>
          </cell>
        </row>
        <row r="46">
          <cell r="A46" t="str">
            <v>5931 ОХОТНИЧЬЯ Папа может с/к в/у 1/220 8шт.   ОСТАНКИНО</v>
          </cell>
          <cell r="E46">
            <v>543</v>
          </cell>
        </row>
        <row r="47">
          <cell r="A47" t="str">
            <v>6208 ДЫМОВИЦА ИЗ ЛОПАТКИ ПМ к/в с/н в/у 1/150  Останкино</v>
          </cell>
          <cell r="E47">
            <v>33</v>
          </cell>
        </row>
        <row r="48">
          <cell r="A48" t="str">
            <v>6221 НЕОПОЛИТАНСКИЙ ДУЭТ с/к с/н мгс 1/90  Останкино</v>
          </cell>
          <cell r="E48">
            <v>218</v>
          </cell>
        </row>
        <row r="49">
          <cell r="A49" t="str">
            <v>6228 МЯСНОЕ АССОРТИ к/з с/н мгс 1/90 10шт  Останкино</v>
          </cell>
          <cell r="E49">
            <v>145</v>
          </cell>
        </row>
        <row r="50">
          <cell r="A50" t="str">
            <v>6279 КОРЕЙКА ПО-ОСТ.к/в в/с с/н в/у 1/150_45с  Останкино</v>
          </cell>
          <cell r="E50">
            <v>169</v>
          </cell>
        </row>
        <row r="51">
          <cell r="A51" t="str">
            <v>6324 ДОКТОРСКАЯ ГОСТ вар п/о 0,4кг 8шт  Останкино</v>
          </cell>
          <cell r="E51">
            <v>50</v>
          </cell>
        </row>
        <row r="52">
          <cell r="A52" t="str">
            <v>6325 ДОКТОРСКАЯ ПРЕМИУМ вар п/о 0.4кг 8шт.  ОСТАНКИНО</v>
          </cell>
          <cell r="E52">
            <v>89</v>
          </cell>
        </row>
        <row r="53">
          <cell r="A53" t="str">
            <v>6333 МЯСНАЯ Папа может вар п/о 0.4кг 8шт.  ОСТАНКИНО</v>
          </cell>
          <cell r="E53">
            <v>253</v>
          </cell>
        </row>
        <row r="54">
          <cell r="A54" t="str">
            <v>6353 ЭКСТРА Папа может вар п/о 0.4кг 8шт.  ОСТАНКИНО</v>
          </cell>
          <cell r="E54">
            <v>192</v>
          </cell>
        </row>
        <row r="55">
          <cell r="A55" t="str">
            <v>6392 ФИЛЕЙНАЯ Папа может вар п/о 0,4кг  ОСТАНКИНО</v>
          </cell>
          <cell r="E55">
            <v>180</v>
          </cell>
        </row>
        <row r="56">
          <cell r="A56" t="str">
            <v>6448 Свинина Останкино 100г Мадера с/к в/у нарезка  ОСТАНКИНО</v>
          </cell>
          <cell r="E56">
            <v>7</v>
          </cell>
        </row>
        <row r="57">
          <cell r="A57" t="str">
            <v>6453 ЭКСТРА Папа может с/к с/н в/у 1/100 14шт.   ОСТАНКИНО</v>
          </cell>
          <cell r="E57">
            <v>322</v>
          </cell>
        </row>
        <row r="58">
          <cell r="A58" t="str">
            <v>6454 АРОМАТНАЯ с/к с/н в/у 1/100 10шт.  ОСТАНКИНО</v>
          </cell>
          <cell r="E58">
            <v>355</v>
          </cell>
        </row>
        <row r="59">
          <cell r="A59" t="str">
            <v>6459 СЕРВЕЛАТ ШВЕЙЦАРСК. в/к с/н в/у 1/100*10  Останкино</v>
          </cell>
          <cell r="E59">
            <v>42</v>
          </cell>
        </row>
        <row r="60">
          <cell r="A60" t="str">
            <v>6475 Сосиски Папа может 400г С сыром  ОСТАНКИНО</v>
          </cell>
          <cell r="E60">
            <v>122</v>
          </cell>
        </row>
        <row r="61">
          <cell r="A61" t="str">
            <v>6495 ВЕТЧ.МРАМОРНАЯ в/у срез 0,3кг 6шт_45с  Останкино</v>
          </cell>
          <cell r="E61">
            <v>86</v>
          </cell>
        </row>
        <row r="62">
          <cell r="A62" t="str">
            <v>6602 БАВАРСКИЕ ПМ сос ц/о мгс 0,35кг 8шт  Останкино</v>
          </cell>
          <cell r="E62">
            <v>137</v>
          </cell>
        </row>
        <row r="63">
          <cell r="A63" t="str">
            <v>6609 С ГОВЯДИНОЙ ПМ сар б/о мгс 0,4 кг_45с</v>
          </cell>
          <cell r="E63">
            <v>6</v>
          </cell>
        </row>
        <row r="64">
          <cell r="A64" t="str">
            <v>6616 МОЛОЧНЫЕ КЛАССИЧЕСКИЕ сос п/о в/у 0,3 кг  Останкино</v>
          </cell>
          <cell r="E64">
            <v>203</v>
          </cell>
        </row>
        <row r="65">
          <cell r="A65" t="str">
            <v>6697 СЕРВЕЛАТ ФИНСКИЙ ПМ в/к в/у 0,35кг 8шт  ОСТАНКИНО</v>
          </cell>
          <cell r="E65">
            <v>354</v>
          </cell>
        </row>
        <row r="66">
          <cell r="A66" t="str">
            <v>6701 СЕРВЕЛАТ ШВАРЦЕР ПМ в/к в/у 0.28кг 8шт.  ОСТАНКИНО</v>
          </cell>
          <cell r="E66">
            <v>6</v>
          </cell>
        </row>
        <row r="67">
          <cell r="A67" t="str">
            <v>6713 СОЧНЫЙ ГРИЛЬ ПМ сос п/о мгс 0,41кг 8 шт.  ОСТАНКИНО</v>
          </cell>
          <cell r="E67">
            <v>233</v>
          </cell>
        </row>
        <row r="68">
          <cell r="A68" t="str">
            <v>6724 МОЛОЧНЫЕ ПМ сос п/о мгс 0,41кг 10шт  Останкино</v>
          </cell>
          <cell r="E68">
            <v>197</v>
          </cell>
        </row>
        <row r="69">
          <cell r="A69" t="str">
            <v>6765 РУБЛЕНЫЕ сос ц/о мгс 0,36кг 6шт  Останкино</v>
          </cell>
          <cell r="E69">
            <v>212</v>
          </cell>
        </row>
        <row r="70">
          <cell r="A70" t="str">
            <v>6787 СЕРВЕЛАТ КРЕМЛЕВСКИЙ в/к в/у 0,33кг 8шт  Останкино</v>
          </cell>
          <cell r="E70">
            <v>87</v>
          </cell>
        </row>
        <row r="71">
          <cell r="A71" t="str">
            <v>6793 БАЛЫКОВАЯ в/к в/у 0,33кг 8шт  Останкино</v>
          </cell>
          <cell r="E71">
            <v>98</v>
          </cell>
        </row>
        <row r="72">
          <cell r="A72" t="str">
            <v>6797 С ИНДЕЙКОЙ Папа может вар п/о 0,4кг 8шт. ОСТАНКИНО</v>
          </cell>
          <cell r="E72">
            <v>78</v>
          </cell>
        </row>
        <row r="73">
          <cell r="A73" t="str">
            <v>6804 СЕРВЕЛАТ КРЕМЛЕВСКИЙ в/к в/у 0,66кг 8шт  Останкино</v>
          </cell>
          <cell r="E73">
            <v>48</v>
          </cell>
        </row>
        <row r="74">
          <cell r="A74" t="str">
            <v>6807 СЕРВЕЛАТ ЕВРОПЕЙСКИЙ в/к в/у 0,33кг 8шт  Останкино</v>
          </cell>
          <cell r="E74">
            <v>29</v>
          </cell>
        </row>
        <row r="75">
          <cell r="A75" t="str">
            <v>6834 ПОСОЛЬСКАЯ с/к с/н в/у 1/100 10шт  Останкино</v>
          </cell>
          <cell r="E75">
            <v>27</v>
          </cell>
        </row>
        <row r="76">
          <cell r="A76" t="str">
            <v>6837 ФИЛЕЙНЫЕ Папа Может сос ц/о мгс 0,4кг  Останкино</v>
          </cell>
          <cell r="E76">
            <v>111</v>
          </cell>
        </row>
        <row r="77">
          <cell r="A77" t="str">
            <v>6925 ВЕТЧ.КЛАССИЧЕСКАЯ в/у 0,6кг 8шт. ОСТАНКИНО</v>
          </cell>
          <cell r="E77">
            <v>11</v>
          </cell>
        </row>
        <row r="78">
          <cell r="A78" t="str">
            <v>6967 БУРГУНДИЯ Папа может с/к в/у 1/250 8шт  Останкино</v>
          </cell>
          <cell r="E78">
            <v>31</v>
          </cell>
        </row>
        <row r="79">
          <cell r="A79" t="str">
            <v>7059 ШПИКАЧКИ СОЧНЫЕ С БЕК. п/о мгс 0,3кг 60с ОСТАНКИНО</v>
          </cell>
          <cell r="E79">
            <v>189</v>
          </cell>
        </row>
        <row r="80">
          <cell r="A80" t="str">
            <v>7066 СОЧНЫЕ ПМ сос п/о мгс 0,41кг 10шт 50с  Останкино</v>
          </cell>
          <cell r="E80">
            <v>433</v>
          </cell>
        </row>
        <row r="81">
          <cell r="A81" t="str">
            <v>7073 МОЛОЧ.ПРЕМИУМ ПМ сос п/о в/у 1/350_50с  Останкино</v>
          </cell>
          <cell r="E81">
            <v>69</v>
          </cell>
        </row>
        <row r="82">
          <cell r="A82" t="str">
            <v>7080 СЛИВОЧНЫЕ ПМ сос п/о мгс 0,41кг 10шт 50с  Останкино</v>
          </cell>
          <cell r="E82">
            <v>291</v>
          </cell>
        </row>
        <row r="83">
          <cell r="A83" t="str">
            <v>7090 СВИНИНА ПО-ДОМ.к/в мл/к в/у 0,3кг_50с  Останкино</v>
          </cell>
          <cell r="E83">
            <v>102</v>
          </cell>
        </row>
        <row r="84">
          <cell r="A84" t="str">
            <v>7103 БЕКОН Останкино с/к с/н в/у 1/180_50с  Останкино</v>
          </cell>
          <cell r="E84">
            <v>314</v>
          </cell>
        </row>
        <row r="85">
          <cell r="A85" t="str">
            <v>7147 САЛЬЧИЧОН Останкино с/к в/у 1/220 8 шт  Останкино</v>
          </cell>
          <cell r="E85">
            <v>2</v>
          </cell>
        </row>
        <row r="86">
          <cell r="A86" t="str">
            <v>7154 СЕРВЕЛАТ ЗЕРНИСТЫЙ ПМ в/к в/у 0,35кг_50с  Останкино</v>
          </cell>
          <cell r="E86">
            <v>525</v>
          </cell>
        </row>
        <row r="87">
          <cell r="A87" t="str">
            <v>7169 СЕРВЕЛАТ ОХОТНИЧИЙ ПМ в/к в/у 0,35кг_50с  Останкино</v>
          </cell>
          <cell r="E87">
            <v>294</v>
          </cell>
        </row>
        <row r="88">
          <cell r="A88" t="str">
            <v>7187 ГРУДИНКА ПРЕМИУМ к/в мл/к в/у 0,3кг_50с  Останкино</v>
          </cell>
          <cell r="E88">
            <v>68</v>
          </cell>
        </row>
        <row r="89">
          <cell r="A89" t="str">
            <v>7231 КЛАССИЧЕСКАЯ ПМ вар п/о 0,3кг 8 шт_209к  Останкино</v>
          </cell>
          <cell r="E89">
            <v>56</v>
          </cell>
        </row>
        <row r="90">
          <cell r="A90" t="str">
            <v>7232 БОЯNСКАЯ ПМ п/к в/у 0,28кг 8шт_209к  Останкино</v>
          </cell>
          <cell r="E90">
            <v>219</v>
          </cell>
        </row>
        <row r="91">
          <cell r="A91" t="str">
            <v>7236 СЕРВЕЛАТ КАРЕЛЬСКИЙ в/к в/у 0,28кг_209к  Останкино</v>
          </cell>
          <cell r="E91">
            <v>232</v>
          </cell>
        </row>
        <row r="92">
          <cell r="A92" t="str">
            <v>7237 СЕРВЕЛАТ ШВАРЦЕР ПМ в/к в/у 0,28кг_209к  Останкино</v>
          </cell>
          <cell r="E92">
            <v>77</v>
          </cell>
        </row>
        <row r="93">
          <cell r="A93" t="str">
            <v>7241 САЛЯМИ Папа может п/к в/у 0,28кг ОСТАНКИНО</v>
          </cell>
          <cell r="E93">
            <v>441</v>
          </cell>
        </row>
        <row r="94">
          <cell r="A94" t="str">
            <v>7255 МЯСНЫЕ С ГОВЯД.ПМ сос п/о мгс 0.4кг 6шт.  ОСТАНКИНО</v>
          </cell>
          <cell r="E94">
            <v>271</v>
          </cell>
        </row>
        <row r="95">
          <cell r="A95" t="str">
            <v>7271 МЯСНЫЕ С ГОВЯДИНОЙ ПМ сос п/о мгс 1.5*4  ОСТАНКИНО</v>
          </cell>
          <cell r="E95">
            <v>21</v>
          </cell>
        </row>
        <row r="96">
          <cell r="A96" t="str">
            <v>7276 СЛИВОЧНЫЕ ПМ сос п/о мгс 0,3кг 7шт  Останкино</v>
          </cell>
          <cell r="E96">
            <v>43</v>
          </cell>
        </row>
        <row r="97">
          <cell r="A97" t="str">
            <v>7284 ДЛЯ ДЕТЕЙ сос п/о мгс 0,33кг 6шт  Останкино</v>
          </cell>
          <cell r="E97">
            <v>43</v>
          </cell>
        </row>
        <row r="98">
          <cell r="A98" t="str">
            <v>7288 БАЛЫК с/к с/н в/у 1/100 10шт ОСТАНКИНО</v>
          </cell>
          <cell r="E98">
            <v>58</v>
          </cell>
        </row>
        <row r="99">
          <cell r="A99" t="str">
            <v>7332 БОЯРСКАЯ ПМ п/к в/у 0,28кг ОСТАНКИНО</v>
          </cell>
          <cell r="E99">
            <v>13</v>
          </cell>
        </row>
        <row r="100">
          <cell r="A100" t="str">
            <v>7333 СЕРВЕЛАТ ОХОТНИЧИЙ ПМ в/к в/у 0,28кг ОСТАНКИНО</v>
          </cell>
          <cell r="E100">
            <v>11</v>
          </cell>
        </row>
        <row r="101">
          <cell r="A101" t="str">
            <v>7343 СЕЙЧАС СЕЗОН ПМ вар п/о 0,4кг ОСТАНКИНО</v>
          </cell>
          <cell r="E101">
            <v>43</v>
          </cell>
        </row>
        <row r="102">
          <cell r="A102" t="str">
            <v>7371 БРЕСТСКИЕ сос п/о в/у 0,3кг 8шт. ОСТАНКИНО</v>
          </cell>
          <cell r="E102">
            <v>49</v>
          </cell>
        </row>
        <row r="103">
          <cell r="A103" t="str">
            <v>7382  САЛЯМИ МЕЛКОЗЕРНЕНАЯ с/к в/у1/120 8шт.  ОСТАНКИНО</v>
          </cell>
          <cell r="E103">
            <v>129</v>
          </cell>
        </row>
        <row r="104">
          <cell r="A104" t="str">
            <v>7461 ДЛЯ ДЕТЕЙ Папа Может сос п/о мгс 0,33кг ОСТАНКИНО</v>
          </cell>
          <cell r="E104">
            <v>68</v>
          </cell>
        </row>
        <row r="105">
          <cell r="A105" t="str">
            <v>7489 СЫРРРВЕЛАТ Папа Может в/к в/у 0,28кг 8шт. ОСТАНКИНО</v>
          </cell>
          <cell r="E105">
            <v>38</v>
          </cell>
        </row>
        <row r="106">
          <cell r="A106" t="str">
            <v>7523 ГОВЯЖЬЯ Папа Может вар п/о 0,4кг 6шт. ОСТАНКИНО</v>
          </cell>
          <cell r="E106">
            <v>72</v>
          </cell>
        </row>
        <row r="107">
          <cell r="A107" t="str">
            <v>7539 ДОКТОРСКАЯ ГОСТ вар п/о 0,35кг ОСТАНКИНО</v>
          </cell>
          <cell r="E107">
            <v>20</v>
          </cell>
        </row>
        <row r="108">
          <cell r="A108" t="str">
            <v>7603 БАЛЫКОВАЯ в/к в/у 0.33кг 8шт. ОСТАНКИНО</v>
          </cell>
          <cell r="E108">
            <v>20</v>
          </cell>
        </row>
        <row r="109">
          <cell r="A109" t="str">
            <v>БОНУС_6087 СОЧНЫЕ ПМ сос п/о мгс 0,41кг 10шт.  ОСТАНКИНО</v>
          </cell>
          <cell r="E109">
            <v>18</v>
          </cell>
        </row>
        <row r="110">
          <cell r="A110" t="str">
            <v>Останкино Заморозка</v>
          </cell>
          <cell r="E110">
            <v>730</v>
          </cell>
        </row>
        <row r="111">
          <cell r="A111" t="str">
            <v>5579 БЛИНЧ.КРУГЛЫЕ С САД.ЯБЛОК.пл.1/420 зам. ОСТАНКИНО</v>
          </cell>
          <cell r="E111">
            <v>13</v>
          </cell>
        </row>
        <row r="112">
          <cell r="A112" t="str">
            <v>5754 БЛИНЧ.КРУГЛЫЕ С МЯСОМ 4,5кг зам. ПМ ОСТАНКИНО</v>
          </cell>
          <cell r="E112">
            <v>40.5</v>
          </cell>
        </row>
        <row r="113">
          <cell r="A113" t="str">
            <v>5755 БЛИНЧ.КРУГЛЫЕ С ТВОРОГОМ 4,5кг зам. ПМ ОСТАНКИНО</v>
          </cell>
          <cell r="E113">
            <v>4.5</v>
          </cell>
        </row>
        <row r="114">
          <cell r="A114" t="str">
            <v>5897 БЛИНЧ.КРУГЛЫЕ С ГРУШЕЙ пл.1/420 зам.   ОСТАНКИНО</v>
          </cell>
          <cell r="E114">
            <v>43</v>
          </cell>
        </row>
        <row r="115">
          <cell r="A115" t="str">
            <v>6148 БЛИНЧ.КРУГЛЫЕ С ВЕТЧ.И СЫР. ПМ 1/300 зам. ОСТАНКИНО</v>
          </cell>
          <cell r="E115">
            <v>85</v>
          </cell>
        </row>
        <row r="116">
          <cell r="A116" t="str">
            <v>6149 БЛИНЧ.КРУГЛЫЕ С ПЕЧЕНЬЮ ПМ 1/300 зам. ОСТАНКИНО</v>
          </cell>
          <cell r="E116">
            <v>75</v>
          </cell>
        </row>
        <row r="117">
          <cell r="A117" t="str">
            <v>6168 Блинчики с мясом пл. 1/350 зам. ОСТАНКИНО</v>
          </cell>
          <cell r="E117">
            <v>96</v>
          </cell>
        </row>
        <row r="118">
          <cell r="A118" t="str">
            <v>6202 БЛИНЧ.КРУГЛЫЕ С ТВОРОГОМ ПМ 1/300 зам. ОСТАНКИНО</v>
          </cell>
          <cell r="E118">
            <v>48</v>
          </cell>
        </row>
        <row r="119">
          <cell r="A119" t="str">
            <v>6209 Блинчики с куриным мясом пл. 1/350 зам. ОСТАНКИНО</v>
          </cell>
          <cell r="E119">
            <v>102</v>
          </cell>
        </row>
        <row r="120">
          <cell r="A120" t="str">
            <v>6819 БЛИНЧ.КРУГЛЫЕ С САД.ЯБЛОК. пл. 1/300 зам. ОСТАНКИНО</v>
          </cell>
          <cell r="E120">
            <v>34</v>
          </cell>
        </row>
        <row r="121">
          <cell r="A121" t="str">
            <v>7216 СОЧНЫЕ СО СЛ.МАСЛ.ПМ пельм пл.0.7кг зам. ОСТАНКИНО</v>
          </cell>
          <cell r="E121">
            <v>189</v>
          </cell>
        </row>
        <row r="122">
          <cell r="A122" t="str">
            <v>Останкино КОРОВИНО (ВЕС)</v>
          </cell>
          <cell r="E122">
            <v>85.2</v>
          </cell>
        </row>
        <row r="123">
          <cell r="A123" t="str">
            <v>6861 ДОМАШНИЙ РЕЦЕПТ Коровино вар п/о  Останкино</v>
          </cell>
          <cell r="E123">
            <v>28.9</v>
          </cell>
        </row>
        <row r="124">
          <cell r="A124" t="str">
            <v>6862 ДОМАШНИЙ РЕЦЕПТ СО ШПИК. Коровино вар п/о  Останкино</v>
          </cell>
          <cell r="E124">
            <v>3.9</v>
          </cell>
        </row>
        <row r="125">
          <cell r="A125" t="str">
            <v>6866 ВЕТЧ.НЕЖНАЯ Коровино п/о_Маяк  Останкино</v>
          </cell>
          <cell r="E125">
            <v>52.4</v>
          </cell>
        </row>
        <row r="126">
          <cell r="A126" t="str">
            <v>Останкино КОРОВИНО (ШТ)</v>
          </cell>
          <cell r="E126">
            <v>73</v>
          </cell>
        </row>
        <row r="127">
          <cell r="A127" t="str">
            <v>7149 БАЛЫКОВАЯ Коровино п/к в/у 0,84кг_50с  Останкино</v>
          </cell>
          <cell r="E127">
            <v>73</v>
          </cell>
        </row>
        <row r="128">
          <cell r="A128" t="str">
            <v>Останкино СЫР</v>
          </cell>
          <cell r="E128">
            <v>4</v>
          </cell>
        </row>
        <row r="129">
          <cell r="A129" t="str">
            <v>Сыр Боккончини копченый 40% 100 гр.  ОСТАНКИНО</v>
          </cell>
          <cell r="E129">
            <v>2</v>
          </cell>
        </row>
        <row r="130">
          <cell r="A130" t="str">
            <v>Сыр Косичка сырная 45% 100г/8шт Папа Может Останкино</v>
          </cell>
          <cell r="E130">
            <v>1</v>
          </cell>
        </row>
        <row r="131">
          <cell r="A131" t="str">
            <v>Сыр рассольный жирный Чечил копченый 43% 100 гр  Останкино</v>
          </cell>
          <cell r="E131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23.06.2026 - 29.06.2026</v>
          </cell>
        </row>
        <row r="3">
          <cell r="A3" t="str">
            <v>Отбор:</v>
          </cell>
          <cell r="C3" t="str">
            <v>Склад / комиссионер  / подразделение В группе из списка "АСП Луганск Останкино" И
Партнер Не в списке "ООО ЛП г. Симферополь, ул..." И
Номенклатура В группе из списка "Останкино ООО" И
Это тара Равно "Нет"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Вес</v>
          </cell>
          <cell r="E6" t="str">
            <v>Количество</v>
          </cell>
        </row>
        <row r="7">
          <cell r="A7" t="str">
            <v>3215 ВЕТЧ.МЯСНАЯ Папа может п/о 0.4кг 8шт.    ОСТАНКИНО</v>
          </cell>
          <cell r="D7">
            <v>49.6</v>
          </cell>
          <cell r="E7">
            <v>124</v>
          </cell>
        </row>
        <row r="8">
          <cell r="A8" t="str">
            <v>3287 САЛЯМИ ИТАЛЬЯНСКАЯ с/к в/у ОСТАНКИНО</v>
          </cell>
          <cell r="D8">
            <v>4.335</v>
          </cell>
          <cell r="E8">
            <v>4.335</v>
          </cell>
        </row>
        <row r="9">
          <cell r="A9" t="str">
            <v>3986 Ароматная с/к в/у 1/250 ОСТАНКИНО</v>
          </cell>
          <cell r="D9">
            <v>14.25</v>
          </cell>
          <cell r="E9">
            <v>57</v>
          </cell>
        </row>
        <row r="10">
          <cell r="A10" t="str">
            <v>4063 МЯСНАЯ Папа может вар п/о_Л   ОСТАНКИНО</v>
          </cell>
          <cell r="D10">
            <v>790.19200000000001</v>
          </cell>
          <cell r="E10">
            <v>790.19200000000001</v>
          </cell>
        </row>
        <row r="11">
          <cell r="A11" t="str">
            <v>4117 ЭКСТРА Папа может с/к в/у_Л   ОСТАНКИНО</v>
          </cell>
          <cell r="D11">
            <v>25.277000000000001</v>
          </cell>
          <cell r="E11">
            <v>25.277000000000001</v>
          </cell>
        </row>
        <row r="12">
          <cell r="A12" t="str">
            <v>4574 Мясная со шпиком Папа может вар п/о ОСТАНКИНО</v>
          </cell>
          <cell r="D12">
            <v>206.10599999999999</v>
          </cell>
          <cell r="E12">
            <v>206.10599999999999</v>
          </cell>
        </row>
        <row r="13">
          <cell r="A13" t="str">
            <v>4813 ФИЛЕЙНАЯ Папа может вар п/о_Л   ОСТАНКИНО</v>
          </cell>
          <cell r="D13">
            <v>337.30500000000001</v>
          </cell>
          <cell r="E13">
            <v>337.30500000000001</v>
          </cell>
        </row>
        <row r="14">
          <cell r="A14" t="str">
            <v>4993 САЛЯМИ ИТАЛЬЯНСКАЯ с/к в/у 1/250*8_120c ОСТАНКИНО</v>
          </cell>
          <cell r="D14">
            <v>19.75</v>
          </cell>
          <cell r="E14">
            <v>79</v>
          </cell>
        </row>
        <row r="15">
          <cell r="A15" t="str">
            <v>5452 ВЕТЧ.МЯСНАЯ Папа может п/о    ОСТАНКИНО</v>
          </cell>
          <cell r="D15">
            <v>83.614000000000004</v>
          </cell>
          <cell r="E15">
            <v>83.614000000000004</v>
          </cell>
        </row>
        <row r="16">
          <cell r="A16" t="str">
            <v>5483 ЭКСТРА Папа может с/к в/у 1/250 8шт.   ОСТАНКИНО</v>
          </cell>
          <cell r="D16">
            <v>19.25</v>
          </cell>
          <cell r="E16">
            <v>77</v>
          </cell>
        </row>
        <row r="17">
          <cell r="A17" t="str">
            <v>5495 ВЕТЧ.С ИНДЕЙКОЙ Папа может п/о 400*6  Останкино</v>
          </cell>
          <cell r="D17">
            <v>56.8</v>
          </cell>
          <cell r="E17">
            <v>142</v>
          </cell>
        </row>
        <row r="18">
          <cell r="A18" t="str">
            <v>5544 Сервелат Финский в/к в/у_45с НОВАЯ ОСТАНКИНО</v>
          </cell>
          <cell r="D18">
            <v>259.67</v>
          </cell>
          <cell r="E18">
            <v>259.67</v>
          </cell>
        </row>
        <row r="19">
          <cell r="A19" t="str">
            <v>5708 ПОСОЛЬСКАЯ Папа может с/к в/у ОСТАНКИНО</v>
          </cell>
          <cell r="D19">
            <v>30.259</v>
          </cell>
          <cell r="E19">
            <v>30.259</v>
          </cell>
        </row>
        <row r="20">
          <cell r="A20" t="str">
            <v>5754 БЛИНЧ.КРУГЛЫЕ С МЯСОМ 4,5кг зам. ПМ ОСТАНКИНО</v>
          </cell>
          <cell r="D20">
            <v>31.712</v>
          </cell>
          <cell r="E20">
            <v>31.712</v>
          </cell>
        </row>
        <row r="21">
          <cell r="A21" t="str">
            <v>5755 БЛИНЧ.КРУГЛЫЕ С ТВОРОГОМ 4,5кг зам. ПМ ОСТАНКИНО</v>
          </cell>
          <cell r="D21">
            <v>4.5</v>
          </cell>
          <cell r="E21">
            <v>4.5</v>
          </cell>
        </row>
        <row r="22">
          <cell r="A22" t="str">
            <v>5819 Сосиски Папа может 400г Мясные  ОСТАНКИНО</v>
          </cell>
          <cell r="D22">
            <v>35.200000000000003</v>
          </cell>
          <cell r="E22">
            <v>88</v>
          </cell>
        </row>
        <row r="23">
          <cell r="A23" t="str">
            <v>5851 ЭКСТРА Папа может вар п/о   ОСТАНКИНО</v>
          </cell>
          <cell r="D23">
            <v>263.113</v>
          </cell>
          <cell r="E23">
            <v>263.113</v>
          </cell>
        </row>
        <row r="24">
          <cell r="A24" t="str">
            <v>5931 ОХОТНИЧЬЯ Папа может с/к в/у 1/220 8шт.   ОСТАНКИНО</v>
          </cell>
          <cell r="D24">
            <v>33.659999999999997</v>
          </cell>
          <cell r="E24">
            <v>153</v>
          </cell>
        </row>
        <row r="25">
          <cell r="A25" t="str">
            <v>6008 САЛО СОЛЕНОЕ С ЧЕРНЫМ ПЕРЦЕМ мл/к в/у ОСТАНКИНО</v>
          </cell>
          <cell r="D25">
            <v>12.32</v>
          </cell>
          <cell r="E25">
            <v>12.32</v>
          </cell>
        </row>
        <row r="26">
          <cell r="A26" t="str">
            <v>6148 БЛИНЧ.КРУГЛЫЕ С ВЕТЧ.И СЫР. ПМ 1/300 зам. ОСТАНКИНО</v>
          </cell>
          <cell r="D26">
            <v>21.9</v>
          </cell>
          <cell r="E26">
            <v>73</v>
          </cell>
        </row>
        <row r="27">
          <cell r="A27" t="str">
            <v>6149 БЛИНЧ.КРУГЛЫЕ С ПЕЧЕНЬЮ ПМ 1/300 зам. ОСТАНКИНО</v>
          </cell>
          <cell r="D27">
            <v>17.100000000000001</v>
          </cell>
          <cell r="E27">
            <v>57</v>
          </cell>
        </row>
        <row r="28">
          <cell r="A28" t="str">
            <v>6168 Блинчики с мясом пл. 1/350 зам. ОСТАНКИНО</v>
          </cell>
          <cell r="D28">
            <v>21.7</v>
          </cell>
          <cell r="E28">
            <v>62</v>
          </cell>
        </row>
        <row r="29">
          <cell r="A29" t="str">
            <v>6202 БЛИНЧ.КРУГЛЫЕ С ТВОРОГОМ ПМ 1/300 зам. ОСТАНКИНО</v>
          </cell>
          <cell r="D29">
            <v>12.9</v>
          </cell>
          <cell r="E29">
            <v>43</v>
          </cell>
        </row>
        <row r="30">
          <cell r="A30" t="str">
            <v>6208 ДЫМОВИЦА ИЗ ЛОПАТКИ ПМ к/в с/н в/у 1/150  Останкино</v>
          </cell>
          <cell r="D30">
            <v>3.75</v>
          </cell>
          <cell r="E30">
            <v>25</v>
          </cell>
        </row>
        <row r="31">
          <cell r="A31" t="str">
            <v>6209 Блинчики с куриным мясом пл. 1/350 зам. ОСТАНКИНО</v>
          </cell>
          <cell r="D31">
            <v>25.2</v>
          </cell>
          <cell r="E31">
            <v>72</v>
          </cell>
        </row>
        <row r="32">
          <cell r="A32" t="str">
            <v>6220 ГОВЯЖЬЯ папа может вар п/о  Останкино</v>
          </cell>
          <cell r="D32">
            <v>240.71299999999999</v>
          </cell>
          <cell r="E32">
            <v>240.71299999999999</v>
          </cell>
        </row>
        <row r="33">
          <cell r="A33" t="str">
            <v>6221 НЕОПОЛИТАНСКИЙ ДУЭТ с/к с/н мгс 1/90  Останкино</v>
          </cell>
          <cell r="D33">
            <v>17.91</v>
          </cell>
          <cell r="E33">
            <v>199</v>
          </cell>
        </row>
        <row r="34">
          <cell r="A34" t="str">
            <v>6228 МЯСНОЕ АССОРТИ к/з с/н мгс 1/90 10шт  Останкино</v>
          </cell>
          <cell r="D34">
            <v>11.16</v>
          </cell>
          <cell r="E34">
            <v>124</v>
          </cell>
        </row>
        <row r="35">
          <cell r="A35" t="str">
            <v>6279 КОРЕЙКА ПО-ОСТ.к/в в/с с/н в/у 1/150_45с  Останкино</v>
          </cell>
          <cell r="D35">
            <v>23.55</v>
          </cell>
          <cell r="E35">
            <v>157</v>
          </cell>
        </row>
        <row r="36">
          <cell r="A36" t="str">
            <v>6303 Мясные Папа может сос п/о мгс 1,5*3  Останкино</v>
          </cell>
          <cell r="D36">
            <v>358.88099999999997</v>
          </cell>
          <cell r="E36">
            <v>358.88099999999997</v>
          </cell>
        </row>
        <row r="37">
          <cell r="A37" t="str">
            <v>6325 ДОКТОРСКАЯ ПРЕМИУМ вар п/о 0.4кг 8шт.  ОСТАНКИНО</v>
          </cell>
          <cell r="D37">
            <v>34.4</v>
          </cell>
          <cell r="E37">
            <v>86</v>
          </cell>
        </row>
        <row r="38">
          <cell r="A38" t="str">
            <v>6333 МЯСНАЯ Папа может вар п/о 0.4кг 8шт.  ОСТАНКИНО</v>
          </cell>
          <cell r="D38">
            <v>99.2</v>
          </cell>
          <cell r="E38">
            <v>248</v>
          </cell>
        </row>
        <row r="39">
          <cell r="A39" t="str">
            <v>6353 ЭКСТРА Папа может вар п/о 0.4кг 8шт.  ОСТАНКИНО</v>
          </cell>
          <cell r="D39">
            <v>75.599999999999994</v>
          </cell>
          <cell r="E39">
            <v>189</v>
          </cell>
        </row>
        <row r="40">
          <cell r="A40" t="str">
            <v>6392 ФИЛЕЙНАЯ Папа может вар п/о 0,4кг  ОСТАНКИНО</v>
          </cell>
          <cell r="D40">
            <v>69.2</v>
          </cell>
          <cell r="E40">
            <v>173</v>
          </cell>
        </row>
        <row r="41">
          <cell r="A41" t="str">
            <v>6453 ЭКСТРА Папа может с/к с/н в/у 1/100 14шт.   ОСТАНКИНО</v>
          </cell>
          <cell r="D41">
            <v>31.1</v>
          </cell>
          <cell r="E41">
            <v>311</v>
          </cell>
        </row>
        <row r="42">
          <cell r="A42" t="str">
            <v>6454 АРОМАТНАЯ с/к с/н в/у 1/100 10шт.  ОСТАНКИНО</v>
          </cell>
          <cell r="D42">
            <v>33.299999999999997</v>
          </cell>
          <cell r="E42">
            <v>333</v>
          </cell>
        </row>
        <row r="43">
          <cell r="A43" t="str">
            <v>6459 СЕРВЕЛАТ ШВЕЙЦАРСК. в/к с/н в/у 1/100*10  Останкино</v>
          </cell>
          <cell r="D43">
            <v>3.7</v>
          </cell>
          <cell r="E43">
            <v>37</v>
          </cell>
        </row>
        <row r="44">
          <cell r="A44" t="str">
            <v>6475 Сосиски Папа может 400г С сыром  ОСТАНКИНО</v>
          </cell>
          <cell r="D44">
            <v>26.4</v>
          </cell>
          <cell r="E44">
            <v>66</v>
          </cell>
        </row>
        <row r="45">
          <cell r="A45" t="str">
            <v>6495 ВЕТЧ.МРАМОРНАЯ в/у срез 0,3кг 6шт_45с  Останкино</v>
          </cell>
          <cell r="D45">
            <v>24</v>
          </cell>
          <cell r="E45">
            <v>80</v>
          </cell>
        </row>
        <row r="46">
          <cell r="A46" t="str">
            <v>6498 МОЛОЧНАЯ Папа может вар п/о  ОСТАНКИНО</v>
          </cell>
          <cell r="D46">
            <v>128.148</v>
          </cell>
          <cell r="E46">
            <v>128.148</v>
          </cell>
        </row>
        <row r="47">
          <cell r="A47" t="str">
            <v>6527 ШПИКАЧКИ СОЧНЫЕ ПМ сар б/о мгс 1*3 45с ОСТАНКИНО</v>
          </cell>
          <cell r="D47">
            <v>118.57</v>
          </cell>
          <cell r="E47">
            <v>118.57</v>
          </cell>
        </row>
        <row r="48">
          <cell r="A48" t="str">
            <v>6550 МЯСНЫЕ Папа может сар б/о мгс 1*3 О 45с  Останкино</v>
          </cell>
          <cell r="D48">
            <v>148.078</v>
          </cell>
          <cell r="E48">
            <v>148.078</v>
          </cell>
        </row>
        <row r="49">
          <cell r="A49" t="str">
            <v>6602 БАВАРСКИЕ ПМ сос ц/о мгс 0,35кг 8шт  Останкино</v>
          </cell>
          <cell r="D49">
            <v>36.75</v>
          </cell>
          <cell r="E49">
            <v>105</v>
          </cell>
        </row>
        <row r="50">
          <cell r="A50" t="str">
            <v>6608 С ГОВЯДИНОЙ ОРИГИН. сар б/о мгс 1*3_45с  ОСТАНКИНО</v>
          </cell>
          <cell r="D50">
            <v>224.79</v>
          </cell>
          <cell r="E50">
            <v>224.79</v>
          </cell>
        </row>
        <row r="51">
          <cell r="A51" t="str">
            <v>6616 МОЛОЧНЫЕ КЛАССИЧЕСКИЕ сос п/о в/у 0,3 кг  Останкино</v>
          </cell>
          <cell r="D51">
            <v>31.8</v>
          </cell>
          <cell r="E51">
            <v>106</v>
          </cell>
        </row>
        <row r="52">
          <cell r="A52" t="str">
            <v>6620 РЕБРЫШКИ к/в в/у_30с  Останкино</v>
          </cell>
          <cell r="D52">
            <v>65.001999999999995</v>
          </cell>
          <cell r="E52">
            <v>65.001999999999995</v>
          </cell>
        </row>
        <row r="53">
          <cell r="A53" t="str">
            <v>6661 СОЧНЫЙ ГРИЛЬ ПМ сос п/о мгс 1,5*4_Маяк Останкино</v>
          </cell>
          <cell r="D53">
            <v>263.93900000000002</v>
          </cell>
          <cell r="E53">
            <v>263.93900000000002</v>
          </cell>
        </row>
        <row r="54">
          <cell r="A54" t="str">
            <v>6697 СЕРВЕЛАТ ФИНСКИЙ ПМ в/к в/у 0,35кг 8шт  ОСТАНКИНО</v>
          </cell>
          <cell r="D54">
            <v>115.15</v>
          </cell>
          <cell r="E54">
            <v>329</v>
          </cell>
        </row>
        <row r="55">
          <cell r="A55" t="str">
            <v>6713 СОЧНЫЙ ГРИЛЬ ПМ сос п/о мгс 0,41кг 8 шт.  ОСТАНКИНО</v>
          </cell>
          <cell r="D55">
            <v>84.87</v>
          </cell>
          <cell r="E55">
            <v>207</v>
          </cell>
        </row>
        <row r="56">
          <cell r="A56" t="str">
            <v>6724 МОЛОЧНЫЕ ПМ сос п/о мгс 0,41кг 10шт  Останкино</v>
          </cell>
          <cell r="D56">
            <v>73.39</v>
          </cell>
          <cell r="E56">
            <v>179</v>
          </cell>
        </row>
        <row r="57">
          <cell r="A57" t="str">
            <v>6765 РУБЛЕНЫЕ сос ц/о мгс 0,36кг 6шт  Останкино</v>
          </cell>
          <cell r="D57">
            <v>74.88</v>
          </cell>
          <cell r="E57">
            <v>208</v>
          </cell>
        </row>
        <row r="58">
          <cell r="A58" t="str">
            <v>6787 СЕРВЕЛАТ КРЕМЛЕВСКИЙ в/к в/у 0,33кг 8шт  Останкино</v>
          </cell>
          <cell r="D58">
            <v>26.4</v>
          </cell>
          <cell r="E58">
            <v>80</v>
          </cell>
        </row>
        <row r="59">
          <cell r="A59" t="str">
            <v>6793 БАЛЫКОВАЯ в/к в/у 0,33кг 8шт  Останкино</v>
          </cell>
          <cell r="D59">
            <v>-0.99</v>
          </cell>
          <cell r="E59">
            <v>-3</v>
          </cell>
        </row>
        <row r="60">
          <cell r="A60" t="str">
            <v>6797 С ИНДЕЙКОЙ Папа может вар п/о 0,4кг 8шт. ОСТАНКИНО</v>
          </cell>
          <cell r="D60">
            <v>20</v>
          </cell>
          <cell r="E60">
            <v>50</v>
          </cell>
        </row>
        <row r="61">
          <cell r="A61" t="str">
            <v>6807 СЕРВЕЛАТ ЕВРОПЕЙСКИЙ в/к в/у 0,33кг 8шт  Останкино</v>
          </cell>
          <cell r="D61">
            <v>7.59</v>
          </cell>
          <cell r="E61">
            <v>23</v>
          </cell>
        </row>
        <row r="62">
          <cell r="A62" t="str">
            <v>6829  МОЛОЧНЫЕ КЛАССИЧЕСКИЕ сос п/о мгс 2*4 С  Останккино</v>
          </cell>
          <cell r="D62">
            <v>239.68700000000001</v>
          </cell>
          <cell r="E62">
            <v>239.68700000000001</v>
          </cell>
        </row>
        <row r="63">
          <cell r="A63" t="str">
            <v>6834 ПОСОЛЬСКАЯ с/к с/н в/у 1/100 10шт  Останкино</v>
          </cell>
          <cell r="D63">
            <v>2.1</v>
          </cell>
          <cell r="E63">
            <v>21</v>
          </cell>
        </row>
        <row r="64">
          <cell r="A64" t="str">
            <v>6837 ФИЛЕЙНЫЕ Папа Может сос ц/о мгс 0,4кг  Останкино</v>
          </cell>
          <cell r="D64">
            <v>42.8</v>
          </cell>
          <cell r="E64">
            <v>107</v>
          </cell>
        </row>
        <row r="65">
          <cell r="A65" t="str">
            <v>6861 ДОМАШНИЙ РЕЦЕПТ Коровино вар п/о  Останкино</v>
          </cell>
          <cell r="D65">
            <v>31.286999999999999</v>
          </cell>
          <cell r="E65">
            <v>31.286999999999999</v>
          </cell>
        </row>
        <row r="66">
          <cell r="A66" t="str">
            <v>6866 ВЕТЧ.НЕЖНАЯ Коровино п/о_Маяк  Останкино</v>
          </cell>
          <cell r="D66">
            <v>30.07</v>
          </cell>
          <cell r="E66">
            <v>30.07</v>
          </cell>
        </row>
        <row r="67">
          <cell r="A67" t="str">
            <v>6967 БУРГУНДИЯ Папа может с/к в/у 1/250 8шт  Останкино</v>
          </cell>
          <cell r="D67">
            <v>7.75</v>
          </cell>
          <cell r="E67">
            <v>31</v>
          </cell>
        </row>
        <row r="68">
          <cell r="A68" t="str">
            <v>7001 КЛАССИЧЕСКИЕ Папа может сар б/о мгс 1*3  Останкино</v>
          </cell>
          <cell r="D68">
            <v>54.8</v>
          </cell>
          <cell r="E68">
            <v>54.8</v>
          </cell>
        </row>
        <row r="69">
          <cell r="A69" t="str">
            <v>7059 ШПИКАЧКИ СОЧНЫЕ С БЕК. п/о мгс 0,3кг 60с ОСТАНКИНО</v>
          </cell>
          <cell r="D69">
            <v>55.8</v>
          </cell>
          <cell r="E69">
            <v>186</v>
          </cell>
        </row>
        <row r="70">
          <cell r="A70" t="str">
            <v>7066 СОЧНЫЕ ПМ сос п/о мгс 0,41кг 10шт 50с  Останкино</v>
          </cell>
          <cell r="D70">
            <v>172.2</v>
          </cell>
          <cell r="E70">
            <v>420</v>
          </cell>
        </row>
        <row r="71">
          <cell r="A71" t="str">
            <v>7070 СОЧНЫЕ ПМ сос п/о 1,5*4_А_50с  Останкино</v>
          </cell>
          <cell r="D71">
            <v>421.74</v>
          </cell>
          <cell r="E71">
            <v>421.74</v>
          </cell>
        </row>
        <row r="72">
          <cell r="A72" t="str">
            <v>7073 МОЛОЧ.ПРЕМИУМ ПМ сос п/о в/у 1/350_50с  Останкино</v>
          </cell>
          <cell r="D72">
            <v>22.05</v>
          </cell>
          <cell r="E72">
            <v>63</v>
          </cell>
        </row>
        <row r="73">
          <cell r="A73" t="str">
            <v>7075 МОЛОЧ.ПРЕМИУМ ПМ сос п/о мгс 1,5*4_О_50с  Останкино</v>
          </cell>
          <cell r="D73">
            <v>77.308000000000007</v>
          </cell>
          <cell r="E73">
            <v>77.308000000000007</v>
          </cell>
        </row>
        <row r="74">
          <cell r="A74" t="str">
            <v>7080 СЛИВОЧНЫЕ ПМ сос п/о мгс 0,41кг 10шт 50с  Останкино</v>
          </cell>
          <cell r="D74">
            <v>116.03</v>
          </cell>
          <cell r="E74">
            <v>283</v>
          </cell>
        </row>
        <row r="75">
          <cell r="A75" t="str">
            <v>7083 СЛИВОЧНЫЕ ПМ сос п/о мгс 1.5*4_А_50с  ОСТАНКИНО</v>
          </cell>
          <cell r="D75">
            <v>201.423</v>
          </cell>
          <cell r="E75">
            <v>201.423</v>
          </cell>
        </row>
        <row r="76">
          <cell r="A76" t="str">
            <v>7090 СВИНИНА ПО-ДОМ.к/в мл/к в/у 0,3кг_50с  Останкино</v>
          </cell>
          <cell r="D76">
            <v>28.8</v>
          </cell>
          <cell r="E76">
            <v>96</v>
          </cell>
        </row>
        <row r="77">
          <cell r="A77" t="str">
            <v>7103 БЕКОН Останкино с/к с/н в/у 1/180_50с  Останкино</v>
          </cell>
          <cell r="D77">
            <v>48.96</v>
          </cell>
          <cell r="E77">
            <v>272</v>
          </cell>
        </row>
        <row r="78">
          <cell r="A78" t="str">
            <v>7149 БАЛЫКОВАЯ Коровино п/к в/у 0,84кг_50с  Останкино</v>
          </cell>
          <cell r="D78">
            <v>51.24</v>
          </cell>
          <cell r="E78">
            <v>61</v>
          </cell>
        </row>
        <row r="79">
          <cell r="A79" t="str">
            <v>7154 СЕРВЕЛАТ ЗЕРНИСТЫЙ ПМ в/к в/у 0,35кг_50с  Останкино</v>
          </cell>
          <cell r="D79">
            <v>76.650000000000006</v>
          </cell>
          <cell r="E79">
            <v>219</v>
          </cell>
        </row>
        <row r="80">
          <cell r="A80" t="str">
            <v>7157 СЕРВЕЛАТ ЗЕРНИСТЫЙ ПМ в/к в/у_50с  Останкино</v>
          </cell>
          <cell r="D80">
            <v>169.042</v>
          </cell>
          <cell r="E80">
            <v>169.042</v>
          </cell>
        </row>
        <row r="81">
          <cell r="A81" t="str">
            <v>7166 СЕРВЕЛАТ ОХОТНИЧИЙ ПМ в/к в/у_50с  Останкино</v>
          </cell>
          <cell r="D81">
            <v>285.35000000000002</v>
          </cell>
          <cell r="E81">
            <v>285.35000000000002</v>
          </cell>
        </row>
        <row r="82">
          <cell r="A82" t="str">
            <v>7169 СЕРВЕЛАТ ОХОТНИЧИЙ ПМ в/к в/у 0,35кг_50с  Останкино</v>
          </cell>
          <cell r="D82">
            <v>98.35</v>
          </cell>
          <cell r="E82">
            <v>281</v>
          </cell>
        </row>
        <row r="83">
          <cell r="A83" t="str">
            <v>7187 ГРУДИНКА ПРЕМИУМ к/в мл/к в/у 0,3кг_50с  Останкино</v>
          </cell>
          <cell r="D83">
            <v>11.1</v>
          </cell>
          <cell r="E83">
            <v>37</v>
          </cell>
        </row>
        <row r="84">
          <cell r="A84" t="str">
            <v>7216 СОЧНЫЕ СО СЛ.МАСЛ.ПМ пельм пл.0.7кг зам. ОСТАНКИНО</v>
          </cell>
          <cell r="D84">
            <v>92.4</v>
          </cell>
          <cell r="E84">
            <v>132</v>
          </cell>
        </row>
        <row r="85">
          <cell r="A85" t="str">
            <v>7231 КЛАССИЧЕСКАЯ ПМ вар п/о 0,3кг 8 шт_209к  Останкино</v>
          </cell>
          <cell r="D85">
            <v>9.9</v>
          </cell>
          <cell r="E85">
            <v>33</v>
          </cell>
        </row>
        <row r="86">
          <cell r="A86" t="str">
            <v>7232 БОЯNСКАЯ ПМ п/к в/у 0,28кг 8шт_209к  Останкино</v>
          </cell>
          <cell r="D86">
            <v>59.92</v>
          </cell>
          <cell r="E86">
            <v>214</v>
          </cell>
        </row>
        <row r="87">
          <cell r="A87" t="str">
            <v>7236 СЕРВЕЛАТ КАРЕЛЬСКИЙ в/к в/у 0,28кг_209к  Останкино</v>
          </cell>
          <cell r="D87">
            <v>42.28</v>
          </cell>
          <cell r="E87">
            <v>151</v>
          </cell>
        </row>
        <row r="88">
          <cell r="A88" t="str">
            <v>7237 СЕРВЕЛАТ ШВАРЦЕР ПМ в/к в/у 0,28кг_209к  Останкино</v>
          </cell>
          <cell r="D88">
            <v>16.8</v>
          </cell>
          <cell r="E88">
            <v>60</v>
          </cell>
        </row>
        <row r="89">
          <cell r="A89" t="str">
            <v>7241 САЛЯМИ Папа может п/к в/у 0,28кг ОСТАНКИНО</v>
          </cell>
          <cell r="D89">
            <v>116.2</v>
          </cell>
          <cell r="E89">
            <v>415</v>
          </cell>
        </row>
        <row r="90">
          <cell r="A90" t="str">
            <v>7255 МЯСНЫЕ С ГОВЯД.ПМ сос п/о мгс 0.4кг 6шт.  ОСТАНКИНО</v>
          </cell>
          <cell r="D90">
            <v>87.2</v>
          </cell>
          <cell r="E90">
            <v>218</v>
          </cell>
        </row>
        <row r="91">
          <cell r="A91" t="str">
            <v>7276 СЛИВОЧНЫЕ ПМ сос п/о мгс 0,3кг 7шт  Останкино</v>
          </cell>
          <cell r="D91">
            <v>11.4</v>
          </cell>
          <cell r="E91">
            <v>38</v>
          </cell>
        </row>
        <row r="92">
          <cell r="A92" t="str">
            <v>7284 ДЛЯ ДЕТЕЙ сос п/о мгс 0,33кг 6шт  Останкино</v>
          </cell>
          <cell r="D92">
            <v>10.56</v>
          </cell>
          <cell r="E92">
            <v>32</v>
          </cell>
        </row>
        <row r="93">
          <cell r="A93" t="str">
            <v>7288 БАЛЫК с/к с/н в/у 1/100 10шт ОСТАНКИНО</v>
          </cell>
          <cell r="D93">
            <v>4</v>
          </cell>
          <cell r="E93">
            <v>40</v>
          </cell>
        </row>
        <row r="94">
          <cell r="A94" t="str">
            <v>7343 СЕЙЧАС СЕЗОН ПМ вар п/о 0,4кг ОСТАНКИНО</v>
          </cell>
          <cell r="D94">
            <v>16.8</v>
          </cell>
          <cell r="E94">
            <v>42</v>
          </cell>
        </row>
        <row r="95">
          <cell r="A95" t="str">
            <v>7371 БРЕСТСКИЕ сос п/о в/у 0,3кг 8шт. ОСТАНКИНО</v>
          </cell>
          <cell r="D95">
            <v>13.8</v>
          </cell>
          <cell r="E95">
            <v>46</v>
          </cell>
        </row>
        <row r="96">
          <cell r="A96" t="str">
            <v>7382  САЛЯМИ МЕЛКОЗЕРНЕНАЯ с/к в/у1/120 8шт.  ОСТАНКИНО</v>
          </cell>
          <cell r="D96">
            <v>14.64</v>
          </cell>
          <cell r="E96">
            <v>122</v>
          </cell>
        </row>
        <row r="97">
          <cell r="A97" t="str">
            <v>7461 ДЛЯ ДЕТЕЙ Папа Может сос п/о мгс 0,33кг ОСТАНКИНО</v>
          </cell>
          <cell r="D97">
            <v>3.3</v>
          </cell>
          <cell r="E97">
            <v>10</v>
          </cell>
        </row>
        <row r="98">
          <cell r="A98" t="str">
            <v>7489 СЫРРРВЕЛАТ Папа Может в/к в/у 0,28кг 8шт. ОСТАНКИНО</v>
          </cell>
          <cell r="D98">
            <v>9.8000000000000007</v>
          </cell>
          <cell r="E98">
            <v>35</v>
          </cell>
        </row>
        <row r="99">
          <cell r="A99" t="str">
            <v>7523 ГОВЯЖЬЯ Папа Может вар п/о 0,4кг 6шт. ОСТАНКИНО</v>
          </cell>
          <cell r="D99">
            <v>4.8</v>
          </cell>
          <cell r="E99">
            <v>12</v>
          </cell>
        </row>
        <row r="100">
          <cell r="A100" t="str">
            <v>7539 ДОКТОРСКАЯ ГОСТ вар п/о 0,35кг ОСТАНКИНО</v>
          </cell>
          <cell r="D100">
            <v>6.65</v>
          </cell>
          <cell r="E100">
            <v>19</v>
          </cell>
        </row>
        <row r="101">
          <cell r="A101" t="str">
            <v>7603 БАЛЫКОВАЯ в/к в/у 0.33кг 8шт. ОСТАНКИНО</v>
          </cell>
          <cell r="D101">
            <v>5.61</v>
          </cell>
          <cell r="E101">
            <v>17</v>
          </cell>
        </row>
        <row r="102">
          <cell r="A102" t="str">
            <v>Итого</v>
          </cell>
          <cell r="D102">
            <v>7617.5410000000002</v>
          </cell>
          <cell r="E102">
            <v>13159.231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01"/>
  <sheetViews>
    <sheetView tabSelected="1" zoomScale="85" zoomScaleNormal="85" workbookViewId="0">
      <pane xSplit="2" ySplit="5" topLeftCell="C6" activePane="bottomRight" state="frozen"/>
      <selection pane="topRight"/>
      <selection pane="bottomLeft"/>
      <selection pane="bottomRight" activeCell="S16" sqref="S16"/>
    </sheetView>
  </sheetViews>
  <sheetFormatPr defaultColWidth="9" defaultRowHeight="15"/>
  <cols>
    <col min="1" max="1" width="60" style="6" customWidth="1"/>
    <col min="2" max="2" width="3" style="6" customWidth="1"/>
    <col min="3" max="4" width="6" style="6" customWidth="1"/>
    <col min="5" max="6" width="7" style="6" customWidth="1"/>
    <col min="7" max="7" width="5" style="12" customWidth="1"/>
    <col min="8" max="8" width="5" style="6" customWidth="1"/>
    <col min="9" max="9" width="8.42578125" style="6" customWidth="1"/>
    <col min="10" max="10" width="1" style="6" customWidth="1"/>
    <col min="11" max="12" width="7" style="6" customWidth="1"/>
    <col min="13" max="14" width="0.42578125" style="6" customWidth="1"/>
    <col min="15" max="15" width="0.5703125" style="6" customWidth="1"/>
    <col min="16" max="18" width="7" style="6" customWidth="1"/>
    <col min="19" max="19" width="21" style="6" customWidth="1"/>
    <col min="20" max="21" width="5" style="6" customWidth="1"/>
    <col min="22" max="22" width="6" style="6" customWidth="1"/>
    <col min="23" max="23" width="28.7109375" style="6" customWidth="1"/>
    <col min="24" max="24" width="7" style="6" customWidth="1"/>
    <col min="25" max="40" width="3" style="6" customWidth="1"/>
    <col min="41" max="16384" width="9" style="6"/>
  </cols>
  <sheetData>
    <row r="1" spans="1:40">
      <c r="A1" s="1"/>
      <c r="B1" s="1"/>
      <c r="C1" s="1"/>
      <c r="D1" s="1"/>
      <c r="E1" s="1"/>
      <c r="F1" s="1"/>
      <c r="G1" s="10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>
      <c r="A2" s="1"/>
      <c r="B2" s="1"/>
      <c r="C2" s="1"/>
      <c r="D2" s="1"/>
      <c r="E2" s="1"/>
      <c r="F2" s="1"/>
      <c r="G2" s="10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11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4" t="s">
        <v>40</v>
      </c>
      <c r="R3" s="5" t="s">
        <v>16</v>
      </c>
      <c r="S3" s="5" t="s">
        <v>17</v>
      </c>
      <c r="T3" s="2" t="s">
        <v>18</v>
      </c>
      <c r="U3" s="2" t="s">
        <v>19</v>
      </c>
      <c r="V3" s="2" t="s">
        <v>20</v>
      </c>
      <c r="W3" s="2" t="s">
        <v>21</v>
      </c>
      <c r="X3" s="2" t="s">
        <v>22</v>
      </c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>
      <c r="A4" s="1"/>
      <c r="B4" s="1"/>
      <c r="C4" s="1"/>
      <c r="D4" s="1"/>
      <c r="E4" s="1"/>
      <c r="F4" s="1"/>
      <c r="G4" s="10"/>
      <c r="H4" s="1"/>
      <c r="I4" s="1"/>
      <c r="J4" s="1"/>
      <c r="K4" s="1"/>
      <c r="L4" s="1"/>
      <c r="M4" s="1"/>
      <c r="N4" s="1"/>
      <c r="O4" s="7" t="s">
        <v>36</v>
      </c>
      <c r="P4" s="7" t="s">
        <v>37</v>
      </c>
      <c r="Q4" s="1" t="s">
        <v>41</v>
      </c>
      <c r="R4" s="1"/>
      <c r="S4" s="1"/>
      <c r="T4" s="1"/>
      <c r="U4" s="1"/>
      <c r="V4" s="7" t="s">
        <v>36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>
      <c r="A5" s="1"/>
      <c r="B5" s="1"/>
      <c r="C5" s="1"/>
      <c r="D5" s="1"/>
      <c r="E5" s="3">
        <f>SUM(E6:E401)</f>
        <v>475.21199999999999</v>
      </c>
      <c r="F5" s="3">
        <f>SUM(F6:F401)</f>
        <v>2039.288</v>
      </c>
      <c r="G5" s="10"/>
      <c r="H5" s="1"/>
      <c r="I5" s="1"/>
      <c r="J5" s="1"/>
      <c r="K5" s="3">
        <f>SUM(K6:K401)</f>
        <v>730</v>
      </c>
      <c r="L5" s="3">
        <f t="shared" ref="L5:R5" si="0">SUM(L6:L401)</f>
        <v>-254.78800000000001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95.042399999999986</v>
      </c>
      <c r="Q5" s="3">
        <f t="shared" si="0"/>
        <v>260</v>
      </c>
      <c r="R5" s="3">
        <f t="shared" si="0"/>
        <v>0</v>
      </c>
      <c r="S5" s="1"/>
      <c r="T5" s="1"/>
      <c r="U5" s="1"/>
      <c r="V5" s="3">
        <f>SUM(V6:V401)</f>
        <v>0</v>
      </c>
      <c r="W5" s="1"/>
      <c r="X5" s="3">
        <f>SUM(X6:X401)</f>
        <v>182</v>
      </c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>
      <c r="A6" s="1" t="s">
        <v>24</v>
      </c>
      <c r="B6" s="1" t="s">
        <v>23</v>
      </c>
      <c r="C6" s="1"/>
      <c r="D6" s="1">
        <v>1</v>
      </c>
      <c r="E6" s="1"/>
      <c r="F6" s="1"/>
      <c r="G6" s="10">
        <v>0.42</v>
      </c>
      <c r="H6" s="1"/>
      <c r="I6" s="1"/>
      <c r="J6" s="1"/>
      <c r="K6" s="1">
        <f>VLOOKUP(A6,[1]TDSheet!$A:$E,5,0)</f>
        <v>13</v>
      </c>
      <c r="L6" s="1">
        <f>E6-K6</f>
        <v>-13</v>
      </c>
      <c r="M6" s="1"/>
      <c r="N6" s="1"/>
      <c r="O6" s="1"/>
      <c r="P6" s="6">
        <f>E6/5</f>
        <v>0</v>
      </c>
      <c r="Q6" s="8"/>
      <c r="R6" s="9"/>
      <c r="S6" s="1"/>
      <c r="T6" s="1" t="e">
        <f>(F6+O6+Q6)/P6</f>
        <v>#DIV/0!</v>
      </c>
      <c r="U6" s="1" t="e">
        <f>(F6+O6)/P6</f>
        <v>#DIV/0!</v>
      </c>
      <c r="V6" s="1">
        <v>0</v>
      </c>
      <c r="W6" s="1"/>
      <c r="X6" s="1">
        <f>Q6*G6</f>
        <v>0</v>
      </c>
      <c r="Y6" s="1"/>
      <c r="Z6" s="1"/>
      <c r="AF6" s="1"/>
      <c r="AG6" s="1"/>
      <c r="AH6" s="1"/>
      <c r="AJ6" s="1"/>
      <c r="AK6" s="1"/>
      <c r="AL6" s="1"/>
      <c r="AM6" s="1"/>
      <c r="AN6" s="1"/>
    </row>
    <row r="7" spans="1:40">
      <c r="A7" s="1" t="s">
        <v>25</v>
      </c>
      <c r="B7" s="1" t="s">
        <v>26</v>
      </c>
      <c r="C7" s="1">
        <v>207</v>
      </c>
      <c r="D7" s="1"/>
      <c r="E7" s="1">
        <f>VLOOKUP(A7,[2]TDSheet!$A:$F,5,0)</f>
        <v>31.712</v>
      </c>
      <c r="F7" s="1">
        <v>175.28800000000001</v>
      </c>
      <c r="G7" s="10">
        <v>1</v>
      </c>
      <c r="H7" s="1"/>
      <c r="I7" s="1"/>
      <c r="J7" s="1"/>
      <c r="K7" s="1">
        <f>VLOOKUP(A7,[1]TDSheet!$A:$E,5,0)</f>
        <v>40.5</v>
      </c>
      <c r="L7" s="1">
        <f t="shared" ref="L7:L16" si="1">E7-K7</f>
        <v>-8.7880000000000003</v>
      </c>
      <c r="M7" s="1"/>
      <c r="N7" s="1"/>
      <c r="O7" s="1"/>
      <c r="P7" s="6">
        <f t="shared" ref="P7:P16" si="2">E7/5</f>
        <v>6.3423999999999996</v>
      </c>
      <c r="Q7" s="8"/>
      <c r="R7" s="9"/>
      <c r="S7" s="1"/>
      <c r="T7" s="1">
        <f t="shared" ref="T7:T16" si="3">(F7+O7+Q7)/P7</f>
        <v>27.637487386478309</v>
      </c>
      <c r="U7" s="1">
        <f t="shared" ref="U7:U16" si="4">(F7+O7)/P7</f>
        <v>27.637487386478309</v>
      </c>
      <c r="V7" s="1">
        <v>0</v>
      </c>
      <c r="W7" s="13" t="s">
        <v>38</v>
      </c>
      <c r="X7" s="1">
        <f t="shared" ref="X7:X11" si="5">Q7*G7</f>
        <v>0</v>
      </c>
      <c r="Y7" s="1"/>
      <c r="Z7" s="1"/>
      <c r="AF7" s="1"/>
      <c r="AG7" s="1"/>
      <c r="AH7" s="1"/>
      <c r="AJ7" s="1"/>
      <c r="AK7" s="1"/>
      <c r="AL7" s="1"/>
      <c r="AM7" s="1"/>
      <c r="AN7" s="1"/>
    </row>
    <row r="8" spans="1:40">
      <c r="A8" s="1" t="s">
        <v>27</v>
      </c>
      <c r="B8" s="1" t="s">
        <v>26</v>
      </c>
      <c r="C8" s="1">
        <v>319.5</v>
      </c>
      <c r="D8" s="1"/>
      <c r="E8" s="1">
        <f>VLOOKUP(A8,[2]TDSheet!$A:$F,5,0)</f>
        <v>4.5</v>
      </c>
      <c r="F8" s="1">
        <v>315</v>
      </c>
      <c r="G8" s="10">
        <v>1</v>
      </c>
      <c r="H8" s="1"/>
      <c r="I8" s="1"/>
      <c r="J8" s="1"/>
      <c r="K8" s="1">
        <f>VLOOKUP(A8,[1]TDSheet!$A:$E,5,0)</f>
        <v>4.5</v>
      </c>
      <c r="L8" s="1">
        <f t="shared" si="1"/>
        <v>0</v>
      </c>
      <c r="M8" s="1"/>
      <c r="N8" s="1"/>
      <c r="O8" s="1"/>
      <c r="P8" s="6">
        <f t="shared" si="2"/>
        <v>0.9</v>
      </c>
      <c r="Q8" s="8"/>
      <c r="R8" s="9"/>
      <c r="S8" s="1"/>
      <c r="T8" s="1">
        <f t="shared" si="3"/>
        <v>350</v>
      </c>
      <c r="U8" s="1">
        <f t="shared" si="4"/>
        <v>350</v>
      </c>
      <c r="V8" s="1">
        <v>0</v>
      </c>
      <c r="W8" s="14" t="s">
        <v>39</v>
      </c>
      <c r="X8" s="1">
        <f t="shared" si="5"/>
        <v>0</v>
      </c>
      <c r="Y8" s="1"/>
      <c r="Z8" s="1"/>
      <c r="AF8" s="1"/>
      <c r="AG8" s="1"/>
      <c r="AH8" s="1"/>
      <c r="AJ8" s="1"/>
      <c r="AK8" s="1"/>
      <c r="AL8" s="1"/>
      <c r="AM8" s="1"/>
      <c r="AN8" s="1"/>
    </row>
    <row r="9" spans="1:40">
      <c r="A9" s="1" t="s">
        <v>28</v>
      </c>
      <c r="B9" s="1" t="s">
        <v>23</v>
      </c>
      <c r="C9" s="1"/>
      <c r="D9" s="1">
        <v>1</v>
      </c>
      <c r="E9" s="1"/>
      <c r="F9" s="1"/>
      <c r="G9" s="10">
        <v>0.42</v>
      </c>
      <c r="H9" s="1"/>
      <c r="I9" s="1"/>
      <c r="J9" s="1"/>
      <c r="K9" s="1">
        <f>VLOOKUP(A9,[1]TDSheet!$A:$E,5,0)</f>
        <v>43</v>
      </c>
      <c r="L9" s="1">
        <f t="shared" si="1"/>
        <v>-43</v>
      </c>
      <c r="M9" s="1"/>
      <c r="N9" s="1"/>
      <c r="O9" s="1"/>
      <c r="P9" s="6">
        <f t="shared" si="2"/>
        <v>0</v>
      </c>
      <c r="Q9" s="8"/>
      <c r="R9" s="9"/>
      <c r="S9" s="1"/>
      <c r="T9" s="1" t="e">
        <f t="shared" si="3"/>
        <v>#DIV/0!</v>
      </c>
      <c r="U9" s="1" t="e">
        <f t="shared" si="4"/>
        <v>#DIV/0!</v>
      </c>
      <c r="V9" s="1">
        <v>0</v>
      </c>
      <c r="W9" s="1"/>
      <c r="X9" s="1">
        <f t="shared" si="5"/>
        <v>0</v>
      </c>
      <c r="Y9" s="1"/>
      <c r="Z9" s="1"/>
      <c r="AF9" s="1"/>
      <c r="AG9" s="1"/>
      <c r="AH9" s="1"/>
      <c r="AJ9" s="1"/>
      <c r="AK9" s="1"/>
      <c r="AL9" s="1"/>
      <c r="AM9" s="1"/>
      <c r="AN9" s="1"/>
    </row>
    <row r="10" spans="1:40">
      <c r="A10" s="1" t="s">
        <v>29</v>
      </c>
      <c r="B10" s="1" t="s">
        <v>23</v>
      </c>
      <c r="C10" s="1">
        <v>285</v>
      </c>
      <c r="D10" s="1">
        <v>10</v>
      </c>
      <c r="E10" s="1">
        <f>VLOOKUP(A10,[2]TDSheet!$A:$F,5,0)</f>
        <v>73</v>
      </c>
      <c r="F10" s="1">
        <v>212</v>
      </c>
      <c r="G10" s="10">
        <v>0.3</v>
      </c>
      <c r="H10" s="1"/>
      <c r="I10" s="1"/>
      <c r="J10" s="1"/>
      <c r="K10" s="1">
        <f>VLOOKUP(A10,[1]TDSheet!$A:$E,5,0)</f>
        <v>85</v>
      </c>
      <c r="L10" s="1">
        <f t="shared" si="1"/>
        <v>-12</v>
      </c>
      <c r="M10" s="1"/>
      <c r="N10" s="1"/>
      <c r="O10" s="1"/>
      <c r="P10" s="6">
        <f t="shared" si="2"/>
        <v>14.6</v>
      </c>
      <c r="Q10" s="8"/>
      <c r="R10" s="9"/>
      <c r="S10" s="1"/>
      <c r="T10" s="1">
        <f t="shared" si="3"/>
        <v>14.520547945205481</v>
      </c>
      <c r="U10" s="1">
        <f t="shared" si="4"/>
        <v>14.520547945205481</v>
      </c>
      <c r="V10" s="1">
        <v>0</v>
      </c>
      <c r="W10" s="1"/>
      <c r="X10" s="1">
        <f t="shared" si="5"/>
        <v>0</v>
      </c>
      <c r="Y10" s="1"/>
      <c r="Z10" s="1"/>
      <c r="AF10" s="1"/>
      <c r="AG10" s="1"/>
      <c r="AH10" s="1"/>
      <c r="AJ10" s="1"/>
      <c r="AK10" s="1"/>
      <c r="AL10" s="1"/>
      <c r="AM10" s="1"/>
      <c r="AN10" s="1"/>
    </row>
    <row r="11" spans="1:40">
      <c r="A11" s="1" t="s">
        <v>30</v>
      </c>
      <c r="B11" s="1" t="s">
        <v>23</v>
      </c>
      <c r="C11" s="1">
        <v>437</v>
      </c>
      <c r="D11" s="1">
        <v>15</v>
      </c>
      <c r="E11" s="1">
        <f>VLOOKUP(A11,[2]TDSheet!$A:$F,5,0)</f>
        <v>57</v>
      </c>
      <c r="F11" s="1">
        <v>380</v>
      </c>
      <c r="G11" s="10">
        <v>0.3</v>
      </c>
      <c r="H11" s="1"/>
      <c r="I11" s="1"/>
      <c r="J11" s="1"/>
      <c r="K11" s="1">
        <f>VLOOKUP(A11,[1]TDSheet!$A:$E,5,0)</f>
        <v>75</v>
      </c>
      <c r="L11" s="1">
        <f t="shared" si="1"/>
        <v>-18</v>
      </c>
      <c r="M11" s="1"/>
      <c r="N11" s="1"/>
      <c r="O11" s="1"/>
      <c r="P11" s="6">
        <f t="shared" si="2"/>
        <v>11.4</v>
      </c>
      <c r="Q11" s="8"/>
      <c r="R11" s="9"/>
      <c r="S11" s="1"/>
      <c r="T11" s="1">
        <f t="shared" si="3"/>
        <v>33.333333333333336</v>
      </c>
      <c r="U11" s="1">
        <f t="shared" si="4"/>
        <v>33.333333333333336</v>
      </c>
      <c r="V11" s="1">
        <v>0</v>
      </c>
      <c r="W11" s="13" t="s">
        <v>38</v>
      </c>
      <c r="X11" s="1">
        <f t="shared" si="5"/>
        <v>0</v>
      </c>
      <c r="Y11" s="1"/>
      <c r="Z11" s="1"/>
      <c r="AF11" s="1"/>
      <c r="AG11" s="1"/>
      <c r="AH11" s="1"/>
      <c r="AJ11" s="1"/>
      <c r="AK11" s="1"/>
      <c r="AL11" s="1"/>
      <c r="AM11" s="1"/>
      <c r="AN11" s="1"/>
    </row>
    <row r="12" spans="1:40">
      <c r="A12" s="1" t="s">
        <v>31</v>
      </c>
      <c r="B12" s="1" t="s">
        <v>23</v>
      </c>
      <c r="C12" s="1">
        <v>387</v>
      </c>
      <c r="D12" s="1">
        <v>30</v>
      </c>
      <c r="E12" s="1">
        <f>VLOOKUP(A12,[2]TDSheet!$A:$F,5,0)</f>
        <v>62</v>
      </c>
      <c r="F12" s="1">
        <v>325</v>
      </c>
      <c r="G12" s="10">
        <v>0.35</v>
      </c>
      <c r="H12" s="1"/>
      <c r="I12" s="1"/>
      <c r="J12" s="1"/>
      <c r="K12" s="1">
        <f>VLOOKUP(A12,[1]TDSheet!$A:$E,5,0)</f>
        <v>96</v>
      </c>
      <c r="L12" s="1">
        <f t="shared" si="1"/>
        <v>-34</v>
      </c>
      <c r="M12" s="1"/>
      <c r="N12" s="1"/>
      <c r="O12" s="1"/>
      <c r="P12" s="6">
        <f t="shared" si="2"/>
        <v>12.4</v>
      </c>
      <c r="Q12" s="8"/>
      <c r="R12" s="9"/>
      <c r="S12" s="1"/>
      <c r="T12" s="1">
        <f t="shared" si="3"/>
        <v>26.209677419354836</v>
      </c>
      <c r="U12" s="1">
        <f t="shared" si="4"/>
        <v>26.209677419354836</v>
      </c>
      <c r="V12" s="1">
        <v>0</v>
      </c>
      <c r="W12" s="13" t="s">
        <v>38</v>
      </c>
      <c r="X12" s="1">
        <f t="shared" ref="X12:X16" si="6">Q12*G12</f>
        <v>0</v>
      </c>
      <c r="Y12" s="1"/>
      <c r="Z12" s="1"/>
      <c r="AF12" s="1"/>
      <c r="AG12" s="1"/>
      <c r="AH12" s="1"/>
      <c r="AJ12" s="1"/>
      <c r="AK12" s="1"/>
      <c r="AL12" s="1"/>
      <c r="AM12" s="1"/>
      <c r="AN12" s="1"/>
    </row>
    <row r="13" spans="1:40">
      <c r="A13" s="1" t="s">
        <v>32</v>
      </c>
      <c r="B13" s="1" t="s">
        <v>23</v>
      </c>
      <c r="C13" s="1">
        <v>269</v>
      </c>
      <c r="D13" s="1"/>
      <c r="E13" s="1">
        <f>VLOOKUP(A13,[2]TDSheet!$A:$F,5,0)</f>
        <v>43</v>
      </c>
      <c r="F13" s="1">
        <v>226</v>
      </c>
      <c r="G13" s="10">
        <v>0.3</v>
      </c>
      <c r="H13" s="1"/>
      <c r="I13" s="1"/>
      <c r="J13" s="1"/>
      <c r="K13" s="1">
        <f>VLOOKUP(A13,[1]TDSheet!$A:$E,5,0)</f>
        <v>48</v>
      </c>
      <c r="L13" s="1">
        <f t="shared" si="1"/>
        <v>-5</v>
      </c>
      <c r="M13" s="1"/>
      <c r="N13" s="1"/>
      <c r="O13" s="1"/>
      <c r="P13" s="6">
        <f t="shared" si="2"/>
        <v>8.6</v>
      </c>
      <c r="Q13" s="8"/>
      <c r="R13" s="9"/>
      <c r="S13" s="1"/>
      <c r="T13" s="1">
        <f t="shared" si="3"/>
        <v>26.279069767441861</v>
      </c>
      <c r="U13" s="1">
        <f t="shared" si="4"/>
        <v>26.279069767441861</v>
      </c>
      <c r="V13" s="1">
        <v>0</v>
      </c>
      <c r="W13" s="13" t="s">
        <v>38</v>
      </c>
      <c r="X13" s="1">
        <f t="shared" si="6"/>
        <v>0</v>
      </c>
      <c r="Y13" s="1"/>
      <c r="Z13" s="1"/>
      <c r="AF13" s="1"/>
      <c r="AG13" s="1"/>
      <c r="AH13" s="1"/>
      <c r="AJ13" s="1"/>
      <c r="AK13" s="1"/>
      <c r="AL13" s="1"/>
      <c r="AM13" s="1"/>
      <c r="AN13" s="1"/>
    </row>
    <row r="14" spans="1:40">
      <c r="A14" s="1" t="s">
        <v>33</v>
      </c>
      <c r="B14" s="1" t="s">
        <v>23</v>
      </c>
      <c r="C14" s="1">
        <v>420</v>
      </c>
      <c r="D14" s="1">
        <v>30</v>
      </c>
      <c r="E14" s="1">
        <f>VLOOKUP(A14,[2]TDSheet!$A:$F,5,0)</f>
        <v>72</v>
      </c>
      <c r="F14" s="1">
        <v>348</v>
      </c>
      <c r="G14" s="10">
        <v>0.35</v>
      </c>
      <c r="H14" s="1"/>
      <c r="I14" s="1"/>
      <c r="J14" s="1"/>
      <c r="K14" s="1">
        <f>VLOOKUP(A14,[1]TDSheet!$A:$E,5,0)</f>
        <v>102</v>
      </c>
      <c r="L14" s="1">
        <f t="shared" si="1"/>
        <v>-30</v>
      </c>
      <c r="M14" s="1"/>
      <c r="N14" s="1"/>
      <c r="O14" s="1"/>
      <c r="P14" s="6">
        <f t="shared" si="2"/>
        <v>14.4</v>
      </c>
      <c r="Q14" s="8"/>
      <c r="R14" s="9"/>
      <c r="S14" s="1"/>
      <c r="T14" s="1">
        <f t="shared" si="3"/>
        <v>24.166666666666664</v>
      </c>
      <c r="U14" s="1">
        <f t="shared" si="4"/>
        <v>24.166666666666664</v>
      </c>
      <c r="V14" s="1">
        <v>0</v>
      </c>
      <c r="W14" s="13" t="s">
        <v>38</v>
      </c>
      <c r="X14" s="1">
        <f t="shared" si="6"/>
        <v>0</v>
      </c>
      <c r="Y14" s="1"/>
      <c r="Z14" s="1"/>
      <c r="AF14" s="1"/>
      <c r="AG14" s="1"/>
      <c r="AH14" s="1"/>
      <c r="AJ14" s="1"/>
      <c r="AK14" s="1"/>
      <c r="AL14" s="1"/>
      <c r="AM14" s="1"/>
      <c r="AN14" s="1"/>
    </row>
    <row r="15" spans="1:40">
      <c r="A15" s="1" t="s">
        <v>34</v>
      </c>
      <c r="B15" s="1" t="s">
        <v>23</v>
      </c>
      <c r="C15" s="1"/>
      <c r="D15" s="1"/>
      <c r="E15" s="1"/>
      <c r="F15" s="1"/>
      <c r="G15" s="10">
        <v>0.3</v>
      </c>
      <c r="H15" s="1"/>
      <c r="I15" s="1"/>
      <c r="J15" s="1"/>
      <c r="K15" s="1">
        <f>VLOOKUP(A15,[1]TDSheet!$A:$E,5,0)</f>
        <v>34</v>
      </c>
      <c r="L15" s="1">
        <f t="shared" si="1"/>
        <v>-34</v>
      </c>
      <c r="M15" s="1"/>
      <c r="N15" s="1"/>
      <c r="O15" s="1"/>
      <c r="P15" s="6">
        <f t="shared" si="2"/>
        <v>0</v>
      </c>
      <c r="Q15" s="8"/>
      <c r="R15" s="9"/>
      <c r="S15" s="1"/>
      <c r="T15" s="1" t="e">
        <f t="shared" si="3"/>
        <v>#DIV/0!</v>
      </c>
      <c r="U15" s="1" t="e">
        <f t="shared" si="4"/>
        <v>#DIV/0!</v>
      </c>
      <c r="V15" s="1">
        <v>0</v>
      </c>
      <c r="W15" s="1"/>
      <c r="X15" s="1">
        <f t="shared" si="6"/>
        <v>0</v>
      </c>
      <c r="Y15" s="1"/>
      <c r="Z15" s="1"/>
      <c r="AF15" s="1"/>
      <c r="AG15" s="1"/>
      <c r="AH15" s="1"/>
      <c r="AJ15" s="1"/>
      <c r="AK15" s="1"/>
      <c r="AL15" s="1"/>
      <c r="AM15" s="1"/>
      <c r="AN15" s="1"/>
    </row>
    <row r="16" spans="1:40">
      <c r="A16" s="1" t="s">
        <v>35</v>
      </c>
      <c r="B16" s="1" t="s">
        <v>23</v>
      </c>
      <c r="C16" s="1">
        <v>204</v>
      </c>
      <c r="D16" s="1">
        <v>40</v>
      </c>
      <c r="E16" s="1">
        <f>VLOOKUP(A16,[2]TDSheet!$A:$F,5,0)</f>
        <v>132</v>
      </c>
      <c r="F16" s="1">
        <v>58</v>
      </c>
      <c r="G16" s="10">
        <v>0.7</v>
      </c>
      <c r="H16" s="1"/>
      <c r="I16" s="1"/>
      <c r="J16" s="1"/>
      <c r="K16" s="1">
        <f>VLOOKUP(A16,[1]TDSheet!$A:$E,5,0)</f>
        <v>189</v>
      </c>
      <c r="L16" s="1">
        <f t="shared" si="1"/>
        <v>-57</v>
      </c>
      <c r="M16" s="1"/>
      <c r="N16" s="1"/>
      <c r="O16" s="1"/>
      <c r="P16" s="6">
        <f t="shared" si="2"/>
        <v>26.4</v>
      </c>
      <c r="Q16" s="8">
        <v>260</v>
      </c>
      <c r="R16" s="9"/>
      <c r="S16" s="1"/>
      <c r="T16" s="1">
        <f t="shared" si="3"/>
        <v>12.045454545454547</v>
      </c>
      <c r="U16" s="1">
        <f t="shared" si="4"/>
        <v>2.1969696969696972</v>
      </c>
      <c r="V16" s="1">
        <v>0</v>
      </c>
      <c r="W16" s="1"/>
      <c r="X16" s="1">
        <f t="shared" si="6"/>
        <v>182</v>
      </c>
      <c r="Y16" s="1"/>
      <c r="Z16" s="1"/>
      <c r="AF16" s="1"/>
      <c r="AG16" s="1"/>
      <c r="AH16" s="1"/>
      <c r="AJ16" s="1"/>
      <c r="AK16" s="1"/>
      <c r="AL16" s="1"/>
      <c r="AM16" s="1"/>
      <c r="AN16" s="1"/>
    </row>
    <row r="17" spans="1:40">
      <c r="A17" s="1"/>
      <c r="B17" s="1"/>
      <c r="C17" s="1"/>
      <c r="D17" s="1"/>
      <c r="E17" s="1"/>
      <c r="F17" s="1"/>
      <c r="G17" s="10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>
      <c r="A18" s="1"/>
      <c r="B18" s="1"/>
      <c r="C18" s="1"/>
      <c r="D18" s="1"/>
      <c r="E18" s="1"/>
      <c r="F18" s="1"/>
      <c r="G18" s="10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>
      <c r="A19" s="1"/>
      <c r="B19" s="1"/>
      <c r="C19" s="1"/>
      <c r="D19" s="1"/>
      <c r="E19" s="1"/>
      <c r="F19" s="1"/>
      <c r="G19" s="10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>
      <c r="A20" s="1"/>
      <c r="B20" s="1"/>
      <c r="C20" s="1"/>
      <c r="D20" s="1"/>
      <c r="E20" s="1"/>
      <c r="F20" s="1"/>
      <c r="G20" s="10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>
      <c r="A21" s="1"/>
      <c r="B21" s="1"/>
      <c r="C21" s="1"/>
      <c r="D21" s="1"/>
      <c r="E21" s="1"/>
      <c r="F21" s="1"/>
      <c r="G21" s="10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>
      <c r="A22" s="1"/>
      <c r="B22" s="1"/>
      <c r="C22" s="1"/>
      <c r="D22" s="1"/>
      <c r="E22" s="1"/>
      <c r="F22" s="1"/>
      <c r="G22" s="10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>
      <c r="A23" s="1"/>
      <c r="B23" s="1"/>
      <c r="C23" s="1"/>
      <c r="D23" s="1"/>
      <c r="E23" s="1"/>
      <c r="F23" s="1"/>
      <c r="G23" s="10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>
      <c r="A24" s="1"/>
      <c r="B24" s="1"/>
      <c r="C24" s="1"/>
      <c r="D24" s="1"/>
      <c r="E24" s="1"/>
      <c r="F24" s="1"/>
      <c r="G24" s="10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>
      <c r="A25" s="1"/>
      <c r="B25" s="1"/>
      <c r="C25" s="1"/>
      <c r="D25" s="1"/>
      <c r="E25" s="1"/>
      <c r="F25" s="1"/>
      <c r="G25" s="10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>
      <c r="A26" s="1"/>
      <c r="B26" s="1"/>
      <c r="C26" s="1"/>
      <c r="D26" s="1"/>
      <c r="E26" s="1"/>
      <c r="F26" s="1"/>
      <c r="G26" s="10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>
      <c r="A27" s="1"/>
      <c r="B27" s="1"/>
      <c r="C27" s="1"/>
      <c r="D27" s="1"/>
      <c r="E27" s="1"/>
      <c r="F27" s="1"/>
      <c r="G27" s="10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>
      <c r="A28" s="1"/>
      <c r="B28" s="1"/>
      <c r="C28" s="1"/>
      <c r="D28" s="1"/>
      <c r="E28" s="1"/>
      <c r="F28" s="1"/>
      <c r="G28" s="10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>
      <c r="A29" s="1"/>
      <c r="B29" s="1"/>
      <c r="C29" s="1"/>
      <c r="D29" s="1"/>
      <c r="E29" s="1"/>
      <c r="F29" s="1"/>
      <c r="G29" s="10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>
      <c r="A30" s="1"/>
      <c r="B30" s="1"/>
      <c r="C30" s="1"/>
      <c r="D30" s="1"/>
      <c r="E30" s="1"/>
      <c r="F30" s="1"/>
      <c r="G30" s="10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>
      <c r="A31" s="1"/>
      <c r="B31" s="1"/>
      <c r="C31" s="1"/>
      <c r="D31" s="1"/>
      <c r="E31" s="1"/>
      <c r="F31" s="1"/>
      <c r="G31" s="10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>
      <c r="A32" s="1"/>
      <c r="B32" s="1"/>
      <c r="C32" s="1"/>
      <c r="D32" s="1"/>
      <c r="E32" s="1"/>
      <c r="F32" s="1"/>
      <c r="G32" s="10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>
      <c r="A33" s="1"/>
      <c r="B33" s="1"/>
      <c r="C33" s="1"/>
      <c r="D33" s="1"/>
      <c r="E33" s="1"/>
      <c r="F33" s="1"/>
      <c r="G33" s="10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>
      <c r="A34" s="1"/>
      <c r="B34" s="1"/>
      <c r="C34" s="1"/>
      <c r="D34" s="1"/>
      <c r="E34" s="1"/>
      <c r="F34" s="1"/>
      <c r="G34" s="10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>
      <c r="A35" s="1"/>
      <c r="B35" s="1"/>
      <c r="C35" s="1"/>
      <c r="D35" s="1"/>
      <c r="E35" s="1"/>
      <c r="F35" s="1"/>
      <c r="G35" s="10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>
      <c r="A36" s="1"/>
      <c r="B36" s="1"/>
      <c r="C36" s="1"/>
      <c r="D36" s="1"/>
      <c r="E36" s="1"/>
      <c r="F36" s="1"/>
      <c r="G36" s="10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>
      <c r="A37" s="1"/>
      <c r="B37" s="1"/>
      <c r="C37" s="1"/>
      <c r="D37" s="1"/>
      <c r="E37" s="1"/>
      <c r="F37" s="1"/>
      <c r="G37" s="10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>
      <c r="A38" s="1"/>
      <c r="B38" s="1"/>
      <c r="C38" s="1"/>
      <c r="D38" s="1"/>
      <c r="E38" s="1"/>
      <c r="F38" s="1"/>
      <c r="G38" s="10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>
      <c r="A39" s="1"/>
      <c r="B39" s="1"/>
      <c r="C39" s="1"/>
      <c r="D39" s="1"/>
      <c r="E39" s="1"/>
      <c r="F39" s="1"/>
      <c r="G39" s="10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>
      <c r="A40" s="1"/>
      <c r="B40" s="1"/>
      <c r="C40" s="1"/>
      <c r="D40" s="1"/>
      <c r="E40" s="1"/>
      <c r="F40" s="1"/>
      <c r="G40" s="10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>
      <c r="A41" s="1"/>
      <c r="B41" s="1"/>
      <c r="C41" s="1"/>
      <c r="D41" s="1"/>
      <c r="E41" s="1"/>
      <c r="F41" s="1"/>
      <c r="G41" s="10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>
      <c r="A42" s="1"/>
      <c r="B42" s="1"/>
      <c r="C42" s="1"/>
      <c r="D42" s="1"/>
      <c r="E42" s="1"/>
      <c r="F42" s="1"/>
      <c r="G42" s="10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>
      <c r="A43" s="1"/>
      <c r="B43" s="1"/>
      <c r="C43" s="1"/>
      <c r="D43" s="1"/>
      <c r="E43" s="1"/>
      <c r="F43" s="1"/>
      <c r="G43" s="10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>
      <c r="A44" s="1"/>
      <c r="B44" s="1"/>
      <c r="C44" s="1"/>
      <c r="D44" s="1"/>
      <c r="E44" s="1"/>
      <c r="F44" s="1"/>
      <c r="G44" s="10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>
      <c r="A45" s="1"/>
      <c r="B45" s="1"/>
      <c r="C45" s="1"/>
      <c r="D45" s="1"/>
      <c r="E45" s="1"/>
      <c r="F45" s="1"/>
      <c r="G45" s="10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>
      <c r="A46" s="1"/>
      <c r="B46" s="1"/>
      <c r="C46" s="1"/>
      <c r="D46" s="1"/>
      <c r="E46" s="1"/>
      <c r="F46" s="1"/>
      <c r="G46" s="10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>
      <c r="A47" s="1"/>
      <c r="B47" s="1"/>
      <c r="C47" s="1"/>
      <c r="D47" s="1"/>
      <c r="E47" s="1"/>
      <c r="F47" s="1"/>
      <c r="G47" s="10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>
      <c r="A48" s="1"/>
      <c r="B48" s="1"/>
      <c r="C48" s="1"/>
      <c r="D48" s="1"/>
      <c r="E48" s="1"/>
      <c r="F48" s="1"/>
      <c r="G48" s="10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40">
      <c r="A49" s="1"/>
      <c r="B49" s="1"/>
      <c r="C49" s="1"/>
      <c r="D49" s="1"/>
      <c r="E49" s="1"/>
      <c r="F49" s="1"/>
      <c r="G49" s="10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spans="1:40">
      <c r="A50" s="1"/>
      <c r="B50" s="1"/>
      <c r="C50" s="1"/>
      <c r="D50" s="1"/>
      <c r="E50" s="1"/>
      <c r="F50" s="1"/>
      <c r="G50" s="10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spans="1:40">
      <c r="A51" s="1"/>
      <c r="B51" s="1"/>
      <c r="C51" s="1"/>
      <c r="D51" s="1"/>
      <c r="E51" s="1"/>
      <c r="F51" s="1"/>
      <c r="G51" s="10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1:40">
      <c r="A52" s="1"/>
      <c r="B52" s="1"/>
      <c r="C52" s="1"/>
      <c r="D52" s="1"/>
      <c r="E52" s="1"/>
      <c r="F52" s="1"/>
      <c r="G52" s="10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pans="1:40">
      <c r="A53" s="1"/>
      <c r="B53" s="1"/>
      <c r="C53" s="1"/>
      <c r="D53" s="1"/>
      <c r="E53" s="1"/>
      <c r="F53" s="1"/>
      <c r="G53" s="10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spans="1:40">
      <c r="A54" s="1"/>
      <c r="B54" s="1"/>
      <c r="C54" s="1"/>
      <c r="D54" s="1"/>
      <c r="E54" s="1"/>
      <c r="F54" s="1"/>
      <c r="G54" s="10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pans="1:40">
      <c r="A55" s="1"/>
      <c r="B55" s="1"/>
      <c r="C55" s="1"/>
      <c r="D55" s="1"/>
      <c r="E55" s="1"/>
      <c r="F55" s="1"/>
      <c r="G55" s="10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pans="1:40">
      <c r="A56" s="1"/>
      <c r="B56" s="1"/>
      <c r="C56" s="1"/>
      <c r="D56" s="1"/>
      <c r="E56" s="1"/>
      <c r="F56" s="1"/>
      <c r="G56" s="10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pans="1:40">
      <c r="A57" s="1"/>
      <c r="B57" s="1"/>
      <c r="C57" s="1"/>
      <c r="D57" s="1"/>
      <c r="E57" s="1"/>
      <c r="F57" s="1"/>
      <c r="G57" s="10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:40">
      <c r="A58" s="1"/>
      <c r="B58" s="1"/>
      <c r="C58" s="1"/>
      <c r="D58" s="1"/>
      <c r="E58" s="1"/>
      <c r="F58" s="1"/>
      <c r="G58" s="10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:40">
      <c r="A59" s="1"/>
      <c r="B59" s="1"/>
      <c r="C59" s="1"/>
      <c r="D59" s="1"/>
      <c r="E59" s="1"/>
      <c r="F59" s="1"/>
      <c r="G59" s="10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:40">
      <c r="A60" s="1"/>
      <c r="B60" s="1"/>
      <c r="C60" s="1"/>
      <c r="D60" s="1"/>
      <c r="E60" s="1"/>
      <c r="F60" s="1"/>
      <c r="G60" s="10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>
      <c r="A61" s="1"/>
      <c r="B61" s="1"/>
      <c r="C61" s="1"/>
      <c r="D61" s="1"/>
      <c r="E61" s="1"/>
      <c r="F61" s="1"/>
      <c r="G61" s="10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40">
      <c r="A62" s="1"/>
      <c r="B62" s="1"/>
      <c r="C62" s="1"/>
      <c r="D62" s="1"/>
      <c r="E62" s="1"/>
      <c r="F62" s="1"/>
      <c r="G62" s="10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40">
      <c r="A63" s="1"/>
      <c r="B63" s="1"/>
      <c r="C63" s="1"/>
      <c r="D63" s="1"/>
      <c r="E63" s="1"/>
      <c r="F63" s="1"/>
      <c r="G63" s="10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:40">
      <c r="A64" s="1"/>
      <c r="B64" s="1"/>
      <c r="C64" s="1"/>
      <c r="D64" s="1"/>
      <c r="E64" s="1"/>
      <c r="F64" s="1"/>
      <c r="G64" s="10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:40">
      <c r="A65" s="1"/>
      <c r="B65" s="1"/>
      <c r="C65" s="1"/>
      <c r="D65" s="1"/>
      <c r="E65" s="1"/>
      <c r="F65" s="1"/>
      <c r="G65" s="10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1:40">
      <c r="A66" s="1"/>
      <c r="B66" s="1"/>
      <c r="C66" s="1"/>
      <c r="D66" s="1"/>
      <c r="E66" s="1"/>
      <c r="F66" s="1"/>
      <c r="G66" s="10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>
      <c r="A67" s="1"/>
      <c r="B67" s="1"/>
      <c r="C67" s="1"/>
      <c r="D67" s="1"/>
      <c r="E67" s="1"/>
      <c r="F67" s="1"/>
      <c r="G67" s="10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:40">
      <c r="A68" s="1"/>
      <c r="B68" s="1"/>
      <c r="C68" s="1"/>
      <c r="D68" s="1"/>
      <c r="E68" s="1"/>
      <c r="F68" s="1"/>
      <c r="G68" s="10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:40">
      <c r="A69" s="1"/>
      <c r="B69" s="1"/>
      <c r="C69" s="1"/>
      <c r="D69" s="1"/>
      <c r="E69" s="1"/>
      <c r="F69" s="1"/>
      <c r="G69" s="10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>
      <c r="A70" s="1"/>
      <c r="B70" s="1"/>
      <c r="C70" s="1"/>
      <c r="D70" s="1"/>
      <c r="E70" s="1"/>
      <c r="F70" s="1"/>
      <c r="G70" s="10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40">
      <c r="A71" s="1"/>
      <c r="B71" s="1"/>
      <c r="C71" s="1"/>
      <c r="D71" s="1"/>
      <c r="E71" s="1"/>
      <c r="F71" s="1"/>
      <c r="G71" s="10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40">
      <c r="A72" s="1"/>
      <c r="B72" s="1"/>
      <c r="C72" s="1"/>
      <c r="D72" s="1"/>
      <c r="E72" s="1"/>
      <c r="F72" s="1"/>
      <c r="G72" s="10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:40">
      <c r="A73" s="1"/>
      <c r="B73" s="1"/>
      <c r="C73" s="1"/>
      <c r="D73" s="1"/>
      <c r="E73" s="1"/>
      <c r="F73" s="1"/>
      <c r="G73" s="10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:40">
      <c r="A74" s="1"/>
      <c r="B74" s="1"/>
      <c r="C74" s="1"/>
      <c r="D74" s="1"/>
      <c r="E74" s="1"/>
      <c r="F74" s="1"/>
      <c r="G74" s="10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:40">
      <c r="A75" s="1"/>
      <c r="B75" s="1"/>
      <c r="C75" s="1"/>
      <c r="D75" s="1"/>
      <c r="E75" s="1"/>
      <c r="F75" s="1"/>
      <c r="G75" s="10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40">
      <c r="A76" s="1"/>
      <c r="B76" s="1"/>
      <c r="C76" s="1"/>
      <c r="D76" s="1"/>
      <c r="E76" s="1"/>
      <c r="F76" s="1"/>
      <c r="G76" s="10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:40">
      <c r="A77" s="1"/>
      <c r="B77" s="1"/>
      <c r="C77" s="1"/>
      <c r="D77" s="1"/>
      <c r="E77" s="1"/>
      <c r="F77" s="1"/>
      <c r="G77" s="10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1:40">
      <c r="A78" s="1"/>
      <c r="B78" s="1"/>
      <c r="C78" s="1"/>
      <c r="D78" s="1"/>
      <c r="E78" s="1"/>
      <c r="F78" s="1"/>
      <c r="G78" s="10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:40">
      <c r="A79" s="1"/>
      <c r="B79" s="1"/>
      <c r="C79" s="1"/>
      <c r="D79" s="1"/>
      <c r="E79" s="1"/>
      <c r="F79" s="1"/>
      <c r="G79" s="10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:40">
      <c r="A80" s="1"/>
      <c r="B80" s="1"/>
      <c r="C80" s="1"/>
      <c r="D80" s="1"/>
      <c r="E80" s="1"/>
      <c r="F80" s="1"/>
      <c r="G80" s="10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1:40">
      <c r="A81" s="1"/>
      <c r="B81" s="1"/>
      <c r="C81" s="1"/>
      <c r="D81" s="1"/>
      <c r="E81" s="1"/>
      <c r="F81" s="1"/>
      <c r="G81" s="10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1:40">
      <c r="A82" s="1"/>
      <c r="B82" s="1"/>
      <c r="C82" s="1"/>
      <c r="D82" s="1"/>
      <c r="E82" s="1"/>
      <c r="F82" s="1"/>
      <c r="G82" s="10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:40">
      <c r="A83" s="1"/>
      <c r="B83" s="1"/>
      <c r="C83" s="1"/>
      <c r="D83" s="1"/>
      <c r="E83" s="1"/>
      <c r="F83" s="1"/>
      <c r="G83" s="10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1:40">
      <c r="A84" s="1"/>
      <c r="B84" s="1"/>
      <c r="C84" s="1"/>
      <c r="D84" s="1"/>
      <c r="E84" s="1"/>
      <c r="F84" s="1"/>
      <c r="G84" s="10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1:40">
      <c r="A85" s="1"/>
      <c r="B85" s="1"/>
      <c r="C85" s="1"/>
      <c r="D85" s="1"/>
      <c r="E85" s="1"/>
      <c r="F85" s="1"/>
      <c r="G85" s="10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1:40">
      <c r="A86" s="1"/>
      <c r="B86" s="1"/>
      <c r="C86" s="1"/>
      <c r="D86" s="1"/>
      <c r="E86" s="1"/>
      <c r="F86" s="1"/>
      <c r="G86" s="10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1:40">
      <c r="A87" s="1"/>
      <c r="B87" s="1"/>
      <c r="C87" s="1"/>
      <c r="D87" s="1"/>
      <c r="E87" s="1"/>
      <c r="F87" s="1"/>
      <c r="G87" s="10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1:40">
      <c r="A88" s="1"/>
      <c r="B88" s="1"/>
      <c r="C88" s="1"/>
      <c r="D88" s="1"/>
      <c r="E88" s="1"/>
      <c r="F88" s="1"/>
      <c r="G88" s="10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1:40">
      <c r="A89" s="1"/>
      <c r="B89" s="1"/>
      <c r="C89" s="1"/>
      <c r="D89" s="1"/>
      <c r="E89" s="1"/>
      <c r="F89" s="1"/>
      <c r="G89" s="10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>
      <c r="A90" s="1"/>
      <c r="B90" s="1"/>
      <c r="C90" s="1"/>
      <c r="D90" s="1"/>
      <c r="E90" s="1"/>
      <c r="F90" s="1"/>
      <c r="G90" s="10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1:40">
      <c r="A91" s="1"/>
      <c r="B91" s="1"/>
      <c r="C91" s="1"/>
      <c r="D91" s="1"/>
      <c r="E91" s="1"/>
      <c r="F91" s="1"/>
      <c r="G91" s="10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1:40">
      <c r="A92" s="1"/>
      <c r="B92" s="1"/>
      <c r="C92" s="1"/>
      <c r="D92" s="1"/>
      <c r="E92" s="1"/>
      <c r="F92" s="1"/>
      <c r="G92" s="10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1:40">
      <c r="A93" s="1"/>
      <c r="B93" s="1"/>
      <c r="C93" s="1"/>
      <c r="D93" s="1"/>
      <c r="E93" s="1"/>
      <c r="F93" s="1"/>
      <c r="G93" s="10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1:40">
      <c r="A94" s="1"/>
      <c r="B94" s="1"/>
      <c r="C94" s="1"/>
      <c r="D94" s="1"/>
      <c r="E94" s="1"/>
      <c r="F94" s="1"/>
      <c r="G94" s="10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pans="1:40">
      <c r="A95" s="1"/>
      <c r="B95" s="1"/>
      <c r="C95" s="1"/>
      <c r="D95" s="1"/>
      <c r="E95" s="1"/>
      <c r="F95" s="1"/>
      <c r="G95" s="10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1:40">
      <c r="A96" s="1"/>
      <c r="B96" s="1"/>
      <c r="C96" s="1"/>
      <c r="D96" s="1"/>
      <c r="E96" s="1"/>
      <c r="F96" s="1"/>
      <c r="G96" s="10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pans="1:40">
      <c r="A97" s="1"/>
      <c r="B97" s="1"/>
      <c r="C97" s="1"/>
      <c r="D97" s="1"/>
      <c r="E97" s="1"/>
      <c r="F97" s="1"/>
      <c r="G97" s="10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pans="1:40">
      <c r="A98" s="1"/>
      <c r="B98" s="1"/>
      <c r="C98" s="1"/>
      <c r="D98" s="1"/>
      <c r="E98" s="1"/>
      <c r="F98" s="1"/>
      <c r="G98" s="10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spans="1:40">
      <c r="A99" s="1"/>
      <c r="B99" s="1"/>
      <c r="C99" s="1"/>
      <c r="D99" s="1"/>
      <c r="E99" s="1"/>
      <c r="F99" s="1"/>
      <c r="G99" s="10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spans="1:40">
      <c r="A100" s="1"/>
      <c r="B100" s="1"/>
      <c r="C100" s="1"/>
      <c r="D100" s="1"/>
      <c r="E100" s="1"/>
      <c r="F100" s="1"/>
      <c r="G100" s="10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 spans="1:40">
      <c r="A101" s="1"/>
      <c r="B101" s="1"/>
      <c r="C101" s="1"/>
      <c r="D101" s="1"/>
      <c r="E101" s="1"/>
      <c r="F101" s="1"/>
      <c r="G101" s="10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 spans="1:40">
      <c r="A102" s="1"/>
      <c r="B102" s="1"/>
      <c r="C102" s="1"/>
      <c r="D102" s="1"/>
      <c r="E102" s="1"/>
      <c r="F102" s="1"/>
      <c r="G102" s="10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 spans="1:40">
      <c r="A103" s="1"/>
      <c r="B103" s="1"/>
      <c r="C103" s="1"/>
      <c r="D103" s="1"/>
      <c r="E103" s="1"/>
      <c r="F103" s="1"/>
      <c r="G103" s="10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 spans="1:40">
      <c r="A104" s="1"/>
      <c r="B104" s="1"/>
      <c r="C104" s="1"/>
      <c r="D104" s="1"/>
      <c r="E104" s="1"/>
      <c r="F104" s="1"/>
      <c r="G104" s="10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 spans="1:40">
      <c r="A105" s="1"/>
      <c r="B105" s="1"/>
      <c r="C105" s="1"/>
      <c r="D105" s="1"/>
      <c r="E105" s="1"/>
      <c r="F105" s="1"/>
      <c r="G105" s="10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 spans="1:40">
      <c r="A106" s="1"/>
      <c r="B106" s="1"/>
      <c r="C106" s="1"/>
      <c r="D106" s="1"/>
      <c r="E106" s="1"/>
      <c r="F106" s="1"/>
      <c r="G106" s="10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 spans="1:40">
      <c r="A107" s="1"/>
      <c r="B107" s="1"/>
      <c r="C107" s="1"/>
      <c r="D107" s="1"/>
      <c r="E107" s="1"/>
      <c r="F107" s="1"/>
      <c r="G107" s="10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 spans="1:40">
      <c r="A108" s="1"/>
      <c r="B108" s="1"/>
      <c r="C108" s="1"/>
      <c r="D108" s="1"/>
      <c r="E108" s="1"/>
      <c r="F108" s="1"/>
      <c r="G108" s="10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 spans="1:40">
      <c r="A109" s="1"/>
      <c r="B109" s="1"/>
      <c r="C109" s="1"/>
      <c r="D109" s="1"/>
      <c r="E109" s="1"/>
      <c r="F109" s="1"/>
      <c r="G109" s="10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 spans="1:40">
      <c r="A110" s="1"/>
      <c r="B110" s="1"/>
      <c r="C110" s="1"/>
      <c r="D110" s="1"/>
      <c r="E110" s="1"/>
      <c r="F110" s="1"/>
      <c r="G110" s="10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 spans="1:40">
      <c r="A111" s="1"/>
      <c r="B111" s="1"/>
      <c r="C111" s="1"/>
      <c r="D111" s="1"/>
      <c r="E111" s="1"/>
      <c r="F111" s="1"/>
      <c r="G111" s="10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 spans="1:40">
      <c r="A112" s="1"/>
      <c r="B112" s="1"/>
      <c r="C112" s="1"/>
      <c r="D112" s="1"/>
      <c r="E112" s="1"/>
      <c r="F112" s="1"/>
      <c r="G112" s="10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 spans="1:40">
      <c r="A113" s="1"/>
      <c r="B113" s="1"/>
      <c r="C113" s="1"/>
      <c r="D113" s="1"/>
      <c r="E113" s="1"/>
      <c r="F113" s="1"/>
      <c r="G113" s="10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 spans="1:40">
      <c r="A114" s="1"/>
      <c r="B114" s="1"/>
      <c r="C114" s="1"/>
      <c r="D114" s="1"/>
      <c r="E114" s="1"/>
      <c r="F114" s="1"/>
      <c r="G114" s="10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 spans="1:40">
      <c r="A115" s="1"/>
      <c r="B115" s="1"/>
      <c r="C115" s="1"/>
      <c r="D115" s="1"/>
      <c r="E115" s="1"/>
      <c r="F115" s="1"/>
      <c r="G115" s="10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 spans="1:40">
      <c r="A116" s="1"/>
      <c r="B116" s="1"/>
      <c r="C116" s="1"/>
      <c r="D116" s="1"/>
      <c r="E116" s="1"/>
      <c r="F116" s="1"/>
      <c r="G116" s="10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 spans="1:40">
      <c r="A117" s="1"/>
      <c r="B117" s="1"/>
      <c r="C117" s="1"/>
      <c r="D117" s="1"/>
      <c r="E117" s="1"/>
      <c r="F117" s="1"/>
      <c r="G117" s="10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 spans="1:40">
      <c r="A118" s="1"/>
      <c r="B118" s="1"/>
      <c r="C118" s="1"/>
      <c r="D118" s="1"/>
      <c r="E118" s="1"/>
      <c r="F118" s="1"/>
      <c r="G118" s="10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 spans="1:40">
      <c r="A119" s="1"/>
      <c r="B119" s="1"/>
      <c r="C119" s="1"/>
      <c r="D119" s="1"/>
      <c r="E119" s="1"/>
      <c r="F119" s="1"/>
      <c r="G119" s="10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 spans="1:40">
      <c r="A120" s="1"/>
      <c r="B120" s="1"/>
      <c r="C120" s="1"/>
      <c r="D120" s="1"/>
      <c r="E120" s="1"/>
      <c r="F120" s="1"/>
      <c r="G120" s="10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 spans="1:40">
      <c r="A121" s="1"/>
      <c r="B121" s="1"/>
      <c r="C121" s="1"/>
      <c r="D121" s="1"/>
      <c r="E121" s="1"/>
      <c r="F121" s="1"/>
      <c r="G121" s="10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 spans="1:40">
      <c r="A122" s="1"/>
      <c r="B122" s="1"/>
      <c r="C122" s="1"/>
      <c r="D122" s="1"/>
      <c r="E122" s="1"/>
      <c r="F122" s="1"/>
      <c r="G122" s="10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 spans="1:40">
      <c r="A123" s="1"/>
      <c r="B123" s="1"/>
      <c r="C123" s="1"/>
      <c r="D123" s="1"/>
      <c r="E123" s="1"/>
      <c r="F123" s="1"/>
      <c r="G123" s="10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 spans="1:40">
      <c r="A124" s="1"/>
      <c r="B124" s="1"/>
      <c r="C124" s="1"/>
      <c r="D124" s="1"/>
      <c r="E124" s="1"/>
      <c r="F124" s="1"/>
      <c r="G124" s="10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 spans="1:40">
      <c r="A125" s="1"/>
      <c r="B125" s="1"/>
      <c r="C125" s="1"/>
      <c r="D125" s="1"/>
      <c r="E125" s="1"/>
      <c r="F125" s="1"/>
      <c r="G125" s="10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 spans="1:40">
      <c r="A126" s="1"/>
      <c r="B126" s="1"/>
      <c r="C126" s="1"/>
      <c r="D126" s="1"/>
      <c r="E126" s="1"/>
      <c r="F126" s="1"/>
      <c r="G126" s="10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 spans="1:40">
      <c r="A127" s="1"/>
      <c r="B127" s="1"/>
      <c r="C127" s="1"/>
      <c r="D127" s="1"/>
      <c r="E127" s="1"/>
      <c r="F127" s="1"/>
      <c r="G127" s="10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 spans="1:40">
      <c r="A128" s="1"/>
      <c r="B128" s="1"/>
      <c r="C128" s="1"/>
      <c r="D128" s="1"/>
      <c r="E128" s="1"/>
      <c r="F128" s="1"/>
      <c r="G128" s="10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 spans="1:40">
      <c r="A129" s="1"/>
      <c r="B129" s="1"/>
      <c r="C129" s="1"/>
      <c r="D129" s="1"/>
      <c r="E129" s="1"/>
      <c r="F129" s="1"/>
      <c r="G129" s="10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 spans="1:40">
      <c r="A130" s="1"/>
      <c r="B130" s="1"/>
      <c r="C130" s="1"/>
      <c r="D130" s="1"/>
      <c r="E130" s="1"/>
      <c r="F130" s="1"/>
      <c r="G130" s="10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 spans="1:40">
      <c r="A131" s="1"/>
      <c r="B131" s="1"/>
      <c r="C131" s="1"/>
      <c r="D131" s="1"/>
      <c r="E131" s="1"/>
      <c r="F131" s="1"/>
      <c r="G131" s="10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 spans="1:40">
      <c r="A132" s="1"/>
      <c r="B132" s="1"/>
      <c r="C132" s="1"/>
      <c r="D132" s="1"/>
      <c r="E132" s="1"/>
      <c r="F132" s="1"/>
      <c r="G132" s="10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 spans="1:40">
      <c r="A133" s="1"/>
      <c r="B133" s="1"/>
      <c r="C133" s="1"/>
      <c r="D133" s="1"/>
      <c r="E133" s="1"/>
      <c r="F133" s="1"/>
      <c r="G133" s="10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 spans="1:40">
      <c r="A134" s="1"/>
      <c r="B134" s="1"/>
      <c r="C134" s="1"/>
      <c r="D134" s="1"/>
      <c r="E134" s="1"/>
      <c r="F134" s="1"/>
      <c r="G134" s="10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 spans="1:40">
      <c r="A135" s="1"/>
      <c r="B135" s="1"/>
      <c r="C135" s="1"/>
      <c r="D135" s="1"/>
      <c r="E135" s="1"/>
      <c r="F135" s="1"/>
      <c r="G135" s="10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 spans="1:40">
      <c r="A136" s="1"/>
      <c r="B136" s="1"/>
      <c r="C136" s="1"/>
      <c r="D136" s="1"/>
      <c r="E136" s="1"/>
      <c r="F136" s="1"/>
      <c r="G136" s="10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 spans="1:40">
      <c r="A137" s="1"/>
      <c r="B137" s="1"/>
      <c r="C137" s="1"/>
      <c r="D137" s="1"/>
      <c r="E137" s="1"/>
      <c r="F137" s="1"/>
      <c r="G137" s="10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 spans="1:40">
      <c r="A138" s="1"/>
      <c r="B138" s="1"/>
      <c r="C138" s="1"/>
      <c r="D138" s="1"/>
      <c r="E138" s="1"/>
      <c r="F138" s="1"/>
      <c r="G138" s="10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 spans="1:40">
      <c r="A139" s="1"/>
      <c r="B139" s="1"/>
      <c r="C139" s="1"/>
      <c r="D139" s="1"/>
      <c r="E139" s="1"/>
      <c r="F139" s="1"/>
      <c r="G139" s="10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spans="1:40">
      <c r="A140" s="1"/>
      <c r="B140" s="1"/>
      <c r="C140" s="1"/>
      <c r="D140" s="1"/>
      <c r="E140" s="1"/>
      <c r="F140" s="1"/>
      <c r="G140" s="10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 spans="1:40">
      <c r="A141" s="1"/>
      <c r="B141" s="1"/>
      <c r="C141" s="1"/>
      <c r="D141" s="1"/>
      <c r="E141" s="1"/>
      <c r="F141" s="1"/>
      <c r="G141" s="10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 spans="1:40">
      <c r="A142" s="1"/>
      <c r="B142" s="1"/>
      <c r="C142" s="1"/>
      <c r="D142" s="1"/>
      <c r="E142" s="1"/>
      <c r="F142" s="1"/>
      <c r="G142" s="10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 spans="1:40">
      <c r="A143" s="1"/>
      <c r="B143" s="1"/>
      <c r="C143" s="1"/>
      <c r="D143" s="1"/>
      <c r="E143" s="1"/>
      <c r="F143" s="1"/>
      <c r="G143" s="10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 spans="1:40">
      <c r="A144" s="1"/>
      <c r="B144" s="1"/>
      <c r="C144" s="1"/>
      <c r="D144" s="1"/>
      <c r="E144" s="1"/>
      <c r="F144" s="1"/>
      <c r="G144" s="10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 spans="1:40">
      <c r="A145" s="1"/>
      <c r="B145" s="1"/>
      <c r="C145" s="1"/>
      <c r="D145" s="1"/>
      <c r="E145" s="1"/>
      <c r="F145" s="1"/>
      <c r="G145" s="10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 spans="1:40">
      <c r="A146" s="1"/>
      <c r="B146" s="1"/>
      <c r="C146" s="1"/>
      <c r="D146" s="1"/>
      <c r="E146" s="1"/>
      <c r="F146" s="1"/>
      <c r="G146" s="10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 spans="1:40">
      <c r="A147" s="1"/>
      <c r="B147" s="1"/>
      <c r="C147" s="1"/>
      <c r="D147" s="1"/>
      <c r="E147" s="1"/>
      <c r="F147" s="1"/>
      <c r="G147" s="10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 spans="1:40">
      <c r="A148" s="1"/>
      <c r="B148" s="1"/>
      <c r="C148" s="1"/>
      <c r="D148" s="1"/>
      <c r="E148" s="1"/>
      <c r="F148" s="1"/>
      <c r="G148" s="10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 spans="1:40">
      <c r="A149" s="1"/>
      <c r="B149" s="1"/>
      <c r="C149" s="1"/>
      <c r="D149" s="1"/>
      <c r="E149" s="1"/>
      <c r="F149" s="1"/>
      <c r="G149" s="10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 spans="1:40">
      <c r="A150" s="1"/>
      <c r="B150" s="1"/>
      <c r="C150" s="1"/>
      <c r="D150" s="1"/>
      <c r="E150" s="1"/>
      <c r="F150" s="1"/>
      <c r="G150" s="10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 spans="1:40">
      <c r="A151" s="1"/>
      <c r="B151" s="1"/>
      <c r="C151" s="1"/>
      <c r="D151" s="1"/>
      <c r="E151" s="1"/>
      <c r="F151" s="1"/>
      <c r="G151" s="10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 spans="1:40">
      <c r="A152" s="1"/>
      <c r="B152" s="1"/>
      <c r="C152" s="1"/>
      <c r="D152" s="1"/>
      <c r="E152" s="1"/>
      <c r="F152" s="1"/>
      <c r="G152" s="10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spans="1:40">
      <c r="A153" s="1"/>
      <c r="B153" s="1"/>
      <c r="C153" s="1"/>
      <c r="D153" s="1"/>
      <c r="E153" s="1"/>
      <c r="F153" s="1"/>
      <c r="G153" s="10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 spans="1:40">
      <c r="A154" s="1"/>
      <c r="B154" s="1"/>
      <c r="C154" s="1"/>
      <c r="D154" s="1"/>
      <c r="E154" s="1"/>
      <c r="F154" s="1"/>
      <c r="G154" s="10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 spans="1:40">
      <c r="A155" s="1"/>
      <c r="B155" s="1"/>
      <c r="C155" s="1"/>
      <c r="D155" s="1"/>
      <c r="E155" s="1"/>
      <c r="F155" s="1"/>
      <c r="G155" s="10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 spans="1:40">
      <c r="A156" s="1"/>
      <c r="B156" s="1"/>
      <c r="C156" s="1"/>
      <c r="D156" s="1"/>
      <c r="E156" s="1"/>
      <c r="F156" s="1"/>
      <c r="G156" s="10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 spans="1:40">
      <c r="A157" s="1"/>
      <c r="B157" s="1"/>
      <c r="C157" s="1"/>
      <c r="D157" s="1"/>
      <c r="E157" s="1"/>
      <c r="F157" s="1"/>
      <c r="G157" s="10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 spans="1:40">
      <c r="A158" s="1"/>
      <c r="B158" s="1"/>
      <c r="C158" s="1"/>
      <c r="D158" s="1"/>
      <c r="E158" s="1"/>
      <c r="F158" s="1"/>
      <c r="G158" s="10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 spans="1:40">
      <c r="A159" s="1"/>
      <c r="B159" s="1"/>
      <c r="C159" s="1"/>
      <c r="D159" s="1"/>
      <c r="E159" s="1"/>
      <c r="F159" s="1"/>
      <c r="G159" s="10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 spans="1:40">
      <c r="A160" s="1"/>
      <c r="B160" s="1"/>
      <c r="C160" s="1"/>
      <c r="D160" s="1"/>
      <c r="E160" s="1"/>
      <c r="F160" s="1"/>
      <c r="G160" s="10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 spans="1:40">
      <c r="A161" s="1"/>
      <c r="B161" s="1"/>
      <c r="C161" s="1"/>
      <c r="D161" s="1"/>
      <c r="E161" s="1"/>
      <c r="F161" s="1"/>
      <c r="G161" s="10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 spans="1:40">
      <c r="A162" s="1"/>
      <c r="B162" s="1"/>
      <c r="C162" s="1"/>
      <c r="D162" s="1"/>
      <c r="E162" s="1"/>
      <c r="F162" s="1"/>
      <c r="G162" s="10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 spans="1:40">
      <c r="A163" s="1"/>
      <c r="B163" s="1"/>
      <c r="C163" s="1"/>
      <c r="D163" s="1"/>
      <c r="E163" s="1"/>
      <c r="F163" s="1"/>
      <c r="G163" s="10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spans="1:40">
      <c r="A164" s="1"/>
      <c r="B164" s="1"/>
      <c r="C164" s="1"/>
      <c r="D164" s="1"/>
      <c r="E164" s="1"/>
      <c r="F164" s="1"/>
      <c r="G164" s="10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 spans="1:40">
      <c r="A165" s="1"/>
      <c r="B165" s="1"/>
      <c r="C165" s="1"/>
      <c r="D165" s="1"/>
      <c r="E165" s="1"/>
      <c r="F165" s="1"/>
      <c r="G165" s="10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 spans="1:40">
      <c r="A166" s="1"/>
      <c r="B166" s="1"/>
      <c r="C166" s="1"/>
      <c r="D166" s="1"/>
      <c r="E166" s="1"/>
      <c r="F166" s="1"/>
      <c r="G166" s="10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 spans="1:40">
      <c r="A167" s="1"/>
      <c r="B167" s="1"/>
      <c r="C167" s="1"/>
      <c r="D167" s="1"/>
      <c r="E167" s="1"/>
      <c r="F167" s="1"/>
      <c r="G167" s="10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 spans="1:40">
      <c r="A168" s="1"/>
      <c r="B168" s="1"/>
      <c r="C168" s="1"/>
      <c r="D168" s="1"/>
      <c r="E168" s="1"/>
      <c r="F168" s="1"/>
      <c r="G168" s="10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 spans="1:40">
      <c r="A169" s="1"/>
      <c r="B169" s="1"/>
      <c r="C169" s="1"/>
      <c r="D169" s="1"/>
      <c r="E169" s="1"/>
      <c r="F169" s="1"/>
      <c r="G169" s="10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 spans="1:40">
      <c r="A170" s="1"/>
      <c r="B170" s="1"/>
      <c r="C170" s="1"/>
      <c r="D170" s="1"/>
      <c r="E170" s="1"/>
      <c r="F170" s="1"/>
      <c r="G170" s="10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 spans="1:40">
      <c r="A171" s="1"/>
      <c r="B171" s="1"/>
      <c r="C171" s="1"/>
      <c r="D171" s="1"/>
      <c r="E171" s="1"/>
      <c r="F171" s="1"/>
      <c r="G171" s="10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 spans="1:40">
      <c r="A172" s="1"/>
      <c r="B172" s="1"/>
      <c r="C172" s="1"/>
      <c r="D172" s="1"/>
      <c r="E172" s="1"/>
      <c r="F172" s="1"/>
      <c r="G172" s="10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 spans="1:40">
      <c r="A173" s="1"/>
      <c r="B173" s="1"/>
      <c r="C173" s="1"/>
      <c r="D173" s="1"/>
      <c r="E173" s="1"/>
      <c r="F173" s="1"/>
      <c r="G173" s="10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 spans="1:40">
      <c r="A174" s="1"/>
      <c r="B174" s="1"/>
      <c r="C174" s="1"/>
      <c r="D174" s="1"/>
      <c r="E174" s="1"/>
      <c r="F174" s="1"/>
      <c r="G174" s="10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 spans="1:40">
      <c r="A175" s="1"/>
      <c r="B175" s="1"/>
      <c r="C175" s="1"/>
      <c r="D175" s="1"/>
      <c r="E175" s="1"/>
      <c r="F175" s="1"/>
      <c r="G175" s="10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 spans="1:40">
      <c r="A176" s="1"/>
      <c r="B176" s="1"/>
      <c r="C176" s="1"/>
      <c r="D176" s="1"/>
      <c r="E176" s="1"/>
      <c r="F176" s="1"/>
      <c r="G176" s="10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 spans="1:40">
      <c r="A177" s="1"/>
      <c r="B177" s="1"/>
      <c r="C177" s="1"/>
      <c r="D177" s="1"/>
      <c r="E177" s="1"/>
      <c r="F177" s="1"/>
      <c r="G177" s="10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 spans="1:40">
      <c r="A178" s="1"/>
      <c r="B178" s="1"/>
      <c r="C178" s="1"/>
      <c r="D178" s="1"/>
      <c r="E178" s="1"/>
      <c r="F178" s="1"/>
      <c r="G178" s="10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 spans="1:40">
      <c r="A179" s="1"/>
      <c r="B179" s="1"/>
      <c r="C179" s="1"/>
      <c r="D179" s="1"/>
      <c r="E179" s="1"/>
      <c r="F179" s="1"/>
      <c r="G179" s="10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 spans="1:40">
      <c r="A180" s="1"/>
      <c r="B180" s="1"/>
      <c r="C180" s="1"/>
      <c r="D180" s="1"/>
      <c r="E180" s="1"/>
      <c r="F180" s="1"/>
      <c r="G180" s="10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 spans="1:40">
      <c r="A181" s="1"/>
      <c r="B181" s="1"/>
      <c r="C181" s="1"/>
      <c r="D181" s="1"/>
      <c r="E181" s="1"/>
      <c r="F181" s="1"/>
      <c r="G181" s="10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 spans="1:40">
      <c r="A182" s="1"/>
      <c r="B182" s="1"/>
      <c r="C182" s="1"/>
      <c r="D182" s="1"/>
      <c r="E182" s="1"/>
      <c r="F182" s="1"/>
      <c r="G182" s="10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 spans="1:40">
      <c r="A183" s="1"/>
      <c r="B183" s="1"/>
      <c r="C183" s="1"/>
      <c r="D183" s="1"/>
      <c r="E183" s="1"/>
      <c r="F183" s="1"/>
      <c r="G183" s="10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 spans="1:40">
      <c r="A184" s="1"/>
      <c r="B184" s="1"/>
      <c r="C184" s="1"/>
      <c r="D184" s="1"/>
      <c r="E184" s="1"/>
      <c r="F184" s="1"/>
      <c r="G184" s="10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 spans="1:40">
      <c r="A185" s="1"/>
      <c r="B185" s="1"/>
      <c r="C185" s="1"/>
      <c r="D185" s="1"/>
      <c r="E185" s="1"/>
      <c r="F185" s="1"/>
      <c r="G185" s="10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 spans="1:40">
      <c r="A186" s="1"/>
      <c r="B186" s="1"/>
      <c r="C186" s="1"/>
      <c r="D186" s="1"/>
      <c r="E186" s="1"/>
      <c r="F186" s="1"/>
      <c r="G186" s="10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 spans="1:40">
      <c r="A187" s="1"/>
      <c r="B187" s="1"/>
      <c r="C187" s="1"/>
      <c r="D187" s="1"/>
      <c r="E187" s="1"/>
      <c r="F187" s="1"/>
      <c r="G187" s="10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 spans="1:40">
      <c r="A188" s="1"/>
      <c r="B188" s="1"/>
      <c r="C188" s="1"/>
      <c r="D188" s="1"/>
      <c r="E188" s="1"/>
      <c r="F188" s="1"/>
      <c r="G188" s="10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 spans="1:40">
      <c r="A189" s="1"/>
      <c r="B189" s="1"/>
      <c r="C189" s="1"/>
      <c r="D189" s="1"/>
      <c r="E189" s="1"/>
      <c r="F189" s="1"/>
      <c r="G189" s="10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 spans="1:40">
      <c r="A190" s="1"/>
      <c r="B190" s="1"/>
      <c r="C190" s="1"/>
      <c r="D190" s="1"/>
      <c r="E190" s="1"/>
      <c r="F190" s="1"/>
      <c r="G190" s="10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 spans="1:40">
      <c r="A191" s="1"/>
      <c r="B191" s="1"/>
      <c r="C191" s="1"/>
      <c r="D191" s="1"/>
      <c r="E191" s="1"/>
      <c r="F191" s="1"/>
      <c r="G191" s="10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 spans="1:40">
      <c r="A192" s="1"/>
      <c r="B192" s="1"/>
      <c r="C192" s="1"/>
      <c r="D192" s="1"/>
      <c r="E192" s="1"/>
      <c r="F192" s="1"/>
      <c r="G192" s="10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 spans="1:40">
      <c r="A193" s="1"/>
      <c r="B193" s="1"/>
      <c r="C193" s="1"/>
      <c r="D193" s="1"/>
      <c r="E193" s="1"/>
      <c r="F193" s="1"/>
      <c r="G193" s="10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 spans="1:40">
      <c r="A194" s="1"/>
      <c r="B194" s="1"/>
      <c r="C194" s="1"/>
      <c r="D194" s="1"/>
      <c r="E194" s="1"/>
      <c r="F194" s="1"/>
      <c r="G194" s="10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 spans="1:40">
      <c r="A195" s="1"/>
      <c r="B195" s="1"/>
      <c r="C195" s="1"/>
      <c r="D195" s="1"/>
      <c r="E195" s="1"/>
      <c r="F195" s="1"/>
      <c r="G195" s="10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 spans="1:40">
      <c r="A196" s="1"/>
      <c r="B196" s="1"/>
      <c r="C196" s="1"/>
      <c r="D196" s="1"/>
      <c r="E196" s="1"/>
      <c r="F196" s="1"/>
      <c r="G196" s="10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 spans="1:40">
      <c r="A197" s="1"/>
      <c r="B197" s="1"/>
      <c r="C197" s="1"/>
      <c r="D197" s="1"/>
      <c r="E197" s="1"/>
      <c r="F197" s="1"/>
      <c r="G197" s="10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 spans="1:40">
      <c r="A198" s="1"/>
      <c r="B198" s="1"/>
      <c r="C198" s="1"/>
      <c r="D198" s="1"/>
      <c r="E198" s="1"/>
      <c r="F198" s="1"/>
      <c r="G198" s="10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 spans="1:40">
      <c r="A199" s="1"/>
      <c r="B199" s="1"/>
      <c r="C199" s="1"/>
      <c r="D199" s="1"/>
      <c r="E199" s="1"/>
      <c r="F199" s="1"/>
      <c r="G199" s="10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 spans="1:40">
      <c r="A200" s="1"/>
      <c r="B200" s="1"/>
      <c r="C200" s="1"/>
      <c r="D200" s="1"/>
      <c r="E200" s="1"/>
      <c r="F200" s="1"/>
      <c r="G200" s="10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 spans="1:40">
      <c r="A201" s="1"/>
      <c r="B201" s="1"/>
      <c r="C201" s="1"/>
      <c r="D201" s="1"/>
      <c r="E201" s="1"/>
      <c r="F201" s="1"/>
      <c r="G201" s="10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 spans="1:40">
      <c r="A202" s="1"/>
      <c r="B202" s="1"/>
      <c r="C202" s="1"/>
      <c r="D202" s="1"/>
      <c r="E202" s="1"/>
      <c r="F202" s="1"/>
      <c r="G202" s="10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 spans="1:40">
      <c r="A203" s="1"/>
      <c r="B203" s="1"/>
      <c r="C203" s="1"/>
      <c r="D203" s="1"/>
      <c r="E203" s="1"/>
      <c r="F203" s="1"/>
      <c r="G203" s="10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 spans="1:40">
      <c r="A204" s="1"/>
      <c r="B204" s="1"/>
      <c r="C204" s="1"/>
      <c r="D204" s="1"/>
      <c r="E204" s="1"/>
      <c r="F204" s="1"/>
      <c r="G204" s="10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 spans="1:40">
      <c r="A205" s="1"/>
      <c r="B205" s="1"/>
      <c r="C205" s="1"/>
      <c r="D205" s="1"/>
      <c r="E205" s="1"/>
      <c r="F205" s="1"/>
      <c r="G205" s="10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 spans="1:40">
      <c r="A206" s="1"/>
      <c r="B206" s="1"/>
      <c r="C206" s="1"/>
      <c r="D206" s="1"/>
      <c r="E206" s="1"/>
      <c r="F206" s="1"/>
      <c r="G206" s="10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 spans="1:40">
      <c r="A207" s="1"/>
      <c r="B207" s="1"/>
      <c r="C207" s="1"/>
      <c r="D207" s="1"/>
      <c r="E207" s="1"/>
      <c r="F207" s="1"/>
      <c r="G207" s="10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 spans="1:40">
      <c r="A208" s="1"/>
      <c r="B208" s="1"/>
      <c r="C208" s="1"/>
      <c r="D208" s="1"/>
      <c r="E208" s="1"/>
      <c r="F208" s="1"/>
      <c r="G208" s="10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 spans="1:40">
      <c r="A209" s="1"/>
      <c r="B209" s="1"/>
      <c r="C209" s="1"/>
      <c r="D209" s="1"/>
      <c r="E209" s="1"/>
      <c r="F209" s="1"/>
      <c r="G209" s="10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 spans="1:40">
      <c r="A210" s="1"/>
      <c r="B210" s="1"/>
      <c r="C210" s="1"/>
      <c r="D210" s="1"/>
      <c r="E210" s="1"/>
      <c r="F210" s="1"/>
      <c r="G210" s="10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 spans="1:40">
      <c r="A211" s="1"/>
      <c r="B211" s="1"/>
      <c r="C211" s="1"/>
      <c r="D211" s="1"/>
      <c r="E211" s="1"/>
      <c r="F211" s="1"/>
      <c r="G211" s="10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 spans="1:40">
      <c r="A212" s="1"/>
      <c r="B212" s="1"/>
      <c r="C212" s="1"/>
      <c r="D212" s="1"/>
      <c r="E212" s="1"/>
      <c r="F212" s="1"/>
      <c r="G212" s="10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 spans="1:40">
      <c r="A213" s="1"/>
      <c r="B213" s="1"/>
      <c r="C213" s="1"/>
      <c r="D213" s="1"/>
      <c r="E213" s="1"/>
      <c r="F213" s="1"/>
      <c r="G213" s="10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 spans="1:40">
      <c r="A214" s="1"/>
      <c r="B214" s="1"/>
      <c r="C214" s="1"/>
      <c r="D214" s="1"/>
      <c r="E214" s="1"/>
      <c r="F214" s="1"/>
      <c r="G214" s="10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 spans="1:40">
      <c r="A215" s="1"/>
      <c r="B215" s="1"/>
      <c r="C215" s="1"/>
      <c r="D215" s="1"/>
      <c r="E215" s="1"/>
      <c r="F215" s="1"/>
      <c r="G215" s="10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 spans="1:40">
      <c r="A216" s="1"/>
      <c r="B216" s="1"/>
      <c r="C216" s="1"/>
      <c r="D216" s="1"/>
      <c r="E216" s="1"/>
      <c r="F216" s="1"/>
      <c r="G216" s="10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 spans="1:40">
      <c r="A217" s="1"/>
      <c r="B217" s="1"/>
      <c r="C217" s="1"/>
      <c r="D217" s="1"/>
      <c r="E217" s="1"/>
      <c r="F217" s="1"/>
      <c r="G217" s="10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 spans="1:40">
      <c r="A218" s="1"/>
      <c r="B218" s="1"/>
      <c r="C218" s="1"/>
      <c r="D218" s="1"/>
      <c r="E218" s="1"/>
      <c r="F218" s="1"/>
      <c r="G218" s="10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 spans="1:40">
      <c r="A219" s="1"/>
      <c r="B219" s="1"/>
      <c r="C219" s="1"/>
      <c r="D219" s="1"/>
      <c r="E219" s="1"/>
      <c r="F219" s="1"/>
      <c r="G219" s="10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 spans="1:40">
      <c r="A220" s="1"/>
      <c r="B220" s="1"/>
      <c r="C220" s="1"/>
      <c r="D220" s="1"/>
      <c r="E220" s="1"/>
      <c r="F220" s="1"/>
      <c r="G220" s="10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 spans="1:40">
      <c r="A221" s="1"/>
      <c r="B221" s="1"/>
      <c r="C221" s="1"/>
      <c r="D221" s="1"/>
      <c r="E221" s="1"/>
      <c r="F221" s="1"/>
      <c r="G221" s="10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 spans="1:40">
      <c r="A222" s="1"/>
      <c r="B222" s="1"/>
      <c r="C222" s="1"/>
      <c r="D222" s="1"/>
      <c r="E222" s="1"/>
      <c r="F222" s="1"/>
      <c r="G222" s="10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 spans="1:40">
      <c r="A223" s="1"/>
      <c r="B223" s="1"/>
      <c r="C223" s="1"/>
      <c r="D223" s="1"/>
      <c r="E223" s="1"/>
      <c r="F223" s="1"/>
      <c r="G223" s="10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 spans="1:40">
      <c r="A224" s="1"/>
      <c r="B224" s="1"/>
      <c r="C224" s="1"/>
      <c r="D224" s="1"/>
      <c r="E224" s="1"/>
      <c r="F224" s="1"/>
      <c r="G224" s="10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 spans="1:40">
      <c r="A225" s="1"/>
      <c r="B225" s="1"/>
      <c r="C225" s="1"/>
      <c r="D225" s="1"/>
      <c r="E225" s="1"/>
      <c r="F225" s="1"/>
      <c r="G225" s="10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 spans="1:40">
      <c r="A226" s="1"/>
      <c r="B226" s="1"/>
      <c r="C226" s="1"/>
      <c r="D226" s="1"/>
      <c r="E226" s="1"/>
      <c r="F226" s="1"/>
      <c r="G226" s="10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 spans="1:40">
      <c r="A227" s="1"/>
      <c r="B227" s="1"/>
      <c r="C227" s="1"/>
      <c r="D227" s="1"/>
      <c r="E227" s="1"/>
      <c r="F227" s="1"/>
      <c r="G227" s="10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 spans="1:40">
      <c r="A228" s="1"/>
      <c r="B228" s="1"/>
      <c r="C228" s="1"/>
      <c r="D228" s="1"/>
      <c r="E228" s="1"/>
      <c r="F228" s="1"/>
      <c r="G228" s="10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 spans="1:40">
      <c r="A229" s="1"/>
      <c r="B229" s="1"/>
      <c r="C229" s="1"/>
      <c r="D229" s="1"/>
      <c r="E229" s="1"/>
      <c r="F229" s="1"/>
      <c r="G229" s="10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 spans="1:40">
      <c r="A230" s="1"/>
      <c r="B230" s="1"/>
      <c r="C230" s="1"/>
      <c r="D230" s="1"/>
      <c r="E230" s="1"/>
      <c r="F230" s="1"/>
      <c r="G230" s="10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 spans="1:40">
      <c r="A231" s="1"/>
      <c r="B231" s="1"/>
      <c r="C231" s="1"/>
      <c r="D231" s="1"/>
      <c r="E231" s="1"/>
      <c r="F231" s="1"/>
      <c r="G231" s="10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 spans="1:40">
      <c r="A232" s="1"/>
      <c r="B232" s="1"/>
      <c r="C232" s="1"/>
      <c r="D232" s="1"/>
      <c r="E232" s="1"/>
      <c r="F232" s="1"/>
      <c r="G232" s="10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 spans="1:40">
      <c r="A233" s="1"/>
      <c r="B233" s="1"/>
      <c r="C233" s="1"/>
      <c r="D233" s="1"/>
      <c r="E233" s="1"/>
      <c r="F233" s="1"/>
      <c r="G233" s="10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 spans="1:40">
      <c r="A234" s="1"/>
      <c r="B234" s="1"/>
      <c r="C234" s="1"/>
      <c r="D234" s="1"/>
      <c r="E234" s="1"/>
      <c r="F234" s="1"/>
      <c r="G234" s="10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 spans="1:40">
      <c r="A235" s="1"/>
      <c r="B235" s="1"/>
      <c r="C235" s="1"/>
      <c r="D235" s="1"/>
      <c r="E235" s="1"/>
      <c r="F235" s="1"/>
      <c r="G235" s="10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 spans="1:40">
      <c r="A236" s="1"/>
      <c r="B236" s="1"/>
      <c r="C236" s="1"/>
      <c r="D236" s="1"/>
      <c r="E236" s="1"/>
      <c r="F236" s="1"/>
      <c r="G236" s="10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  <row r="237" spans="1:40">
      <c r="A237" s="1"/>
      <c r="B237" s="1"/>
      <c r="C237" s="1"/>
      <c r="D237" s="1"/>
      <c r="E237" s="1"/>
      <c r="F237" s="1"/>
      <c r="G237" s="10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</row>
    <row r="238" spans="1:40">
      <c r="A238" s="1"/>
      <c r="B238" s="1"/>
      <c r="C238" s="1"/>
      <c r="D238" s="1"/>
      <c r="E238" s="1"/>
      <c r="F238" s="1"/>
      <c r="G238" s="10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 spans="1:40">
      <c r="A239" s="1"/>
      <c r="B239" s="1"/>
      <c r="C239" s="1"/>
      <c r="D239" s="1"/>
      <c r="E239" s="1"/>
      <c r="F239" s="1"/>
      <c r="G239" s="10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</row>
    <row r="240" spans="1:40">
      <c r="A240" s="1"/>
      <c r="B240" s="1"/>
      <c r="C240" s="1"/>
      <c r="D240" s="1"/>
      <c r="E240" s="1"/>
      <c r="F240" s="1"/>
      <c r="G240" s="10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</row>
    <row r="241" spans="1:40">
      <c r="A241" s="1"/>
      <c r="B241" s="1"/>
      <c r="C241" s="1"/>
      <c r="D241" s="1"/>
      <c r="E241" s="1"/>
      <c r="F241" s="1"/>
      <c r="G241" s="10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</row>
    <row r="242" spans="1:40">
      <c r="A242" s="1"/>
      <c r="B242" s="1"/>
      <c r="C242" s="1"/>
      <c r="D242" s="1"/>
      <c r="E242" s="1"/>
      <c r="F242" s="1"/>
      <c r="G242" s="10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</row>
    <row r="243" spans="1:40">
      <c r="A243" s="1"/>
      <c r="B243" s="1"/>
      <c r="C243" s="1"/>
      <c r="D243" s="1"/>
      <c r="E243" s="1"/>
      <c r="F243" s="1"/>
      <c r="G243" s="10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</row>
    <row r="244" spans="1:40">
      <c r="A244" s="1"/>
      <c r="B244" s="1"/>
      <c r="C244" s="1"/>
      <c r="D244" s="1"/>
      <c r="E244" s="1"/>
      <c r="F244" s="1"/>
      <c r="G244" s="10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</row>
    <row r="245" spans="1:40">
      <c r="A245" s="1"/>
      <c r="B245" s="1"/>
      <c r="C245" s="1"/>
      <c r="D245" s="1"/>
      <c r="E245" s="1"/>
      <c r="F245" s="1"/>
      <c r="G245" s="10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</row>
    <row r="246" spans="1:40">
      <c r="A246" s="1"/>
      <c r="B246" s="1"/>
      <c r="C246" s="1"/>
      <c r="D246" s="1"/>
      <c r="E246" s="1"/>
      <c r="F246" s="1"/>
      <c r="G246" s="10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 spans="1:40">
      <c r="A247" s="1"/>
      <c r="B247" s="1"/>
      <c r="C247" s="1"/>
      <c r="D247" s="1"/>
      <c r="E247" s="1"/>
      <c r="F247" s="1"/>
      <c r="G247" s="10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</row>
    <row r="248" spans="1:40">
      <c r="A248" s="1"/>
      <c r="B248" s="1"/>
      <c r="C248" s="1"/>
      <c r="D248" s="1"/>
      <c r="E248" s="1"/>
      <c r="F248" s="1"/>
      <c r="G248" s="10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</row>
    <row r="249" spans="1:40">
      <c r="A249" s="1"/>
      <c r="B249" s="1"/>
      <c r="C249" s="1"/>
      <c r="D249" s="1"/>
      <c r="E249" s="1"/>
      <c r="F249" s="1"/>
      <c r="G249" s="10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</row>
    <row r="250" spans="1:40">
      <c r="A250" s="1"/>
      <c r="B250" s="1"/>
      <c r="C250" s="1"/>
      <c r="D250" s="1"/>
      <c r="E250" s="1"/>
      <c r="F250" s="1"/>
      <c r="G250" s="10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</row>
    <row r="251" spans="1:40">
      <c r="A251" s="1"/>
      <c r="B251" s="1"/>
      <c r="C251" s="1"/>
      <c r="D251" s="1"/>
      <c r="E251" s="1"/>
      <c r="F251" s="1"/>
      <c r="G251" s="10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</row>
    <row r="252" spans="1:40">
      <c r="A252" s="1"/>
      <c r="B252" s="1"/>
      <c r="C252" s="1"/>
      <c r="D252" s="1"/>
      <c r="E252" s="1"/>
      <c r="F252" s="1"/>
      <c r="G252" s="10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</row>
    <row r="253" spans="1:40">
      <c r="A253" s="1"/>
      <c r="B253" s="1"/>
      <c r="C253" s="1"/>
      <c r="D253" s="1"/>
      <c r="E253" s="1"/>
      <c r="F253" s="1"/>
      <c r="G253" s="10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</row>
    <row r="254" spans="1:40">
      <c r="A254" s="1"/>
      <c r="B254" s="1"/>
      <c r="C254" s="1"/>
      <c r="D254" s="1"/>
      <c r="E254" s="1"/>
      <c r="F254" s="1"/>
      <c r="G254" s="10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</row>
    <row r="255" spans="1:40">
      <c r="A255" s="1"/>
      <c r="B255" s="1"/>
      <c r="C255" s="1"/>
      <c r="D255" s="1"/>
      <c r="E255" s="1"/>
      <c r="F255" s="1"/>
      <c r="G255" s="10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</row>
    <row r="256" spans="1:40">
      <c r="A256" s="1"/>
      <c r="B256" s="1"/>
      <c r="C256" s="1"/>
      <c r="D256" s="1"/>
      <c r="E256" s="1"/>
      <c r="F256" s="1"/>
      <c r="G256" s="10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</row>
    <row r="257" spans="1:40">
      <c r="A257" s="1"/>
      <c r="B257" s="1"/>
      <c r="C257" s="1"/>
      <c r="D257" s="1"/>
      <c r="E257" s="1"/>
      <c r="F257" s="1"/>
      <c r="G257" s="10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</row>
    <row r="258" spans="1:40">
      <c r="A258" s="1"/>
      <c r="B258" s="1"/>
      <c r="C258" s="1"/>
      <c r="D258" s="1"/>
      <c r="E258" s="1"/>
      <c r="F258" s="1"/>
      <c r="G258" s="10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</row>
    <row r="259" spans="1:40">
      <c r="A259" s="1"/>
      <c r="B259" s="1"/>
      <c r="C259" s="1"/>
      <c r="D259" s="1"/>
      <c r="E259" s="1"/>
      <c r="F259" s="1"/>
      <c r="G259" s="10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</row>
    <row r="260" spans="1:40">
      <c r="A260" s="1"/>
      <c r="B260" s="1"/>
      <c r="C260" s="1"/>
      <c r="D260" s="1"/>
      <c r="E260" s="1"/>
      <c r="F260" s="1"/>
      <c r="G260" s="10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</row>
    <row r="261" spans="1:40">
      <c r="A261" s="1"/>
      <c r="B261" s="1"/>
      <c r="C261" s="1"/>
      <c r="D261" s="1"/>
      <c r="E261" s="1"/>
      <c r="F261" s="1"/>
      <c r="G261" s="10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</row>
    <row r="262" spans="1:40">
      <c r="A262" s="1"/>
      <c r="B262" s="1"/>
      <c r="C262" s="1"/>
      <c r="D262" s="1"/>
      <c r="E262" s="1"/>
      <c r="F262" s="1"/>
      <c r="G262" s="10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</row>
    <row r="263" spans="1:40">
      <c r="A263" s="1"/>
      <c r="B263" s="1"/>
      <c r="C263" s="1"/>
      <c r="D263" s="1"/>
      <c r="E263" s="1"/>
      <c r="F263" s="1"/>
      <c r="G263" s="10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</row>
    <row r="264" spans="1:40">
      <c r="A264" s="1"/>
      <c r="B264" s="1"/>
      <c r="C264" s="1"/>
      <c r="D264" s="1"/>
      <c r="E264" s="1"/>
      <c r="F264" s="1"/>
      <c r="G264" s="10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</row>
    <row r="265" spans="1:40">
      <c r="A265" s="1"/>
      <c r="B265" s="1"/>
      <c r="C265" s="1"/>
      <c r="D265" s="1"/>
      <c r="E265" s="1"/>
      <c r="F265" s="1"/>
      <c r="G265" s="10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</row>
    <row r="266" spans="1:40">
      <c r="A266" s="1"/>
      <c r="B266" s="1"/>
      <c r="C266" s="1"/>
      <c r="D266" s="1"/>
      <c r="E266" s="1"/>
      <c r="F266" s="1"/>
      <c r="G266" s="10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</row>
    <row r="267" spans="1:40">
      <c r="A267" s="1"/>
      <c r="B267" s="1"/>
      <c r="C267" s="1"/>
      <c r="D267" s="1"/>
      <c r="E267" s="1"/>
      <c r="F267" s="1"/>
      <c r="G267" s="10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</row>
    <row r="268" spans="1:40">
      <c r="A268" s="1"/>
      <c r="B268" s="1"/>
      <c r="C268" s="1"/>
      <c r="D268" s="1"/>
      <c r="E268" s="1"/>
      <c r="F268" s="1"/>
      <c r="G268" s="10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</row>
    <row r="269" spans="1:40">
      <c r="A269" s="1"/>
      <c r="B269" s="1"/>
      <c r="C269" s="1"/>
      <c r="D269" s="1"/>
      <c r="E269" s="1"/>
      <c r="F269" s="1"/>
      <c r="G269" s="10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</row>
    <row r="270" spans="1:40">
      <c r="A270" s="1"/>
      <c r="B270" s="1"/>
      <c r="C270" s="1"/>
      <c r="D270" s="1"/>
      <c r="E270" s="1"/>
      <c r="F270" s="1"/>
      <c r="G270" s="10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</row>
    <row r="271" spans="1:40">
      <c r="A271" s="1"/>
      <c r="B271" s="1"/>
      <c r="C271" s="1"/>
      <c r="D271" s="1"/>
      <c r="E271" s="1"/>
      <c r="F271" s="1"/>
      <c r="G271" s="10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</row>
    <row r="272" spans="1:40">
      <c r="A272" s="1"/>
      <c r="B272" s="1"/>
      <c r="C272" s="1"/>
      <c r="D272" s="1"/>
      <c r="E272" s="1"/>
      <c r="F272" s="1"/>
      <c r="G272" s="10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</row>
    <row r="273" spans="1:40">
      <c r="A273" s="1"/>
      <c r="B273" s="1"/>
      <c r="C273" s="1"/>
      <c r="D273" s="1"/>
      <c r="E273" s="1"/>
      <c r="F273" s="1"/>
      <c r="G273" s="10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</row>
    <row r="274" spans="1:40">
      <c r="A274" s="1"/>
      <c r="B274" s="1"/>
      <c r="C274" s="1"/>
      <c r="D274" s="1"/>
      <c r="E274" s="1"/>
      <c r="F274" s="1"/>
      <c r="G274" s="10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</row>
    <row r="275" spans="1:40">
      <c r="A275" s="1"/>
      <c r="B275" s="1"/>
      <c r="C275" s="1"/>
      <c r="D275" s="1"/>
      <c r="E275" s="1"/>
      <c r="F275" s="1"/>
      <c r="G275" s="10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</row>
    <row r="276" spans="1:40">
      <c r="A276" s="1"/>
      <c r="B276" s="1"/>
      <c r="C276" s="1"/>
      <c r="D276" s="1"/>
      <c r="E276" s="1"/>
      <c r="F276" s="1"/>
      <c r="G276" s="10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</row>
    <row r="277" spans="1:40">
      <c r="A277" s="1"/>
      <c r="B277" s="1"/>
      <c r="C277" s="1"/>
      <c r="D277" s="1"/>
      <c r="E277" s="1"/>
      <c r="F277" s="1"/>
      <c r="G277" s="10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</row>
    <row r="278" spans="1:40">
      <c r="A278" s="1"/>
      <c r="B278" s="1"/>
      <c r="C278" s="1"/>
      <c r="D278" s="1"/>
      <c r="E278" s="1"/>
      <c r="F278" s="1"/>
      <c r="G278" s="10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</row>
    <row r="279" spans="1:40">
      <c r="A279" s="1"/>
      <c r="B279" s="1"/>
      <c r="C279" s="1"/>
      <c r="D279" s="1"/>
      <c r="E279" s="1"/>
      <c r="F279" s="1"/>
      <c r="G279" s="10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</row>
    <row r="280" spans="1:40">
      <c r="A280" s="1"/>
      <c r="B280" s="1"/>
      <c r="C280" s="1"/>
      <c r="D280" s="1"/>
      <c r="E280" s="1"/>
      <c r="F280" s="1"/>
      <c r="G280" s="10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</row>
    <row r="281" spans="1:40">
      <c r="A281" s="1"/>
      <c r="B281" s="1"/>
      <c r="C281" s="1"/>
      <c r="D281" s="1"/>
      <c r="E281" s="1"/>
      <c r="F281" s="1"/>
      <c r="G281" s="10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</row>
    <row r="282" spans="1:40">
      <c r="A282" s="1"/>
      <c r="B282" s="1"/>
      <c r="C282" s="1"/>
      <c r="D282" s="1"/>
      <c r="E282" s="1"/>
      <c r="F282" s="1"/>
      <c r="G282" s="10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</row>
    <row r="283" spans="1:40">
      <c r="A283" s="1"/>
      <c r="B283" s="1"/>
      <c r="C283" s="1"/>
      <c r="D283" s="1"/>
      <c r="E283" s="1"/>
      <c r="F283" s="1"/>
      <c r="G283" s="10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</row>
    <row r="284" spans="1:40">
      <c r="A284" s="1"/>
      <c r="B284" s="1"/>
      <c r="C284" s="1"/>
      <c r="D284" s="1"/>
      <c r="E284" s="1"/>
      <c r="F284" s="1"/>
      <c r="G284" s="10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</row>
    <row r="285" spans="1:40">
      <c r="A285" s="1"/>
      <c r="B285" s="1"/>
      <c r="C285" s="1"/>
      <c r="D285" s="1"/>
      <c r="E285" s="1"/>
      <c r="F285" s="1"/>
      <c r="G285" s="10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</row>
    <row r="286" spans="1:40">
      <c r="A286" s="1"/>
      <c r="B286" s="1"/>
      <c r="C286" s="1"/>
      <c r="D286" s="1"/>
      <c r="E286" s="1"/>
      <c r="F286" s="1"/>
      <c r="G286" s="10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</row>
    <row r="287" spans="1:40">
      <c r="A287" s="1"/>
      <c r="B287" s="1"/>
      <c r="C287" s="1"/>
      <c r="D287" s="1"/>
      <c r="E287" s="1"/>
      <c r="F287" s="1"/>
      <c r="G287" s="10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</row>
    <row r="288" spans="1:40">
      <c r="A288" s="1"/>
      <c r="B288" s="1"/>
      <c r="C288" s="1"/>
      <c r="D288" s="1"/>
      <c r="E288" s="1"/>
      <c r="F288" s="1"/>
      <c r="G288" s="10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</row>
    <row r="289" spans="1:40">
      <c r="A289" s="1"/>
      <c r="B289" s="1"/>
      <c r="C289" s="1"/>
      <c r="D289" s="1"/>
      <c r="E289" s="1"/>
      <c r="F289" s="1"/>
      <c r="G289" s="10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</row>
    <row r="290" spans="1:40">
      <c r="A290" s="1"/>
      <c r="B290" s="1"/>
      <c r="C290" s="1"/>
      <c r="D290" s="1"/>
      <c r="E290" s="1"/>
      <c r="F290" s="1"/>
      <c r="G290" s="10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</row>
    <row r="291" spans="1:40">
      <c r="A291" s="1"/>
      <c r="B291" s="1"/>
      <c r="C291" s="1"/>
      <c r="D291" s="1"/>
      <c r="E291" s="1"/>
      <c r="F291" s="1"/>
      <c r="G291" s="10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</row>
    <row r="292" spans="1:40">
      <c r="A292" s="1"/>
      <c r="B292" s="1"/>
      <c r="C292" s="1"/>
      <c r="D292" s="1"/>
      <c r="E292" s="1"/>
      <c r="F292" s="1"/>
      <c r="G292" s="10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</row>
    <row r="293" spans="1:40">
      <c r="A293" s="1"/>
      <c r="B293" s="1"/>
      <c r="C293" s="1"/>
      <c r="D293" s="1"/>
      <c r="E293" s="1"/>
      <c r="F293" s="1"/>
      <c r="G293" s="10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</row>
    <row r="294" spans="1:40">
      <c r="A294" s="1"/>
      <c r="B294" s="1"/>
      <c r="C294" s="1"/>
      <c r="D294" s="1"/>
      <c r="E294" s="1"/>
      <c r="F294" s="1"/>
      <c r="G294" s="10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</row>
    <row r="295" spans="1:40">
      <c r="A295" s="1"/>
      <c r="B295" s="1"/>
      <c r="C295" s="1"/>
      <c r="D295" s="1"/>
      <c r="E295" s="1"/>
      <c r="F295" s="1"/>
      <c r="G295" s="10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</row>
    <row r="296" spans="1:40">
      <c r="A296" s="1"/>
      <c r="B296" s="1"/>
      <c r="C296" s="1"/>
      <c r="D296" s="1"/>
      <c r="E296" s="1"/>
      <c r="F296" s="1"/>
      <c r="G296" s="10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</row>
    <row r="297" spans="1:40">
      <c r="A297" s="1"/>
      <c r="B297" s="1"/>
      <c r="C297" s="1"/>
      <c r="D297" s="1"/>
      <c r="E297" s="1"/>
      <c r="F297" s="1"/>
      <c r="G297" s="10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</row>
    <row r="298" spans="1:40">
      <c r="A298" s="1"/>
      <c r="B298" s="1"/>
      <c r="C298" s="1"/>
      <c r="D298" s="1"/>
      <c r="E298" s="1"/>
      <c r="F298" s="1"/>
      <c r="G298" s="10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</row>
    <row r="299" spans="1:40">
      <c r="A299" s="1"/>
      <c r="B299" s="1"/>
      <c r="C299" s="1"/>
      <c r="D299" s="1"/>
      <c r="E299" s="1"/>
      <c r="F299" s="1"/>
      <c r="G299" s="10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</row>
    <row r="300" spans="1:40">
      <c r="A300" s="1"/>
      <c r="B300" s="1"/>
      <c r="C300" s="1"/>
      <c r="D300" s="1"/>
      <c r="E300" s="1"/>
      <c r="F300" s="1"/>
      <c r="G300" s="10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</row>
    <row r="301" spans="1:40">
      <c r="A301" s="1"/>
      <c r="B301" s="1"/>
      <c r="C301" s="1"/>
      <c r="D301" s="1"/>
      <c r="E301" s="1"/>
      <c r="F301" s="1"/>
      <c r="G301" s="10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</row>
    <row r="302" spans="1:40">
      <c r="A302" s="1"/>
      <c r="B302" s="1"/>
      <c r="C302" s="1"/>
      <c r="D302" s="1"/>
      <c r="E302" s="1"/>
      <c r="F302" s="1"/>
      <c r="G302" s="10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</row>
    <row r="303" spans="1:40">
      <c r="A303" s="1"/>
      <c r="B303" s="1"/>
      <c r="C303" s="1"/>
      <c r="D303" s="1"/>
      <c r="E303" s="1"/>
      <c r="F303" s="1"/>
      <c r="G303" s="10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</row>
    <row r="304" spans="1:40">
      <c r="A304" s="1"/>
      <c r="B304" s="1"/>
      <c r="C304" s="1"/>
      <c r="D304" s="1"/>
      <c r="E304" s="1"/>
      <c r="F304" s="1"/>
      <c r="G304" s="10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</row>
    <row r="305" spans="1:40">
      <c r="A305" s="1"/>
      <c r="B305" s="1"/>
      <c r="C305" s="1"/>
      <c r="D305" s="1"/>
      <c r="E305" s="1"/>
      <c r="F305" s="1"/>
      <c r="G305" s="10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</row>
    <row r="306" spans="1:40">
      <c r="A306" s="1"/>
      <c r="B306" s="1"/>
      <c r="C306" s="1"/>
      <c r="D306" s="1"/>
      <c r="E306" s="1"/>
      <c r="F306" s="1"/>
      <c r="G306" s="10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</row>
    <row r="307" spans="1:40">
      <c r="A307" s="1"/>
      <c r="B307" s="1"/>
      <c r="C307" s="1"/>
      <c r="D307" s="1"/>
      <c r="E307" s="1"/>
      <c r="F307" s="1"/>
      <c r="G307" s="10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</row>
    <row r="308" spans="1:40">
      <c r="A308" s="1"/>
      <c r="B308" s="1"/>
      <c r="C308" s="1"/>
      <c r="D308" s="1"/>
      <c r="E308" s="1"/>
      <c r="F308" s="1"/>
      <c r="G308" s="10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</row>
    <row r="309" spans="1:40">
      <c r="A309" s="1"/>
      <c r="B309" s="1"/>
      <c r="C309" s="1"/>
      <c r="D309" s="1"/>
      <c r="E309" s="1"/>
      <c r="F309" s="1"/>
      <c r="G309" s="10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</row>
    <row r="310" spans="1:40">
      <c r="A310" s="1"/>
      <c r="B310" s="1"/>
      <c r="C310" s="1"/>
      <c r="D310" s="1"/>
      <c r="E310" s="1"/>
      <c r="F310" s="1"/>
      <c r="G310" s="10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</row>
    <row r="311" spans="1:40">
      <c r="A311" s="1"/>
      <c r="B311" s="1"/>
      <c r="C311" s="1"/>
      <c r="D311" s="1"/>
      <c r="E311" s="1"/>
      <c r="F311" s="1"/>
      <c r="G311" s="10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</row>
    <row r="312" spans="1:40">
      <c r="A312" s="1"/>
      <c r="B312" s="1"/>
      <c r="C312" s="1"/>
      <c r="D312" s="1"/>
      <c r="E312" s="1"/>
      <c r="F312" s="1"/>
      <c r="G312" s="10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</row>
    <row r="313" spans="1:40">
      <c r="A313" s="1"/>
      <c r="B313" s="1"/>
      <c r="C313" s="1"/>
      <c r="D313" s="1"/>
      <c r="E313" s="1"/>
      <c r="F313" s="1"/>
      <c r="G313" s="10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</row>
    <row r="314" spans="1:40">
      <c r="A314" s="1"/>
      <c r="B314" s="1"/>
      <c r="C314" s="1"/>
      <c r="D314" s="1"/>
      <c r="E314" s="1"/>
      <c r="F314" s="1"/>
      <c r="G314" s="10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</row>
    <row r="315" spans="1:40">
      <c r="A315" s="1"/>
      <c r="B315" s="1"/>
      <c r="C315" s="1"/>
      <c r="D315" s="1"/>
      <c r="E315" s="1"/>
      <c r="F315" s="1"/>
      <c r="G315" s="10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</row>
    <row r="316" spans="1:40">
      <c r="A316" s="1"/>
      <c r="B316" s="1"/>
      <c r="C316" s="1"/>
      <c r="D316" s="1"/>
      <c r="E316" s="1"/>
      <c r="F316" s="1"/>
      <c r="G316" s="10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</row>
    <row r="317" spans="1:40">
      <c r="A317" s="1"/>
      <c r="B317" s="1"/>
      <c r="C317" s="1"/>
      <c r="D317" s="1"/>
      <c r="E317" s="1"/>
      <c r="F317" s="1"/>
      <c r="G317" s="10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</row>
    <row r="318" spans="1:40">
      <c r="A318" s="1"/>
      <c r="B318" s="1"/>
      <c r="C318" s="1"/>
      <c r="D318" s="1"/>
      <c r="E318" s="1"/>
      <c r="F318" s="1"/>
      <c r="G318" s="10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</row>
    <row r="319" spans="1:40">
      <c r="A319" s="1"/>
      <c r="B319" s="1"/>
      <c r="C319" s="1"/>
      <c r="D319" s="1"/>
      <c r="E319" s="1"/>
      <c r="F319" s="1"/>
      <c r="G319" s="10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</row>
    <row r="320" spans="1:40">
      <c r="A320" s="1"/>
      <c r="B320" s="1"/>
      <c r="C320" s="1"/>
      <c r="D320" s="1"/>
      <c r="E320" s="1"/>
      <c r="F320" s="1"/>
      <c r="G320" s="10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</row>
    <row r="321" spans="1:40">
      <c r="A321" s="1"/>
      <c r="B321" s="1"/>
      <c r="C321" s="1"/>
      <c r="D321" s="1"/>
      <c r="E321" s="1"/>
      <c r="F321" s="1"/>
      <c r="G321" s="10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</row>
    <row r="322" spans="1:40">
      <c r="A322" s="1"/>
      <c r="B322" s="1"/>
      <c r="C322" s="1"/>
      <c r="D322" s="1"/>
      <c r="E322" s="1"/>
      <c r="F322" s="1"/>
      <c r="G322" s="10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</row>
    <row r="323" spans="1:40">
      <c r="A323" s="1"/>
      <c r="B323" s="1"/>
      <c r="C323" s="1"/>
      <c r="D323" s="1"/>
      <c r="E323" s="1"/>
      <c r="F323" s="1"/>
      <c r="G323" s="10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</row>
    <row r="324" spans="1:40">
      <c r="A324" s="1"/>
      <c r="B324" s="1"/>
      <c r="C324" s="1"/>
      <c r="D324" s="1"/>
      <c r="E324" s="1"/>
      <c r="F324" s="1"/>
      <c r="G324" s="10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</row>
    <row r="325" spans="1:40">
      <c r="A325" s="1"/>
      <c r="B325" s="1"/>
      <c r="C325" s="1"/>
      <c r="D325" s="1"/>
      <c r="E325" s="1"/>
      <c r="F325" s="1"/>
      <c r="G325" s="10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</row>
    <row r="326" spans="1:40">
      <c r="A326" s="1"/>
      <c r="B326" s="1"/>
      <c r="C326" s="1"/>
      <c r="D326" s="1"/>
      <c r="E326" s="1"/>
      <c r="F326" s="1"/>
      <c r="G326" s="10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</row>
    <row r="327" spans="1:40">
      <c r="A327" s="1"/>
      <c r="B327" s="1"/>
      <c r="C327" s="1"/>
      <c r="D327" s="1"/>
      <c r="E327" s="1"/>
      <c r="F327" s="1"/>
      <c r="G327" s="10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</row>
    <row r="328" spans="1:40">
      <c r="A328" s="1"/>
      <c r="B328" s="1"/>
      <c r="C328" s="1"/>
      <c r="D328" s="1"/>
      <c r="E328" s="1"/>
      <c r="F328" s="1"/>
      <c r="G328" s="10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</row>
    <row r="329" spans="1:40">
      <c r="A329" s="1"/>
      <c r="B329" s="1"/>
      <c r="C329" s="1"/>
      <c r="D329" s="1"/>
      <c r="E329" s="1"/>
      <c r="F329" s="1"/>
      <c r="G329" s="10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</row>
    <row r="330" spans="1:40">
      <c r="A330" s="1"/>
      <c r="B330" s="1"/>
      <c r="C330" s="1"/>
      <c r="D330" s="1"/>
      <c r="E330" s="1"/>
      <c r="F330" s="1"/>
      <c r="G330" s="10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</row>
    <row r="331" spans="1:40">
      <c r="A331" s="1"/>
      <c r="B331" s="1"/>
      <c r="C331" s="1"/>
      <c r="D331" s="1"/>
      <c r="E331" s="1"/>
      <c r="F331" s="1"/>
      <c r="G331" s="10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</row>
    <row r="332" spans="1:40">
      <c r="A332" s="1"/>
      <c r="B332" s="1"/>
      <c r="C332" s="1"/>
      <c r="D332" s="1"/>
      <c r="E332" s="1"/>
      <c r="F332" s="1"/>
      <c r="G332" s="10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</row>
    <row r="333" spans="1:40">
      <c r="A333" s="1"/>
      <c r="B333" s="1"/>
      <c r="C333" s="1"/>
      <c r="D333" s="1"/>
      <c r="E333" s="1"/>
      <c r="F333" s="1"/>
      <c r="G333" s="10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</row>
    <row r="334" spans="1:40">
      <c r="A334" s="1"/>
      <c r="B334" s="1"/>
      <c r="C334" s="1"/>
      <c r="D334" s="1"/>
      <c r="E334" s="1"/>
      <c r="F334" s="1"/>
      <c r="G334" s="10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</row>
    <row r="335" spans="1:40">
      <c r="A335" s="1"/>
      <c r="B335" s="1"/>
      <c r="C335" s="1"/>
      <c r="D335" s="1"/>
      <c r="E335" s="1"/>
      <c r="F335" s="1"/>
      <c r="G335" s="10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</row>
    <row r="336" spans="1:40">
      <c r="A336" s="1"/>
      <c r="B336" s="1"/>
      <c r="C336" s="1"/>
      <c r="D336" s="1"/>
      <c r="E336" s="1"/>
      <c r="F336" s="1"/>
      <c r="G336" s="10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</row>
    <row r="337" spans="1:40">
      <c r="A337" s="1"/>
      <c r="B337" s="1"/>
      <c r="C337" s="1"/>
      <c r="D337" s="1"/>
      <c r="E337" s="1"/>
      <c r="F337" s="1"/>
      <c r="G337" s="10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</row>
    <row r="338" spans="1:40">
      <c r="A338" s="1"/>
      <c r="B338" s="1"/>
      <c r="C338" s="1"/>
      <c r="D338" s="1"/>
      <c r="E338" s="1"/>
      <c r="F338" s="1"/>
      <c r="G338" s="10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</row>
    <row r="339" spans="1:40">
      <c r="A339" s="1"/>
      <c r="B339" s="1"/>
      <c r="C339" s="1"/>
      <c r="D339" s="1"/>
      <c r="E339" s="1"/>
      <c r="F339" s="1"/>
      <c r="G339" s="10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</row>
    <row r="340" spans="1:40">
      <c r="A340" s="1"/>
      <c r="B340" s="1"/>
      <c r="C340" s="1"/>
      <c r="D340" s="1"/>
      <c r="E340" s="1"/>
      <c r="F340" s="1"/>
      <c r="G340" s="10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</row>
    <row r="341" spans="1:40">
      <c r="A341" s="1"/>
      <c r="B341" s="1"/>
      <c r="C341" s="1"/>
      <c r="D341" s="1"/>
      <c r="E341" s="1"/>
      <c r="F341" s="1"/>
      <c r="G341" s="10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</row>
    <row r="342" spans="1:40">
      <c r="A342" s="1"/>
      <c r="B342" s="1"/>
      <c r="C342" s="1"/>
      <c r="D342" s="1"/>
      <c r="E342" s="1"/>
      <c r="F342" s="1"/>
      <c r="G342" s="10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</row>
    <row r="343" spans="1:40">
      <c r="A343" s="1"/>
      <c r="B343" s="1"/>
      <c r="C343" s="1"/>
      <c r="D343" s="1"/>
      <c r="E343" s="1"/>
      <c r="F343" s="1"/>
      <c r="G343" s="10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</row>
    <row r="344" spans="1:40">
      <c r="A344" s="1"/>
      <c r="B344" s="1"/>
      <c r="C344" s="1"/>
      <c r="D344" s="1"/>
      <c r="E344" s="1"/>
      <c r="F344" s="1"/>
      <c r="G344" s="10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</row>
    <row r="345" spans="1:40">
      <c r="A345" s="1"/>
      <c r="B345" s="1"/>
      <c r="C345" s="1"/>
      <c r="D345" s="1"/>
      <c r="E345" s="1"/>
      <c r="F345" s="1"/>
      <c r="G345" s="10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</row>
    <row r="346" spans="1:40">
      <c r="A346" s="1"/>
      <c r="B346" s="1"/>
      <c r="C346" s="1"/>
      <c r="D346" s="1"/>
      <c r="E346" s="1"/>
      <c r="F346" s="1"/>
      <c r="G346" s="10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</row>
    <row r="347" spans="1:40">
      <c r="A347" s="1"/>
      <c r="B347" s="1"/>
      <c r="C347" s="1"/>
      <c r="D347" s="1"/>
      <c r="E347" s="1"/>
      <c r="F347" s="1"/>
      <c r="G347" s="10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</row>
    <row r="348" spans="1:40">
      <c r="A348" s="1"/>
      <c r="B348" s="1"/>
      <c r="C348" s="1"/>
      <c r="D348" s="1"/>
      <c r="E348" s="1"/>
      <c r="F348" s="1"/>
      <c r="G348" s="10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</row>
    <row r="349" spans="1:40">
      <c r="A349" s="1"/>
      <c r="B349" s="1"/>
      <c r="C349" s="1"/>
      <c r="D349" s="1"/>
      <c r="E349" s="1"/>
      <c r="F349" s="1"/>
      <c r="G349" s="10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</row>
    <row r="350" spans="1:40">
      <c r="A350" s="1"/>
      <c r="B350" s="1"/>
      <c r="C350" s="1"/>
      <c r="D350" s="1"/>
      <c r="E350" s="1"/>
      <c r="F350" s="1"/>
      <c r="G350" s="10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</row>
    <row r="351" spans="1:40">
      <c r="A351" s="1"/>
      <c r="B351" s="1"/>
      <c r="C351" s="1"/>
      <c r="D351" s="1"/>
      <c r="E351" s="1"/>
      <c r="F351" s="1"/>
      <c r="G351" s="10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</row>
    <row r="352" spans="1:40">
      <c r="A352" s="1"/>
      <c r="B352" s="1"/>
      <c r="C352" s="1"/>
      <c r="D352" s="1"/>
      <c r="E352" s="1"/>
      <c r="F352" s="1"/>
      <c r="G352" s="10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</row>
    <row r="353" spans="1:40">
      <c r="A353" s="1"/>
      <c r="B353" s="1"/>
      <c r="C353" s="1"/>
      <c r="D353" s="1"/>
      <c r="E353" s="1"/>
      <c r="F353" s="1"/>
      <c r="G353" s="10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</row>
    <row r="354" spans="1:40">
      <c r="A354" s="1"/>
      <c r="B354" s="1"/>
      <c r="C354" s="1"/>
      <c r="D354" s="1"/>
      <c r="E354" s="1"/>
      <c r="F354" s="1"/>
      <c r="G354" s="10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</row>
    <row r="355" spans="1:40">
      <c r="A355" s="1"/>
      <c r="B355" s="1"/>
      <c r="C355" s="1"/>
      <c r="D355" s="1"/>
      <c r="E355" s="1"/>
      <c r="F355" s="1"/>
      <c r="G355" s="10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</row>
    <row r="356" spans="1:40">
      <c r="A356" s="1"/>
      <c r="B356" s="1"/>
      <c r="C356" s="1"/>
      <c r="D356" s="1"/>
      <c r="E356" s="1"/>
      <c r="F356" s="1"/>
      <c r="G356" s="10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</row>
    <row r="357" spans="1:40">
      <c r="A357" s="1"/>
      <c r="B357" s="1"/>
      <c r="C357" s="1"/>
      <c r="D357" s="1"/>
      <c r="E357" s="1"/>
      <c r="F357" s="1"/>
      <c r="G357" s="10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</row>
    <row r="358" spans="1:40">
      <c r="A358" s="1"/>
      <c r="B358" s="1"/>
      <c r="C358" s="1"/>
      <c r="D358" s="1"/>
      <c r="E358" s="1"/>
      <c r="F358" s="1"/>
      <c r="G358" s="10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</row>
    <row r="359" spans="1:40">
      <c r="A359" s="1"/>
      <c r="B359" s="1"/>
      <c r="C359" s="1"/>
      <c r="D359" s="1"/>
      <c r="E359" s="1"/>
      <c r="F359" s="1"/>
      <c r="G359" s="10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</row>
    <row r="360" spans="1:40">
      <c r="A360" s="1"/>
      <c r="B360" s="1"/>
      <c r="C360" s="1"/>
      <c r="D360" s="1"/>
      <c r="E360" s="1"/>
      <c r="F360" s="1"/>
      <c r="G360" s="10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</row>
    <row r="361" spans="1:40">
      <c r="A361" s="1"/>
      <c r="B361" s="1"/>
      <c r="C361" s="1"/>
      <c r="D361" s="1"/>
      <c r="E361" s="1"/>
      <c r="F361" s="1"/>
      <c r="G361" s="10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</row>
    <row r="362" spans="1:40">
      <c r="A362" s="1"/>
      <c r="B362" s="1"/>
      <c r="C362" s="1"/>
      <c r="D362" s="1"/>
      <c r="E362" s="1"/>
      <c r="F362" s="1"/>
      <c r="G362" s="10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</row>
    <row r="363" spans="1:40">
      <c r="A363" s="1"/>
      <c r="B363" s="1"/>
      <c r="C363" s="1"/>
      <c r="D363" s="1"/>
      <c r="E363" s="1"/>
      <c r="F363" s="1"/>
      <c r="G363" s="10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</row>
    <row r="364" spans="1:40">
      <c r="A364" s="1"/>
      <c r="B364" s="1"/>
      <c r="C364" s="1"/>
      <c r="D364" s="1"/>
      <c r="E364" s="1"/>
      <c r="F364" s="1"/>
      <c r="G364" s="10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</row>
    <row r="365" spans="1:40">
      <c r="A365" s="1"/>
      <c r="B365" s="1"/>
      <c r="C365" s="1"/>
      <c r="D365" s="1"/>
      <c r="E365" s="1"/>
      <c r="F365" s="1"/>
      <c r="G365" s="10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</row>
    <row r="366" spans="1:40">
      <c r="A366" s="1"/>
      <c r="B366" s="1"/>
      <c r="C366" s="1"/>
      <c r="D366" s="1"/>
      <c r="E366" s="1"/>
      <c r="F366" s="1"/>
      <c r="G366" s="10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</row>
    <row r="367" spans="1:40">
      <c r="A367" s="1"/>
      <c r="B367" s="1"/>
      <c r="C367" s="1"/>
      <c r="D367" s="1"/>
      <c r="E367" s="1"/>
      <c r="F367" s="1"/>
      <c r="G367" s="10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</row>
    <row r="368" spans="1:40">
      <c r="A368" s="1"/>
      <c r="B368" s="1"/>
      <c r="C368" s="1"/>
      <c r="D368" s="1"/>
      <c r="E368" s="1"/>
      <c r="F368" s="1"/>
      <c r="G368" s="10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</row>
    <row r="369" spans="1:40">
      <c r="A369" s="1"/>
      <c r="B369" s="1"/>
      <c r="C369" s="1"/>
      <c r="D369" s="1"/>
      <c r="E369" s="1"/>
      <c r="F369" s="1"/>
      <c r="G369" s="10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</row>
    <row r="370" spans="1:40">
      <c r="A370" s="1"/>
      <c r="B370" s="1"/>
      <c r="C370" s="1"/>
      <c r="D370" s="1"/>
      <c r="E370" s="1"/>
      <c r="F370" s="1"/>
      <c r="G370" s="10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</row>
    <row r="371" spans="1:40">
      <c r="A371" s="1"/>
      <c r="B371" s="1"/>
      <c r="C371" s="1"/>
      <c r="D371" s="1"/>
      <c r="E371" s="1"/>
      <c r="F371" s="1"/>
      <c r="G371" s="10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</row>
    <row r="372" spans="1:40">
      <c r="A372" s="1"/>
      <c r="B372" s="1"/>
      <c r="C372" s="1"/>
      <c r="D372" s="1"/>
      <c r="E372" s="1"/>
      <c r="F372" s="1"/>
      <c r="G372" s="10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</row>
    <row r="373" spans="1:40">
      <c r="A373" s="1"/>
      <c r="B373" s="1"/>
      <c r="C373" s="1"/>
      <c r="D373" s="1"/>
      <c r="E373" s="1"/>
      <c r="F373" s="1"/>
      <c r="G373" s="10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</row>
    <row r="374" spans="1:40">
      <c r="A374" s="1"/>
      <c r="B374" s="1"/>
      <c r="C374" s="1"/>
      <c r="D374" s="1"/>
      <c r="E374" s="1"/>
      <c r="F374" s="1"/>
      <c r="G374" s="10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</row>
    <row r="375" spans="1:40">
      <c r="A375" s="1"/>
      <c r="B375" s="1"/>
      <c r="C375" s="1"/>
      <c r="D375" s="1"/>
      <c r="E375" s="1"/>
      <c r="F375" s="1"/>
      <c r="G375" s="10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</row>
    <row r="376" spans="1:40">
      <c r="A376" s="1"/>
      <c r="B376" s="1"/>
      <c r="C376" s="1"/>
      <c r="D376" s="1"/>
      <c r="E376" s="1"/>
      <c r="F376" s="1"/>
      <c r="G376" s="10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</row>
    <row r="377" spans="1:40">
      <c r="A377" s="1"/>
      <c r="B377" s="1"/>
      <c r="C377" s="1"/>
      <c r="D377" s="1"/>
      <c r="E377" s="1"/>
      <c r="F377" s="1"/>
      <c r="G377" s="10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</row>
    <row r="378" spans="1:40">
      <c r="A378" s="1"/>
      <c r="B378" s="1"/>
      <c r="C378" s="1"/>
      <c r="D378" s="1"/>
      <c r="E378" s="1"/>
      <c r="F378" s="1"/>
      <c r="G378" s="10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</row>
    <row r="379" spans="1:40">
      <c r="A379" s="1"/>
      <c r="B379" s="1"/>
      <c r="C379" s="1"/>
      <c r="D379" s="1"/>
      <c r="E379" s="1"/>
      <c r="F379" s="1"/>
      <c r="G379" s="10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</row>
    <row r="380" spans="1:40">
      <c r="A380" s="1"/>
      <c r="B380" s="1"/>
      <c r="C380" s="1"/>
      <c r="D380" s="1"/>
      <c r="E380" s="1"/>
      <c r="F380" s="1"/>
      <c r="G380" s="10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</row>
    <row r="381" spans="1:40">
      <c r="A381" s="1"/>
      <c r="B381" s="1"/>
      <c r="C381" s="1"/>
      <c r="D381" s="1"/>
      <c r="E381" s="1"/>
      <c r="F381" s="1"/>
      <c r="G381" s="10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</row>
    <row r="382" spans="1:40">
      <c r="A382" s="1"/>
      <c r="B382" s="1"/>
      <c r="C382" s="1"/>
      <c r="D382" s="1"/>
      <c r="E382" s="1"/>
      <c r="F382" s="1"/>
      <c r="G382" s="10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</row>
    <row r="383" spans="1:40">
      <c r="A383" s="1"/>
      <c r="B383" s="1"/>
      <c r="C383" s="1"/>
      <c r="D383" s="1"/>
      <c r="E383" s="1"/>
      <c r="F383" s="1"/>
      <c r="G383" s="10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</row>
    <row r="384" spans="1:40">
      <c r="A384" s="1"/>
      <c r="B384" s="1"/>
      <c r="C384" s="1"/>
      <c r="D384" s="1"/>
      <c r="E384" s="1"/>
      <c r="F384" s="1"/>
      <c r="G384" s="10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</row>
    <row r="385" spans="1:40">
      <c r="A385" s="1"/>
      <c r="B385" s="1"/>
      <c r="C385" s="1"/>
      <c r="D385" s="1"/>
      <c r="E385" s="1"/>
      <c r="F385" s="1"/>
      <c r="G385" s="10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</row>
    <row r="386" spans="1:40">
      <c r="A386" s="1"/>
      <c r="B386" s="1"/>
      <c r="C386" s="1"/>
      <c r="D386" s="1"/>
      <c r="E386" s="1"/>
      <c r="F386" s="1"/>
      <c r="G386" s="10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</row>
    <row r="387" spans="1:40">
      <c r="A387" s="1"/>
      <c r="B387" s="1"/>
      <c r="C387" s="1"/>
      <c r="D387" s="1"/>
      <c r="E387" s="1"/>
      <c r="F387" s="1"/>
      <c r="G387" s="10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</row>
    <row r="388" spans="1:40">
      <c r="A388" s="1"/>
      <c r="B388" s="1"/>
      <c r="C388" s="1"/>
      <c r="D388" s="1"/>
      <c r="E388" s="1"/>
      <c r="F388" s="1"/>
      <c r="G388" s="10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</row>
    <row r="389" spans="1:40">
      <c r="A389" s="1"/>
      <c r="B389" s="1"/>
      <c r="C389" s="1"/>
      <c r="D389" s="1"/>
      <c r="E389" s="1"/>
      <c r="F389" s="1"/>
      <c r="G389" s="10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</row>
    <row r="390" spans="1:40">
      <c r="A390" s="1"/>
      <c r="B390" s="1"/>
      <c r="C390" s="1"/>
      <c r="D390" s="1"/>
      <c r="E390" s="1"/>
      <c r="F390" s="1"/>
      <c r="G390" s="10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</row>
    <row r="391" spans="1:40">
      <c r="A391" s="1"/>
      <c r="B391" s="1"/>
      <c r="C391" s="1"/>
      <c r="D391" s="1"/>
      <c r="E391" s="1"/>
      <c r="F391" s="1"/>
      <c r="G391" s="10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</row>
    <row r="392" spans="1:40">
      <c r="A392" s="1"/>
      <c r="B392" s="1"/>
      <c r="C392" s="1"/>
      <c r="D392" s="1"/>
      <c r="E392" s="1"/>
      <c r="F392" s="1"/>
      <c r="G392" s="10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</row>
    <row r="393" spans="1:40">
      <c r="A393" s="1"/>
      <c r="B393" s="1"/>
      <c r="C393" s="1"/>
      <c r="D393" s="1"/>
      <c r="E393" s="1"/>
      <c r="F393" s="1"/>
      <c r="G393" s="10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</row>
    <row r="394" spans="1:40">
      <c r="A394" s="1"/>
      <c r="B394" s="1"/>
      <c r="C394" s="1"/>
      <c r="D394" s="1"/>
      <c r="E394" s="1"/>
      <c r="F394" s="1"/>
      <c r="G394" s="10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</row>
    <row r="395" spans="1:40">
      <c r="A395" s="1"/>
      <c r="B395" s="1"/>
      <c r="C395" s="1"/>
      <c r="D395" s="1"/>
      <c r="E395" s="1"/>
      <c r="F395" s="1"/>
      <c r="G395" s="10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</row>
    <row r="396" spans="1:40">
      <c r="A396" s="1"/>
      <c r="B396" s="1"/>
      <c r="C396" s="1"/>
      <c r="D396" s="1"/>
      <c r="E396" s="1"/>
      <c r="F396" s="1"/>
      <c r="G396" s="10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</row>
    <row r="397" spans="1:40">
      <c r="A397" s="1"/>
      <c r="B397" s="1"/>
      <c r="C397" s="1"/>
      <c r="D397" s="1"/>
      <c r="E397" s="1"/>
      <c r="F397" s="1"/>
      <c r="G397" s="10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</row>
    <row r="398" spans="1:40">
      <c r="A398" s="1"/>
      <c r="B398" s="1"/>
      <c r="C398" s="1"/>
      <c r="D398" s="1"/>
      <c r="E398" s="1"/>
      <c r="F398" s="1"/>
      <c r="G398" s="10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</row>
    <row r="399" spans="1:40">
      <c r="A399" s="1"/>
      <c r="B399" s="1"/>
      <c r="C399" s="1"/>
      <c r="D399" s="1"/>
      <c r="E399" s="1"/>
      <c r="F399" s="1"/>
      <c r="G399" s="10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</row>
    <row r="400" spans="1:40">
      <c r="A400" s="1"/>
      <c r="B400" s="1"/>
      <c r="C400" s="1"/>
      <c r="D400" s="1"/>
      <c r="E400" s="1"/>
      <c r="F400" s="1"/>
      <c r="G400" s="10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</row>
    <row r="401" spans="1:40">
      <c r="A401" s="1"/>
      <c r="B401" s="1"/>
      <c r="C401" s="1"/>
      <c r="D401" s="1"/>
      <c r="E401" s="1"/>
      <c r="F401" s="1"/>
      <c r="G401" s="10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</row>
  </sheetData>
  <autoFilter ref="A3:X16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2026-01-27T09:49:00Z</dcterms:created>
  <dcterms:modified xsi:type="dcterms:W3CDTF">2026-07-06T13:24:25Z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85F17CF64C014896925AE42A039CA1C8_12</vt:lpwstr>
  </property>
  <property fmtid="{D5CDD505-2E9C-101B-9397-08002B2CF9AE}" pid="3" name="KSOProductBuildVer">
    <vt:lpwstr>1049-12.2.0.23196</vt:lpwstr>
  </property>
</Properties>
</file>