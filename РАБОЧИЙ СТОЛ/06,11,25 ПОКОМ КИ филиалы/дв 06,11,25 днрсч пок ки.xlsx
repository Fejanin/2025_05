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011A5279-6C85-43CA-A830-A132C5B56F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Q7" i="1" s="1"/>
  <c r="R7" i="1" s="1"/>
  <c r="M8" i="1"/>
  <c r="Q8" i="1" s="1"/>
  <c r="M9" i="1"/>
  <c r="Q9" i="1" s="1"/>
  <c r="R9" i="1" s="1"/>
  <c r="M10" i="1"/>
  <c r="Q10" i="1" s="1"/>
  <c r="R10" i="1" s="1"/>
  <c r="M11" i="1"/>
  <c r="Q11" i="1" s="1"/>
  <c r="R11" i="1" s="1"/>
  <c r="M12" i="1"/>
  <c r="Q12" i="1" s="1"/>
  <c r="M13" i="1"/>
  <c r="Q13" i="1" s="1"/>
  <c r="R13" i="1" s="1"/>
  <c r="M14" i="1"/>
  <c r="Q14" i="1" s="1"/>
  <c r="M15" i="1"/>
  <c r="Q15" i="1" s="1"/>
  <c r="M16" i="1"/>
  <c r="Q16" i="1" s="1"/>
  <c r="R16" i="1" s="1"/>
  <c r="M17" i="1"/>
  <c r="Q17" i="1" s="1"/>
  <c r="R17" i="1" s="1"/>
  <c r="M18" i="1"/>
  <c r="Q18" i="1" s="1"/>
  <c r="M19" i="1"/>
  <c r="Q19" i="1" s="1"/>
  <c r="M20" i="1"/>
  <c r="Q20" i="1" s="1"/>
  <c r="R20" i="1" s="1"/>
  <c r="M21" i="1"/>
  <c r="Q21" i="1" s="1"/>
  <c r="R21" i="1" s="1"/>
  <c r="M22" i="1"/>
  <c r="Q22" i="1" s="1"/>
  <c r="R22" i="1" s="1"/>
  <c r="M23" i="1"/>
  <c r="Q23" i="1" s="1"/>
  <c r="M24" i="1"/>
  <c r="Q24" i="1" s="1"/>
  <c r="M25" i="1"/>
  <c r="Q25" i="1" s="1"/>
  <c r="M26" i="1"/>
  <c r="Q26" i="1" s="1"/>
  <c r="M27" i="1"/>
  <c r="Q27" i="1" s="1"/>
  <c r="R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R33" i="1" s="1"/>
  <c r="M34" i="1"/>
  <c r="Q34" i="1" s="1"/>
  <c r="M35" i="1"/>
  <c r="Q35" i="1" s="1"/>
  <c r="R35" i="1" s="1"/>
  <c r="M36" i="1"/>
  <c r="Q36" i="1" s="1"/>
  <c r="R36" i="1" s="1"/>
  <c r="M37" i="1"/>
  <c r="Q37" i="1" s="1"/>
  <c r="M38" i="1"/>
  <c r="Q38" i="1" s="1"/>
  <c r="R38" i="1" s="1"/>
  <c r="M39" i="1"/>
  <c r="Q39" i="1" s="1"/>
  <c r="M40" i="1"/>
  <c r="Q40" i="1" s="1"/>
  <c r="R40" i="1" s="1"/>
  <c r="M41" i="1"/>
  <c r="Q41" i="1" s="1"/>
  <c r="R41" i="1" s="1"/>
  <c r="M42" i="1"/>
  <c r="Q42" i="1" s="1"/>
  <c r="R42" i="1" s="1"/>
  <c r="M43" i="1"/>
  <c r="Q43" i="1" s="1"/>
  <c r="R43" i="1" s="1"/>
  <c r="M44" i="1"/>
  <c r="Q44" i="1" s="1"/>
  <c r="R44" i="1" s="1"/>
  <c r="M45" i="1"/>
  <c r="Q45" i="1" s="1"/>
  <c r="R45" i="1" s="1"/>
  <c r="M46" i="1"/>
  <c r="Q46" i="1" s="1"/>
  <c r="R46" i="1" s="1"/>
  <c r="M47" i="1"/>
  <c r="Q47" i="1" s="1"/>
  <c r="M48" i="1"/>
  <c r="Q48" i="1" s="1"/>
  <c r="R48" i="1" s="1"/>
  <c r="M49" i="1"/>
  <c r="Q49" i="1" s="1"/>
  <c r="R49" i="1" s="1"/>
  <c r="M50" i="1"/>
  <c r="Q50" i="1" s="1"/>
  <c r="R50" i="1" s="1"/>
  <c r="M51" i="1"/>
  <c r="Q51" i="1" s="1"/>
  <c r="R51" i="1" s="1"/>
  <c r="M52" i="1"/>
  <c r="Q52" i="1" s="1"/>
  <c r="R52" i="1" s="1"/>
  <c r="M53" i="1"/>
  <c r="Q53" i="1" s="1"/>
  <c r="M54" i="1"/>
  <c r="Q54" i="1" s="1"/>
  <c r="R54" i="1" s="1"/>
  <c r="M55" i="1"/>
  <c r="Q55" i="1" s="1"/>
  <c r="R55" i="1" s="1"/>
  <c r="M56" i="1"/>
  <c r="Q56" i="1" s="1"/>
  <c r="R56" i="1" s="1"/>
  <c r="M57" i="1"/>
  <c r="Q57" i="1" s="1"/>
  <c r="R57" i="1" s="1"/>
  <c r="M58" i="1"/>
  <c r="Q58" i="1" s="1"/>
  <c r="R58" i="1" s="1"/>
  <c r="M59" i="1"/>
  <c r="Q59" i="1" s="1"/>
  <c r="R59" i="1" s="1"/>
  <c r="M60" i="1"/>
  <c r="Q60" i="1" s="1"/>
  <c r="R60" i="1" s="1"/>
  <c r="M61" i="1"/>
  <c r="Q61" i="1" s="1"/>
  <c r="R61" i="1" s="1"/>
  <c r="M62" i="1"/>
  <c r="Q62" i="1" s="1"/>
  <c r="M63" i="1"/>
  <c r="Q63" i="1" s="1"/>
  <c r="R63" i="1" s="1"/>
  <c r="M64" i="1"/>
  <c r="Q64" i="1" s="1"/>
  <c r="M65" i="1"/>
  <c r="Q65" i="1" s="1"/>
  <c r="M66" i="1"/>
  <c r="Q66" i="1" s="1"/>
  <c r="R66" i="1" s="1"/>
  <c r="M67" i="1"/>
  <c r="Q67" i="1" s="1"/>
  <c r="M68" i="1"/>
  <c r="Q68" i="1" s="1"/>
  <c r="R68" i="1" s="1"/>
  <c r="M69" i="1"/>
  <c r="Q69" i="1" s="1"/>
  <c r="M70" i="1"/>
  <c r="Q70" i="1" s="1"/>
  <c r="M71" i="1"/>
  <c r="Q71" i="1" s="1"/>
  <c r="R71" i="1" s="1"/>
  <c r="M72" i="1"/>
  <c r="Q72" i="1" s="1"/>
  <c r="R72" i="1" s="1"/>
  <c r="M73" i="1"/>
  <c r="Q73" i="1" s="1"/>
  <c r="R73" i="1" s="1"/>
  <c r="M74" i="1"/>
  <c r="Q74" i="1" s="1"/>
  <c r="R74" i="1" s="1"/>
  <c r="M75" i="1"/>
  <c r="Q75" i="1" s="1"/>
  <c r="M76" i="1"/>
  <c r="Q76" i="1" s="1"/>
  <c r="M77" i="1"/>
  <c r="Q77" i="1" s="1"/>
  <c r="M78" i="1"/>
  <c r="Q78" i="1" s="1"/>
  <c r="R78" i="1" s="1"/>
  <c r="M79" i="1"/>
  <c r="Q79" i="1" s="1"/>
  <c r="M80" i="1"/>
  <c r="Q80" i="1" s="1"/>
  <c r="M81" i="1"/>
  <c r="Q81" i="1" s="1"/>
  <c r="R81" i="1" s="1"/>
  <c r="M82" i="1"/>
  <c r="Q82" i="1" s="1"/>
  <c r="M83" i="1"/>
  <c r="Q83" i="1" s="1"/>
  <c r="M84" i="1"/>
  <c r="Q84" i="1" s="1"/>
  <c r="M85" i="1"/>
  <c r="Q85" i="1" s="1"/>
  <c r="M86" i="1"/>
  <c r="Q86" i="1" s="1"/>
  <c r="R86" i="1" s="1"/>
  <c r="M87" i="1"/>
  <c r="Q87" i="1" s="1"/>
  <c r="M88" i="1"/>
  <c r="Q88" i="1" s="1"/>
  <c r="M89" i="1"/>
  <c r="Q89" i="1" s="1"/>
  <c r="M90" i="1"/>
  <c r="Q90" i="1" s="1"/>
  <c r="M91" i="1"/>
  <c r="Q91" i="1" s="1"/>
  <c r="R91" i="1" s="1"/>
  <c r="M92" i="1"/>
  <c r="Q92" i="1" s="1"/>
  <c r="R92" i="1" s="1"/>
  <c r="M93" i="1"/>
  <c r="Q93" i="1" s="1"/>
  <c r="M94" i="1"/>
  <c r="Q94" i="1" s="1"/>
  <c r="R94" i="1" s="1"/>
  <c r="M95" i="1"/>
  <c r="Q95" i="1" s="1"/>
  <c r="M96" i="1"/>
  <c r="Q96" i="1" s="1"/>
  <c r="R96" i="1" s="1"/>
  <c r="M97" i="1"/>
  <c r="Q97" i="1" s="1"/>
  <c r="M6" i="1"/>
  <c r="Q6" i="1" s="1"/>
  <c r="R6" i="1" s="1"/>
  <c r="U6" i="1" l="1"/>
  <c r="V6" i="1"/>
  <c r="V96" i="1"/>
  <c r="U96" i="1"/>
  <c r="V93" i="1"/>
  <c r="U93" i="1"/>
  <c r="U91" i="1"/>
  <c r="V91" i="1"/>
  <c r="U89" i="1"/>
  <c r="V89" i="1"/>
  <c r="U87" i="1"/>
  <c r="V87" i="1"/>
  <c r="U85" i="1"/>
  <c r="V85" i="1"/>
  <c r="U83" i="1"/>
  <c r="V83" i="1"/>
  <c r="U81" i="1"/>
  <c r="V81" i="1"/>
  <c r="U79" i="1"/>
  <c r="V79" i="1"/>
  <c r="U77" i="1"/>
  <c r="V77" i="1"/>
  <c r="U75" i="1"/>
  <c r="V75" i="1"/>
  <c r="U73" i="1"/>
  <c r="V73" i="1"/>
  <c r="U71" i="1"/>
  <c r="V71" i="1"/>
  <c r="U69" i="1"/>
  <c r="V69" i="1"/>
  <c r="U67" i="1"/>
  <c r="V67" i="1"/>
  <c r="U65" i="1"/>
  <c r="V65" i="1"/>
  <c r="U63" i="1"/>
  <c r="V63" i="1"/>
  <c r="U61" i="1"/>
  <c r="V61" i="1"/>
  <c r="U59" i="1"/>
  <c r="V59" i="1"/>
  <c r="U57" i="1"/>
  <c r="V57" i="1"/>
  <c r="U55" i="1"/>
  <c r="V55" i="1"/>
  <c r="U53" i="1"/>
  <c r="V53" i="1"/>
  <c r="U51" i="1"/>
  <c r="V51" i="1"/>
  <c r="U49" i="1"/>
  <c r="V49" i="1"/>
  <c r="U47" i="1"/>
  <c r="V47" i="1"/>
  <c r="U45" i="1"/>
  <c r="V45" i="1"/>
  <c r="U43" i="1"/>
  <c r="V43" i="1"/>
  <c r="U41" i="1"/>
  <c r="V41" i="1"/>
  <c r="U39" i="1"/>
  <c r="V39" i="1"/>
  <c r="U37" i="1"/>
  <c r="V37" i="1"/>
  <c r="U35" i="1"/>
  <c r="V35" i="1"/>
  <c r="U33" i="1"/>
  <c r="V33" i="1"/>
  <c r="U31" i="1"/>
  <c r="V31" i="1"/>
  <c r="U29" i="1"/>
  <c r="V29" i="1"/>
  <c r="U27" i="1"/>
  <c r="V27" i="1"/>
  <c r="U25" i="1"/>
  <c r="V25" i="1"/>
  <c r="U23" i="1"/>
  <c r="V23" i="1"/>
  <c r="U21" i="1"/>
  <c r="V21" i="1"/>
  <c r="U19" i="1"/>
  <c r="V19" i="1"/>
  <c r="U17" i="1"/>
  <c r="V17" i="1"/>
  <c r="U15" i="1"/>
  <c r="V15" i="1"/>
  <c r="U13" i="1"/>
  <c r="V13" i="1"/>
  <c r="U11" i="1"/>
  <c r="V11" i="1"/>
  <c r="U9" i="1"/>
  <c r="V9" i="1"/>
  <c r="U7" i="1"/>
  <c r="V7" i="1"/>
  <c r="V97" i="1"/>
  <c r="U97" i="1"/>
  <c r="V95" i="1"/>
  <c r="U95" i="1"/>
  <c r="V94" i="1"/>
  <c r="U94" i="1"/>
  <c r="V92" i="1"/>
  <c r="U92" i="1"/>
  <c r="U90" i="1"/>
  <c r="V90" i="1"/>
  <c r="U88" i="1"/>
  <c r="V88" i="1"/>
  <c r="U86" i="1"/>
  <c r="V86" i="1"/>
  <c r="U84" i="1"/>
  <c r="V84" i="1"/>
  <c r="U82" i="1"/>
  <c r="V82" i="1"/>
  <c r="U80" i="1"/>
  <c r="V80" i="1"/>
  <c r="U78" i="1"/>
  <c r="V78" i="1"/>
  <c r="U76" i="1"/>
  <c r="V76" i="1"/>
  <c r="U74" i="1"/>
  <c r="V74" i="1"/>
  <c r="U72" i="1"/>
  <c r="V72" i="1"/>
  <c r="U70" i="1"/>
  <c r="V70" i="1"/>
  <c r="U68" i="1"/>
  <c r="V68" i="1"/>
  <c r="U66" i="1"/>
  <c r="V66" i="1"/>
  <c r="U64" i="1"/>
  <c r="V64" i="1"/>
  <c r="U62" i="1"/>
  <c r="V62" i="1"/>
  <c r="U60" i="1"/>
  <c r="V60" i="1"/>
  <c r="U58" i="1"/>
  <c r="V58" i="1"/>
  <c r="U56" i="1"/>
  <c r="V56" i="1"/>
  <c r="U54" i="1"/>
  <c r="V54" i="1"/>
  <c r="U52" i="1"/>
  <c r="V52" i="1"/>
  <c r="U50" i="1"/>
  <c r="V50" i="1"/>
  <c r="U48" i="1"/>
  <c r="V48" i="1"/>
  <c r="U46" i="1"/>
  <c r="V46" i="1"/>
  <c r="U44" i="1"/>
  <c r="V44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V24" i="1"/>
  <c r="U22" i="1"/>
  <c r="V22" i="1"/>
  <c r="U20" i="1"/>
  <c r="V20" i="1"/>
  <c r="U18" i="1"/>
  <c r="V18" i="1"/>
  <c r="U16" i="1"/>
  <c r="V16" i="1"/>
  <c r="U14" i="1"/>
  <c r="V14" i="1"/>
  <c r="U12" i="1"/>
  <c r="V12" i="1"/>
  <c r="U10" i="1"/>
  <c r="V10" i="1"/>
  <c r="U8" i="1"/>
  <c r="V8" i="1"/>
  <c r="AF97" i="1"/>
  <c r="L97" i="1"/>
  <c r="AF96" i="1"/>
  <c r="L96" i="1"/>
  <c r="AF95" i="1"/>
  <c r="L95" i="1"/>
  <c r="AF94" i="1"/>
  <c r="L94" i="1"/>
  <c r="L93" i="1"/>
  <c r="AF92" i="1"/>
  <c r="L92" i="1"/>
  <c r="AF91" i="1"/>
  <c r="L91" i="1"/>
  <c r="AF90" i="1"/>
  <c r="L90" i="1"/>
  <c r="AF89" i="1"/>
  <c r="L89" i="1"/>
  <c r="AF88" i="1"/>
  <c r="L88" i="1"/>
  <c r="AF87" i="1"/>
  <c r="L87" i="1"/>
  <c r="AF86" i="1"/>
  <c r="L86" i="1"/>
  <c r="L85" i="1"/>
  <c r="AF84" i="1"/>
  <c r="L84" i="1"/>
  <c r="AF83" i="1"/>
  <c r="L83" i="1"/>
  <c r="AF82" i="1"/>
  <c r="L82" i="1"/>
  <c r="AF81" i="1"/>
  <c r="L81" i="1"/>
  <c r="AF80" i="1"/>
  <c r="L80" i="1"/>
  <c r="AF79" i="1"/>
  <c r="L79" i="1"/>
  <c r="AF78" i="1"/>
  <c r="L78" i="1"/>
  <c r="L77" i="1"/>
  <c r="AF76" i="1"/>
  <c r="L76" i="1"/>
  <c r="L75" i="1"/>
  <c r="AF74" i="1"/>
  <c r="L74" i="1"/>
  <c r="AF73" i="1"/>
  <c r="L73" i="1"/>
  <c r="AF72" i="1"/>
  <c r="L72" i="1"/>
  <c r="AF71" i="1"/>
  <c r="L71" i="1"/>
  <c r="AF70" i="1"/>
  <c r="L70" i="1"/>
  <c r="L69" i="1"/>
  <c r="AF68" i="1"/>
  <c r="L68" i="1"/>
  <c r="L67" i="1"/>
  <c r="AF66" i="1"/>
  <c r="L66" i="1"/>
  <c r="L65" i="1"/>
  <c r="L64" i="1"/>
  <c r="AF63" i="1"/>
  <c r="L63" i="1"/>
  <c r="AF62" i="1"/>
  <c r="L62" i="1"/>
  <c r="AF61" i="1"/>
  <c r="L61" i="1"/>
  <c r="AF60" i="1"/>
  <c r="L60" i="1"/>
  <c r="AF59" i="1"/>
  <c r="L59" i="1"/>
  <c r="AF58" i="1"/>
  <c r="L58" i="1"/>
  <c r="AF57" i="1"/>
  <c r="L57" i="1"/>
  <c r="AF56" i="1"/>
  <c r="L56" i="1"/>
  <c r="AF55" i="1"/>
  <c r="L55" i="1"/>
  <c r="AF54" i="1"/>
  <c r="L54" i="1"/>
  <c r="AF53" i="1"/>
  <c r="L53" i="1"/>
  <c r="AF52" i="1"/>
  <c r="L52" i="1"/>
  <c r="AF51" i="1"/>
  <c r="L51" i="1"/>
  <c r="AF50" i="1"/>
  <c r="L50" i="1"/>
  <c r="AF49" i="1"/>
  <c r="L49" i="1"/>
  <c r="AF48" i="1"/>
  <c r="L48" i="1"/>
  <c r="L47" i="1"/>
  <c r="AF46" i="1"/>
  <c r="L46" i="1"/>
  <c r="AF45" i="1"/>
  <c r="L45" i="1"/>
  <c r="AF44" i="1"/>
  <c r="L44" i="1"/>
  <c r="AF43" i="1"/>
  <c r="L43" i="1"/>
  <c r="AF42" i="1"/>
  <c r="L42" i="1"/>
  <c r="AF41" i="1"/>
  <c r="L41" i="1"/>
  <c r="AF40" i="1"/>
  <c r="L40" i="1"/>
  <c r="AF39" i="1"/>
  <c r="L39" i="1"/>
  <c r="AF38" i="1"/>
  <c r="L38" i="1"/>
  <c r="AF37" i="1"/>
  <c r="L37" i="1"/>
  <c r="AF36" i="1"/>
  <c r="L36" i="1"/>
  <c r="AF35" i="1"/>
  <c r="L35" i="1"/>
  <c r="AF34" i="1"/>
  <c r="L34" i="1"/>
  <c r="AF33" i="1"/>
  <c r="L33" i="1"/>
  <c r="AF32" i="1"/>
  <c r="L32" i="1"/>
  <c r="L31" i="1"/>
  <c r="L30" i="1"/>
  <c r="L29" i="1"/>
  <c r="L28" i="1"/>
  <c r="AF27" i="1"/>
  <c r="L27" i="1"/>
  <c r="L26" i="1"/>
  <c r="L25" i="1"/>
  <c r="AF24" i="1"/>
  <c r="L24" i="1"/>
  <c r="AF23" i="1"/>
  <c r="L23" i="1"/>
  <c r="AF22" i="1"/>
  <c r="L22" i="1"/>
  <c r="AF21" i="1"/>
  <c r="L21" i="1"/>
  <c r="AF20" i="1"/>
  <c r="L20" i="1"/>
  <c r="AF19" i="1"/>
  <c r="L19" i="1"/>
  <c r="L18" i="1"/>
  <c r="AF17" i="1"/>
  <c r="L17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S5" i="1"/>
  <c r="R5" i="1"/>
  <c r="Q5" i="1"/>
  <c r="P5" i="1"/>
  <c r="O5" i="1"/>
  <c r="N5" i="1"/>
  <c r="M5" i="1"/>
  <c r="K5" i="1"/>
  <c r="F5" i="1"/>
  <c r="E5" i="1"/>
  <c r="L5" i="1" l="1"/>
  <c r="AF5" i="1"/>
</calcChain>
</file>

<file path=xl/sharedStrings.xml><?xml version="1.0" encoding="utf-8"?>
<sst xmlns="http://schemas.openxmlformats.org/spreadsheetml/2006/main" count="376" uniqueCount="156">
  <si>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</si>
  <si>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</si>
  <si>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</si>
  <si>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</si>
  <si>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</si>
  <si>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</si>
  <si>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</si>
  <si>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</si>
  <si>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</si>
  <si>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</si>
  <si>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</si>
  <si>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</si>
  <si>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</si>
  <si>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</si>
  <si>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</si>
  <si>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</si>
  <si>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</si>
  <si>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</si>
  <si>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</si>
  <si>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</si>
  <si>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</si>
  <si>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</si>
  <si>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</si>
  <si>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</si>
  <si>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Бутырин(08,11)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</si>
  <si>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</si>
  <si>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</si>
  <si>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</si>
  <si>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</si>
  <si>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</si>
  <si>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</si>
  <si>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</si>
  <si>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</si>
  <si>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</si>
  <si>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</si>
  <si>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</si>
  <si>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</si>
  <si>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</si>
  <si>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</si>
  <si>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</si>
  <si>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</si>
  <si>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</si>
  <si>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</si>
  <si>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</si>
  <si>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</si>
  <si>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</si>
  <si>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</si>
  <si>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</si>
  <si>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</si>
  <si>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</si>
  <si>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</si>
  <si>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</si>
  <si>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</si>
  <si>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</si>
  <si>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</si>
  <si>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</si>
  <si>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</si>
  <si>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</si>
  <si>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</si>
  <si>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</si>
  <si>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</si>
  <si>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</si>
  <si>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</si>
  <si>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</si>
  <si>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</si>
  <si>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</si>
  <si>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</si>
  <si>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</si>
  <si>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</si>
  <si>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</si>
  <si>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</si>
  <si>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</si>
  <si>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</si>
  <si>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</si>
  <si>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</si>
  <si>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</si>
  <si>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</si>
  <si>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</si>
  <si>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</si>
  <si>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</si>
  <si>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</si>
  <si>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</si>
  <si>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</si>
  <si>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</si>
  <si>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</si>
  <si>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</si>
  <si>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</si>
  <si>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</si>
  <si>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</si>
  <si>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</si>
  <si>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</si>
  <si>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</si>
  <si>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</si>
  <si>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</si>
  <si>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новинка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</si>
  <si>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</si>
  <si>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</si>
  <si>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</si>
  <si>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</si>
  <si>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</si>
  <si>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</si>
  <si>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</si>
  <si>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</si>
  <si>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</si>
  <si>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</si>
  <si>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</si>
  <si>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</si>
  <si>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</si>
  <si>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</si>
  <si>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</si>
  <si>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</si>
  <si>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</si>
  <si>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</si>
  <si>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</si>
  <si>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</si>
  <si>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</si>
  <si>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</si>
  <si>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</si>
  <si>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</si>
  <si>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</si>
  <si>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</si>
  <si>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</si>
  <si>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20,12,24 в уценку 51кг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</si>
  <si>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</si>
  <si>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</si>
  <si>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</si>
  <si>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</si>
  <si>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</si>
  <si>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</si>
  <si>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</si>
  <si>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</si>
  <si>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</si>
  <si>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</si>
  <si>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</si>
  <si>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</si>
  <si>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</si>
  <si>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</si>
  <si>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</si>
  <si>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</si>
  <si>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</si>
  <si>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</si>
  <si>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</si>
  <si>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</si>
  <si>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</si>
  <si>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</si>
  <si>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</si>
  <si>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</si>
  <si>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</si>
  <si>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</si>
  <si>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</si>
  <si>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</si>
  <si>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</si>
  <si>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</si>
  <si>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23,06,25 в уценку 6кг / 22,04,25 в уценку 34 кг / 25,01,25 в уценку 108кг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</si>
  <si>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</si>
  <si>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t>нужно увеличить продажи / новинка / с 03,10,25 снова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</si>
</sst>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5" fillId="0" borderId="1" xfId="1" applyNumberFormat="1" applyFont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1" sqref="T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2" width="5" customWidth="1"/>
    <col min="23" max="30" width="6" customWidth="1"/>
    <col min="31" max="31" width="32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42819.770999999993</v>
      </c>
      <c r="F5" s="4">
        <f>SUM(F6:F499)</f>
        <v>43246.322</v>
      </c>
      <c r="G5" s="8"/>
      <c r="H5" s="1"/>
      <c r="I5" s="1"/>
      <c r="J5" s="1"/>
      <c r="K5" s="4">
        <f t="shared" ref="K5:S5" si="0">SUM(K6:K499)</f>
        <v>47386.176999999996</v>
      </c>
      <c r="L5" s="4">
        <f t="shared" si="0"/>
        <v>-4566.4059999999981</v>
      </c>
      <c r="M5" s="4">
        <f t="shared" si="0"/>
        <v>32947.370999999992</v>
      </c>
      <c r="N5" s="4">
        <f t="shared" si="0"/>
        <v>9872.4000000000015</v>
      </c>
      <c r="O5" s="4">
        <f t="shared" si="0"/>
        <v>1828</v>
      </c>
      <c r="P5" s="4">
        <f t="shared" si="0"/>
        <v>20101.586695999995</v>
      </c>
      <c r="Q5" s="4">
        <f t="shared" si="0"/>
        <v>6589.4741999999978</v>
      </c>
      <c r="R5" s="4">
        <f t="shared" si="0"/>
        <v>14771.097904000004</v>
      </c>
      <c r="S5" s="4">
        <f t="shared" si="0"/>
        <v>0</v>
      </c>
      <c r="T5" s="1"/>
      <c r="U5" s="1"/>
      <c r="V5" s="1"/>
      <c r="W5" s="4">
        <f t="shared" ref="W5:AD5" si="1">SUM(W6:W499)</f>
        <v>6231.0590000000002</v>
      </c>
      <c r="X5" s="4">
        <f t="shared" si="1"/>
        <v>6227.5005999999976</v>
      </c>
      <c r="Y5" s="4">
        <f t="shared" si="1"/>
        <v>6690.6237999999985</v>
      </c>
      <c r="Z5" s="4">
        <f t="shared" si="1"/>
        <v>7101.1730000000007</v>
      </c>
      <c r="AA5" s="4">
        <f t="shared" si="1"/>
        <v>6978.5921999999982</v>
      </c>
      <c r="AB5" s="4">
        <f t="shared" si="1"/>
        <v>7360.6052000000018</v>
      </c>
      <c r="AC5" s="4">
        <f t="shared" si="1"/>
        <v>7860.8829999999971</v>
      </c>
      <c r="AD5" s="4">
        <f t="shared" si="1"/>
        <v>8561.8618000000006</v>
      </c>
      <c r="AE5" s="1"/>
      <c r="AF5" s="4">
        <f>SUM(AF6:AF499)</f>
        <v>10710.747864000001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739.95</v>
      </c>
      <c r="D6" s="1">
        <v>689.87699999999995</v>
      </c>
      <c r="E6" s="1">
        <v>461.26400000000001</v>
      </c>
      <c r="F6" s="1">
        <v>265.55599999999998</v>
      </c>
      <c r="G6" s="8">
        <v>1</v>
      </c>
      <c r="H6" s="1">
        <v>50</v>
      </c>
      <c r="I6" s="1" t="s">
        <v>37</v>
      </c>
      <c r="J6" s="1"/>
      <c r="K6" s="1">
        <v>589.57600000000002</v>
      </c>
      <c r="L6" s="1">
        <f t="shared" ref="L6:L37" si="2">E6-K6</f>
        <v>-128.31200000000001</v>
      </c>
      <c r="M6" s="1">
        <f>E6-N6</f>
        <v>310.68799999999999</v>
      </c>
      <c r="N6" s="1">
        <v>150.57599999999999</v>
      </c>
      <c r="O6" s="1">
        <v>0</v>
      </c>
      <c r="P6" s="1">
        <v>133.16040000000021</v>
      </c>
      <c r="Q6" s="1">
        <f t="shared" ref="Q6:Q37" si="3">M6/5</f>
        <v>62.137599999999999</v>
      </c>
      <c r="R6" s="5">
        <f>11*Q6-P6-F6</f>
        <v>284.7971999999998</v>
      </c>
      <c r="S6" s="5"/>
      <c r="T6" s="1"/>
      <c r="U6" s="1">
        <f>(F6+P6+R6)/Q6</f>
        <v>11</v>
      </c>
      <c r="V6" s="1">
        <f>(F6+P6)/Q6</f>
        <v>6.416668812442067</v>
      </c>
      <c r="W6" s="1">
        <v>52.611200000000011</v>
      </c>
      <c r="X6" s="1">
        <v>57.664200000000008</v>
      </c>
      <c r="Y6" s="1">
        <v>49.654800000000002</v>
      </c>
      <c r="Z6" s="1">
        <v>64.250799999999998</v>
      </c>
      <c r="AA6" s="1">
        <v>73.965599999999995</v>
      </c>
      <c r="AB6" s="1">
        <v>104.0496</v>
      </c>
      <c r="AC6" s="1">
        <v>105.75279999999999</v>
      </c>
      <c r="AD6" s="1">
        <v>73.311800000000005</v>
      </c>
      <c r="AE6" s="1"/>
      <c r="AF6" s="1">
        <f t="shared" ref="AF6:AF17" si="4">G6*R6</f>
        <v>284.7971999999998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182.07</v>
      </c>
      <c r="D7" s="1">
        <v>532.50800000000004</v>
      </c>
      <c r="E7" s="1">
        <v>308.31299999999999</v>
      </c>
      <c r="F7" s="1">
        <v>234.83699999999999</v>
      </c>
      <c r="G7" s="8">
        <v>1</v>
      </c>
      <c r="H7" s="1">
        <v>45</v>
      </c>
      <c r="I7" s="1" t="s">
        <v>37</v>
      </c>
      <c r="J7" s="1"/>
      <c r="K7" s="1">
        <v>337.30900000000003</v>
      </c>
      <c r="L7" s="1">
        <f t="shared" si="2"/>
        <v>-28.996000000000038</v>
      </c>
      <c r="M7" s="1">
        <f t="shared" ref="M7:M70" si="5">E7-N7</f>
        <v>146.304</v>
      </c>
      <c r="N7" s="1">
        <v>162.00899999999999</v>
      </c>
      <c r="O7" s="1">
        <v>111</v>
      </c>
      <c r="P7" s="1">
        <v>47.908200000000022</v>
      </c>
      <c r="Q7" s="1">
        <f t="shared" si="3"/>
        <v>29.2608</v>
      </c>
      <c r="R7" s="5">
        <f t="shared" ref="R7:R16" si="6">11*Q7-P7-F7</f>
        <v>39.12360000000001</v>
      </c>
      <c r="S7" s="5"/>
      <c r="T7" s="1"/>
      <c r="U7" s="1">
        <f t="shared" ref="U7:U70" si="7">(F7+P7+R7)/Q7</f>
        <v>11</v>
      </c>
      <c r="V7" s="1">
        <f t="shared" ref="V7:V70" si="8">(F7+P7)/Q7</f>
        <v>9.6629347112860895</v>
      </c>
      <c r="W7" s="1">
        <v>33.061999999999998</v>
      </c>
      <c r="X7" s="1">
        <v>38.053400000000003</v>
      </c>
      <c r="Y7" s="1">
        <v>37.585400000000007</v>
      </c>
      <c r="Z7" s="1">
        <v>52.689799999999991</v>
      </c>
      <c r="AA7" s="1">
        <v>39.273200000000003</v>
      </c>
      <c r="AB7" s="1">
        <v>49.153199999999998</v>
      </c>
      <c r="AC7" s="1">
        <v>31.0534</v>
      </c>
      <c r="AD7" s="1">
        <v>70.558000000000007</v>
      </c>
      <c r="AE7" s="1"/>
      <c r="AF7" s="1">
        <f t="shared" si="4"/>
        <v>39.12360000000001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352.65100000000001</v>
      </c>
      <c r="D8" s="1">
        <v>2570.11</v>
      </c>
      <c r="E8" s="1">
        <v>814.154</v>
      </c>
      <c r="F8" s="1">
        <v>1727.596</v>
      </c>
      <c r="G8" s="8">
        <v>1</v>
      </c>
      <c r="H8" s="1">
        <v>45</v>
      </c>
      <c r="I8" s="10" t="s">
        <v>40</v>
      </c>
      <c r="J8" s="1"/>
      <c r="K8" s="1">
        <v>1000.4880000000001</v>
      </c>
      <c r="L8" s="1">
        <f t="shared" si="2"/>
        <v>-186.33400000000006</v>
      </c>
      <c r="M8" s="1">
        <f t="shared" si="5"/>
        <v>464.96600000000001</v>
      </c>
      <c r="N8" s="1">
        <v>349.18799999999999</v>
      </c>
      <c r="O8" s="1">
        <v>117</v>
      </c>
      <c r="P8" s="1">
        <v>0</v>
      </c>
      <c r="Q8" s="1">
        <f t="shared" si="3"/>
        <v>92.993200000000002</v>
      </c>
      <c r="R8" s="5"/>
      <c r="S8" s="5"/>
      <c r="T8" s="1"/>
      <c r="U8" s="1">
        <f t="shared" si="7"/>
        <v>18.577659441765633</v>
      </c>
      <c r="V8" s="1">
        <f t="shared" si="8"/>
        <v>18.577659441765633</v>
      </c>
      <c r="W8" s="1">
        <v>90.106599999999986</v>
      </c>
      <c r="X8" s="1">
        <v>98.149000000000001</v>
      </c>
      <c r="Y8" s="1">
        <v>100.4714</v>
      </c>
      <c r="Z8" s="1">
        <v>124.4312</v>
      </c>
      <c r="AA8" s="1">
        <v>112.2256</v>
      </c>
      <c r="AB8" s="1">
        <v>124.9432</v>
      </c>
      <c r="AC8" s="1">
        <v>150.91499999999999</v>
      </c>
      <c r="AD8" s="1">
        <v>191.386</v>
      </c>
      <c r="AE8" s="1"/>
      <c r="AF8" s="1">
        <f t="shared" si="4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544</v>
      </c>
      <c r="D9" s="1">
        <v>1109</v>
      </c>
      <c r="E9" s="1">
        <v>816</v>
      </c>
      <c r="F9" s="1">
        <v>504</v>
      </c>
      <c r="G9" s="8">
        <v>0.45</v>
      </c>
      <c r="H9" s="1">
        <v>45</v>
      </c>
      <c r="I9" s="1" t="s">
        <v>37</v>
      </c>
      <c r="J9" s="1"/>
      <c r="K9" s="1">
        <v>1004</v>
      </c>
      <c r="L9" s="1">
        <f t="shared" si="2"/>
        <v>-188</v>
      </c>
      <c r="M9" s="1">
        <f t="shared" si="5"/>
        <v>606</v>
      </c>
      <c r="N9" s="1">
        <v>210</v>
      </c>
      <c r="O9" s="1">
        <v>0</v>
      </c>
      <c r="P9" s="1">
        <v>245.52599999999981</v>
      </c>
      <c r="Q9" s="1">
        <f t="shared" si="3"/>
        <v>121.2</v>
      </c>
      <c r="R9" s="5">
        <f t="shared" si="6"/>
        <v>583.67400000000021</v>
      </c>
      <c r="S9" s="5"/>
      <c r="T9" s="1"/>
      <c r="U9" s="1">
        <f t="shared" si="7"/>
        <v>11</v>
      </c>
      <c r="V9" s="1">
        <f t="shared" si="8"/>
        <v>6.1842079207920779</v>
      </c>
      <c r="W9" s="1">
        <v>96.2</v>
      </c>
      <c r="X9" s="1">
        <v>108.4</v>
      </c>
      <c r="Y9" s="1">
        <v>118.2</v>
      </c>
      <c r="Z9" s="1">
        <v>123.4</v>
      </c>
      <c r="AA9" s="1">
        <v>130.4</v>
      </c>
      <c r="AB9" s="1">
        <v>140.4</v>
      </c>
      <c r="AC9" s="1">
        <v>138.80000000000001</v>
      </c>
      <c r="AD9" s="1">
        <v>151.4</v>
      </c>
      <c r="AE9" s="1" t="s">
        <v>43</v>
      </c>
      <c r="AF9" s="1">
        <f t="shared" si="4"/>
        <v>262.65330000000012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303</v>
      </c>
      <c r="D10" s="1">
        <v>3347</v>
      </c>
      <c r="E10" s="1">
        <v>2167</v>
      </c>
      <c r="F10" s="1">
        <v>1063</v>
      </c>
      <c r="G10" s="8">
        <v>0.45</v>
      </c>
      <c r="H10" s="1">
        <v>45</v>
      </c>
      <c r="I10" s="1" t="s">
        <v>37</v>
      </c>
      <c r="J10" s="1"/>
      <c r="K10" s="1">
        <v>2313</v>
      </c>
      <c r="L10" s="1">
        <f t="shared" si="2"/>
        <v>-146</v>
      </c>
      <c r="M10" s="1">
        <f t="shared" si="5"/>
        <v>1843</v>
      </c>
      <c r="N10" s="1">
        <v>324</v>
      </c>
      <c r="O10" s="1">
        <v>0</v>
      </c>
      <c r="P10" s="1">
        <v>931.39999999999952</v>
      </c>
      <c r="Q10" s="1">
        <f t="shared" si="3"/>
        <v>368.6</v>
      </c>
      <c r="R10" s="5">
        <f>10*Q10-P10-F10</f>
        <v>1691.6000000000004</v>
      </c>
      <c r="S10" s="5"/>
      <c r="T10" s="1"/>
      <c r="U10" s="1">
        <f t="shared" si="7"/>
        <v>10</v>
      </c>
      <c r="V10" s="1">
        <f t="shared" si="8"/>
        <v>5.4107433532284306</v>
      </c>
      <c r="W10" s="1">
        <v>271.39999999999998</v>
      </c>
      <c r="X10" s="1">
        <v>269.60000000000002</v>
      </c>
      <c r="Y10" s="1">
        <v>208</v>
      </c>
      <c r="Z10" s="1">
        <v>191.4</v>
      </c>
      <c r="AA10" s="1">
        <v>196.6</v>
      </c>
      <c r="AB10" s="1">
        <v>208.8</v>
      </c>
      <c r="AC10" s="1">
        <v>238.6</v>
      </c>
      <c r="AD10" s="1">
        <v>284.34359999999998</v>
      </c>
      <c r="AE10" s="21" t="s">
        <v>43</v>
      </c>
      <c r="AF10" s="1">
        <f t="shared" si="4"/>
        <v>761.22000000000014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71</v>
      </c>
      <c r="D11" s="1">
        <v>139</v>
      </c>
      <c r="E11" s="1">
        <v>79</v>
      </c>
      <c r="F11" s="1">
        <v>80</v>
      </c>
      <c r="G11" s="8">
        <v>0.17</v>
      </c>
      <c r="H11" s="1">
        <v>180</v>
      </c>
      <c r="I11" s="1" t="s">
        <v>37</v>
      </c>
      <c r="J11" s="1"/>
      <c r="K11" s="1">
        <v>79</v>
      </c>
      <c r="L11" s="1">
        <f t="shared" si="2"/>
        <v>0</v>
      </c>
      <c r="M11" s="1">
        <f t="shared" si="5"/>
        <v>49</v>
      </c>
      <c r="N11" s="1">
        <v>30</v>
      </c>
      <c r="O11" s="1">
        <v>0</v>
      </c>
      <c r="P11" s="1">
        <v>11</v>
      </c>
      <c r="Q11" s="1">
        <f t="shared" si="3"/>
        <v>9.8000000000000007</v>
      </c>
      <c r="R11" s="5">
        <f t="shared" si="6"/>
        <v>16.800000000000011</v>
      </c>
      <c r="S11" s="5"/>
      <c r="T11" s="1"/>
      <c r="U11" s="1">
        <f t="shared" si="7"/>
        <v>11</v>
      </c>
      <c r="V11" s="1">
        <f t="shared" si="8"/>
        <v>9.2857142857142847</v>
      </c>
      <c r="W11" s="1">
        <v>10.4</v>
      </c>
      <c r="X11" s="1">
        <v>9.4</v>
      </c>
      <c r="Y11" s="1">
        <v>7.4</v>
      </c>
      <c r="Z11" s="1">
        <v>11.4</v>
      </c>
      <c r="AA11" s="1">
        <v>11.4</v>
      </c>
      <c r="AB11" s="1">
        <v>9.6</v>
      </c>
      <c r="AC11" s="1">
        <v>12.2</v>
      </c>
      <c r="AD11" s="1">
        <v>15.4</v>
      </c>
      <c r="AE11" s="1" t="s">
        <v>43</v>
      </c>
      <c r="AF11" s="1">
        <f t="shared" si="4"/>
        <v>2.8560000000000021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42</v>
      </c>
      <c r="C12" s="1">
        <v>10</v>
      </c>
      <c r="D12" s="1">
        <v>40</v>
      </c>
      <c r="E12" s="1">
        <v>11</v>
      </c>
      <c r="F12" s="1">
        <v>36</v>
      </c>
      <c r="G12" s="8">
        <v>0.3</v>
      </c>
      <c r="H12" s="1">
        <v>40</v>
      </c>
      <c r="I12" s="1" t="s">
        <v>37</v>
      </c>
      <c r="J12" s="1"/>
      <c r="K12" s="1">
        <v>12</v>
      </c>
      <c r="L12" s="1">
        <f t="shared" si="2"/>
        <v>-1</v>
      </c>
      <c r="M12" s="1">
        <f t="shared" si="5"/>
        <v>11</v>
      </c>
      <c r="N12" s="1"/>
      <c r="O12" s="1">
        <v>0</v>
      </c>
      <c r="P12" s="1">
        <v>0</v>
      </c>
      <c r="Q12" s="1">
        <f t="shared" si="3"/>
        <v>2.2000000000000002</v>
      </c>
      <c r="R12" s="5"/>
      <c r="S12" s="5"/>
      <c r="T12" s="1"/>
      <c r="U12" s="1">
        <f t="shared" si="7"/>
        <v>16.363636363636363</v>
      </c>
      <c r="V12" s="1">
        <f t="shared" si="8"/>
        <v>16.363636363636363</v>
      </c>
      <c r="W12" s="1">
        <v>2</v>
      </c>
      <c r="X12" s="1">
        <v>3.6</v>
      </c>
      <c r="Y12" s="1">
        <v>3.4</v>
      </c>
      <c r="Z12" s="1">
        <v>1.6</v>
      </c>
      <c r="AA12" s="1">
        <v>1.8</v>
      </c>
      <c r="AB12" s="1">
        <v>1.8</v>
      </c>
      <c r="AC12" s="1">
        <v>1.2</v>
      </c>
      <c r="AD12" s="1">
        <v>4.5999999999999996</v>
      </c>
      <c r="AE12" s="1" t="s">
        <v>47</v>
      </c>
      <c r="AF12" s="1">
        <f t="shared" si="4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48</v>
      </c>
      <c r="B13" s="1" t="s">
        <v>42</v>
      </c>
      <c r="C13" s="1">
        <v>113</v>
      </c>
      <c r="D13" s="1">
        <v>281</v>
      </c>
      <c r="E13" s="1">
        <v>181</v>
      </c>
      <c r="F13" s="1">
        <v>162</v>
      </c>
      <c r="G13" s="8">
        <v>0.17</v>
      </c>
      <c r="H13" s="1">
        <v>180</v>
      </c>
      <c r="I13" s="1" t="s">
        <v>37</v>
      </c>
      <c r="J13" s="1"/>
      <c r="K13" s="1">
        <v>181</v>
      </c>
      <c r="L13" s="1">
        <f t="shared" si="2"/>
        <v>0</v>
      </c>
      <c r="M13" s="1">
        <f t="shared" si="5"/>
        <v>121</v>
      </c>
      <c r="N13" s="1">
        <v>60</v>
      </c>
      <c r="O13" s="1">
        <v>0</v>
      </c>
      <c r="P13" s="1">
        <v>0</v>
      </c>
      <c r="Q13" s="1">
        <f t="shared" si="3"/>
        <v>24.2</v>
      </c>
      <c r="R13" s="5">
        <f t="shared" si="6"/>
        <v>104.19999999999999</v>
      </c>
      <c r="S13" s="5"/>
      <c r="T13" s="1"/>
      <c r="U13" s="1">
        <f t="shared" si="7"/>
        <v>11</v>
      </c>
      <c r="V13" s="1">
        <f t="shared" si="8"/>
        <v>6.6942148760330582</v>
      </c>
      <c r="W13" s="1">
        <v>19.8</v>
      </c>
      <c r="X13" s="1">
        <v>24.6</v>
      </c>
      <c r="Y13" s="1">
        <v>22.6</v>
      </c>
      <c r="Z13" s="1">
        <v>22.4</v>
      </c>
      <c r="AA13" s="1">
        <v>18.399999999999999</v>
      </c>
      <c r="AB13" s="1">
        <v>28.4</v>
      </c>
      <c r="AC13" s="1">
        <v>41.2</v>
      </c>
      <c r="AD13" s="1">
        <v>32.200000000000003</v>
      </c>
      <c r="AE13" s="1"/>
      <c r="AF13" s="1">
        <f t="shared" si="4"/>
        <v>17.713999999999999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22" t="s">
        <v>49</v>
      </c>
      <c r="B14" s="22" t="s">
        <v>36</v>
      </c>
      <c r="C14" s="22">
        <v>2652.1260000000002</v>
      </c>
      <c r="D14" s="22">
        <v>3231.8090000000002</v>
      </c>
      <c r="E14" s="22">
        <v>1726.6130000000001</v>
      </c>
      <c r="F14" s="22">
        <v>2486.0430000000001</v>
      </c>
      <c r="G14" s="23">
        <v>1</v>
      </c>
      <c r="H14" s="22">
        <v>55</v>
      </c>
      <c r="I14" s="22" t="s">
        <v>37</v>
      </c>
      <c r="J14" s="22"/>
      <c r="K14" s="22">
        <v>1810.8689999999999</v>
      </c>
      <c r="L14" s="22">
        <f t="shared" si="2"/>
        <v>-84.255999999999858</v>
      </c>
      <c r="M14" s="22">
        <f t="shared" si="5"/>
        <v>1467.144</v>
      </c>
      <c r="N14" s="22">
        <v>259.46899999999999</v>
      </c>
      <c r="O14" s="22">
        <v>94</v>
      </c>
      <c r="P14" s="22">
        <v>1503.073342000002</v>
      </c>
      <c r="Q14" s="22">
        <f t="shared" si="3"/>
        <v>293.42880000000002</v>
      </c>
      <c r="R14" s="24"/>
      <c r="S14" s="24"/>
      <c r="T14" s="22"/>
      <c r="U14" s="22">
        <f t="shared" si="7"/>
        <v>13.594835755726779</v>
      </c>
      <c r="V14" s="22">
        <f t="shared" si="8"/>
        <v>13.594835755726779</v>
      </c>
      <c r="W14" s="22">
        <v>350.74720000000002</v>
      </c>
      <c r="X14" s="22">
        <v>329.55340000000001</v>
      </c>
      <c r="Y14" s="22">
        <v>310.42039999999997</v>
      </c>
      <c r="Z14" s="22">
        <v>357.29320000000001</v>
      </c>
      <c r="AA14" s="22">
        <v>402.77620000000002</v>
      </c>
      <c r="AB14" s="22">
        <v>367.29759999999999</v>
      </c>
      <c r="AC14" s="22">
        <v>345.24619999999999</v>
      </c>
      <c r="AD14" s="22">
        <v>410.55919999999998</v>
      </c>
      <c r="AE14" s="22" t="s">
        <v>50</v>
      </c>
      <c r="AF14" s="22">
        <f t="shared" si="4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22" t="s">
        <v>51</v>
      </c>
      <c r="B15" s="22" t="s">
        <v>36</v>
      </c>
      <c r="C15" s="22">
        <v>4031.4369999999999</v>
      </c>
      <c r="D15" s="22">
        <v>4731.7520000000004</v>
      </c>
      <c r="E15" s="22">
        <v>2922.2350000000001</v>
      </c>
      <c r="F15" s="22">
        <v>4740.0010000000002</v>
      </c>
      <c r="G15" s="23">
        <v>1</v>
      </c>
      <c r="H15" s="22">
        <v>50</v>
      </c>
      <c r="I15" s="22" t="s">
        <v>37</v>
      </c>
      <c r="J15" s="22"/>
      <c r="K15" s="22">
        <v>3392.1819999999998</v>
      </c>
      <c r="L15" s="22">
        <f t="shared" si="2"/>
        <v>-469.94699999999966</v>
      </c>
      <c r="M15" s="22">
        <f t="shared" si="5"/>
        <v>1538.5530000000001</v>
      </c>
      <c r="N15" s="22">
        <v>1383.682</v>
      </c>
      <c r="O15" s="22">
        <v>141</v>
      </c>
      <c r="P15" s="22">
        <v>0</v>
      </c>
      <c r="Q15" s="22">
        <f t="shared" si="3"/>
        <v>307.7106</v>
      </c>
      <c r="R15" s="24"/>
      <c r="S15" s="24"/>
      <c r="T15" s="22"/>
      <c r="U15" s="22">
        <f t="shared" si="7"/>
        <v>15.404087476999493</v>
      </c>
      <c r="V15" s="22">
        <f t="shared" si="8"/>
        <v>15.404087476999493</v>
      </c>
      <c r="W15" s="22">
        <v>403.55239999999998</v>
      </c>
      <c r="X15" s="22">
        <v>423.70960000000002</v>
      </c>
      <c r="Y15" s="22">
        <v>566.99279999999999</v>
      </c>
      <c r="Z15" s="22">
        <v>561.90120000000002</v>
      </c>
      <c r="AA15" s="22">
        <v>564.48800000000006</v>
      </c>
      <c r="AB15" s="22">
        <v>368.86759999999998</v>
      </c>
      <c r="AC15" s="22">
        <v>472.45499999999998</v>
      </c>
      <c r="AD15" s="22">
        <v>542.27840000000003</v>
      </c>
      <c r="AE15" s="22" t="s">
        <v>50</v>
      </c>
      <c r="AF15" s="22">
        <f t="shared" si="4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52</v>
      </c>
      <c r="B16" s="1" t="s">
        <v>36</v>
      </c>
      <c r="C16" s="1">
        <v>162.744</v>
      </c>
      <c r="D16" s="1">
        <v>341.40199999999999</v>
      </c>
      <c r="E16" s="1">
        <v>173.73400000000001</v>
      </c>
      <c r="F16" s="1">
        <v>296.291</v>
      </c>
      <c r="G16" s="8">
        <v>1</v>
      </c>
      <c r="H16" s="1">
        <v>60</v>
      </c>
      <c r="I16" s="1" t="s">
        <v>37</v>
      </c>
      <c r="J16" s="1"/>
      <c r="K16" s="1">
        <v>176.38900000000001</v>
      </c>
      <c r="L16" s="1">
        <f t="shared" si="2"/>
        <v>-2.6550000000000011</v>
      </c>
      <c r="M16" s="1">
        <f t="shared" si="5"/>
        <v>163.17500000000001</v>
      </c>
      <c r="N16" s="1">
        <v>10.558999999999999</v>
      </c>
      <c r="O16" s="1">
        <v>0</v>
      </c>
      <c r="P16" s="1">
        <v>0</v>
      </c>
      <c r="Q16" s="1">
        <f t="shared" si="3"/>
        <v>32.635000000000005</v>
      </c>
      <c r="R16" s="5">
        <f t="shared" si="6"/>
        <v>62.694000000000074</v>
      </c>
      <c r="S16" s="5"/>
      <c r="T16" s="1"/>
      <c r="U16" s="1">
        <f t="shared" si="7"/>
        <v>11</v>
      </c>
      <c r="V16" s="1">
        <f t="shared" si="8"/>
        <v>9.0789336601807857</v>
      </c>
      <c r="W16" s="1">
        <v>27.845800000000001</v>
      </c>
      <c r="X16" s="1">
        <v>36.688800000000001</v>
      </c>
      <c r="Y16" s="1">
        <v>41.7346</v>
      </c>
      <c r="Z16" s="1">
        <v>39.415599999999998</v>
      </c>
      <c r="AA16" s="1">
        <v>39.702599999999997</v>
      </c>
      <c r="AB16" s="1">
        <v>43.001800000000003</v>
      </c>
      <c r="AC16" s="1">
        <v>35.9482</v>
      </c>
      <c r="AD16" s="1">
        <v>38.449599999999997</v>
      </c>
      <c r="AE16" s="1"/>
      <c r="AF16" s="1">
        <f t="shared" si="4"/>
        <v>62.694000000000074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25" t="s">
        <v>53</v>
      </c>
      <c r="B17" s="25" t="s">
        <v>36</v>
      </c>
      <c r="C17" s="25">
        <v>1230.6659999999999</v>
      </c>
      <c r="D17" s="25">
        <v>1130.4670000000001</v>
      </c>
      <c r="E17" s="25">
        <v>770.27300000000002</v>
      </c>
      <c r="F17" s="25">
        <v>894.30399999999997</v>
      </c>
      <c r="G17" s="26">
        <v>1</v>
      </c>
      <c r="H17" s="25">
        <v>60</v>
      </c>
      <c r="I17" s="25" t="s">
        <v>37</v>
      </c>
      <c r="J17" s="25"/>
      <c r="K17" s="25">
        <v>765.56</v>
      </c>
      <c r="L17" s="25">
        <f t="shared" si="2"/>
        <v>4.7130000000000791</v>
      </c>
      <c r="M17" s="25">
        <f t="shared" si="5"/>
        <v>606.91300000000001</v>
      </c>
      <c r="N17" s="25">
        <v>163.36000000000001</v>
      </c>
      <c r="O17" s="25">
        <v>112</v>
      </c>
      <c r="P17" s="25">
        <v>157.71713999999969</v>
      </c>
      <c r="Q17" s="25">
        <f t="shared" si="3"/>
        <v>121.3826</v>
      </c>
      <c r="R17" s="27">
        <f>9*Q17-P17-F17</f>
        <v>40.422260000000165</v>
      </c>
      <c r="S17" s="27"/>
      <c r="T17" s="25"/>
      <c r="U17" s="25">
        <f t="shared" si="7"/>
        <v>8.9999999999999982</v>
      </c>
      <c r="V17" s="25">
        <f t="shared" si="8"/>
        <v>8.6669847243344567</v>
      </c>
      <c r="W17" s="25">
        <v>143.16040000000001</v>
      </c>
      <c r="X17" s="25">
        <v>164.77780000000001</v>
      </c>
      <c r="Y17" s="25">
        <v>190.661</v>
      </c>
      <c r="Z17" s="25">
        <v>164.2568</v>
      </c>
      <c r="AA17" s="25">
        <v>188.96</v>
      </c>
      <c r="AB17" s="25">
        <v>180.9306</v>
      </c>
      <c r="AC17" s="25">
        <v>146.96180000000001</v>
      </c>
      <c r="AD17" s="25">
        <v>187.96539999999999</v>
      </c>
      <c r="AE17" s="25" t="s">
        <v>54</v>
      </c>
      <c r="AF17" s="25">
        <f t="shared" si="4"/>
        <v>40.422260000000165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55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>
        <v>10</v>
      </c>
      <c r="L18" s="14">
        <f t="shared" si="2"/>
        <v>-10</v>
      </c>
      <c r="M18" s="14">
        <f t="shared" si="5"/>
        <v>0</v>
      </c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14"/>
      <c r="U18" s="14" t="e">
        <f t="shared" si="7"/>
        <v>#DIV/0!</v>
      </c>
      <c r="V18" s="14" t="e">
        <f t="shared" si="8"/>
        <v>#DIV/0!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 t="s">
        <v>56</v>
      </c>
      <c r="AF18" s="1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57</v>
      </c>
      <c r="B19" s="1" t="s">
        <v>36</v>
      </c>
      <c r="C19" s="1">
        <v>33.398000000000003</v>
      </c>
      <c r="D19" s="1"/>
      <c r="E19" s="1">
        <v>1.9710000000000001</v>
      </c>
      <c r="F19" s="1">
        <v>31.347000000000001</v>
      </c>
      <c r="G19" s="8">
        <v>1</v>
      </c>
      <c r="H19" s="1">
        <v>180</v>
      </c>
      <c r="I19" s="1" t="s">
        <v>37</v>
      </c>
      <c r="J19" s="1"/>
      <c r="K19" s="1">
        <v>1.6</v>
      </c>
      <c r="L19" s="1">
        <f t="shared" si="2"/>
        <v>0.371</v>
      </c>
      <c r="M19" s="1">
        <f t="shared" si="5"/>
        <v>1.9710000000000001</v>
      </c>
      <c r="N19" s="1"/>
      <c r="O19" s="1">
        <v>0</v>
      </c>
      <c r="P19" s="1">
        <v>0</v>
      </c>
      <c r="Q19" s="1">
        <f t="shared" si="3"/>
        <v>0.39419999999999999</v>
      </c>
      <c r="R19" s="5"/>
      <c r="S19" s="5"/>
      <c r="T19" s="1"/>
      <c r="U19" s="1">
        <f t="shared" si="7"/>
        <v>79.520547945205479</v>
      </c>
      <c r="V19" s="1">
        <f t="shared" si="8"/>
        <v>79.520547945205479</v>
      </c>
      <c r="W19" s="1">
        <v>0.23319999999999999</v>
      </c>
      <c r="X19" s="1">
        <v>0.3876</v>
      </c>
      <c r="Y19" s="1">
        <v>0.78059999999999996</v>
      </c>
      <c r="Z19" s="1">
        <v>0.4748</v>
      </c>
      <c r="AA19" s="1">
        <v>0.32140000000000002</v>
      </c>
      <c r="AB19" s="1">
        <v>0.96140000000000003</v>
      </c>
      <c r="AC19" s="1">
        <v>1.5056</v>
      </c>
      <c r="AD19" s="1">
        <v>1.0952</v>
      </c>
      <c r="AE19" s="28" t="s">
        <v>58</v>
      </c>
      <c r="AF19" s="1">
        <f t="shared" ref="AF19:AF24" si="9"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22" t="s">
        <v>59</v>
      </c>
      <c r="B20" s="22" t="s">
        <v>36</v>
      </c>
      <c r="C20" s="22">
        <v>2579.4920000000002</v>
      </c>
      <c r="D20" s="22">
        <v>3947.6480000000001</v>
      </c>
      <c r="E20" s="22">
        <v>2713.3449999999998</v>
      </c>
      <c r="F20" s="22">
        <v>2954.41</v>
      </c>
      <c r="G20" s="23">
        <v>1</v>
      </c>
      <c r="H20" s="22">
        <v>60</v>
      </c>
      <c r="I20" s="22" t="s">
        <v>37</v>
      </c>
      <c r="J20" s="22"/>
      <c r="K20" s="22">
        <v>2906.82</v>
      </c>
      <c r="L20" s="22">
        <f t="shared" si="2"/>
        <v>-193.47500000000036</v>
      </c>
      <c r="M20" s="22">
        <f t="shared" si="5"/>
        <v>2390.895</v>
      </c>
      <c r="N20" s="22">
        <v>322.45</v>
      </c>
      <c r="O20" s="22">
        <v>290</v>
      </c>
      <c r="P20" s="22">
        <v>2112.859488000001</v>
      </c>
      <c r="Q20" s="22">
        <f t="shared" si="3"/>
        <v>478.17899999999997</v>
      </c>
      <c r="R20" s="24">
        <f>12*Q20-P20-F20</f>
        <v>670.87851199999841</v>
      </c>
      <c r="S20" s="24"/>
      <c r="T20" s="22"/>
      <c r="U20" s="22">
        <f t="shared" si="7"/>
        <v>11.999999999999998</v>
      </c>
      <c r="V20" s="22">
        <f t="shared" si="8"/>
        <v>10.597013854644393</v>
      </c>
      <c r="W20" s="22">
        <v>456.48239999999998</v>
      </c>
      <c r="X20" s="22">
        <v>440.69179999999989</v>
      </c>
      <c r="Y20" s="22">
        <v>439.44260000000003</v>
      </c>
      <c r="Z20" s="22">
        <v>497.03280000000012</v>
      </c>
      <c r="AA20" s="22">
        <v>491.17320000000001</v>
      </c>
      <c r="AB20" s="22">
        <v>482.28960000000001</v>
      </c>
      <c r="AC20" s="22">
        <v>448.85559999999998</v>
      </c>
      <c r="AD20" s="22">
        <v>598.78120000000001</v>
      </c>
      <c r="AE20" s="22" t="s">
        <v>50</v>
      </c>
      <c r="AF20" s="22">
        <f t="shared" si="9"/>
        <v>670.87851199999841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60</v>
      </c>
      <c r="B21" s="1" t="s">
        <v>36</v>
      </c>
      <c r="C21" s="1">
        <v>326.28399999999999</v>
      </c>
      <c r="D21" s="1">
        <v>596.25800000000004</v>
      </c>
      <c r="E21" s="1">
        <v>384.22500000000002</v>
      </c>
      <c r="F21" s="1">
        <v>386.41</v>
      </c>
      <c r="G21" s="8">
        <v>1</v>
      </c>
      <c r="H21" s="1">
        <v>60</v>
      </c>
      <c r="I21" s="1" t="s">
        <v>37</v>
      </c>
      <c r="J21" s="1"/>
      <c r="K21" s="1">
        <v>401.93</v>
      </c>
      <c r="L21" s="1">
        <f t="shared" si="2"/>
        <v>-17.704999999999984</v>
      </c>
      <c r="M21" s="1">
        <f t="shared" si="5"/>
        <v>331.17500000000001</v>
      </c>
      <c r="N21" s="1">
        <v>53.05</v>
      </c>
      <c r="O21" s="1">
        <v>52</v>
      </c>
      <c r="P21" s="1">
        <v>247.87782200000001</v>
      </c>
      <c r="Q21" s="1">
        <f t="shared" si="3"/>
        <v>66.234999999999999</v>
      </c>
      <c r="R21" s="5">
        <f t="shared" ref="R21:R22" si="10">11*Q21-P21-F21</f>
        <v>94.297177999999974</v>
      </c>
      <c r="S21" s="5"/>
      <c r="T21" s="1"/>
      <c r="U21" s="1">
        <f t="shared" si="7"/>
        <v>11</v>
      </c>
      <c r="V21" s="1">
        <f t="shared" si="8"/>
        <v>9.5763240280818298</v>
      </c>
      <c r="W21" s="1">
        <v>65.243600000000001</v>
      </c>
      <c r="X21" s="1">
        <v>61.306800000000003</v>
      </c>
      <c r="Y21" s="1">
        <v>67.211399999999998</v>
      </c>
      <c r="Z21" s="1">
        <v>73.938999999999993</v>
      </c>
      <c r="AA21" s="1">
        <v>72.890999999999991</v>
      </c>
      <c r="AB21" s="1">
        <v>77.612800000000007</v>
      </c>
      <c r="AC21" s="1">
        <v>72.598600000000005</v>
      </c>
      <c r="AD21" s="1">
        <v>87.712000000000003</v>
      </c>
      <c r="AE21" s="1"/>
      <c r="AF21" s="1">
        <f t="shared" si="9"/>
        <v>94.297177999999974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61</v>
      </c>
      <c r="B22" s="1" t="s">
        <v>36</v>
      </c>
      <c r="C22" s="1">
        <v>683.22</v>
      </c>
      <c r="D22" s="1">
        <v>1279.78</v>
      </c>
      <c r="E22" s="1">
        <v>657.221</v>
      </c>
      <c r="F22" s="1">
        <v>819.97</v>
      </c>
      <c r="G22" s="8">
        <v>1</v>
      </c>
      <c r="H22" s="1">
        <v>60</v>
      </c>
      <c r="I22" s="1" t="s">
        <v>37</v>
      </c>
      <c r="J22" s="1"/>
      <c r="K22" s="1">
        <v>635.76099999999997</v>
      </c>
      <c r="L22" s="1">
        <f t="shared" si="2"/>
        <v>21.460000000000036</v>
      </c>
      <c r="M22" s="1">
        <f t="shared" si="5"/>
        <v>557.05999999999995</v>
      </c>
      <c r="N22" s="1">
        <v>100.161</v>
      </c>
      <c r="O22" s="1">
        <v>36</v>
      </c>
      <c r="P22" s="1">
        <v>109.3206000000001</v>
      </c>
      <c r="Q22" s="1">
        <f t="shared" si="3"/>
        <v>111.41199999999999</v>
      </c>
      <c r="R22" s="5">
        <f t="shared" si="10"/>
        <v>296.24139999999989</v>
      </c>
      <c r="S22" s="5"/>
      <c r="T22" s="1"/>
      <c r="U22" s="1">
        <f t="shared" si="7"/>
        <v>11.000000000000002</v>
      </c>
      <c r="V22" s="1">
        <f t="shared" si="8"/>
        <v>8.3410278964563975</v>
      </c>
      <c r="W22" s="1">
        <v>99.580799999999996</v>
      </c>
      <c r="X22" s="1">
        <v>118.0684</v>
      </c>
      <c r="Y22" s="1">
        <v>126.5534</v>
      </c>
      <c r="Z22" s="1">
        <v>116.301</v>
      </c>
      <c r="AA22" s="1">
        <v>122.88039999999999</v>
      </c>
      <c r="AB22" s="1">
        <v>120.33580000000001</v>
      </c>
      <c r="AC22" s="1">
        <v>113.7542</v>
      </c>
      <c r="AD22" s="1">
        <v>136.57480000000001</v>
      </c>
      <c r="AE22" s="1"/>
      <c r="AF22" s="1">
        <f t="shared" si="9"/>
        <v>296.24139999999989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62</v>
      </c>
      <c r="B23" s="1" t="s">
        <v>36</v>
      </c>
      <c r="C23" s="1">
        <v>24.638000000000002</v>
      </c>
      <c r="D23" s="1">
        <v>3.3000000000000002E-2</v>
      </c>
      <c r="E23" s="1">
        <v>3.5510000000000002</v>
      </c>
      <c r="F23" s="1">
        <v>21.12</v>
      </c>
      <c r="G23" s="8">
        <v>1</v>
      </c>
      <c r="H23" s="1">
        <v>180</v>
      </c>
      <c r="I23" s="1" t="s">
        <v>37</v>
      </c>
      <c r="J23" s="1"/>
      <c r="K23" s="1">
        <v>3.2</v>
      </c>
      <c r="L23" s="1">
        <f t="shared" si="2"/>
        <v>0.35099999999999998</v>
      </c>
      <c r="M23" s="1">
        <f t="shared" si="5"/>
        <v>3.5510000000000002</v>
      </c>
      <c r="N23" s="1"/>
      <c r="O23" s="1">
        <v>0</v>
      </c>
      <c r="P23" s="1">
        <v>0</v>
      </c>
      <c r="Q23" s="1">
        <f t="shared" si="3"/>
        <v>0.71020000000000005</v>
      </c>
      <c r="R23" s="5"/>
      <c r="S23" s="5"/>
      <c r="T23" s="1"/>
      <c r="U23" s="1">
        <f t="shared" si="7"/>
        <v>29.738101943114614</v>
      </c>
      <c r="V23" s="1">
        <f t="shared" si="8"/>
        <v>29.738101943114614</v>
      </c>
      <c r="W23" s="1">
        <v>1.2882</v>
      </c>
      <c r="X23" s="1">
        <v>1.5911999999999999</v>
      </c>
      <c r="Y23" s="1">
        <v>0.8</v>
      </c>
      <c r="Z23" s="1">
        <v>0.14319999999999999</v>
      </c>
      <c r="AA23" s="1">
        <v>0.49540000000000001</v>
      </c>
      <c r="AB23" s="1">
        <v>1.5768</v>
      </c>
      <c r="AC23" s="1">
        <v>2.4508000000000001</v>
      </c>
      <c r="AD23" s="1">
        <v>1.5953999999999999</v>
      </c>
      <c r="AE23" s="19" t="s">
        <v>47</v>
      </c>
      <c r="AF23" s="1">
        <f t="shared" si="9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2" t="s">
        <v>63</v>
      </c>
      <c r="B24" s="22" t="s">
        <v>36</v>
      </c>
      <c r="C24" s="22">
        <v>1665.1880000000001</v>
      </c>
      <c r="D24" s="22">
        <v>2753.7629999999999</v>
      </c>
      <c r="E24" s="22">
        <v>1513.4649999999999</v>
      </c>
      <c r="F24" s="22">
        <v>1574.6120000000001</v>
      </c>
      <c r="G24" s="23">
        <v>1</v>
      </c>
      <c r="H24" s="22">
        <v>60</v>
      </c>
      <c r="I24" s="22" t="s">
        <v>37</v>
      </c>
      <c r="J24" s="22"/>
      <c r="K24" s="22">
        <v>1686.213</v>
      </c>
      <c r="L24" s="22">
        <f t="shared" si="2"/>
        <v>-172.74800000000005</v>
      </c>
      <c r="M24" s="22">
        <f t="shared" si="5"/>
        <v>1141.0519999999999</v>
      </c>
      <c r="N24" s="22">
        <v>372.41300000000001</v>
      </c>
      <c r="O24" s="22">
        <v>70</v>
      </c>
      <c r="P24" s="22">
        <v>1266.812457999999</v>
      </c>
      <c r="Q24" s="22">
        <f t="shared" si="3"/>
        <v>228.21039999999999</v>
      </c>
      <c r="R24" s="24"/>
      <c r="S24" s="24"/>
      <c r="T24" s="22"/>
      <c r="U24" s="22">
        <f t="shared" si="7"/>
        <v>12.450898197452872</v>
      </c>
      <c r="V24" s="22">
        <f t="shared" si="8"/>
        <v>12.450898197452872</v>
      </c>
      <c r="W24" s="22">
        <v>258.85700000000003</v>
      </c>
      <c r="X24" s="22">
        <v>238.00819999999999</v>
      </c>
      <c r="Y24" s="22">
        <v>244.3116</v>
      </c>
      <c r="Z24" s="22">
        <v>241.23759999999999</v>
      </c>
      <c r="AA24" s="22">
        <v>272.75360000000001</v>
      </c>
      <c r="AB24" s="22">
        <v>272.77120000000002</v>
      </c>
      <c r="AC24" s="22">
        <v>256.25740000000002</v>
      </c>
      <c r="AD24" s="22">
        <v>304.92320000000001</v>
      </c>
      <c r="AE24" s="22" t="s">
        <v>50</v>
      </c>
      <c r="AF24" s="22">
        <f t="shared" si="9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4" t="s">
        <v>64</v>
      </c>
      <c r="B25" s="14" t="s">
        <v>36</v>
      </c>
      <c r="C25" s="14"/>
      <c r="D25" s="14"/>
      <c r="E25" s="14"/>
      <c r="F25" s="14"/>
      <c r="G25" s="15">
        <v>0</v>
      </c>
      <c r="H25" s="14">
        <v>30</v>
      </c>
      <c r="I25" s="14" t="s">
        <v>37</v>
      </c>
      <c r="J25" s="14"/>
      <c r="K25" s="14"/>
      <c r="L25" s="14">
        <f t="shared" si="2"/>
        <v>0</v>
      </c>
      <c r="M25" s="14">
        <f t="shared" si="5"/>
        <v>0</v>
      </c>
      <c r="N25" s="14"/>
      <c r="O25" s="14">
        <v>0</v>
      </c>
      <c r="P25" s="14">
        <v>0</v>
      </c>
      <c r="Q25" s="14">
        <f t="shared" si="3"/>
        <v>0</v>
      </c>
      <c r="R25" s="16"/>
      <c r="S25" s="16"/>
      <c r="T25" s="14"/>
      <c r="U25" s="14" t="e">
        <f t="shared" si="7"/>
        <v>#DIV/0!</v>
      </c>
      <c r="V25" s="14" t="e">
        <f t="shared" si="8"/>
        <v>#DIV/0!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 t="s">
        <v>56</v>
      </c>
      <c r="AF25" s="14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4" t="s">
        <v>65</v>
      </c>
      <c r="B26" s="14" t="s">
        <v>36</v>
      </c>
      <c r="C26" s="14"/>
      <c r="D26" s="14"/>
      <c r="E26" s="14"/>
      <c r="F26" s="14"/>
      <c r="G26" s="15">
        <v>0</v>
      </c>
      <c r="H26" s="14">
        <v>30</v>
      </c>
      <c r="I26" s="14" t="s">
        <v>37</v>
      </c>
      <c r="J26" s="14"/>
      <c r="K26" s="14"/>
      <c r="L26" s="14">
        <f t="shared" si="2"/>
        <v>0</v>
      </c>
      <c r="M26" s="14">
        <f t="shared" si="5"/>
        <v>0</v>
      </c>
      <c r="N26" s="14"/>
      <c r="O26" s="14">
        <v>0</v>
      </c>
      <c r="P26" s="14">
        <v>0</v>
      </c>
      <c r="Q26" s="14">
        <f t="shared" si="3"/>
        <v>0</v>
      </c>
      <c r="R26" s="16"/>
      <c r="S26" s="16"/>
      <c r="T26" s="14"/>
      <c r="U26" s="14" t="e">
        <f t="shared" si="7"/>
        <v>#DIV/0!</v>
      </c>
      <c r="V26" s="14" t="e">
        <f t="shared" si="8"/>
        <v>#DIV/0!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 t="s">
        <v>56</v>
      </c>
      <c r="AF26" s="14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22" t="s">
        <v>66</v>
      </c>
      <c r="B27" s="22" t="s">
        <v>36</v>
      </c>
      <c r="C27" s="22">
        <v>1368.3050000000001</v>
      </c>
      <c r="D27" s="22">
        <v>1343.107</v>
      </c>
      <c r="E27" s="22">
        <v>1102.557</v>
      </c>
      <c r="F27" s="22">
        <v>1100.6579999999999</v>
      </c>
      <c r="G27" s="23">
        <v>1</v>
      </c>
      <c r="H27" s="22">
        <v>30</v>
      </c>
      <c r="I27" s="22" t="s">
        <v>37</v>
      </c>
      <c r="J27" s="22"/>
      <c r="K27" s="22">
        <v>1299.172</v>
      </c>
      <c r="L27" s="22">
        <f t="shared" si="2"/>
        <v>-196.61500000000001</v>
      </c>
      <c r="M27" s="22">
        <f t="shared" si="5"/>
        <v>684.12599999999998</v>
      </c>
      <c r="N27" s="22">
        <v>418.43099999999998</v>
      </c>
      <c r="O27" s="22">
        <v>50</v>
      </c>
      <c r="P27" s="22">
        <v>319.46205999999961</v>
      </c>
      <c r="Q27" s="22">
        <f t="shared" si="3"/>
        <v>136.8252</v>
      </c>
      <c r="R27" s="24">
        <f>12*Q27-P27-F27</f>
        <v>221.78234000000043</v>
      </c>
      <c r="S27" s="24"/>
      <c r="T27" s="22"/>
      <c r="U27" s="22">
        <f t="shared" si="7"/>
        <v>12</v>
      </c>
      <c r="V27" s="22">
        <f t="shared" si="8"/>
        <v>10.379082654364836</v>
      </c>
      <c r="W27" s="22">
        <v>150.864</v>
      </c>
      <c r="X27" s="22">
        <v>163.73560000000001</v>
      </c>
      <c r="Y27" s="22">
        <v>187.96440000000001</v>
      </c>
      <c r="Z27" s="22">
        <v>228.16579999999999</v>
      </c>
      <c r="AA27" s="22">
        <v>225.13460000000001</v>
      </c>
      <c r="AB27" s="22">
        <v>207.3006</v>
      </c>
      <c r="AC27" s="22">
        <v>216.4478</v>
      </c>
      <c r="AD27" s="22">
        <v>252.77940000000001</v>
      </c>
      <c r="AE27" s="22" t="s">
        <v>50</v>
      </c>
      <c r="AF27" s="22">
        <f>G27*R27</f>
        <v>221.78234000000043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4" t="s">
        <v>67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>
        <f t="shared" si="5"/>
        <v>0</v>
      </c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14"/>
      <c r="U28" s="14" t="e">
        <f t="shared" si="7"/>
        <v>#DIV/0!</v>
      </c>
      <c r="V28" s="14" t="e">
        <f t="shared" si="8"/>
        <v>#DIV/0!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56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4" t="s">
        <v>68</v>
      </c>
      <c r="B29" s="14" t="s">
        <v>36</v>
      </c>
      <c r="C29" s="14"/>
      <c r="D29" s="14"/>
      <c r="E29" s="14"/>
      <c r="F29" s="14"/>
      <c r="G29" s="15">
        <v>0</v>
      </c>
      <c r="H29" s="14">
        <v>40</v>
      </c>
      <c r="I29" s="14" t="s">
        <v>37</v>
      </c>
      <c r="J29" s="14"/>
      <c r="K29" s="14"/>
      <c r="L29" s="14">
        <f t="shared" si="2"/>
        <v>0</v>
      </c>
      <c r="M29" s="14">
        <f t="shared" si="5"/>
        <v>0</v>
      </c>
      <c r="N29" s="14"/>
      <c r="O29" s="14">
        <v>0</v>
      </c>
      <c r="P29" s="14">
        <v>0</v>
      </c>
      <c r="Q29" s="14">
        <f t="shared" si="3"/>
        <v>0</v>
      </c>
      <c r="R29" s="16"/>
      <c r="S29" s="16"/>
      <c r="T29" s="14"/>
      <c r="U29" s="14" t="e">
        <f t="shared" si="7"/>
        <v>#DIV/0!</v>
      </c>
      <c r="V29" s="14" t="e">
        <f t="shared" si="8"/>
        <v>#DIV/0!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 t="s">
        <v>56</v>
      </c>
      <c r="AF29" s="14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4" t="s">
        <v>69</v>
      </c>
      <c r="B30" s="14" t="s">
        <v>36</v>
      </c>
      <c r="C30" s="14"/>
      <c r="D30" s="14"/>
      <c r="E30" s="14"/>
      <c r="F30" s="14"/>
      <c r="G30" s="15">
        <v>0</v>
      </c>
      <c r="H30" s="14">
        <v>30</v>
      </c>
      <c r="I30" s="14" t="s">
        <v>37</v>
      </c>
      <c r="J30" s="14"/>
      <c r="K30" s="14"/>
      <c r="L30" s="14">
        <f t="shared" si="2"/>
        <v>0</v>
      </c>
      <c r="M30" s="14">
        <f t="shared" si="5"/>
        <v>0</v>
      </c>
      <c r="N30" s="14"/>
      <c r="O30" s="14">
        <v>0</v>
      </c>
      <c r="P30" s="14">
        <v>0</v>
      </c>
      <c r="Q30" s="14">
        <f t="shared" si="3"/>
        <v>0</v>
      </c>
      <c r="R30" s="16"/>
      <c r="S30" s="16"/>
      <c r="T30" s="14"/>
      <c r="U30" s="14" t="e">
        <f t="shared" si="7"/>
        <v>#DIV/0!</v>
      </c>
      <c r="V30" s="14" t="e">
        <f t="shared" si="8"/>
        <v>#DIV/0!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 t="s">
        <v>56</v>
      </c>
      <c r="AF30" s="14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4" t="s">
        <v>70</v>
      </c>
      <c r="B31" s="14" t="s">
        <v>36</v>
      </c>
      <c r="C31" s="14"/>
      <c r="D31" s="14"/>
      <c r="E31" s="14"/>
      <c r="F31" s="14"/>
      <c r="G31" s="15">
        <v>0</v>
      </c>
      <c r="H31" s="14">
        <v>50</v>
      </c>
      <c r="I31" s="14" t="s">
        <v>37</v>
      </c>
      <c r="J31" s="14"/>
      <c r="K31" s="14"/>
      <c r="L31" s="14">
        <f t="shared" si="2"/>
        <v>0</v>
      </c>
      <c r="M31" s="14">
        <f t="shared" si="5"/>
        <v>0</v>
      </c>
      <c r="N31" s="14"/>
      <c r="O31" s="14">
        <v>0</v>
      </c>
      <c r="P31" s="14">
        <v>0</v>
      </c>
      <c r="Q31" s="14">
        <f t="shared" si="3"/>
        <v>0</v>
      </c>
      <c r="R31" s="16"/>
      <c r="S31" s="16"/>
      <c r="T31" s="14"/>
      <c r="U31" s="14" t="e">
        <f t="shared" si="7"/>
        <v>#DIV/0!</v>
      </c>
      <c r="V31" s="14" t="e">
        <f t="shared" si="8"/>
        <v>#DIV/0!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 t="s">
        <v>56</v>
      </c>
      <c r="AF31" s="14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36</v>
      </c>
      <c r="C32" s="1">
        <v>16.065999999999999</v>
      </c>
      <c r="D32" s="1">
        <v>5.37</v>
      </c>
      <c r="E32" s="1">
        <v>3.5339999999999998</v>
      </c>
      <c r="F32" s="1">
        <v>11.615</v>
      </c>
      <c r="G32" s="8">
        <v>1</v>
      </c>
      <c r="H32" s="1">
        <v>50</v>
      </c>
      <c r="I32" s="1" t="s">
        <v>37</v>
      </c>
      <c r="J32" s="1"/>
      <c r="K32" s="1">
        <v>3.9</v>
      </c>
      <c r="L32" s="1">
        <f t="shared" si="2"/>
        <v>-0.3660000000000001</v>
      </c>
      <c r="M32" s="1">
        <f t="shared" si="5"/>
        <v>3.5339999999999998</v>
      </c>
      <c r="N32" s="1"/>
      <c r="O32" s="1">
        <v>0</v>
      </c>
      <c r="P32" s="1">
        <v>6.1874000000000002</v>
      </c>
      <c r="Q32" s="1">
        <f t="shared" si="3"/>
        <v>0.70679999999999998</v>
      </c>
      <c r="R32" s="5"/>
      <c r="S32" s="5"/>
      <c r="T32" s="1"/>
      <c r="U32" s="1">
        <f t="shared" si="7"/>
        <v>25.187323146576116</v>
      </c>
      <c r="V32" s="1">
        <f t="shared" si="8"/>
        <v>25.187323146576116</v>
      </c>
      <c r="W32" s="1">
        <v>1.7784</v>
      </c>
      <c r="X32" s="1">
        <v>1.4236</v>
      </c>
      <c r="Y32" s="1">
        <v>0.53239999999999998</v>
      </c>
      <c r="Z32" s="1">
        <v>0.5252</v>
      </c>
      <c r="AA32" s="1">
        <v>0.35580000000000001</v>
      </c>
      <c r="AB32" s="1">
        <v>0.54500000000000004</v>
      </c>
      <c r="AC32" s="1">
        <v>0.182</v>
      </c>
      <c r="AD32" s="1">
        <v>2.3483999999999998</v>
      </c>
      <c r="AE32" s="20" t="s">
        <v>153</v>
      </c>
      <c r="AF32" s="1">
        <f t="shared" ref="AF32:AF46" si="11"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2" t="s">
        <v>72</v>
      </c>
      <c r="B33" s="22" t="s">
        <v>42</v>
      </c>
      <c r="C33" s="22">
        <v>627</v>
      </c>
      <c r="D33" s="22">
        <v>2852</v>
      </c>
      <c r="E33" s="22">
        <v>1719</v>
      </c>
      <c r="F33" s="22">
        <v>777</v>
      </c>
      <c r="G33" s="23">
        <v>0.4</v>
      </c>
      <c r="H33" s="22">
        <v>45</v>
      </c>
      <c r="I33" s="22" t="s">
        <v>37</v>
      </c>
      <c r="J33" s="22"/>
      <c r="K33" s="22">
        <v>1879</v>
      </c>
      <c r="L33" s="22">
        <f t="shared" si="2"/>
        <v>-160</v>
      </c>
      <c r="M33" s="22">
        <f t="shared" si="5"/>
        <v>1077</v>
      </c>
      <c r="N33" s="22">
        <v>642</v>
      </c>
      <c r="O33" s="22">
        <v>215</v>
      </c>
      <c r="P33" s="22">
        <v>794.05799999999999</v>
      </c>
      <c r="Q33" s="22">
        <f t="shared" si="3"/>
        <v>215.4</v>
      </c>
      <c r="R33" s="24">
        <f>12*Q33-P33-F33</f>
        <v>1013.7420000000002</v>
      </c>
      <c r="S33" s="24"/>
      <c r="T33" s="22"/>
      <c r="U33" s="22">
        <f t="shared" si="7"/>
        <v>12</v>
      </c>
      <c r="V33" s="22">
        <f t="shared" si="8"/>
        <v>7.2936768802228409</v>
      </c>
      <c r="W33" s="22">
        <v>169</v>
      </c>
      <c r="X33" s="22">
        <v>160.6</v>
      </c>
      <c r="Y33" s="22">
        <v>157.6</v>
      </c>
      <c r="Z33" s="22">
        <v>151</v>
      </c>
      <c r="AA33" s="22">
        <v>165.8</v>
      </c>
      <c r="AB33" s="22">
        <v>173</v>
      </c>
      <c r="AC33" s="22">
        <v>141.80000000000001</v>
      </c>
      <c r="AD33" s="22">
        <v>267.8</v>
      </c>
      <c r="AE33" s="22" t="s">
        <v>73</v>
      </c>
      <c r="AF33" s="22">
        <f t="shared" si="11"/>
        <v>405.49680000000012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42</v>
      </c>
      <c r="C34" s="1">
        <v>-2</v>
      </c>
      <c r="D34" s="1">
        <v>1543</v>
      </c>
      <c r="E34" s="1">
        <v>836</v>
      </c>
      <c r="F34" s="1">
        <v>652</v>
      </c>
      <c r="G34" s="8">
        <v>0.45</v>
      </c>
      <c r="H34" s="1">
        <v>50</v>
      </c>
      <c r="I34" s="10" t="s">
        <v>40</v>
      </c>
      <c r="J34" s="1"/>
      <c r="K34" s="1">
        <v>939</v>
      </c>
      <c r="L34" s="1">
        <f t="shared" si="2"/>
        <v>-103</v>
      </c>
      <c r="M34" s="1">
        <f t="shared" si="5"/>
        <v>810</v>
      </c>
      <c r="N34" s="1">
        <v>26</v>
      </c>
      <c r="O34" s="1">
        <v>0</v>
      </c>
      <c r="P34" s="1">
        <v>0</v>
      </c>
      <c r="Q34" s="1">
        <f t="shared" si="3"/>
        <v>162</v>
      </c>
      <c r="R34" s="5">
        <v>200</v>
      </c>
      <c r="S34" s="5"/>
      <c r="T34" s="1"/>
      <c r="U34" s="1">
        <f t="shared" si="7"/>
        <v>5.2592592592592595</v>
      </c>
      <c r="V34" s="1">
        <f t="shared" si="8"/>
        <v>4.0246913580246915</v>
      </c>
      <c r="W34" s="1">
        <v>72.2</v>
      </c>
      <c r="X34" s="1">
        <v>77.8</v>
      </c>
      <c r="Y34" s="1">
        <v>59</v>
      </c>
      <c r="Z34" s="1">
        <v>49</v>
      </c>
      <c r="AA34" s="1">
        <v>42.8</v>
      </c>
      <c r="AB34" s="1">
        <v>46.2</v>
      </c>
      <c r="AC34" s="1">
        <v>45</v>
      </c>
      <c r="AD34" s="1">
        <v>47.8</v>
      </c>
      <c r="AE34" s="1" t="s">
        <v>43</v>
      </c>
      <c r="AF34" s="1">
        <f t="shared" si="11"/>
        <v>90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42</v>
      </c>
      <c r="C35" s="1">
        <v>484</v>
      </c>
      <c r="D35" s="1">
        <v>2001</v>
      </c>
      <c r="E35" s="1">
        <v>1446</v>
      </c>
      <c r="F35" s="1">
        <v>434</v>
      </c>
      <c r="G35" s="8">
        <v>0.4</v>
      </c>
      <c r="H35" s="1">
        <v>45</v>
      </c>
      <c r="I35" s="1" t="s">
        <v>37</v>
      </c>
      <c r="J35" s="1"/>
      <c r="K35" s="1">
        <v>1590</v>
      </c>
      <c r="L35" s="1">
        <f t="shared" si="2"/>
        <v>-144</v>
      </c>
      <c r="M35" s="1">
        <f t="shared" si="5"/>
        <v>960</v>
      </c>
      <c r="N35" s="1">
        <v>486</v>
      </c>
      <c r="O35" s="1">
        <v>188</v>
      </c>
      <c r="P35" s="1">
        <v>827.82</v>
      </c>
      <c r="Q35" s="1">
        <f t="shared" si="3"/>
        <v>192</v>
      </c>
      <c r="R35" s="5">
        <f t="shared" ref="R35:R46" si="12">11*Q35-P35-F35</f>
        <v>850.17999999999984</v>
      </c>
      <c r="S35" s="5"/>
      <c r="T35" s="1"/>
      <c r="U35" s="1">
        <f t="shared" si="7"/>
        <v>11</v>
      </c>
      <c r="V35" s="1">
        <f t="shared" si="8"/>
        <v>6.5719791666666678</v>
      </c>
      <c r="W35" s="1">
        <v>143.4</v>
      </c>
      <c r="X35" s="1">
        <v>126.2</v>
      </c>
      <c r="Y35" s="1">
        <v>135</v>
      </c>
      <c r="Z35" s="1">
        <v>128</v>
      </c>
      <c r="AA35" s="1">
        <v>127.8</v>
      </c>
      <c r="AB35" s="1">
        <v>137.6</v>
      </c>
      <c r="AC35" s="1">
        <v>126.2</v>
      </c>
      <c r="AD35" s="1">
        <v>221.4</v>
      </c>
      <c r="AE35" s="1"/>
      <c r="AF35" s="1">
        <f t="shared" si="11"/>
        <v>340.07199999999995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36</v>
      </c>
      <c r="C36" s="1">
        <v>387.67399999999998</v>
      </c>
      <c r="D36" s="1">
        <v>256.52699999999999</v>
      </c>
      <c r="E36" s="1">
        <v>433.21699999999998</v>
      </c>
      <c r="F36" s="1">
        <v>34.911000000000001</v>
      </c>
      <c r="G36" s="8">
        <v>1</v>
      </c>
      <c r="H36" s="1">
        <v>45</v>
      </c>
      <c r="I36" s="1" t="s">
        <v>37</v>
      </c>
      <c r="J36" s="1"/>
      <c r="K36" s="1">
        <v>524.17399999999998</v>
      </c>
      <c r="L36" s="1">
        <f t="shared" si="2"/>
        <v>-90.956999999999994</v>
      </c>
      <c r="M36" s="1">
        <f t="shared" si="5"/>
        <v>314.55099999999999</v>
      </c>
      <c r="N36" s="1">
        <v>118.666</v>
      </c>
      <c r="O36" s="1">
        <v>0</v>
      </c>
      <c r="P36" s="1">
        <v>213.84219999999999</v>
      </c>
      <c r="Q36" s="1">
        <f t="shared" si="3"/>
        <v>62.910199999999996</v>
      </c>
      <c r="R36" s="5">
        <f>10*Q36-P36-F36</f>
        <v>380.34879999999998</v>
      </c>
      <c r="S36" s="5"/>
      <c r="T36" s="1"/>
      <c r="U36" s="1">
        <f t="shared" si="7"/>
        <v>10</v>
      </c>
      <c r="V36" s="1">
        <f t="shared" si="8"/>
        <v>3.9540996531564039</v>
      </c>
      <c r="W36" s="1">
        <v>37.391199999999998</v>
      </c>
      <c r="X36" s="1">
        <v>29.7164</v>
      </c>
      <c r="Y36" s="1">
        <v>38.979200000000013</v>
      </c>
      <c r="Z36" s="1">
        <v>50.124000000000002</v>
      </c>
      <c r="AA36" s="1">
        <v>38.446399999999997</v>
      </c>
      <c r="AB36" s="1">
        <v>76.691800000000001</v>
      </c>
      <c r="AC36" s="1">
        <v>90.000599999999991</v>
      </c>
      <c r="AD36" s="1">
        <v>75.361999999999995</v>
      </c>
      <c r="AE36" s="1"/>
      <c r="AF36" s="1">
        <f t="shared" si="11"/>
        <v>380.34879999999998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42</v>
      </c>
      <c r="C37" s="1">
        <v>335</v>
      </c>
      <c r="D37" s="1">
        <v>283</v>
      </c>
      <c r="E37" s="1">
        <v>176</v>
      </c>
      <c r="F37" s="1">
        <v>428</v>
      </c>
      <c r="G37" s="8">
        <v>0.1</v>
      </c>
      <c r="H37" s="1">
        <v>730</v>
      </c>
      <c r="I37" s="1" t="s">
        <v>37</v>
      </c>
      <c r="J37" s="1"/>
      <c r="K37" s="1">
        <v>176</v>
      </c>
      <c r="L37" s="1">
        <f t="shared" si="2"/>
        <v>0</v>
      </c>
      <c r="M37" s="1">
        <f t="shared" si="5"/>
        <v>176</v>
      </c>
      <c r="N37" s="1"/>
      <c r="O37" s="1">
        <v>0</v>
      </c>
      <c r="P37" s="1">
        <v>0</v>
      </c>
      <c r="Q37" s="1">
        <f t="shared" si="3"/>
        <v>35.200000000000003</v>
      </c>
      <c r="R37" s="5"/>
      <c r="S37" s="5"/>
      <c r="T37" s="1"/>
      <c r="U37" s="1">
        <f t="shared" si="7"/>
        <v>12.159090909090908</v>
      </c>
      <c r="V37" s="1">
        <f t="shared" si="8"/>
        <v>12.159090909090908</v>
      </c>
      <c r="W37" s="1">
        <v>35.799999999999997</v>
      </c>
      <c r="X37" s="1">
        <v>44.2</v>
      </c>
      <c r="Y37" s="1">
        <v>56.2</v>
      </c>
      <c r="Z37" s="1">
        <v>44.4</v>
      </c>
      <c r="AA37" s="1">
        <v>23.4</v>
      </c>
      <c r="AB37" s="1">
        <v>47</v>
      </c>
      <c r="AC37" s="1">
        <v>73</v>
      </c>
      <c r="AD37" s="1">
        <v>33.4</v>
      </c>
      <c r="AE37" s="1"/>
      <c r="AF37" s="1">
        <f t="shared" si="11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42</v>
      </c>
      <c r="C38" s="1">
        <v>112</v>
      </c>
      <c r="D38" s="1">
        <v>425</v>
      </c>
      <c r="E38" s="1">
        <v>171.05799999999999</v>
      </c>
      <c r="F38" s="1">
        <v>239.94200000000001</v>
      </c>
      <c r="G38" s="8">
        <v>0.35</v>
      </c>
      <c r="H38" s="1">
        <v>40</v>
      </c>
      <c r="I38" s="1" t="s">
        <v>37</v>
      </c>
      <c r="J38" s="1"/>
      <c r="K38" s="1">
        <v>220</v>
      </c>
      <c r="L38" s="1">
        <f t="shared" ref="L38:L69" si="13">E38-K38</f>
        <v>-48.942000000000007</v>
      </c>
      <c r="M38" s="1">
        <f t="shared" si="5"/>
        <v>135.05799999999999</v>
      </c>
      <c r="N38" s="1">
        <v>36</v>
      </c>
      <c r="O38" s="1">
        <v>0</v>
      </c>
      <c r="P38" s="1">
        <v>0</v>
      </c>
      <c r="Q38" s="1">
        <f t="shared" ref="Q38:Q70" si="14">M38/5</f>
        <v>27.011599999999998</v>
      </c>
      <c r="R38" s="5">
        <f t="shared" si="12"/>
        <v>57.185599999999965</v>
      </c>
      <c r="S38" s="5"/>
      <c r="T38" s="1"/>
      <c r="U38" s="1">
        <f t="shared" si="7"/>
        <v>11</v>
      </c>
      <c r="V38" s="1">
        <f t="shared" si="8"/>
        <v>8.8829243732322425</v>
      </c>
      <c r="W38" s="1">
        <v>30.2</v>
      </c>
      <c r="X38" s="1">
        <v>33.4</v>
      </c>
      <c r="Y38" s="1">
        <v>32.6</v>
      </c>
      <c r="Z38" s="1">
        <v>28.6</v>
      </c>
      <c r="AA38" s="1">
        <v>30</v>
      </c>
      <c r="AB38" s="1">
        <v>31.8</v>
      </c>
      <c r="AC38" s="1">
        <v>32</v>
      </c>
      <c r="AD38" s="1">
        <v>39.4</v>
      </c>
      <c r="AE38" s="1"/>
      <c r="AF38" s="1">
        <f t="shared" si="11"/>
        <v>20.014959999999988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36</v>
      </c>
      <c r="C39" s="1">
        <v>27.483000000000001</v>
      </c>
      <c r="D39" s="1">
        <v>59.718000000000004</v>
      </c>
      <c r="E39" s="1">
        <v>21.100999999999999</v>
      </c>
      <c r="F39" s="1">
        <v>52.945</v>
      </c>
      <c r="G39" s="8">
        <v>1</v>
      </c>
      <c r="H39" s="1">
        <v>40</v>
      </c>
      <c r="I39" s="1" t="s">
        <v>37</v>
      </c>
      <c r="J39" s="1"/>
      <c r="K39" s="1">
        <v>22.5</v>
      </c>
      <c r="L39" s="1">
        <f t="shared" si="13"/>
        <v>-1.3990000000000009</v>
      </c>
      <c r="M39" s="1">
        <f t="shared" si="5"/>
        <v>21.100999999999999</v>
      </c>
      <c r="N39" s="1"/>
      <c r="O39" s="1">
        <v>0</v>
      </c>
      <c r="P39" s="1">
        <v>4.8035999999999746</v>
      </c>
      <c r="Q39" s="1">
        <f t="shared" si="14"/>
        <v>4.2202000000000002</v>
      </c>
      <c r="R39" s="5"/>
      <c r="S39" s="5"/>
      <c r="T39" s="1"/>
      <c r="U39" s="1">
        <f t="shared" si="7"/>
        <v>13.683853845789292</v>
      </c>
      <c r="V39" s="1">
        <f t="shared" si="8"/>
        <v>13.683853845789292</v>
      </c>
      <c r="W39" s="1">
        <v>6.6763999999999992</v>
      </c>
      <c r="X39" s="1">
        <v>6.9366000000000003</v>
      </c>
      <c r="Y39" s="1">
        <v>4.9272</v>
      </c>
      <c r="Z39" s="1">
        <v>6.3929999999999998</v>
      </c>
      <c r="AA39" s="1">
        <v>6.0958000000000014</v>
      </c>
      <c r="AB39" s="1">
        <v>6.6498000000000008</v>
      </c>
      <c r="AC39" s="1">
        <v>6.2594000000000003</v>
      </c>
      <c r="AD39" s="1">
        <v>5.8335999999999997</v>
      </c>
      <c r="AE39" s="1"/>
      <c r="AF39" s="1">
        <f t="shared" si="11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42</v>
      </c>
      <c r="C40" s="1">
        <v>216</v>
      </c>
      <c r="D40" s="1">
        <v>522</v>
      </c>
      <c r="E40" s="1">
        <v>257</v>
      </c>
      <c r="F40" s="1">
        <v>315</v>
      </c>
      <c r="G40" s="8">
        <v>0.4</v>
      </c>
      <c r="H40" s="1">
        <v>40</v>
      </c>
      <c r="I40" s="1" t="s">
        <v>37</v>
      </c>
      <c r="J40" s="1"/>
      <c r="K40" s="1">
        <v>264</v>
      </c>
      <c r="L40" s="1">
        <f t="shared" si="13"/>
        <v>-7</v>
      </c>
      <c r="M40" s="1">
        <f t="shared" si="5"/>
        <v>149</v>
      </c>
      <c r="N40" s="1">
        <v>108</v>
      </c>
      <c r="O40" s="1">
        <v>83</v>
      </c>
      <c r="P40" s="1">
        <v>0</v>
      </c>
      <c r="Q40" s="1">
        <f t="shared" si="14"/>
        <v>29.8</v>
      </c>
      <c r="R40" s="5">
        <f t="shared" si="12"/>
        <v>12.800000000000011</v>
      </c>
      <c r="S40" s="5"/>
      <c r="T40" s="1"/>
      <c r="U40" s="1">
        <f t="shared" si="7"/>
        <v>11</v>
      </c>
      <c r="V40" s="1">
        <f t="shared" si="8"/>
        <v>10.570469798657719</v>
      </c>
      <c r="W40" s="1">
        <v>27</v>
      </c>
      <c r="X40" s="1">
        <v>41.2</v>
      </c>
      <c r="Y40" s="1">
        <v>42.4</v>
      </c>
      <c r="Z40" s="1">
        <v>35</v>
      </c>
      <c r="AA40" s="1">
        <v>44</v>
      </c>
      <c r="AB40" s="1">
        <v>41.2</v>
      </c>
      <c r="AC40" s="1">
        <v>27</v>
      </c>
      <c r="AD40" s="1">
        <v>56</v>
      </c>
      <c r="AE40" s="1"/>
      <c r="AF40" s="1">
        <f t="shared" si="11"/>
        <v>5.1200000000000045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42</v>
      </c>
      <c r="C41" s="1">
        <v>311</v>
      </c>
      <c r="D41" s="1">
        <v>850</v>
      </c>
      <c r="E41" s="1">
        <v>421</v>
      </c>
      <c r="F41" s="1">
        <v>583</v>
      </c>
      <c r="G41" s="8">
        <v>0.4</v>
      </c>
      <c r="H41" s="1">
        <v>45</v>
      </c>
      <c r="I41" s="1" t="s">
        <v>37</v>
      </c>
      <c r="J41" s="1"/>
      <c r="K41" s="1">
        <v>442</v>
      </c>
      <c r="L41" s="1">
        <f t="shared" si="13"/>
        <v>-21</v>
      </c>
      <c r="M41" s="1">
        <f t="shared" si="5"/>
        <v>301</v>
      </c>
      <c r="N41" s="1">
        <v>120</v>
      </c>
      <c r="O41" s="1">
        <v>109</v>
      </c>
      <c r="P41" s="1">
        <v>0</v>
      </c>
      <c r="Q41" s="1">
        <f t="shared" si="14"/>
        <v>60.2</v>
      </c>
      <c r="R41" s="5">
        <f t="shared" si="12"/>
        <v>79.200000000000045</v>
      </c>
      <c r="S41" s="5"/>
      <c r="T41" s="1"/>
      <c r="U41" s="1">
        <f t="shared" si="7"/>
        <v>11</v>
      </c>
      <c r="V41" s="1">
        <f t="shared" si="8"/>
        <v>9.6843853820597996</v>
      </c>
      <c r="W41" s="1">
        <v>56.2</v>
      </c>
      <c r="X41" s="1">
        <v>79</v>
      </c>
      <c r="Y41" s="1">
        <v>83.2</v>
      </c>
      <c r="Z41" s="1">
        <v>71.400000000000006</v>
      </c>
      <c r="AA41" s="1">
        <v>74.400000000000006</v>
      </c>
      <c r="AB41" s="1">
        <v>66.400000000000006</v>
      </c>
      <c r="AC41" s="1">
        <v>43.6</v>
      </c>
      <c r="AD41" s="1">
        <v>94.8</v>
      </c>
      <c r="AE41" s="1" t="s">
        <v>43</v>
      </c>
      <c r="AF41" s="1">
        <f t="shared" si="11"/>
        <v>31.680000000000021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36</v>
      </c>
      <c r="C42" s="1">
        <v>59.194000000000003</v>
      </c>
      <c r="D42" s="1">
        <v>161.785</v>
      </c>
      <c r="E42" s="1">
        <v>130.381</v>
      </c>
      <c r="F42" s="1">
        <v>48.722000000000001</v>
      </c>
      <c r="G42" s="8">
        <v>1</v>
      </c>
      <c r="H42" s="1">
        <v>40</v>
      </c>
      <c r="I42" s="1" t="s">
        <v>37</v>
      </c>
      <c r="J42" s="1"/>
      <c r="K42" s="1">
        <v>151.72499999999999</v>
      </c>
      <c r="L42" s="1">
        <f t="shared" si="13"/>
        <v>-21.343999999999994</v>
      </c>
      <c r="M42" s="1">
        <f t="shared" si="5"/>
        <v>74.555999999999997</v>
      </c>
      <c r="N42" s="1">
        <v>55.825000000000003</v>
      </c>
      <c r="O42" s="1">
        <v>0</v>
      </c>
      <c r="P42" s="1">
        <v>32.155400000000043</v>
      </c>
      <c r="Q42" s="1">
        <f t="shared" si="14"/>
        <v>14.911199999999999</v>
      </c>
      <c r="R42" s="5">
        <f t="shared" si="12"/>
        <v>83.145799999999952</v>
      </c>
      <c r="S42" s="5"/>
      <c r="T42" s="1"/>
      <c r="U42" s="1">
        <f t="shared" si="7"/>
        <v>11</v>
      </c>
      <c r="V42" s="1">
        <f t="shared" si="8"/>
        <v>5.4239363699769338</v>
      </c>
      <c r="W42" s="1">
        <v>12.282999999999999</v>
      </c>
      <c r="X42" s="1">
        <v>12.53</v>
      </c>
      <c r="Y42" s="1">
        <v>11.486800000000001</v>
      </c>
      <c r="Z42" s="1">
        <v>13.9436</v>
      </c>
      <c r="AA42" s="1">
        <v>13.689399999999999</v>
      </c>
      <c r="AB42" s="1">
        <v>14.4346</v>
      </c>
      <c r="AC42" s="1">
        <v>16.334</v>
      </c>
      <c r="AD42" s="1">
        <v>18.047999999999998</v>
      </c>
      <c r="AE42" s="1"/>
      <c r="AF42" s="1">
        <f t="shared" si="11"/>
        <v>83.145799999999952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2" t="s">
        <v>83</v>
      </c>
      <c r="B43" s="22" t="s">
        <v>42</v>
      </c>
      <c r="C43" s="22">
        <v>475</v>
      </c>
      <c r="D43" s="22">
        <v>1141</v>
      </c>
      <c r="E43" s="22">
        <v>645</v>
      </c>
      <c r="F43" s="22">
        <v>586</v>
      </c>
      <c r="G43" s="23">
        <v>0.35</v>
      </c>
      <c r="H43" s="22">
        <v>40</v>
      </c>
      <c r="I43" s="22" t="s">
        <v>37</v>
      </c>
      <c r="J43" s="22"/>
      <c r="K43" s="22">
        <v>649</v>
      </c>
      <c r="L43" s="22">
        <f t="shared" si="13"/>
        <v>-4</v>
      </c>
      <c r="M43" s="22">
        <f t="shared" si="5"/>
        <v>561</v>
      </c>
      <c r="N43" s="22">
        <v>84</v>
      </c>
      <c r="O43" s="22">
        <v>0</v>
      </c>
      <c r="P43" s="22">
        <v>453.93000000000012</v>
      </c>
      <c r="Q43" s="22">
        <f t="shared" si="14"/>
        <v>112.2</v>
      </c>
      <c r="R43" s="24">
        <f>12*Q43-P43-F43</f>
        <v>306.47000000000003</v>
      </c>
      <c r="S43" s="24"/>
      <c r="T43" s="22"/>
      <c r="U43" s="22">
        <f t="shared" si="7"/>
        <v>12</v>
      </c>
      <c r="V43" s="22">
        <f t="shared" si="8"/>
        <v>9.2685383244206783</v>
      </c>
      <c r="W43" s="22">
        <v>107.8</v>
      </c>
      <c r="X43" s="22">
        <v>91.8</v>
      </c>
      <c r="Y43" s="22">
        <v>83.4</v>
      </c>
      <c r="Z43" s="22">
        <v>87</v>
      </c>
      <c r="AA43" s="22">
        <v>96</v>
      </c>
      <c r="AB43" s="22">
        <v>107.2</v>
      </c>
      <c r="AC43" s="22">
        <v>120.4</v>
      </c>
      <c r="AD43" s="22">
        <v>117.8</v>
      </c>
      <c r="AE43" s="22" t="s">
        <v>50</v>
      </c>
      <c r="AF43" s="22">
        <f t="shared" si="11"/>
        <v>107.2645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42</v>
      </c>
      <c r="C44" s="1">
        <v>262</v>
      </c>
      <c r="D44" s="1">
        <v>508</v>
      </c>
      <c r="E44" s="1">
        <v>387</v>
      </c>
      <c r="F44" s="1">
        <v>235</v>
      </c>
      <c r="G44" s="8">
        <v>0.4</v>
      </c>
      <c r="H44" s="1">
        <v>40</v>
      </c>
      <c r="I44" s="1" t="s">
        <v>37</v>
      </c>
      <c r="J44" s="1"/>
      <c r="K44" s="1">
        <v>437</v>
      </c>
      <c r="L44" s="1">
        <f t="shared" si="13"/>
        <v>-50</v>
      </c>
      <c r="M44" s="1">
        <f t="shared" si="5"/>
        <v>387</v>
      </c>
      <c r="N44" s="1"/>
      <c r="O44" s="1">
        <v>0</v>
      </c>
      <c r="P44" s="1">
        <v>370.26</v>
      </c>
      <c r="Q44" s="1">
        <f t="shared" si="14"/>
        <v>77.400000000000006</v>
      </c>
      <c r="R44" s="5">
        <f t="shared" si="12"/>
        <v>246.1400000000001</v>
      </c>
      <c r="S44" s="5"/>
      <c r="T44" s="1"/>
      <c r="U44" s="1">
        <f t="shared" si="7"/>
        <v>11</v>
      </c>
      <c r="V44" s="1">
        <f t="shared" si="8"/>
        <v>7.8198966408268724</v>
      </c>
      <c r="W44" s="1">
        <v>71.8</v>
      </c>
      <c r="X44" s="1">
        <v>59.6</v>
      </c>
      <c r="Y44" s="1">
        <v>60.2</v>
      </c>
      <c r="Z44" s="1">
        <v>71.400000000000006</v>
      </c>
      <c r="AA44" s="1">
        <v>64.2</v>
      </c>
      <c r="AB44" s="1">
        <v>58.8</v>
      </c>
      <c r="AC44" s="1">
        <v>59.2</v>
      </c>
      <c r="AD44" s="1">
        <v>62.2</v>
      </c>
      <c r="AE44" s="1" t="s">
        <v>43</v>
      </c>
      <c r="AF44" s="1">
        <f t="shared" si="11"/>
        <v>98.456000000000046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36</v>
      </c>
      <c r="C45" s="1">
        <v>143.93799999999999</v>
      </c>
      <c r="D45" s="1">
        <v>251.18600000000001</v>
      </c>
      <c r="E45" s="1">
        <v>129.52199999999999</v>
      </c>
      <c r="F45" s="1">
        <v>129.00700000000001</v>
      </c>
      <c r="G45" s="8">
        <v>1</v>
      </c>
      <c r="H45" s="1">
        <v>50</v>
      </c>
      <c r="I45" s="1" t="s">
        <v>37</v>
      </c>
      <c r="J45" s="1"/>
      <c r="K45" s="1">
        <v>176.59399999999999</v>
      </c>
      <c r="L45" s="1">
        <f t="shared" si="13"/>
        <v>-47.072000000000003</v>
      </c>
      <c r="M45" s="1">
        <f t="shared" si="5"/>
        <v>75.227999999999994</v>
      </c>
      <c r="N45" s="1">
        <v>54.293999999999997</v>
      </c>
      <c r="O45" s="1">
        <v>0</v>
      </c>
      <c r="P45" s="1">
        <v>0</v>
      </c>
      <c r="Q45" s="1">
        <f t="shared" si="14"/>
        <v>15.045599999999999</v>
      </c>
      <c r="R45" s="5">
        <f t="shared" si="12"/>
        <v>36.494599999999991</v>
      </c>
      <c r="S45" s="5"/>
      <c r="T45" s="1"/>
      <c r="U45" s="1">
        <f t="shared" si="7"/>
        <v>11</v>
      </c>
      <c r="V45" s="1">
        <f t="shared" si="8"/>
        <v>8.5744004891795615</v>
      </c>
      <c r="W45" s="1">
        <v>13.2912</v>
      </c>
      <c r="X45" s="1">
        <v>16.248999999999999</v>
      </c>
      <c r="Y45" s="1">
        <v>25.131799999999998</v>
      </c>
      <c r="Z45" s="1">
        <v>23.292999999999999</v>
      </c>
      <c r="AA45" s="1">
        <v>22.013999999999999</v>
      </c>
      <c r="AB45" s="1">
        <v>35.386000000000003</v>
      </c>
      <c r="AC45" s="1">
        <v>33.058399999999999</v>
      </c>
      <c r="AD45" s="1">
        <v>45.860199999999999</v>
      </c>
      <c r="AE45" s="1"/>
      <c r="AF45" s="1">
        <f t="shared" si="11"/>
        <v>36.494599999999991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36</v>
      </c>
      <c r="C46" s="1">
        <v>1029.6949999999999</v>
      </c>
      <c r="D46" s="1">
        <v>448.30700000000002</v>
      </c>
      <c r="E46" s="1">
        <v>726.49199999999996</v>
      </c>
      <c r="F46" s="1">
        <v>268.27800000000002</v>
      </c>
      <c r="G46" s="8">
        <v>1</v>
      </c>
      <c r="H46" s="1">
        <v>50</v>
      </c>
      <c r="I46" s="1" t="s">
        <v>37</v>
      </c>
      <c r="J46" s="1"/>
      <c r="K46" s="1">
        <v>1025.672</v>
      </c>
      <c r="L46" s="1">
        <f t="shared" si="13"/>
        <v>-299.18000000000006</v>
      </c>
      <c r="M46" s="1">
        <f t="shared" si="5"/>
        <v>392.11999999999995</v>
      </c>
      <c r="N46" s="1">
        <v>334.37200000000001</v>
      </c>
      <c r="O46" s="1">
        <v>0</v>
      </c>
      <c r="P46" s="1">
        <v>426.04059999999993</v>
      </c>
      <c r="Q46" s="1">
        <f t="shared" si="14"/>
        <v>78.423999999999992</v>
      </c>
      <c r="R46" s="5">
        <f t="shared" si="12"/>
        <v>168.34539999999993</v>
      </c>
      <c r="S46" s="5"/>
      <c r="T46" s="1"/>
      <c r="U46" s="1">
        <f t="shared" si="7"/>
        <v>11</v>
      </c>
      <c r="V46" s="1">
        <f t="shared" si="8"/>
        <v>8.853394369070692</v>
      </c>
      <c r="W46" s="1">
        <v>81.393799999999985</v>
      </c>
      <c r="X46" s="1">
        <v>71.273999999999987</v>
      </c>
      <c r="Y46" s="1">
        <v>95.15</v>
      </c>
      <c r="Z46" s="1">
        <v>105.3668</v>
      </c>
      <c r="AA46" s="1">
        <v>88.069000000000003</v>
      </c>
      <c r="AB46" s="1">
        <v>201.85839999999999</v>
      </c>
      <c r="AC46" s="1">
        <v>227.624</v>
      </c>
      <c r="AD46" s="1">
        <v>176.36859999999999</v>
      </c>
      <c r="AE46" s="1"/>
      <c r="AF46" s="1">
        <f t="shared" si="11"/>
        <v>168.34539999999993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4" t="s">
        <v>87</v>
      </c>
      <c r="B47" s="14" t="s">
        <v>36</v>
      </c>
      <c r="C47" s="14"/>
      <c r="D47" s="14"/>
      <c r="E47" s="14"/>
      <c r="F47" s="14"/>
      <c r="G47" s="15">
        <v>0</v>
      </c>
      <c r="H47" s="14">
        <v>40</v>
      </c>
      <c r="I47" s="14" t="s">
        <v>37</v>
      </c>
      <c r="J47" s="14"/>
      <c r="K47" s="14"/>
      <c r="L47" s="14">
        <f t="shared" si="13"/>
        <v>0</v>
      </c>
      <c r="M47" s="14">
        <f t="shared" si="5"/>
        <v>0</v>
      </c>
      <c r="N47" s="14"/>
      <c r="O47" s="14">
        <v>0</v>
      </c>
      <c r="P47" s="14">
        <v>0</v>
      </c>
      <c r="Q47" s="14">
        <f t="shared" si="14"/>
        <v>0</v>
      </c>
      <c r="R47" s="16"/>
      <c r="S47" s="16"/>
      <c r="T47" s="14"/>
      <c r="U47" s="14" t="e">
        <f t="shared" si="7"/>
        <v>#DIV/0!</v>
      </c>
      <c r="V47" s="14" t="e">
        <f t="shared" si="8"/>
        <v>#DIV/0!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 t="s">
        <v>56</v>
      </c>
      <c r="AF47" s="14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88</v>
      </c>
      <c r="B48" s="1" t="s">
        <v>42</v>
      </c>
      <c r="C48" s="1">
        <v>164</v>
      </c>
      <c r="D48" s="1">
        <v>249</v>
      </c>
      <c r="E48" s="1">
        <v>175</v>
      </c>
      <c r="F48" s="1">
        <v>156</v>
      </c>
      <c r="G48" s="8">
        <v>0.45</v>
      </c>
      <c r="H48" s="1">
        <v>50</v>
      </c>
      <c r="I48" s="1" t="s">
        <v>37</v>
      </c>
      <c r="J48" s="1"/>
      <c r="K48" s="1">
        <v>211</v>
      </c>
      <c r="L48" s="1">
        <f t="shared" si="13"/>
        <v>-36</v>
      </c>
      <c r="M48" s="1">
        <f t="shared" si="5"/>
        <v>139</v>
      </c>
      <c r="N48" s="1">
        <v>36</v>
      </c>
      <c r="O48" s="1">
        <v>0</v>
      </c>
      <c r="P48" s="1">
        <v>86.600000000000023</v>
      </c>
      <c r="Q48" s="1">
        <f t="shared" si="14"/>
        <v>27.8</v>
      </c>
      <c r="R48" s="5">
        <f t="shared" ref="R48:R63" si="15">11*Q48-P48-F48</f>
        <v>63.199999999999989</v>
      </c>
      <c r="S48" s="5"/>
      <c r="T48" s="1"/>
      <c r="U48" s="1">
        <f t="shared" si="7"/>
        <v>11</v>
      </c>
      <c r="V48" s="1">
        <f t="shared" si="8"/>
        <v>8.7266187050359711</v>
      </c>
      <c r="W48" s="1">
        <v>30.4</v>
      </c>
      <c r="X48" s="1">
        <v>28.4</v>
      </c>
      <c r="Y48" s="1">
        <v>31.6</v>
      </c>
      <c r="Z48" s="1">
        <v>38</v>
      </c>
      <c r="AA48" s="1">
        <v>34</v>
      </c>
      <c r="AB48" s="1">
        <v>32.200000000000003</v>
      </c>
      <c r="AC48" s="1">
        <v>32.200000000000003</v>
      </c>
      <c r="AD48" s="1">
        <v>29.6</v>
      </c>
      <c r="AE48" s="1" t="s">
        <v>43</v>
      </c>
      <c r="AF48" s="1">
        <f t="shared" ref="AF48:AF63" si="16">G48*R48</f>
        <v>28.439999999999994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89</v>
      </c>
      <c r="B49" s="1" t="s">
        <v>42</v>
      </c>
      <c r="C49" s="1">
        <v>66</v>
      </c>
      <c r="D49" s="1">
        <v>71</v>
      </c>
      <c r="E49" s="1">
        <v>77</v>
      </c>
      <c r="F49" s="1">
        <v>36</v>
      </c>
      <c r="G49" s="8">
        <v>0.4</v>
      </c>
      <c r="H49" s="1">
        <v>40</v>
      </c>
      <c r="I49" s="1" t="s">
        <v>37</v>
      </c>
      <c r="J49" s="1"/>
      <c r="K49" s="1">
        <v>81</v>
      </c>
      <c r="L49" s="1">
        <f t="shared" si="13"/>
        <v>-4</v>
      </c>
      <c r="M49" s="1">
        <f t="shared" si="5"/>
        <v>77</v>
      </c>
      <c r="N49" s="1"/>
      <c r="O49" s="1">
        <v>0</v>
      </c>
      <c r="P49" s="1">
        <v>37.199999999999989</v>
      </c>
      <c r="Q49" s="1">
        <f t="shared" si="14"/>
        <v>15.4</v>
      </c>
      <c r="R49" s="5">
        <f t="shared" si="15"/>
        <v>96.200000000000017</v>
      </c>
      <c r="S49" s="5"/>
      <c r="T49" s="1"/>
      <c r="U49" s="1">
        <f t="shared" si="7"/>
        <v>11</v>
      </c>
      <c r="V49" s="1">
        <f t="shared" si="8"/>
        <v>4.7532467532467528</v>
      </c>
      <c r="W49" s="1">
        <v>11.6</v>
      </c>
      <c r="X49" s="1">
        <v>9.6</v>
      </c>
      <c r="Y49" s="1">
        <v>7</v>
      </c>
      <c r="Z49" s="1">
        <v>11.2</v>
      </c>
      <c r="AA49" s="1">
        <v>12.2</v>
      </c>
      <c r="AB49" s="1">
        <v>7.2</v>
      </c>
      <c r="AC49" s="1">
        <v>8.6</v>
      </c>
      <c r="AD49" s="1">
        <v>10.8</v>
      </c>
      <c r="AE49" s="1"/>
      <c r="AF49" s="1">
        <f t="shared" si="16"/>
        <v>38.480000000000011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22" t="s">
        <v>90</v>
      </c>
      <c r="B50" s="22" t="s">
        <v>42</v>
      </c>
      <c r="C50" s="22">
        <v>65</v>
      </c>
      <c r="D50" s="22">
        <v>74</v>
      </c>
      <c r="E50" s="22">
        <v>114</v>
      </c>
      <c r="F50" s="22">
        <v>-7</v>
      </c>
      <c r="G50" s="23">
        <v>0.4</v>
      </c>
      <c r="H50" s="22">
        <v>40</v>
      </c>
      <c r="I50" s="22" t="s">
        <v>37</v>
      </c>
      <c r="J50" s="22"/>
      <c r="K50" s="22">
        <v>125</v>
      </c>
      <c r="L50" s="22">
        <f t="shared" si="13"/>
        <v>-11</v>
      </c>
      <c r="M50" s="22">
        <f t="shared" si="5"/>
        <v>114</v>
      </c>
      <c r="N50" s="22"/>
      <c r="O50" s="22">
        <v>0</v>
      </c>
      <c r="P50" s="22">
        <v>72.8</v>
      </c>
      <c r="Q50" s="22">
        <f t="shared" si="14"/>
        <v>22.8</v>
      </c>
      <c r="R50" s="24">
        <f>10*Q50-P50-F50</f>
        <v>162.19999999999999</v>
      </c>
      <c r="S50" s="24"/>
      <c r="T50" s="22"/>
      <c r="U50" s="22">
        <f t="shared" si="7"/>
        <v>10</v>
      </c>
      <c r="V50" s="22">
        <f t="shared" si="8"/>
        <v>2.8859649122807016</v>
      </c>
      <c r="W50" s="22">
        <v>13</v>
      </c>
      <c r="X50" s="22">
        <v>9.4</v>
      </c>
      <c r="Y50" s="22">
        <v>7.2</v>
      </c>
      <c r="Z50" s="22">
        <v>11.4</v>
      </c>
      <c r="AA50" s="22">
        <v>13.2</v>
      </c>
      <c r="AB50" s="22">
        <v>7.6</v>
      </c>
      <c r="AC50" s="22">
        <v>5.4</v>
      </c>
      <c r="AD50" s="22">
        <v>9</v>
      </c>
      <c r="AE50" s="22" t="s">
        <v>91</v>
      </c>
      <c r="AF50" s="22">
        <f t="shared" si="16"/>
        <v>64.88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36</v>
      </c>
      <c r="C51" s="1">
        <v>226.512</v>
      </c>
      <c r="D51" s="1">
        <v>328.53699999999998</v>
      </c>
      <c r="E51" s="1">
        <v>254.501</v>
      </c>
      <c r="F51" s="1">
        <v>58.438000000000002</v>
      </c>
      <c r="G51" s="8">
        <v>1</v>
      </c>
      <c r="H51" s="1">
        <v>50</v>
      </c>
      <c r="I51" s="1" t="s">
        <v>37</v>
      </c>
      <c r="J51" s="1"/>
      <c r="K51" s="1">
        <v>327.72899999999998</v>
      </c>
      <c r="L51" s="1">
        <f t="shared" si="13"/>
        <v>-73.22799999999998</v>
      </c>
      <c r="M51" s="1">
        <f t="shared" si="5"/>
        <v>168.27199999999999</v>
      </c>
      <c r="N51" s="1">
        <v>86.228999999999999</v>
      </c>
      <c r="O51" s="1">
        <v>0</v>
      </c>
      <c r="P51" s="1">
        <v>225.21459999999999</v>
      </c>
      <c r="Q51" s="1">
        <f t="shared" si="14"/>
        <v>33.654399999999995</v>
      </c>
      <c r="R51" s="5">
        <f t="shared" si="15"/>
        <v>86.545799999999943</v>
      </c>
      <c r="S51" s="5"/>
      <c r="T51" s="1"/>
      <c r="U51" s="1">
        <f t="shared" si="7"/>
        <v>11</v>
      </c>
      <c r="V51" s="1">
        <f t="shared" si="8"/>
        <v>8.4283956926880297</v>
      </c>
      <c r="W51" s="1">
        <v>35.505600000000001</v>
      </c>
      <c r="X51" s="1">
        <v>26.068000000000001</v>
      </c>
      <c r="Y51" s="1">
        <v>35.746400000000001</v>
      </c>
      <c r="Z51" s="1">
        <v>27.843800000000002</v>
      </c>
      <c r="AA51" s="1">
        <v>27.7578</v>
      </c>
      <c r="AB51" s="1">
        <v>57.828800000000001</v>
      </c>
      <c r="AC51" s="1">
        <v>66.021600000000007</v>
      </c>
      <c r="AD51" s="1">
        <v>45.287400000000012</v>
      </c>
      <c r="AE51" s="1"/>
      <c r="AF51" s="1">
        <f t="shared" si="16"/>
        <v>86.545799999999943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93</v>
      </c>
      <c r="B52" s="1" t="s">
        <v>42</v>
      </c>
      <c r="C52" s="1">
        <v>352</v>
      </c>
      <c r="D52" s="1">
        <v>63</v>
      </c>
      <c r="E52" s="1">
        <v>145</v>
      </c>
      <c r="F52" s="1">
        <v>254</v>
      </c>
      <c r="G52" s="8">
        <v>0.1</v>
      </c>
      <c r="H52" s="1">
        <v>730</v>
      </c>
      <c r="I52" s="1" t="s">
        <v>37</v>
      </c>
      <c r="J52" s="1"/>
      <c r="K52" s="1">
        <v>147</v>
      </c>
      <c r="L52" s="1">
        <f t="shared" si="13"/>
        <v>-2</v>
      </c>
      <c r="M52" s="1">
        <f t="shared" si="5"/>
        <v>145</v>
      </c>
      <c r="N52" s="1"/>
      <c r="O52" s="1">
        <v>0</v>
      </c>
      <c r="P52" s="1">
        <v>43.399999999999977</v>
      </c>
      <c r="Q52" s="1">
        <f t="shared" si="14"/>
        <v>29</v>
      </c>
      <c r="R52" s="5">
        <f t="shared" si="15"/>
        <v>21.600000000000023</v>
      </c>
      <c r="S52" s="5"/>
      <c r="T52" s="1"/>
      <c r="U52" s="1">
        <f t="shared" si="7"/>
        <v>11</v>
      </c>
      <c r="V52" s="1">
        <f t="shared" si="8"/>
        <v>10.255172413793103</v>
      </c>
      <c r="W52" s="1">
        <v>33.6</v>
      </c>
      <c r="X52" s="1">
        <v>36.200000000000003</v>
      </c>
      <c r="Y52" s="1">
        <v>34</v>
      </c>
      <c r="Z52" s="1">
        <v>25.4</v>
      </c>
      <c r="AA52" s="1">
        <v>30.4</v>
      </c>
      <c r="AB52" s="1">
        <v>53.8</v>
      </c>
      <c r="AC52" s="1">
        <v>60.6</v>
      </c>
      <c r="AD52" s="1">
        <v>27.8</v>
      </c>
      <c r="AE52" s="1" t="s">
        <v>94</v>
      </c>
      <c r="AF52" s="1">
        <f t="shared" si="16"/>
        <v>2.1600000000000024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95</v>
      </c>
      <c r="B53" s="1" t="s">
        <v>36</v>
      </c>
      <c r="C53" s="1">
        <v>1213.521</v>
      </c>
      <c r="D53" s="1">
        <v>1168.653</v>
      </c>
      <c r="E53" s="1">
        <v>584.72699999999998</v>
      </c>
      <c r="F53" s="1">
        <v>954.43499999999995</v>
      </c>
      <c r="G53" s="8">
        <v>1</v>
      </c>
      <c r="H53" s="1">
        <v>50</v>
      </c>
      <c r="I53" s="1" t="s">
        <v>37</v>
      </c>
      <c r="J53" s="1"/>
      <c r="K53" s="1">
        <v>757.29899999999998</v>
      </c>
      <c r="L53" s="1">
        <f t="shared" si="13"/>
        <v>-172.572</v>
      </c>
      <c r="M53" s="1">
        <f t="shared" si="5"/>
        <v>397.37799999999999</v>
      </c>
      <c r="N53" s="1">
        <v>187.34899999999999</v>
      </c>
      <c r="O53" s="1">
        <v>0</v>
      </c>
      <c r="P53" s="1">
        <v>0</v>
      </c>
      <c r="Q53" s="1">
        <f t="shared" si="14"/>
        <v>79.4756</v>
      </c>
      <c r="R53" s="5"/>
      <c r="S53" s="5"/>
      <c r="T53" s="1"/>
      <c r="U53" s="1">
        <f t="shared" si="7"/>
        <v>12.009157527593374</v>
      </c>
      <c r="V53" s="1">
        <f t="shared" si="8"/>
        <v>12.009157527593374</v>
      </c>
      <c r="W53" s="1">
        <v>96.695400000000006</v>
      </c>
      <c r="X53" s="1">
        <v>119.4696</v>
      </c>
      <c r="Y53" s="1">
        <v>142.035</v>
      </c>
      <c r="Z53" s="1">
        <v>149.1806</v>
      </c>
      <c r="AA53" s="1">
        <v>138.38839999999999</v>
      </c>
      <c r="AB53" s="1">
        <v>182.5282</v>
      </c>
      <c r="AC53" s="1">
        <v>178.96700000000001</v>
      </c>
      <c r="AD53" s="1">
        <v>159.62860000000001</v>
      </c>
      <c r="AE53" s="1"/>
      <c r="AF53" s="1">
        <f t="shared" si="16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96</v>
      </c>
      <c r="B54" s="1" t="s">
        <v>36</v>
      </c>
      <c r="C54" s="1">
        <v>62.686999999999998</v>
      </c>
      <c r="D54" s="1">
        <v>113.66</v>
      </c>
      <c r="E54" s="1">
        <v>117.765</v>
      </c>
      <c r="F54" s="1">
        <v>9.6010000000000009</v>
      </c>
      <c r="G54" s="8">
        <v>1</v>
      </c>
      <c r="H54" s="1">
        <v>50</v>
      </c>
      <c r="I54" s="1" t="s">
        <v>37</v>
      </c>
      <c r="J54" s="1"/>
      <c r="K54" s="1">
        <v>137.238</v>
      </c>
      <c r="L54" s="1">
        <f t="shared" si="13"/>
        <v>-19.472999999999999</v>
      </c>
      <c r="M54" s="1">
        <f t="shared" si="5"/>
        <v>31.326999999999998</v>
      </c>
      <c r="N54" s="1">
        <v>86.438000000000002</v>
      </c>
      <c r="O54" s="1">
        <v>0</v>
      </c>
      <c r="P54" s="1">
        <v>0</v>
      </c>
      <c r="Q54" s="1">
        <f t="shared" si="14"/>
        <v>6.2653999999999996</v>
      </c>
      <c r="R54" s="5">
        <f>8*Q54-P54-F54</f>
        <v>40.522199999999998</v>
      </c>
      <c r="S54" s="5"/>
      <c r="T54" s="1"/>
      <c r="U54" s="1">
        <f t="shared" si="7"/>
        <v>8</v>
      </c>
      <c r="V54" s="1">
        <f t="shared" si="8"/>
        <v>1.5323842053180965</v>
      </c>
      <c r="W54" s="1">
        <v>2.9667999999999979</v>
      </c>
      <c r="X54" s="1">
        <v>4.0518000000000018</v>
      </c>
      <c r="Y54" s="1">
        <v>5.3885999999999994</v>
      </c>
      <c r="Z54" s="1">
        <v>6.200599999999997</v>
      </c>
      <c r="AA54" s="1">
        <v>8.3480000000000008</v>
      </c>
      <c r="AB54" s="1">
        <v>11.8172</v>
      </c>
      <c r="AC54" s="1">
        <v>19.884799999999998</v>
      </c>
      <c r="AD54" s="1">
        <v>14.262</v>
      </c>
      <c r="AE54" s="1" t="s">
        <v>97</v>
      </c>
      <c r="AF54" s="1">
        <f t="shared" si="16"/>
        <v>40.522199999999998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98</v>
      </c>
      <c r="B55" s="1" t="s">
        <v>42</v>
      </c>
      <c r="C55" s="1">
        <v>329</v>
      </c>
      <c r="D55" s="1">
        <v>100</v>
      </c>
      <c r="E55" s="1">
        <v>144</v>
      </c>
      <c r="F55" s="1">
        <v>271</v>
      </c>
      <c r="G55" s="8">
        <v>0.1</v>
      </c>
      <c r="H55" s="1">
        <v>730</v>
      </c>
      <c r="I55" s="1" t="s">
        <v>37</v>
      </c>
      <c r="J55" s="1"/>
      <c r="K55" s="1">
        <v>144</v>
      </c>
      <c r="L55" s="1">
        <f t="shared" si="13"/>
        <v>0</v>
      </c>
      <c r="M55" s="1">
        <f t="shared" si="5"/>
        <v>144</v>
      </c>
      <c r="N55" s="1"/>
      <c r="O55" s="1">
        <v>0</v>
      </c>
      <c r="P55" s="1">
        <v>0</v>
      </c>
      <c r="Q55" s="1">
        <f t="shared" si="14"/>
        <v>28.8</v>
      </c>
      <c r="R55" s="5">
        <f t="shared" si="15"/>
        <v>45.800000000000011</v>
      </c>
      <c r="S55" s="5"/>
      <c r="T55" s="1"/>
      <c r="U55" s="1">
        <f t="shared" si="7"/>
        <v>11</v>
      </c>
      <c r="V55" s="1">
        <f t="shared" si="8"/>
        <v>9.4097222222222214</v>
      </c>
      <c r="W55" s="1">
        <v>29.4</v>
      </c>
      <c r="X55" s="1">
        <v>37.4</v>
      </c>
      <c r="Y55" s="1">
        <v>39.200000000000003</v>
      </c>
      <c r="Z55" s="1">
        <v>28.8</v>
      </c>
      <c r="AA55" s="1">
        <v>29.6</v>
      </c>
      <c r="AB55" s="1">
        <v>52.8</v>
      </c>
      <c r="AC55" s="1">
        <v>61</v>
      </c>
      <c r="AD55" s="1">
        <v>27.8</v>
      </c>
      <c r="AE55" s="1" t="s">
        <v>94</v>
      </c>
      <c r="AF55" s="1">
        <f t="shared" si="16"/>
        <v>4.580000000000001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99</v>
      </c>
      <c r="B56" s="1" t="s">
        <v>42</v>
      </c>
      <c r="C56" s="1">
        <v>153</v>
      </c>
      <c r="D56" s="1">
        <v>225</v>
      </c>
      <c r="E56" s="1">
        <v>184</v>
      </c>
      <c r="F56" s="1">
        <v>71</v>
      </c>
      <c r="G56" s="8">
        <v>0.4</v>
      </c>
      <c r="H56" s="1">
        <v>50</v>
      </c>
      <c r="I56" s="1" t="s">
        <v>37</v>
      </c>
      <c r="J56" s="1"/>
      <c r="K56" s="1">
        <v>221</v>
      </c>
      <c r="L56" s="1">
        <f t="shared" si="13"/>
        <v>-37</v>
      </c>
      <c r="M56" s="1">
        <f t="shared" si="5"/>
        <v>134</v>
      </c>
      <c r="N56" s="1">
        <v>50</v>
      </c>
      <c r="O56" s="1">
        <v>0</v>
      </c>
      <c r="P56" s="1">
        <v>110.2</v>
      </c>
      <c r="Q56" s="1">
        <f t="shared" si="14"/>
        <v>26.8</v>
      </c>
      <c r="R56" s="5">
        <f t="shared" si="15"/>
        <v>113.60000000000002</v>
      </c>
      <c r="S56" s="5"/>
      <c r="T56" s="1"/>
      <c r="U56" s="1">
        <f t="shared" si="7"/>
        <v>11</v>
      </c>
      <c r="V56" s="1">
        <f t="shared" si="8"/>
        <v>6.7611940298507456</v>
      </c>
      <c r="W56" s="1">
        <v>22.2</v>
      </c>
      <c r="X56" s="1">
        <v>17.2</v>
      </c>
      <c r="Y56" s="1">
        <v>18.2</v>
      </c>
      <c r="Z56" s="1">
        <v>20.2</v>
      </c>
      <c r="AA56" s="1">
        <v>20.399999999999999</v>
      </c>
      <c r="AB56" s="1">
        <v>27.4</v>
      </c>
      <c r="AC56" s="1">
        <v>37</v>
      </c>
      <c r="AD56" s="1">
        <v>32.6</v>
      </c>
      <c r="AE56" s="1"/>
      <c r="AF56" s="1">
        <f t="shared" si="16"/>
        <v>45.440000000000012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100</v>
      </c>
      <c r="B57" s="1" t="s">
        <v>42</v>
      </c>
      <c r="C57" s="1">
        <v>1002</v>
      </c>
      <c r="D57" s="1">
        <v>2000</v>
      </c>
      <c r="E57" s="1">
        <v>958</v>
      </c>
      <c r="F57" s="1">
        <v>799</v>
      </c>
      <c r="G57" s="8">
        <v>0.4</v>
      </c>
      <c r="H57" s="1">
        <v>40</v>
      </c>
      <c r="I57" s="1" t="s">
        <v>37</v>
      </c>
      <c r="J57" s="1"/>
      <c r="K57" s="1">
        <v>1130</v>
      </c>
      <c r="L57" s="1">
        <f t="shared" si="13"/>
        <v>-172</v>
      </c>
      <c r="M57" s="1">
        <f t="shared" si="5"/>
        <v>670</v>
      </c>
      <c r="N57" s="1">
        <v>288</v>
      </c>
      <c r="O57" s="1">
        <v>0</v>
      </c>
      <c r="P57" s="1">
        <v>262.80000000000018</v>
      </c>
      <c r="Q57" s="1">
        <f t="shared" si="14"/>
        <v>134</v>
      </c>
      <c r="R57" s="5">
        <f t="shared" si="15"/>
        <v>412.19999999999982</v>
      </c>
      <c r="S57" s="5"/>
      <c r="T57" s="1"/>
      <c r="U57" s="1">
        <f t="shared" si="7"/>
        <v>11</v>
      </c>
      <c r="V57" s="1">
        <f t="shared" si="8"/>
        <v>7.9238805970149269</v>
      </c>
      <c r="W57" s="1">
        <v>132.80000000000001</v>
      </c>
      <c r="X57" s="1">
        <v>127</v>
      </c>
      <c r="Y57" s="1">
        <v>178.2</v>
      </c>
      <c r="Z57" s="1">
        <v>178.2</v>
      </c>
      <c r="AA57" s="1">
        <v>173.8</v>
      </c>
      <c r="AB57" s="1">
        <v>182.6</v>
      </c>
      <c r="AC57" s="1">
        <v>192.4</v>
      </c>
      <c r="AD57" s="1">
        <v>188.6</v>
      </c>
      <c r="AE57" s="1"/>
      <c r="AF57" s="1">
        <f t="shared" si="16"/>
        <v>164.87999999999994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101</v>
      </c>
      <c r="B58" s="1" t="s">
        <v>42</v>
      </c>
      <c r="C58" s="1">
        <v>754</v>
      </c>
      <c r="D58" s="1">
        <v>1325</v>
      </c>
      <c r="E58" s="1">
        <v>538</v>
      </c>
      <c r="F58" s="1">
        <v>724</v>
      </c>
      <c r="G58" s="8">
        <v>0.4</v>
      </c>
      <c r="H58" s="1">
        <v>40</v>
      </c>
      <c r="I58" s="1" t="s">
        <v>37</v>
      </c>
      <c r="J58" s="1"/>
      <c r="K58" s="1">
        <v>581</v>
      </c>
      <c r="L58" s="1">
        <f t="shared" si="13"/>
        <v>-43</v>
      </c>
      <c r="M58" s="1">
        <f t="shared" si="5"/>
        <v>508</v>
      </c>
      <c r="N58" s="1">
        <v>30</v>
      </c>
      <c r="O58" s="1">
        <v>0</v>
      </c>
      <c r="P58" s="1">
        <v>47</v>
      </c>
      <c r="Q58" s="1">
        <f t="shared" si="14"/>
        <v>101.6</v>
      </c>
      <c r="R58" s="5">
        <f t="shared" si="15"/>
        <v>346.59999999999991</v>
      </c>
      <c r="S58" s="5"/>
      <c r="T58" s="1"/>
      <c r="U58" s="1">
        <f t="shared" si="7"/>
        <v>11</v>
      </c>
      <c r="V58" s="1">
        <f t="shared" si="8"/>
        <v>7.5885826771653546</v>
      </c>
      <c r="W58" s="1">
        <v>95</v>
      </c>
      <c r="X58" s="1">
        <v>81.8</v>
      </c>
      <c r="Y58" s="1">
        <v>133.80000000000001</v>
      </c>
      <c r="Z58" s="1">
        <v>128.19999999999999</v>
      </c>
      <c r="AA58" s="1">
        <v>120</v>
      </c>
      <c r="AB58" s="1">
        <v>120.2</v>
      </c>
      <c r="AC58" s="1">
        <v>124.4</v>
      </c>
      <c r="AD58" s="1">
        <v>122.8</v>
      </c>
      <c r="AE58" s="1"/>
      <c r="AF58" s="1">
        <f t="shared" si="16"/>
        <v>138.63999999999996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102</v>
      </c>
      <c r="B59" s="1" t="s">
        <v>36</v>
      </c>
      <c r="C59" s="1">
        <v>648.90499999999997</v>
      </c>
      <c r="D59" s="1">
        <v>847.81700000000001</v>
      </c>
      <c r="E59" s="1">
        <v>614.06299999999999</v>
      </c>
      <c r="F59" s="1">
        <v>534.49400000000003</v>
      </c>
      <c r="G59" s="8">
        <v>1</v>
      </c>
      <c r="H59" s="1">
        <v>40</v>
      </c>
      <c r="I59" s="1" t="s">
        <v>37</v>
      </c>
      <c r="J59" s="1"/>
      <c r="K59" s="1">
        <v>870.48199999999997</v>
      </c>
      <c r="L59" s="1">
        <f t="shared" si="13"/>
        <v>-256.41899999999998</v>
      </c>
      <c r="M59" s="1">
        <f t="shared" si="5"/>
        <v>581.49299999999994</v>
      </c>
      <c r="N59" s="1">
        <v>32.57</v>
      </c>
      <c r="O59" s="1">
        <v>0</v>
      </c>
      <c r="P59" s="1">
        <v>271.40865999999971</v>
      </c>
      <c r="Q59" s="1">
        <f t="shared" si="14"/>
        <v>116.29859999999999</v>
      </c>
      <c r="R59" s="5">
        <f t="shared" si="15"/>
        <v>473.38194000000021</v>
      </c>
      <c r="S59" s="5"/>
      <c r="T59" s="1"/>
      <c r="U59" s="1">
        <f t="shared" si="7"/>
        <v>11</v>
      </c>
      <c r="V59" s="1">
        <f t="shared" si="8"/>
        <v>6.9295989805552241</v>
      </c>
      <c r="W59" s="1">
        <v>103.773</v>
      </c>
      <c r="X59" s="1">
        <v>101.7516</v>
      </c>
      <c r="Y59" s="1">
        <v>95.836199999999991</v>
      </c>
      <c r="Z59" s="1">
        <v>127.2068</v>
      </c>
      <c r="AA59" s="1">
        <v>119.5936</v>
      </c>
      <c r="AB59" s="1">
        <v>88.937399999999997</v>
      </c>
      <c r="AC59" s="1">
        <v>126.9456</v>
      </c>
      <c r="AD59" s="1">
        <v>148.119</v>
      </c>
      <c r="AE59" s="1"/>
      <c r="AF59" s="1">
        <f t="shared" si="16"/>
        <v>473.38194000000021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103</v>
      </c>
      <c r="B60" s="1" t="s">
        <v>36</v>
      </c>
      <c r="C60" s="1">
        <v>461.69</v>
      </c>
      <c r="D60" s="1">
        <v>495.279</v>
      </c>
      <c r="E60" s="1">
        <v>472.024</v>
      </c>
      <c r="F60" s="1">
        <v>274.89999999999998</v>
      </c>
      <c r="G60" s="8">
        <v>1</v>
      </c>
      <c r="H60" s="1">
        <v>40</v>
      </c>
      <c r="I60" s="1" t="s">
        <v>37</v>
      </c>
      <c r="J60" s="1"/>
      <c r="K60" s="1">
        <v>620.93200000000002</v>
      </c>
      <c r="L60" s="1">
        <f t="shared" si="13"/>
        <v>-148.90800000000002</v>
      </c>
      <c r="M60" s="1">
        <f t="shared" si="5"/>
        <v>299.33100000000002</v>
      </c>
      <c r="N60" s="1">
        <v>172.69300000000001</v>
      </c>
      <c r="O60" s="1">
        <v>0</v>
      </c>
      <c r="P60" s="1">
        <v>0</v>
      </c>
      <c r="Q60" s="1">
        <f t="shared" si="14"/>
        <v>59.866200000000006</v>
      </c>
      <c r="R60" s="5">
        <f t="shared" si="15"/>
        <v>383.62820000000011</v>
      </c>
      <c r="S60" s="5"/>
      <c r="T60" s="1"/>
      <c r="U60" s="1">
        <f t="shared" si="7"/>
        <v>11</v>
      </c>
      <c r="V60" s="1">
        <f t="shared" si="8"/>
        <v>4.5919066184257549</v>
      </c>
      <c r="W60" s="1">
        <v>36.925400000000003</v>
      </c>
      <c r="X60" s="1">
        <v>62.423400000000001</v>
      </c>
      <c r="Y60" s="1">
        <v>72.507599999999996</v>
      </c>
      <c r="Z60" s="1">
        <v>80.549800000000005</v>
      </c>
      <c r="AA60" s="1">
        <v>78.738199999999992</v>
      </c>
      <c r="AB60" s="1">
        <v>85.087000000000003</v>
      </c>
      <c r="AC60" s="1">
        <v>100.7384</v>
      </c>
      <c r="AD60" s="1">
        <v>90.174400000000006</v>
      </c>
      <c r="AE60" s="1"/>
      <c r="AF60" s="1">
        <f t="shared" si="16"/>
        <v>383.62820000000011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104</v>
      </c>
      <c r="B61" s="1" t="s">
        <v>36</v>
      </c>
      <c r="C61" s="1">
        <v>780.81799999999998</v>
      </c>
      <c r="D61" s="1">
        <v>982.38599999999997</v>
      </c>
      <c r="E61" s="1">
        <v>703.96299999999997</v>
      </c>
      <c r="F61" s="1">
        <v>614.71900000000005</v>
      </c>
      <c r="G61" s="8">
        <v>1</v>
      </c>
      <c r="H61" s="1">
        <v>40</v>
      </c>
      <c r="I61" s="1" t="s">
        <v>37</v>
      </c>
      <c r="J61" s="1"/>
      <c r="K61" s="1">
        <v>939.76499999999999</v>
      </c>
      <c r="L61" s="1">
        <f t="shared" si="13"/>
        <v>-235.80200000000002</v>
      </c>
      <c r="M61" s="1">
        <f t="shared" si="5"/>
        <v>497.71799999999996</v>
      </c>
      <c r="N61" s="1">
        <v>206.245</v>
      </c>
      <c r="O61" s="1">
        <v>0</v>
      </c>
      <c r="P61" s="1">
        <v>0</v>
      </c>
      <c r="Q61" s="1">
        <f t="shared" si="14"/>
        <v>99.543599999999998</v>
      </c>
      <c r="R61" s="5">
        <f t="shared" si="15"/>
        <v>480.26059999999984</v>
      </c>
      <c r="S61" s="5"/>
      <c r="T61" s="1"/>
      <c r="U61" s="1">
        <f t="shared" si="7"/>
        <v>11</v>
      </c>
      <c r="V61" s="1">
        <f t="shared" si="8"/>
        <v>6.1753744088017717</v>
      </c>
      <c r="W61" s="1">
        <v>85.085399999999993</v>
      </c>
      <c r="X61" s="1">
        <v>105.01519999999999</v>
      </c>
      <c r="Y61" s="1">
        <v>133.00880000000001</v>
      </c>
      <c r="Z61" s="1">
        <v>148.1208</v>
      </c>
      <c r="AA61" s="1">
        <v>133.08600000000001</v>
      </c>
      <c r="AB61" s="1">
        <v>129.34479999999999</v>
      </c>
      <c r="AC61" s="1">
        <v>137.9058</v>
      </c>
      <c r="AD61" s="1">
        <v>100.72539999999999</v>
      </c>
      <c r="AE61" s="1"/>
      <c r="AF61" s="1">
        <f t="shared" si="16"/>
        <v>480.26059999999984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105</v>
      </c>
      <c r="B62" s="1" t="s">
        <v>36</v>
      </c>
      <c r="C62" s="1">
        <v>30.896000000000001</v>
      </c>
      <c r="D62" s="1">
        <v>103.014</v>
      </c>
      <c r="E62" s="1">
        <v>42.296999999999997</v>
      </c>
      <c r="F62" s="1">
        <v>75.846999999999994</v>
      </c>
      <c r="G62" s="8">
        <v>1</v>
      </c>
      <c r="H62" s="1">
        <v>30</v>
      </c>
      <c r="I62" s="1" t="s">
        <v>37</v>
      </c>
      <c r="J62" s="1"/>
      <c r="K62" s="1">
        <v>41.1</v>
      </c>
      <c r="L62" s="1">
        <f t="shared" si="13"/>
        <v>1.1969999999999956</v>
      </c>
      <c r="M62" s="1">
        <f t="shared" si="5"/>
        <v>42.296999999999997</v>
      </c>
      <c r="N62" s="1"/>
      <c r="O62" s="1">
        <v>0</v>
      </c>
      <c r="P62" s="1">
        <v>23.265599999999971</v>
      </c>
      <c r="Q62" s="1">
        <f t="shared" si="14"/>
        <v>8.4593999999999987</v>
      </c>
      <c r="R62" s="5"/>
      <c r="S62" s="5"/>
      <c r="T62" s="1"/>
      <c r="U62" s="1">
        <f t="shared" si="7"/>
        <v>11.716268293259565</v>
      </c>
      <c r="V62" s="1">
        <f t="shared" si="8"/>
        <v>11.716268293259565</v>
      </c>
      <c r="W62" s="1">
        <v>10.456</v>
      </c>
      <c r="X62" s="1">
        <v>9.4792000000000005</v>
      </c>
      <c r="Y62" s="1">
        <v>7.7307999999999986</v>
      </c>
      <c r="Z62" s="1">
        <v>7.35</v>
      </c>
      <c r="AA62" s="1">
        <v>8.0608000000000004</v>
      </c>
      <c r="AB62" s="1">
        <v>9.4787999999999997</v>
      </c>
      <c r="AC62" s="1">
        <v>10.0122</v>
      </c>
      <c r="AD62" s="1">
        <v>9.3536000000000001</v>
      </c>
      <c r="AE62" s="1"/>
      <c r="AF62" s="1">
        <f t="shared" si="16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106</v>
      </c>
      <c r="B63" s="1" t="s">
        <v>42</v>
      </c>
      <c r="C63" s="1">
        <v>145</v>
      </c>
      <c r="D63" s="1">
        <v>73</v>
      </c>
      <c r="E63" s="1">
        <v>81</v>
      </c>
      <c r="F63" s="1">
        <v>96</v>
      </c>
      <c r="G63" s="8">
        <v>0.6</v>
      </c>
      <c r="H63" s="1">
        <v>60</v>
      </c>
      <c r="I63" s="1" t="s">
        <v>37</v>
      </c>
      <c r="J63" s="1"/>
      <c r="K63" s="1">
        <v>81</v>
      </c>
      <c r="L63" s="1">
        <f t="shared" si="13"/>
        <v>0</v>
      </c>
      <c r="M63" s="1">
        <f t="shared" si="5"/>
        <v>81</v>
      </c>
      <c r="N63" s="1"/>
      <c r="O63" s="1">
        <v>0</v>
      </c>
      <c r="P63" s="1">
        <v>17</v>
      </c>
      <c r="Q63" s="1">
        <f t="shared" si="14"/>
        <v>16.2</v>
      </c>
      <c r="R63" s="5">
        <f t="shared" si="15"/>
        <v>65.199999999999989</v>
      </c>
      <c r="S63" s="5"/>
      <c r="T63" s="1"/>
      <c r="U63" s="1">
        <f t="shared" si="7"/>
        <v>11</v>
      </c>
      <c r="V63" s="1">
        <f t="shared" si="8"/>
        <v>6.9753086419753085</v>
      </c>
      <c r="W63" s="1">
        <v>14.6</v>
      </c>
      <c r="X63" s="1">
        <v>14.6</v>
      </c>
      <c r="Y63" s="1">
        <v>12</v>
      </c>
      <c r="Z63" s="1">
        <v>17.600000000000001</v>
      </c>
      <c r="AA63" s="1">
        <v>21</v>
      </c>
      <c r="AB63" s="1">
        <v>15</v>
      </c>
      <c r="AC63" s="1">
        <v>17.2</v>
      </c>
      <c r="AD63" s="1">
        <v>19.600000000000001</v>
      </c>
      <c r="AE63" s="1" t="s">
        <v>43</v>
      </c>
      <c r="AF63" s="1">
        <f t="shared" si="16"/>
        <v>39.11999999999999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4" t="s">
        <v>107</v>
      </c>
      <c r="B64" s="14" t="s">
        <v>42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/>
      <c r="K64" s="14"/>
      <c r="L64" s="14">
        <f t="shared" si="13"/>
        <v>0</v>
      </c>
      <c r="M64" s="14">
        <f t="shared" si="5"/>
        <v>0</v>
      </c>
      <c r="N64" s="14"/>
      <c r="O64" s="14">
        <v>0</v>
      </c>
      <c r="P64" s="14">
        <v>0</v>
      </c>
      <c r="Q64" s="14">
        <f t="shared" si="14"/>
        <v>0</v>
      </c>
      <c r="R64" s="16"/>
      <c r="S64" s="16"/>
      <c r="T64" s="14"/>
      <c r="U64" s="14" t="e">
        <f t="shared" si="7"/>
        <v>#DIV/0!</v>
      </c>
      <c r="V64" s="14" t="e">
        <f t="shared" si="8"/>
        <v>#DIV/0!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 t="s">
        <v>56</v>
      </c>
      <c r="AF64" s="14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4" t="s">
        <v>108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/>
      <c r="L65" s="14">
        <f t="shared" si="13"/>
        <v>0</v>
      </c>
      <c r="M65" s="14">
        <f t="shared" si="5"/>
        <v>0</v>
      </c>
      <c r="N65" s="14"/>
      <c r="O65" s="14">
        <v>0</v>
      </c>
      <c r="P65" s="14">
        <v>0</v>
      </c>
      <c r="Q65" s="14">
        <f t="shared" si="14"/>
        <v>0</v>
      </c>
      <c r="R65" s="16"/>
      <c r="S65" s="16"/>
      <c r="T65" s="14"/>
      <c r="U65" s="14" t="e">
        <f t="shared" si="7"/>
        <v>#DIV/0!</v>
      </c>
      <c r="V65" s="14" t="e">
        <f t="shared" si="8"/>
        <v>#DIV/0!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56</v>
      </c>
      <c r="AF65" s="14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42</v>
      </c>
      <c r="C66" s="1">
        <v>74</v>
      </c>
      <c r="D66" s="1">
        <v>76</v>
      </c>
      <c r="E66" s="1">
        <v>54</v>
      </c>
      <c r="F66" s="1">
        <v>76</v>
      </c>
      <c r="G66" s="8">
        <v>0.6</v>
      </c>
      <c r="H66" s="1">
        <v>55</v>
      </c>
      <c r="I66" s="1" t="s">
        <v>37</v>
      </c>
      <c r="J66" s="1"/>
      <c r="K66" s="1">
        <v>54</v>
      </c>
      <c r="L66" s="1">
        <f t="shared" si="13"/>
        <v>0</v>
      </c>
      <c r="M66" s="1">
        <f t="shared" si="5"/>
        <v>54</v>
      </c>
      <c r="N66" s="1"/>
      <c r="O66" s="1">
        <v>0</v>
      </c>
      <c r="P66" s="1">
        <v>7.5999999999999943</v>
      </c>
      <c r="Q66" s="1">
        <f t="shared" si="14"/>
        <v>10.8</v>
      </c>
      <c r="R66" s="5">
        <f>11*Q66-P66-F66</f>
        <v>35.200000000000017</v>
      </c>
      <c r="S66" s="5"/>
      <c r="T66" s="1"/>
      <c r="U66" s="1">
        <f t="shared" si="7"/>
        <v>11</v>
      </c>
      <c r="V66" s="1">
        <f t="shared" si="8"/>
        <v>7.7407407407407396</v>
      </c>
      <c r="W66" s="1">
        <v>10.199999999999999</v>
      </c>
      <c r="X66" s="1">
        <v>10.199999999999999</v>
      </c>
      <c r="Y66" s="1">
        <v>11</v>
      </c>
      <c r="Z66" s="1">
        <v>13.4</v>
      </c>
      <c r="AA66" s="1">
        <v>12.8</v>
      </c>
      <c r="AB66" s="1">
        <v>11.2</v>
      </c>
      <c r="AC66" s="1">
        <v>11.2</v>
      </c>
      <c r="AD66" s="1">
        <v>11.2</v>
      </c>
      <c r="AE66" s="1"/>
      <c r="AF66" s="1">
        <f>G66*R66</f>
        <v>21.120000000000008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110</v>
      </c>
      <c r="B67" s="14" t="s">
        <v>42</v>
      </c>
      <c r="C67" s="14"/>
      <c r="D67" s="14"/>
      <c r="E67" s="14"/>
      <c r="F67" s="14"/>
      <c r="G67" s="15">
        <v>0</v>
      </c>
      <c r="H67" s="14">
        <v>40</v>
      </c>
      <c r="I67" s="14" t="s">
        <v>37</v>
      </c>
      <c r="J67" s="14"/>
      <c r="K67" s="14"/>
      <c r="L67" s="14">
        <f t="shared" si="13"/>
        <v>0</v>
      </c>
      <c r="M67" s="14">
        <f t="shared" si="5"/>
        <v>0</v>
      </c>
      <c r="N67" s="14"/>
      <c r="O67" s="14">
        <v>0</v>
      </c>
      <c r="P67" s="14">
        <v>0</v>
      </c>
      <c r="Q67" s="14">
        <f t="shared" si="14"/>
        <v>0</v>
      </c>
      <c r="R67" s="16"/>
      <c r="S67" s="16"/>
      <c r="T67" s="14"/>
      <c r="U67" s="14" t="e">
        <f t="shared" si="7"/>
        <v>#DIV/0!</v>
      </c>
      <c r="V67" s="14" t="e">
        <f t="shared" si="8"/>
        <v>#DIV/0!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 t="s">
        <v>56</v>
      </c>
      <c r="AF67" s="14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42</v>
      </c>
      <c r="C68" s="1">
        <v>64</v>
      </c>
      <c r="D68" s="1">
        <v>73</v>
      </c>
      <c r="E68" s="1">
        <v>55</v>
      </c>
      <c r="F68" s="1">
        <v>55</v>
      </c>
      <c r="G68" s="8">
        <v>0.4</v>
      </c>
      <c r="H68" s="1">
        <v>50</v>
      </c>
      <c r="I68" s="1" t="s">
        <v>37</v>
      </c>
      <c r="J68" s="1"/>
      <c r="K68" s="1">
        <v>55</v>
      </c>
      <c r="L68" s="1">
        <f t="shared" si="13"/>
        <v>0</v>
      </c>
      <c r="M68" s="1">
        <f t="shared" si="5"/>
        <v>55</v>
      </c>
      <c r="N68" s="1"/>
      <c r="O68" s="1">
        <v>0</v>
      </c>
      <c r="P68" s="1">
        <v>48.800000000000011</v>
      </c>
      <c r="Q68" s="1">
        <f t="shared" si="14"/>
        <v>11</v>
      </c>
      <c r="R68" s="5">
        <f>11*Q68-P68-F68</f>
        <v>17.199999999999989</v>
      </c>
      <c r="S68" s="5"/>
      <c r="T68" s="1"/>
      <c r="U68" s="1">
        <f t="shared" si="7"/>
        <v>11</v>
      </c>
      <c r="V68" s="1">
        <f t="shared" si="8"/>
        <v>9.4363636363636374</v>
      </c>
      <c r="W68" s="1">
        <v>11.8</v>
      </c>
      <c r="X68" s="1">
        <v>10.199999999999999</v>
      </c>
      <c r="Y68" s="1">
        <v>10.199999999999999</v>
      </c>
      <c r="Z68" s="1">
        <v>12.6</v>
      </c>
      <c r="AA68" s="1">
        <v>12.4</v>
      </c>
      <c r="AB68" s="1">
        <v>11.6</v>
      </c>
      <c r="AC68" s="1">
        <v>9.6</v>
      </c>
      <c r="AD68" s="1">
        <v>9.8000000000000007</v>
      </c>
      <c r="AE68" s="1" t="s">
        <v>43</v>
      </c>
      <c r="AF68" s="1">
        <f>G68*R68</f>
        <v>6.8799999999999955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4" t="s">
        <v>112</v>
      </c>
      <c r="B69" s="14" t="s">
        <v>42</v>
      </c>
      <c r="C69" s="14"/>
      <c r="D69" s="14"/>
      <c r="E69" s="14"/>
      <c r="F69" s="14"/>
      <c r="G69" s="15">
        <v>0</v>
      </c>
      <c r="H69" s="14">
        <v>55</v>
      </c>
      <c r="I69" s="14" t="s">
        <v>37</v>
      </c>
      <c r="J69" s="14"/>
      <c r="K69" s="14"/>
      <c r="L69" s="14">
        <f t="shared" si="13"/>
        <v>0</v>
      </c>
      <c r="M69" s="14">
        <f t="shared" si="5"/>
        <v>0</v>
      </c>
      <c r="N69" s="14"/>
      <c r="O69" s="14">
        <v>0</v>
      </c>
      <c r="P69" s="14">
        <v>0</v>
      </c>
      <c r="Q69" s="14">
        <f t="shared" si="14"/>
        <v>0</v>
      </c>
      <c r="R69" s="16"/>
      <c r="S69" s="16"/>
      <c r="T69" s="14"/>
      <c r="U69" s="14" t="e">
        <f t="shared" si="7"/>
        <v>#DIV/0!</v>
      </c>
      <c r="V69" s="14" t="e">
        <f t="shared" si="8"/>
        <v>#DIV/0!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 t="s">
        <v>113</v>
      </c>
      <c r="AF69" s="14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114</v>
      </c>
      <c r="B70" s="1" t="s">
        <v>36</v>
      </c>
      <c r="C70" s="1">
        <v>33.158999999999999</v>
      </c>
      <c r="D70" s="1">
        <v>2E-3</v>
      </c>
      <c r="E70" s="1"/>
      <c r="F70" s="1">
        <v>30.298999999999999</v>
      </c>
      <c r="G70" s="8">
        <v>1</v>
      </c>
      <c r="H70" s="1">
        <v>55</v>
      </c>
      <c r="I70" s="1" t="s">
        <v>37</v>
      </c>
      <c r="J70" s="1"/>
      <c r="K70" s="1"/>
      <c r="L70" s="1">
        <f t="shared" ref="L70:L97" si="17">E70-K70</f>
        <v>0</v>
      </c>
      <c r="M70" s="1">
        <f t="shared" si="5"/>
        <v>0</v>
      </c>
      <c r="N70" s="1"/>
      <c r="O70" s="1">
        <v>0</v>
      </c>
      <c r="P70" s="1">
        <v>0</v>
      </c>
      <c r="Q70" s="1">
        <f t="shared" si="14"/>
        <v>0</v>
      </c>
      <c r="R70" s="5"/>
      <c r="S70" s="5"/>
      <c r="T70" s="1"/>
      <c r="U70" s="1" t="e">
        <f t="shared" si="7"/>
        <v>#DIV/0!</v>
      </c>
      <c r="V70" s="1" t="e">
        <f t="shared" si="8"/>
        <v>#DIV/0!</v>
      </c>
      <c r="W70" s="1">
        <v>0</v>
      </c>
      <c r="X70" s="1">
        <v>0.2868</v>
      </c>
      <c r="Y70" s="1">
        <v>0.2868</v>
      </c>
      <c r="Z70" s="1">
        <v>0</v>
      </c>
      <c r="AA70" s="1">
        <v>0</v>
      </c>
      <c r="AB70" s="1">
        <v>2.0339999999999998</v>
      </c>
      <c r="AC70" s="1">
        <v>2.0270000000000001</v>
      </c>
      <c r="AD70" s="1">
        <v>1.1614</v>
      </c>
      <c r="AE70" s="20" t="s">
        <v>154</v>
      </c>
      <c r="AF70" s="1">
        <f>G70*R70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22" t="s">
        <v>115</v>
      </c>
      <c r="B71" s="22" t="s">
        <v>36</v>
      </c>
      <c r="C71" s="22">
        <v>2185.39</v>
      </c>
      <c r="D71" s="22">
        <v>2455.567</v>
      </c>
      <c r="E71" s="22">
        <v>2510.1170000000002</v>
      </c>
      <c r="F71" s="22">
        <v>1725.2750000000001</v>
      </c>
      <c r="G71" s="23">
        <v>1</v>
      </c>
      <c r="H71" s="22">
        <v>60</v>
      </c>
      <c r="I71" s="22" t="s">
        <v>37</v>
      </c>
      <c r="J71" s="22"/>
      <c r="K71" s="22">
        <v>2721.39</v>
      </c>
      <c r="L71" s="22">
        <f t="shared" si="17"/>
        <v>-211.27299999999968</v>
      </c>
      <c r="M71" s="22">
        <f t="shared" ref="M71:M97" si="18">E71-N71</f>
        <v>2005.1070000000002</v>
      </c>
      <c r="N71" s="22">
        <v>505.01</v>
      </c>
      <c r="O71" s="22">
        <v>0</v>
      </c>
      <c r="P71" s="22">
        <v>2379.9569159999992</v>
      </c>
      <c r="Q71" s="22">
        <f t="shared" ref="Q71:Q97" si="19">M71/5</f>
        <v>401.02140000000003</v>
      </c>
      <c r="R71" s="24">
        <f>12*Q71-P71-F71</f>
        <v>707.02488400000084</v>
      </c>
      <c r="S71" s="24"/>
      <c r="T71" s="22"/>
      <c r="U71" s="22">
        <f t="shared" ref="U71:U97" si="20">(F71+P71+R71)/Q71</f>
        <v>11.999999999999996</v>
      </c>
      <c r="V71" s="22">
        <f t="shared" ref="V71:V97" si="21">(F71+P71)/Q71</f>
        <v>10.236939764311826</v>
      </c>
      <c r="W71" s="22">
        <v>365.46319999999997</v>
      </c>
      <c r="X71" s="22">
        <v>306.22660000000002</v>
      </c>
      <c r="Y71" s="22">
        <v>311.7722</v>
      </c>
      <c r="Z71" s="22">
        <v>366.33</v>
      </c>
      <c r="AA71" s="22">
        <v>365.08199999999999</v>
      </c>
      <c r="AB71" s="22">
        <v>349.85840000000002</v>
      </c>
      <c r="AC71" s="22">
        <v>436.41559999999998</v>
      </c>
      <c r="AD71" s="22">
        <v>444.73239999999998</v>
      </c>
      <c r="AE71" s="22" t="s">
        <v>50</v>
      </c>
      <c r="AF71" s="22">
        <f>G71*R71</f>
        <v>707.02488400000084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116</v>
      </c>
      <c r="B72" s="1" t="s">
        <v>36</v>
      </c>
      <c r="C72" s="1">
        <v>887.07399999999996</v>
      </c>
      <c r="D72" s="1">
        <v>1651.681</v>
      </c>
      <c r="E72" s="1">
        <v>1528.8009999999999</v>
      </c>
      <c r="F72" s="1">
        <v>684.13900000000001</v>
      </c>
      <c r="G72" s="8">
        <v>1</v>
      </c>
      <c r="H72" s="1">
        <v>60</v>
      </c>
      <c r="I72" s="1" t="s">
        <v>37</v>
      </c>
      <c r="J72" s="1"/>
      <c r="K72" s="1">
        <v>1704.029</v>
      </c>
      <c r="L72" s="1">
        <f t="shared" si="17"/>
        <v>-175.22800000000007</v>
      </c>
      <c r="M72" s="1">
        <f t="shared" si="18"/>
        <v>769.28199999999993</v>
      </c>
      <c r="N72" s="1">
        <v>759.51900000000001</v>
      </c>
      <c r="O72" s="1">
        <v>0</v>
      </c>
      <c r="P72" s="1">
        <v>565.46160000000009</v>
      </c>
      <c r="Q72" s="1">
        <f t="shared" si="19"/>
        <v>153.85639999999998</v>
      </c>
      <c r="R72" s="5">
        <f t="shared" ref="R72" si="22">11*Q72-P72-F72</f>
        <v>442.81979999999965</v>
      </c>
      <c r="S72" s="5"/>
      <c r="T72" s="1"/>
      <c r="U72" s="1">
        <f t="shared" si="20"/>
        <v>11.000000000000002</v>
      </c>
      <c r="V72" s="1">
        <f t="shared" si="21"/>
        <v>8.1218629839252738</v>
      </c>
      <c r="W72" s="1">
        <v>127.7578</v>
      </c>
      <c r="X72" s="1">
        <v>126.42919999999999</v>
      </c>
      <c r="Y72" s="1">
        <v>141.66480000000001</v>
      </c>
      <c r="Z72" s="1">
        <v>142.9308</v>
      </c>
      <c r="AA72" s="1">
        <v>138.81319999999999</v>
      </c>
      <c r="AB72" s="1">
        <v>149.00360000000001</v>
      </c>
      <c r="AC72" s="1">
        <v>278.13659999999999</v>
      </c>
      <c r="AD72" s="1">
        <v>319.11099999999999</v>
      </c>
      <c r="AE72" s="1"/>
      <c r="AF72" s="1">
        <f>G72*R72</f>
        <v>442.81979999999965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22" t="s">
        <v>117</v>
      </c>
      <c r="B73" s="22" t="s">
        <v>36</v>
      </c>
      <c r="C73" s="22">
        <v>2230.0590000000002</v>
      </c>
      <c r="D73" s="22">
        <v>1443.4960000000001</v>
      </c>
      <c r="E73" s="22">
        <v>1286.1320000000001</v>
      </c>
      <c r="F73" s="22">
        <v>2141.0650000000001</v>
      </c>
      <c r="G73" s="23">
        <v>1</v>
      </c>
      <c r="H73" s="22">
        <v>60</v>
      </c>
      <c r="I73" s="22" t="s">
        <v>37</v>
      </c>
      <c r="J73" s="22"/>
      <c r="K73" s="22">
        <v>1378.3009999999999</v>
      </c>
      <c r="L73" s="22">
        <f t="shared" si="17"/>
        <v>-92.168999999999869</v>
      </c>
      <c r="M73" s="22">
        <f t="shared" si="18"/>
        <v>1255.615</v>
      </c>
      <c r="N73" s="22">
        <v>30.516999999999999</v>
      </c>
      <c r="O73" s="22">
        <v>0</v>
      </c>
      <c r="P73" s="22">
        <v>501.80680000000018</v>
      </c>
      <c r="Q73" s="22">
        <f t="shared" si="19"/>
        <v>251.12299999999999</v>
      </c>
      <c r="R73" s="24">
        <f t="shared" ref="R73:R74" si="23">12*Q73-P73-F73</f>
        <v>370.60419999999931</v>
      </c>
      <c r="S73" s="24"/>
      <c r="T73" s="22"/>
      <c r="U73" s="22">
        <f t="shared" si="20"/>
        <v>11.999999999999998</v>
      </c>
      <c r="V73" s="22">
        <f t="shared" si="21"/>
        <v>10.524212437729719</v>
      </c>
      <c r="W73" s="22">
        <v>248.63159999999999</v>
      </c>
      <c r="X73" s="22">
        <v>266.42500000000001</v>
      </c>
      <c r="Y73" s="22">
        <v>273.30919999999998</v>
      </c>
      <c r="Z73" s="22">
        <v>397.70679999999999</v>
      </c>
      <c r="AA73" s="22">
        <v>336.23680000000002</v>
      </c>
      <c r="AB73" s="22">
        <v>298.28440000000001</v>
      </c>
      <c r="AC73" s="22">
        <v>354.27980000000002</v>
      </c>
      <c r="AD73" s="22">
        <v>455.83499999999992</v>
      </c>
      <c r="AE73" s="22" t="s">
        <v>118</v>
      </c>
      <c r="AF73" s="22">
        <f>G73*R73</f>
        <v>370.60419999999931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22" t="s">
        <v>119</v>
      </c>
      <c r="B74" s="22" t="s">
        <v>36</v>
      </c>
      <c r="C74" s="22">
        <v>2410.06</v>
      </c>
      <c r="D74" s="22">
        <v>2746.5189999999998</v>
      </c>
      <c r="E74" s="22">
        <v>2612.4169999999999</v>
      </c>
      <c r="F74" s="22">
        <v>1840.884</v>
      </c>
      <c r="G74" s="23">
        <v>1</v>
      </c>
      <c r="H74" s="22">
        <v>60</v>
      </c>
      <c r="I74" s="22" t="s">
        <v>37</v>
      </c>
      <c r="J74" s="22"/>
      <c r="K74" s="22">
        <v>2904.0749999999998</v>
      </c>
      <c r="L74" s="22">
        <f t="shared" si="17"/>
        <v>-291.6579999999999</v>
      </c>
      <c r="M74" s="22">
        <f t="shared" si="18"/>
        <v>1684.405</v>
      </c>
      <c r="N74" s="22">
        <v>928.01199999999994</v>
      </c>
      <c r="O74" s="22">
        <v>160</v>
      </c>
      <c r="P74" s="22">
        <v>1707.328850000001</v>
      </c>
      <c r="Q74" s="22">
        <f t="shared" si="19"/>
        <v>336.88099999999997</v>
      </c>
      <c r="R74" s="24">
        <f t="shared" si="23"/>
        <v>494.35914999999841</v>
      </c>
      <c r="S74" s="24"/>
      <c r="T74" s="22"/>
      <c r="U74" s="22">
        <f t="shared" si="20"/>
        <v>11.999999999999998</v>
      </c>
      <c r="V74" s="22">
        <f t="shared" si="21"/>
        <v>10.532540719126342</v>
      </c>
      <c r="W74" s="22">
        <v>323.82159999999999</v>
      </c>
      <c r="X74" s="22">
        <v>264.303</v>
      </c>
      <c r="Y74" s="22">
        <v>270.36279999999999</v>
      </c>
      <c r="Z74" s="22">
        <v>289.75439999999998</v>
      </c>
      <c r="AA74" s="22">
        <v>275.53500000000003</v>
      </c>
      <c r="AB74" s="22">
        <v>508.59640000000002</v>
      </c>
      <c r="AC74" s="22">
        <v>571.42600000000004</v>
      </c>
      <c r="AD74" s="22">
        <v>591.18219999999997</v>
      </c>
      <c r="AE74" s="22" t="s">
        <v>50</v>
      </c>
      <c r="AF74" s="22">
        <f>G74*R74</f>
        <v>494.35914999999841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1" t="s">
        <v>120</v>
      </c>
      <c r="B75" s="11" t="s">
        <v>36</v>
      </c>
      <c r="C75" s="11">
        <v>-3.0000000000000001E-3</v>
      </c>
      <c r="D75" s="11">
        <v>1.361</v>
      </c>
      <c r="E75" s="11">
        <v>1.3580000000000001</v>
      </c>
      <c r="F75" s="11"/>
      <c r="G75" s="12">
        <v>0</v>
      </c>
      <c r="H75" s="11">
        <v>55</v>
      </c>
      <c r="I75" s="11" t="s">
        <v>121</v>
      </c>
      <c r="J75" s="11"/>
      <c r="K75" s="11">
        <v>1.3</v>
      </c>
      <c r="L75" s="11">
        <f t="shared" si="17"/>
        <v>5.8000000000000052E-2</v>
      </c>
      <c r="M75" s="11">
        <f t="shared" si="18"/>
        <v>1.3580000000000001</v>
      </c>
      <c r="N75" s="11"/>
      <c r="O75" s="11">
        <v>0</v>
      </c>
      <c r="P75" s="11">
        <v>0</v>
      </c>
      <c r="Q75" s="11">
        <f t="shared" si="19"/>
        <v>0.27160000000000001</v>
      </c>
      <c r="R75" s="13"/>
      <c r="S75" s="13"/>
      <c r="T75" s="11"/>
      <c r="U75" s="11">
        <f t="shared" si="20"/>
        <v>0</v>
      </c>
      <c r="V75" s="11">
        <f t="shared" si="21"/>
        <v>0</v>
      </c>
      <c r="W75" s="11">
        <v>0.53879999999999995</v>
      </c>
      <c r="X75" s="11">
        <v>0.80959999999999999</v>
      </c>
      <c r="Y75" s="11">
        <v>0.80679999999999996</v>
      </c>
      <c r="Z75" s="11">
        <v>1.6133999999999999</v>
      </c>
      <c r="AA75" s="11">
        <v>2.4216000000000002</v>
      </c>
      <c r="AB75" s="11">
        <v>2.1509999999999998</v>
      </c>
      <c r="AC75" s="11">
        <v>1.3442000000000001</v>
      </c>
      <c r="AD75" s="11">
        <v>0.2702</v>
      </c>
      <c r="AE75" s="11" t="s">
        <v>122</v>
      </c>
      <c r="AF75" s="1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123</v>
      </c>
      <c r="B76" s="1" t="s">
        <v>36</v>
      </c>
      <c r="C76" s="1">
        <v>334.40600000000001</v>
      </c>
      <c r="D76" s="1">
        <v>12.115</v>
      </c>
      <c r="E76" s="1">
        <v>16.11</v>
      </c>
      <c r="F76" s="1">
        <v>317.54199999999997</v>
      </c>
      <c r="G76" s="8">
        <v>1</v>
      </c>
      <c r="H76" s="1">
        <v>60</v>
      </c>
      <c r="I76" s="1" t="s">
        <v>37</v>
      </c>
      <c r="J76" s="1"/>
      <c r="K76" s="1">
        <v>28.215</v>
      </c>
      <c r="L76" s="1">
        <f t="shared" si="17"/>
        <v>-12.105</v>
      </c>
      <c r="M76" s="1">
        <f t="shared" si="18"/>
        <v>3.9949999999999992</v>
      </c>
      <c r="N76" s="1">
        <v>12.115</v>
      </c>
      <c r="O76" s="1">
        <v>0</v>
      </c>
      <c r="P76" s="1">
        <v>0</v>
      </c>
      <c r="Q76" s="1">
        <f t="shared" si="19"/>
        <v>0.79899999999999982</v>
      </c>
      <c r="R76" s="5"/>
      <c r="S76" s="5"/>
      <c r="T76" s="1"/>
      <c r="U76" s="1">
        <f t="shared" si="20"/>
        <v>397.4242803504381</v>
      </c>
      <c r="V76" s="1">
        <f t="shared" si="21"/>
        <v>397.4242803504381</v>
      </c>
      <c r="W76" s="1">
        <v>0.48000000000000009</v>
      </c>
      <c r="X76" s="1">
        <v>0</v>
      </c>
      <c r="Y76" s="1">
        <v>0.15999999999999939</v>
      </c>
      <c r="Z76" s="1">
        <v>2.5788000000000011</v>
      </c>
      <c r="AA76" s="1">
        <v>0.96099999999999852</v>
      </c>
      <c r="AB76" s="1">
        <v>29.7864</v>
      </c>
      <c r="AC76" s="1">
        <v>36.041800000000002</v>
      </c>
      <c r="AD76" s="1">
        <v>21.690799999999999</v>
      </c>
      <c r="AE76" s="28" t="s">
        <v>58</v>
      </c>
      <c r="AF76" s="1">
        <f>G76*R76</f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1" t="s">
        <v>124</v>
      </c>
      <c r="B77" s="11" t="s">
        <v>42</v>
      </c>
      <c r="C77" s="11"/>
      <c r="D77" s="11"/>
      <c r="E77" s="11">
        <v>-1</v>
      </c>
      <c r="F77" s="11">
        <v>-4</v>
      </c>
      <c r="G77" s="12">
        <v>0</v>
      </c>
      <c r="H77" s="11">
        <v>40</v>
      </c>
      <c r="I77" s="11" t="s">
        <v>121</v>
      </c>
      <c r="J77" s="11"/>
      <c r="K77" s="11"/>
      <c r="L77" s="11">
        <f t="shared" si="17"/>
        <v>-1</v>
      </c>
      <c r="M77" s="11">
        <f t="shared" si="18"/>
        <v>-1</v>
      </c>
      <c r="N77" s="11"/>
      <c r="O77" s="11">
        <v>0</v>
      </c>
      <c r="P77" s="11">
        <v>0</v>
      </c>
      <c r="Q77" s="11">
        <f t="shared" si="19"/>
        <v>-0.2</v>
      </c>
      <c r="R77" s="13"/>
      <c r="S77" s="13"/>
      <c r="T77" s="11"/>
      <c r="U77" s="11">
        <f t="shared" si="20"/>
        <v>20</v>
      </c>
      <c r="V77" s="11">
        <f t="shared" si="21"/>
        <v>20</v>
      </c>
      <c r="W77" s="11">
        <v>0</v>
      </c>
      <c r="X77" s="11">
        <v>-0.4</v>
      </c>
      <c r="Y77" s="11">
        <v>-0.2</v>
      </c>
      <c r="Z77" s="11">
        <v>0.2</v>
      </c>
      <c r="AA77" s="11">
        <v>1.2</v>
      </c>
      <c r="AB77" s="11">
        <v>1.6</v>
      </c>
      <c r="AC77" s="11">
        <v>1.4</v>
      </c>
      <c r="AD77" s="11">
        <v>1.2</v>
      </c>
      <c r="AE77" s="11"/>
      <c r="AF77" s="1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125</v>
      </c>
      <c r="B78" s="1" t="s">
        <v>42</v>
      </c>
      <c r="C78" s="1">
        <v>66</v>
      </c>
      <c r="D78" s="1">
        <v>158</v>
      </c>
      <c r="E78" s="1">
        <v>83</v>
      </c>
      <c r="F78" s="1">
        <v>117</v>
      </c>
      <c r="G78" s="8">
        <v>0.3</v>
      </c>
      <c r="H78" s="1">
        <v>40</v>
      </c>
      <c r="I78" s="1" t="s">
        <v>37</v>
      </c>
      <c r="J78" s="1"/>
      <c r="K78" s="1">
        <v>85</v>
      </c>
      <c r="L78" s="1">
        <f t="shared" si="17"/>
        <v>-2</v>
      </c>
      <c r="M78" s="1">
        <f t="shared" si="18"/>
        <v>83</v>
      </c>
      <c r="N78" s="1"/>
      <c r="O78" s="1">
        <v>0</v>
      </c>
      <c r="P78" s="1">
        <v>7.1999999999999886</v>
      </c>
      <c r="Q78" s="1">
        <f t="shared" si="19"/>
        <v>16.600000000000001</v>
      </c>
      <c r="R78" s="5">
        <f t="shared" ref="R78:R81" si="24">11*Q78-P78-F78</f>
        <v>58.400000000000034</v>
      </c>
      <c r="S78" s="5"/>
      <c r="T78" s="1"/>
      <c r="U78" s="1">
        <f t="shared" si="20"/>
        <v>11</v>
      </c>
      <c r="V78" s="1">
        <f t="shared" si="21"/>
        <v>7.4819277108433724</v>
      </c>
      <c r="W78" s="1">
        <v>15.2</v>
      </c>
      <c r="X78" s="1">
        <v>16</v>
      </c>
      <c r="Y78" s="1">
        <v>17</v>
      </c>
      <c r="Z78" s="1">
        <v>16.600000000000001</v>
      </c>
      <c r="AA78" s="1">
        <v>15</v>
      </c>
      <c r="AB78" s="1">
        <v>15.8</v>
      </c>
      <c r="AC78" s="1">
        <v>19</v>
      </c>
      <c r="AD78" s="1">
        <v>17.8</v>
      </c>
      <c r="AE78" s="1"/>
      <c r="AF78" s="1">
        <f t="shared" ref="AF78:AF84" si="25">G78*R78</f>
        <v>17.52000000000001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126</v>
      </c>
      <c r="B79" s="1" t="s">
        <v>42</v>
      </c>
      <c r="C79" s="1">
        <v>96</v>
      </c>
      <c r="D79" s="1">
        <v>204</v>
      </c>
      <c r="E79" s="1">
        <v>78</v>
      </c>
      <c r="F79" s="1">
        <v>193</v>
      </c>
      <c r="G79" s="8">
        <v>7.0000000000000007E-2</v>
      </c>
      <c r="H79" s="1">
        <v>90</v>
      </c>
      <c r="I79" s="1" t="s">
        <v>37</v>
      </c>
      <c r="J79" s="1"/>
      <c r="K79" s="1">
        <v>79</v>
      </c>
      <c r="L79" s="1">
        <f t="shared" si="17"/>
        <v>-1</v>
      </c>
      <c r="M79" s="1">
        <f t="shared" si="18"/>
        <v>78</v>
      </c>
      <c r="N79" s="1"/>
      <c r="O79" s="1">
        <v>0</v>
      </c>
      <c r="P79" s="1">
        <v>0</v>
      </c>
      <c r="Q79" s="1">
        <f t="shared" si="19"/>
        <v>15.6</v>
      </c>
      <c r="R79" s="5"/>
      <c r="S79" s="5"/>
      <c r="T79" s="1"/>
      <c r="U79" s="1">
        <f t="shared" si="20"/>
        <v>12.371794871794872</v>
      </c>
      <c r="V79" s="1">
        <f t="shared" si="21"/>
        <v>12.371794871794872</v>
      </c>
      <c r="W79" s="1">
        <v>13.4</v>
      </c>
      <c r="X79" s="1">
        <v>13.4</v>
      </c>
      <c r="Y79" s="1">
        <v>18.600000000000001</v>
      </c>
      <c r="Z79" s="1">
        <v>21</v>
      </c>
      <c r="AA79" s="1">
        <v>17.399999999999999</v>
      </c>
      <c r="AB79" s="1">
        <v>15</v>
      </c>
      <c r="AC79" s="1">
        <v>9.6</v>
      </c>
      <c r="AD79" s="1">
        <v>0</v>
      </c>
      <c r="AE79" s="1"/>
      <c r="AF79" s="1">
        <f t="shared" si="25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127</v>
      </c>
      <c r="B80" s="1" t="s">
        <v>42</v>
      </c>
      <c r="C80" s="1">
        <v>119</v>
      </c>
      <c r="D80" s="1">
        <v>225</v>
      </c>
      <c r="E80" s="1">
        <v>76</v>
      </c>
      <c r="F80" s="1">
        <v>253</v>
      </c>
      <c r="G80" s="8">
        <v>7.0000000000000007E-2</v>
      </c>
      <c r="H80" s="1">
        <v>90</v>
      </c>
      <c r="I80" s="1" t="s">
        <v>37</v>
      </c>
      <c r="J80" s="1"/>
      <c r="K80" s="1">
        <v>77</v>
      </c>
      <c r="L80" s="1">
        <f t="shared" si="17"/>
        <v>-1</v>
      </c>
      <c r="M80" s="1">
        <f t="shared" si="18"/>
        <v>76</v>
      </c>
      <c r="N80" s="1"/>
      <c r="O80" s="1">
        <v>0</v>
      </c>
      <c r="P80" s="1">
        <v>0</v>
      </c>
      <c r="Q80" s="1">
        <f t="shared" si="19"/>
        <v>15.2</v>
      </c>
      <c r="R80" s="5"/>
      <c r="S80" s="5"/>
      <c r="T80" s="1"/>
      <c r="U80" s="1">
        <f t="shared" si="20"/>
        <v>16.644736842105264</v>
      </c>
      <c r="V80" s="1">
        <f t="shared" si="21"/>
        <v>16.644736842105264</v>
      </c>
      <c r="W80" s="1">
        <v>10.6</v>
      </c>
      <c r="X80" s="1">
        <v>14.4</v>
      </c>
      <c r="Y80" s="1">
        <v>21.6</v>
      </c>
      <c r="Z80" s="1">
        <v>23</v>
      </c>
      <c r="AA80" s="1">
        <v>18.399999999999999</v>
      </c>
      <c r="AB80" s="1">
        <v>18.600000000000001</v>
      </c>
      <c r="AC80" s="1">
        <v>10.4</v>
      </c>
      <c r="AD80" s="1">
        <v>0</v>
      </c>
      <c r="AE80" s="19" t="s">
        <v>47</v>
      </c>
      <c r="AF80" s="1">
        <f t="shared" si="25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128</v>
      </c>
      <c r="B81" s="1" t="s">
        <v>42</v>
      </c>
      <c r="C81" s="1">
        <v>184</v>
      </c>
      <c r="D81" s="1">
        <v>2</v>
      </c>
      <c r="E81" s="1">
        <v>64</v>
      </c>
      <c r="F81" s="1">
        <v>107</v>
      </c>
      <c r="G81" s="8">
        <v>7.0000000000000007E-2</v>
      </c>
      <c r="H81" s="1">
        <v>90</v>
      </c>
      <c r="I81" s="1" t="s">
        <v>37</v>
      </c>
      <c r="J81" s="1"/>
      <c r="K81" s="1">
        <v>64</v>
      </c>
      <c r="L81" s="1">
        <f t="shared" si="17"/>
        <v>0</v>
      </c>
      <c r="M81" s="1">
        <f t="shared" si="18"/>
        <v>64</v>
      </c>
      <c r="N81" s="1"/>
      <c r="O81" s="1">
        <v>0</v>
      </c>
      <c r="P81" s="1">
        <v>0</v>
      </c>
      <c r="Q81" s="1">
        <f t="shared" si="19"/>
        <v>12.8</v>
      </c>
      <c r="R81" s="5">
        <f t="shared" si="24"/>
        <v>33.800000000000011</v>
      </c>
      <c r="S81" s="5"/>
      <c r="T81" s="1"/>
      <c r="U81" s="1">
        <f t="shared" si="20"/>
        <v>11</v>
      </c>
      <c r="V81" s="1">
        <f t="shared" si="21"/>
        <v>8.359375</v>
      </c>
      <c r="W81" s="1">
        <v>10.4</v>
      </c>
      <c r="X81" s="1">
        <v>10.199999999999999</v>
      </c>
      <c r="Y81" s="1">
        <v>10</v>
      </c>
      <c r="Z81" s="1">
        <v>15.4</v>
      </c>
      <c r="AA81" s="1">
        <v>19.399999999999999</v>
      </c>
      <c r="AB81" s="1">
        <v>17</v>
      </c>
      <c r="AC81" s="1">
        <v>10.199999999999999</v>
      </c>
      <c r="AD81" s="1">
        <v>6</v>
      </c>
      <c r="AE81" s="1"/>
      <c r="AF81" s="1">
        <f t="shared" si="25"/>
        <v>2.366000000000001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129</v>
      </c>
      <c r="B82" s="1" t="s">
        <v>42</v>
      </c>
      <c r="C82" s="1">
        <v>81</v>
      </c>
      <c r="D82" s="1">
        <v>261</v>
      </c>
      <c r="E82" s="1">
        <v>54</v>
      </c>
      <c r="F82" s="1">
        <v>200</v>
      </c>
      <c r="G82" s="8">
        <v>0.05</v>
      </c>
      <c r="H82" s="1">
        <v>90</v>
      </c>
      <c r="I82" s="1" t="s">
        <v>37</v>
      </c>
      <c r="J82" s="1"/>
      <c r="K82" s="1">
        <v>54</v>
      </c>
      <c r="L82" s="1">
        <f t="shared" si="17"/>
        <v>0</v>
      </c>
      <c r="M82" s="1">
        <f t="shared" si="18"/>
        <v>54</v>
      </c>
      <c r="N82" s="1"/>
      <c r="O82" s="1">
        <v>0</v>
      </c>
      <c r="P82" s="1">
        <v>0</v>
      </c>
      <c r="Q82" s="1">
        <f t="shared" si="19"/>
        <v>10.8</v>
      </c>
      <c r="R82" s="5"/>
      <c r="S82" s="5"/>
      <c r="T82" s="1"/>
      <c r="U82" s="1">
        <f t="shared" si="20"/>
        <v>18.518518518518519</v>
      </c>
      <c r="V82" s="1">
        <f t="shared" si="21"/>
        <v>18.518518518518519</v>
      </c>
      <c r="W82" s="1">
        <v>6.2</v>
      </c>
      <c r="X82" s="1">
        <v>8.6</v>
      </c>
      <c r="Y82" s="1">
        <v>13.2</v>
      </c>
      <c r="Z82" s="1">
        <v>15.8</v>
      </c>
      <c r="AA82" s="1">
        <v>14.4</v>
      </c>
      <c r="AB82" s="1">
        <v>6.6</v>
      </c>
      <c r="AC82" s="1">
        <v>0</v>
      </c>
      <c r="AD82" s="1">
        <v>6.2</v>
      </c>
      <c r="AE82" s="19" t="s">
        <v>47</v>
      </c>
      <c r="AF82" s="1">
        <f t="shared" si="25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130</v>
      </c>
      <c r="B83" s="1" t="s">
        <v>42</v>
      </c>
      <c r="C83" s="1">
        <v>24</v>
      </c>
      <c r="D83" s="1">
        <v>199</v>
      </c>
      <c r="E83" s="1">
        <v>36</v>
      </c>
      <c r="F83" s="1">
        <v>175</v>
      </c>
      <c r="G83" s="8">
        <v>0.05</v>
      </c>
      <c r="H83" s="1">
        <v>90</v>
      </c>
      <c r="I83" s="1" t="s">
        <v>37</v>
      </c>
      <c r="J83" s="1"/>
      <c r="K83" s="1">
        <v>36</v>
      </c>
      <c r="L83" s="1">
        <f t="shared" si="17"/>
        <v>0</v>
      </c>
      <c r="M83" s="1">
        <f t="shared" si="18"/>
        <v>36</v>
      </c>
      <c r="N83" s="1"/>
      <c r="O83" s="1">
        <v>0</v>
      </c>
      <c r="P83" s="1">
        <v>0</v>
      </c>
      <c r="Q83" s="1">
        <f t="shared" si="19"/>
        <v>7.2</v>
      </c>
      <c r="R83" s="5"/>
      <c r="S83" s="5"/>
      <c r="T83" s="1"/>
      <c r="U83" s="1">
        <f t="shared" si="20"/>
        <v>24.305555555555554</v>
      </c>
      <c r="V83" s="1">
        <f t="shared" si="21"/>
        <v>24.305555555555554</v>
      </c>
      <c r="W83" s="1">
        <v>5.4</v>
      </c>
      <c r="X83" s="1">
        <v>3.2</v>
      </c>
      <c r="Y83" s="1">
        <v>8.8000000000000007</v>
      </c>
      <c r="Z83" s="1">
        <v>13.6</v>
      </c>
      <c r="AA83" s="1">
        <v>5.4</v>
      </c>
      <c r="AB83" s="1">
        <v>0</v>
      </c>
      <c r="AC83" s="1">
        <v>0</v>
      </c>
      <c r="AD83" s="1">
        <v>0</v>
      </c>
      <c r="AE83" s="20" t="s">
        <v>155</v>
      </c>
      <c r="AF83" s="1">
        <f t="shared" si="25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131</v>
      </c>
      <c r="B84" s="1" t="s">
        <v>42</v>
      </c>
      <c r="C84" s="1">
        <v>196</v>
      </c>
      <c r="D84" s="1">
        <v>73</v>
      </c>
      <c r="E84" s="1">
        <v>32</v>
      </c>
      <c r="F84" s="1">
        <v>228</v>
      </c>
      <c r="G84" s="8">
        <v>5.5E-2</v>
      </c>
      <c r="H84" s="1">
        <v>90</v>
      </c>
      <c r="I84" s="1" t="s">
        <v>37</v>
      </c>
      <c r="J84" s="1"/>
      <c r="K84" s="1">
        <v>32</v>
      </c>
      <c r="L84" s="1">
        <f t="shared" si="17"/>
        <v>0</v>
      </c>
      <c r="M84" s="1">
        <f t="shared" si="18"/>
        <v>32</v>
      </c>
      <c r="N84" s="1"/>
      <c r="O84" s="1">
        <v>0</v>
      </c>
      <c r="P84" s="1">
        <v>0</v>
      </c>
      <c r="Q84" s="1">
        <f t="shared" si="19"/>
        <v>6.4</v>
      </c>
      <c r="R84" s="5"/>
      <c r="S84" s="5"/>
      <c r="T84" s="1"/>
      <c r="U84" s="1">
        <f t="shared" si="20"/>
        <v>35.625</v>
      </c>
      <c r="V84" s="1">
        <f t="shared" si="21"/>
        <v>35.625</v>
      </c>
      <c r="W84" s="1">
        <v>4.4000000000000004</v>
      </c>
      <c r="X84" s="1">
        <v>9.6</v>
      </c>
      <c r="Y84" s="1">
        <v>15.4</v>
      </c>
      <c r="Z84" s="1">
        <v>12</v>
      </c>
      <c r="AA84" s="1">
        <v>4.5999999999999996</v>
      </c>
      <c r="AB84" s="1">
        <v>13.2</v>
      </c>
      <c r="AC84" s="1">
        <v>24.8</v>
      </c>
      <c r="AD84" s="1">
        <v>12</v>
      </c>
      <c r="AE84" s="28" t="s">
        <v>58</v>
      </c>
      <c r="AF84" s="1">
        <f t="shared" si="25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1" t="s">
        <v>132</v>
      </c>
      <c r="B85" s="11" t="s">
        <v>42</v>
      </c>
      <c r="C85" s="11">
        <v>38</v>
      </c>
      <c r="D85" s="11">
        <v>21</v>
      </c>
      <c r="E85" s="11"/>
      <c r="F85" s="11">
        <v>17</v>
      </c>
      <c r="G85" s="12">
        <v>0</v>
      </c>
      <c r="H85" s="11">
        <v>120</v>
      </c>
      <c r="I85" s="11" t="s">
        <v>133</v>
      </c>
      <c r="J85" s="11"/>
      <c r="K85" s="11"/>
      <c r="L85" s="11">
        <f t="shared" si="17"/>
        <v>0</v>
      </c>
      <c r="M85" s="11">
        <f t="shared" si="18"/>
        <v>0</v>
      </c>
      <c r="N85" s="11"/>
      <c r="O85" s="11">
        <v>0</v>
      </c>
      <c r="P85" s="11">
        <v>0</v>
      </c>
      <c r="Q85" s="11">
        <f t="shared" si="19"/>
        <v>0</v>
      </c>
      <c r="R85" s="13"/>
      <c r="S85" s="13"/>
      <c r="T85" s="11"/>
      <c r="U85" s="11" t="e">
        <f t="shared" si="20"/>
        <v>#DIV/0!</v>
      </c>
      <c r="V85" s="11" t="e">
        <f t="shared" si="21"/>
        <v>#DIV/0!</v>
      </c>
      <c r="W85" s="11">
        <v>0.8</v>
      </c>
      <c r="X85" s="11">
        <v>1.4</v>
      </c>
      <c r="Y85" s="11">
        <v>0.6</v>
      </c>
      <c r="Z85" s="11">
        <v>0</v>
      </c>
      <c r="AA85" s="11">
        <v>1.4</v>
      </c>
      <c r="AB85" s="11">
        <v>1.4</v>
      </c>
      <c r="AC85" s="11">
        <v>0</v>
      </c>
      <c r="AD85" s="11">
        <v>0</v>
      </c>
      <c r="AE85" s="11" t="s">
        <v>134</v>
      </c>
      <c r="AF85" s="1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22" t="s">
        <v>135</v>
      </c>
      <c r="B86" s="22" t="s">
        <v>36</v>
      </c>
      <c r="C86" s="22">
        <v>4233.54</v>
      </c>
      <c r="D86" s="22">
        <v>6563.55</v>
      </c>
      <c r="E86" s="22">
        <v>4420.5320000000002</v>
      </c>
      <c r="F86" s="22">
        <v>5542.9390000000003</v>
      </c>
      <c r="G86" s="23">
        <v>1</v>
      </c>
      <c r="H86" s="22">
        <v>40</v>
      </c>
      <c r="I86" s="22" t="s">
        <v>37</v>
      </c>
      <c r="J86" s="22"/>
      <c r="K86" s="22">
        <v>4188.6880000000001</v>
      </c>
      <c r="L86" s="22">
        <f t="shared" si="17"/>
        <v>231.84400000000005</v>
      </c>
      <c r="M86" s="22">
        <f t="shared" si="18"/>
        <v>4393.3339999999998</v>
      </c>
      <c r="N86" s="22">
        <v>27.198</v>
      </c>
      <c r="O86" s="22">
        <v>0</v>
      </c>
      <c r="P86" s="22">
        <v>3002.1289599999968</v>
      </c>
      <c r="Q86" s="22">
        <f t="shared" si="19"/>
        <v>878.66679999999997</v>
      </c>
      <c r="R86" s="24">
        <f>12*Q86-P86-F86</f>
        <v>1998.9336400000029</v>
      </c>
      <c r="S86" s="24"/>
      <c r="T86" s="22"/>
      <c r="U86" s="22">
        <f t="shared" si="20"/>
        <v>12</v>
      </c>
      <c r="V86" s="22">
        <f t="shared" si="21"/>
        <v>9.7250379324676857</v>
      </c>
      <c r="W86" s="22">
        <v>853.15179999999998</v>
      </c>
      <c r="X86" s="22">
        <v>861.34960000000012</v>
      </c>
      <c r="Y86" s="22">
        <v>927.4846</v>
      </c>
      <c r="Z86" s="22">
        <v>944.47799999999984</v>
      </c>
      <c r="AA86" s="22">
        <v>882.18520000000012</v>
      </c>
      <c r="AB86" s="22">
        <v>912.96560000000011</v>
      </c>
      <c r="AC86" s="22">
        <v>946.16700000000003</v>
      </c>
      <c r="AD86" s="22">
        <v>894.69320000000005</v>
      </c>
      <c r="AE86" s="22" t="s">
        <v>50</v>
      </c>
      <c r="AF86" s="22">
        <f t="shared" ref="AF86:AF92" si="26">G86*R86</f>
        <v>1998.9336400000029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7" t="s">
        <v>136</v>
      </c>
      <c r="B87" s="1" t="s">
        <v>42</v>
      </c>
      <c r="C87" s="1"/>
      <c r="D87" s="1"/>
      <c r="E87" s="1"/>
      <c r="F87" s="1"/>
      <c r="G87" s="8">
        <v>0.4</v>
      </c>
      <c r="H87" s="1">
        <v>40</v>
      </c>
      <c r="I87" s="1" t="s">
        <v>37</v>
      </c>
      <c r="J87" s="1"/>
      <c r="K87" s="1"/>
      <c r="L87" s="1">
        <f t="shared" si="17"/>
        <v>0</v>
      </c>
      <c r="M87" s="1">
        <f t="shared" si="18"/>
        <v>0</v>
      </c>
      <c r="N87" s="1"/>
      <c r="O87" s="1">
        <v>0</v>
      </c>
      <c r="P87" s="1">
        <v>200</v>
      </c>
      <c r="Q87" s="1">
        <f t="shared" si="19"/>
        <v>0</v>
      </c>
      <c r="R87" s="5"/>
      <c r="S87" s="5"/>
      <c r="T87" s="1"/>
      <c r="U87" s="1" t="e">
        <f t="shared" si="20"/>
        <v>#DIV/0!</v>
      </c>
      <c r="V87" s="1" t="e">
        <f t="shared" si="21"/>
        <v>#DIV/0!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137</v>
      </c>
      <c r="AF87" s="1">
        <f t="shared" si="26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7" t="s">
        <v>138</v>
      </c>
      <c r="B88" s="1" t="s">
        <v>36</v>
      </c>
      <c r="C88" s="1"/>
      <c r="D88" s="1"/>
      <c r="E88" s="1"/>
      <c r="F88" s="1"/>
      <c r="G88" s="8">
        <v>1</v>
      </c>
      <c r="H88" s="1">
        <v>40</v>
      </c>
      <c r="I88" s="1" t="s">
        <v>37</v>
      </c>
      <c r="J88" s="1"/>
      <c r="K88" s="1"/>
      <c r="L88" s="1">
        <f t="shared" si="17"/>
        <v>0</v>
      </c>
      <c r="M88" s="1">
        <f t="shared" si="18"/>
        <v>0</v>
      </c>
      <c r="N88" s="1"/>
      <c r="O88" s="1">
        <v>0</v>
      </c>
      <c r="P88" s="1">
        <v>50</v>
      </c>
      <c r="Q88" s="1">
        <f t="shared" si="19"/>
        <v>0</v>
      </c>
      <c r="R88" s="5"/>
      <c r="S88" s="5"/>
      <c r="T88" s="1"/>
      <c r="U88" s="1" t="e">
        <f t="shared" si="20"/>
        <v>#DIV/0!</v>
      </c>
      <c r="V88" s="1" t="e">
        <f t="shared" si="21"/>
        <v>#DIV/0!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137</v>
      </c>
      <c r="AF88" s="1">
        <f t="shared" si="26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7" t="s">
        <v>139</v>
      </c>
      <c r="B89" s="1" t="s">
        <v>36</v>
      </c>
      <c r="C89" s="1"/>
      <c r="D89" s="1"/>
      <c r="E89" s="1"/>
      <c r="F89" s="1"/>
      <c r="G89" s="8">
        <v>1</v>
      </c>
      <c r="H89" s="1">
        <v>40</v>
      </c>
      <c r="I89" s="1" t="s">
        <v>37</v>
      </c>
      <c r="J89" s="1"/>
      <c r="K89" s="1"/>
      <c r="L89" s="1">
        <f t="shared" si="17"/>
        <v>0</v>
      </c>
      <c r="M89" s="1">
        <f t="shared" si="18"/>
        <v>0</v>
      </c>
      <c r="N89" s="1"/>
      <c r="O89" s="1">
        <v>0</v>
      </c>
      <c r="P89" s="1">
        <v>50</v>
      </c>
      <c r="Q89" s="1">
        <f t="shared" si="19"/>
        <v>0</v>
      </c>
      <c r="R89" s="5"/>
      <c r="S89" s="5"/>
      <c r="T89" s="1"/>
      <c r="U89" s="1" t="e">
        <f t="shared" si="20"/>
        <v>#DIV/0!</v>
      </c>
      <c r="V89" s="1" t="e">
        <f t="shared" si="21"/>
        <v>#DIV/0!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137</v>
      </c>
      <c r="AF89" s="1">
        <f t="shared" si="26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140</v>
      </c>
      <c r="B90" s="1" t="s">
        <v>36</v>
      </c>
      <c r="C90" s="1">
        <v>77.364999999999995</v>
      </c>
      <c r="D90" s="1"/>
      <c r="E90" s="1">
        <v>10.757</v>
      </c>
      <c r="F90" s="1">
        <v>66.489999999999995</v>
      </c>
      <c r="G90" s="8">
        <v>1</v>
      </c>
      <c r="H90" s="1">
        <v>60</v>
      </c>
      <c r="I90" s="1" t="s">
        <v>37</v>
      </c>
      <c r="J90" s="1"/>
      <c r="K90" s="1">
        <v>8.3000000000000007</v>
      </c>
      <c r="L90" s="1">
        <f t="shared" si="17"/>
        <v>2.456999999999999</v>
      </c>
      <c r="M90" s="1">
        <f t="shared" si="18"/>
        <v>10.757</v>
      </c>
      <c r="N90" s="1"/>
      <c r="O90" s="1">
        <v>0</v>
      </c>
      <c r="P90" s="1">
        <v>0</v>
      </c>
      <c r="Q90" s="1">
        <f t="shared" si="19"/>
        <v>2.1513999999999998</v>
      </c>
      <c r="R90" s="5"/>
      <c r="S90" s="5"/>
      <c r="T90" s="1"/>
      <c r="U90" s="1">
        <f t="shared" si="20"/>
        <v>30.905456911778376</v>
      </c>
      <c r="V90" s="1">
        <f t="shared" si="21"/>
        <v>30.905456911778376</v>
      </c>
      <c r="W90" s="1">
        <v>1.7951999999999999</v>
      </c>
      <c r="X90" s="1">
        <v>10.064399999999999</v>
      </c>
      <c r="Y90" s="1">
        <v>10.785399999999999</v>
      </c>
      <c r="Z90" s="1">
        <v>3.2477999999999998</v>
      </c>
      <c r="AA90" s="1">
        <v>12.617599999999999</v>
      </c>
      <c r="AB90" s="1">
        <v>12.8156</v>
      </c>
      <c r="AC90" s="1">
        <v>4.1571999999999996</v>
      </c>
      <c r="AD90" s="1">
        <v>7.2123999999999997</v>
      </c>
      <c r="AE90" s="20" t="s">
        <v>152</v>
      </c>
      <c r="AF90" s="1">
        <f t="shared" si="26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141</v>
      </c>
      <c r="B91" s="1" t="s">
        <v>42</v>
      </c>
      <c r="C91" s="1">
        <v>283</v>
      </c>
      <c r="D91" s="1">
        <v>214</v>
      </c>
      <c r="E91" s="1">
        <v>177</v>
      </c>
      <c r="F91" s="1">
        <v>141</v>
      </c>
      <c r="G91" s="8">
        <v>0.3</v>
      </c>
      <c r="H91" s="1">
        <v>40</v>
      </c>
      <c r="I91" s="1" t="s">
        <v>37</v>
      </c>
      <c r="J91" s="1"/>
      <c r="K91" s="1">
        <v>180</v>
      </c>
      <c r="L91" s="1">
        <f t="shared" si="17"/>
        <v>-3</v>
      </c>
      <c r="M91" s="1">
        <f t="shared" si="18"/>
        <v>177</v>
      </c>
      <c r="N91" s="1"/>
      <c r="O91" s="1">
        <v>0</v>
      </c>
      <c r="P91" s="1">
        <v>111.8</v>
      </c>
      <c r="Q91" s="1">
        <f t="shared" si="19"/>
        <v>35.4</v>
      </c>
      <c r="R91" s="5">
        <f t="shared" ref="R91:R92" si="27">11*Q91-P91-F91</f>
        <v>136.59999999999997</v>
      </c>
      <c r="S91" s="5"/>
      <c r="T91" s="1"/>
      <c r="U91" s="1">
        <f t="shared" si="20"/>
        <v>11</v>
      </c>
      <c r="V91" s="1">
        <f t="shared" si="21"/>
        <v>7.1412429378531082</v>
      </c>
      <c r="W91" s="1">
        <v>30.6</v>
      </c>
      <c r="X91" s="1">
        <v>26.8</v>
      </c>
      <c r="Y91" s="1">
        <v>22.6</v>
      </c>
      <c r="Z91" s="1">
        <v>25.6</v>
      </c>
      <c r="AA91" s="1">
        <v>28.6</v>
      </c>
      <c r="AB91" s="1">
        <v>33</v>
      </c>
      <c r="AC91" s="1">
        <v>37.4</v>
      </c>
      <c r="AD91" s="1">
        <v>33.6</v>
      </c>
      <c r="AE91" s="1"/>
      <c r="AF91" s="1">
        <f t="shared" si="26"/>
        <v>40.97999999999999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142</v>
      </c>
      <c r="B92" s="1" t="s">
        <v>42</v>
      </c>
      <c r="C92" s="1">
        <v>154</v>
      </c>
      <c r="D92" s="1">
        <v>164</v>
      </c>
      <c r="E92" s="1">
        <v>97</v>
      </c>
      <c r="F92" s="1">
        <v>110</v>
      </c>
      <c r="G92" s="8">
        <v>0.3</v>
      </c>
      <c r="H92" s="1">
        <v>40</v>
      </c>
      <c r="I92" s="1" t="s">
        <v>37</v>
      </c>
      <c r="J92" s="1"/>
      <c r="K92" s="1">
        <v>100</v>
      </c>
      <c r="L92" s="1">
        <f t="shared" si="17"/>
        <v>-3</v>
      </c>
      <c r="M92" s="1">
        <f t="shared" si="18"/>
        <v>97</v>
      </c>
      <c r="N92" s="1"/>
      <c r="O92" s="1">
        <v>0</v>
      </c>
      <c r="P92" s="1">
        <v>45.800000000000011</v>
      </c>
      <c r="Q92" s="1">
        <f t="shared" si="19"/>
        <v>19.399999999999999</v>
      </c>
      <c r="R92" s="5">
        <f t="shared" si="27"/>
        <v>57.599999999999966</v>
      </c>
      <c r="S92" s="5"/>
      <c r="T92" s="1"/>
      <c r="U92" s="1">
        <f t="shared" si="20"/>
        <v>11</v>
      </c>
      <c r="V92" s="1">
        <f t="shared" si="21"/>
        <v>8.0309278350515481</v>
      </c>
      <c r="W92" s="1">
        <v>18.600000000000001</v>
      </c>
      <c r="X92" s="1">
        <v>18.8</v>
      </c>
      <c r="Y92" s="1">
        <v>17.399999999999999</v>
      </c>
      <c r="Z92" s="1">
        <v>15.2</v>
      </c>
      <c r="AA92" s="1">
        <v>16</v>
      </c>
      <c r="AB92" s="1">
        <v>19.600000000000001</v>
      </c>
      <c r="AC92" s="1">
        <v>21.4</v>
      </c>
      <c r="AD92" s="1">
        <v>22.8</v>
      </c>
      <c r="AE92" s="1" t="s">
        <v>143</v>
      </c>
      <c r="AF92" s="1">
        <f t="shared" si="26"/>
        <v>17.27999999999999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1" t="s">
        <v>144</v>
      </c>
      <c r="B93" s="11" t="s">
        <v>36</v>
      </c>
      <c r="C93" s="11">
        <v>6.8310000000000004</v>
      </c>
      <c r="D93" s="11"/>
      <c r="E93" s="11"/>
      <c r="F93" s="11">
        <v>-6.8310000000000004</v>
      </c>
      <c r="G93" s="12">
        <v>0</v>
      </c>
      <c r="H93" s="11">
        <v>45</v>
      </c>
      <c r="I93" s="11" t="s">
        <v>133</v>
      </c>
      <c r="J93" s="11"/>
      <c r="K93" s="11"/>
      <c r="L93" s="11">
        <f t="shared" si="17"/>
        <v>0</v>
      </c>
      <c r="M93" s="11">
        <f t="shared" si="18"/>
        <v>0</v>
      </c>
      <c r="N93" s="11"/>
      <c r="O93" s="11">
        <v>0</v>
      </c>
      <c r="P93" s="11">
        <v>0</v>
      </c>
      <c r="Q93" s="11">
        <f t="shared" si="19"/>
        <v>0</v>
      </c>
      <c r="R93" s="13"/>
      <c r="S93" s="13"/>
      <c r="T93" s="11"/>
      <c r="U93" s="11" t="e">
        <f t="shared" si="20"/>
        <v>#DIV/0!</v>
      </c>
      <c r="V93" s="11" t="e">
        <f t="shared" si="21"/>
        <v>#DIV/0!</v>
      </c>
      <c r="W93" s="11">
        <v>0</v>
      </c>
      <c r="X93" s="11">
        <v>0</v>
      </c>
      <c r="Y93" s="11">
        <v>0.5444</v>
      </c>
      <c r="Z93" s="11">
        <v>0.5444</v>
      </c>
      <c r="AA93" s="11">
        <v>0.54059999999999997</v>
      </c>
      <c r="AB93" s="11">
        <v>0.8103999999999999</v>
      </c>
      <c r="AC93" s="11">
        <v>0.53459999999999996</v>
      </c>
      <c r="AD93" s="11">
        <v>0.81259999999999999</v>
      </c>
      <c r="AE93" s="11" t="s">
        <v>145</v>
      </c>
      <c r="AF93" s="1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146</v>
      </c>
      <c r="B94" s="1" t="s">
        <v>36</v>
      </c>
      <c r="C94" s="1">
        <v>63.298000000000002</v>
      </c>
      <c r="D94" s="1">
        <v>87.263999999999996</v>
      </c>
      <c r="E94" s="1">
        <v>63.981000000000002</v>
      </c>
      <c r="F94" s="1">
        <v>41.511000000000003</v>
      </c>
      <c r="G94" s="8">
        <v>1</v>
      </c>
      <c r="H94" s="1">
        <v>50</v>
      </c>
      <c r="I94" s="1" t="s">
        <v>37</v>
      </c>
      <c r="J94" s="1"/>
      <c r="K94" s="1">
        <v>61.7</v>
      </c>
      <c r="L94" s="1">
        <f t="shared" si="17"/>
        <v>2.2809999999999988</v>
      </c>
      <c r="M94" s="1">
        <f t="shared" si="18"/>
        <v>63.981000000000002</v>
      </c>
      <c r="N94" s="1"/>
      <c r="O94" s="1">
        <v>0</v>
      </c>
      <c r="P94" s="1">
        <v>0</v>
      </c>
      <c r="Q94" s="1">
        <f t="shared" si="19"/>
        <v>12.796200000000001</v>
      </c>
      <c r="R94" s="5">
        <f>9*Q94-P94-F94</f>
        <v>73.654799999999994</v>
      </c>
      <c r="S94" s="5"/>
      <c r="T94" s="1"/>
      <c r="U94" s="1">
        <f t="shared" si="20"/>
        <v>8.9999999999999982</v>
      </c>
      <c r="V94" s="1">
        <f t="shared" si="21"/>
        <v>3.2440099404510714</v>
      </c>
      <c r="W94" s="1">
        <v>7.5626000000000007</v>
      </c>
      <c r="X94" s="1">
        <v>7.8322000000000003</v>
      </c>
      <c r="Y94" s="1">
        <v>9.8015999999999988</v>
      </c>
      <c r="Z94" s="1">
        <v>9.9578000000000007</v>
      </c>
      <c r="AA94" s="1">
        <v>9.7151999999999994</v>
      </c>
      <c r="AB94" s="1">
        <v>12.219799999999999</v>
      </c>
      <c r="AC94" s="1">
        <v>11.417</v>
      </c>
      <c r="AD94" s="1">
        <v>12.0762</v>
      </c>
      <c r="AE94" s="1"/>
      <c r="AF94" s="1">
        <f>G94*R94</f>
        <v>73.654799999999994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147</v>
      </c>
      <c r="B95" s="1" t="s">
        <v>42</v>
      </c>
      <c r="C95" s="1">
        <v>28</v>
      </c>
      <c r="D95" s="1">
        <v>30</v>
      </c>
      <c r="E95" s="1">
        <v>13</v>
      </c>
      <c r="F95" s="1">
        <v>27</v>
      </c>
      <c r="G95" s="8">
        <v>0.3</v>
      </c>
      <c r="H95" s="1">
        <v>40</v>
      </c>
      <c r="I95" s="1" t="s">
        <v>37</v>
      </c>
      <c r="J95" s="1"/>
      <c r="K95" s="1">
        <v>14</v>
      </c>
      <c r="L95" s="1">
        <f t="shared" si="17"/>
        <v>-1</v>
      </c>
      <c r="M95" s="1">
        <f t="shared" si="18"/>
        <v>13</v>
      </c>
      <c r="N95" s="1"/>
      <c r="O95" s="1">
        <v>0</v>
      </c>
      <c r="P95" s="1">
        <v>11.6</v>
      </c>
      <c r="Q95" s="1">
        <f t="shared" si="19"/>
        <v>2.6</v>
      </c>
      <c r="R95" s="5"/>
      <c r="S95" s="5"/>
      <c r="T95" s="1"/>
      <c r="U95" s="1">
        <f t="shared" si="20"/>
        <v>14.846153846153847</v>
      </c>
      <c r="V95" s="1">
        <f t="shared" si="21"/>
        <v>14.846153846153847</v>
      </c>
      <c r="W95" s="1">
        <v>3.8</v>
      </c>
      <c r="X95" s="1">
        <v>4.2</v>
      </c>
      <c r="Y95" s="1">
        <v>3.6</v>
      </c>
      <c r="Z95" s="1">
        <v>3.6</v>
      </c>
      <c r="AA95" s="1">
        <v>4.5999999999999996</v>
      </c>
      <c r="AB95" s="1">
        <v>4.2</v>
      </c>
      <c r="AC95" s="1">
        <v>2.8</v>
      </c>
      <c r="AD95" s="1">
        <v>2</v>
      </c>
      <c r="AE95" s="1"/>
      <c r="AF95" s="1">
        <f>G95*R95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148</v>
      </c>
      <c r="B96" s="1" t="s">
        <v>42</v>
      </c>
      <c r="C96" s="1">
        <v>96</v>
      </c>
      <c r="D96" s="1">
        <v>57</v>
      </c>
      <c r="E96" s="1">
        <v>37</v>
      </c>
      <c r="F96" s="1">
        <v>72</v>
      </c>
      <c r="G96" s="8">
        <v>0.12</v>
      </c>
      <c r="H96" s="1">
        <v>45</v>
      </c>
      <c r="I96" s="1" t="s">
        <v>37</v>
      </c>
      <c r="J96" s="1"/>
      <c r="K96" s="1">
        <v>38</v>
      </c>
      <c r="L96" s="1">
        <f t="shared" si="17"/>
        <v>-1</v>
      </c>
      <c r="M96" s="1">
        <f t="shared" si="18"/>
        <v>37</v>
      </c>
      <c r="N96" s="1"/>
      <c r="O96" s="1">
        <v>0</v>
      </c>
      <c r="P96" s="1">
        <v>0</v>
      </c>
      <c r="Q96" s="1">
        <f t="shared" si="19"/>
        <v>7.4</v>
      </c>
      <c r="R96" s="5">
        <f t="shared" ref="R96" si="28">11*Q96-P96-F96</f>
        <v>9.4000000000000057</v>
      </c>
      <c r="S96" s="5"/>
      <c r="T96" s="1"/>
      <c r="U96" s="1">
        <f t="shared" si="20"/>
        <v>11</v>
      </c>
      <c r="V96" s="1">
        <f t="shared" si="21"/>
        <v>9.7297297297297298</v>
      </c>
      <c r="W96" s="1">
        <v>6.8</v>
      </c>
      <c r="X96" s="1">
        <v>7.4</v>
      </c>
      <c r="Y96" s="1">
        <v>10.4</v>
      </c>
      <c r="Z96" s="1">
        <v>11.4</v>
      </c>
      <c r="AA96" s="1">
        <v>11.6</v>
      </c>
      <c r="AB96" s="1">
        <v>14.6</v>
      </c>
      <c r="AC96" s="1">
        <v>8</v>
      </c>
      <c r="AD96" s="1">
        <v>4</v>
      </c>
      <c r="AE96" s="1" t="s">
        <v>149</v>
      </c>
      <c r="AF96" s="1">
        <f>G96*R96</f>
        <v>1.1280000000000006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150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17"/>
        <v>0</v>
      </c>
      <c r="M97" s="1">
        <f t="shared" si="18"/>
        <v>0</v>
      </c>
      <c r="N97" s="1"/>
      <c r="O97" s="1">
        <v>0</v>
      </c>
      <c r="P97" s="10"/>
      <c r="Q97" s="1">
        <f t="shared" si="19"/>
        <v>0</v>
      </c>
      <c r="R97" s="18">
        <v>4</v>
      </c>
      <c r="S97" s="5"/>
      <c r="T97" s="1"/>
      <c r="U97" s="1" t="e">
        <f t="shared" si="20"/>
        <v>#DIV/0!</v>
      </c>
      <c r="V97" s="1" t="e">
        <f t="shared" si="21"/>
        <v>#DIV/0!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0" t="s">
        <v>151</v>
      </c>
      <c r="AF97" s="1">
        <f>G97*R97</f>
        <v>4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97" xr:uid="{F6FE75B2-69EC-4057-A349-692D2D315A0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2025-11-06T11:40:23Z</dcterms:created>
  <dcterms:modified xsi:type="dcterms:W3CDTF">2025-11-06T12:09:57Z</dcterms:modified>
</cp:coreProperties>
</file>