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E109603D-7E43-405A-906D-122F6604842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Z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X422" i="2"/>
  <c r="X421" i="2"/>
  <c r="BO420" i="2"/>
  <c r="BM420" i="2"/>
  <c r="Y420" i="2"/>
  <c r="P420" i="2"/>
  <c r="BO419" i="2"/>
  <c r="BM419" i="2"/>
  <c r="Y419" i="2"/>
  <c r="BP419" i="2" s="1"/>
  <c r="P419" i="2"/>
  <c r="BO418" i="2"/>
  <c r="BM418" i="2"/>
  <c r="Y418" i="2"/>
  <c r="P418" i="2"/>
  <c r="X415" i="2"/>
  <c r="X414" i="2"/>
  <c r="BO413" i="2"/>
  <c r="BM413" i="2"/>
  <c r="Y413" i="2"/>
  <c r="BP413" i="2" s="1"/>
  <c r="BO412" i="2"/>
  <c r="BM412" i="2"/>
  <c r="Y412" i="2"/>
  <c r="BN412" i="2" s="1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P405" i="2"/>
  <c r="X403" i="2"/>
  <c r="X402" i="2"/>
  <c r="BO401" i="2"/>
  <c r="BM401" i="2"/>
  <c r="Y401" i="2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P394" i="2"/>
  <c r="BO393" i="2"/>
  <c r="BM393" i="2"/>
  <c r="Y393" i="2"/>
  <c r="P393" i="2"/>
  <c r="BO392" i="2"/>
  <c r="BM392" i="2"/>
  <c r="Y392" i="2"/>
  <c r="Y396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P354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Z333" i="2" s="1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X320" i="2"/>
  <c r="BO319" i="2"/>
  <c r="BM319" i="2"/>
  <c r="Y319" i="2"/>
  <c r="BN319" i="2" s="1"/>
  <c r="P319" i="2"/>
  <c r="BO318" i="2"/>
  <c r="BM318" i="2"/>
  <c r="Y318" i="2"/>
  <c r="P318" i="2"/>
  <c r="BO317" i="2"/>
  <c r="BM317" i="2"/>
  <c r="Y317" i="2"/>
  <c r="Y320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N233" i="2" s="1"/>
  <c r="P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O206" i="2"/>
  <c r="BM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P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P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Z135" i="2" s="1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P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Y80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BP67" i="2" s="1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Z94" i="2" l="1"/>
  <c r="BN94" i="2"/>
  <c r="Z101" i="2"/>
  <c r="BN101" i="2"/>
  <c r="Z344" i="2"/>
  <c r="BP22" i="2"/>
  <c r="Y25" i="2"/>
  <c r="Z217" i="2"/>
  <c r="Z218" i="2" s="1"/>
  <c r="Z288" i="2"/>
  <c r="BN288" i="2"/>
  <c r="Z299" i="2"/>
  <c r="Z50" i="2"/>
  <c r="BN50" i="2"/>
  <c r="Z241" i="2"/>
  <c r="Z38" i="2"/>
  <c r="BN38" i="2"/>
  <c r="Z84" i="2"/>
  <c r="BN84" i="2"/>
  <c r="Z180" i="2"/>
  <c r="Z232" i="2"/>
  <c r="Z258" i="2"/>
  <c r="BP319" i="2"/>
  <c r="Z327" i="2"/>
  <c r="Z356" i="2"/>
  <c r="Z474" i="2"/>
  <c r="Z31" i="2"/>
  <c r="BN31" i="2"/>
  <c r="Z67" i="2"/>
  <c r="BN67" i="2"/>
  <c r="Z112" i="2"/>
  <c r="Z170" i="2"/>
  <c r="Z210" i="2"/>
  <c r="BN210" i="2"/>
  <c r="Z223" i="2"/>
  <c r="BN223" i="2"/>
  <c r="Z234" i="2"/>
  <c r="Y254" i="2"/>
  <c r="Z274" i="2"/>
  <c r="Z309" i="2"/>
  <c r="Z310" i="2" s="1"/>
  <c r="Y310" i="2"/>
  <c r="Y311" i="2"/>
  <c r="Z363" i="2"/>
  <c r="Z375" i="2"/>
  <c r="Z388" i="2"/>
  <c r="Z406" i="2"/>
  <c r="BN406" i="2"/>
  <c r="Z512" i="2"/>
  <c r="BN512" i="2"/>
  <c r="Z513" i="2"/>
  <c r="BN27" i="2"/>
  <c r="BN37" i="2"/>
  <c r="BN39" i="2"/>
  <c r="BN85" i="2"/>
  <c r="BP109" i="2"/>
  <c r="BN109" i="2"/>
  <c r="Z109" i="2"/>
  <c r="BN138" i="2"/>
  <c r="Z138" i="2"/>
  <c r="BN144" i="2"/>
  <c r="Z144" i="2"/>
  <c r="BN155" i="2"/>
  <c r="Z155" i="2"/>
  <c r="BN176" i="2"/>
  <c r="Z176" i="2"/>
  <c r="BP206" i="2"/>
  <c r="BN206" i="2"/>
  <c r="Z206" i="2"/>
  <c r="BN257" i="2"/>
  <c r="Z257" i="2"/>
  <c r="BN280" i="2"/>
  <c r="Z280" i="2"/>
  <c r="BP301" i="2"/>
  <c r="BN301" i="2"/>
  <c r="Z301" i="2"/>
  <c r="BN335" i="2"/>
  <c r="Z335" i="2"/>
  <c r="BN343" i="2"/>
  <c r="Z343" i="2"/>
  <c r="BN355" i="2"/>
  <c r="BP355" i="2"/>
  <c r="BN364" i="2"/>
  <c r="Z364" i="2"/>
  <c r="BP373" i="2"/>
  <c r="Z373" i="2"/>
  <c r="BP387" i="2"/>
  <c r="Z387" i="2"/>
  <c r="BN401" i="2"/>
  <c r="BP401" i="2"/>
  <c r="BP443" i="2"/>
  <c r="Z443" i="2"/>
  <c r="BP456" i="2"/>
  <c r="BN456" i="2"/>
  <c r="Z456" i="2"/>
  <c r="BN505" i="2"/>
  <c r="BP519" i="2"/>
  <c r="Z519" i="2"/>
  <c r="Y530" i="2"/>
  <c r="BP529" i="2"/>
  <c r="Y535" i="2"/>
  <c r="BN533" i="2"/>
  <c r="Z533" i="2"/>
  <c r="Z534" i="2" s="1"/>
  <c r="Z48" i="2"/>
  <c r="Z57" i="2"/>
  <c r="BN57" i="2"/>
  <c r="Z78" i="2"/>
  <c r="BN78" i="2"/>
  <c r="BP78" i="2"/>
  <c r="Z92" i="2"/>
  <c r="BP113" i="2"/>
  <c r="Z113" i="2"/>
  <c r="BN119" i="2"/>
  <c r="Z119" i="2"/>
  <c r="BP138" i="2"/>
  <c r="BN142" i="2"/>
  <c r="Z142" i="2"/>
  <c r="BP144" i="2"/>
  <c r="I564" i="2"/>
  <c r="BN150" i="2"/>
  <c r="Z150" i="2"/>
  <c r="BN153" i="2"/>
  <c r="Z153" i="2"/>
  <c r="BP155" i="2"/>
  <c r="BP166" i="2"/>
  <c r="BN166" i="2"/>
  <c r="Z166" i="2"/>
  <c r="BP176" i="2"/>
  <c r="BP178" i="2"/>
  <c r="BN178" i="2"/>
  <c r="Z178" i="2"/>
  <c r="BN212" i="2"/>
  <c r="BP212" i="2"/>
  <c r="BP225" i="2"/>
  <c r="Z225" i="2"/>
  <c r="BN238" i="2"/>
  <c r="BP268" i="2"/>
  <c r="Z268" i="2"/>
  <c r="BP280" i="2"/>
  <c r="BP284" i="2"/>
  <c r="BN284" i="2"/>
  <c r="Z284" i="2"/>
  <c r="BP317" i="2"/>
  <c r="BN317" i="2"/>
  <c r="Z317" i="2"/>
  <c r="BP335" i="2"/>
  <c r="BN342" i="2"/>
  <c r="Z342" i="2"/>
  <c r="S564" i="2"/>
  <c r="Y358" i="2"/>
  <c r="Z354" i="2"/>
  <c r="BP364" i="2"/>
  <c r="BN365" i="2"/>
  <c r="Z365" i="2"/>
  <c r="Y389" i="2"/>
  <c r="Z386" i="2"/>
  <c r="Z389" i="2" s="1"/>
  <c r="BP394" i="2"/>
  <c r="Z394" i="2"/>
  <c r="BN407" i="2"/>
  <c r="Y421" i="2"/>
  <c r="BP418" i="2"/>
  <c r="BN418" i="2"/>
  <c r="Z418" i="2"/>
  <c r="BN487" i="2"/>
  <c r="Z487" i="2"/>
  <c r="Z488" i="2" s="1"/>
  <c r="BN493" i="2"/>
  <c r="Y114" i="2"/>
  <c r="BN137" i="2"/>
  <c r="BN151" i="2"/>
  <c r="BN191" i="2"/>
  <c r="BP217" i="2"/>
  <c r="BP232" i="2"/>
  <c r="BP241" i="2"/>
  <c r="BP274" i="2"/>
  <c r="BN334" i="2"/>
  <c r="BP375" i="2"/>
  <c r="BN380" i="2"/>
  <c r="Y409" i="2"/>
  <c r="BN419" i="2"/>
  <c r="BN430" i="2"/>
  <c r="BN445" i="2"/>
  <c r="BN500" i="2"/>
  <c r="BN521" i="2"/>
  <c r="BP102" i="2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Z172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Z259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Z414" i="2" s="1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20" i="2"/>
  <c r="Y125" i="2"/>
  <c r="Z143" i="2"/>
  <c r="Z154" i="2"/>
  <c r="Y168" i="2"/>
  <c r="Z177" i="2"/>
  <c r="Z222" i="2"/>
  <c r="Y235" i="2"/>
  <c r="Z252" i="2"/>
  <c r="Z253" i="2" s="1"/>
  <c r="Y296" i="2"/>
  <c r="Y307" i="2"/>
  <c r="Y330" i="2"/>
  <c r="Z341" i="2"/>
  <c r="Y357" i="2"/>
  <c r="Z395" i="2"/>
  <c r="Y434" i="2"/>
  <c r="Y457" i="2"/>
  <c r="Z464" i="2"/>
  <c r="Z476" i="2"/>
  <c r="BP491" i="2"/>
  <c r="Z501" i="2"/>
  <c r="Z511" i="2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304" i="2"/>
  <c r="BN341" i="2"/>
  <c r="BN395" i="2"/>
  <c r="Y452" i="2"/>
  <c r="BN464" i="2"/>
  <c r="Y467" i="2"/>
  <c r="BN476" i="2"/>
  <c r="BN501" i="2"/>
  <c r="Y514" i="2"/>
  <c r="Q564" i="2"/>
  <c r="Z66" i="2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BN209" i="2"/>
  <c r="Z22" i="2"/>
  <c r="BN48" i="2"/>
  <c r="Y51" i="2"/>
  <c r="BN59" i="2"/>
  <c r="BN69" i="2"/>
  <c r="Z79" i="2"/>
  <c r="Z80" i="2" s="1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BN333" i="2"/>
  <c r="Y336" i="2"/>
  <c r="BN344" i="2"/>
  <c r="Z355" i="2"/>
  <c r="BN388" i="2"/>
  <c r="Z420" i="2"/>
  <c r="Z432" i="2"/>
  <c r="BN444" i="2"/>
  <c r="Z455" i="2"/>
  <c r="Z457" i="2" s="1"/>
  <c r="BN492" i="2"/>
  <c r="BN504" i="2"/>
  <c r="Y525" i="2"/>
  <c r="BN551" i="2"/>
  <c r="T564" i="2"/>
  <c r="Y24" i="2"/>
  <c r="Y126" i="2"/>
  <c r="BN165" i="2"/>
  <c r="Z175" i="2"/>
  <c r="BN240" i="2"/>
  <c r="Z27" i="2"/>
  <c r="BP29" i="2"/>
  <c r="Z39" i="2"/>
  <c r="Z62" i="2"/>
  <c r="BN74" i="2"/>
  <c r="Z85" i="2"/>
  <c r="Z88" i="2" s="1"/>
  <c r="BN118" i="2"/>
  <c r="Z129" i="2"/>
  <c r="Z132" i="2" s="1"/>
  <c r="BP131" i="2"/>
  <c r="BN152" i="2"/>
  <c r="BN175" i="2"/>
  <c r="Z183" i="2"/>
  <c r="BN195" i="2"/>
  <c r="Z207" i="2"/>
  <c r="Z228" i="2"/>
  <c r="Z238" i="2"/>
  <c r="Z248" i="2"/>
  <c r="Z271" i="2"/>
  <c r="Z281" i="2"/>
  <c r="Z302" i="2"/>
  <c r="Z325" i="2"/>
  <c r="BN349" i="2"/>
  <c r="Z361" i="2"/>
  <c r="Z371" i="2"/>
  <c r="Z381" i="2"/>
  <c r="BN393" i="2"/>
  <c r="BP405" i="2"/>
  <c r="Y415" i="2"/>
  <c r="Z427" i="2"/>
  <c r="Z437" i="2"/>
  <c r="Z440" i="2" s="1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BN427" i="2"/>
  <c r="BN437" i="2"/>
  <c r="Y440" i="2"/>
  <c r="BN460" i="2"/>
  <c r="Z472" i="2"/>
  <c r="Z482" i="2"/>
  <c r="Y488" i="2"/>
  <c r="BN507" i="2"/>
  <c r="Z517" i="2"/>
  <c r="Z529" i="2"/>
  <c r="Z530" i="2" s="1"/>
  <c r="Y534" i="2"/>
  <c r="Z541" i="2"/>
  <c r="Z542" i="2" s="1"/>
  <c r="Z546" i="2"/>
  <c r="Z37" i="2"/>
  <c r="Z49" i="2"/>
  <c r="Z60" i="2"/>
  <c r="Y75" i="2"/>
  <c r="Z93" i="2"/>
  <c r="Z104" i="2"/>
  <c r="Z137" i="2"/>
  <c r="Z226" i="2"/>
  <c r="Z246" i="2"/>
  <c r="Y260" i="2"/>
  <c r="Z269" i="2"/>
  <c r="Z279" i="2"/>
  <c r="Z300" i="2"/>
  <c r="Z334" i="2"/>
  <c r="Y350" i="2"/>
  <c r="Z369" i="2"/>
  <c r="Z379" i="2"/>
  <c r="Z445" i="2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208" i="2"/>
  <c r="BP279" i="2"/>
  <c r="BN399" i="2"/>
  <c r="Z167" i="2" l="1"/>
  <c r="Z446" i="2"/>
  <c r="Z336" i="2"/>
  <c r="Z51" i="2"/>
  <c r="Z547" i="2"/>
  <c r="Z478" i="2"/>
  <c r="Z243" i="2"/>
  <c r="Z70" i="2"/>
  <c r="Z345" i="2"/>
  <c r="Z145" i="2"/>
  <c r="Z383" i="2"/>
  <c r="Z402" i="2"/>
  <c r="Z357" i="2"/>
  <c r="Z320" i="2"/>
  <c r="Z197" i="2"/>
  <c r="Z514" i="2"/>
  <c r="X557" i="2"/>
  <c r="Z306" i="2"/>
  <c r="Z275" i="2"/>
  <c r="Z249" i="2"/>
  <c r="Z139" i="2"/>
  <c r="Z95" i="2"/>
  <c r="Z483" i="2"/>
  <c r="Z434" i="2"/>
  <c r="Z366" i="2"/>
  <c r="Z329" i="2"/>
  <c r="Z32" i="2"/>
  <c r="Z186" i="2"/>
  <c r="Z421" i="2"/>
  <c r="Z24" i="2"/>
  <c r="Z451" i="2"/>
  <c r="Z295" i="2"/>
  <c r="Z467" i="2"/>
  <c r="Z114" i="2"/>
  <c r="Y554" i="2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350" i="2"/>
  <c r="Z524" i="2"/>
  <c r="Y557" i="2" l="1"/>
  <c r="Z559" i="2"/>
</calcChain>
</file>

<file path=xl/sharedStrings.xml><?xml version="1.0" encoding="utf-8"?>
<sst xmlns="http://schemas.openxmlformats.org/spreadsheetml/2006/main" count="4262" uniqueCount="913">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</sst>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zoomScaleNormal="100" zoomScaleSheetLayoutView="100" workbookViewId="0">
      <selection activeCell="X554" sqref="X55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67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68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/>
      <c r="I5" s="647"/>
      <c r="J5" s="647"/>
      <c r="K5" s="647"/>
      <c r="L5" s="647"/>
      <c r="M5" s="647"/>
      <c r="N5" s="72"/>
      <c r="P5" s="27" t="s">
        <v>4</v>
      </c>
      <c r="Q5" s="649">
        <v>46244</v>
      </c>
      <c r="R5" s="649"/>
      <c r="T5" s="650" t="s">
        <v>3</v>
      </c>
      <c r="U5" s="651"/>
      <c r="V5" s="652" t="s">
        <v>873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/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Понедельник</v>
      </c>
      <c r="R6" s="655"/>
      <c r="T6" s="656" t="s">
        <v>5</v>
      </c>
      <c r="U6" s="657"/>
      <c r="V6" s="658" t="s">
        <v>70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>
        <f>IFERROR(VLOOKUP(DeliveryAddress,Table,3,0),1)</f>
        <v>1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58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0.41666666666666669</v>
      </c>
      <c r="R8" s="669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0"/>
      <c r="C9" s="670"/>
      <c r="D9" s="671" t="s">
        <v>46</v>
      </c>
      <c r="E9" s="672"/>
      <c r="F9" s="6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0"/>
      <c r="H9" s="673" t="str">
        <f>IF(AND($A$9="Тип доверенности/получателя при получении в адресе перегруза:",$D$9="Разовая доверенность"),"Введите ФИО","")</f>
        <v/>
      </c>
      <c r="I9" s="673"/>
      <c r="J9" s="67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3"/>
      <c r="L9" s="673"/>
      <c r="M9" s="673"/>
      <c r="N9" s="70"/>
      <c r="P9" s="31" t="s">
        <v>15</v>
      </c>
      <c r="Q9" s="674"/>
      <c r="R9" s="674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0"/>
      <c r="C10" s="670"/>
      <c r="D10" s="671"/>
      <c r="E10" s="672"/>
      <c r="F10" s="6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0"/>
      <c r="H10" s="675" t="str">
        <f>IFERROR(VLOOKUP($D$10,Proxy,2,FALSE),"")</f>
        <v/>
      </c>
      <c r="I10" s="675"/>
      <c r="J10" s="675"/>
      <c r="K10" s="675"/>
      <c r="L10" s="675"/>
      <c r="M10" s="675"/>
      <c r="N10" s="71"/>
      <c r="P10" s="31" t="s">
        <v>32</v>
      </c>
      <c r="Q10" s="676"/>
      <c r="R10" s="676"/>
      <c r="U10" s="29" t="s">
        <v>12</v>
      </c>
      <c r="V10" s="677" t="s">
        <v>71</v>
      </c>
      <c r="W10" s="67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9"/>
      <c r="R11" s="679"/>
      <c r="U11" s="29" t="s">
        <v>28</v>
      </c>
      <c r="V11" s="680" t="s">
        <v>55</v>
      </c>
      <c r="W11" s="68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1" t="s">
        <v>72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1"/>
      <c r="N12" s="76"/>
      <c r="P12" s="27" t="s">
        <v>30</v>
      </c>
      <c r="Q12" s="669"/>
      <c r="R12" s="669"/>
      <c r="S12" s="28"/>
      <c r="T12"/>
      <c r="U12" s="29" t="s">
        <v>46</v>
      </c>
      <c r="V12" s="682"/>
      <c r="W12" s="682"/>
      <c r="X12"/>
      <c r="AB12" s="59"/>
      <c r="AC12" s="59"/>
      <c r="AD12" s="59"/>
      <c r="AE12" s="59"/>
    </row>
    <row r="13" spans="1:32" s="17" customFormat="1" ht="23.25" customHeight="1" x14ac:dyDescent="0.2">
      <c r="A13" s="681" t="s">
        <v>73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1"/>
      <c r="N13" s="76"/>
      <c r="O13" s="31"/>
      <c r="P13" s="31" t="s">
        <v>31</v>
      </c>
      <c r="Q13" s="680"/>
      <c r="R13" s="68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1" t="s">
        <v>74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3" t="s">
        <v>75</v>
      </c>
      <c r="B15" s="683"/>
      <c r="C15" s="683"/>
      <c r="D15" s="683"/>
      <c r="E15" s="683"/>
      <c r="F15" s="683"/>
      <c r="G15" s="683"/>
      <c r="H15" s="683"/>
      <c r="I15" s="683"/>
      <c r="J15" s="683"/>
      <c r="K15" s="683"/>
      <c r="L15" s="683"/>
      <c r="M15" s="683"/>
      <c r="N15" s="77"/>
      <c r="O15"/>
      <c r="P15" s="684" t="s">
        <v>61</v>
      </c>
      <c r="Q15" s="684"/>
      <c r="R15" s="684"/>
      <c r="S15" s="684"/>
      <c r="T15" s="6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5"/>
      <c r="Q16" s="685"/>
      <c r="R16" s="685"/>
      <c r="S16" s="685"/>
      <c r="T16" s="6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8" t="s">
        <v>59</v>
      </c>
      <c r="B17" s="688" t="s">
        <v>49</v>
      </c>
      <c r="C17" s="690" t="s">
        <v>48</v>
      </c>
      <c r="D17" s="692" t="s">
        <v>50</v>
      </c>
      <c r="E17" s="693"/>
      <c r="F17" s="688" t="s">
        <v>21</v>
      </c>
      <c r="G17" s="688" t="s">
        <v>24</v>
      </c>
      <c r="H17" s="688" t="s">
        <v>22</v>
      </c>
      <c r="I17" s="688" t="s">
        <v>23</v>
      </c>
      <c r="J17" s="688" t="s">
        <v>16</v>
      </c>
      <c r="K17" s="688" t="s">
        <v>66</v>
      </c>
      <c r="L17" s="688" t="s">
        <v>64</v>
      </c>
      <c r="M17" s="688" t="s">
        <v>2</v>
      </c>
      <c r="N17" s="688" t="s">
        <v>63</v>
      </c>
      <c r="O17" s="688" t="s">
        <v>25</v>
      </c>
      <c r="P17" s="692" t="s">
        <v>17</v>
      </c>
      <c r="Q17" s="696"/>
      <c r="R17" s="696"/>
      <c r="S17" s="696"/>
      <c r="T17" s="693"/>
      <c r="U17" s="686" t="s">
        <v>56</v>
      </c>
      <c r="V17" s="687"/>
      <c r="W17" s="688" t="s">
        <v>6</v>
      </c>
      <c r="X17" s="688" t="s">
        <v>41</v>
      </c>
      <c r="Y17" s="698" t="s">
        <v>54</v>
      </c>
      <c r="Z17" s="700" t="s">
        <v>18</v>
      </c>
      <c r="AA17" s="702" t="s">
        <v>60</v>
      </c>
      <c r="AB17" s="702" t="s">
        <v>19</v>
      </c>
      <c r="AC17" s="702" t="s">
        <v>65</v>
      </c>
      <c r="AD17" s="704" t="s">
        <v>57</v>
      </c>
      <c r="AE17" s="705"/>
      <c r="AF17" s="706"/>
      <c r="AG17" s="82"/>
      <c r="BD17" s="81" t="s">
        <v>62</v>
      </c>
    </row>
    <row r="18" spans="1:68" ht="14.25" customHeight="1" x14ac:dyDescent="0.2">
      <c r="A18" s="689"/>
      <c r="B18" s="689"/>
      <c r="C18" s="691"/>
      <c r="D18" s="694"/>
      <c r="E18" s="695"/>
      <c r="F18" s="689"/>
      <c r="G18" s="689"/>
      <c r="H18" s="689"/>
      <c r="I18" s="689"/>
      <c r="J18" s="689"/>
      <c r="K18" s="689"/>
      <c r="L18" s="689"/>
      <c r="M18" s="689"/>
      <c r="N18" s="689"/>
      <c r="O18" s="689"/>
      <c r="P18" s="694"/>
      <c r="Q18" s="697"/>
      <c r="R18" s="697"/>
      <c r="S18" s="697"/>
      <c r="T18" s="695"/>
      <c r="U18" s="83" t="s">
        <v>44</v>
      </c>
      <c r="V18" s="83" t="s">
        <v>43</v>
      </c>
      <c r="W18" s="689"/>
      <c r="X18" s="689"/>
      <c r="Y18" s="699"/>
      <c r="Z18" s="701"/>
      <c r="AA18" s="703"/>
      <c r="AB18" s="703"/>
      <c r="AC18" s="703"/>
      <c r="AD18" s="707"/>
      <c r="AE18" s="708"/>
      <c r="AF18" s="709"/>
      <c r="AG18" s="82"/>
      <c r="BD18" s="81"/>
    </row>
    <row r="19" spans="1:68" ht="27.75" customHeight="1" x14ac:dyDescent="0.2">
      <c r="A19" s="710" t="s">
        <v>76</v>
      </c>
      <c r="B19" s="710"/>
      <c r="C19" s="710"/>
      <c r="D19" s="710"/>
      <c r="E19" s="710"/>
      <c r="F19" s="710"/>
      <c r="G19" s="710"/>
      <c r="H19" s="710"/>
      <c r="I19" s="710"/>
      <c r="J19" s="710"/>
      <c r="K19" s="710"/>
      <c r="L19" s="710"/>
      <c r="M19" s="710"/>
      <c r="N19" s="710"/>
      <c r="O19" s="710"/>
      <c r="P19" s="710"/>
      <c r="Q19" s="710"/>
      <c r="R19" s="710"/>
      <c r="S19" s="710"/>
      <c r="T19" s="710"/>
      <c r="U19" s="710"/>
      <c r="V19" s="710"/>
      <c r="W19" s="710"/>
      <c r="X19" s="710"/>
      <c r="Y19" s="710"/>
      <c r="Z19" s="710"/>
      <c r="AA19" s="54"/>
      <c r="AB19" s="54"/>
      <c r="AC19" s="54"/>
    </row>
    <row r="20" spans="1:68" ht="16.5" customHeight="1" x14ac:dyDescent="0.25">
      <c r="A20" s="711" t="s">
        <v>76</v>
      </c>
      <c r="B20" s="711"/>
      <c r="C20" s="711"/>
      <c r="D20" s="711"/>
      <c r="E20" s="711"/>
      <c r="F20" s="711"/>
      <c r="G20" s="711"/>
      <c r="H20" s="711"/>
      <c r="I20" s="711"/>
      <c r="J20" s="711"/>
      <c r="K20" s="711"/>
      <c r="L20" s="711"/>
      <c r="M20" s="711"/>
      <c r="N20" s="711"/>
      <c r="O20" s="711"/>
      <c r="P20" s="711"/>
      <c r="Q20" s="711"/>
      <c r="R20" s="711"/>
      <c r="S20" s="711"/>
      <c r="T20" s="711"/>
      <c r="U20" s="711"/>
      <c r="V20" s="711"/>
      <c r="W20" s="711"/>
      <c r="X20" s="711"/>
      <c r="Y20" s="711"/>
      <c r="Z20" s="711"/>
      <c r="AA20" s="65"/>
      <c r="AB20" s="65"/>
      <c r="AC20" s="79"/>
    </row>
    <row r="21" spans="1:68" ht="14.25" customHeight="1" x14ac:dyDescent="0.25">
      <c r="A21" s="712" t="s">
        <v>77</v>
      </c>
      <c r="B21" s="712"/>
      <c r="C21" s="712"/>
      <c r="D21" s="712"/>
      <c r="E21" s="712"/>
      <c r="F21" s="712"/>
      <c r="G21" s="712"/>
      <c r="H21" s="712"/>
      <c r="I21" s="712"/>
      <c r="J21" s="712"/>
      <c r="K21" s="712"/>
      <c r="L21" s="712"/>
      <c r="M21" s="712"/>
      <c r="N21" s="712"/>
      <c r="O21" s="712"/>
      <c r="P21" s="712"/>
      <c r="Q21" s="712"/>
      <c r="R21" s="712"/>
      <c r="S21" s="712"/>
      <c r="T21" s="712"/>
      <c r="U21" s="712"/>
      <c r="V21" s="712"/>
      <c r="W21" s="712"/>
      <c r="X21" s="712"/>
      <c r="Y21" s="712"/>
      <c r="Z21" s="71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13">
        <v>4680115886643</v>
      </c>
      <c r="E22" s="71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5"/>
      <c r="R22" s="715"/>
      <c r="S22" s="715"/>
      <c r="T22" s="71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13">
        <v>4680115889071</v>
      </c>
      <c r="E23" s="71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5"/>
      <c r="R23" s="715"/>
      <c r="S23" s="715"/>
      <c r="T23" s="71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21"/>
      <c r="B24" s="721"/>
      <c r="C24" s="721"/>
      <c r="D24" s="721"/>
      <c r="E24" s="721"/>
      <c r="F24" s="721"/>
      <c r="G24" s="721"/>
      <c r="H24" s="721"/>
      <c r="I24" s="721"/>
      <c r="J24" s="721"/>
      <c r="K24" s="721"/>
      <c r="L24" s="721"/>
      <c r="M24" s="721"/>
      <c r="N24" s="721"/>
      <c r="O24" s="722"/>
      <c r="P24" s="718" t="s">
        <v>40</v>
      </c>
      <c r="Q24" s="719"/>
      <c r="R24" s="719"/>
      <c r="S24" s="719"/>
      <c r="T24" s="719"/>
      <c r="U24" s="719"/>
      <c r="V24" s="72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21"/>
      <c r="B25" s="721"/>
      <c r="C25" s="721"/>
      <c r="D25" s="721"/>
      <c r="E25" s="721"/>
      <c r="F25" s="721"/>
      <c r="G25" s="721"/>
      <c r="H25" s="721"/>
      <c r="I25" s="721"/>
      <c r="J25" s="721"/>
      <c r="K25" s="721"/>
      <c r="L25" s="721"/>
      <c r="M25" s="721"/>
      <c r="N25" s="721"/>
      <c r="O25" s="722"/>
      <c r="P25" s="718" t="s">
        <v>40</v>
      </c>
      <c r="Q25" s="719"/>
      <c r="R25" s="719"/>
      <c r="S25" s="719"/>
      <c r="T25" s="719"/>
      <c r="U25" s="719"/>
      <c r="V25" s="72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12" t="s">
        <v>86</v>
      </c>
      <c r="B26" s="712"/>
      <c r="C26" s="712"/>
      <c r="D26" s="712"/>
      <c r="E26" s="712"/>
      <c r="F26" s="712"/>
      <c r="G26" s="712"/>
      <c r="H26" s="712"/>
      <c r="I26" s="712"/>
      <c r="J26" s="712"/>
      <c r="K26" s="712"/>
      <c r="L26" s="712"/>
      <c r="M26" s="712"/>
      <c r="N26" s="712"/>
      <c r="O26" s="712"/>
      <c r="P26" s="712"/>
      <c r="Q26" s="712"/>
      <c r="R26" s="712"/>
      <c r="S26" s="712"/>
      <c r="T26" s="712"/>
      <c r="U26" s="712"/>
      <c r="V26" s="712"/>
      <c r="W26" s="712"/>
      <c r="X26" s="712"/>
      <c r="Y26" s="712"/>
      <c r="Z26" s="71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13">
        <v>4680115885912</v>
      </c>
      <c r="E27" s="71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5"/>
      <c r="R27" s="715"/>
      <c r="S27" s="715"/>
      <c r="T27" s="71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13">
        <v>4607091388237</v>
      </c>
      <c r="E28" s="71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5"/>
      <c r="R28" s="715"/>
      <c r="S28" s="715"/>
      <c r="T28" s="71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13">
        <v>4680115887350</v>
      </c>
      <c r="E29" s="71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5"/>
      <c r="R29" s="715"/>
      <c r="S29" s="715"/>
      <c r="T29" s="71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13">
        <v>4680115885905</v>
      </c>
      <c r="E30" s="71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5"/>
      <c r="R30" s="715"/>
      <c r="S30" s="715"/>
      <c r="T30" s="71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13">
        <v>4680115887619</v>
      </c>
      <c r="E31" s="71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5"/>
      <c r="R31" s="715"/>
      <c r="S31" s="715"/>
      <c r="T31" s="71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21"/>
      <c r="B32" s="721"/>
      <c r="C32" s="721"/>
      <c r="D32" s="721"/>
      <c r="E32" s="721"/>
      <c r="F32" s="721"/>
      <c r="G32" s="721"/>
      <c r="H32" s="721"/>
      <c r="I32" s="721"/>
      <c r="J32" s="721"/>
      <c r="K32" s="721"/>
      <c r="L32" s="721"/>
      <c r="M32" s="721"/>
      <c r="N32" s="721"/>
      <c r="O32" s="722"/>
      <c r="P32" s="718" t="s">
        <v>40</v>
      </c>
      <c r="Q32" s="719"/>
      <c r="R32" s="719"/>
      <c r="S32" s="719"/>
      <c r="T32" s="719"/>
      <c r="U32" s="719"/>
      <c r="V32" s="72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21"/>
      <c r="B33" s="721"/>
      <c r="C33" s="721"/>
      <c r="D33" s="721"/>
      <c r="E33" s="721"/>
      <c r="F33" s="721"/>
      <c r="G33" s="721"/>
      <c r="H33" s="721"/>
      <c r="I33" s="721"/>
      <c r="J33" s="721"/>
      <c r="K33" s="721"/>
      <c r="L33" s="721"/>
      <c r="M33" s="721"/>
      <c r="N33" s="721"/>
      <c r="O33" s="722"/>
      <c r="P33" s="718" t="s">
        <v>40</v>
      </c>
      <c r="Q33" s="719"/>
      <c r="R33" s="719"/>
      <c r="S33" s="719"/>
      <c r="T33" s="719"/>
      <c r="U33" s="719"/>
      <c r="V33" s="72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10" t="s">
        <v>45</v>
      </c>
      <c r="B34" s="710"/>
      <c r="C34" s="710"/>
      <c r="D34" s="710"/>
      <c r="E34" s="710"/>
      <c r="F34" s="710"/>
      <c r="G34" s="710"/>
      <c r="H34" s="710"/>
      <c r="I34" s="710"/>
      <c r="J34" s="710"/>
      <c r="K34" s="710"/>
      <c r="L34" s="710"/>
      <c r="M34" s="710"/>
      <c r="N34" s="710"/>
      <c r="O34" s="710"/>
      <c r="P34" s="710"/>
      <c r="Q34" s="710"/>
      <c r="R34" s="710"/>
      <c r="S34" s="710"/>
      <c r="T34" s="710"/>
      <c r="U34" s="710"/>
      <c r="V34" s="710"/>
      <c r="W34" s="710"/>
      <c r="X34" s="710"/>
      <c r="Y34" s="710"/>
      <c r="Z34" s="710"/>
      <c r="AA34" s="54"/>
      <c r="AB34" s="54"/>
      <c r="AC34" s="54"/>
    </row>
    <row r="35" spans="1:68" ht="16.5" customHeight="1" x14ac:dyDescent="0.25">
      <c r="A35" s="711" t="s">
        <v>104</v>
      </c>
      <c r="B35" s="711"/>
      <c r="C35" s="711"/>
      <c r="D35" s="711"/>
      <c r="E35" s="711"/>
      <c r="F35" s="711"/>
      <c r="G35" s="711"/>
      <c r="H35" s="711"/>
      <c r="I35" s="711"/>
      <c r="J35" s="711"/>
      <c r="K35" s="711"/>
      <c r="L35" s="711"/>
      <c r="M35" s="711"/>
      <c r="N35" s="711"/>
      <c r="O35" s="711"/>
      <c r="P35" s="711"/>
      <c r="Q35" s="711"/>
      <c r="R35" s="711"/>
      <c r="S35" s="711"/>
      <c r="T35" s="711"/>
      <c r="U35" s="711"/>
      <c r="V35" s="711"/>
      <c r="W35" s="711"/>
      <c r="X35" s="711"/>
      <c r="Y35" s="711"/>
      <c r="Z35" s="711"/>
      <c r="AA35" s="65"/>
      <c r="AB35" s="65"/>
      <c r="AC35" s="79"/>
    </row>
    <row r="36" spans="1:68" ht="14.25" customHeight="1" x14ac:dyDescent="0.25">
      <c r="A36" s="712" t="s">
        <v>86</v>
      </c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2"/>
      <c r="P36" s="712"/>
      <c r="Q36" s="712"/>
      <c r="R36" s="712"/>
      <c r="S36" s="712"/>
      <c r="T36" s="712"/>
      <c r="U36" s="712"/>
      <c r="V36" s="712"/>
      <c r="W36" s="712"/>
      <c r="X36" s="712"/>
      <c r="Y36" s="712"/>
      <c r="Z36" s="712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13">
        <v>4680115889354</v>
      </c>
      <c r="E37" s="71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2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5"/>
      <c r="R37" s="715"/>
      <c r="S37" s="715"/>
      <c r="T37" s="71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13">
        <v>4680115888463</v>
      </c>
      <c r="E38" s="71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2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5"/>
      <c r="R38" s="715"/>
      <c r="S38" s="715"/>
      <c r="T38" s="71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4301052202</v>
      </c>
      <c r="D39" s="713">
        <v>4680115888494</v>
      </c>
      <c r="E39" s="713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5"/>
      <c r="R39" s="715"/>
      <c r="S39" s="715"/>
      <c r="T39" s="71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13">
        <v>4680115888272</v>
      </c>
      <c r="E40" s="71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5"/>
      <c r="R40" s="715"/>
      <c r="S40" s="715"/>
      <c r="T40" s="71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13">
        <v>4680115888364</v>
      </c>
      <c r="E41" s="71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5"/>
      <c r="R41" s="715"/>
      <c r="S41" s="715"/>
      <c r="T41" s="71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21"/>
      <c r="B42" s="721"/>
      <c r="C42" s="721"/>
      <c r="D42" s="721"/>
      <c r="E42" s="721"/>
      <c r="F42" s="721"/>
      <c r="G42" s="721"/>
      <c r="H42" s="721"/>
      <c r="I42" s="721"/>
      <c r="J42" s="721"/>
      <c r="K42" s="721"/>
      <c r="L42" s="721"/>
      <c r="M42" s="721"/>
      <c r="N42" s="721"/>
      <c r="O42" s="722"/>
      <c r="P42" s="718" t="s">
        <v>40</v>
      </c>
      <c r="Q42" s="719"/>
      <c r="R42" s="719"/>
      <c r="S42" s="719"/>
      <c r="T42" s="719"/>
      <c r="U42" s="719"/>
      <c r="V42" s="72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21"/>
      <c r="B43" s="721"/>
      <c r="C43" s="721"/>
      <c r="D43" s="721"/>
      <c r="E43" s="721"/>
      <c r="F43" s="721"/>
      <c r="G43" s="721"/>
      <c r="H43" s="721"/>
      <c r="I43" s="721"/>
      <c r="J43" s="721"/>
      <c r="K43" s="721"/>
      <c r="L43" s="721"/>
      <c r="M43" s="721"/>
      <c r="N43" s="721"/>
      <c r="O43" s="722"/>
      <c r="P43" s="718" t="s">
        <v>40</v>
      </c>
      <c r="Q43" s="719"/>
      <c r="R43" s="719"/>
      <c r="S43" s="719"/>
      <c r="T43" s="719"/>
      <c r="U43" s="719"/>
      <c r="V43" s="72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10" t="s">
        <v>120</v>
      </c>
      <c r="B44" s="710"/>
      <c r="C44" s="710"/>
      <c r="D44" s="710"/>
      <c r="E44" s="710"/>
      <c r="F44" s="710"/>
      <c r="G44" s="710"/>
      <c r="H44" s="710"/>
      <c r="I44" s="710"/>
      <c r="J44" s="710"/>
      <c r="K44" s="710"/>
      <c r="L44" s="710"/>
      <c r="M44" s="710"/>
      <c r="N44" s="710"/>
      <c r="O44" s="710"/>
      <c r="P44" s="710"/>
      <c r="Q44" s="710"/>
      <c r="R44" s="710"/>
      <c r="S44" s="710"/>
      <c r="T44" s="710"/>
      <c r="U44" s="710"/>
      <c r="V44" s="710"/>
      <c r="W44" s="710"/>
      <c r="X44" s="710"/>
      <c r="Y44" s="710"/>
      <c r="Z44" s="710"/>
      <c r="AA44" s="54"/>
      <c r="AB44" s="54"/>
      <c r="AC44" s="54"/>
    </row>
    <row r="45" spans="1:68" ht="16.5" customHeight="1" x14ac:dyDescent="0.25">
      <c r="A45" s="711" t="s">
        <v>121</v>
      </c>
      <c r="B45" s="711"/>
      <c r="C45" s="711"/>
      <c r="D45" s="711"/>
      <c r="E45" s="711"/>
      <c r="F45" s="711"/>
      <c r="G45" s="711"/>
      <c r="H45" s="711"/>
      <c r="I45" s="711"/>
      <c r="J45" s="711"/>
      <c r="K45" s="711"/>
      <c r="L45" s="711"/>
      <c r="M45" s="711"/>
      <c r="N45" s="711"/>
      <c r="O45" s="711"/>
      <c r="P45" s="711"/>
      <c r="Q45" s="711"/>
      <c r="R45" s="711"/>
      <c r="S45" s="711"/>
      <c r="T45" s="711"/>
      <c r="U45" s="711"/>
      <c r="V45" s="711"/>
      <c r="W45" s="711"/>
      <c r="X45" s="711"/>
      <c r="Y45" s="711"/>
      <c r="Z45" s="711"/>
      <c r="AA45" s="65"/>
      <c r="AB45" s="65"/>
      <c r="AC45" s="79"/>
    </row>
    <row r="46" spans="1:68" ht="14.25" customHeight="1" x14ac:dyDescent="0.25">
      <c r="A46" s="712" t="s">
        <v>122</v>
      </c>
      <c r="B46" s="712"/>
      <c r="C46" s="712"/>
      <c r="D46" s="712"/>
      <c r="E46" s="712"/>
      <c r="F46" s="712"/>
      <c r="G46" s="712"/>
      <c r="H46" s="712"/>
      <c r="I46" s="712"/>
      <c r="J46" s="712"/>
      <c r="K46" s="712"/>
      <c r="L46" s="712"/>
      <c r="M46" s="712"/>
      <c r="N46" s="712"/>
      <c r="O46" s="712"/>
      <c r="P46" s="712"/>
      <c r="Q46" s="712"/>
      <c r="R46" s="712"/>
      <c r="S46" s="712"/>
      <c r="T46" s="712"/>
      <c r="U46" s="712"/>
      <c r="V46" s="712"/>
      <c r="W46" s="712"/>
      <c r="X46" s="712"/>
      <c r="Y46" s="712"/>
      <c r="Z46" s="71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3">
        <v>4607091385670</v>
      </c>
      <c r="E47" s="71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5"/>
      <c r="R47" s="715"/>
      <c r="S47" s="715"/>
      <c r="T47" s="716"/>
      <c r="U47" s="39" t="s">
        <v>46</v>
      </c>
      <c r="V47" s="39" t="s">
        <v>46</v>
      </c>
      <c r="W47" s="40" t="s">
        <v>0</v>
      </c>
      <c r="X47" s="58">
        <v>2000</v>
      </c>
      <c r="Y47" s="55">
        <f>IFERROR(IF(X47="",0,CEILING((X47/$H47),1)*$H47),"")</f>
        <v>2008.8000000000002</v>
      </c>
      <c r="Z47" s="41">
        <f>IFERROR(IF(Y47=0,"",ROUNDUP(Y47/H47,0)*0.01898),"")</f>
        <v>3.5302799999999999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2075.9259259259256</v>
      </c>
      <c r="BN47" s="78">
        <f>IFERROR(Y47*I47/H47,"0")</f>
        <v>2085.0600000000004</v>
      </c>
      <c r="BO47" s="78">
        <f>IFERROR(1/J47*(X47/H47),"0")</f>
        <v>2.8935185185185182</v>
      </c>
      <c r="BP47" s="78">
        <f>IFERROR(1/J47*(Y47/H47),"0")</f>
        <v>2.90625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13">
        <v>4680115887725</v>
      </c>
      <c r="E48" s="71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5"/>
      <c r="R48" s="715"/>
      <c r="S48" s="715"/>
      <c r="T48" s="71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13">
        <v>4607091385687</v>
      </c>
      <c r="E49" s="71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5"/>
      <c r="R49" s="715"/>
      <c r="S49" s="715"/>
      <c r="T49" s="71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13">
        <v>4680115882539</v>
      </c>
      <c r="E50" s="71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5"/>
      <c r="R50" s="715"/>
      <c r="S50" s="715"/>
      <c r="T50" s="71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1"/>
      <c r="B51" s="721"/>
      <c r="C51" s="721"/>
      <c r="D51" s="721"/>
      <c r="E51" s="721"/>
      <c r="F51" s="721"/>
      <c r="G51" s="721"/>
      <c r="H51" s="721"/>
      <c r="I51" s="721"/>
      <c r="J51" s="721"/>
      <c r="K51" s="721"/>
      <c r="L51" s="721"/>
      <c r="M51" s="721"/>
      <c r="N51" s="721"/>
      <c r="O51" s="722"/>
      <c r="P51" s="718" t="s">
        <v>40</v>
      </c>
      <c r="Q51" s="719"/>
      <c r="R51" s="719"/>
      <c r="S51" s="719"/>
      <c r="T51" s="719"/>
      <c r="U51" s="719"/>
      <c r="V51" s="720"/>
      <c r="W51" s="42" t="s">
        <v>39</v>
      </c>
      <c r="X51" s="43">
        <f>IFERROR(X47/H47,"0")+IFERROR(X48/H48,"0")+IFERROR(X49/H49,"0")+IFERROR(X50/H50,"0")</f>
        <v>185.18518518518516</v>
      </c>
      <c r="Y51" s="43">
        <f>IFERROR(Y47/H47,"0")+IFERROR(Y48/H48,"0")+IFERROR(Y49/H49,"0")+IFERROR(Y50/H50,"0")</f>
        <v>186</v>
      </c>
      <c r="Z51" s="43">
        <f>IFERROR(IF(Z47="",0,Z47),"0")+IFERROR(IF(Z48="",0,Z48),"0")+IFERROR(IF(Z49="",0,Z49),"0")+IFERROR(IF(Z50="",0,Z50),"0")</f>
        <v>3.5302799999999999</v>
      </c>
      <c r="AA51" s="67"/>
      <c r="AB51" s="67"/>
      <c r="AC51" s="67"/>
    </row>
    <row r="52" spans="1:68" x14ac:dyDescent="0.2">
      <c r="A52" s="721"/>
      <c r="B52" s="721"/>
      <c r="C52" s="721"/>
      <c r="D52" s="721"/>
      <c r="E52" s="721"/>
      <c r="F52" s="721"/>
      <c r="G52" s="721"/>
      <c r="H52" s="721"/>
      <c r="I52" s="721"/>
      <c r="J52" s="721"/>
      <c r="K52" s="721"/>
      <c r="L52" s="721"/>
      <c r="M52" s="721"/>
      <c r="N52" s="721"/>
      <c r="O52" s="722"/>
      <c r="P52" s="718" t="s">
        <v>40</v>
      </c>
      <c r="Q52" s="719"/>
      <c r="R52" s="719"/>
      <c r="S52" s="719"/>
      <c r="T52" s="719"/>
      <c r="U52" s="719"/>
      <c r="V52" s="720"/>
      <c r="W52" s="42" t="s">
        <v>0</v>
      </c>
      <c r="X52" s="43">
        <f>IFERROR(SUM(X47:X50),"0")</f>
        <v>2000</v>
      </c>
      <c r="Y52" s="43">
        <f>IFERROR(SUM(Y47:Y50),"0")</f>
        <v>2008.8000000000002</v>
      </c>
      <c r="Z52" s="42"/>
      <c r="AA52" s="67"/>
      <c r="AB52" s="67"/>
      <c r="AC52" s="67"/>
    </row>
    <row r="53" spans="1:68" ht="16.5" customHeight="1" x14ac:dyDescent="0.25">
      <c r="A53" s="711" t="s">
        <v>137</v>
      </c>
      <c r="B53" s="711"/>
      <c r="C53" s="711"/>
      <c r="D53" s="711"/>
      <c r="E53" s="711"/>
      <c r="F53" s="711"/>
      <c r="G53" s="711"/>
      <c r="H53" s="711"/>
      <c r="I53" s="711"/>
      <c r="J53" s="711"/>
      <c r="K53" s="711"/>
      <c r="L53" s="711"/>
      <c r="M53" s="711"/>
      <c r="N53" s="711"/>
      <c r="O53" s="711"/>
      <c r="P53" s="711"/>
      <c r="Q53" s="711"/>
      <c r="R53" s="711"/>
      <c r="S53" s="711"/>
      <c r="T53" s="711"/>
      <c r="U53" s="711"/>
      <c r="V53" s="711"/>
      <c r="W53" s="711"/>
      <c r="X53" s="711"/>
      <c r="Y53" s="711"/>
      <c r="Z53" s="711"/>
      <c r="AA53" s="65"/>
      <c r="AB53" s="65"/>
      <c r="AC53" s="79"/>
    </row>
    <row r="54" spans="1:68" ht="14.25" customHeight="1" x14ac:dyDescent="0.25">
      <c r="A54" s="712" t="s">
        <v>122</v>
      </c>
      <c r="B54" s="712"/>
      <c r="C54" s="712"/>
      <c r="D54" s="712"/>
      <c r="E54" s="712"/>
      <c r="F54" s="712"/>
      <c r="G54" s="712"/>
      <c r="H54" s="712"/>
      <c r="I54" s="712"/>
      <c r="J54" s="712"/>
      <c r="K54" s="712"/>
      <c r="L54" s="712"/>
      <c r="M54" s="712"/>
      <c r="N54" s="712"/>
      <c r="O54" s="712"/>
      <c r="P54" s="712"/>
      <c r="Q54" s="712"/>
      <c r="R54" s="712"/>
      <c r="S54" s="712"/>
      <c r="T54" s="712"/>
      <c r="U54" s="712"/>
      <c r="V54" s="712"/>
      <c r="W54" s="712"/>
      <c r="X54" s="712"/>
      <c r="Y54" s="712"/>
      <c r="Z54" s="712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713">
        <v>4680115885882</v>
      </c>
      <c r="E55" s="71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5"/>
      <c r="R55" s="715"/>
      <c r="S55" s="715"/>
      <c r="T55" s="71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4301012161</v>
      </c>
      <c r="D56" s="713">
        <v>4680115885882</v>
      </c>
      <c r="E56" s="71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5"/>
      <c r="R56" s="715"/>
      <c r="S56" s="715"/>
      <c r="T56" s="71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713">
        <v>4680115881426</v>
      </c>
      <c r="E57" s="71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5"/>
      <c r="R57" s="715"/>
      <c r="S57" s="715"/>
      <c r="T57" s="71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4301011386</v>
      </c>
      <c r="D58" s="713">
        <v>4680115880283</v>
      </c>
      <c r="E58" s="71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5"/>
      <c r="R58" s="715"/>
      <c r="S58" s="715"/>
      <c r="T58" s="71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4301012259</v>
      </c>
      <c r="D59" s="713">
        <v>4680115880283</v>
      </c>
      <c r="E59" s="713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5"/>
      <c r="R59" s="715"/>
      <c r="S59" s="715"/>
      <c r="T59" s="71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713">
        <v>4680115881525</v>
      </c>
      <c r="E60" s="71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5"/>
      <c r="R60" s="715"/>
      <c r="S60" s="715"/>
      <c r="T60" s="71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713">
        <v>4680115885899</v>
      </c>
      <c r="E61" s="71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5"/>
      <c r="R61" s="715"/>
      <c r="S61" s="715"/>
      <c r="T61" s="71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13">
        <v>4680115881419</v>
      </c>
      <c r="E62" s="71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5"/>
      <c r="R62" s="715"/>
      <c r="S62" s="715"/>
      <c r="T62" s="71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721"/>
      <c r="B63" s="721"/>
      <c r="C63" s="721"/>
      <c r="D63" s="721"/>
      <c r="E63" s="721"/>
      <c r="F63" s="721"/>
      <c r="G63" s="721"/>
      <c r="H63" s="721"/>
      <c r="I63" s="721"/>
      <c r="J63" s="721"/>
      <c r="K63" s="721"/>
      <c r="L63" s="721"/>
      <c r="M63" s="721"/>
      <c r="N63" s="721"/>
      <c r="O63" s="722"/>
      <c r="P63" s="718" t="s">
        <v>40</v>
      </c>
      <c r="Q63" s="719"/>
      <c r="R63" s="719"/>
      <c r="S63" s="719"/>
      <c r="T63" s="719"/>
      <c r="U63" s="719"/>
      <c r="V63" s="72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721"/>
      <c r="B64" s="721"/>
      <c r="C64" s="721"/>
      <c r="D64" s="721"/>
      <c r="E64" s="721"/>
      <c r="F64" s="721"/>
      <c r="G64" s="721"/>
      <c r="H64" s="721"/>
      <c r="I64" s="721"/>
      <c r="J64" s="721"/>
      <c r="K64" s="721"/>
      <c r="L64" s="721"/>
      <c r="M64" s="721"/>
      <c r="N64" s="721"/>
      <c r="O64" s="722"/>
      <c r="P64" s="718" t="s">
        <v>40</v>
      </c>
      <c r="Q64" s="719"/>
      <c r="R64" s="719"/>
      <c r="S64" s="719"/>
      <c r="T64" s="719"/>
      <c r="U64" s="719"/>
      <c r="V64" s="72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customHeight="1" x14ac:dyDescent="0.25">
      <c r="A65" s="712" t="s">
        <v>158</v>
      </c>
      <c r="B65" s="712"/>
      <c r="C65" s="712"/>
      <c r="D65" s="712"/>
      <c r="E65" s="712"/>
      <c r="F65" s="712"/>
      <c r="G65" s="712"/>
      <c r="H65" s="712"/>
      <c r="I65" s="712"/>
      <c r="J65" s="712"/>
      <c r="K65" s="712"/>
      <c r="L65" s="712"/>
      <c r="M65" s="712"/>
      <c r="N65" s="712"/>
      <c r="O65" s="712"/>
      <c r="P65" s="712"/>
      <c r="Q65" s="712"/>
      <c r="R65" s="712"/>
      <c r="S65" s="712"/>
      <c r="T65" s="712"/>
      <c r="U65" s="712"/>
      <c r="V65" s="712"/>
      <c r="W65" s="712"/>
      <c r="X65" s="712"/>
      <c r="Y65" s="712"/>
      <c r="Z65" s="712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713">
        <v>4680115881440</v>
      </c>
      <c r="E66" s="713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5"/>
      <c r="R66" s="715"/>
      <c r="S66" s="715"/>
      <c r="T66" s="71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4301020358</v>
      </c>
      <c r="D67" s="713">
        <v>4680115885950</v>
      </c>
      <c r="E67" s="713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5"/>
      <c r="R67" s="715"/>
      <c r="S67" s="715"/>
      <c r="T67" s="71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164</v>
      </c>
      <c r="B68" s="63" t="s">
        <v>165</v>
      </c>
      <c r="C68" s="36">
        <v>4301020371</v>
      </c>
      <c r="D68" s="713">
        <v>4680115887688</v>
      </c>
      <c r="E68" s="713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5"/>
      <c r="R68" s="715"/>
      <c r="S68" s="715"/>
      <c r="T68" s="71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713">
        <v>4680115881433</v>
      </c>
      <c r="E69" s="713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5"/>
      <c r="R69" s="715"/>
      <c r="S69" s="715"/>
      <c r="T69" s="71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721"/>
      <c r="B70" s="721"/>
      <c r="C70" s="721"/>
      <c r="D70" s="721"/>
      <c r="E70" s="721"/>
      <c r="F70" s="721"/>
      <c r="G70" s="721"/>
      <c r="H70" s="721"/>
      <c r="I70" s="721"/>
      <c r="J70" s="721"/>
      <c r="K70" s="721"/>
      <c r="L70" s="721"/>
      <c r="M70" s="721"/>
      <c r="N70" s="721"/>
      <c r="O70" s="722"/>
      <c r="P70" s="718" t="s">
        <v>40</v>
      </c>
      <c r="Q70" s="719"/>
      <c r="R70" s="719"/>
      <c r="S70" s="719"/>
      <c r="T70" s="719"/>
      <c r="U70" s="719"/>
      <c r="V70" s="72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721"/>
      <c r="B71" s="721"/>
      <c r="C71" s="721"/>
      <c r="D71" s="721"/>
      <c r="E71" s="721"/>
      <c r="F71" s="721"/>
      <c r="G71" s="721"/>
      <c r="H71" s="721"/>
      <c r="I71" s="721"/>
      <c r="J71" s="721"/>
      <c r="K71" s="721"/>
      <c r="L71" s="721"/>
      <c r="M71" s="721"/>
      <c r="N71" s="721"/>
      <c r="O71" s="722"/>
      <c r="P71" s="718" t="s">
        <v>40</v>
      </c>
      <c r="Q71" s="719"/>
      <c r="R71" s="719"/>
      <c r="S71" s="719"/>
      <c r="T71" s="719"/>
      <c r="U71" s="719"/>
      <c r="V71" s="72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712" t="s">
        <v>86</v>
      </c>
      <c r="B72" s="712"/>
      <c r="C72" s="712"/>
      <c r="D72" s="712"/>
      <c r="E72" s="712"/>
      <c r="F72" s="712"/>
      <c r="G72" s="712"/>
      <c r="H72" s="712"/>
      <c r="I72" s="712"/>
      <c r="J72" s="712"/>
      <c r="K72" s="712"/>
      <c r="L72" s="712"/>
      <c r="M72" s="712"/>
      <c r="N72" s="712"/>
      <c r="O72" s="712"/>
      <c r="P72" s="712"/>
      <c r="Q72" s="712"/>
      <c r="R72" s="712"/>
      <c r="S72" s="712"/>
      <c r="T72" s="712"/>
      <c r="U72" s="712"/>
      <c r="V72" s="712"/>
      <c r="W72" s="712"/>
      <c r="X72" s="712"/>
      <c r="Y72" s="712"/>
      <c r="Z72" s="712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713">
        <v>4680115884311</v>
      </c>
      <c r="E73" s="713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5"/>
      <c r="R73" s="715"/>
      <c r="S73" s="715"/>
      <c r="T73" s="71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713">
        <v>4680115884403</v>
      </c>
      <c r="E74" s="71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5"/>
      <c r="R74" s="715"/>
      <c r="S74" s="715"/>
      <c r="T74" s="716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721"/>
      <c r="B75" s="721"/>
      <c r="C75" s="721"/>
      <c r="D75" s="721"/>
      <c r="E75" s="721"/>
      <c r="F75" s="721"/>
      <c r="G75" s="721"/>
      <c r="H75" s="721"/>
      <c r="I75" s="721"/>
      <c r="J75" s="721"/>
      <c r="K75" s="721"/>
      <c r="L75" s="721"/>
      <c r="M75" s="721"/>
      <c r="N75" s="721"/>
      <c r="O75" s="722"/>
      <c r="P75" s="718" t="s">
        <v>40</v>
      </c>
      <c r="Q75" s="719"/>
      <c r="R75" s="719"/>
      <c r="S75" s="719"/>
      <c r="T75" s="719"/>
      <c r="U75" s="719"/>
      <c r="V75" s="72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721"/>
      <c r="B76" s="721"/>
      <c r="C76" s="721"/>
      <c r="D76" s="721"/>
      <c r="E76" s="721"/>
      <c r="F76" s="721"/>
      <c r="G76" s="721"/>
      <c r="H76" s="721"/>
      <c r="I76" s="721"/>
      <c r="J76" s="721"/>
      <c r="K76" s="721"/>
      <c r="L76" s="721"/>
      <c r="M76" s="721"/>
      <c r="N76" s="721"/>
      <c r="O76" s="722"/>
      <c r="P76" s="718" t="s">
        <v>40</v>
      </c>
      <c r="Q76" s="719"/>
      <c r="R76" s="719"/>
      <c r="S76" s="719"/>
      <c r="T76" s="719"/>
      <c r="U76" s="719"/>
      <c r="V76" s="72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712" t="s">
        <v>175</v>
      </c>
      <c r="B77" s="712"/>
      <c r="C77" s="712"/>
      <c r="D77" s="712"/>
      <c r="E77" s="712"/>
      <c r="F77" s="712"/>
      <c r="G77" s="712"/>
      <c r="H77" s="712"/>
      <c r="I77" s="712"/>
      <c r="J77" s="712"/>
      <c r="K77" s="712"/>
      <c r="L77" s="712"/>
      <c r="M77" s="712"/>
      <c r="N77" s="712"/>
      <c r="O77" s="712"/>
      <c r="P77" s="712"/>
      <c r="Q77" s="712"/>
      <c r="R77" s="712"/>
      <c r="S77" s="712"/>
      <c r="T77" s="712"/>
      <c r="U77" s="712"/>
      <c r="V77" s="712"/>
      <c r="W77" s="712"/>
      <c r="X77" s="712"/>
      <c r="Y77" s="712"/>
      <c r="Z77" s="712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713">
        <v>4680115881532</v>
      </c>
      <c r="E78" s="71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5"/>
      <c r="R78" s="715"/>
      <c r="S78" s="715"/>
      <c r="T78" s="71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713">
        <v>4680115881464</v>
      </c>
      <c r="E79" s="71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5"/>
      <c r="R79" s="715"/>
      <c r="S79" s="715"/>
      <c r="T79" s="71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721"/>
      <c r="B80" s="721"/>
      <c r="C80" s="721"/>
      <c r="D80" s="721"/>
      <c r="E80" s="721"/>
      <c r="F80" s="721"/>
      <c r="G80" s="721"/>
      <c r="H80" s="721"/>
      <c r="I80" s="721"/>
      <c r="J80" s="721"/>
      <c r="K80" s="721"/>
      <c r="L80" s="721"/>
      <c r="M80" s="721"/>
      <c r="N80" s="721"/>
      <c r="O80" s="722"/>
      <c r="P80" s="718" t="s">
        <v>40</v>
      </c>
      <c r="Q80" s="719"/>
      <c r="R80" s="719"/>
      <c r="S80" s="719"/>
      <c r="T80" s="719"/>
      <c r="U80" s="719"/>
      <c r="V80" s="72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721"/>
      <c r="B81" s="721"/>
      <c r="C81" s="721"/>
      <c r="D81" s="721"/>
      <c r="E81" s="721"/>
      <c r="F81" s="721"/>
      <c r="G81" s="721"/>
      <c r="H81" s="721"/>
      <c r="I81" s="721"/>
      <c r="J81" s="721"/>
      <c r="K81" s="721"/>
      <c r="L81" s="721"/>
      <c r="M81" s="721"/>
      <c r="N81" s="721"/>
      <c r="O81" s="722"/>
      <c r="P81" s="718" t="s">
        <v>40</v>
      </c>
      <c r="Q81" s="719"/>
      <c r="R81" s="719"/>
      <c r="S81" s="719"/>
      <c r="T81" s="719"/>
      <c r="U81" s="719"/>
      <c r="V81" s="72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711" t="s">
        <v>182</v>
      </c>
      <c r="B82" s="711"/>
      <c r="C82" s="711"/>
      <c r="D82" s="711"/>
      <c r="E82" s="711"/>
      <c r="F82" s="711"/>
      <c r="G82" s="711"/>
      <c r="H82" s="711"/>
      <c r="I82" s="711"/>
      <c r="J82" s="711"/>
      <c r="K82" s="711"/>
      <c r="L82" s="711"/>
      <c r="M82" s="711"/>
      <c r="N82" s="711"/>
      <c r="O82" s="711"/>
      <c r="P82" s="711"/>
      <c r="Q82" s="711"/>
      <c r="R82" s="711"/>
      <c r="S82" s="711"/>
      <c r="T82" s="711"/>
      <c r="U82" s="711"/>
      <c r="V82" s="711"/>
      <c r="W82" s="711"/>
      <c r="X82" s="711"/>
      <c r="Y82" s="711"/>
      <c r="Z82" s="711"/>
      <c r="AA82" s="65"/>
      <c r="AB82" s="65"/>
      <c r="AC82" s="79"/>
    </row>
    <row r="83" spans="1:68" ht="14.25" customHeight="1" x14ac:dyDescent="0.25">
      <c r="A83" s="712" t="s">
        <v>122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713">
        <v>4680115881327</v>
      </c>
      <c r="E84" s="713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5"/>
      <c r="R84" s="715"/>
      <c r="S84" s="715"/>
      <c r="T84" s="71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713">
        <v>4680115887732</v>
      </c>
      <c r="E85" s="713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5"/>
      <c r="R85" s="715"/>
      <c r="S85" s="715"/>
      <c r="T85" s="71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4301011476</v>
      </c>
      <c r="D86" s="713">
        <v>4680115881518</v>
      </c>
      <c r="E86" s="713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5"/>
      <c r="R86" s="715"/>
      <c r="S86" s="715"/>
      <c r="T86" s="71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713">
        <v>4680115881303</v>
      </c>
      <c r="E87" s="713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5"/>
      <c r="R87" s="715"/>
      <c r="S87" s="715"/>
      <c r="T87" s="71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721"/>
      <c r="B88" s="721"/>
      <c r="C88" s="721"/>
      <c r="D88" s="721"/>
      <c r="E88" s="721"/>
      <c r="F88" s="721"/>
      <c r="G88" s="721"/>
      <c r="H88" s="721"/>
      <c r="I88" s="721"/>
      <c r="J88" s="721"/>
      <c r="K88" s="721"/>
      <c r="L88" s="721"/>
      <c r="M88" s="721"/>
      <c r="N88" s="721"/>
      <c r="O88" s="722"/>
      <c r="P88" s="718" t="s">
        <v>40</v>
      </c>
      <c r="Q88" s="719"/>
      <c r="R88" s="719"/>
      <c r="S88" s="719"/>
      <c r="T88" s="719"/>
      <c r="U88" s="719"/>
      <c r="V88" s="72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721"/>
      <c r="B89" s="721"/>
      <c r="C89" s="721"/>
      <c r="D89" s="721"/>
      <c r="E89" s="721"/>
      <c r="F89" s="721"/>
      <c r="G89" s="721"/>
      <c r="H89" s="721"/>
      <c r="I89" s="721"/>
      <c r="J89" s="721"/>
      <c r="K89" s="721"/>
      <c r="L89" s="721"/>
      <c r="M89" s="721"/>
      <c r="N89" s="721"/>
      <c r="O89" s="722"/>
      <c r="P89" s="718" t="s">
        <v>40</v>
      </c>
      <c r="Q89" s="719"/>
      <c r="R89" s="719"/>
      <c r="S89" s="719"/>
      <c r="T89" s="719"/>
      <c r="U89" s="719"/>
      <c r="V89" s="72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712" t="s">
        <v>86</v>
      </c>
      <c r="B90" s="712"/>
      <c r="C90" s="712"/>
      <c r="D90" s="712"/>
      <c r="E90" s="712"/>
      <c r="F90" s="712"/>
      <c r="G90" s="712"/>
      <c r="H90" s="712"/>
      <c r="I90" s="712"/>
      <c r="J90" s="712"/>
      <c r="K90" s="712"/>
      <c r="L90" s="712"/>
      <c r="M90" s="712"/>
      <c r="N90" s="712"/>
      <c r="O90" s="712"/>
      <c r="P90" s="712"/>
      <c r="Q90" s="712"/>
      <c r="R90" s="712"/>
      <c r="S90" s="712"/>
      <c r="T90" s="712"/>
      <c r="U90" s="712"/>
      <c r="V90" s="712"/>
      <c r="W90" s="712"/>
      <c r="X90" s="712"/>
      <c r="Y90" s="712"/>
      <c r="Z90" s="712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713">
        <v>4607091386967</v>
      </c>
      <c r="E91" s="713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5"/>
      <c r="R91" s="715"/>
      <c r="S91" s="715"/>
      <c r="T91" s="71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4301051788</v>
      </c>
      <c r="D92" s="713">
        <v>4680115884953</v>
      </c>
      <c r="E92" s="713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5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5"/>
      <c r="R92" s="715"/>
      <c r="S92" s="715"/>
      <c r="T92" s="71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3">
        <v>4607091385731</v>
      </c>
      <c r="E93" s="713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5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5"/>
      <c r="R93" s="715"/>
      <c r="S93" s="715"/>
      <c r="T93" s="71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200</v>
      </c>
      <c r="B94" s="63" t="s">
        <v>201</v>
      </c>
      <c r="C94" s="36">
        <v>4301052092</v>
      </c>
      <c r="D94" s="713">
        <v>4680115880894</v>
      </c>
      <c r="E94" s="713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5"/>
      <c r="R94" s="715"/>
      <c r="S94" s="715"/>
      <c r="T94" s="716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1"/>
      <c r="B95" s="721"/>
      <c r="C95" s="721"/>
      <c r="D95" s="721"/>
      <c r="E95" s="721"/>
      <c r="F95" s="721"/>
      <c r="G95" s="721"/>
      <c r="H95" s="721"/>
      <c r="I95" s="721"/>
      <c r="J95" s="721"/>
      <c r="K95" s="721"/>
      <c r="L95" s="721"/>
      <c r="M95" s="721"/>
      <c r="N95" s="721"/>
      <c r="O95" s="722"/>
      <c r="P95" s="718" t="s">
        <v>40</v>
      </c>
      <c r="Q95" s="719"/>
      <c r="R95" s="719"/>
      <c r="S95" s="719"/>
      <c r="T95" s="719"/>
      <c r="U95" s="719"/>
      <c r="V95" s="720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721"/>
      <c r="B96" s="721"/>
      <c r="C96" s="721"/>
      <c r="D96" s="721"/>
      <c r="E96" s="721"/>
      <c r="F96" s="721"/>
      <c r="G96" s="721"/>
      <c r="H96" s="721"/>
      <c r="I96" s="721"/>
      <c r="J96" s="721"/>
      <c r="K96" s="721"/>
      <c r="L96" s="721"/>
      <c r="M96" s="721"/>
      <c r="N96" s="721"/>
      <c r="O96" s="722"/>
      <c r="P96" s="718" t="s">
        <v>40</v>
      </c>
      <c r="Q96" s="719"/>
      <c r="R96" s="719"/>
      <c r="S96" s="719"/>
      <c r="T96" s="719"/>
      <c r="U96" s="719"/>
      <c r="V96" s="720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711" t="s">
        <v>203</v>
      </c>
      <c r="B97" s="711"/>
      <c r="C97" s="711"/>
      <c r="D97" s="711"/>
      <c r="E97" s="711"/>
      <c r="F97" s="711"/>
      <c r="G97" s="711"/>
      <c r="H97" s="711"/>
      <c r="I97" s="711"/>
      <c r="J97" s="711"/>
      <c r="K97" s="711"/>
      <c r="L97" s="711"/>
      <c r="M97" s="711"/>
      <c r="N97" s="711"/>
      <c r="O97" s="711"/>
      <c r="P97" s="711"/>
      <c r="Q97" s="711"/>
      <c r="R97" s="711"/>
      <c r="S97" s="711"/>
      <c r="T97" s="711"/>
      <c r="U97" s="711"/>
      <c r="V97" s="711"/>
      <c r="W97" s="711"/>
      <c r="X97" s="711"/>
      <c r="Y97" s="711"/>
      <c r="Z97" s="711"/>
      <c r="AA97" s="65"/>
      <c r="AB97" s="65"/>
      <c r="AC97" s="79"/>
    </row>
    <row r="98" spans="1:68" ht="14.25" customHeight="1" x14ac:dyDescent="0.25">
      <c r="A98" s="712" t="s">
        <v>122</v>
      </c>
      <c r="B98" s="712"/>
      <c r="C98" s="712"/>
      <c r="D98" s="712"/>
      <c r="E98" s="712"/>
      <c r="F98" s="712"/>
      <c r="G98" s="712"/>
      <c r="H98" s="712"/>
      <c r="I98" s="712"/>
      <c r="J98" s="712"/>
      <c r="K98" s="712"/>
      <c r="L98" s="712"/>
      <c r="M98" s="712"/>
      <c r="N98" s="712"/>
      <c r="O98" s="712"/>
      <c r="P98" s="712"/>
      <c r="Q98" s="712"/>
      <c r="R98" s="712"/>
      <c r="S98" s="712"/>
      <c r="T98" s="712"/>
      <c r="U98" s="712"/>
      <c r="V98" s="712"/>
      <c r="W98" s="712"/>
      <c r="X98" s="712"/>
      <c r="Y98" s="712"/>
      <c r="Z98" s="712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713">
        <v>4680115882133</v>
      </c>
      <c r="E99" s="713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5"/>
      <c r="R99" s="715"/>
      <c r="S99" s="715"/>
      <c r="T99" s="716"/>
      <c r="U99" s="39" t="s">
        <v>46</v>
      </c>
      <c r="V99" s="39" t="s">
        <v>46</v>
      </c>
      <c r="W99" s="40" t="s">
        <v>0</v>
      </c>
      <c r="X99" s="58">
        <v>500</v>
      </c>
      <c r="Y99" s="55">
        <f t="shared" ref="Y99:Y105" si="5">IFERROR(IF(X99="",0,CEILING((X99/$H99),1)*$H99),"")</f>
        <v>507.6</v>
      </c>
      <c r="Z99" s="41">
        <f>IFERROR(IF(Y99=0,"",ROUNDUP(Y99/H99,0)*0.01898),"")</f>
        <v>0.89205999999999996</v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518.98148148148141</v>
      </c>
      <c r="BN99" s="78">
        <f t="shared" ref="BN99:BN105" si="7">IFERROR(Y99*I99/H99,"0")</f>
        <v>526.87</v>
      </c>
      <c r="BO99" s="78">
        <f t="shared" ref="BO99:BO105" si="8">IFERROR(1/J99*(X99/H99),"0")</f>
        <v>0.72337962962962954</v>
      </c>
      <c r="BP99" s="78">
        <f t="shared" ref="BP99:BP105" si="9">IFERROR(1/J99*(Y99/H99),"0")</f>
        <v>0.734375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713">
        <v>4680115887718</v>
      </c>
      <c r="E100" s="713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5"/>
      <c r="R100" s="715"/>
      <c r="S100" s="715"/>
      <c r="T100" s="71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customHeight="1" x14ac:dyDescent="0.25">
      <c r="A101" s="63" t="s">
        <v>207</v>
      </c>
      <c r="B101" s="63" t="s">
        <v>210</v>
      </c>
      <c r="C101" s="36">
        <v>4301012334</v>
      </c>
      <c r="D101" s="713">
        <v>4680115887718</v>
      </c>
      <c r="E101" s="713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5"/>
      <c r="R101" s="715"/>
      <c r="S101" s="715"/>
      <c r="T101" s="71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customHeight="1" x14ac:dyDescent="0.25">
      <c r="A102" s="63" t="s">
        <v>207</v>
      </c>
      <c r="B102" s="63" t="s">
        <v>211</v>
      </c>
      <c r="C102" s="36">
        <v>4301012379</v>
      </c>
      <c r="D102" s="713">
        <v>4680115887718</v>
      </c>
      <c r="E102" s="713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5"/>
      <c r="R102" s="715"/>
      <c r="S102" s="715"/>
      <c r="T102" s="71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713">
        <v>4680115880269</v>
      </c>
      <c r="E103" s="713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5"/>
      <c r="R103" s="715"/>
      <c r="S103" s="715"/>
      <c r="T103" s="71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713">
        <v>4680115880429</v>
      </c>
      <c r="E104" s="713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5"/>
      <c r="R104" s="715"/>
      <c r="S104" s="715"/>
      <c r="T104" s="71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customHeight="1" x14ac:dyDescent="0.25">
      <c r="A105" s="63" t="s">
        <v>216</v>
      </c>
      <c r="B105" s="63" t="s">
        <v>217</v>
      </c>
      <c r="C105" s="36">
        <v>4301011462</v>
      </c>
      <c r="D105" s="713">
        <v>4680115881457</v>
      </c>
      <c r="E105" s="713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5"/>
      <c r="R105" s="715"/>
      <c r="S105" s="715"/>
      <c r="T105" s="71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721"/>
      <c r="B106" s="721"/>
      <c r="C106" s="721"/>
      <c r="D106" s="721"/>
      <c r="E106" s="721"/>
      <c r="F106" s="721"/>
      <c r="G106" s="721"/>
      <c r="H106" s="721"/>
      <c r="I106" s="721"/>
      <c r="J106" s="721"/>
      <c r="K106" s="721"/>
      <c r="L106" s="721"/>
      <c r="M106" s="721"/>
      <c r="N106" s="721"/>
      <c r="O106" s="722"/>
      <c r="P106" s="718" t="s">
        <v>40</v>
      </c>
      <c r="Q106" s="719"/>
      <c r="R106" s="719"/>
      <c r="S106" s="719"/>
      <c r="T106" s="719"/>
      <c r="U106" s="719"/>
      <c r="V106" s="720"/>
      <c r="W106" s="42" t="s">
        <v>39</v>
      </c>
      <c r="X106" s="43">
        <f>IFERROR(X99/H99,"0")+IFERROR(X100/H100,"0")+IFERROR(X101/H101,"0")+IFERROR(X102/H102,"0")+IFERROR(X103/H103,"0")+IFERROR(X104/H104,"0")+IFERROR(X105/H105,"0")</f>
        <v>46.296296296296291</v>
      </c>
      <c r="Y106" s="43">
        <f>IFERROR(Y99/H99,"0")+IFERROR(Y100/H100,"0")+IFERROR(Y101/H101,"0")+IFERROR(Y102/H102,"0")+IFERROR(Y103/H103,"0")+IFERROR(Y104/H104,"0")+IFERROR(Y105/H105,"0")</f>
        <v>47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0.89205999999999996</v>
      </c>
      <c r="AA106" s="67"/>
      <c r="AB106" s="67"/>
      <c r="AC106" s="67"/>
    </row>
    <row r="107" spans="1:68" x14ac:dyDescent="0.2">
      <c r="A107" s="721"/>
      <c r="B107" s="721"/>
      <c r="C107" s="721"/>
      <c r="D107" s="721"/>
      <c r="E107" s="721"/>
      <c r="F107" s="721"/>
      <c r="G107" s="721"/>
      <c r="H107" s="721"/>
      <c r="I107" s="721"/>
      <c r="J107" s="721"/>
      <c r="K107" s="721"/>
      <c r="L107" s="721"/>
      <c r="M107" s="721"/>
      <c r="N107" s="721"/>
      <c r="O107" s="722"/>
      <c r="P107" s="718" t="s">
        <v>40</v>
      </c>
      <c r="Q107" s="719"/>
      <c r="R107" s="719"/>
      <c r="S107" s="719"/>
      <c r="T107" s="719"/>
      <c r="U107" s="719"/>
      <c r="V107" s="720"/>
      <c r="W107" s="42" t="s">
        <v>0</v>
      </c>
      <c r="X107" s="43">
        <f>IFERROR(SUM(X99:X105),"0")</f>
        <v>500</v>
      </c>
      <c r="Y107" s="43">
        <f>IFERROR(SUM(Y99:Y105),"0")</f>
        <v>507.6</v>
      </c>
      <c r="Z107" s="42"/>
      <c r="AA107" s="67"/>
      <c r="AB107" s="67"/>
      <c r="AC107" s="67"/>
    </row>
    <row r="108" spans="1:68" ht="14.25" customHeight="1" x14ac:dyDescent="0.25">
      <c r="A108" s="712" t="s">
        <v>158</v>
      </c>
      <c r="B108" s="712"/>
      <c r="C108" s="712"/>
      <c r="D108" s="712"/>
      <c r="E108" s="712"/>
      <c r="F108" s="712"/>
      <c r="G108" s="712"/>
      <c r="H108" s="712"/>
      <c r="I108" s="712"/>
      <c r="J108" s="712"/>
      <c r="K108" s="712"/>
      <c r="L108" s="712"/>
      <c r="M108" s="712"/>
      <c r="N108" s="712"/>
      <c r="O108" s="712"/>
      <c r="P108" s="712"/>
      <c r="Q108" s="712"/>
      <c r="R108" s="712"/>
      <c r="S108" s="712"/>
      <c r="T108" s="712"/>
      <c r="U108" s="712"/>
      <c r="V108" s="712"/>
      <c r="W108" s="712"/>
      <c r="X108" s="712"/>
      <c r="Y108" s="712"/>
      <c r="Z108" s="712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713">
        <v>4680115881488</v>
      </c>
      <c r="E109" s="713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6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5"/>
      <c r="R109" s="715"/>
      <c r="S109" s="715"/>
      <c r="T109" s="71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713">
        <v>4680115887664</v>
      </c>
      <c r="E110" s="713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6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5"/>
      <c r="R110" s="715"/>
      <c r="S110" s="715"/>
      <c r="T110" s="71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221</v>
      </c>
      <c r="B111" s="63" t="s">
        <v>225</v>
      </c>
      <c r="C111" s="36">
        <v>4301020430</v>
      </c>
      <c r="D111" s="713">
        <v>4680115887664</v>
      </c>
      <c r="E111" s="713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5"/>
      <c r="R111" s="715"/>
      <c r="S111" s="715"/>
      <c r="T111" s="71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4301020393</v>
      </c>
      <c r="D112" s="713">
        <v>4680115882775</v>
      </c>
      <c r="E112" s="713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5"/>
      <c r="R112" s="715"/>
      <c r="S112" s="715"/>
      <c r="T112" s="71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713">
        <v>4680115880658</v>
      </c>
      <c r="E113" s="713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5"/>
      <c r="R113" s="715"/>
      <c r="S113" s="715"/>
      <c r="T113" s="71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721"/>
      <c r="B114" s="721"/>
      <c r="C114" s="721"/>
      <c r="D114" s="721"/>
      <c r="E114" s="721"/>
      <c r="F114" s="721"/>
      <c r="G114" s="721"/>
      <c r="H114" s="721"/>
      <c r="I114" s="721"/>
      <c r="J114" s="721"/>
      <c r="K114" s="721"/>
      <c r="L114" s="721"/>
      <c r="M114" s="721"/>
      <c r="N114" s="721"/>
      <c r="O114" s="722"/>
      <c r="P114" s="718" t="s">
        <v>40</v>
      </c>
      <c r="Q114" s="719"/>
      <c r="R114" s="719"/>
      <c r="S114" s="719"/>
      <c r="T114" s="719"/>
      <c r="U114" s="719"/>
      <c r="V114" s="72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721"/>
      <c r="B115" s="721"/>
      <c r="C115" s="721"/>
      <c r="D115" s="721"/>
      <c r="E115" s="721"/>
      <c r="F115" s="721"/>
      <c r="G115" s="721"/>
      <c r="H115" s="721"/>
      <c r="I115" s="721"/>
      <c r="J115" s="721"/>
      <c r="K115" s="721"/>
      <c r="L115" s="721"/>
      <c r="M115" s="721"/>
      <c r="N115" s="721"/>
      <c r="O115" s="722"/>
      <c r="P115" s="718" t="s">
        <v>40</v>
      </c>
      <c r="Q115" s="719"/>
      <c r="R115" s="719"/>
      <c r="S115" s="719"/>
      <c r="T115" s="719"/>
      <c r="U115" s="719"/>
      <c r="V115" s="72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customHeight="1" x14ac:dyDescent="0.25">
      <c r="A116" s="712" t="s">
        <v>86</v>
      </c>
      <c r="B116" s="712"/>
      <c r="C116" s="712"/>
      <c r="D116" s="712"/>
      <c r="E116" s="712"/>
      <c r="F116" s="712"/>
      <c r="G116" s="712"/>
      <c r="H116" s="712"/>
      <c r="I116" s="712"/>
      <c r="J116" s="712"/>
      <c r="K116" s="712"/>
      <c r="L116" s="712"/>
      <c r="M116" s="712"/>
      <c r="N116" s="712"/>
      <c r="O116" s="712"/>
      <c r="P116" s="712"/>
      <c r="Q116" s="712"/>
      <c r="R116" s="712"/>
      <c r="S116" s="712"/>
      <c r="T116" s="712"/>
      <c r="U116" s="712"/>
      <c r="V116" s="712"/>
      <c r="W116" s="712"/>
      <c r="X116" s="712"/>
      <c r="Y116" s="712"/>
      <c r="Z116" s="712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713">
        <v>4607091385168</v>
      </c>
      <c r="E117" s="713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5"/>
      <c r="R117" s="715"/>
      <c r="S117" s="715"/>
      <c r="T117" s="71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4301051730</v>
      </c>
      <c r="D118" s="713">
        <v>4607091383256</v>
      </c>
      <c r="E118" s="713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5"/>
      <c r="R118" s="715"/>
      <c r="S118" s="715"/>
      <c r="T118" s="71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3">
        <v>4607091385748</v>
      </c>
      <c r="E119" s="713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5"/>
      <c r="R119" s="715"/>
      <c r="S119" s="715"/>
      <c r="T119" s="71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713">
        <v>4680115884533</v>
      </c>
      <c r="E120" s="713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5"/>
      <c r="R120" s="715"/>
      <c r="S120" s="715"/>
      <c r="T120" s="716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721"/>
      <c r="B121" s="721"/>
      <c r="C121" s="721"/>
      <c r="D121" s="721"/>
      <c r="E121" s="721"/>
      <c r="F121" s="721"/>
      <c r="G121" s="721"/>
      <c r="H121" s="721"/>
      <c r="I121" s="721"/>
      <c r="J121" s="721"/>
      <c r="K121" s="721"/>
      <c r="L121" s="721"/>
      <c r="M121" s="721"/>
      <c r="N121" s="721"/>
      <c r="O121" s="722"/>
      <c r="P121" s="718" t="s">
        <v>40</v>
      </c>
      <c r="Q121" s="719"/>
      <c r="R121" s="719"/>
      <c r="S121" s="719"/>
      <c r="T121" s="719"/>
      <c r="U121" s="719"/>
      <c r="V121" s="720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721"/>
      <c r="B122" s="721"/>
      <c r="C122" s="721"/>
      <c r="D122" s="721"/>
      <c r="E122" s="721"/>
      <c r="F122" s="721"/>
      <c r="G122" s="721"/>
      <c r="H122" s="721"/>
      <c r="I122" s="721"/>
      <c r="J122" s="721"/>
      <c r="K122" s="721"/>
      <c r="L122" s="721"/>
      <c r="M122" s="721"/>
      <c r="N122" s="721"/>
      <c r="O122" s="722"/>
      <c r="P122" s="718" t="s">
        <v>40</v>
      </c>
      <c r="Q122" s="719"/>
      <c r="R122" s="719"/>
      <c r="S122" s="719"/>
      <c r="T122" s="719"/>
      <c r="U122" s="719"/>
      <c r="V122" s="720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customHeight="1" x14ac:dyDescent="0.25">
      <c r="A123" s="712" t="s">
        <v>175</v>
      </c>
      <c r="B123" s="712"/>
      <c r="C123" s="712"/>
      <c r="D123" s="712"/>
      <c r="E123" s="712"/>
      <c r="F123" s="712"/>
      <c r="G123" s="712"/>
      <c r="H123" s="712"/>
      <c r="I123" s="712"/>
      <c r="J123" s="712"/>
      <c r="K123" s="712"/>
      <c r="L123" s="712"/>
      <c r="M123" s="712"/>
      <c r="N123" s="712"/>
      <c r="O123" s="712"/>
      <c r="P123" s="712"/>
      <c r="Q123" s="712"/>
      <c r="R123" s="712"/>
      <c r="S123" s="712"/>
      <c r="T123" s="712"/>
      <c r="U123" s="712"/>
      <c r="V123" s="712"/>
      <c r="W123" s="712"/>
      <c r="X123" s="712"/>
      <c r="Y123" s="712"/>
      <c r="Z123" s="712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713">
        <v>4680115880238</v>
      </c>
      <c r="E124" s="713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5"/>
      <c r="R124" s="715"/>
      <c r="S124" s="715"/>
      <c r="T124" s="71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721"/>
      <c r="B125" s="721"/>
      <c r="C125" s="721"/>
      <c r="D125" s="721"/>
      <c r="E125" s="721"/>
      <c r="F125" s="721"/>
      <c r="G125" s="721"/>
      <c r="H125" s="721"/>
      <c r="I125" s="721"/>
      <c r="J125" s="721"/>
      <c r="K125" s="721"/>
      <c r="L125" s="721"/>
      <c r="M125" s="721"/>
      <c r="N125" s="721"/>
      <c r="O125" s="722"/>
      <c r="P125" s="718" t="s">
        <v>40</v>
      </c>
      <c r="Q125" s="719"/>
      <c r="R125" s="719"/>
      <c r="S125" s="719"/>
      <c r="T125" s="719"/>
      <c r="U125" s="719"/>
      <c r="V125" s="72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721"/>
      <c r="B126" s="721"/>
      <c r="C126" s="721"/>
      <c r="D126" s="721"/>
      <c r="E126" s="721"/>
      <c r="F126" s="721"/>
      <c r="G126" s="721"/>
      <c r="H126" s="721"/>
      <c r="I126" s="721"/>
      <c r="J126" s="721"/>
      <c r="K126" s="721"/>
      <c r="L126" s="721"/>
      <c r="M126" s="721"/>
      <c r="N126" s="721"/>
      <c r="O126" s="722"/>
      <c r="P126" s="718" t="s">
        <v>40</v>
      </c>
      <c r="Q126" s="719"/>
      <c r="R126" s="719"/>
      <c r="S126" s="719"/>
      <c r="T126" s="719"/>
      <c r="U126" s="719"/>
      <c r="V126" s="72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customHeight="1" x14ac:dyDescent="0.25">
      <c r="A127" s="711" t="s">
        <v>243</v>
      </c>
      <c r="B127" s="711"/>
      <c r="C127" s="711"/>
      <c r="D127" s="711"/>
      <c r="E127" s="711"/>
      <c r="F127" s="711"/>
      <c r="G127" s="711"/>
      <c r="H127" s="711"/>
      <c r="I127" s="711"/>
      <c r="J127" s="711"/>
      <c r="K127" s="711"/>
      <c r="L127" s="711"/>
      <c r="M127" s="711"/>
      <c r="N127" s="711"/>
      <c r="O127" s="711"/>
      <c r="P127" s="711"/>
      <c r="Q127" s="711"/>
      <c r="R127" s="711"/>
      <c r="S127" s="711"/>
      <c r="T127" s="711"/>
      <c r="U127" s="711"/>
      <c r="V127" s="711"/>
      <c r="W127" s="711"/>
      <c r="X127" s="711"/>
      <c r="Y127" s="711"/>
      <c r="Z127" s="711"/>
      <c r="AA127" s="65"/>
      <c r="AB127" s="65"/>
      <c r="AC127" s="79"/>
    </row>
    <row r="128" spans="1:68" ht="14.25" customHeight="1" x14ac:dyDescent="0.25">
      <c r="A128" s="712" t="s">
        <v>122</v>
      </c>
      <c r="B128" s="712"/>
      <c r="C128" s="712"/>
      <c r="D128" s="712"/>
      <c r="E128" s="712"/>
      <c r="F128" s="712"/>
      <c r="G128" s="712"/>
      <c r="H128" s="712"/>
      <c r="I128" s="712"/>
      <c r="J128" s="712"/>
      <c r="K128" s="712"/>
      <c r="L128" s="712"/>
      <c r="M128" s="712"/>
      <c r="N128" s="712"/>
      <c r="O128" s="712"/>
      <c r="P128" s="712"/>
      <c r="Q128" s="712"/>
      <c r="R128" s="712"/>
      <c r="S128" s="712"/>
      <c r="T128" s="712"/>
      <c r="U128" s="712"/>
      <c r="V128" s="712"/>
      <c r="W128" s="712"/>
      <c r="X128" s="712"/>
      <c r="Y128" s="712"/>
      <c r="Z128" s="712"/>
      <c r="AA128" s="66"/>
      <c r="AB128" s="66"/>
      <c r="AC128" s="80"/>
    </row>
    <row r="129" spans="1:68" ht="27" customHeight="1" x14ac:dyDescent="0.25">
      <c r="A129" s="63" t="s">
        <v>244</v>
      </c>
      <c r="B129" s="63" t="s">
        <v>245</v>
      </c>
      <c r="C129" s="36">
        <v>4301012347</v>
      </c>
      <c r="D129" s="713">
        <v>4680115888784</v>
      </c>
      <c r="E129" s="713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5"/>
      <c r="R129" s="715"/>
      <c r="S129" s="715"/>
      <c r="T129" s="71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713">
        <v>4680115882577</v>
      </c>
      <c r="E130" s="71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5"/>
      <c r="R130" s="715"/>
      <c r="S130" s="715"/>
      <c r="T130" s="71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713">
        <v>4680115882577</v>
      </c>
      <c r="E131" s="71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5"/>
      <c r="R131" s="715"/>
      <c r="S131" s="715"/>
      <c r="T131" s="71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721"/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2"/>
      <c r="P132" s="718" t="s">
        <v>40</v>
      </c>
      <c r="Q132" s="719"/>
      <c r="R132" s="719"/>
      <c r="S132" s="719"/>
      <c r="T132" s="719"/>
      <c r="U132" s="719"/>
      <c r="V132" s="72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721"/>
      <c r="B133" s="721"/>
      <c r="C133" s="721"/>
      <c r="D133" s="721"/>
      <c r="E133" s="721"/>
      <c r="F133" s="721"/>
      <c r="G133" s="721"/>
      <c r="H133" s="721"/>
      <c r="I133" s="721"/>
      <c r="J133" s="721"/>
      <c r="K133" s="721"/>
      <c r="L133" s="721"/>
      <c r="M133" s="721"/>
      <c r="N133" s="721"/>
      <c r="O133" s="722"/>
      <c r="P133" s="718" t="s">
        <v>40</v>
      </c>
      <c r="Q133" s="719"/>
      <c r="R133" s="719"/>
      <c r="S133" s="719"/>
      <c r="T133" s="719"/>
      <c r="U133" s="719"/>
      <c r="V133" s="72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712" t="s">
        <v>77</v>
      </c>
      <c r="B134" s="712"/>
      <c r="C134" s="712"/>
      <c r="D134" s="712"/>
      <c r="E134" s="712"/>
      <c r="F134" s="712"/>
      <c r="G134" s="712"/>
      <c r="H134" s="712"/>
      <c r="I134" s="712"/>
      <c r="J134" s="712"/>
      <c r="K134" s="712"/>
      <c r="L134" s="712"/>
      <c r="M134" s="712"/>
      <c r="N134" s="712"/>
      <c r="O134" s="712"/>
      <c r="P134" s="712"/>
      <c r="Q134" s="712"/>
      <c r="R134" s="712"/>
      <c r="S134" s="712"/>
      <c r="T134" s="712"/>
      <c r="U134" s="712"/>
      <c r="V134" s="712"/>
      <c r="W134" s="712"/>
      <c r="X134" s="712"/>
      <c r="Y134" s="712"/>
      <c r="Z134" s="712"/>
      <c r="AA134" s="66"/>
      <c r="AB134" s="66"/>
      <c r="AC134" s="80"/>
    </row>
    <row r="135" spans="1:68" ht="16.5" customHeight="1" x14ac:dyDescent="0.25">
      <c r="A135" s="63" t="s">
        <v>253</v>
      </c>
      <c r="B135" s="63" t="s">
        <v>254</v>
      </c>
      <c r="C135" s="36">
        <v>4301031506</v>
      </c>
      <c r="D135" s="713">
        <v>4680115888913</v>
      </c>
      <c r="E135" s="713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5"/>
      <c r="R135" s="715"/>
      <c r="S135" s="715"/>
      <c r="T135" s="71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713">
        <v>4680115883444</v>
      </c>
      <c r="E136" s="71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5"/>
      <c r="R136" s="715"/>
      <c r="S136" s="715"/>
      <c r="T136" s="71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256</v>
      </c>
      <c r="B137" s="63" t="s">
        <v>259</v>
      </c>
      <c r="C137" s="36">
        <v>4301031235</v>
      </c>
      <c r="D137" s="713">
        <v>4680115883444</v>
      </c>
      <c r="E137" s="713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5"/>
      <c r="R137" s="715"/>
      <c r="S137" s="715"/>
      <c r="T137" s="71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260</v>
      </c>
      <c r="B138" s="63" t="s">
        <v>261</v>
      </c>
      <c r="C138" s="36">
        <v>4301031504</v>
      </c>
      <c r="D138" s="713">
        <v>4680115888920</v>
      </c>
      <c r="E138" s="713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5"/>
      <c r="R138" s="715"/>
      <c r="S138" s="715"/>
      <c r="T138" s="716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21"/>
      <c r="B139" s="721"/>
      <c r="C139" s="721"/>
      <c r="D139" s="721"/>
      <c r="E139" s="721"/>
      <c r="F139" s="721"/>
      <c r="G139" s="721"/>
      <c r="H139" s="721"/>
      <c r="I139" s="721"/>
      <c r="J139" s="721"/>
      <c r="K139" s="721"/>
      <c r="L139" s="721"/>
      <c r="M139" s="721"/>
      <c r="N139" s="721"/>
      <c r="O139" s="722"/>
      <c r="P139" s="718" t="s">
        <v>40</v>
      </c>
      <c r="Q139" s="719"/>
      <c r="R139" s="719"/>
      <c r="S139" s="719"/>
      <c r="T139" s="719"/>
      <c r="U139" s="719"/>
      <c r="V139" s="72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721"/>
      <c r="B140" s="721"/>
      <c r="C140" s="721"/>
      <c r="D140" s="721"/>
      <c r="E140" s="721"/>
      <c r="F140" s="721"/>
      <c r="G140" s="721"/>
      <c r="H140" s="721"/>
      <c r="I140" s="721"/>
      <c r="J140" s="721"/>
      <c r="K140" s="721"/>
      <c r="L140" s="721"/>
      <c r="M140" s="721"/>
      <c r="N140" s="721"/>
      <c r="O140" s="722"/>
      <c r="P140" s="718" t="s">
        <v>40</v>
      </c>
      <c r="Q140" s="719"/>
      <c r="R140" s="719"/>
      <c r="S140" s="719"/>
      <c r="T140" s="719"/>
      <c r="U140" s="719"/>
      <c r="V140" s="72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customHeight="1" x14ac:dyDescent="0.25">
      <c r="A141" s="712" t="s">
        <v>86</v>
      </c>
      <c r="B141" s="712"/>
      <c r="C141" s="712"/>
      <c r="D141" s="712"/>
      <c r="E141" s="712"/>
      <c r="F141" s="712"/>
      <c r="G141" s="712"/>
      <c r="H141" s="712"/>
      <c r="I141" s="712"/>
      <c r="J141" s="712"/>
      <c r="K141" s="712"/>
      <c r="L141" s="712"/>
      <c r="M141" s="712"/>
      <c r="N141" s="712"/>
      <c r="O141" s="712"/>
      <c r="P141" s="712"/>
      <c r="Q141" s="712"/>
      <c r="R141" s="712"/>
      <c r="S141" s="712"/>
      <c r="T141" s="712"/>
      <c r="U141" s="712"/>
      <c r="V141" s="712"/>
      <c r="W141" s="712"/>
      <c r="X141" s="712"/>
      <c r="Y141" s="712"/>
      <c r="Z141" s="712"/>
      <c r="AA141" s="66"/>
      <c r="AB141" s="66"/>
      <c r="AC141" s="80"/>
    </row>
    <row r="142" spans="1:68" ht="16.5" customHeight="1" x14ac:dyDescent="0.25">
      <c r="A142" s="63" t="s">
        <v>262</v>
      </c>
      <c r="B142" s="63" t="s">
        <v>263</v>
      </c>
      <c r="C142" s="36">
        <v>4301052219</v>
      </c>
      <c r="D142" s="713">
        <v>4680115888944</v>
      </c>
      <c r="E142" s="713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5"/>
      <c r="R142" s="715"/>
      <c r="S142" s="715"/>
      <c r="T142" s="71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713">
        <v>4680115882584</v>
      </c>
      <c r="E143" s="71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5"/>
      <c r="R143" s="715"/>
      <c r="S143" s="715"/>
      <c r="T143" s="71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264</v>
      </c>
      <c r="B144" s="63" t="s">
        <v>266</v>
      </c>
      <c r="C144" s="36">
        <v>4301051477</v>
      </c>
      <c r="D144" s="713">
        <v>4680115882584</v>
      </c>
      <c r="E144" s="71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5"/>
      <c r="R144" s="715"/>
      <c r="S144" s="715"/>
      <c r="T144" s="71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721"/>
      <c r="B145" s="721"/>
      <c r="C145" s="721"/>
      <c r="D145" s="721"/>
      <c r="E145" s="721"/>
      <c r="F145" s="721"/>
      <c r="G145" s="721"/>
      <c r="H145" s="721"/>
      <c r="I145" s="721"/>
      <c r="J145" s="721"/>
      <c r="K145" s="721"/>
      <c r="L145" s="721"/>
      <c r="M145" s="721"/>
      <c r="N145" s="721"/>
      <c r="O145" s="722"/>
      <c r="P145" s="718" t="s">
        <v>40</v>
      </c>
      <c r="Q145" s="719"/>
      <c r="R145" s="719"/>
      <c r="S145" s="719"/>
      <c r="T145" s="719"/>
      <c r="U145" s="719"/>
      <c r="V145" s="72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721"/>
      <c r="B146" s="721"/>
      <c r="C146" s="721"/>
      <c r="D146" s="721"/>
      <c r="E146" s="721"/>
      <c r="F146" s="721"/>
      <c r="G146" s="721"/>
      <c r="H146" s="721"/>
      <c r="I146" s="721"/>
      <c r="J146" s="721"/>
      <c r="K146" s="721"/>
      <c r="L146" s="721"/>
      <c r="M146" s="721"/>
      <c r="N146" s="721"/>
      <c r="O146" s="722"/>
      <c r="P146" s="718" t="s">
        <v>40</v>
      </c>
      <c r="Q146" s="719"/>
      <c r="R146" s="719"/>
      <c r="S146" s="719"/>
      <c r="T146" s="719"/>
      <c r="U146" s="719"/>
      <c r="V146" s="72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customHeight="1" x14ac:dyDescent="0.25">
      <c r="A147" s="711" t="s">
        <v>267</v>
      </c>
      <c r="B147" s="711"/>
      <c r="C147" s="711"/>
      <c r="D147" s="711"/>
      <c r="E147" s="711"/>
      <c r="F147" s="711"/>
      <c r="G147" s="711"/>
      <c r="H147" s="711"/>
      <c r="I147" s="711"/>
      <c r="J147" s="711"/>
      <c r="K147" s="711"/>
      <c r="L147" s="711"/>
      <c r="M147" s="711"/>
      <c r="N147" s="711"/>
      <c r="O147" s="711"/>
      <c r="P147" s="711"/>
      <c r="Q147" s="711"/>
      <c r="R147" s="711"/>
      <c r="S147" s="711"/>
      <c r="T147" s="711"/>
      <c r="U147" s="711"/>
      <c r="V147" s="711"/>
      <c r="W147" s="711"/>
      <c r="X147" s="711"/>
      <c r="Y147" s="711"/>
      <c r="Z147" s="711"/>
      <c r="AA147" s="65"/>
      <c r="AB147" s="65"/>
      <c r="AC147" s="79"/>
    </row>
    <row r="148" spans="1:68" ht="14.25" customHeight="1" x14ac:dyDescent="0.25">
      <c r="A148" s="712" t="s">
        <v>86</v>
      </c>
      <c r="B148" s="712"/>
      <c r="C148" s="712"/>
      <c r="D148" s="712"/>
      <c r="E148" s="712"/>
      <c r="F148" s="712"/>
      <c r="G148" s="712"/>
      <c r="H148" s="712"/>
      <c r="I148" s="712"/>
      <c r="J148" s="712"/>
      <c r="K148" s="712"/>
      <c r="L148" s="712"/>
      <c r="M148" s="712"/>
      <c r="N148" s="712"/>
      <c r="O148" s="712"/>
      <c r="P148" s="712"/>
      <c r="Q148" s="712"/>
      <c r="R148" s="712"/>
      <c r="S148" s="712"/>
      <c r="T148" s="712"/>
      <c r="U148" s="712"/>
      <c r="V148" s="712"/>
      <c r="W148" s="712"/>
      <c r="X148" s="712"/>
      <c r="Y148" s="712"/>
      <c r="Z148" s="712"/>
      <c r="AA148" s="66"/>
      <c r="AB148" s="66"/>
      <c r="AC148" s="80"/>
    </row>
    <row r="149" spans="1:68" ht="27" customHeight="1" x14ac:dyDescent="0.25">
      <c r="A149" s="63" t="s">
        <v>268</v>
      </c>
      <c r="B149" s="63" t="s">
        <v>269</v>
      </c>
      <c r="C149" s="36">
        <v>4301052254</v>
      </c>
      <c r="D149" s="713">
        <v>4680115888203</v>
      </c>
      <c r="E149" s="71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5"/>
      <c r="R149" s="715"/>
      <c r="S149" s="715"/>
      <c r="T149" s="71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4301052172</v>
      </c>
      <c r="D150" s="713">
        <v>4680115888180</v>
      </c>
      <c r="E150" s="713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5"/>
      <c r="R150" s="715"/>
      <c r="S150" s="715"/>
      <c r="T150" s="71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274</v>
      </c>
      <c r="C151" s="36">
        <v>4301052252</v>
      </c>
      <c r="D151" s="713">
        <v>4680115888180</v>
      </c>
      <c r="E151" s="71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5"/>
      <c r="R151" s="715"/>
      <c r="S151" s="715"/>
      <c r="T151" s="71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275</v>
      </c>
      <c r="B152" s="63" t="s">
        <v>276</v>
      </c>
      <c r="C152" s="36">
        <v>4301052173</v>
      </c>
      <c r="D152" s="713">
        <v>4680115888197</v>
      </c>
      <c r="E152" s="713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5"/>
      <c r="R152" s="715"/>
      <c r="S152" s="715"/>
      <c r="T152" s="71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275</v>
      </c>
      <c r="B153" s="63" t="s">
        <v>278</v>
      </c>
      <c r="C153" s="36">
        <v>4301052253</v>
      </c>
      <c r="D153" s="713">
        <v>4680115888197</v>
      </c>
      <c r="E153" s="71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5"/>
      <c r="R153" s="715"/>
      <c r="S153" s="715"/>
      <c r="T153" s="71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4301052175</v>
      </c>
      <c r="D154" s="713">
        <v>4680115888210</v>
      </c>
      <c r="E154" s="713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5"/>
      <c r="R154" s="715"/>
      <c r="S154" s="715"/>
      <c r="T154" s="71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279</v>
      </c>
      <c r="B155" s="63" t="s">
        <v>282</v>
      </c>
      <c r="C155" s="36">
        <v>4301052255</v>
      </c>
      <c r="D155" s="713">
        <v>4680115888210</v>
      </c>
      <c r="E155" s="713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5"/>
      <c r="R155" s="715"/>
      <c r="S155" s="715"/>
      <c r="T155" s="716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x14ac:dyDescent="0.2">
      <c r="A156" s="721"/>
      <c r="B156" s="721"/>
      <c r="C156" s="721"/>
      <c r="D156" s="721"/>
      <c r="E156" s="721"/>
      <c r="F156" s="721"/>
      <c r="G156" s="721"/>
      <c r="H156" s="721"/>
      <c r="I156" s="721"/>
      <c r="J156" s="721"/>
      <c r="K156" s="721"/>
      <c r="L156" s="721"/>
      <c r="M156" s="721"/>
      <c r="N156" s="721"/>
      <c r="O156" s="722"/>
      <c r="P156" s="718" t="s">
        <v>40</v>
      </c>
      <c r="Q156" s="719"/>
      <c r="R156" s="719"/>
      <c r="S156" s="719"/>
      <c r="T156" s="719"/>
      <c r="U156" s="719"/>
      <c r="V156" s="72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721"/>
      <c r="B157" s="721"/>
      <c r="C157" s="721"/>
      <c r="D157" s="721"/>
      <c r="E157" s="721"/>
      <c r="F157" s="721"/>
      <c r="G157" s="721"/>
      <c r="H157" s="721"/>
      <c r="I157" s="721"/>
      <c r="J157" s="721"/>
      <c r="K157" s="721"/>
      <c r="L157" s="721"/>
      <c r="M157" s="721"/>
      <c r="N157" s="721"/>
      <c r="O157" s="722"/>
      <c r="P157" s="718" t="s">
        <v>40</v>
      </c>
      <c r="Q157" s="719"/>
      <c r="R157" s="719"/>
      <c r="S157" s="719"/>
      <c r="T157" s="719"/>
      <c r="U157" s="719"/>
      <c r="V157" s="72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customHeight="1" x14ac:dyDescent="0.25">
      <c r="A158" s="712" t="s">
        <v>283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713">
        <v>4680115889132</v>
      </c>
      <c r="E159" s="713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5"/>
      <c r="R159" s="715"/>
      <c r="S159" s="715"/>
      <c r="T159" s="716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721"/>
      <c r="B160" s="721"/>
      <c r="C160" s="721"/>
      <c r="D160" s="721"/>
      <c r="E160" s="721"/>
      <c r="F160" s="721"/>
      <c r="G160" s="721"/>
      <c r="H160" s="721"/>
      <c r="I160" s="721"/>
      <c r="J160" s="721"/>
      <c r="K160" s="721"/>
      <c r="L160" s="721"/>
      <c r="M160" s="721"/>
      <c r="N160" s="721"/>
      <c r="O160" s="722"/>
      <c r="P160" s="718" t="s">
        <v>40</v>
      </c>
      <c r="Q160" s="719"/>
      <c r="R160" s="719"/>
      <c r="S160" s="719"/>
      <c r="T160" s="719"/>
      <c r="U160" s="719"/>
      <c r="V160" s="72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721"/>
      <c r="B161" s="721"/>
      <c r="C161" s="721"/>
      <c r="D161" s="721"/>
      <c r="E161" s="721"/>
      <c r="F161" s="721"/>
      <c r="G161" s="721"/>
      <c r="H161" s="721"/>
      <c r="I161" s="721"/>
      <c r="J161" s="721"/>
      <c r="K161" s="721"/>
      <c r="L161" s="721"/>
      <c r="M161" s="721"/>
      <c r="N161" s="721"/>
      <c r="O161" s="722"/>
      <c r="P161" s="718" t="s">
        <v>40</v>
      </c>
      <c r="Q161" s="719"/>
      <c r="R161" s="719"/>
      <c r="S161" s="719"/>
      <c r="T161" s="719"/>
      <c r="U161" s="719"/>
      <c r="V161" s="72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711" t="s">
        <v>120</v>
      </c>
      <c r="B162" s="711"/>
      <c r="C162" s="711"/>
      <c r="D162" s="711"/>
      <c r="E162" s="711"/>
      <c r="F162" s="711"/>
      <c r="G162" s="711"/>
      <c r="H162" s="711"/>
      <c r="I162" s="711"/>
      <c r="J162" s="711"/>
      <c r="K162" s="711"/>
      <c r="L162" s="711"/>
      <c r="M162" s="711"/>
      <c r="N162" s="711"/>
      <c r="O162" s="711"/>
      <c r="P162" s="711"/>
      <c r="Q162" s="711"/>
      <c r="R162" s="711"/>
      <c r="S162" s="711"/>
      <c r="T162" s="711"/>
      <c r="U162" s="711"/>
      <c r="V162" s="711"/>
      <c r="W162" s="711"/>
      <c r="X162" s="711"/>
      <c r="Y162" s="711"/>
      <c r="Z162" s="711"/>
      <c r="AA162" s="65"/>
      <c r="AB162" s="65"/>
      <c r="AC162" s="79"/>
    </row>
    <row r="163" spans="1:68" ht="14.25" customHeight="1" x14ac:dyDescent="0.25">
      <c r="A163" s="712" t="s">
        <v>122</v>
      </c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712"/>
      <c r="O163" s="712"/>
      <c r="P163" s="712"/>
      <c r="Q163" s="712"/>
      <c r="R163" s="712"/>
      <c r="S163" s="712"/>
      <c r="T163" s="712"/>
      <c r="U163" s="712"/>
      <c r="V163" s="712"/>
      <c r="W163" s="712"/>
      <c r="X163" s="712"/>
      <c r="Y163" s="712"/>
      <c r="Z163" s="712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4301012338</v>
      </c>
      <c r="D164" s="713">
        <v>4680115887374</v>
      </c>
      <c r="E164" s="713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5"/>
      <c r="R164" s="715"/>
      <c r="S164" s="715"/>
      <c r="T164" s="71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293</v>
      </c>
      <c r="B165" s="63" t="s">
        <v>294</v>
      </c>
      <c r="C165" s="36">
        <v>4301011705</v>
      </c>
      <c r="D165" s="713">
        <v>4607091384604</v>
      </c>
      <c r="E165" s="71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5"/>
      <c r="R165" s="715"/>
      <c r="S165" s="715"/>
      <c r="T165" s="71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713">
        <v>4680115888876</v>
      </c>
      <c r="E166" s="71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5"/>
      <c r="R166" s="715"/>
      <c r="S166" s="715"/>
      <c r="T166" s="71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721"/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2"/>
      <c r="P167" s="718" t="s">
        <v>40</v>
      </c>
      <c r="Q167" s="719"/>
      <c r="R167" s="719"/>
      <c r="S167" s="719"/>
      <c r="T167" s="719"/>
      <c r="U167" s="719"/>
      <c r="V167" s="72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721"/>
      <c r="B168" s="721"/>
      <c r="C168" s="721"/>
      <c r="D168" s="721"/>
      <c r="E168" s="721"/>
      <c r="F168" s="721"/>
      <c r="G168" s="721"/>
      <c r="H168" s="721"/>
      <c r="I168" s="721"/>
      <c r="J168" s="721"/>
      <c r="K168" s="721"/>
      <c r="L168" s="721"/>
      <c r="M168" s="721"/>
      <c r="N168" s="721"/>
      <c r="O168" s="722"/>
      <c r="P168" s="718" t="s">
        <v>40</v>
      </c>
      <c r="Q168" s="719"/>
      <c r="R168" s="719"/>
      <c r="S168" s="719"/>
      <c r="T168" s="719"/>
      <c r="U168" s="719"/>
      <c r="V168" s="72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customHeight="1" x14ac:dyDescent="0.25">
      <c r="A169" s="712" t="s">
        <v>158</v>
      </c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2"/>
      <c r="P169" s="712"/>
      <c r="Q169" s="712"/>
      <c r="R169" s="712"/>
      <c r="S169" s="712"/>
      <c r="T169" s="712"/>
      <c r="U169" s="712"/>
      <c r="V169" s="712"/>
      <c r="W169" s="712"/>
      <c r="X169" s="712"/>
      <c r="Y169" s="712"/>
      <c r="Z169" s="712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713">
        <v>4680115887695</v>
      </c>
      <c r="E170" s="713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5"/>
      <c r="R170" s="715"/>
      <c r="S170" s="715"/>
      <c r="T170" s="71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4301020439</v>
      </c>
      <c r="D171" s="713">
        <v>4680115889491</v>
      </c>
      <c r="E171" s="71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5"/>
      <c r="R171" s="715"/>
      <c r="S171" s="715"/>
      <c r="T171" s="71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721"/>
      <c r="B172" s="721"/>
      <c r="C172" s="721"/>
      <c r="D172" s="721"/>
      <c r="E172" s="721"/>
      <c r="F172" s="721"/>
      <c r="G172" s="721"/>
      <c r="H172" s="721"/>
      <c r="I172" s="721"/>
      <c r="J172" s="721"/>
      <c r="K172" s="721"/>
      <c r="L172" s="721"/>
      <c r="M172" s="721"/>
      <c r="N172" s="721"/>
      <c r="O172" s="722"/>
      <c r="P172" s="718" t="s">
        <v>40</v>
      </c>
      <c r="Q172" s="719"/>
      <c r="R172" s="719"/>
      <c r="S172" s="719"/>
      <c r="T172" s="719"/>
      <c r="U172" s="719"/>
      <c r="V172" s="72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721"/>
      <c r="B173" s="721"/>
      <c r="C173" s="721"/>
      <c r="D173" s="721"/>
      <c r="E173" s="721"/>
      <c r="F173" s="721"/>
      <c r="G173" s="721"/>
      <c r="H173" s="721"/>
      <c r="I173" s="721"/>
      <c r="J173" s="721"/>
      <c r="K173" s="721"/>
      <c r="L173" s="721"/>
      <c r="M173" s="721"/>
      <c r="N173" s="721"/>
      <c r="O173" s="722"/>
      <c r="P173" s="718" t="s">
        <v>40</v>
      </c>
      <c r="Q173" s="719"/>
      <c r="R173" s="719"/>
      <c r="S173" s="719"/>
      <c r="T173" s="719"/>
      <c r="U173" s="719"/>
      <c r="V173" s="72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712" t="s">
        <v>77</v>
      </c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2"/>
      <c r="P174" s="712"/>
      <c r="Q174" s="712"/>
      <c r="R174" s="712"/>
      <c r="S174" s="712"/>
      <c r="T174" s="712"/>
      <c r="U174" s="712"/>
      <c r="V174" s="712"/>
      <c r="W174" s="712"/>
      <c r="X174" s="712"/>
      <c r="Y174" s="712"/>
      <c r="Z174" s="712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713">
        <v>4680115887428</v>
      </c>
      <c r="E175" s="71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5"/>
      <c r="R175" s="715"/>
      <c r="S175" s="715"/>
      <c r="T175" s="71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713">
        <v>4680115889170</v>
      </c>
      <c r="E176" s="71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5"/>
      <c r="R176" s="715"/>
      <c r="S176" s="715"/>
      <c r="T176" s="71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713">
        <v>4680115887398</v>
      </c>
      <c r="E177" s="71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5"/>
      <c r="R177" s="715"/>
      <c r="S177" s="715"/>
      <c r="T177" s="71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713">
        <v>4680115887336</v>
      </c>
      <c r="E178" s="71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5"/>
      <c r="R178" s="715"/>
      <c r="S178" s="715"/>
      <c r="T178" s="71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713">
        <v>4680115887787</v>
      </c>
      <c r="E179" s="71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5"/>
      <c r="R179" s="715"/>
      <c r="S179" s="715"/>
      <c r="T179" s="71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713">
        <v>4680115887503</v>
      </c>
      <c r="E180" s="71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5"/>
      <c r="R180" s="715"/>
      <c r="S180" s="715"/>
      <c r="T180" s="71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713">
        <v>4680115887763</v>
      </c>
      <c r="E181" s="71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5"/>
      <c r="R181" s="715"/>
      <c r="S181" s="715"/>
      <c r="T181" s="71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322</v>
      </c>
      <c r="B182" s="63" t="s">
        <v>325</v>
      </c>
      <c r="C182" s="36">
        <v>4301031510</v>
      </c>
      <c r="D182" s="713">
        <v>4680115887763</v>
      </c>
      <c r="E182" s="713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0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5"/>
      <c r="R182" s="715"/>
      <c r="S182" s="715"/>
      <c r="T182" s="71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713">
        <v>4680115887480</v>
      </c>
      <c r="E183" s="71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0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5"/>
      <c r="R183" s="715"/>
      <c r="S183" s="715"/>
      <c r="T183" s="71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713">
        <v>4680115888067</v>
      </c>
      <c r="E184" s="713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5"/>
      <c r="R184" s="715"/>
      <c r="S184" s="715"/>
      <c r="T184" s="71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713">
        <v>4680115887435</v>
      </c>
      <c r="E185" s="713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5"/>
      <c r="R185" s="715"/>
      <c r="S185" s="715"/>
      <c r="T185" s="71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721"/>
      <c r="B186" s="721"/>
      <c r="C186" s="721"/>
      <c r="D186" s="721"/>
      <c r="E186" s="721"/>
      <c r="F186" s="721"/>
      <c r="G186" s="721"/>
      <c r="H186" s="721"/>
      <c r="I186" s="721"/>
      <c r="J186" s="721"/>
      <c r="K186" s="721"/>
      <c r="L186" s="721"/>
      <c r="M186" s="721"/>
      <c r="N186" s="721"/>
      <c r="O186" s="722"/>
      <c r="P186" s="718" t="s">
        <v>40</v>
      </c>
      <c r="Q186" s="719"/>
      <c r="R186" s="719"/>
      <c r="S186" s="719"/>
      <c r="T186" s="719"/>
      <c r="U186" s="719"/>
      <c r="V186" s="72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721"/>
      <c r="B187" s="721"/>
      <c r="C187" s="721"/>
      <c r="D187" s="721"/>
      <c r="E187" s="721"/>
      <c r="F187" s="721"/>
      <c r="G187" s="721"/>
      <c r="H187" s="721"/>
      <c r="I187" s="721"/>
      <c r="J187" s="721"/>
      <c r="K187" s="721"/>
      <c r="L187" s="721"/>
      <c r="M187" s="721"/>
      <c r="N187" s="721"/>
      <c r="O187" s="722"/>
      <c r="P187" s="718" t="s">
        <v>40</v>
      </c>
      <c r="Q187" s="719"/>
      <c r="R187" s="719"/>
      <c r="S187" s="719"/>
      <c r="T187" s="719"/>
      <c r="U187" s="719"/>
      <c r="V187" s="72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customHeight="1" x14ac:dyDescent="0.25">
      <c r="A188" s="712" t="s">
        <v>86</v>
      </c>
      <c r="B188" s="712"/>
      <c r="C188" s="712"/>
      <c r="D188" s="712"/>
      <c r="E188" s="712"/>
      <c r="F188" s="712"/>
      <c r="G188" s="712"/>
      <c r="H188" s="712"/>
      <c r="I188" s="712"/>
      <c r="J188" s="712"/>
      <c r="K188" s="712"/>
      <c r="L188" s="712"/>
      <c r="M188" s="712"/>
      <c r="N188" s="712"/>
      <c r="O188" s="712"/>
      <c r="P188" s="712"/>
      <c r="Q188" s="712"/>
      <c r="R188" s="712"/>
      <c r="S188" s="712"/>
      <c r="T188" s="712"/>
      <c r="U188" s="712"/>
      <c r="V188" s="712"/>
      <c r="W188" s="712"/>
      <c r="X188" s="712"/>
      <c r="Y188" s="712"/>
      <c r="Z188" s="712"/>
      <c r="AA188" s="66"/>
      <c r="AB188" s="66"/>
      <c r="AC188" s="80"/>
    </row>
    <row r="189" spans="1:68" ht="16.5" customHeight="1" x14ac:dyDescent="0.25">
      <c r="A189" s="63" t="s">
        <v>333</v>
      </c>
      <c r="B189" s="63" t="s">
        <v>334</v>
      </c>
      <c r="C189" s="36">
        <v>4301052193</v>
      </c>
      <c r="D189" s="713">
        <v>4680115888395</v>
      </c>
      <c r="E189" s="71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5"/>
      <c r="R189" s="715"/>
      <c r="S189" s="715"/>
      <c r="T189" s="71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713">
        <v>4680115888371</v>
      </c>
      <c r="E190" s="713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5"/>
      <c r="R190" s="715"/>
      <c r="S190" s="715"/>
      <c r="T190" s="71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4301052064</v>
      </c>
      <c r="D191" s="713">
        <v>4680115887459</v>
      </c>
      <c r="E191" s="713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5"/>
      <c r="R191" s="715"/>
      <c r="S191" s="715"/>
      <c r="T191" s="716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721"/>
      <c r="B192" s="721"/>
      <c r="C192" s="721"/>
      <c r="D192" s="721"/>
      <c r="E192" s="721"/>
      <c r="F192" s="721"/>
      <c r="G192" s="721"/>
      <c r="H192" s="721"/>
      <c r="I192" s="721"/>
      <c r="J192" s="721"/>
      <c r="K192" s="721"/>
      <c r="L192" s="721"/>
      <c r="M192" s="721"/>
      <c r="N192" s="721"/>
      <c r="O192" s="722"/>
      <c r="P192" s="718" t="s">
        <v>40</v>
      </c>
      <c r="Q192" s="719"/>
      <c r="R192" s="719"/>
      <c r="S192" s="719"/>
      <c r="T192" s="719"/>
      <c r="U192" s="719"/>
      <c r="V192" s="72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721"/>
      <c r="B193" s="721"/>
      <c r="C193" s="721"/>
      <c r="D193" s="721"/>
      <c r="E193" s="721"/>
      <c r="F193" s="721"/>
      <c r="G193" s="721"/>
      <c r="H193" s="721"/>
      <c r="I193" s="721"/>
      <c r="J193" s="721"/>
      <c r="K193" s="721"/>
      <c r="L193" s="721"/>
      <c r="M193" s="721"/>
      <c r="N193" s="721"/>
      <c r="O193" s="722"/>
      <c r="P193" s="718" t="s">
        <v>40</v>
      </c>
      <c r="Q193" s="719"/>
      <c r="R193" s="719"/>
      <c r="S193" s="719"/>
      <c r="T193" s="719"/>
      <c r="U193" s="719"/>
      <c r="V193" s="72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712" t="s">
        <v>283</v>
      </c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2"/>
      <c r="P194" s="712"/>
      <c r="Q194" s="712"/>
      <c r="R194" s="712"/>
      <c r="S194" s="712"/>
      <c r="T194" s="712"/>
      <c r="U194" s="712"/>
      <c r="V194" s="712"/>
      <c r="W194" s="712"/>
      <c r="X194" s="712"/>
      <c r="Y194" s="712"/>
      <c r="Z194" s="712"/>
      <c r="AA194" s="66"/>
      <c r="AB194" s="66"/>
      <c r="AC194" s="80"/>
    </row>
    <row r="195" spans="1:68" ht="16.5" customHeight="1" x14ac:dyDescent="0.25">
      <c r="A195" s="63" t="s">
        <v>342</v>
      </c>
      <c r="B195" s="63" t="s">
        <v>343</v>
      </c>
      <c r="C195" s="36">
        <v>4301032058</v>
      </c>
      <c r="D195" s="713">
        <v>4680115889026</v>
      </c>
      <c r="E195" s="713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5"/>
      <c r="R195" s="715"/>
      <c r="S195" s="715"/>
      <c r="T195" s="71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346</v>
      </c>
      <c r="B196" s="63" t="s">
        <v>347</v>
      </c>
      <c r="C196" s="36">
        <v>4301032057</v>
      </c>
      <c r="D196" s="713">
        <v>4680115889088</v>
      </c>
      <c r="E196" s="713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5"/>
      <c r="R196" s="715"/>
      <c r="S196" s="715"/>
      <c r="T196" s="71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721"/>
      <c r="B197" s="721"/>
      <c r="C197" s="721"/>
      <c r="D197" s="721"/>
      <c r="E197" s="721"/>
      <c r="F197" s="721"/>
      <c r="G197" s="721"/>
      <c r="H197" s="721"/>
      <c r="I197" s="721"/>
      <c r="J197" s="721"/>
      <c r="K197" s="721"/>
      <c r="L197" s="721"/>
      <c r="M197" s="721"/>
      <c r="N197" s="721"/>
      <c r="O197" s="722"/>
      <c r="P197" s="718" t="s">
        <v>40</v>
      </c>
      <c r="Q197" s="719"/>
      <c r="R197" s="719"/>
      <c r="S197" s="719"/>
      <c r="T197" s="719"/>
      <c r="U197" s="719"/>
      <c r="V197" s="72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721"/>
      <c r="B198" s="721"/>
      <c r="C198" s="721"/>
      <c r="D198" s="721"/>
      <c r="E198" s="721"/>
      <c r="F198" s="721"/>
      <c r="G198" s="721"/>
      <c r="H198" s="721"/>
      <c r="I198" s="721"/>
      <c r="J198" s="721"/>
      <c r="K198" s="721"/>
      <c r="L198" s="721"/>
      <c r="M198" s="721"/>
      <c r="N198" s="721"/>
      <c r="O198" s="722"/>
      <c r="P198" s="718" t="s">
        <v>40</v>
      </c>
      <c r="Q198" s="719"/>
      <c r="R198" s="719"/>
      <c r="S198" s="719"/>
      <c r="T198" s="719"/>
      <c r="U198" s="719"/>
      <c r="V198" s="72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712" t="s">
        <v>349</v>
      </c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2"/>
      <c r="P199" s="712"/>
      <c r="Q199" s="712"/>
      <c r="R199" s="712"/>
      <c r="S199" s="712"/>
      <c r="T199" s="712"/>
      <c r="U199" s="712"/>
      <c r="V199" s="712"/>
      <c r="W199" s="712"/>
      <c r="X199" s="712"/>
      <c r="Y199" s="712"/>
      <c r="Z199" s="712"/>
      <c r="AA199" s="66"/>
      <c r="AB199" s="66"/>
      <c r="AC199" s="80"/>
    </row>
    <row r="200" spans="1:68" ht="27" customHeight="1" x14ac:dyDescent="0.25">
      <c r="A200" s="63" t="s">
        <v>350</v>
      </c>
      <c r="B200" s="63" t="s">
        <v>351</v>
      </c>
      <c r="C200" s="36">
        <v>4301041009</v>
      </c>
      <c r="D200" s="713">
        <v>4680115889033</v>
      </c>
      <c r="E200" s="713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5"/>
      <c r="R200" s="715"/>
      <c r="S200" s="715"/>
      <c r="T200" s="71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721"/>
      <c r="B201" s="721"/>
      <c r="C201" s="721"/>
      <c r="D201" s="721"/>
      <c r="E201" s="721"/>
      <c r="F201" s="721"/>
      <c r="G201" s="721"/>
      <c r="H201" s="721"/>
      <c r="I201" s="721"/>
      <c r="J201" s="721"/>
      <c r="K201" s="721"/>
      <c r="L201" s="721"/>
      <c r="M201" s="721"/>
      <c r="N201" s="721"/>
      <c r="O201" s="722"/>
      <c r="P201" s="718" t="s">
        <v>40</v>
      </c>
      <c r="Q201" s="719"/>
      <c r="R201" s="719"/>
      <c r="S201" s="719"/>
      <c r="T201" s="719"/>
      <c r="U201" s="719"/>
      <c r="V201" s="72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721"/>
      <c r="B202" s="721"/>
      <c r="C202" s="721"/>
      <c r="D202" s="721"/>
      <c r="E202" s="721"/>
      <c r="F202" s="721"/>
      <c r="G202" s="721"/>
      <c r="H202" s="721"/>
      <c r="I202" s="721"/>
      <c r="J202" s="721"/>
      <c r="K202" s="721"/>
      <c r="L202" s="721"/>
      <c r="M202" s="721"/>
      <c r="N202" s="721"/>
      <c r="O202" s="722"/>
      <c r="P202" s="718" t="s">
        <v>40</v>
      </c>
      <c r="Q202" s="719"/>
      <c r="R202" s="719"/>
      <c r="S202" s="719"/>
      <c r="T202" s="719"/>
      <c r="U202" s="719"/>
      <c r="V202" s="72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710" t="s">
        <v>353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54"/>
      <c r="AB203" s="54"/>
      <c r="AC203" s="54"/>
    </row>
    <row r="204" spans="1:68" ht="16.5" customHeight="1" x14ac:dyDescent="0.25">
      <c r="A204" s="711" t="s">
        <v>354</v>
      </c>
      <c r="B204" s="711"/>
      <c r="C204" s="711"/>
      <c r="D204" s="711"/>
      <c r="E204" s="711"/>
      <c r="F204" s="711"/>
      <c r="G204" s="711"/>
      <c r="H204" s="711"/>
      <c r="I204" s="711"/>
      <c r="J204" s="711"/>
      <c r="K204" s="711"/>
      <c r="L204" s="711"/>
      <c r="M204" s="711"/>
      <c r="N204" s="711"/>
      <c r="O204" s="711"/>
      <c r="P204" s="711"/>
      <c r="Q204" s="711"/>
      <c r="R204" s="711"/>
      <c r="S204" s="711"/>
      <c r="T204" s="711"/>
      <c r="U204" s="711"/>
      <c r="V204" s="711"/>
      <c r="W204" s="711"/>
      <c r="X204" s="711"/>
      <c r="Y204" s="711"/>
      <c r="Z204" s="711"/>
      <c r="AA204" s="65"/>
      <c r="AB204" s="65"/>
      <c r="AC204" s="79"/>
    </row>
    <row r="205" spans="1:68" ht="14.25" customHeight="1" x14ac:dyDescent="0.25">
      <c r="A205" s="712" t="s">
        <v>122</v>
      </c>
      <c r="B205" s="712"/>
      <c r="C205" s="712"/>
      <c r="D205" s="712"/>
      <c r="E205" s="712"/>
      <c r="F205" s="712"/>
      <c r="G205" s="712"/>
      <c r="H205" s="712"/>
      <c r="I205" s="712"/>
      <c r="J205" s="712"/>
      <c r="K205" s="712"/>
      <c r="L205" s="712"/>
      <c r="M205" s="712"/>
      <c r="N205" s="712"/>
      <c r="O205" s="712"/>
      <c r="P205" s="712"/>
      <c r="Q205" s="712"/>
      <c r="R205" s="712"/>
      <c r="S205" s="712"/>
      <c r="T205" s="712"/>
      <c r="U205" s="712"/>
      <c r="V205" s="712"/>
      <c r="W205" s="712"/>
      <c r="X205" s="712"/>
      <c r="Y205" s="712"/>
      <c r="Z205" s="712"/>
      <c r="AA205" s="66"/>
      <c r="AB205" s="66"/>
      <c r="AC205" s="80"/>
    </row>
    <row r="206" spans="1:68" ht="27" customHeight="1" x14ac:dyDescent="0.25">
      <c r="A206" s="63" t="s">
        <v>355</v>
      </c>
      <c r="B206" s="63" t="s">
        <v>356</v>
      </c>
      <c r="C206" s="36">
        <v>4301011223</v>
      </c>
      <c r="D206" s="713">
        <v>4607091383423</v>
      </c>
      <c r="E206" s="713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5"/>
      <c r="R206" s="715"/>
      <c r="S206" s="715"/>
      <c r="T206" s="71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customHeight="1" x14ac:dyDescent="0.25">
      <c r="A207" s="63" t="s">
        <v>357</v>
      </c>
      <c r="B207" s="63" t="s">
        <v>358</v>
      </c>
      <c r="C207" s="36">
        <v>4301012340</v>
      </c>
      <c r="D207" s="713">
        <v>4680115888760</v>
      </c>
      <c r="E207" s="713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5"/>
      <c r="R207" s="715"/>
      <c r="S207" s="715"/>
      <c r="T207" s="71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4301012341</v>
      </c>
      <c r="D208" s="713">
        <v>4680115888807</v>
      </c>
      <c r="E208" s="713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5"/>
      <c r="R208" s="715"/>
      <c r="S208" s="715"/>
      <c r="T208" s="71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4301012342</v>
      </c>
      <c r="D209" s="713">
        <v>4680115888852</v>
      </c>
      <c r="E209" s="713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5"/>
      <c r="R209" s="715"/>
      <c r="S209" s="715"/>
      <c r="T209" s="71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customHeight="1" x14ac:dyDescent="0.25">
      <c r="A210" s="63" t="s">
        <v>366</v>
      </c>
      <c r="B210" s="63" t="s">
        <v>367</v>
      </c>
      <c r="C210" s="36">
        <v>4301012370</v>
      </c>
      <c r="D210" s="713">
        <v>4680115886957</v>
      </c>
      <c r="E210" s="713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5"/>
      <c r="R210" s="715"/>
      <c r="S210" s="715"/>
      <c r="T210" s="71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713">
        <v>4680115885660</v>
      </c>
      <c r="E211" s="713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5"/>
      <c r="R211" s="715"/>
      <c r="S211" s="715"/>
      <c r="T211" s="71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372</v>
      </c>
      <c r="B212" s="63" t="s">
        <v>373</v>
      </c>
      <c r="C212" s="36">
        <v>4301012369</v>
      </c>
      <c r="D212" s="713">
        <v>4680115886773</v>
      </c>
      <c r="E212" s="713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5"/>
      <c r="R212" s="715"/>
      <c r="S212" s="715"/>
      <c r="T212" s="71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721"/>
      <c r="B213" s="721"/>
      <c r="C213" s="721"/>
      <c r="D213" s="721"/>
      <c r="E213" s="721"/>
      <c r="F213" s="721"/>
      <c r="G213" s="721"/>
      <c r="H213" s="721"/>
      <c r="I213" s="721"/>
      <c r="J213" s="721"/>
      <c r="K213" s="721"/>
      <c r="L213" s="721"/>
      <c r="M213" s="721"/>
      <c r="N213" s="721"/>
      <c r="O213" s="722"/>
      <c r="P213" s="718" t="s">
        <v>40</v>
      </c>
      <c r="Q213" s="719"/>
      <c r="R213" s="719"/>
      <c r="S213" s="719"/>
      <c r="T213" s="719"/>
      <c r="U213" s="719"/>
      <c r="V213" s="72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721"/>
      <c r="B214" s="721"/>
      <c r="C214" s="721"/>
      <c r="D214" s="721"/>
      <c r="E214" s="721"/>
      <c r="F214" s="721"/>
      <c r="G214" s="721"/>
      <c r="H214" s="721"/>
      <c r="I214" s="721"/>
      <c r="J214" s="721"/>
      <c r="K214" s="721"/>
      <c r="L214" s="721"/>
      <c r="M214" s="721"/>
      <c r="N214" s="721"/>
      <c r="O214" s="722"/>
      <c r="P214" s="718" t="s">
        <v>40</v>
      </c>
      <c r="Q214" s="719"/>
      <c r="R214" s="719"/>
      <c r="S214" s="719"/>
      <c r="T214" s="719"/>
      <c r="U214" s="719"/>
      <c r="V214" s="72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711" t="s">
        <v>375</v>
      </c>
      <c r="B215" s="711"/>
      <c r="C215" s="711"/>
      <c r="D215" s="711"/>
      <c r="E215" s="711"/>
      <c r="F215" s="711"/>
      <c r="G215" s="711"/>
      <c r="H215" s="711"/>
      <c r="I215" s="711"/>
      <c r="J215" s="711"/>
      <c r="K215" s="711"/>
      <c r="L215" s="711"/>
      <c r="M215" s="711"/>
      <c r="N215" s="711"/>
      <c r="O215" s="711"/>
      <c r="P215" s="711"/>
      <c r="Q215" s="711"/>
      <c r="R215" s="711"/>
      <c r="S215" s="711"/>
      <c r="T215" s="711"/>
      <c r="U215" s="711"/>
      <c r="V215" s="711"/>
      <c r="W215" s="711"/>
      <c r="X215" s="711"/>
      <c r="Y215" s="711"/>
      <c r="Z215" s="711"/>
      <c r="AA215" s="65"/>
      <c r="AB215" s="65"/>
      <c r="AC215" s="79"/>
    </row>
    <row r="216" spans="1:68" ht="14.25" customHeight="1" x14ac:dyDescent="0.25">
      <c r="A216" s="712" t="s">
        <v>158</v>
      </c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2"/>
      <c r="P216" s="712"/>
      <c r="Q216" s="712"/>
      <c r="R216" s="712"/>
      <c r="S216" s="712"/>
      <c r="T216" s="712"/>
      <c r="U216" s="712"/>
      <c r="V216" s="712"/>
      <c r="W216" s="712"/>
      <c r="X216" s="712"/>
      <c r="Y216" s="712"/>
      <c r="Z216" s="712"/>
      <c r="AA216" s="66"/>
      <c r="AB216" s="66"/>
      <c r="AC216" s="80"/>
    </row>
    <row r="217" spans="1:68" ht="27" customHeight="1" x14ac:dyDescent="0.25">
      <c r="A217" s="63" t="s">
        <v>376</v>
      </c>
      <c r="B217" s="63" t="s">
        <v>377</v>
      </c>
      <c r="C217" s="36">
        <v>4301020323</v>
      </c>
      <c r="D217" s="713">
        <v>4680115886223</v>
      </c>
      <c r="E217" s="713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5"/>
      <c r="R217" s="715"/>
      <c r="S217" s="715"/>
      <c r="T217" s="716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721"/>
      <c r="B218" s="721"/>
      <c r="C218" s="721"/>
      <c r="D218" s="721"/>
      <c r="E218" s="721"/>
      <c r="F218" s="721"/>
      <c r="G218" s="721"/>
      <c r="H218" s="721"/>
      <c r="I218" s="721"/>
      <c r="J218" s="721"/>
      <c r="K218" s="721"/>
      <c r="L218" s="721"/>
      <c r="M218" s="721"/>
      <c r="N218" s="721"/>
      <c r="O218" s="722"/>
      <c r="P218" s="718" t="s">
        <v>40</v>
      </c>
      <c r="Q218" s="719"/>
      <c r="R218" s="719"/>
      <c r="S218" s="719"/>
      <c r="T218" s="719"/>
      <c r="U218" s="719"/>
      <c r="V218" s="72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721"/>
      <c r="B219" s="721"/>
      <c r="C219" s="721"/>
      <c r="D219" s="721"/>
      <c r="E219" s="721"/>
      <c r="F219" s="721"/>
      <c r="G219" s="721"/>
      <c r="H219" s="721"/>
      <c r="I219" s="721"/>
      <c r="J219" s="721"/>
      <c r="K219" s="721"/>
      <c r="L219" s="721"/>
      <c r="M219" s="721"/>
      <c r="N219" s="721"/>
      <c r="O219" s="722"/>
      <c r="P219" s="718" t="s">
        <v>40</v>
      </c>
      <c r="Q219" s="719"/>
      <c r="R219" s="719"/>
      <c r="S219" s="719"/>
      <c r="T219" s="719"/>
      <c r="U219" s="719"/>
      <c r="V219" s="72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712" t="s">
        <v>77</v>
      </c>
      <c r="B220" s="712"/>
      <c r="C220" s="712"/>
      <c r="D220" s="712"/>
      <c r="E220" s="712"/>
      <c r="F220" s="712"/>
      <c r="G220" s="712"/>
      <c r="H220" s="712"/>
      <c r="I220" s="712"/>
      <c r="J220" s="712"/>
      <c r="K220" s="712"/>
      <c r="L220" s="712"/>
      <c r="M220" s="712"/>
      <c r="N220" s="712"/>
      <c r="O220" s="712"/>
      <c r="P220" s="712"/>
      <c r="Q220" s="712"/>
      <c r="R220" s="712"/>
      <c r="S220" s="712"/>
      <c r="T220" s="712"/>
      <c r="U220" s="712"/>
      <c r="V220" s="712"/>
      <c r="W220" s="712"/>
      <c r="X220" s="712"/>
      <c r="Y220" s="712"/>
      <c r="Z220" s="712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713">
        <v>4680115880993</v>
      </c>
      <c r="E221" s="713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5"/>
      <c r="R221" s="715"/>
      <c r="S221" s="715"/>
      <c r="T221" s="71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713">
        <v>4680115881761</v>
      </c>
      <c r="E222" s="713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5"/>
      <c r="R222" s="715"/>
      <c r="S222" s="715"/>
      <c r="T222" s="71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713">
        <v>4680115881563</v>
      </c>
      <c r="E223" s="713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5"/>
      <c r="R223" s="715"/>
      <c r="S223" s="715"/>
      <c r="T223" s="71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713">
        <v>4680115887565</v>
      </c>
      <c r="E224" s="713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5"/>
      <c r="R224" s="715"/>
      <c r="S224" s="715"/>
      <c r="T224" s="71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713">
        <v>4680115880986</v>
      </c>
      <c r="E225" s="71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5"/>
      <c r="R225" s="715"/>
      <c r="S225" s="715"/>
      <c r="T225" s="71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393</v>
      </c>
      <c r="B226" s="63" t="s">
        <v>394</v>
      </c>
      <c r="C226" s="36">
        <v>4301031443</v>
      </c>
      <c r="D226" s="713">
        <v>4680115887213</v>
      </c>
      <c r="E226" s="713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5"/>
      <c r="R226" s="715"/>
      <c r="S226" s="715"/>
      <c r="T226" s="71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713">
        <v>4680115881785</v>
      </c>
      <c r="E227" s="713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5"/>
      <c r="R227" s="715"/>
      <c r="S227" s="715"/>
      <c r="T227" s="71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4301031499</v>
      </c>
      <c r="D228" s="713">
        <v>4680115888432</v>
      </c>
      <c r="E228" s="71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5"/>
      <c r="R228" s="715"/>
      <c r="S228" s="715"/>
      <c r="T228" s="71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4301031427</v>
      </c>
      <c r="D229" s="713">
        <v>4680115888104</v>
      </c>
      <c r="E229" s="71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5"/>
      <c r="R229" s="715"/>
      <c r="S229" s="715"/>
      <c r="T229" s="71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713">
        <v>4680115886537</v>
      </c>
      <c r="E230" s="713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5"/>
      <c r="R230" s="715"/>
      <c r="S230" s="715"/>
      <c r="T230" s="71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713">
        <v>4680115887596</v>
      </c>
      <c r="E231" s="713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5"/>
      <c r="R231" s="715"/>
      <c r="S231" s="715"/>
      <c r="T231" s="71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713">
        <v>4680115881679</v>
      </c>
      <c r="E232" s="713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5"/>
      <c r="R232" s="715"/>
      <c r="S232" s="715"/>
      <c r="T232" s="71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4301031158</v>
      </c>
      <c r="D233" s="713">
        <v>4680115880191</v>
      </c>
      <c r="E233" s="713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5"/>
      <c r="R233" s="715"/>
      <c r="S233" s="715"/>
      <c r="T233" s="71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4301031245</v>
      </c>
      <c r="D234" s="713">
        <v>4680115883963</v>
      </c>
      <c r="E234" s="713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5"/>
      <c r="R234" s="715"/>
      <c r="S234" s="715"/>
      <c r="T234" s="71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21"/>
      <c r="B235" s="721"/>
      <c r="C235" s="721"/>
      <c r="D235" s="721"/>
      <c r="E235" s="721"/>
      <c r="F235" s="721"/>
      <c r="G235" s="721"/>
      <c r="H235" s="721"/>
      <c r="I235" s="721"/>
      <c r="J235" s="721"/>
      <c r="K235" s="721"/>
      <c r="L235" s="721"/>
      <c r="M235" s="721"/>
      <c r="N235" s="721"/>
      <c r="O235" s="722"/>
      <c r="P235" s="718" t="s">
        <v>40</v>
      </c>
      <c r="Q235" s="719"/>
      <c r="R235" s="719"/>
      <c r="S235" s="719"/>
      <c r="T235" s="719"/>
      <c r="U235" s="719"/>
      <c r="V235" s="72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721"/>
      <c r="B236" s="721"/>
      <c r="C236" s="721"/>
      <c r="D236" s="721"/>
      <c r="E236" s="721"/>
      <c r="F236" s="721"/>
      <c r="G236" s="721"/>
      <c r="H236" s="721"/>
      <c r="I236" s="721"/>
      <c r="J236" s="721"/>
      <c r="K236" s="721"/>
      <c r="L236" s="721"/>
      <c r="M236" s="721"/>
      <c r="N236" s="721"/>
      <c r="O236" s="722"/>
      <c r="P236" s="718" t="s">
        <v>40</v>
      </c>
      <c r="Q236" s="719"/>
      <c r="R236" s="719"/>
      <c r="S236" s="719"/>
      <c r="T236" s="719"/>
      <c r="U236" s="719"/>
      <c r="V236" s="72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customHeight="1" x14ac:dyDescent="0.25">
      <c r="A237" s="712" t="s">
        <v>86</v>
      </c>
      <c r="B237" s="712"/>
      <c r="C237" s="712"/>
      <c r="D237" s="712"/>
      <c r="E237" s="712"/>
      <c r="F237" s="712"/>
      <c r="G237" s="712"/>
      <c r="H237" s="712"/>
      <c r="I237" s="712"/>
      <c r="J237" s="712"/>
      <c r="K237" s="712"/>
      <c r="L237" s="712"/>
      <c r="M237" s="712"/>
      <c r="N237" s="712"/>
      <c r="O237" s="712"/>
      <c r="P237" s="712"/>
      <c r="Q237" s="712"/>
      <c r="R237" s="712"/>
      <c r="S237" s="712"/>
      <c r="T237" s="712"/>
      <c r="U237" s="712"/>
      <c r="V237" s="712"/>
      <c r="W237" s="712"/>
      <c r="X237" s="712"/>
      <c r="Y237" s="712"/>
      <c r="Z237" s="712"/>
      <c r="AA237" s="66"/>
      <c r="AB237" s="66"/>
      <c r="AC237" s="80"/>
    </row>
    <row r="238" spans="1:68" ht="16.5" customHeight="1" x14ac:dyDescent="0.25">
      <c r="A238" s="63" t="s">
        <v>417</v>
      </c>
      <c r="B238" s="63" t="s">
        <v>418</v>
      </c>
      <c r="C238" s="36">
        <v>4301052209</v>
      </c>
      <c r="D238" s="713">
        <v>4680115888692</v>
      </c>
      <c r="E238" s="71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5"/>
      <c r="R238" s="715"/>
      <c r="S238" s="715"/>
      <c r="T238" s="71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713">
        <v>4680115888722</v>
      </c>
      <c r="E239" s="71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5"/>
      <c r="R239" s="715"/>
      <c r="S239" s="715"/>
      <c r="T239" s="71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423</v>
      </c>
      <c r="B240" s="63" t="s">
        <v>424</v>
      </c>
      <c r="C240" s="36">
        <v>4301052177</v>
      </c>
      <c r="D240" s="713">
        <v>4680115888951</v>
      </c>
      <c r="E240" s="71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5"/>
      <c r="R240" s="715"/>
      <c r="S240" s="715"/>
      <c r="T240" s="71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426</v>
      </c>
      <c r="B241" s="63" t="s">
        <v>427</v>
      </c>
      <c r="C241" s="36">
        <v>4301052178</v>
      </c>
      <c r="D241" s="713">
        <v>4680115888975</v>
      </c>
      <c r="E241" s="713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5"/>
      <c r="R241" s="715"/>
      <c r="S241" s="715"/>
      <c r="T241" s="716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4301052176</v>
      </c>
      <c r="D242" s="713">
        <v>4680115888982</v>
      </c>
      <c r="E242" s="713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5"/>
      <c r="R242" s="715"/>
      <c r="S242" s="715"/>
      <c r="T242" s="716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721"/>
      <c r="B243" s="721"/>
      <c r="C243" s="721"/>
      <c r="D243" s="721"/>
      <c r="E243" s="721"/>
      <c r="F243" s="721"/>
      <c r="G243" s="721"/>
      <c r="H243" s="721"/>
      <c r="I243" s="721"/>
      <c r="J243" s="721"/>
      <c r="K243" s="721"/>
      <c r="L243" s="721"/>
      <c r="M243" s="721"/>
      <c r="N243" s="721"/>
      <c r="O243" s="722"/>
      <c r="P243" s="718" t="s">
        <v>40</v>
      </c>
      <c r="Q243" s="719"/>
      <c r="R243" s="719"/>
      <c r="S243" s="719"/>
      <c r="T243" s="719"/>
      <c r="U243" s="719"/>
      <c r="V243" s="72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721"/>
      <c r="B244" s="721"/>
      <c r="C244" s="721"/>
      <c r="D244" s="721"/>
      <c r="E244" s="721"/>
      <c r="F244" s="721"/>
      <c r="G244" s="721"/>
      <c r="H244" s="721"/>
      <c r="I244" s="721"/>
      <c r="J244" s="721"/>
      <c r="K244" s="721"/>
      <c r="L244" s="721"/>
      <c r="M244" s="721"/>
      <c r="N244" s="721"/>
      <c r="O244" s="722"/>
      <c r="P244" s="718" t="s">
        <v>40</v>
      </c>
      <c r="Q244" s="719"/>
      <c r="R244" s="719"/>
      <c r="S244" s="719"/>
      <c r="T244" s="719"/>
      <c r="U244" s="719"/>
      <c r="V244" s="72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customHeight="1" x14ac:dyDescent="0.25">
      <c r="A245" s="712" t="s">
        <v>283</v>
      </c>
      <c r="B245" s="712"/>
      <c r="C245" s="712"/>
      <c r="D245" s="712"/>
      <c r="E245" s="712"/>
      <c r="F245" s="712"/>
      <c r="G245" s="712"/>
      <c r="H245" s="712"/>
      <c r="I245" s="712"/>
      <c r="J245" s="712"/>
      <c r="K245" s="712"/>
      <c r="L245" s="712"/>
      <c r="M245" s="712"/>
      <c r="N245" s="712"/>
      <c r="O245" s="712"/>
      <c r="P245" s="712"/>
      <c r="Q245" s="712"/>
      <c r="R245" s="712"/>
      <c r="S245" s="712"/>
      <c r="T245" s="712"/>
      <c r="U245" s="712"/>
      <c r="V245" s="712"/>
      <c r="W245" s="712"/>
      <c r="X245" s="712"/>
      <c r="Y245" s="712"/>
      <c r="Z245" s="712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713">
        <v>4680115886780</v>
      </c>
      <c r="E246" s="71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5"/>
      <c r="R246" s="715"/>
      <c r="S246" s="715"/>
      <c r="T246" s="71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713">
        <v>4680115886742</v>
      </c>
      <c r="E247" s="713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5"/>
      <c r="R247" s="715"/>
      <c r="S247" s="715"/>
      <c r="T247" s="71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713">
        <v>4680115886766</v>
      </c>
      <c r="E248" s="713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5"/>
      <c r="R248" s="715"/>
      <c r="S248" s="715"/>
      <c r="T248" s="71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721"/>
      <c r="B249" s="721"/>
      <c r="C249" s="721"/>
      <c r="D249" s="721"/>
      <c r="E249" s="721"/>
      <c r="F249" s="721"/>
      <c r="G249" s="721"/>
      <c r="H249" s="721"/>
      <c r="I249" s="721"/>
      <c r="J249" s="721"/>
      <c r="K249" s="721"/>
      <c r="L249" s="721"/>
      <c r="M249" s="721"/>
      <c r="N249" s="721"/>
      <c r="O249" s="722"/>
      <c r="P249" s="718" t="s">
        <v>40</v>
      </c>
      <c r="Q249" s="719"/>
      <c r="R249" s="719"/>
      <c r="S249" s="719"/>
      <c r="T249" s="719"/>
      <c r="U249" s="719"/>
      <c r="V249" s="72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x14ac:dyDescent="0.2">
      <c r="A250" s="721"/>
      <c r="B250" s="721"/>
      <c r="C250" s="721"/>
      <c r="D250" s="721"/>
      <c r="E250" s="721"/>
      <c r="F250" s="721"/>
      <c r="G250" s="721"/>
      <c r="H250" s="721"/>
      <c r="I250" s="721"/>
      <c r="J250" s="721"/>
      <c r="K250" s="721"/>
      <c r="L250" s="721"/>
      <c r="M250" s="721"/>
      <c r="N250" s="721"/>
      <c r="O250" s="722"/>
      <c r="P250" s="718" t="s">
        <v>40</v>
      </c>
      <c r="Q250" s="719"/>
      <c r="R250" s="719"/>
      <c r="S250" s="719"/>
      <c r="T250" s="719"/>
      <c r="U250" s="719"/>
      <c r="V250" s="72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customHeight="1" x14ac:dyDescent="0.25">
      <c r="A251" s="712" t="s">
        <v>439</v>
      </c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2"/>
      <c r="P251" s="712"/>
      <c r="Q251" s="712"/>
      <c r="R251" s="712"/>
      <c r="S251" s="712"/>
      <c r="T251" s="712"/>
      <c r="U251" s="712"/>
      <c r="V251" s="712"/>
      <c r="W251" s="712"/>
      <c r="X251" s="712"/>
      <c r="Y251" s="712"/>
      <c r="Z251" s="712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713">
        <v>4680115886797</v>
      </c>
      <c r="E252" s="71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4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5"/>
      <c r="R252" s="715"/>
      <c r="S252" s="715"/>
      <c r="T252" s="71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721"/>
      <c r="B253" s="721"/>
      <c r="C253" s="721"/>
      <c r="D253" s="721"/>
      <c r="E253" s="721"/>
      <c r="F253" s="721"/>
      <c r="G253" s="721"/>
      <c r="H253" s="721"/>
      <c r="I253" s="721"/>
      <c r="J253" s="721"/>
      <c r="K253" s="721"/>
      <c r="L253" s="721"/>
      <c r="M253" s="721"/>
      <c r="N253" s="721"/>
      <c r="O253" s="722"/>
      <c r="P253" s="718" t="s">
        <v>40</v>
      </c>
      <c r="Q253" s="719"/>
      <c r="R253" s="719"/>
      <c r="S253" s="719"/>
      <c r="T253" s="719"/>
      <c r="U253" s="719"/>
      <c r="V253" s="72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721"/>
      <c r="B254" s="721"/>
      <c r="C254" s="721"/>
      <c r="D254" s="721"/>
      <c r="E254" s="721"/>
      <c r="F254" s="721"/>
      <c r="G254" s="721"/>
      <c r="H254" s="721"/>
      <c r="I254" s="721"/>
      <c r="J254" s="721"/>
      <c r="K254" s="721"/>
      <c r="L254" s="721"/>
      <c r="M254" s="721"/>
      <c r="N254" s="721"/>
      <c r="O254" s="722"/>
      <c r="P254" s="718" t="s">
        <v>40</v>
      </c>
      <c r="Q254" s="719"/>
      <c r="R254" s="719"/>
      <c r="S254" s="719"/>
      <c r="T254" s="719"/>
      <c r="U254" s="719"/>
      <c r="V254" s="72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customHeight="1" x14ac:dyDescent="0.25">
      <c r="A255" s="711" t="s">
        <v>442</v>
      </c>
      <c r="B255" s="711"/>
      <c r="C255" s="711"/>
      <c r="D255" s="711"/>
      <c r="E255" s="711"/>
      <c r="F255" s="711"/>
      <c r="G255" s="711"/>
      <c r="H255" s="711"/>
      <c r="I255" s="711"/>
      <c r="J255" s="711"/>
      <c r="K255" s="711"/>
      <c r="L255" s="711"/>
      <c r="M255" s="711"/>
      <c r="N255" s="711"/>
      <c r="O255" s="711"/>
      <c r="P255" s="711"/>
      <c r="Q255" s="711"/>
      <c r="R255" s="711"/>
      <c r="S255" s="711"/>
      <c r="T255" s="711"/>
      <c r="U255" s="711"/>
      <c r="V255" s="711"/>
      <c r="W255" s="711"/>
      <c r="X255" s="711"/>
      <c r="Y255" s="711"/>
      <c r="Z255" s="711"/>
      <c r="AA255" s="65"/>
      <c r="AB255" s="65"/>
      <c r="AC255" s="79"/>
    </row>
    <row r="256" spans="1:68" ht="14.25" customHeight="1" x14ac:dyDescent="0.25">
      <c r="A256" s="712" t="s">
        <v>122</v>
      </c>
      <c r="B256" s="712"/>
      <c r="C256" s="712"/>
      <c r="D256" s="712"/>
      <c r="E256" s="712"/>
      <c r="F256" s="712"/>
      <c r="G256" s="712"/>
      <c r="H256" s="712"/>
      <c r="I256" s="712"/>
      <c r="J256" s="712"/>
      <c r="K256" s="712"/>
      <c r="L256" s="712"/>
      <c r="M256" s="712"/>
      <c r="N256" s="712"/>
      <c r="O256" s="712"/>
      <c r="P256" s="712"/>
      <c r="Q256" s="712"/>
      <c r="R256" s="712"/>
      <c r="S256" s="712"/>
      <c r="T256" s="712"/>
      <c r="U256" s="712"/>
      <c r="V256" s="712"/>
      <c r="W256" s="712"/>
      <c r="X256" s="712"/>
      <c r="Y256" s="712"/>
      <c r="Z256" s="712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713">
        <v>4680115881402</v>
      </c>
      <c r="E257" s="713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4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5"/>
      <c r="R257" s="715"/>
      <c r="S257" s="715"/>
      <c r="T257" s="71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446</v>
      </c>
      <c r="B258" s="63" t="s">
        <v>447</v>
      </c>
      <c r="C258" s="36">
        <v>4301011768</v>
      </c>
      <c r="D258" s="713">
        <v>4680115881396</v>
      </c>
      <c r="E258" s="713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5"/>
      <c r="R258" s="715"/>
      <c r="S258" s="715"/>
      <c r="T258" s="716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721"/>
      <c r="B259" s="721"/>
      <c r="C259" s="721"/>
      <c r="D259" s="721"/>
      <c r="E259" s="721"/>
      <c r="F259" s="721"/>
      <c r="G259" s="721"/>
      <c r="H259" s="721"/>
      <c r="I259" s="721"/>
      <c r="J259" s="721"/>
      <c r="K259" s="721"/>
      <c r="L259" s="721"/>
      <c r="M259" s="721"/>
      <c r="N259" s="721"/>
      <c r="O259" s="722"/>
      <c r="P259" s="718" t="s">
        <v>40</v>
      </c>
      <c r="Q259" s="719"/>
      <c r="R259" s="719"/>
      <c r="S259" s="719"/>
      <c r="T259" s="719"/>
      <c r="U259" s="719"/>
      <c r="V259" s="72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721"/>
      <c r="B260" s="721"/>
      <c r="C260" s="721"/>
      <c r="D260" s="721"/>
      <c r="E260" s="721"/>
      <c r="F260" s="721"/>
      <c r="G260" s="721"/>
      <c r="H260" s="721"/>
      <c r="I260" s="721"/>
      <c r="J260" s="721"/>
      <c r="K260" s="721"/>
      <c r="L260" s="721"/>
      <c r="M260" s="721"/>
      <c r="N260" s="721"/>
      <c r="O260" s="722"/>
      <c r="P260" s="718" t="s">
        <v>40</v>
      </c>
      <c r="Q260" s="719"/>
      <c r="R260" s="719"/>
      <c r="S260" s="719"/>
      <c r="T260" s="719"/>
      <c r="U260" s="719"/>
      <c r="V260" s="72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712" t="s">
        <v>158</v>
      </c>
      <c r="B261" s="712"/>
      <c r="C261" s="712"/>
      <c r="D261" s="712"/>
      <c r="E261" s="712"/>
      <c r="F261" s="712"/>
      <c r="G261" s="712"/>
      <c r="H261" s="712"/>
      <c r="I261" s="712"/>
      <c r="J261" s="712"/>
      <c r="K261" s="712"/>
      <c r="L261" s="712"/>
      <c r="M261" s="712"/>
      <c r="N261" s="712"/>
      <c r="O261" s="712"/>
      <c r="P261" s="712"/>
      <c r="Q261" s="712"/>
      <c r="R261" s="712"/>
      <c r="S261" s="712"/>
      <c r="T261" s="712"/>
      <c r="U261" s="712"/>
      <c r="V261" s="712"/>
      <c r="W261" s="712"/>
      <c r="X261" s="712"/>
      <c r="Y261" s="712"/>
      <c r="Z261" s="712"/>
      <c r="AA261" s="66"/>
      <c r="AB261" s="66"/>
      <c r="AC261" s="80"/>
    </row>
    <row r="262" spans="1:68" ht="16.5" customHeight="1" x14ac:dyDescent="0.25">
      <c r="A262" s="63" t="s">
        <v>448</v>
      </c>
      <c r="B262" s="63" t="s">
        <v>449</v>
      </c>
      <c r="C262" s="36">
        <v>4301020261</v>
      </c>
      <c r="D262" s="713">
        <v>4680115882935</v>
      </c>
      <c r="E262" s="71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5"/>
      <c r="R262" s="715"/>
      <c r="S262" s="715"/>
      <c r="T262" s="71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customHeight="1" x14ac:dyDescent="0.25">
      <c r="A263" s="63" t="s">
        <v>451</v>
      </c>
      <c r="B263" s="63" t="s">
        <v>452</v>
      </c>
      <c r="C263" s="36">
        <v>4301020220</v>
      </c>
      <c r="D263" s="713">
        <v>4680115880764</v>
      </c>
      <c r="E263" s="713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5"/>
      <c r="R263" s="715"/>
      <c r="S263" s="715"/>
      <c r="T263" s="716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721"/>
      <c r="B264" s="721"/>
      <c r="C264" s="721"/>
      <c r="D264" s="721"/>
      <c r="E264" s="721"/>
      <c r="F264" s="721"/>
      <c r="G264" s="721"/>
      <c r="H264" s="721"/>
      <c r="I264" s="721"/>
      <c r="J264" s="721"/>
      <c r="K264" s="721"/>
      <c r="L264" s="721"/>
      <c r="M264" s="721"/>
      <c r="N264" s="721"/>
      <c r="O264" s="722"/>
      <c r="P264" s="718" t="s">
        <v>40</v>
      </c>
      <c r="Q264" s="719"/>
      <c r="R264" s="719"/>
      <c r="S264" s="719"/>
      <c r="T264" s="719"/>
      <c r="U264" s="719"/>
      <c r="V264" s="72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721"/>
      <c r="B265" s="721"/>
      <c r="C265" s="721"/>
      <c r="D265" s="721"/>
      <c r="E265" s="721"/>
      <c r="F265" s="721"/>
      <c r="G265" s="721"/>
      <c r="H265" s="721"/>
      <c r="I265" s="721"/>
      <c r="J265" s="721"/>
      <c r="K265" s="721"/>
      <c r="L265" s="721"/>
      <c r="M265" s="721"/>
      <c r="N265" s="721"/>
      <c r="O265" s="722"/>
      <c r="P265" s="718" t="s">
        <v>40</v>
      </c>
      <c r="Q265" s="719"/>
      <c r="R265" s="719"/>
      <c r="S265" s="719"/>
      <c r="T265" s="719"/>
      <c r="U265" s="719"/>
      <c r="V265" s="72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712" t="s">
        <v>77</v>
      </c>
      <c r="B266" s="712"/>
      <c r="C266" s="712"/>
      <c r="D266" s="712"/>
      <c r="E266" s="712"/>
      <c r="F266" s="712"/>
      <c r="G266" s="712"/>
      <c r="H266" s="712"/>
      <c r="I266" s="712"/>
      <c r="J266" s="712"/>
      <c r="K266" s="712"/>
      <c r="L266" s="712"/>
      <c r="M266" s="712"/>
      <c r="N266" s="712"/>
      <c r="O266" s="712"/>
      <c r="P266" s="712"/>
      <c r="Q266" s="712"/>
      <c r="R266" s="712"/>
      <c r="S266" s="712"/>
      <c r="T266" s="712"/>
      <c r="U266" s="712"/>
      <c r="V266" s="712"/>
      <c r="W266" s="712"/>
      <c r="X266" s="712"/>
      <c r="Y266" s="712"/>
      <c r="Z266" s="712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713">
        <v>4680115882683</v>
      </c>
      <c r="E267" s="71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5"/>
      <c r="R267" s="715"/>
      <c r="S267" s="715"/>
      <c r="T267" s="71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713">
        <v>4680115882690</v>
      </c>
      <c r="E268" s="71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5"/>
      <c r="R268" s="715"/>
      <c r="S268" s="715"/>
      <c r="T268" s="71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713">
        <v>4680115882669</v>
      </c>
      <c r="E269" s="713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5"/>
      <c r="R269" s="715"/>
      <c r="S269" s="715"/>
      <c r="T269" s="71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713">
        <v>4680115882676</v>
      </c>
      <c r="E270" s="713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5"/>
      <c r="R270" s="715"/>
      <c r="S270" s="715"/>
      <c r="T270" s="71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713">
        <v>4680115884014</v>
      </c>
      <c r="E271" s="713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5"/>
      <c r="R271" s="715"/>
      <c r="S271" s="715"/>
      <c r="T271" s="71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713">
        <v>4680115884007</v>
      </c>
      <c r="E272" s="71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5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5"/>
      <c r="R272" s="715"/>
      <c r="S272" s="715"/>
      <c r="T272" s="71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713">
        <v>4680115884038</v>
      </c>
      <c r="E273" s="713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5"/>
      <c r="R273" s="715"/>
      <c r="S273" s="715"/>
      <c r="T273" s="71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713">
        <v>4680115884021</v>
      </c>
      <c r="E274" s="713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5"/>
      <c r="R274" s="715"/>
      <c r="S274" s="715"/>
      <c r="T274" s="71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721"/>
      <c r="B275" s="721"/>
      <c r="C275" s="721"/>
      <c r="D275" s="721"/>
      <c r="E275" s="721"/>
      <c r="F275" s="721"/>
      <c r="G275" s="721"/>
      <c r="H275" s="721"/>
      <c r="I275" s="721"/>
      <c r="J275" s="721"/>
      <c r="K275" s="721"/>
      <c r="L275" s="721"/>
      <c r="M275" s="721"/>
      <c r="N275" s="721"/>
      <c r="O275" s="722"/>
      <c r="P275" s="718" t="s">
        <v>40</v>
      </c>
      <c r="Q275" s="719"/>
      <c r="R275" s="719"/>
      <c r="S275" s="719"/>
      <c r="T275" s="719"/>
      <c r="U275" s="719"/>
      <c r="V275" s="72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721"/>
      <c r="B276" s="721"/>
      <c r="C276" s="721"/>
      <c r="D276" s="721"/>
      <c r="E276" s="721"/>
      <c r="F276" s="721"/>
      <c r="G276" s="721"/>
      <c r="H276" s="721"/>
      <c r="I276" s="721"/>
      <c r="J276" s="721"/>
      <c r="K276" s="721"/>
      <c r="L276" s="721"/>
      <c r="M276" s="721"/>
      <c r="N276" s="721"/>
      <c r="O276" s="722"/>
      <c r="P276" s="718" t="s">
        <v>40</v>
      </c>
      <c r="Q276" s="719"/>
      <c r="R276" s="719"/>
      <c r="S276" s="719"/>
      <c r="T276" s="719"/>
      <c r="U276" s="719"/>
      <c r="V276" s="72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customHeight="1" x14ac:dyDescent="0.25">
      <c r="A277" s="712" t="s">
        <v>86</v>
      </c>
      <c r="B277" s="712"/>
      <c r="C277" s="712"/>
      <c r="D277" s="712"/>
      <c r="E277" s="712"/>
      <c r="F277" s="712"/>
      <c r="G277" s="712"/>
      <c r="H277" s="712"/>
      <c r="I277" s="712"/>
      <c r="J277" s="712"/>
      <c r="K277" s="712"/>
      <c r="L277" s="712"/>
      <c r="M277" s="712"/>
      <c r="N277" s="712"/>
      <c r="O277" s="712"/>
      <c r="P277" s="712"/>
      <c r="Q277" s="712"/>
      <c r="R277" s="712"/>
      <c r="S277" s="712"/>
      <c r="T277" s="712"/>
      <c r="U277" s="712"/>
      <c r="V277" s="712"/>
      <c r="W277" s="712"/>
      <c r="X277" s="712"/>
      <c r="Y277" s="712"/>
      <c r="Z277" s="712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713">
        <v>4680115881594</v>
      </c>
      <c r="E278" s="713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5"/>
      <c r="R278" s="715"/>
      <c r="S278" s="715"/>
      <c r="T278" s="71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713">
        <v>4680115881617</v>
      </c>
      <c r="E279" s="713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5"/>
      <c r="R279" s="715"/>
      <c r="S279" s="715"/>
      <c r="T279" s="71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713">
        <v>4680115880573</v>
      </c>
      <c r="E280" s="713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5"/>
      <c r="R280" s="715"/>
      <c r="S280" s="715"/>
      <c r="T280" s="71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713">
        <v>4680115882195</v>
      </c>
      <c r="E281" s="713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5"/>
      <c r="R281" s="715"/>
      <c r="S281" s="715"/>
      <c r="T281" s="71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4301051752</v>
      </c>
      <c r="D282" s="713">
        <v>4680115882607</v>
      </c>
      <c r="E282" s="713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5"/>
      <c r="R282" s="715"/>
      <c r="S282" s="715"/>
      <c r="T282" s="71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4301052143</v>
      </c>
      <c r="D283" s="713">
        <v>4680115882607</v>
      </c>
      <c r="E283" s="713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5"/>
      <c r="R283" s="715"/>
      <c r="S283" s="715"/>
      <c r="T283" s="71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3">
        <v>4680115880092</v>
      </c>
      <c r="E284" s="71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5"/>
      <c r="R284" s="715"/>
      <c r="S284" s="715"/>
      <c r="T284" s="71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4301052214</v>
      </c>
      <c r="D285" s="713">
        <v>4680115889064</v>
      </c>
      <c r="E285" s="713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6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5"/>
      <c r="R285" s="715"/>
      <c r="S285" s="715"/>
      <c r="T285" s="71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713">
        <v>4680115880221</v>
      </c>
      <c r="E286" s="713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5"/>
      <c r="R286" s="715"/>
      <c r="S286" s="715"/>
      <c r="T286" s="71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713">
        <v>4680115880504</v>
      </c>
      <c r="E287" s="71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5"/>
      <c r="R287" s="715"/>
      <c r="S287" s="715"/>
      <c r="T287" s="71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713">
        <v>4680115882164</v>
      </c>
      <c r="E288" s="713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5"/>
      <c r="R288" s="715"/>
      <c r="S288" s="715"/>
      <c r="T288" s="71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customHeight="1" x14ac:dyDescent="0.25">
      <c r="A289" s="63" t="s">
        <v>501</v>
      </c>
      <c r="B289" s="63" t="s">
        <v>502</v>
      </c>
      <c r="C289" s="36">
        <v>4301052180</v>
      </c>
      <c r="D289" s="713">
        <v>4680115888340</v>
      </c>
      <c r="E289" s="71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5"/>
      <c r="R289" s="715"/>
      <c r="S289" s="715"/>
      <c r="T289" s="71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1"/>
      <c r="B290" s="721"/>
      <c r="C290" s="721"/>
      <c r="D290" s="721"/>
      <c r="E290" s="721"/>
      <c r="F290" s="721"/>
      <c r="G290" s="721"/>
      <c r="H290" s="721"/>
      <c r="I290" s="721"/>
      <c r="J290" s="721"/>
      <c r="K290" s="721"/>
      <c r="L290" s="721"/>
      <c r="M290" s="721"/>
      <c r="N290" s="721"/>
      <c r="O290" s="722"/>
      <c r="P290" s="718" t="s">
        <v>40</v>
      </c>
      <c r="Q290" s="719"/>
      <c r="R290" s="719"/>
      <c r="S290" s="719"/>
      <c r="T290" s="719"/>
      <c r="U290" s="719"/>
      <c r="V290" s="72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x14ac:dyDescent="0.2">
      <c r="A291" s="721"/>
      <c r="B291" s="721"/>
      <c r="C291" s="721"/>
      <c r="D291" s="721"/>
      <c r="E291" s="721"/>
      <c r="F291" s="721"/>
      <c r="G291" s="721"/>
      <c r="H291" s="721"/>
      <c r="I291" s="721"/>
      <c r="J291" s="721"/>
      <c r="K291" s="721"/>
      <c r="L291" s="721"/>
      <c r="M291" s="721"/>
      <c r="N291" s="721"/>
      <c r="O291" s="722"/>
      <c r="P291" s="718" t="s">
        <v>40</v>
      </c>
      <c r="Q291" s="719"/>
      <c r="R291" s="719"/>
      <c r="S291" s="719"/>
      <c r="T291" s="719"/>
      <c r="U291" s="719"/>
      <c r="V291" s="72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customHeight="1" x14ac:dyDescent="0.25">
      <c r="A292" s="712" t="s">
        <v>175</v>
      </c>
      <c r="B292" s="712"/>
      <c r="C292" s="712"/>
      <c r="D292" s="712"/>
      <c r="E292" s="712"/>
      <c r="F292" s="712"/>
      <c r="G292" s="712"/>
      <c r="H292" s="712"/>
      <c r="I292" s="712"/>
      <c r="J292" s="712"/>
      <c r="K292" s="712"/>
      <c r="L292" s="712"/>
      <c r="M292" s="712"/>
      <c r="N292" s="712"/>
      <c r="O292" s="712"/>
      <c r="P292" s="712"/>
      <c r="Q292" s="712"/>
      <c r="R292" s="712"/>
      <c r="S292" s="712"/>
      <c r="T292" s="712"/>
      <c r="U292" s="712"/>
      <c r="V292" s="712"/>
      <c r="W292" s="712"/>
      <c r="X292" s="712"/>
      <c r="Y292" s="712"/>
      <c r="Z292" s="712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713">
        <v>4680115880818</v>
      </c>
      <c r="E293" s="71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5"/>
      <c r="R293" s="715"/>
      <c r="S293" s="715"/>
      <c r="T293" s="716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713">
        <v>4680115880801</v>
      </c>
      <c r="E294" s="713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5"/>
      <c r="R294" s="715"/>
      <c r="S294" s="715"/>
      <c r="T294" s="716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721"/>
      <c r="B295" s="721"/>
      <c r="C295" s="721"/>
      <c r="D295" s="721"/>
      <c r="E295" s="721"/>
      <c r="F295" s="721"/>
      <c r="G295" s="721"/>
      <c r="H295" s="721"/>
      <c r="I295" s="721"/>
      <c r="J295" s="721"/>
      <c r="K295" s="721"/>
      <c r="L295" s="721"/>
      <c r="M295" s="721"/>
      <c r="N295" s="721"/>
      <c r="O295" s="722"/>
      <c r="P295" s="718" t="s">
        <v>40</v>
      </c>
      <c r="Q295" s="719"/>
      <c r="R295" s="719"/>
      <c r="S295" s="719"/>
      <c r="T295" s="719"/>
      <c r="U295" s="719"/>
      <c r="V295" s="72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x14ac:dyDescent="0.2">
      <c r="A296" s="721"/>
      <c r="B296" s="721"/>
      <c r="C296" s="721"/>
      <c r="D296" s="721"/>
      <c r="E296" s="721"/>
      <c r="F296" s="721"/>
      <c r="G296" s="721"/>
      <c r="H296" s="721"/>
      <c r="I296" s="721"/>
      <c r="J296" s="721"/>
      <c r="K296" s="721"/>
      <c r="L296" s="721"/>
      <c r="M296" s="721"/>
      <c r="N296" s="721"/>
      <c r="O296" s="722"/>
      <c r="P296" s="718" t="s">
        <v>40</v>
      </c>
      <c r="Q296" s="719"/>
      <c r="R296" s="719"/>
      <c r="S296" s="719"/>
      <c r="T296" s="719"/>
      <c r="U296" s="719"/>
      <c r="V296" s="72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customHeight="1" x14ac:dyDescent="0.25">
      <c r="A297" s="711" t="s">
        <v>510</v>
      </c>
      <c r="B297" s="711"/>
      <c r="C297" s="711"/>
      <c r="D297" s="711"/>
      <c r="E297" s="711"/>
      <c r="F297" s="711"/>
      <c r="G297" s="711"/>
      <c r="H297" s="711"/>
      <c r="I297" s="711"/>
      <c r="J297" s="711"/>
      <c r="K297" s="711"/>
      <c r="L297" s="711"/>
      <c r="M297" s="711"/>
      <c r="N297" s="711"/>
      <c r="O297" s="711"/>
      <c r="P297" s="711"/>
      <c r="Q297" s="711"/>
      <c r="R297" s="711"/>
      <c r="S297" s="711"/>
      <c r="T297" s="711"/>
      <c r="U297" s="711"/>
      <c r="V297" s="711"/>
      <c r="W297" s="711"/>
      <c r="X297" s="711"/>
      <c r="Y297" s="711"/>
      <c r="Z297" s="711"/>
      <c r="AA297" s="65"/>
      <c r="AB297" s="65"/>
      <c r="AC297" s="79"/>
    </row>
    <row r="298" spans="1:68" ht="14.25" customHeight="1" x14ac:dyDescent="0.25">
      <c r="A298" s="712" t="s">
        <v>122</v>
      </c>
      <c r="B298" s="712"/>
      <c r="C298" s="712"/>
      <c r="D298" s="712"/>
      <c r="E298" s="712"/>
      <c r="F298" s="712"/>
      <c r="G298" s="712"/>
      <c r="H298" s="712"/>
      <c r="I298" s="712"/>
      <c r="J298" s="712"/>
      <c r="K298" s="712"/>
      <c r="L298" s="712"/>
      <c r="M298" s="712"/>
      <c r="N298" s="712"/>
      <c r="O298" s="712"/>
      <c r="P298" s="712"/>
      <c r="Q298" s="712"/>
      <c r="R298" s="712"/>
      <c r="S298" s="712"/>
      <c r="T298" s="712"/>
      <c r="U298" s="712"/>
      <c r="V298" s="712"/>
      <c r="W298" s="712"/>
      <c r="X298" s="712"/>
      <c r="Y298" s="712"/>
      <c r="Z298" s="712"/>
      <c r="AA298" s="66"/>
      <c r="AB298" s="66"/>
      <c r="AC298" s="80"/>
    </row>
    <row r="299" spans="1:68" ht="27" customHeight="1" x14ac:dyDescent="0.25">
      <c r="A299" s="63" t="s">
        <v>511</v>
      </c>
      <c r="B299" s="63" t="s">
        <v>512</v>
      </c>
      <c r="C299" s="36">
        <v>4301011826</v>
      </c>
      <c r="D299" s="713">
        <v>4680115884137</v>
      </c>
      <c r="E299" s="71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5"/>
      <c r="R299" s="715"/>
      <c r="S299" s="715"/>
      <c r="T299" s="71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customHeight="1" x14ac:dyDescent="0.25">
      <c r="A300" s="63" t="s">
        <v>514</v>
      </c>
      <c r="B300" s="63" t="s">
        <v>515</v>
      </c>
      <c r="C300" s="36">
        <v>4301011724</v>
      </c>
      <c r="D300" s="713">
        <v>4680115884236</v>
      </c>
      <c r="E300" s="713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5"/>
      <c r="R300" s="715"/>
      <c r="S300" s="715"/>
      <c r="T300" s="71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713">
        <v>4680115884175</v>
      </c>
      <c r="E301" s="713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5"/>
      <c r="R301" s="715"/>
      <c r="S301" s="715"/>
      <c r="T301" s="71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713">
        <v>4680115884144</v>
      </c>
      <c r="E302" s="713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7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5"/>
      <c r="R302" s="715"/>
      <c r="S302" s="715"/>
      <c r="T302" s="71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4301012149</v>
      </c>
      <c r="D303" s="713">
        <v>4680115886551</v>
      </c>
      <c r="E303" s="71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7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5"/>
      <c r="R303" s="715"/>
      <c r="S303" s="715"/>
      <c r="T303" s="71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4301012228</v>
      </c>
      <c r="D304" s="713">
        <v>4680115887282</v>
      </c>
      <c r="E304" s="713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5"/>
      <c r="R304" s="715"/>
      <c r="S304" s="715"/>
      <c r="T304" s="71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713">
        <v>4680115884205</v>
      </c>
      <c r="E305" s="713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5"/>
      <c r="R305" s="715"/>
      <c r="S305" s="715"/>
      <c r="T305" s="71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721"/>
      <c r="B306" s="721"/>
      <c r="C306" s="721"/>
      <c r="D306" s="721"/>
      <c r="E306" s="721"/>
      <c r="F306" s="721"/>
      <c r="G306" s="721"/>
      <c r="H306" s="721"/>
      <c r="I306" s="721"/>
      <c r="J306" s="721"/>
      <c r="K306" s="721"/>
      <c r="L306" s="721"/>
      <c r="M306" s="721"/>
      <c r="N306" s="721"/>
      <c r="O306" s="722"/>
      <c r="P306" s="718" t="s">
        <v>40</v>
      </c>
      <c r="Q306" s="719"/>
      <c r="R306" s="719"/>
      <c r="S306" s="719"/>
      <c r="T306" s="719"/>
      <c r="U306" s="719"/>
      <c r="V306" s="72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721"/>
      <c r="B307" s="721"/>
      <c r="C307" s="721"/>
      <c r="D307" s="721"/>
      <c r="E307" s="721"/>
      <c r="F307" s="721"/>
      <c r="G307" s="721"/>
      <c r="H307" s="721"/>
      <c r="I307" s="721"/>
      <c r="J307" s="721"/>
      <c r="K307" s="721"/>
      <c r="L307" s="721"/>
      <c r="M307" s="721"/>
      <c r="N307" s="721"/>
      <c r="O307" s="722"/>
      <c r="P307" s="718" t="s">
        <v>40</v>
      </c>
      <c r="Q307" s="719"/>
      <c r="R307" s="719"/>
      <c r="S307" s="719"/>
      <c r="T307" s="719"/>
      <c r="U307" s="719"/>
      <c r="V307" s="72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712" t="s">
        <v>158</v>
      </c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2"/>
      <c r="P308" s="712"/>
      <c r="Q308" s="712"/>
      <c r="R308" s="712"/>
      <c r="S308" s="712"/>
      <c r="T308" s="712"/>
      <c r="U308" s="712"/>
      <c r="V308" s="712"/>
      <c r="W308" s="712"/>
      <c r="X308" s="712"/>
      <c r="Y308" s="712"/>
      <c r="Z308" s="712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713">
        <v>4680115885981</v>
      </c>
      <c r="E309" s="713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5"/>
      <c r="R309" s="715"/>
      <c r="S309" s="715"/>
      <c r="T309" s="71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721"/>
      <c r="B310" s="721"/>
      <c r="C310" s="721"/>
      <c r="D310" s="721"/>
      <c r="E310" s="721"/>
      <c r="F310" s="721"/>
      <c r="G310" s="721"/>
      <c r="H310" s="721"/>
      <c r="I310" s="721"/>
      <c r="J310" s="721"/>
      <c r="K310" s="721"/>
      <c r="L310" s="721"/>
      <c r="M310" s="721"/>
      <c r="N310" s="721"/>
      <c r="O310" s="722"/>
      <c r="P310" s="718" t="s">
        <v>40</v>
      </c>
      <c r="Q310" s="719"/>
      <c r="R310" s="719"/>
      <c r="S310" s="719"/>
      <c r="T310" s="719"/>
      <c r="U310" s="719"/>
      <c r="V310" s="72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721"/>
      <c r="B311" s="721"/>
      <c r="C311" s="721"/>
      <c r="D311" s="721"/>
      <c r="E311" s="721"/>
      <c r="F311" s="721"/>
      <c r="G311" s="721"/>
      <c r="H311" s="721"/>
      <c r="I311" s="721"/>
      <c r="J311" s="721"/>
      <c r="K311" s="721"/>
      <c r="L311" s="721"/>
      <c r="M311" s="721"/>
      <c r="N311" s="721"/>
      <c r="O311" s="722"/>
      <c r="P311" s="718" t="s">
        <v>40</v>
      </c>
      <c r="Q311" s="719"/>
      <c r="R311" s="719"/>
      <c r="S311" s="719"/>
      <c r="T311" s="719"/>
      <c r="U311" s="719"/>
      <c r="V311" s="72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712" t="s">
        <v>532</v>
      </c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2"/>
      <c r="P312" s="712"/>
      <c r="Q312" s="712"/>
      <c r="R312" s="712"/>
      <c r="S312" s="712"/>
      <c r="T312" s="712"/>
      <c r="U312" s="712"/>
      <c r="V312" s="712"/>
      <c r="W312" s="712"/>
      <c r="X312" s="712"/>
      <c r="Y312" s="712"/>
      <c r="Z312" s="712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713">
        <v>4680115886803</v>
      </c>
      <c r="E313" s="71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5"/>
      <c r="R313" s="715"/>
      <c r="S313" s="715"/>
      <c r="T313" s="71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721"/>
      <c r="B314" s="721"/>
      <c r="C314" s="721"/>
      <c r="D314" s="721"/>
      <c r="E314" s="721"/>
      <c r="F314" s="721"/>
      <c r="G314" s="721"/>
      <c r="H314" s="721"/>
      <c r="I314" s="721"/>
      <c r="J314" s="721"/>
      <c r="K314" s="721"/>
      <c r="L314" s="721"/>
      <c r="M314" s="721"/>
      <c r="N314" s="721"/>
      <c r="O314" s="722"/>
      <c r="P314" s="718" t="s">
        <v>40</v>
      </c>
      <c r="Q314" s="719"/>
      <c r="R314" s="719"/>
      <c r="S314" s="719"/>
      <c r="T314" s="719"/>
      <c r="U314" s="719"/>
      <c r="V314" s="72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721"/>
      <c r="B315" s="721"/>
      <c r="C315" s="721"/>
      <c r="D315" s="721"/>
      <c r="E315" s="721"/>
      <c r="F315" s="721"/>
      <c r="G315" s="721"/>
      <c r="H315" s="721"/>
      <c r="I315" s="721"/>
      <c r="J315" s="721"/>
      <c r="K315" s="721"/>
      <c r="L315" s="721"/>
      <c r="M315" s="721"/>
      <c r="N315" s="721"/>
      <c r="O315" s="722"/>
      <c r="P315" s="718" t="s">
        <v>40</v>
      </c>
      <c r="Q315" s="719"/>
      <c r="R315" s="719"/>
      <c r="S315" s="719"/>
      <c r="T315" s="719"/>
      <c r="U315" s="719"/>
      <c r="V315" s="72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712" t="s">
        <v>349</v>
      </c>
      <c r="B316" s="712"/>
      <c r="C316" s="712"/>
      <c r="D316" s="712"/>
      <c r="E316" s="712"/>
      <c r="F316" s="712"/>
      <c r="G316" s="712"/>
      <c r="H316" s="712"/>
      <c r="I316" s="712"/>
      <c r="J316" s="712"/>
      <c r="K316" s="712"/>
      <c r="L316" s="712"/>
      <c r="M316" s="712"/>
      <c r="N316" s="712"/>
      <c r="O316" s="712"/>
      <c r="P316" s="712"/>
      <c r="Q316" s="712"/>
      <c r="R316" s="712"/>
      <c r="S316" s="712"/>
      <c r="T316" s="712"/>
      <c r="U316" s="712"/>
      <c r="V316" s="712"/>
      <c r="W316" s="712"/>
      <c r="X316" s="712"/>
      <c r="Y316" s="712"/>
      <c r="Z316" s="712"/>
      <c r="AA316" s="66"/>
      <c r="AB316" s="66"/>
      <c r="AC316" s="80"/>
    </row>
    <row r="317" spans="1:68" ht="27" customHeight="1" x14ac:dyDescent="0.25">
      <c r="A317" s="63" t="s">
        <v>536</v>
      </c>
      <c r="B317" s="63" t="s">
        <v>537</v>
      </c>
      <c r="C317" s="36">
        <v>4301041004</v>
      </c>
      <c r="D317" s="713">
        <v>4680115886704</v>
      </c>
      <c r="E317" s="713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5"/>
      <c r="R317" s="715"/>
      <c r="S317" s="715"/>
      <c r="T317" s="71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713">
        <v>4680115886681</v>
      </c>
      <c r="E318" s="713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5"/>
      <c r="R318" s="715"/>
      <c r="S318" s="715"/>
      <c r="T318" s="71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713">
        <v>4680115886735</v>
      </c>
      <c r="E319" s="713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5"/>
      <c r="R319" s="715"/>
      <c r="S319" s="715"/>
      <c r="T319" s="716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721"/>
      <c r="B320" s="721"/>
      <c r="C320" s="721"/>
      <c r="D320" s="721"/>
      <c r="E320" s="721"/>
      <c r="F320" s="721"/>
      <c r="G320" s="721"/>
      <c r="H320" s="721"/>
      <c r="I320" s="721"/>
      <c r="J320" s="721"/>
      <c r="K320" s="721"/>
      <c r="L320" s="721"/>
      <c r="M320" s="721"/>
      <c r="N320" s="721"/>
      <c r="O320" s="722"/>
      <c r="P320" s="718" t="s">
        <v>40</v>
      </c>
      <c r="Q320" s="719"/>
      <c r="R320" s="719"/>
      <c r="S320" s="719"/>
      <c r="T320" s="719"/>
      <c r="U320" s="719"/>
      <c r="V320" s="72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721"/>
      <c r="B321" s="721"/>
      <c r="C321" s="721"/>
      <c r="D321" s="721"/>
      <c r="E321" s="721"/>
      <c r="F321" s="721"/>
      <c r="G321" s="721"/>
      <c r="H321" s="721"/>
      <c r="I321" s="721"/>
      <c r="J321" s="721"/>
      <c r="K321" s="721"/>
      <c r="L321" s="721"/>
      <c r="M321" s="721"/>
      <c r="N321" s="721"/>
      <c r="O321" s="722"/>
      <c r="P321" s="718" t="s">
        <v>40</v>
      </c>
      <c r="Q321" s="719"/>
      <c r="R321" s="719"/>
      <c r="S321" s="719"/>
      <c r="T321" s="719"/>
      <c r="U321" s="719"/>
      <c r="V321" s="72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customHeight="1" x14ac:dyDescent="0.25">
      <c r="A322" s="711" t="s">
        <v>543</v>
      </c>
      <c r="B322" s="711"/>
      <c r="C322" s="711"/>
      <c r="D322" s="711"/>
      <c r="E322" s="711"/>
      <c r="F322" s="711"/>
      <c r="G322" s="711"/>
      <c r="H322" s="711"/>
      <c r="I322" s="711"/>
      <c r="J322" s="711"/>
      <c r="K322" s="711"/>
      <c r="L322" s="711"/>
      <c r="M322" s="711"/>
      <c r="N322" s="711"/>
      <c r="O322" s="711"/>
      <c r="P322" s="711"/>
      <c r="Q322" s="711"/>
      <c r="R322" s="711"/>
      <c r="S322" s="711"/>
      <c r="T322" s="711"/>
      <c r="U322" s="711"/>
      <c r="V322" s="711"/>
      <c r="W322" s="711"/>
      <c r="X322" s="711"/>
      <c r="Y322" s="711"/>
      <c r="Z322" s="711"/>
      <c r="AA322" s="65"/>
      <c r="AB322" s="65"/>
      <c r="AC322" s="79"/>
    </row>
    <row r="323" spans="1:68" ht="14.25" customHeight="1" x14ac:dyDescent="0.25">
      <c r="A323" s="712" t="s">
        <v>122</v>
      </c>
      <c r="B323" s="712"/>
      <c r="C323" s="712"/>
      <c r="D323" s="712"/>
      <c r="E323" s="712"/>
      <c r="F323" s="712"/>
      <c r="G323" s="712"/>
      <c r="H323" s="712"/>
      <c r="I323" s="712"/>
      <c r="J323" s="712"/>
      <c r="K323" s="712"/>
      <c r="L323" s="712"/>
      <c r="M323" s="712"/>
      <c r="N323" s="712"/>
      <c r="O323" s="712"/>
      <c r="P323" s="712"/>
      <c r="Q323" s="712"/>
      <c r="R323" s="712"/>
      <c r="S323" s="712"/>
      <c r="T323" s="712"/>
      <c r="U323" s="712"/>
      <c r="V323" s="712"/>
      <c r="W323" s="712"/>
      <c r="X323" s="712"/>
      <c r="Y323" s="712"/>
      <c r="Z323" s="712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713">
        <v>4680115885837</v>
      </c>
      <c r="E324" s="71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5"/>
      <c r="R324" s="715"/>
      <c r="S324" s="715"/>
      <c r="T324" s="71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713">
        <v>4680115887237</v>
      </c>
      <c r="E325" s="71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5"/>
      <c r="R325" s="715"/>
      <c r="S325" s="715"/>
      <c r="T325" s="71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713">
        <v>4680115885806</v>
      </c>
      <c r="E326" s="71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5"/>
      <c r="R326" s="715"/>
      <c r="S326" s="715"/>
      <c r="T326" s="71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713">
        <v>4680115885844</v>
      </c>
      <c r="E327" s="71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5"/>
      <c r="R327" s="715"/>
      <c r="S327" s="715"/>
      <c r="T327" s="71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713">
        <v>4680115885820</v>
      </c>
      <c r="E328" s="713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5"/>
      <c r="R328" s="715"/>
      <c r="S328" s="715"/>
      <c r="T328" s="71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721"/>
      <c r="B329" s="721"/>
      <c r="C329" s="721"/>
      <c r="D329" s="721"/>
      <c r="E329" s="721"/>
      <c r="F329" s="721"/>
      <c r="G329" s="721"/>
      <c r="H329" s="721"/>
      <c r="I329" s="721"/>
      <c r="J329" s="721"/>
      <c r="K329" s="721"/>
      <c r="L329" s="721"/>
      <c r="M329" s="721"/>
      <c r="N329" s="721"/>
      <c r="O329" s="722"/>
      <c r="P329" s="718" t="s">
        <v>40</v>
      </c>
      <c r="Q329" s="719"/>
      <c r="R329" s="719"/>
      <c r="S329" s="719"/>
      <c r="T329" s="719"/>
      <c r="U329" s="719"/>
      <c r="V329" s="72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721"/>
      <c r="B330" s="721"/>
      <c r="C330" s="721"/>
      <c r="D330" s="721"/>
      <c r="E330" s="721"/>
      <c r="F330" s="721"/>
      <c r="G330" s="721"/>
      <c r="H330" s="721"/>
      <c r="I330" s="721"/>
      <c r="J330" s="721"/>
      <c r="K330" s="721"/>
      <c r="L330" s="721"/>
      <c r="M330" s="721"/>
      <c r="N330" s="721"/>
      <c r="O330" s="722"/>
      <c r="P330" s="718" t="s">
        <v>40</v>
      </c>
      <c r="Q330" s="719"/>
      <c r="R330" s="719"/>
      <c r="S330" s="719"/>
      <c r="T330" s="719"/>
      <c r="U330" s="719"/>
      <c r="V330" s="72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customHeight="1" x14ac:dyDescent="0.25">
      <c r="A331" s="711" t="s">
        <v>559</v>
      </c>
      <c r="B331" s="711"/>
      <c r="C331" s="711"/>
      <c r="D331" s="711"/>
      <c r="E331" s="711"/>
      <c r="F331" s="711"/>
      <c r="G331" s="711"/>
      <c r="H331" s="711"/>
      <c r="I331" s="711"/>
      <c r="J331" s="711"/>
      <c r="K331" s="711"/>
      <c r="L331" s="711"/>
      <c r="M331" s="711"/>
      <c r="N331" s="711"/>
      <c r="O331" s="711"/>
      <c r="P331" s="711"/>
      <c r="Q331" s="711"/>
      <c r="R331" s="711"/>
      <c r="S331" s="711"/>
      <c r="T331" s="711"/>
      <c r="U331" s="711"/>
      <c r="V331" s="711"/>
      <c r="W331" s="711"/>
      <c r="X331" s="711"/>
      <c r="Y331" s="711"/>
      <c r="Z331" s="711"/>
      <c r="AA331" s="65"/>
      <c r="AB331" s="65"/>
      <c r="AC331" s="79"/>
    </row>
    <row r="332" spans="1:68" ht="14.25" customHeight="1" x14ac:dyDescent="0.25">
      <c r="A332" s="712" t="s">
        <v>86</v>
      </c>
      <c r="B332" s="712"/>
      <c r="C332" s="712"/>
      <c r="D332" s="712"/>
      <c r="E332" s="712"/>
      <c r="F332" s="712"/>
      <c r="G332" s="712"/>
      <c r="H332" s="712"/>
      <c r="I332" s="712"/>
      <c r="J332" s="712"/>
      <c r="K332" s="712"/>
      <c r="L332" s="712"/>
      <c r="M332" s="712"/>
      <c r="N332" s="712"/>
      <c r="O332" s="712"/>
      <c r="P332" s="712"/>
      <c r="Q332" s="712"/>
      <c r="R332" s="712"/>
      <c r="S332" s="712"/>
      <c r="T332" s="712"/>
      <c r="U332" s="712"/>
      <c r="V332" s="712"/>
      <c r="W332" s="712"/>
      <c r="X332" s="712"/>
      <c r="Y332" s="712"/>
      <c r="Z332" s="712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713">
        <v>4680115886186</v>
      </c>
      <c r="E333" s="713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5"/>
      <c r="R333" s="715"/>
      <c r="S333" s="715"/>
      <c r="T333" s="71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713">
        <v>4680115881228</v>
      </c>
      <c r="E334" s="713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5"/>
      <c r="R334" s="715"/>
      <c r="S334" s="715"/>
      <c r="T334" s="71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713">
        <v>4680115881211</v>
      </c>
      <c r="E335" s="713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5"/>
      <c r="R335" s="715"/>
      <c r="S335" s="715"/>
      <c r="T335" s="71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721"/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2"/>
      <c r="P336" s="718" t="s">
        <v>40</v>
      </c>
      <c r="Q336" s="719"/>
      <c r="R336" s="719"/>
      <c r="S336" s="719"/>
      <c r="T336" s="719"/>
      <c r="U336" s="719"/>
      <c r="V336" s="72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721"/>
      <c r="B337" s="721"/>
      <c r="C337" s="721"/>
      <c r="D337" s="721"/>
      <c r="E337" s="721"/>
      <c r="F337" s="721"/>
      <c r="G337" s="721"/>
      <c r="H337" s="721"/>
      <c r="I337" s="721"/>
      <c r="J337" s="721"/>
      <c r="K337" s="721"/>
      <c r="L337" s="721"/>
      <c r="M337" s="721"/>
      <c r="N337" s="721"/>
      <c r="O337" s="722"/>
      <c r="P337" s="718" t="s">
        <v>40</v>
      </c>
      <c r="Q337" s="719"/>
      <c r="R337" s="719"/>
      <c r="S337" s="719"/>
      <c r="T337" s="719"/>
      <c r="U337" s="719"/>
      <c r="V337" s="72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711" t="s">
        <v>568</v>
      </c>
      <c r="B338" s="711"/>
      <c r="C338" s="711"/>
      <c r="D338" s="711"/>
      <c r="E338" s="711"/>
      <c r="F338" s="711"/>
      <c r="G338" s="711"/>
      <c r="H338" s="711"/>
      <c r="I338" s="711"/>
      <c r="J338" s="711"/>
      <c r="K338" s="711"/>
      <c r="L338" s="711"/>
      <c r="M338" s="711"/>
      <c r="N338" s="711"/>
      <c r="O338" s="711"/>
      <c r="P338" s="711"/>
      <c r="Q338" s="711"/>
      <c r="R338" s="711"/>
      <c r="S338" s="711"/>
      <c r="T338" s="711"/>
      <c r="U338" s="711"/>
      <c r="V338" s="711"/>
      <c r="W338" s="711"/>
      <c r="X338" s="711"/>
      <c r="Y338" s="711"/>
      <c r="Z338" s="711"/>
      <c r="AA338" s="65"/>
      <c r="AB338" s="65"/>
      <c r="AC338" s="79"/>
    </row>
    <row r="339" spans="1:68" ht="14.25" customHeight="1" x14ac:dyDescent="0.25">
      <c r="A339" s="712" t="s">
        <v>77</v>
      </c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712"/>
      <c r="O339" s="712"/>
      <c r="P339" s="712"/>
      <c r="Q339" s="712"/>
      <c r="R339" s="712"/>
      <c r="S339" s="712"/>
      <c r="T339" s="712"/>
      <c r="U339" s="712"/>
      <c r="V339" s="712"/>
      <c r="W339" s="712"/>
      <c r="X339" s="712"/>
      <c r="Y339" s="712"/>
      <c r="Z339" s="712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4301031445</v>
      </c>
      <c r="D340" s="713">
        <v>4680115888319</v>
      </c>
      <c r="E340" s="713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5"/>
      <c r="R340" s="715"/>
      <c r="S340" s="715"/>
      <c r="T340" s="71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4301031502</v>
      </c>
      <c r="D341" s="713">
        <v>4680115884700</v>
      </c>
      <c r="E341" s="713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5"/>
      <c r="R341" s="715"/>
      <c r="S341" s="715"/>
      <c r="T341" s="71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574</v>
      </c>
      <c r="B342" s="63" t="s">
        <v>575</v>
      </c>
      <c r="C342" s="36">
        <v>4301031307</v>
      </c>
      <c r="D342" s="713">
        <v>4680115880344</v>
      </c>
      <c r="E342" s="713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5"/>
      <c r="R342" s="715"/>
      <c r="S342" s="715"/>
      <c r="T342" s="71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577</v>
      </c>
      <c r="B343" s="63" t="s">
        <v>578</v>
      </c>
      <c r="C343" s="36">
        <v>4301031501</v>
      </c>
      <c r="D343" s="713">
        <v>4680115886919</v>
      </c>
      <c r="E343" s="713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89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5"/>
      <c r="R343" s="715"/>
      <c r="S343" s="715"/>
      <c r="T343" s="71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580</v>
      </c>
      <c r="B344" s="63" t="s">
        <v>581</v>
      </c>
      <c r="C344" s="36">
        <v>4301031246</v>
      </c>
      <c r="D344" s="713">
        <v>4680115883970</v>
      </c>
      <c r="E344" s="713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5"/>
      <c r="R344" s="715"/>
      <c r="S344" s="715"/>
      <c r="T344" s="71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721"/>
      <c r="B345" s="721"/>
      <c r="C345" s="721"/>
      <c r="D345" s="721"/>
      <c r="E345" s="721"/>
      <c r="F345" s="721"/>
      <c r="G345" s="721"/>
      <c r="H345" s="721"/>
      <c r="I345" s="721"/>
      <c r="J345" s="721"/>
      <c r="K345" s="721"/>
      <c r="L345" s="721"/>
      <c r="M345" s="721"/>
      <c r="N345" s="721"/>
      <c r="O345" s="722"/>
      <c r="P345" s="718" t="s">
        <v>40</v>
      </c>
      <c r="Q345" s="719"/>
      <c r="R345" s="719"/>
      <c r="S345" s="719"/>
      <c r="T345" s="719"/>
      <c r="U345" s="719"/>
      <c r="V345" s="72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721"/>
      <c r="B346" s="721"/>
      <c r="C346" s="721"/>
      <c r="D346" s="721"/>
      <c r="E346" s="721"/>
      <c r="F346" s="721"/>
      <c r="G346" s="721"/>
      <c r="H346" s="721"/>
      <c r="I346" s="721"/>
      <c r="J346" s="721"/>
      <c r="K346" s="721"/>
      <c r="L346" s="721"/>
      <c r="M346" s="721"/>
      <c r="N346" s="721"/>
      <c r="O346" s="722"/>
      <c r="P346" s="718" t="s">
        <v>40</v>
      </c>
      <c r="Q346" s="719"/>
      <c r="R346" s="719"/>
      <c r="S346" s="719"/>
      <c r="T346" s="719"/>
      <c r="U346" s="719"/>
      <c r="V346" s="72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customHeight="1" x14ac:dyDescent="0.25">
      <c r="A347" s="712" t="s">
        <v>86</v>
      </c>
      <c r="B347" s="712"/>
      <c r="C347" s="712"/>
      <c r="D347" s="712"/>
      <c r="E347" s="712"/>
      <c r="F347" s="712"/>
      <c r="G347" s="712"/>
      <c r="H347" s="712"/>
      <c r="I347" s="712"/>
      <c r="J347" s="712"/>
      <c r="K347" s="712"/>
      <c r="L347" s="712"/>
      <c r="M347" s="712"/>
      <c r="N347" s="712"/>
      <c r="O347" s="712"/>
      <c r="P347" s="712"/>
      <c r="Q347" s="712"/>
      <c r="R347" s="712"/>
      <c r="S347" s="712"/>
      <c r="T347" s="712"/>
      <c r="U347" s="712"/>
      <c r="V347" s="712"/>
      <c r="W347" s="712"/>
      <c r="X347" s="712"/>
      <c r="Y347" s="712"/>
      <c r="Z347" s="712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713">
        <v>4680115884618</v>
      </c>
      <c r="E348" s="713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5"/>
      <c r="R348" s="715"/>
      <c r="S348" s="715"/>
      <c r="T348" s="71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586</v>
      </c>
      <c r="B349" s="63" t="s">
        <v>587</v>
      </c>
      <c r="C349" s="36">
        <v>4301052057</v>
      </c>
      <c r="D349" s="713">
        <v>4680115887114</v>
      </c>
      <c r="E349" s="713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5"/>
      <c r="R349" s="715"/>
      <c r="S349" s="715"/>
      <c r="T349" s="71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721"/>
      <c r="B350" s="721"/>
      <c r="C350" s="721"/>
      <c r="D350" s="721"/>
      <c r="E350" s="721"/>
      <c r="F350" s="721"/>
      <c r="G350" s="721"/>
      <c r="H350" s="721"/>
      <c r="I350" s="721"/>
      <c r="J350" s="721"/>
      <c r="K350" s="721"/>
      <c r="L350" s="721"/>
      <c r="M350" s="721"/>
      <c r="N350" s="721"/>
      <c r="O350" s="722"/>
      <c r="P350" s="718" t="s">
        <v>40</v>
      </c>
      <c r="Q350" s="719"/>
      <c r="R350" s="719"/>
      <c r="S350" s="719"/>
      <c r="T350" s="719"/>
      <c r="U350" s="719"/>
      <c r="V350" s="72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721"/>
      <c r="B351" s="721"/>
      <c r="C351" s="721"/>
      <c r="D351" s="721"/>
      <c r="E351" s="721"/>
      <c r="F351" s="721"/>
      <c r="G351" s="721"/>
      <c r="H351" s="721"/>
      <c r="I351" s="721"/>
      <c r="J351" s="721"/>
      <c r="K351" s="721"/>
      <c r="L351" s="721"/>
      <c r="M351" s="721"/>
      <c r="N351" s="721"/>
      <c r="O351" s="722"/>
      <c r="P351" s="718" t="s">
        <v>40</v>
      </c>
      <c r="Q351" s="719"/>
      <c r="R351" s="719"/>
      <c r="S351" s="719"/>
      <c r="T351" s="719"/>
      <c r="U351" s="719"/>
      <c r="V351" s="72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customHeight="1" x14ac:dyDescent="0.25">
      <c r="A352" s="711" t="s">
        <v>589</v>
      </c>
      <c r="B352" s="711"/>
      <c r="C352" s="711"/>
      <c r="D352" s="711"/>
      <c r="E352" s="711"/>
      <c r="F352" s="711"/>
      <c r="G352" s="711"/>
      <c r="H352" s="711"/>
      <c r="I352" s="711"/>
      <c r="J352" s="711"/>
      <c r="K352" s="711"/>
      <c r="L352" s="711"/>
      <c r="M352" s="711"/>
      <c r="N352" s="711"/>
      <c r="O352" s="711"/>
      <c r="P352" s="711"/>
      <c r="Q352" s="711"/>
      <c r="R352" s="711"/>
      <c r="S352" s="711"/>
      <c r="T352" s="711"/>
      <c r="U352" s="711"/>
      <c r="V352" s="711"/>
      <c r="W352" s="711"/>
      <c r="X352" s="711"/>
      <c r="Y352" s="711"/>
      <c r="Z352" s="711"/>
      <c r="AA352" s="65"/>
      <c r="AB352" s="65"/>
      <c r="AC352" s="79"/>
    </row>
    <row r="353" spans="1:68" ht="14.25" customHeight="1" x14ac:dyDescent="0.25">
      <c r="A353" s="712" t="s">
        <v>122</v>
      </c>
      <c r="B353" s="712"/>
      <c r="C353" s="712"/>
      <c r="D353" s="712"/>
      <c r="E353" s="712"/>
      <c r="F353" s="712"/>
      <c r="G353" s="712"/>
      <c r="H353" s="712"/>
      <c r="I353" s="712"/>
      <c r="J353" s="712"/>
      <c r="K353" s="712"/>
      <c r="L353" s="712"/>
      <c r="M353" s="712"/>
      <c r="N353" s="712"/>
      <c r="O353" s="712"/>
      <c r="P353" s="712"/>
      <c r="Q353" s="712"/>
      <c r="R353" s="712"/>
      <c r="S353" s="712"/>
      <c r="T353" s="712"/>
      <c r="U353" s="712"/>
      <c r="V353" s="712"/>
      <c r="W353" s="712"/>
      <c r="X353" s="712"/>
      <c r="Y353" s="712"/>
      <c r="Z353" s="712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713">
        <v>4680115887947</v>
      </c>
      <c r="E354" s="71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5"/>
      <c r="R354" s="715"/>
      <c r="S354" s="715"/>
      <c r="T354" s="71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713">
        <v>4680115887978</v>
      </c>
      <c r="E355" s="713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5"/>
      <c r="R355" s="715"/>
      <c r="S355" s="715"/>
      <c r="T355" s="716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713">
        <v>4680115887992</v>
      </c>
      <c r="E356" s="713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5"/>
      <c r="R356" s="715"/>
      <c r="S356" s="715"/>
      <c r="T356" s="716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x14ac:dyDescent="0.2">
      <c r="A357" s="721"/>
      <c r="B357" s="721"/>
      <c r="C357" s="721"/>
      <c r="D357" s="721"/>
      <c r="E357" s="721"/>
      <c r="F357" s="721"/>
      <c r="G357" s="721"/>
      <c r="H357" s="721"/>
      <c r="I357" s="721"/>
      <c r="J357" s="721"/>
      <c r="K357" s="721"/>
      <c r="L357" s="721"/>
      <c r="M357" s="721"/>
      <c r="N357" s="721"/>
      <c r="O357" s="722"/>
      <c r="P357" s="718" t="s">
        <v>40</v>
      </c>
      <c r="Q357" s="719"/>
      <c r="R357" s="719"/>
      <c r="S357" s="719"/>
      <c r="T357" s="719"/>
      <c r="U357" s="719"/>
      <c r="V357" s="72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721"/>
      <c r="B358" s="721"/>
      <c r="C358" s="721"/>
      <c r="D358" s="721"/>
      <c r="E358" s="721"/>
      <c r="F358" s="721"/>
      <c r="G358" s="721"/>
      <c r="H358" s="721"/>
      <c r="I358" s="721"/>
      <c r="J358" s="721"/>
      <c r="K358" s="721"/>
      <c r="L358" s="721"/>
      <c r="M358" s="721"/>
      <c r="N358" s="721"/>
      <c r="O358" s="722"/>
      <c r="P358" s="718" t="s">
        <v>40</v>
      </c>
      <c r="Q358" s="719"/>
      <c r="R358" s="719"/>
      <c r="S358" s="719"/>
      <c r="T358" s="719"/>
      <c r="U358" s="719"/>
      <c r="V358" s="72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customHeight="1" x14ac:dyDescent="0.25">
      <c r="A359" s="711" t="s">
        <v>598</v>
      </c>
      <c r="B359" s="711"/>
      <c r="C359" s="711"/>
      <c r="D359" s="711"/>
      <c r="E359" s="711"/>
      <c r="F359" s="711"/>
      <c r="G359" s="711"/>
      <c r="H359" s="711"/>
      <c r="I359" s="711"/>
      <c r="J359" s="711"/>
      <c r="K359" s="711"/>
      <c r="L359" s="711"/>
      <c r="M359" s="711"/>
      <c r="N359" s="711"/>
      <c r="O359" s="711"/>
      <c r="P359" s="711"/>
      <c r="Q359" s="711"/>
      <c r="R359" s="711"/>
      <c r="S359" s="711"/>
      <c r="T359" s="711"/>
      <c r="U359" s="711"/>
      <c r="V359" s="711"/>
      <c r="W359" s="711"/>
      <c r="X359" s="711"/>
      <c r="Y359" s="711"/>
      <c r="Z359" s="711"/>
      <c r="AA359" s="65"/>
      <c r="AB359" s="65"/>
      <c r="AC359" s="79"/>
    </row>
    <row r="360" spans="1:68" ht="14.25" customHeight="1" x14ac:dyDescent="0.25">
      <c r="A360" s="712" t="s">
        <v>122</v>
      </c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2"/>
      <c r="P360" s="712"/>
      <c r="Q360" s="712"/>
      <c r="R360" s="712"/>
      <c r="S360" s="712"/>
      <c r="T360" s="712"/>
      <c r="U360" s="712"/>
      <c r="V360" s="712"/>
      <c r="W360" s="712"/>
      <c r="X360" s="712"/>
      <c r="Y360" s="712"/>
      <c r="Z360" s="712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4301012235</v>
      </c>
      <c r="D361" s="713">
        <v>4680115887190</v>
      </c>
      <c r="E361" s="71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5"/>
      <c r="R361" s="715"/>
      <c r="S361" s="715"/>
      <c r="T361" s="716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customHeight="1" x14ac:dyDescent="0.25">
      <c r="A362" s="63" t="s">
        <v>602</v>
      </c>
      <c r="B362" s="63" t="s">
        <v>603</v>
      </c>
      <c r="C362" s="36">
        <v>4301012233</v>
      </c>
      <c r="D362" s="713">
        <v>4680115887138</v>
      </c>
      <c r="E362" s="71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5"/>
      <c r="R362" s="715"/>
      <c r="S362" s="715"/>
      <c r="T362" s="71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605</v>
      </c>
      <c r="B363" s="63" t="s">
        <v>606</v>
      </c>
      <c r="C363" s="36">
        <v>4301012016</v>
      </c>
      <c r="D363" s="713">
        <v>4680115885554</v>
      </c>
      <c r="E363" s="713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90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5"/>
      <c r="R363" s="715"/>
      <c r="S363" s="715"/>
      <c r="T363" s="71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4301012236</v>
      </c>
      <c r="D364" s="713">
        <v>4680115887220</v>
      </c>
      <c r="E364" s="71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90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5"/>
      <c r="R364" s="715"/>
      <c r="S364" s="715"/>
      <c r="T364" s="71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601</v>
      </c>
      <c r="AG364" s="78"/>
      <c r="AJ364" s="84" t="s">
        <v>46</v>
      </c>
      <c r="AK364" s="84">
        <v>0</v>
      </c>
      <c r="BB364" s="461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4301011859</v>
      </c>
      <c r="D365" s="713">
        <v>4680115885608</v>
      </c>
      <c r="E365" s="713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5"/>
      <c r="R365" s="715"/>
      <c r="S365" s="715"/>
      <c r="T365" s="71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612</v>
      </c>
      <c r="AG365" s="78"/>
      <c r="AJ365" s="84" t="s">
        <v>46</v>
      </c>
      <c r="AK365" s="84">
        <v>0</v>
      </c>
      <c r="BB365" s="463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721"/>
      <c r="B366" s="721"/>
      <c r="C366" s="721"/>
      <c r="D366" s="721"/>
      <c r="E366" s="721"/>
      <c r="F366" s="721"/>
      <c r="G366" s="721"/>
      <c r="H366" s="721"/>
      <c r="I366" s="721"/>
      <c r="J366" s="721"/>
      <c r="K366" s="721"/>
      <c r="L366" s="721"/>
      <c r="M366" s="721"/>
      <c r="N366" s="721"/>
      <c r="O366" s="722"/>
      <c r="P366" s="718" t="s">
        <v>40</v>
      </c>
      <c r="Q366" s="719"/>
      <c r="R366" s="719"/>
      <c r="S366" s="719"/>
      <c r="T366" s="719"/>
      <c r="U366" s="719"/>
      <c r="V366" s="720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x14ac:dyDescent="0.2">
      <c r="A367" s="721"/>
      <c r="B367" s="721"/>
      <c r="C367" s="721"/>
      <c r="D367" s="721"/>
      <c r="E367" s="721"/>
      <c r="F367" s="721"/>
      <c r="G367" s="721"/>
      <c r="H367" s="721"/>
      <c r="I367" s="721"/>
      <c r="J367" s="721"/>
      <c r="K367" s="721"/>
      <c r="L367" s="721"/>
      <c r="M367" s="721"/>
      <c r="N367" s="721"/>
      <c r="O367" s="722"/>
      <c r="P367" s="718" t="s">
        <v>40</v>
      </c>
      <c r="Q367" s="719"/>
      <c r="R367" s="719"/>
      <c r="S367" s="719"/>
      <c r="T367" s="719"/>
      <c r="U367" s="719"/>
      <c r="V367" s="720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customHeight="1" x14ac:dyDescent="0.25">
      <c r="A368" s="712" t="s">
        <v>77</v>
      </c>
      <c r="B368" s="712"/>
      <c r="C368" s="712"/>
      <c r="D368" s="712"/>
      <c r="E368" s="712"/>
      <c r="F368" s="712"/>
      <c r="G368" s="712"/>
      <c r="H368" s="712"/>
      <c r="I368" s="712"/>
      <c r="J368" s="712"/>
      <c r="K368" s="712"/>
      <c r="L368" s="712"/>
      <c r="M368" s="712"/>
      <c r="N368" s="712"/>
      <c r="O368" s="712"/>
      <c r="P368" s="712"/>
      <c r="Q368" s="712"/>
      <c r="R368" s="712"/>
      <c r="S368" s="712"/>
      <c r="T368" s="712"/>
      <c r="U368" s="712"/>
      <c r="V368" s="712"/>
      <c r="W368" s="712"/>
      <c r="X368" s="712"/>
      <c r="Y368" s="712"/>
      <c r="Z368" s="712"/>
      <c r="AA368" s="66"/>
      <c r="AB368" s="66"/>
      <c r="AC368" s="80"/>
    </row>
    <row r="369" spans="1:68" ht="27" customHeight="1" x14ac:dyDescent="0.25">
      <c r="A369" s="63" t="s">
        <v>613</v>
      </c>
      <c r="B369" s="63" t="s">
        <v>614</v>
      </c>
      <c r="C369" s="36">
        <v>4301030878</v>
      </c>
      <c r="D369" s="713">
        <v>4607091387193</v>
      </c>
      <c r="E369" s="71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91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5"/>
      <c r="R369" s="715"/>
      <c r="S369" s="715"/>
      <c r="T369" s="71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615</v>
      </c>
      <c r="AG369" s="78"/>
      <c r="AJ369" s="84" t="s">
        <v>46</v>
      </c>
      <c r="AK369" s="84">
        <v>0</v>
      </c>
      <c r="BB369" s="465" t="s">
        <v>67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customHeight="1" x14ac:dyDescent="0.25">
      <c r="A370" s="63" t="s">
        <v>616</v>
      </c>
      <c r="B370" s="63" t="s">
        <v>617</v>
      </c>
      <c r="C370" s="36">
        <v>4301031153</v>
      </c>
      <c r="D370" s="713">
        <v>4607091387230</v>
      </c>
      <c r="E370" s="713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9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5"/>
      <c r="R370" s="715"/>
      <c r="S370" s="715"/>
      <c r="T370" s="71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4301031154</v>
      </c>
      <c r="D371" s="713">
        <v>4607091387292</v>
      </c>
      <c r="E371" s="713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9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5"/>
      <c r="R371" s="715"/>
      <c r="S371" s="715"/>
      <c r="T371" s="71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4301031152</v>
      </c>
      <c r="D372" s="713">
        <v>4607091387285</v>
      </c>
      <c r="E372" s="713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1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5"/>
      <c r="R372" s="715"/>
      <c r="S372" s="715"/>
      <c r="T372" s="71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618</v>
      </c>
      <c r="AG372" s="78"/>
      <c r="AJ372" s="84" t="s">
        <v>46</v>
      </c>
      <c r="AK372" s="84">
        <v>0</v>
      </c>
      <c r="BB372" s="471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4301031305</v>
      </c>
      <c r="D373" s="713">
        <v>4607091389845</v>
      </c>
      <c r="E373" s="713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5"/>
      <c r="R373" s="715"/>
      <c r="S373" s="715"/>
      <c r="T373" s="71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626</v>
      </c>
      <c r="AG373" s="78"/>
      <c r="AJ373" s="84" t="s">
        <v>46</v>
      </c>
      <c r="AK373" s="84">
        <v>0</v>
      </c>
      <c r="BB373" s="473" t="s">
        <v>67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4301031460</v>
      </c>
      <c r="D374" s="713">
        <v>4680115887442</v>
      </c>
      <c r="E374" s="71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1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5"/>
      <c r="R374" s="715"/>
      <c r="S374" s="715"/>
      <c r="T374" s="71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621</v>
      </c>
      <c r="AG374" s="78"/>
      <c r="AJ374" s="84" t="s">
        <v>46</v>
      </c>
      <c r="AK374" s="84">
        <v>0</v>
      </c>
      <c r="BB374" s="475" t="s">
        <v>67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4301031066</v>
      </c>
      <c r="D375" s="713">
        <v>4607091383836</v>
      </c>
      <c r="E375" s="713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91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5"/>
      <c r="R375" s="715"/>
      <c r="S375" s="715"/>
      <c r="T375" s="71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631</v>
      </c>
      <c r="AG375" s="78"/>
      <c r="AJ375" s="84" t="s">
        <v>46</v>
      </c>
      <c r="AK375" s="84">
        <v>0</v>
      </c>
      <c r="BB375" s="477" t="s">
        <v>67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x14ac:dyDescent="0.2">
      <c r="A376" s="721"/>
      <c r="B376" s="721"/>
      <c r="C376" s="721"/>
      <c r="D376" s="721"/>
      <c r="E376" s="721"/>
      <c r="F376" s="721"/>
      <c r="G376" s="721"/>
      <c r="H376" s="721"/>
      <c r="I376" s="721"/>
      <c r="J376" s="721"/>
      <c r="K376" s="721"/>
      <c r="L376" s="721"/>
      <c r="M376" s="721"/>
      <c r="N376" s="721"/>
      <c r="O376" s="722"/>
      <c r="P376" s="718" t="s">
        <v>40</v>
      </c>
      <c r="Q376" s="719"/>
      <c r="R376" s="719"/>
      <c r="S376" s="719"/>
      <c r="T376" s="719"/>
      <c r="U376" s="719"/>
      <c r="V376" s="720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721"/>
      <c r="B377" s="721"/>
      <c r="C377" s="721"/>
      <c r="D377" s="721"/>
      <c r="E377" s="721"/>
      <c r="F377" s="721"/>
      <c r="G377" s="721"/>
      <c r="H377" s="721"/>
      <c r="I377" s="721"/>
      <c r="J377" s="721"/>
      <c r="K377" s="721"/>
      <c r="L377" s="721"/>
      <c r="M377" s="721"/>
      <c r="N377" s="721"/>
      <c r="O377" s="722"/>
      <c r="P377" s="718" t="s">
        <v>40</v>
      </c>
      <c r="Q377" s="719"/>
      <c r="R377" s="719"/>
      <c r="S377" s="719"/>
      <c r="T377" s="719"/>
      <c r="U377" s="719"/>
      <c r="V377" s="720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customHeight="1" x14ac:dyDescent="0.25">
      <c r="A378" s="712" t="s">
        <v>86</v>
      </c>
      <c r="B378" s="712"/>
      <c r="C378" s="712"/>
      <c r="D378" s="712"/>
      <c r="E378" s="712"/>
      <c r="F378" s="712"/>
      <c r="G378" s="712"/>
      <c r="H378" s="712"/>
      <c r="I378" s="712"/>
      <c r="J378" s="712"/>
      <c r="K378" s="712"/>
      <c r="L378" s="712"/>
      <c r="M378" s="712"/>
      <c r="N378" s="712"/>
      <c r="O378" s="712"/>
      <c r="P378" s="712"/>
      <c r="Q378" s="712"/>
      <c r="R378" s="712"/>
      <c r="S378" s="712"/>
      <c r="T378" s="712"/>
      <c r="U378" s="712"/>
      <c r="V378" s="712"/>
      <c r="W378" s="712"/>
      <c r="X378" s="712"/>
      <c r="Y378" s="712"/>
      <c r="Z378" s="712"/>
      <c r="AA378" s="66"/>
      <c r="AB378" s="66"/>
      <c r="AC378" s="80"/>
    </row>
    <row r="379" spans="1:68" ht="27" customHeight="1" x14ac:dyDescent="0.25">
      <c r="A379" s="63" t="s">
        <v>632</v>
      </c>
      <c r="B379" s="63" t="s">
        <v>633</v>
      </c>
      <c r="C379" s="36">
        <v>4301051100</v>
      </c>
      <c r="D379" s="713">
        <v>4607091387766</v>
      </c>
      <c r="E379" s="713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9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5"/>
      <c r="R379" s="715"/>
      <c r="S379" s="715"/>
      <c r="T379" s="71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634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635</v>
      </c>
      <c r="B380" s="63" t="s">
        <v>636</v>
      </c>
      <c r="C380" s="36">
        <v>4301051818</v>
      </c>
      <c r="D380" s="713">
        <v>4607091387957</v>
      </c>
      <c r="E380" s="713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5"/>
      <c r="R380" s="715"/>
      <c r="S380" s="715"/>
      <c r="T380" s="71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638</v>
      </c>
      <c r="B381" s="63" t="s">
        <v>639</v>
      </c>
      <c r="C381" s="36">
        <v>4301051819</v>
      </c>
      <c r="D381" s="713">
        <v>4607091387964</v>
      </c>
      <c r="E381" s="713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5"/>
      <c r="R381" s="715"/>
      <c r="S381" s="715"/>
      <c r="T381" s="71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4301051734</v>
      </c>
      <c r="D382" s="713">
        <v>4680115884588</v>
      </c>
      <c r="E382" s="713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92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5"/>
      <c r="R382" s="715"/>
      <c r="S382" s="715"/>
      <c r="T382" s="71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634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721"/>
      <c r="B383" s="721"/>
      <c r="C383" s="721"/>
      <c r="D383" s="721"/>
      <c r="E383" s="721"/>
      <c r="F383" s="721"/>
      <c r="G383" s="721"/>
      <c r="H383" s="721"/>
      <c r="I383" s="721"/>
      <c r="J383" s="721"/>
      <c r="K383" s="721"/>
      <c r="L383" s="721"/>
      <c r="M383" s="721"/>
      <c r="N383" s="721"/>
      <c r="O383" s="722"/>
      <c r="P383" s="718" t="s">
        <v>40</v>
      </c>
      <c r="Q383" s="719"/>
      <c r="R383" s="719"/>
      <c r="S383" s="719"/>
      <c r="T383" s="719"/>
      <c r="U383" s="719"/>
      <c r="V383" s="720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x14ac:dyDescent="0.2">
      <c r="A384" s="721"/>
      <c r="B384" s="721"/>
      <c r="C384" s="721"/>
      <c r="D384" s="721"/>
      <c r="E384" s="721"/>
      <c r="F384" s="721"/>
      <c r="G384" s="721"/>
      <c r="H384" s="721"/>
      <c r="I384" s="721"/>
      <c r="J384" s="721"/>
      <c r="K384" s="721"/>
      <c r="L384" s="721"/>
      <c r="M384" s="721"/>
      <c r="N384" s="721"/>
      <c r="O384" s="722"/>
      <c r="P384" s="718" t="s">
        <v>40</v>
      </c>
      <c r="Q384" s="719"/>
      <c r="R384" s="719"/>
      <c r="S384" s="719"/>
      <c r="T384" s="719"/>
      <c r="U384" s="719"/>
      <c r="V384" s="720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customHeight="1" x14ac:dyDescent="0.25">
      <c r="A385" s="712" t="s">
        <v>175</v>
      </c>
      <c r="B385" s="712"/>
      <c r="C385" s="712"/>
      <c r="D385" s="712"/>
      <c r="E385" s="712"/>
      <c r="F385" s="712"/>
      <c r="G385" s="712"/>
      <c r="H385" s="712"/>
      <c r="I385" s="712"/>
      <c r="J385" s="712"/>
      <c r="K385" s="712"/>
      <c r="L385" s="712"/>
      <c r="M385" s="712"/>
      <c r="N385" s="712"/>
      <c r="O385" s="712"/>
      <c r="P385" s="712"/>
      <c r="Q385" s="712"/>
      <c r="R385" s="712"/>
      <c r="S385" s="712"/>
      <c r="T385" s="712"/>
      <c r="U385" s="712"/>
      <c r="V385" s="712"/>
      <c r="W385" s="712"/>
      <c r="X385" s="712"/>
      <c r="Y385" s="712"/>
      <c r="Z385" s="712"/>
      <c r="AA385" s="66"/>
      <c r="AB385" s="66"/>
      <c r="AC385" s="80"/>
    </row>
    <row r="386" spans="1:68" ht="27" customHeight="1" x14ac:dyDescent="0.25">
      <c r="A386" s="63" t="s">
        <v>643</v>
      </c>
      <c r="B386" s="63" t="s">
        <v>644</v>
      </c>
      <c r="C386" s="36">
        <v>4301060387</v>
      </c>
      <c r="D386" s="713">
        <v>4607091380880</v>
      </c>
      <c r="E386" s="713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92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5"/>
      <c r="R386" s="715"/>
      <c r="S386" s="715"/>
      <c r="T386" s="71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645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646</v>
      </c>
      <c r="B387" s="63" t="s">
        <v>647</v>
      </c>
      <c r="C387" s="36">
        <v>4301060406</v>
      </c>
      <c r="D387" s="713">
        <v>4607091384482</v>
      </c>
      <c r="E387" s="713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5"/>
      <c r="R387" s="715"/>
      <c r="S387" s="715"/>
      <c r="T387" s="716"/>
      <c r="U387" s="39" t="s">
        <v>46</v>
      </c>
      <c r="V387" s="39" t="s">
        <v>46</v>
      </c>
      <c r="W387" s="40" t="s">
        <v>0</v>
      </c>
      <c r="X387" s="58">
        <v>300</v>
      </c>
      <c r="Y387" s="55">
        <f>IFERROR(IF(X387="",0,CEILING((X387/$H387),1)*$H387),"")</f>
        <v>304.2</v>
      </c>
      <c r="Z387" s="41">
        <f>IFERROR(IF(Y387=0,"",ROUNDUP(Y387/H387,0)*0.01898),"")</f>
        <v>0.74021999999999999</v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319.00000000000006</v>
      </c>
      <c r="BN387" s="78">
        <f>IFERROR(Y387*I387/H387,"0")</f>
        <v>323.46600000000001</v>
      </c>
      <c r="BO387" s="78">
        <f>IFERROR(1/J387*(X387/H387),"0")</f>
        <v>0.60096153846153844</v>
      </c>
      <c r="BP387" s="78">
        <f>IFERROR(1/J387*(Y387/H387),"0")</f>
        <v>0.609375</v>
      </c>
    </row>
    <row r="388" spans="1:68" ht="27" customHeight="1" x14ac:dyDescent="0.25">
      <c r="A388" s="63" t="s">
        <v>649</v>
      </c>
      <c r="B388" s="63" t="s">
        <v>650</v>
      </c>
      <c r="C388" s="36">
        <v>4301060484</v>
      </c>
      <c r="D388" s="713">
        <v>4607091380897</v>
      </c>
      <c r="E388" s="713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92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5"/>
      <c r="R388" s="715"/>
      <c r="S388" s="715"/>
      <c r="T388" s="716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721"/>
      <c r="B389" s="721"/>
      <c r="C389" s="721"/>
      <c r="D389" s="721"/>
      <c r="E389" s="721"/>
      <c r="F389" s="721"/>
      <c r="G389" s="721"/>
      <c r="H389" s="721"/>
      <c r="I389" s="721"/>
      <c r="J389" s="721"/>
      <c r="K389" s="721"/>
      <c r="L389" s="721"/>
      <c r="M389" s="721"/>
      <c r="N389" s="721"/>
      <c r="O389" s="722"/>
      <c r="P389" s="718" t="s">
        <v>40</v>
      </c>
      <c r="Q389" s="719"/>
      <c r="R389" s="719"/>
      <c r="S389" s="719"/>
      <c r="T389" s="719"/>
      <c r="U389" s="719"/>
      <c r="V389" s="720"/>
      <c r="W389" s="42" t="s">
        <v>39</v>
      </c>
      <c r="X389" s="43">
        <f>IFERROR(X386/H386,"0")+IFERROR(X387/H387,"0")+IFERROR(X388/H388,"0")</f>
        <v>38.46153846153846</v>
      </c>
      <c r="Y389" s="43">
        <f>IFERROR(Y386/H386,"0")+IFERROR(Y387/H387,"0")+IFERROR(Y388/H388,"0")</f>
        <v>39</v>
      </c>
      <c r="Z389" s="43">
        <f>IFERROR(IF(Z386="",0,Z386),"0")+IFERROR(IF(Z387="",0,Z387),"0")+IFERROR(IF(Z388="",0,Z388),"0")</f>
        <v>0.74021999999999999</v>
      </c>
      <c r="AA389" s="67"/>
      <c r="AB389" s="67"/>
      <c r="AC389" s="67"/>
    </row>
    <row r="390" spans="1:68" x14ac:dyDescent="0.2">
      <c r="A390" s="721"/>
      <c r="B390" s="721"/>
      <c r="C390" s="721"/>
      <c r="D390" s="721"/>
      <c r="E390" s="721"/>
      <c r="F390" s="721"/>
      <c r="G390" s="721"/>
      <c r="H390" s="721"/>
      <c r="I390" s="721"/>
      <c r="J390" s="721"/>
      <c r="K390" s="721"/>
      <c r="L390" s="721"/>
      <c r="M390" s="721"/>
      <c r="N390" s="721"/>
      <c r="O390" s="722"/>
      <c r="P390" s="718" t="s">
        <v>40</v>
      </c>
      <c r="Q390" s="719"/>
      <c r="R390" s="719"/>
      <c r="S390" s="719"/>
      <c r="T390" s="719"/>
      <c r="U390" s="719"/>
      <c r="V390" s="720"/>
      <c r="W390" s="42" t="s">
        <v>0</v>
      </c>
      <c r="X390" s="43">
        <f>IFERROR(SUM(X386:X388),"0")</f>
        <v>300</v>
      </c>
      <c r="Y390" s="43">
        <f>IFERROR(SUM(Y386:Y388),"0")</f>
        <v>304.2</v>
      </c>
      <c r="Z390" s="42"/>
      <c r="AA390" s="67"/>
      <c r="AB390" s="67"/>
      <c r="AC390" s="67"/>
    </row>
    <row r="391" spans="1:68" ht="14.25" customHeight="1" x14ac:dyDescent="0.25">
      <c r="A391" s="712" t="s">
        <v>283</v>
      </c>
      <c r="B391" s="712"/>
      <c r="C391" s="712"/>
      <c r="D391" s="712"/>
      <c r="E391" s="712"/>
      <c r="F391" s="712"/>
      <c r="G391" s="712"/>
      <c r="H391" s="712"/>
      <c r="I391" s="712"/>
      <c r="J391" s="712"/>
      <c r="K391" s="712"/>
      <c r="L391" s="712"/>
      <c r="M391" s="712"/>
      <c r="N391" s="712"/>
      <c r="O391" s="712"/>
      <c r="P391" s="712"/>
      <c r="Q391" s="712"/>
      <c r="R391" s="712"/>
      <c r="S391" s="712"/>
      <c r="T391" s="712"/>
      <c r="U391" s="712"/>
      <c r="V391" s="712"/>
      <c r="W391" s="712"/>
      <c r="X391" s="712"/>
      <c r="Y391" s="712"/>
      <c r="Z391" s="712"/>
      <c r="AA391" s="66"/>
      <c r="AB391" s="66"/>
      <c r="AC391" s="80"/>
    </row>
    <row r="392" spans="1:68" ht="27" customHeight="1" x14ac:dyDescent="0.25">
      <c r="A392" s="63" t="s">
        <v>652</v>
      </c>
      <c r="B392" s="63" t="s">
        <v>653</v>
      </c>
      <c r="C392" s="36">
        <v>4301030235</v>
      </c>
      <c r="D392" s="713">
        <v>4607091388381</v>
      </c>
      <c r="E392" s="713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251</v>
      </c>
      <c r="N392" s="38"/>
      <c r="O392" s="37">
        <v>180</v>
      </c>
      <c r="P392" s="9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5"/>
      <c r="R392" s="715"/>
      <c r="S392" s="715"/>
      <c r="T392" s="71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654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655</v>
      </c>
      <c r="B393" s="63" t="s">
        <v>656</v>
      </c>
      <c r="C393" s="36">
        <v>4301030232</v>
      </c>
      <c r="D393" s="713">
        <v>4607091388374</v>
      </c>
      <c r="E393" s="713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5"/>
      <c r="R393" s="715"/>
      <c r="S393" s="715"/>
      <c r="T393" s="71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654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657</v>
      </c>
      <c r="B394" s="63" t="s">
        <v>658</v>
      </c>
      <c r="C394" s="36">
        <v>4301032015</v>
      </c>
      <c r="D394" s="713">
        <v>4607091383102</v>
      </c>
      <c r="E394" s="713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9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5"/>
      <c r="R394" s="715"/>
      <c r="S394" s="715"/>
      <c r="T394" s="71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654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659</v>
      </c>
      <c r="B395" s="63" t="s">
        <v>660</v>
      </c>
      <c r="C395" s="36">
        <v>4301030233</v>
      </c>
      <c r="D395" s="713">
        <v>4607091388404</v>
      </c>
      <c r="E395" s="713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5"/>
      <c r="R395" s="715"/>
      <c r="S395" s="715"/>
      <c r="T395" s="716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654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721"/>
      <c r="B396" s="721"/>
      <c r="C396" s="721"/>
      <c r="D396" s="721"/>
      <c r="E396" s="721"/>
      <c r="F396" s="721"/>
      <c r="G396" s="721"/>
      <c r="H396" s="721"/>
      <c r="I396" s="721"/>
      <c r="J396" s="721"/>
      <c r="K396" s="721"/>
      <c r="L396" s="721"/>
      <c r="M396" s="721"/>
      <c r="N396" s="721"/>
      <c r="O396" s="722"/>
      <c r="P396" s="718" t="s">
        <v>40</v>
      </c>
      <c r="Q396" s="719"/>
      <c r="R396" s="719"/>
      <c r="S396" s="719"/>
      <c r="T396" s="719"/>
      <c r="U396" s="719"/>
      <c r="V396" s="72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x14ac:dyDescent="0.2">
      <c r="A397" s="721"/>
      <c r="B397" s="721"/>
      <c r="C397" s="721"/>
      <c r="D397" s="721"/>
      <c r="E397" s="721"/>
      <c r="F397" s="721"/>
      <c r="G397" s="721"/>
      <c r="H397" s="721"/>
      <c r="I397" s="721"/>
      <c r="J397" s="721"/>
      <c r="K397" s="721"/>
      <c r="L397" s="721"/>
      <c r="M397" s="721"/>
      <c r="N397" s="721"/>
      <c r="O397" s="722"/>
      <c r="P397" s="718" t="s">
        <v>40</v>
      </c>
      <c r="Q397" s="719"/>
      <c r="R397" s="719"/>
      <c r="S397" s="719"/>
      <c r="T397" s="719"/>
      <c r="U397" s="719"/>
      <c r="V397" s="72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customHeight="1" x14ac:dyDescent="0.25">
      <c r="A398" s="712" t="s">
        <v>661</v>
      </c>
      <c r="B398" s="712"/>
      <c r="C398" s="712"/>
      <c r="D398" s="712"/>
      <c r="E398" s="712"/>
      <c r="F398" s="712"/>
      <c r="G398" s="712"/>
      <c r="H398" s="712"/>
      <c r="I398" s="712"/>
      <c r="J398" s="712"/>
      <c r="K398" s="712"/>
      <c r="L398" s="712"/>
      <c r="M398" s="712"/>
      <c r="N398" s="712"/>
      <c r="O398" s="712"/>
      <c r="P398" s="712"/>
      <c r="Q398" s="712"/>
      <c r="R398" s="712"/>
      <c r="S398" s="712"/>
      <c r="T398" s="712"/>
      <c r="U398" s="712"/>
      <c r="V398" s="712"/>
      <c r="W398" s="712"/>
      <c r="X398" s="712"/>
      <c r="Y398" s="712"/>
      <c r="Z398" s="712"/>
      <c r="AA398" s="66"/>
      <c r="AB398" s="66"/>
      <c r="AC398" s="80"/>
    </row>
    <row r="399" spans="1:68" ht="16.5" customHeight="1" x14ac:dyDescent="0.25">
      <c r="A399" s="63" t="s">
        <v>662</v>
      </c>
      <c r="B399" s="63" t="s">
        <v>663</v>
      </c>
      <c r="C399" s="36">
        <v>4301180007</v>
      </c>
      <c r="D399" s="713">
        <v>4680115881808</v>
      </c>
      <c r="E399" s="71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665</v>
      </c>
      <c r="N399" s="38"/>
      <c r="O399" s="37">
        <v>731</v>
      </c>
      <c r="P399" s="92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5"/>
      <c r="R399" s="715"/>
      <c r="S399" s="715"/>
      <c r="T399" s="71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664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666</v>
      </c>
      <c r="B400" s="63" t="s">
        <v>667</v>
      </c>
      <c r="C400" s="36">
        <v>4301180006</v>
      </c>
      <c r="D400" s="713">
        <v>4680115881822</v>
      </c>
      <c r="E400" s="71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665</v>
      </c>
      <c r="N400" s="38"/>
      <c r="O400" s="37">
        <v>731</v>
      </c>
      <c r="P400" s="9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5"/>
      <c r="R400" s="715"/>
      <c r="S400" s="715"/>
      <c r="T400" s="71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664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668</v>
      </c>
      <c r="B401" s="63" t="s">
        <v>669</v>
      </c>
      <c r="C401" s="36">
        <v>4301180001</v>
      </c>
      <c r="D401" s="713">
        <v>4680115880016</v>
      </c>
      <c r="E401" s="713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665</v>
      </c>
      <c r="N401" s="38"/>
      <c r="O401" s="37">
        <v>731</v>
      </c>
      <c r="P401" s="9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5"/>
      <c r="R401" s="715"/>
      <c r="S401" s="715"/>
      <c r="T401" s="716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664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721"/>
      <c r="B402" s="721"/>
      <c r="C402" s="721"/>
      <c r="D402" s="721"/>
      <c r="E402" s="721"/>
      <c r="F402" s="721"/>
      <c r="G402" s="721"/>
      <c r="H402" s="721"/>
      <c r="I402" s="721"/>
      <c r="J402" s="721"/>
      <c r="K402" s="721"/>
      <c r="L402" s="721"/>
      <c r="M402" s="721"/>
      <c r="N402" s="721"/>
      <c r="O402" s="722"/>
      <c r="P402" s="718" t="s">
        <v>40</v>
      </c>
      <c r="Q402" s="719"/>
      <c r="R402" s="719"/>
      <c r="S402" s="719"/>
      <c r="T402" s="719"/>
      <c r="U402" s="719"/>
      <c r="V402" s="72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721"/>
      <c r="B403" s="721"/>
      <c r="C403" s="721"/>
      <c r="D403" s="721"/>
      <c r="E403" s="721"/>
      <c r="F403" s="721"/>
      <c r="G403" s="721"/>
      <c r="H403" s="721"/>
      <c r="I403" s="721"/>
      <c r="J403" s="721"/>
      <c r="K403" s="721"/>
      <c r="L403" s="721"/>
      <c r="M403" s="721"/>
      <c r="N403" s="721"/>
      <c r="O403" s="722"/>
      <c r="P403" s="718" t="s">
        <v>40</v>
      </c>
      <c r="Q403" s="719"/>
      <c r="R403" s="719"/>
      <c r="S403" s="719"/>
      <c r="T403" s="719"/>
      <c r="U403" s="719"/>
      <c r="V403" s="72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customHeight="1" x14ac:dyDescent="0.25">
      <c r="A404" s="712" t="s">
        <v>670</v>
      </c>
      <c r="B404" s="712"/>
      <c r="C404" s="712"/>
      <c r="D404" s="712"/>
      <c r="E404" s="712"/>
      <c r="F404" s="712"/>
      <c r="G404" s="712"/>
      <c r="H404" s="712"/>
      <c r="I404" s="712"/>
      <c r="J404" s="712"/>
      <c r="K404" s="712"/>
      <c r="L404" s="712"/>
      <c r="M404" s="712"/>
      <c r="N404" s="712"/>
      <c r="O404" s="712"/>
      <c r="P404" s="712"/>
      <c r="Q404" s="712"/>
      <c r="R404" s="712"/>
      <c r="S404" s="712"/>
      <c r="T404" s="712"/>
      <c r="U404" s="712"/>
      <c r="V404" s="712"/>
      <c r="W404" s="712"/>
      <c r="X404" s="712"/>
      <c r="Y404" s="712"/>
      <c r="Z404" s="712"/>
      <c r="AA404" s="66"/>
      <c r="AB404" s="66"/>
      <c r="AC404" s="80"/>
    </row>
    <row r="405" spans="1:68" ht="27" customHeight="1" x14ac:dyDescent="0.25">
      <c r="A405" s="63" t="s">
        <v>671</v>
      </c>
      <c r="B405" s="63" t="s">
        <v>672</v>
      </c>
      <c r="C405" s="36">
        <v>4301220003</v>
      </c>
      <c r="D405" s="713">
        <v>4680115888678</v>
      </c>
      <c r="E405" s="713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665</v>
      </c>
      <c r="N405" s="38"/>
      <c r="O405" s="37">
        <v>1096</v>
      </c>
      <c r="P405" s="9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5"/>
      <c r="R405" s="715"/>
      <c r="S405" s="715"/>
      <c r="T405" s="71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673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674</v>
      </c>
      <c r="B406" s="63" t="s">
        <v>675</v>
      </c>
      <c r="C406" s="36">
        <v>4301220001</v>
      </c>
      <c r="D406" s="713">
        <v>4680115888654</v>
      </c>
      <c r="E406" s="713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665</v>
      </c>
      <c r="N406" s="38"/>
      <c r="O406" s="37">
        <v>1096</v>
      </c>
      <c r="P406" s="9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5"/>
      <c r="R406" s="715"/>
      <c r="S406" s="715"/>
      <c r="T406" s="71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677</v>
      </c>
      <c r="B407" s="63" t="s">
        <v>678</v>
      </c>
      <c r="C407" s="36">
        <v>4301220002</v>
      </c>
      <c r="D407" s="713">
        <v>4680115888753</v>
      </c>
      <c r="E407" s="713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665</v>
      </c>
      <c r="N407" s="38"/>
      <c r="O407" s="37">
        <v>1096</v>
      </c>
      <c r="P407" s="9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5"/>
      <c r="R407" s="715"/>
      <c r="S407" s="715"/>
      <c r="T407" s="716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673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721"/>
      <c r="B408" s="721"/>
      <c r="C408" s="721"/>
      <c r="D408" s="721"/>
      <c r="E408" s="721"/>
      <c r="F408" s="721"/>
      <c r="G408" s="721"/>
      <c r="H408" s="721"/>
      <c r="I408" s="721"/>
      <c r="J408" s="721"/>
      <c r="K408" s="721"/>
      <c r="L408" s="721"/>
      <c r="M408" s="721"/>
      <c r="N408" s="721"/>
      <c r="O408" s="722"/>
      <c r="P408" s="718" t="s">
        <v>40</v>
      </c>
      <c r="Q408" s="719"/>
      <c r="R408" s="719"/>
      <c r="S408" s="719"/>
      <c r="T408" s="719"/>
      <c r="U408" s="719"/>
      <c r="V408" s="72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721"/>
      <c r="B409" s="721"/>
      <c r="C409" s="721"/>
      <c r="D409" s="721"/>
      <c r="E409" s="721"/>
      <c r="F409" s="721"/>
      <c r="G409" s="721"/>
      <c r="H409" s="721"/>
      <c r="I409" s="721"/>
      <c r="J409" s="721"/>
      <c r="K409" s="721"/>
      <c r="L409" s="721"/>
      <c r="M409" s="721"/>
      <c r="N409" s="721"/>
      <c r="O409" s="722"/>
      <c r="P409" s="718" t="s">
        <v>40</v>
      </c>
      <c r="Q409" s="719"/>
      <c r="R409" s="719"/>
      <c r="S409" s="719"/>
      <c r="T409" s="719"/>
      <c r="U409" s="719"/>
      <c r="V409" s="72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customHeight="1" x14ac:dyDescent="0.25">
      <c r="A410" s="711" t="s">
        <v>679</v>
      </c>
      <c r="B410" s="711"/>
      <c r="C410" s="711"/>
      <c r="D410" s="711"/>
      <c r="E410" s="711"/>
      <c r="F410" s="711"/>
      <c r="G410" s="711"/>
      <c r="H410" s="711"/>
      <c r="I410" s="711"/>
      <c r="J410" s="711"/>
      <c r="K410" s="711"/>
      <c r="L410" s="711"/>
      <c r="M410" s="711"/>
      <c r="N410" s="711"/>
      <c r="O410" s="711"/>
      <c r="P410" s="711"/>
      <c r="Q410" s="711"/>
      <c r="R410" s="711"/>
      <c r="S410" s="711"/>
      <c r="T410" s="711"/>
      <c r="U410" s="711"/>
      <c r="V410" s="711"/>
      <c r="W410" s="711"/>
      <c r="X410" s="711"/>
      <c r="Y410" s="711"/>
      <c r="Z410" s="711"/>
      <c r="AA410" s="65"/>
      <c r="AB410" s="65"/>
      <c r="AC410" s="79"/>
    </row>
    <row r="411" spans="1:68" ht="14.25" customHeight="1" x14ac:dyDescent="0.25">
      <c r="A411" s="712" t="s">
        <v>86</v>
      </c>
      <c r="B411" s="712"/>
      <c r="C411" s="712"/>
      <c r="D411" s="712"/>
      <c r="E411" s="712"/>
      <c r="F411" s="712"/>
      <c r="G411" s="712"/>
      <c r="H411" s="712"/>
      <c r="I411" s="712"/>
      <c r="J411" s="712"/>
      <c r="K411" s="712"/>
      <c r="L411" s="712"/>
      <c r="M411" s="712"/>
      <c r="N411" s="712"/>
      <c r="O411" s="712"/>
      <c r="P411" s="712"/>
      <c r="Q411" s="712"/>
      <c r="R411" s="712"/>
      <c r="S411" s="712"/>
      <c r="T411" s="712"/>
      <c r="U411" s="712"/>
      <c r="V411" s="712"/>
      <c r="W411" s="712"/>
      <c r="X411" s="712"/>
      <c r="Y411" s="712"/>
      <c r="Z411" s="712"/>
      <c r="AA411" s="66"/>
      <c r="AB411" s="66"/>
      <c r="AC411" s="80"/>
    </row>
    <row r="412" spans="1:68" ht="16.5" customHeight="1" x14ac:dyDescent="0.25">
      <c r="A412" s="63" t="s">
        <v>680</v>
      </c>
      <c r="B412" s="63" t="s">
        <v>681</v>
      </c>
      <c r="C412" s="36">
        <v>4301052235</v>
      </c>
      <c r="D412" s="713">
        <v>4680115889415</v>
      </c>
      <c r="E412" s="71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934" t="s">
        <v>682</v>
      </c>
      <c r="Q412" s="715"/>
      <c r="R412" s="715"/>
      <c r="S412" s="715"/>
      <c r="T412" s="71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684</v>
      </c>
      <c r="AC412" s="512" t="s">
        <v>683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customHeight="1" x14ac:dyDescent="0.25">
      <c r="A413" s="63" t="s">
        <v>685</v>
      </c>
      <c r="B413" s="63" t="s">
        <v>686</v>
      </c>
      <c r="C413" s="36">
        <v>4301052236</v>
      </c>
      <c r="D413" s="713">
        <v>4680115889422</v>
      </c>
      <c r="E413" s="713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5" t="s">
        <v>687</v>
      </c>
      <c r="Q413" s="715"/>
      <c r="R413" s="715"/>
      <c r="S413" s="715"/>
      <c r="T413" s="716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684</v>
      </c>
      <c r="AC413" s="514" t="s">
        <v>688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721"/>
      <c r="B414" s="721"/>
      <c r="C414" s="721"/>
      <c r="D414" s="721"/>
      <c r="E414" s="721"/>
      <c r="F414" s="721"/>
      <c r="G414" s="721"/>
      <c r="H414" s="721"/>
      <c r="I414" s="721"/>
      <c r="J414" s="721"/>
      <c r="K414" s="721"/>
      <c r="L414" s="721"/>
      <c r="M414" s="721"/>
      <c r="N414" s="721"/>
      <c r="O414" s="722"/>
      <c r="P414" s="718" t="s">
        <v>40</v>
      </c>
      <c r="Q414" s="719"/>
      <c r="R414" s="719"/>
      <c r="S414" s="719"/>
      <c r="T414" s="719"/>
      <c r="U414" s="719"/>
      <c r="V414" s="72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x14ac:dyDescent="0.2">
      <c r="A415" s="721"/>
      <c r="B415" s="721"/>
      <c r="C415" s="721"/>
      <c r="D415" s="721"/>
      <c r="E415" s="721"/>
      <c r="F415" s="721"/>
      <c r="G415" s="721"/>
      <c r="H415" s="721"/>
      <c r="I415" s="721"/>
      <c r="J415" s="721"/>
      <c r="K415" s="721"/>
      <c r="L415" s="721"/>
      <c r="M415" s="721"/>
      <c r="N415" s="721"/>
      <c r="O415" s="722"/>
      <c r="P415" s="718" t="s">
        <v>40</v>
      </c>
      <c r="Q415" s="719"/>
      <c r="R415" s="719"/>
      <c r="S415" s="719"/>
      <c r="T415" s="719"/>
      <c r="U415" s="719"/>
      <c r="V415" s="72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customHeight="1" x14ac:dyDescent="0.25">
      <c r="A416" s="711" t="s">
        <v>689</v>
      </c>
      <c r="B416" s="711"/>
      <c r="C416" s="711"/>
      <c r="D416" s="711"/>
      <c r="E416" s="711"/>
      <c r="F416" s="711"/>
      <c r="G416" s="711"/>
      <c r="H416" s="711"/>
      <c r="I416" s="711"/>
      <c r="J416" s="711"/>
      <c r="K416" s="711"/>
      <c r="L416" s="711"/>
      <c r="M416" s="711"/>
      <c r="N416" s="711"/>
      <c r="O416" s="711"/>
      <c r="P416" s="711"/>
      <c r="Q416" s="711"/>
      <c r="R416" s="711"/>
      <c r="S416" s="711"/>
      <c r="T416" s="711"/>
      <c r="U416" s="711"/>
      <c r="V416" s="711"/>
      <c r="W416" s="711"/>
      <c r="X416" s="711"/>
      <c r="Y416" s="711"/>
      <c r="Z416" s="711"/>
      <c r="AA416" s="65"/>
      <c r="AB416" s="65"/>
      <c r="AC416" s="79"/>
    </row>
    <row r="417" spans="1:68" ht="14.25" customHeight="1" x14ac:dyDescent="0.25">
      <c r="A417" s="712" t="s">
        <v>86</v>
      </c>
      <c r="B417" s="712"/>
      <c r="C417" s="712"/>
      <c r="D417" s="712"/>
      <c r="E417" s="712"/>
      <c r="F417" s="712"/>
      <c r="G417" s="712"/>
      <c r="H417" s="712"/>
      <c r="I417" s="712"/>
      <c r="J417" s="712"/>
      <c r="K417" s="712"/>
      <c r="L417" s="712"/>
      <c r="M417" s="712"/>
      <c r="N417" s="712"/>
      <c r="O417" s="712"/>
      <c r="P417" s="712"/>
      <c r="Q417" s="712"/>
      <c r="R417" s="712"/>
      <c r="S417" s="712"/>
      <c r="T417" s="712"/>
      <c r="U417" s="712"/>
      <c r="V417" s="712"/>
      <c r="W417" s="712"/>
      <c r="X417" s="712"/>
      <c r="Y417" s="712"/>
      <c r="Z417" s="712"/>
      <c r="AA417" s="66"/>
      <c r="AB417" s="66"/>
      <c r="AC417" s="80"/>
    </row>
    <row r="418" spans="1:68" ht="27" customHeight="1" x14ac:dyDescent="0.25">
      <c r="A418" s="63" t="s">
        <v>690</v>
      </c>
      <c r="B418" s="63" t="s">
        <v>691</v>
      </c>
      <c r="C418" s="36">
        <v>4301051489</v>
      </c>
      <c r="D418" s="713">
        <v>4607091387919</v>
      </c>
      <c r="E418" s="713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9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5"/>
      <c r="R418" s="715"/>
      <c r="S418" s="715"/>
      <c r="T418" s="71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692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693</v>
      </c>
      <c r="B419" s="63" t="s">
        <v>694</v>
      </c>
      <c r="C419" s="36">
        <v>4301051461</v>
      </c>
      <c r="D419" s="713">
        <v>4680115883604</v>
      </c>
      <c r="E419" s="713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93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5"/>
      <c r="R419" s="715"/>
      <c r="S419" s="715"/>
      <c r="T419" s="71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4301051864</v>
      </c>
      <c r="D420" s="713">
        <v>4680115883567</v>
      </c>
      <c r="E420" s="713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93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5"/>
      <c r="R420" s="715"/>
      <c r="S420" s="715"/>
      <c r="T420" s="716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721"/>
      <c r="B421" s="721"/>
      <c r="C421" s="721"/>
      <c r="D421" s="721"/>
      <c r="E421" s="721"/>
      <c r="F421" s="721"/>
      <c r="G421" s="721"/>
      <c r="H421" s="721"/>
      <c r="I421" s="721"/>
      <c r="J421" s="721"/>
      <c r="K421" s="721"/>
      <c r="L421" s="721"/>
      <c r="M421" s="721"/>
      <c r="N421" s="721"/>
      <c r="O421" s="722"/>
      <c r="P421" s="718" t="s">
        <v>40</v>
      </c>
      <c r="Q421" s="719"/>
      <c r="R421" s="719"/>
      <c r="S421" s="719"/>
      <c r="T421" s="719"/>
      <c r="U421" s="719"/>
      <c r="V421" s="720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721"/>
      <c r="B422" s="721"/>
      <c r="C422" s="721"/>
      <c r="D422" s="721"/>
      <c r="E422" s="721"/>
      <c r="F422" s="721"/>
      <c r="G422" s="721"/>
      <c r="H422" s="721"/>
      <c r="I422" s="721"/>
      <c r="J422" s="721"/>
      <c r="K422" s="721"/>
      <c r="L422" s="721"/>
      <c r="M422" s="721"/>
      <c r="N422" s="721"/>
      <c r="O422" s="722"/>
      <c r="P422" s="718" t="s">
        <v>40</v>
      </c>
      <c r="Q422" s="719"/>
      <c r="R422" s="719"/>
      <c r="S422" s="719"/>
      <c r="T422" s="719"/>
      <c r="U422" s="719"/>
      <c r="V422" s="720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customHeight="1" x14ac:dyDescent="0.2">
      <c r="A423" s="710" t="s">
        <v>699</v>
      </c>
      <c r="B423" s="710"/>
      <c r="C423" s="710"/>
      <c r="D423" s="710"/>
      <c r="E423" s="710"/>
      <c r="F423" s="710"/>
      <c r="G423" s="710"/>
      <c r="H423" s="710"/>
      <c r="I423" s="710"/>
      <c r="J423" s="710"/>
      <c r="K423" s="710"/>
      <c r="L423" s="710"/>
      <c r="M423" s="710"/>
      <c r="N423" s="710"/>
      <c r="O423" s="710"/>
      <c r="P423" s="710"/>
      <c r="Q423" s="710"/>
      <c r="R423" s="710"/>
      <c r="S423" s="710"/>
      <c r="T423" s="710"/>
      <c r="U423" s="710"/>
      <c r="V423" s="710"/>
      <c r="W423" s="710"/>
      <c r="X423" s="710"/>
      <c r="Y423" s="710"/>
      <c r="Z423" s="710"/>
      <c r="AA423" s="54"/>
      <c r="AB423" s="54"/>
      <c r="AC423" s="54"/>
    </row>
    <row r="424" spans="1:68" ht="16.5" customHeight="1" x14ac:dyDescent="0.25">
      <c r="A424" s="711" t="s">
        <v>700</v>
      </c>
      <c r="B424" s="711"/>
      <c r="C424" s="711"/>
      <c r="D424" s="711"/>
      <c r="E424" s="711"/>
      <c r="F424" s="711"/>
      <c r="G424" s="711"/>
      <c r="H424" s="711"/>
      <c r="I424" s="711"/>
      <c r="J424" s="711"/>
      <c r="K424" s="711"/>
      <c r="L424" s="711"/>
      <c r="M424" s="711"/>
      <c r="N424" s="711"/>
      <c r="O424" s="711"/>
      <c r="P424" s="711"/>
      <c r="Q424" s="711"/>
      <c r="R424" s="711"/>
      <c r="S424" s="711"/>
      <c r="T424" s="711"/>
      <c r="U424" s="711"/>
      <c r="V424" s="711"/>
      <c r="W424" s="711"/>
      <c r="X424" s="711"/>
      <c r="Y424" s="711"/>
      <c r="Z424" s="711"/>
      <c r="AA424" s="65"/>
      <c r="AB424" s="65"/>
      <c r="AC424" s="79"/>
    </row>
    <row r="425" spans="1:68" ht="14.25" customHeight="1" x14ac:dyDescent="0.25">
      <c r="A425" s="712" t="s">
        <v>122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66"/>
      <c r="AB425" s="66"/>
      <c r="AC425" s="80"/>
    </row>
    <row r="426" spans="1:68" ht="27" customHeight="1" x14ac:dyDescent="0.25">
      <c r="A426" s="63" t="s">
        <v>701</v>
      </c>
      <c r="B426" s="63" t="s">
        <v>702</v>
      </c>
      <c r="C426" s="36">
        <v>4301012332</v>
      </c>
      <c r="D426" s="713">
        <v>4680115888401</v>
      </c>
      <c r="E426" s="71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93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5"/>
      <c r="R426" s="715"/>
      <c r="S426" s="715"/>
      <c r="T426" s="716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703</v>
      </c>
      <c r="AG426" s="78"/>
      <c r="AJ426" s="84" t="s">
        <v>46</v>
      </c>
      <c r="AK426" s="84">
        <v>0</v>
      </c>
      <c r="BB426" s="523" t="s">
        <v>67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customHeight="1" x14ac:dyDescent="0.25">
      <c r="A427" s="63" t="s">
        <v>704</v>
      </c>
      <c r="B427" s="63" t="s">
        <v>705</v>
      </c>
      <c r="C427" s="36">
        <v>4301011869</v>
      </c>
      <c r="D427" s="713">
        <v>4680115884847</v>
      </c>
      <c r="E427" s="71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94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5"/>
      <c r="R427" s="715"/>
      <c r="S427" s="715"/>
      <c r="T427" s="716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3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si="54"/>
        <v>0</v>
      </c>
      <c r="BN427" s="78">
        <f t="shared" si="55"/>
        <v>0</v>
      </c>
      <c r="BO427" s="78">
        <f t="shared" si="56"/>
        <v>0</v>
      </c>
      <c r="BP427" s="78">
        <f t="shared" si="57"/>
        <v>0</v>
      </c>
    </row>
    <row r="428" spans="1:68" ht="27" customHeight="1" x14ac:dyDescent="0.25">
      <c r="A428" s="63" t="s">
        <v>707</v>
      </c>
      <c r="B428" s="63" t="s">
        <v>708</v>
      </c>
      <c r="C428" s="36">
        <v>4301012083</v>
      </c>
      <c r="D428" s="713">
        <v>4680115884854</v>
      </c>
      <c r="E428" s="71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94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5"/>
      <c r="R428" s="715"/>
      <c r="S428" s="715"/>
      <c r="T428" s="716"/>
      <c r="U428" s="39" t="s">
        <v>46</v>
      </c>
      <c r="V428" s="39" t="s">
        <v>46</v>
      </c>
      <c r="W428" s="40" t="s">
        <v>0</v>
      </c>
      <c r="X428" s="58">
        <v>2000</v>
      </c>
      <c r="Y428" s="55">
        <f t="shared" si="53"/>
        <v>2010</v>
      </c>
      <c r="Z428" s="41">
        <f>IFERROR(IF(Y428=0,"",ROUNDUP(Y428/H428,0)*0.02175),"")</f>
        <v>2.9144999999999999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4"/>
        <v>2062.6666666666665</v>
      </c>
      <c r="BN428" s="78">
        <f t="shared" si="55"/>
        <v>2072.98</v>
      </c>
      <c r="BO428" s="78">
        <f t="shared" si="56"/>
        <v>2.7777777777777777</v>
      </c>
      <c r="BP428" s="78">
        <f t="shared" si="57"/>
        <v>2.7916666666666665</v>
      </c>
    </row>
    <row r="429" spans="1:68" ht="27" customHeight="1" x14ac:dyDescent="0.25">
      <c r="A429" s="63" t="s">
        <v>710</v>
      </c>
      <c r="B429" s="63" t="s">
        <v>711</v>
      </c>
      <c r="C429" s="36">
        <v>4301011867</v>
      </c>
      <c r="D429" s="713">
        <v>4680115884830</v>
      </c>
      <c r="E429" s="71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94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5"/>
      <c r="R429" s="715"/>
      <c r="S429" s="715"/>
      <c r="T429" s="71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4301012356</v>
      </c>
      <c r="D430" s="713">
        <v>4680115889231</v>
      </c>
      <c r="E430" s="713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5"/>
      <c r="R430" s="715"/>
      <c r="S430" s="715"/>
      <c r="T430" s="716"/>
      <c r="U430" s="39" t="s">
        <v>46</v>
      </c>
      <c r="V430" s="39" t="s">
        <v>46</v>
      </c>
      <c r="W430" s="40" t="s">
        <v>0</v>
      </c>
      <c r="X430" s="58">
        <v>1500</v>
      </c>
      <c r="Y430" s="55">
        <f t="shared" si="53"/>
        <v>1500</v>
      </c>
      <c r="Z430" s="41">
        <f>IFERROR(IF(Y430=0,"",ROUNDUP(Y430/H430,0)*0.02175),"")</f>
        <v>2.1749999999999998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4"/>
        <v>1547</v>
      </c>
      <c r="BN430" s="78">
        <f t="shared" si="55"/>
        <v>1547</v>
      </c>
      <c r="BO430" s="78">
        <f t="shared" si="56"/>
        <v>2.083333333333333</v>
      </c>
      <c r="BP430" s="78">
        <f t="shared" si="57"/>
        <v>2.083333333333333</v>
      </c>
    </row>
    <row r="431" spans="1:68" ht="27" customHeight="1" x14ac:dyDescent="0.25">
      <c r="A431" s="63" t="s">
        <v>716</v>
      </c>
      <c r="B431" s="63" t="s">
        <v>717</v>
      </c>
      <c r="C431" s="36">
        <v>4301011433</v>
      </c>
      <c r="D431" s="713">
        <v>4680115882638</v>
      </c>
      <c r="E431" s="713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9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5"/>
      <c r="R431" s="715"/>
      <c r="S431" s="715"/>
      <c r="T431" s="71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customHeight="1" x14ac:dyDescent="0.25">
      <c r="A432" s="63" t="s">
        <v>719</v>
      </c>
      <c r="B432" s="63" t="s">
        <v>720</v>
      </c>
      <c r="C432" s="36">
        <v>4301011952</v>
      </c>
      <c r="D432" s="713">
        <v>4680115884922</v>
      </c>
      <c r="E432" s="71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94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5"/>
      <c r="R432" s="715"/>
      <c r="S432" s="715"/>
      <c r="T432" s="71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customHeight="1" x14ac:dyDescent="0.25">
      <c r="A433" s="63" t="s">
        <v>722</v>
      </c>
      <c r="B433" s="63" t="s">
        <v>723</v>
      </c>
      <c r="C433" s="36">
        <v>4301011868</v>
      </c>
      <c r="D433" s="713">
        <v>4680115884861</v>
      </c>
      <c r="E433" s="713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5"/>
      <c r="R433" s="715"/>
      <c r="S433" s="715"/>
      <c r="T433" s="71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x14ac:dyDescent="0.2">
      <c r="A434" s="721"/>
      <c r="B434" s="721"/>
      <c r="C434" s="721"/>
      <c r="D434" s="721"/>
      <c r="E434" s="721"/>
      <c r="F434" s="721"/>
      <c r="G434" s="721"/>
      <c r="H434" s="721"/>
      <c r="I434" s="721"/>
      <c r="J434" s="721"/>
      <c r="K434" s="721"/>
      <c r="L434" s="721"/>
      <c r="M434" s="721"/>
      <c r="N434" s="721"/>
      <c r="O434" s="722"/>
      <c r="P434" s="718" t="s">
        <v>40</v>
      </c>
      <c r="Q434" s="719"/>
      <c r="R434" s="719"/>
      <c r="S434" s="719"/>
      <c r="T434" s="719"/>
      <c r="U434" s="719"/>
      <c r="V434" s="72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233.33333333333334</v>
      </c>
      <c r="Y434" s="43">
        <f>IFERROR(Y426/H426,"0")+IFERROR(Y427/H427,"0")+IFERROR(Y428/H428,"0")+IFERROR(Y429/H429,"0")+IFERROR(Y430/H430,"0")+IFERROR(Y431/H431,"0")+IFERROR(Y432/H432,"0")+IFERROR(Y433/H433,"0")</f>
        <v>234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5.0894999999999992</v>
      </c>
      <c r="AA434" s="67"/>
      <c r="AB434" s="67"/>
      <c r="AC434" s="67"/>
    </row>
    <row r="435" spans="1:68" x14ac:dyDescent="0.2">
      <c r="A435" s="721"/>
      <c r="B435" s="721"/>
      <c r="C435" s="721"/>
      <c r="D435" s="721"/>
      <c r="E435" s="721"/>
      <c r="F435" s="721"/>
      <c r="G435" s="721"/>
      <c r="H435" s="721"/>
      <c r="I435" s="721"/>
      <c r="J435" s="721"/>
      <c r="K435" s="721"/>
      <c r="L435" s="721"/>
      <c r="M435" s="721"/>
      <c r="N435" s="721"/>
      <c r="O435" s="722"/>
      <c r="P435" s="718" t="s">
        <v>40</v>
      </c>
      <c r="Q435" s="719"/>
      <c r="R435" s="719"/>
      <c r="S435" s="719"/>
      <c r="T435" s="719"/>
      <c r="U435" s="719"/>
      <c r="V435" s="720"/>
      <c r="W435" s="42" t="s">
        <v>0</v>
      </c>
      <c r="X435" s="43">
        <f>IFERROR(SUM(X426:X433),"0")</f>
        <v>3500</v>
      </c>
      <c r="Y435" s="43">
        <f>IFERROR(SUM(Y426:Y433),"0")</f>
        <v>3510</v>
      </c>
      <c r="Z435" s="42"/>
      <c r="AA435" s="67"/>
      <c r="AB435" s="67"/>
      <c r="AC435" s="67"/>
    </row>
    <row r="436" spans="1:68" ht="14.25" customHeight="1" x14ac:dyDescent="0.25">
      <c r="A436" s="712" t="s">
        <v>158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66"/>
      <c r="AB436" s="66"/>
      <c r="AC436" s="80"/>
    </row>
    <row r="437" spans="1:68" ht="27" customHeight="1" x14ac:dyDescent="0.25">
      <c r="A437" s="63" t="s">
        <v>725</v>
      </c>
      <c r="B437" s="63" t="s">
        <v>726</v>
      </c>
      <c r="C437" s="36">
        <v>4301020178</v>
      </c>
      <c r="D437" s="713">
        <v>4607091383980</v>
      </c>
      <c r="E437" s="71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9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5"/>
      <c r="R437" s="715"/>
      <c r="S437" s="715"/>
      <c r="T437" s="716"/>
      <c r="U437" s="39" t="s">
        <v>46</v>
      </c>
      <c r="V437" s="39" t="s">
        <v>46</v>
      </c>
      <c r="W437" s="40" t="s">
        <v>0</v>
      </c>
      <c r="X437" s="58">
        <v>500</v>
      </c>
      <c r="Y437" s="55">
        <f>IFERROR(IF(X437="",0,CEILING((X437/$H437),1)*$H437),"")</f>
        <v>510</v>
      </c>
      <c r="Z437" s="41">
        <f>IFERROR(IF(Y437=0,"",ROUNDUP(Y437/H437,0)*0.02175),"")</f>
        <v>0.73949999999999994</v>
      </c>
      <c r="AA437" s="68" t="s">
        <v>46</v>
      </c>
      <c r="AB437" s="69" t="s">
        <v>46</v>
      </c>
      <c r="AC437" s="538" t="s">
        <v>727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515.66666666666663</v>
      </c>
      <c r="BN437" s="78">
        <f>IFERROR(Y437*I437/H437,"0")</f>
        <v>525.98</v>
      </c>
      <c r="BO437" s="78">
        <f>IFERROR(1/J437*(X437/H437),"0")</f>
        <v>0.69444444444444442</v>
      </c>
      <c r="BP437" s="78">
        <f>IFERROR(1/J437*(Y437/H437),"0")</f>
        <v>0.70833333333333326</v>
      </c>
    </row>
    <row r="438" spans="1:68" ht="27" customHeight="1" x14ac:dyDescent="0.25">
      <c r="A438" s="63" t="s">
        <v>728</v>
      </c>
      <c r="B438" s="63" t="s">
        <v>729</v>
      </c>
      <c r="C438" s="36">
        <v>4301020355</v>
      </c>
      <c r="D438" s="713">
        <v>4680115888425</v>
      </c>
      <c r="E438" s="71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4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5"/>
      <c r="R438" s="715"/>
      <c r="S438" s="715"/>
      <c r="T438" s="71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731</v>
      </c>
      <c r="B439" s="63" t="s">
        <v>732</v>
      </c>
      <c r="C439" s="36">
        <v>4301020179</v>
      </c>
      <c r="D439" s="713">
        <v>4607091384178</v>
      </c>
      <c r="E439" s="713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9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5"/>
      <c r="R439" s="715"/>
      <c r="S439" s="715"/>
      <c r="T439" s="716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721"/>
      <c r="B440" s="721"/>
      <c r="C440" s="721"/>
      <c r="D440" s="721"/>
      <c r="E440" s="721"/>
      <c r="F440" s="721"/>
      <c r="G440" s="721"/>
      <c r="H440" s="721"/>
      <c r="I440" s="721"/>
      <c r="J440" s="721"/>
      <c r="K440" s="721"/>
      <c r="L440" s="721"/>
      <c r="M440" s="721"/>
      <c r="N440" s="721"/>
      <c r="O440" s="722"/>
      <c r="P440" s="718" t="s">
        <v>40</v>
      </c>
      <c r="Q440" s="719"/>
      <c r="R440" s="719"/>
      <c r="S440" s="719"/>
      <c r="T440" s="719"/>
      <c r="U440" s="719"/>
      <c r="V440" s="720"/>
      <c r="W440" s="42" t="s">
        <v>39</v>
      </c>
      <c r="X440" s="43">
        <f>IFERROR(X437/H437,"0")+IFERROR(X438/H438,"0")+IFERROR(X439/H439,"0")</f>
        <v>33.333333333333336</v>
      </c>
      <c r="Y440" s="43">
        <f>IFERROR(Y437/H437,"0")+IFERROR(Y438/H438,"0")+IFERROR(Y439/H439,"0")</f>
        <v>34</v>
      </c>
      <c r="Z440" s="43">
        <f>IFERROR(IF(Z437="",0,Z437),"0")+IFERROR(IF(Z438="",0,Z438),"0")+IFERROR(IF(Z439="",0,Z439),"0")</f>
        <v>0.73949999999999994</v>
      </c>
      <c r="AA440" s="67"/>
      <c r="AB440" s="67"/>
      <c r="AC440" s="67"/>
    </row>
    <row r="441" spans="1:68" x14ac:dyDescent="0.2">
      <c r="A441" s="721"/>
      <c r="B441" s="721"/>
      <c r="C441" s="721"/>
      <c r="D441" s="721"/>
      <c r="E441" s="721"/>
      <c r="F441" s="721"/>
      <c r="G441" s="721"/>
      <c r="H441" s="721"/>
      <c r="I441" s="721"/>
      <c r="J441" s="721"/>
      <c r="K441" s="721"/>
      <c r="L441" s="721"/>
      <c r="M441" s="721"/>
      <c r="N441" s="721"/>
      <c r="O441" s="722"/>
      <c r="P441" s="718" t="s">
        <v>40</v>
      </c>
      <c r="Q441" s="719"/>
      <c r="R441" s="719"/>
      <c r="S441" s="719"/>
      <c r="T441" s="719"/>
      <c r="U441" s="719"/>
      <c r="V441" s="720"/>
      <c r="W441" s="42" t="s">
        <v>0</v>
      </c>
      <c r="X441" s="43">
        <f>IFERROR(SUM(X437:X439),"0")</f>
        <v>500</v>
      </c>
      <c r="Y441" s="43">
        <f>IFERROR(SUM(Y437:Y439),"0")</f>
        <v>510</v>
      </c>
      <c r="Z441" s="42"/>
      <c r="AA441" s="67"/>
      <c r="AB441" s="67"/>
      <c r="AC441" s="67"/>
    </row>
    <row r="442" spans="1:68" ht="14.25" customHeight="1" x14ac:dyDescent="0.25">
      <c r="A442" s="712" t="s">
        <v>86</v>
      </c>
      <c r="B442" s="712"/>
      <c r="C442" s="712"/>
      <c r="D442" s="712"/>
      <c r="E442" s="712"/>
      <c r="F442" s="712"/>
      <c r="G442" s="712"/>
      <c r="H442" s="712"/>
      <c r="I442" s="712"/>
      <c r="J442" s="712"/>
      <c r="K442" s="712"/>
      <c r="L442" s="712"/>
      <c r="M442" s="712"/>
      <c r="N442" s="712"/>
      <c r="O442" s="712"/>
      <c r="P442" s="712"/>
      <c r="Q442" s="712"/>
      <c r="R442" s="712"/>
      <c r="S442" s="712"/>
      <c r="T442" s="712"/>
      <c r="U442" s="712"/>
      <c r="V442" s="712"/>
      <c r="W442" s="712"/>
      <c r="X442" s="712"/>
      <c r="Y442" s="712"/>
      <c r="Z442" s="712"/>
      <c r="AA442" s="66"/>
      <c r="AB442" s="66"/>
      <c r="AC442" s="80"/>
    </row>
    <row r="443" spans="1:68" ht="27" customHeight="1" x14ac:dyDescent="0.25">
      <c r="A443" s="63" t="s">
        <v>734</v>
      </c>
      <c r="B443" s="63" t="s">
        <v>735</v>
      </c>
      <c r="C443" s="36">
        <v>4301051903</v>
      </c>
      <c r="D443" s="713">
        <v>4607091383928</v>
      </c>
      <c r="E443" s="713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95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5"/>
      <c r="R443" s="715"/>
      <c r="S443" s="715"/>
      <c r="T443" s="71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736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737</v>
      </c>
      <c r="B444" s="63" t="s">
        <v>738</v>
      </c>
      <c r="C444" s="36">
        <v>4301051897</v>
      </c>
      <c r="D444" s="713">
        <v>4607091384260</v>
      </c>
      <c r="E444" s="713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5"/>
      <c r="R444" s="715"/>
      <c r="S444" s="715"/>
      <c r="T444" s="71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740</v>
      </c>
      <c r="B445" s="63" t="s">
        <v>741</v>
      </c>
      <c r="C445" s="36">
        <v>4301052220</v>
      </c>
      <c r="D445" s="713">
        <v>4680115889538</v>
      </c>
      <c r="E445" s="713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95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5"/>
      <c r="R445" s="715"/>
      <c r="S445" s="715"/>
      <c r="T445" s="716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21"/>
      <c r="B446" s="721"/>
      <c r="C446" s="721"/>
      <c r="D446" s="721"/>
      <c r="E446" s="721"/>
      <c r="F446" s="721"/>
      <c r="G446" s="721"/>
      <c r="H446" s="721"/>
      <c r="I446" s="721"/>
      <c r="J446" s="721"/>
      <c r="K446" s="721"/>
      <c r="L446" s="721"/>
      <c r="M446" s="721"/>
      <c r="N446" s="721"/>
      <c r="O446" s="722"/>
      <c r="P446" s="718" t="s">
        <v>40</v>
      </c>
      <c r="Q446" s="719"/>
      <c r="R446" s="719"/>
      <c r="S446" s="719"/>
      <c r="T446" s="719"/>
      <c r="U446" s="719"/>
      <c r="V446" s="72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721"/>
      <c r="B447" s="721"/>
      <c r="C447" s="721"/>
      <c r="D447" s="721"/>
      <c r="E447" s="721"/>
      <c r="F447" s="721"/>
      <c r="G447" s="721"/>
      <c r="H447" s="721"/>
      <c r="I447" s="721"/>
      <c r="J447" s="721"/>
      <c r="K447" s="721"/>
      <c r="L447" s="721"/>
      <c r="M447" s="721"/>
      <c r="N447" s="721"/>
      <c r="O447" s="722"/>
      <c r="P447" s="718" t="s">
        <v>40</v>
      </c>
      <c r="Q447" s="719"/>
      <c r="R447" s="719"/>
      <c r="S447" s="719"/>
      <c r="T447" s="719"/>
      <c r="U447" s="719"/>
      <c r="V447" s="72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712" t="s">
        <v>175</v>
      </c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2"/>
      <c r="P448" s="712"/>
      <c r="Q448" s="712"/>
      <c r="R448" s="712"/>
      <c r="S448" s="712"/>
      <c r="T448" s="712"/>
      <c r="U448" s="712"/>
      <c r="V448" s="712"/>
      <c r="W448" s="712"/>
      <c r="X448" s="712"/>
      <c r="Y448" s="712"/>
      <c r="Z448" s="712"/>
      <c r="AA448" s="66"/>
      <c r="AB448" s="66"/>
      <c r="AC448" s="80"/>
    </row>
    <row r="449" spans="1:68" ht="27" customHeight="1" x14ac:dyDescent="0.25">
      <c r="A449" s="63" t="s">
        <v>743</v>
      </c>
      <c r="B449" s="63" t="s">
        <v>744</v>
      </c>
      <c r="C449" s="36">
        <v>4301060537</v>
      </c>
      <c r="D449" s="713">
        <v>4680115889545</v>
      </c>
      <c r="E449" s="713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95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5"/>
      <c r="R449" s="715"/>
      <c r="S449" s="715"/>
      <c r="T449" s="71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745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746</v>
      </c>
      <c r="B450" s="63" t="s">
        <v>747</v>
      </c>
      <c r="C450" s="36">
        <v>4301060524</v>
      </c>
      <c r="D450" s="713">
        <v>4607091384673</v>
      </c>
      <c r="E450" s="713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5"/>
      <c r="R450" s="715"/>
      <c r="S450" s="715"/>
      <c r="T450" s="716"/>
      <c r="U450" s="39" t="s">
        <v>46</v>
      </c>
      <c r="V450" s="39" t="s">
        <v>46</v>
      </c>
      <c r="W450" s="40" t="s">
        <v>0</v>
      </c>
      <c r="X450" s="58">
        <v>300</v>
      </c>
      <c r="Y450" s="55">
        <f>IFERROR(IF(X450="",0,CEILING((X450/$H450),1)*$H450),"")</f>
        <v>306</v>
      </c>
      <c r="Z450" s="41">
        <f>IFERROR(IF(Y450=0,"",ROUNDUP(Y450/H450,0)*0.01898),"")</f>
        <v>0.64532</v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316.46666666666664</v>
      </c>
      <c r="BN450" s="78">
        <f>IFERROR(Y450*I450/H450,"0")</f>
        <v>322.79599999999999</v>
      </c>
      <c r="BO450" s="78">
        <f>IFERROR(1/J450*(X450/H450),"0")</f>
        <v>0.52083333333333337</v>
      </c>
      <c r="BP450" s="78">
        <f>IFERROR(1/J450*(Y450/H450),"0")</f>
        <v>0.53125</v>
      </c>
    </row>
    <row r="451" spans="1:68" x14ac:dyDescent="0.2">
      <c r="A451" s="721"/>
      <c r="B451" s="721"/>
      <c r="C451" s="721"/>
      <c r="D451" s="721"/>
      <c r="E451" s="721"/>
      <c r="F451" s="721"/>
      <c r="G451" s="721"/>
      <c r="H451" s="721"/>
      <c r="I451" s="721"/>
      <c r="J451" s="721"/>
      <c r="K451" s="721"/>
      <c r="L451" s="721"/>
      <c r="M451" s="721"/>
      <c r="N451" s="721"/>
      <c r="O451" s="722"/>
      <c r="P451" s="718" t="s">
        <v>40</v>
      </c>
      <c r="Q451" s="719"/>
      <c r="R451" s="719"/>
      <c r="S451" s="719"/>
      <c r="T451" s="719"/>
      <c r="U451" s="719"/>
      <c r="V451" s="720"/>
      <c r="W451" s="42" t="s">
        <v>39</v>
      </c>
      <c r="X451" s="43">
        <f>IFERROR(X449/H449,"0")+IFERROR(X450/H450,"0")</f>
        <v>33.333333333333336</v>
      </c>
      <c r="Y451" s="43">
        <f>IFERROR(Y449/H449,"0")+IFERROR(Y450/H450,"0")</f>
        <v>34</v>
      </c>
      <c r="Z451" s="43">
        <f>IFERROR(IF(Z449="",0,Z449),"0")+IFERROR(IF(Z450="",0,Z450),"0")</f>
        <v>0.64532</v>
      </c>
      <c r="AA451" s="67"/>
      <c r="AB451" s="67"/>
      <c r="AC451" s="67"/>
    </row>
    <row r="452" spans="1:68" x14ac:dyDescent="0.2">
      <c r="A452" s="721"/>
      <c r="B452" s="721"/>
      <c r="C452" s="721"/>
      <c r="D452" s="721"/>
      <c r="E452" s="721"/>
      <c r="F452" s="721"/>
      <c r="G452" s="721"/>
      <c r="H452" s="721"/>
      <c r="I452" s="721"/>
      <c r="J452" s="721"/>
      <c r="K452" s="721"/>
      <c r="L452" s="721"/>
      <c r="M452" s="721"/>
      <c r="N452" s="721"/>
      <c r="O452" s="722"/>
      <c r="P452" s="718" t="s">
        <v>40</v>
      </c>
      <c r="Q452" s="719"/>
      <c r="R452" s="719"/>
      <c r="S452" s="719"/>
      <c r="T452" s="719"/>
      <c r="U452" s="719"/>
      <c r="V452" s="720"/>
      <c r="W452" s="42" t="s">
        <v>0</v>
      </c>
      <c r="X452" s="43">
        <f>IFERROR(SUM(X449:X450),"0")</f>
        <v>300</v>
      </c>
      <c r="Y452" s="43">
        <f>IFERROR(SUM(Y449:Y450),"0")</f>
        <v>306</v>
      </c>
      <c r="Z452" s="42"/>
      <c r="AA452" s="67"/>
      <c r="AB452" s="67"/>
      <c r="AC452" s="67"/>
    </row>
    <row r="453" spans="1:68" ht="16.5" customHeight="1" x14ac:dyDescent="0.25">
      <c r="A453" s="711" t="s">
        <v>749</v>
      </c>
      <c r="B453" s="711"/>
      <c r="C453" s="711"/>
      <c r="D453" s="711"/>
      <c r="E453" s="711"/>
      <c r="F453" s="711"/>
      <c r="G453" s="711"/>
      <c r="H453" s="711"/>
      <c r="I453" s="711"/>
      <c r="J453" s="711"/>
      <c r="K453" s="711"/>
      <c r="L453" s="711"/>
      <c r="M453" s="711"/>
      <c r="N453" s="711"/>
      <c r="O453" s="711"/>
      <c r="P453" s="711"/>
      <c r="Q453" s="711"/>
      <c r="R453" s="711"/>
      <c r="S453" s="711"/>
      <c r="T453" s="711"/>
      <c r="U453" s="711"/>
      <c r="V453" s="711"/>
      <c r="W453" s="711"/>
      <c r="X453" s="711"/>
      <c r="Y453" s="711"/>
      <c r="Z453" s="711"/>
      <c r="AA453" s="65"/>
      <c r="AB453" s="65"/>
      <c r="AC453" s="79"/>
    </row>
    <row r="454" spans="1:68" ht="14.25" customHeight="1" x14ac:dyDescent="0.25">
      <c r="A454" s="712" t="s">
        <v>122</v>
      </c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2"/>
      <c r="P454" s="712"/>
      <c r="Q454" s="712"/>
      <c r="R454" s="712"/>
      <c r="S454" s="712"/>
      <c r="T454" s="712"/>
      <c r="U454" s="712"/>
      <c r="V454" s="712"/>
      <c r="W454" s="712"/>
      <c r="X454" s="712"/>
      <c r="Y454" s="712"/>
      <c r="Z454" s="712"/>
      <c r="AA454" s="66"/>
      <c r="AB454" s="66"/>
      <c r="AC454" s="80"/>
    </row>
    <row r="455" spans="1:68" ht="27" customHeight="1" x14ac:dyDescent="0.25">
      <c r="A455" s="63" t="s">
        <v>750</v>
      </c>
      <c r="B455" s="63" t="s">
        <v>751</v>
      </c>
      <c r="C455" s="36">
        <v>4301011875</v>
      </c>
      <c r="D455" s="713">
        <v>4680115884885</v>
      </c>
      <c r="E455" s="713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9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5"/>
      <c r="R455" s="715"/>
      <c r="S455" s="715"/>
      <c r="T455" s="71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752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customHeight="1" x14ac:dyDescent="0.25">
      <c r="A456" s="63" t="s">
        <v>753</v>
      </c>
      <c r="B456" s="63" t="s">
        <v>754</v>
      </c>
      <c r="C456" s="36">
        <v>4301011871</v>
      </c>
      <c r="D456" s="713">
        <v>4680115884908</v>
      </c>
      <c r="E456" s="713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9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5"/>
      <c r="R456" s="715"/>
      <c r="S456" s="715"/>
      <c r="T456" s="71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752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721"/>
      <c r="B457" s="721"/>
      <c r="C457" s="721"/>
      <c r="D457" s="721"/>
      <c r="E457" s="721"/>
      <c r="F457" s="721"/>
      <c r="G457" s="721"/>
      <c r="H457" s="721"/>
      <c r="I457" s="721"/>
      <c r="J457" s="721"/>
      <c r="K457" s="721"/>
      <c r="L457" s="721"/>
      <c r="M457" s="721"/>
      <c r="N457" s="721"/>
      <c r="O457" s="722"/>
      <c r="P457" s="718" t="s">
        <v>40</v>
      </c>
      <c r="Q457" s="719"/>
      <c r="R457" s="719"/>
      <c r="S457" s="719"/>
      <c r="T457" s="719"/>
      <c r="U457" s="719"/>
      <c r="V457" s="72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721"/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2"/>
      <c r="P458" s="718" t="s">
        <v>40</v>
      </c>
      <c r="Q458" s="719"/>
      <c r="R458" s="719"/>
      <c r="S458" s="719"/>
      <c r="T458" s="719"/>
      <c r="U458" s="719"/>
      <c r="V458" s="72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customHeight="1" x14ac:dyDescent="0.25">
      <c r="A459" s="712" t="s">
        <v>77</v>
      </c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2"/>
      <c r="P459" s="712"/>
      <c r="Q459" s="712"/>
      <c r="R459" s="712"/>
      <c r="S459" s="712"/>
      <c r="T459" s="712"/>
      <c r="U459" s="712"/>
      <c r="V459" s="712"/>
      <c r="W459" s="712"/>
      <c r="X459" s="712"/>
      <c r="Y459" s="712"/>
      <c r="Z459" s="712"/>
      <c r="AA459" s="66"/>
      <c r="AB459" s="66"/>
      <c r="AC459" s="80"/>
    </row>
    <row r="460" spans="1:68" ht="27" customHeight="1" x14ac:dyDescent="0.25">
      <c r="A460" s="63" t="s">
        <v>755</v>
      </c>
      <c r="B460" s="63" t="s">
        <v>756</v>
      </c>
      <c r="C460" s="36">
        <v>4301031457</v>
      </c>
      <c r="D460" s="713">
        <v>4607091384802</v>
      </c>
      <c r="E460" s="713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95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5"/>
      <c r="R460" s="715"/>
      <c r="S460" s="715"/>
      <c r="T460" s="71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757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721"/>
      <c r="B461" s="721"/>
      <c r="C461" s="721"/>
      <c r="D461" s="721"/>
      <c r="E461" s="721"/>
      <c r="F461" s="721"/>
      <c r="G461" s="721"/>
      <c r="H461" s="721"/>
      <c r="I461" s="721"/>
      <c r="J461" s="721"/>
      <c r="K461" s="721"/>
      <c r="L461" s="721"/>
      <c r="M461" s="721"/>
      <c r="N461" s="721"/>
      <c r="O461" s="722"/>
      <c r="P461" s="718" t="s">
        <v>40</v>
      </c>
      <c r="Q461" s="719"/>
      <c r="R461" s="719"/>
      <c r="S461" s="719"/>
      <c r="T461" s="719"/>
      <c r="U461" s="719"/>
      <c r="V461" s="72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">
      <c r="A462" s="721"/>
      <c r="B462" s="721"/>
      <c r="C462" s="721"/>
      <c r="D462" s="721"/>
      <c r="E462" s="721"/>
      <c r="F462" s="721"/>
      <c r="G462" s="721"/>
      <c r="H462" s="721"/>
      <c r="I462" s="721"/>
      <c r="J462" s="721"/>
      <c r="K462" s="721"/>
      <c r="L462" s="721"/>
      <c r="M462" s="721"/>
      <c r="N462" s="721"/>
      <c r="O462" s="722"/>
      <c r="P462" s="718" t="s">
        <v>40</v>
      </c>
      <c r="Q462" s="719"/>
      <c r="R462" s="719"/>
      <c r="S462" s="719"/>
      <c r="T462" s="719"/>
      <c r="U462" s="719"/>
      <c r="V462" s="72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customHeight="1" x14ac:dyDescent="0.25">
      <c r="A463" s="712" t="s">
        <v>86</v>
      </c>
      <c r="B463" s="712"/>
      <c r="C463" s="712"/>
      <c r="D463" s="712"/>
      <c r="E463" s="712"/>
      <c r="F463" s="712"/>
      <c r="G463" s="712"/>
      <c r="H463" s="712"/>
      <c r="I463" s="712"/>
      <c r="J463" s="712"/>
      <c r="K463" s="712"/>
      <c r="L463" s="712"/>
      <c r="M463" s="712"/>
      <c r="N463" s="712"/>
      <c r="O463" s="712"/>
      <c r="P463" s="712"/>
      <c r="Q463" s="712"/>
      <c r="R463" s="712"/>
      <c r="S463" s="712"/>
      <c r="T463" s="712"/>
      <c r="U463" s="712"/>
      <c r="V463" s="712"/>
      <c r="W463" s="712"/>
      <c r="X463" s="712"/>
      <c r="Y463" s="712"/>
      <c r="Z463" s="712"/>
      <c r="AA463" s="66"/>
      <c r="AB463" s="66"/>
      <c r="AC463" s="80"/>
    </row>
    <row r="464" spans="1:68" ht="27" customHeight="1" x14ac:dyDescent="0.25">
      <c r="A464" s="63" t="s">
        <v>758</v>
      </c>
      <c r="B464" s="63" t="s">
        <v>759</v>
      </c>
      <c r="C464" s="36">
        <v>4301051899</v>
      </c>
      <c r="D464" s="713">
        <v>4607091384246</v>
      </c>
      <c r="E464" s="713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95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5"/>
      <c r="R464" s="715"/>
      <c r="S464" s="715"/>
      <c r="T464" s="71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0" t="s">
        <v>760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761</v>
      </c>
      <c r="B465" s="63" t="s">
        <v>762</v>
      </c>
      <c r="C465" s="36">
        <v>4301051660</v>
      </c>
      <c r="D465" s="713">
        <v>4607091384253</v>
      </c>
      <c r="E465" s="71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5"/>
      <c r="R465" s="715"/>
      <c r="S465" s="715"/>
      <c r="T465" s="71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761</v>
      </c>
      <c r="B466" s="63" t="s">
        <v>763</v>
      </c>
      <c r="C466" s="36">
        <v>4301052069</v>
      </c>
      <c r="D466" s="713">
        <v>4607091384253</v>
      </c>
      <c r="E466" s="713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5"/>
      <c r="R466" s="715"/>
      <c r="S466" s="715"/>
      <c r="T466" s="71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764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721"/>
      <c r="B467" s="721"/>
      <c r="C467" s="721"/>
      <c r="D467" s="721"/>
      <c r="E467" s="721"/>
      <c r="F467" s="721"/>
      <c r="G467" s="721"/>
      <c r="H467" s="721"/>
      <c r="I467" s="721"/>
      <c r="J467" s="721"/>
      <c r="K467" s="721"/>
      <c r="L467" s="721"/>
      <c r="M467" s="721"/>
      <c r="N467" s="721"/>
      <c r="O467" s="722"/>
      <c r="P467" s="718" t="s">
        <v>40</v>
      </c>
      <c r="Q467" s="719"/>
      <c r="R467" s="719"/>
      <c r="S467" s="719"/>
      <c r="T467" s="719"/>
      <c r="U467" s="719"/>
      <c r="V467" s="72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721"/>
      <c r="B468" s="721"/>
      <c r="C468" s="721"/>
      <c r="D468" s="721"/>
      <c r="E468" s="721"/>
      <c r="F468" s="721"/>
      <c r="G468" s="721"/>
      <c r="H468" s="721"/>
      <c r="I468" s="721"/>
      <c r="J468" s="721"/>
      <c r="K468" s="721"/>
      <c r="L468" s="721"/>
      <c r="M468" s="721"/>
      <c r="N468" s="721"/>
      <c r="O468" s="722"/>
      <c r="P468" s="718" t="s">
        <v>40</v>
      </c>
      <c r="Q468" s="719"/>
      <c r="R468" s="719"/>
      <c r="S468" s="719"/>
      <c r="T468" s="719"/>
      <c r="U468" s="719"/>
      <c r="V468" s="72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customHeight="1" x14ac:dyDescent="0.2">
      <c r="A469" s="710" t="s">
        <v>765</v>
      </c>
      <c r="B469" s="710"/>
      <c r="C469" s="710"/>
      <c r="D469" s="710"/>
      <c r="E469" s="710"/>
      <c r="F469" s="710"/>
      <c r="G469" s="710"/>
      <c r="H469" s="710"/>
      <c r="I469" s="710"/>
      <c r="J469" s="710"/>
      <c r="K469" s="710"/>
      <c r="L469" s="710"/>
      <c r="M469" s="710"/>
      <c r="N469" s="710"/>
      <c r="O469" s="710"/>
      <c r="P469" s="710"/>
      <c r="Q469" s="710"/>
      <c r="R469" s="710"/>
      <c r="S469" s="710"/>
      <c r="T469" s="710"/>
      <c r="U469" s="710"/>
      <c r="V469" s="710"/>
      <c r="W469" s="710"/>
      <c r="X469" s="710"/>
      <c r="Y469" s="710"/>
      <c r="Z469" s="710"/>
      <c r="AA469" s="54"/>
      <c r="AB469" s="54"/>
      <c r="AC469" s="54"/>
    </row>
    <row r="470" spans="1:68" ht="16.5" customHeight="1" x14ac:dyDescent="0.25">
      <c r="A470" s="711" t="s">
        <v>766</v>
      </c>
      <c r="B470" s="711"/>
      <c r="C470" s="711"/>
      <c r="D470" s="711"/>
      <c r="E470" s="711"/>
      <c r="F470" s="711"/>
      <c r="G470" s="711"/>
      <c r="H470" s="711"/>
      <c r="I470" s="711"/>
      <c r="J470" s="711"/>
      <c r="K470" s="711"/>
      <c r="L470" s="711"/>
      <c r="M470" s="711"/>
      <c r="N470" s="711"/>
      <c r="O470" s="711"/>
      <c r="P470" s="711"/>
      <c r="Q470" s="711"/>
      <c r="R470" s="711"/>
      <c r="S470" s="711"/>
      <c r="T470" s="711"/>
      <c r="U470" s="711"/>
      <c r="V470" s="711"/>
      <c r="W470" s="711"/>
      <c r="X470" s="711"/>
      <c r="Y470" s="711"/>
      <c r="Z470" s="711"/>
      <c r="AA470" s="65"/>
      <c r="AB470" s="65"/>
      <c r="AC470" s="79"/>
    </row>
    <row r="471" spans="1:68" ht="14.25" customHeight="1" x14ac:dyDescent="0.25">
      <c r="A471" s="712" t="s">
        <v>77</v>
      </c>
      <c r="B471" s="712"/>
      <c r="C471" s="712"/>
      <c r="D471" s="712"/>
      <c r="E471" s="712"/>
      <c r="F471" s="712"/>
      <c r="G471" s="712"/>
      <c r="H471" s="712"/>
      <c r="I471" s="712"/>
      <c r="J471" s="712"/>
      <c r="K471" s="712"/>
      <c r="L471" s="712"/>
      <c r="M471" s="712"/>
      <c r="N471" s="712"/>
      <c r="O471" s="712"/>
      <c r="P471" s="712"/>
      <c r="Q471" s="712"/>
      <c r="R471" s="712"/>
      <c r="S471" s="712"/>
      <c r="T471" s="712"/>
      <c r="U471" s="712"/>
      <c r="V471" s="712"/>
      <c r="W471" s="712"/>
      <c r="X471" s="712"/>
      <c r="Y471" s="712"/>
      <c r="Z471" s="712"/>
      <c r="AA471" s="66"/>
      <c r="AB471" s="66"/>
      <c r="AC471" s="80"/>
    </row>
    <row r="472" spans="1:68" ht="27" customHeight="1" x14ac:dyDescent="0.25">
      <c r="A472" s="63" t="s">
        <v>767</v>
      </c>
      <c r="B472" s="63" t="s">
        <v>768</v>
      </c>
      <c r="C472" s="36">
        <v>4301031405</v>
      </c>
      <c r="D472" s="713">
        <v>4680115886100</v>
      </c>
      <c r="E472" s="71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9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5"/>
      <c r="R472" s="715"/>
      <c r="S472" s="715"/>
      <c r="T472" s="71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769</v>
      </c>
      <c r="AG472" s="78"/>
      <c r="AJ472" s="84" t="s">
        <v>46</v>
      </c>
      <c r="AK472" s="84">
        <v>0</v>
      </c>
      <c r="BB472" s="567" t="s">
        <v>67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customHeight="1" x14ac:dyDescent="0.25">
      <c r="A473" s="63" t="s">
        <v>770</v>
      </c>
      <c r="B473" s="63" t="s">
        <v>771</v>
      </c>
      <c r="C473" s="36">
        <v>4301031402</v>
      </c>
      <c r="D473" s="713">
        <v>4680115886124</v>
      </c>
      <c r="E473" s="713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5"/>
      <c r="R473" s="715"/>
      <c r="S473" s="715"/>
      <c r="T473" s="71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4301031362</v>
      </c>
      <c r="D474" s="713">
        <v>4607091384338</v>
      </c>
      <c r="E474" s="713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5"/>
      <c r="R474" s="715"/>
      <c r="S474" s="715"/>
      <c r="T474" s="71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769</v>
      </c>
      <c r="AG474" s="78"/>
      <c r="AJ474" s="84" t="s">
        <v>46</v>
      </c>
      <c r="AK474" s="84">
        <v>0</v>
      </c>
      <c r="BB474" s="571" t="s">
        <v>67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customHeight="1" x14ac:dyDescent="0.25">
      <c r="A475" s="63" t="s">
        <v>775</v>
      </c>
      <c r="B475" s="63" t="s">
        <v>776</v>
      </c>
      <c r="C475" s="36">
        <v>4301031364</v>
      </c>
      <c r="D475" s="713">
        <v>4680115883161</v>
      </c>
      <c r="E475" s="713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5"/>
      <c r="R475" s="715"/>
      <c r="S475" s="715"/>
      <c r="T475" s="71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777</v>
      </c>
      <c r="AG475" s="78"/>
      <c r="AJ475" s="84" t="s">
        <v>46</v>
      </c>
      <c r="AK475" s="84">
        <v>0</v>
      </c>
      <c r="BB475" s="573" t="s">
        <v>67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customHeight="1" x14ac:dyDescent="0.25">
      <c r="A476" s="63" t="s">
        <v>778</v>
      </c>
      <c r="B476" s="63" t="s">
        <v>779</v>
      </c>
      <c r="C476" s="36">
        <v>4301031358</v>
      </c>
      <c r="D476" s="713">
        <v>4607091389531</v>
      </c>
      <c r="E476" s="71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5"/>
      <c r="R476" s="715"/>
      <c r="S476" s="715"/>
      <c r="T476" s="71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customHeight="1" x14ac:dyDescent="0.25">
      <c r="A477" s="63" t="s">
        <v>781</v>
      </c>
      <c r="B477" s="63" t="s">
        <v>782</v>
      </c>
      <c r="C477" s="36">
        <v>4301031360</v>
      </c>
      <c r="D477" s="713">
        <v>4607091384345</v>
      </c>
      <c r="E477" s="713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5"/>
      <c r="R477" s="715"/>
      <c r="S477" s="715"/>
      <c r="T477" s="71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777</v>
      </c>
      <c r="AG477" s="78"/>
      <c r="AJ477" s="84" t="s">
        <v>46</v>
      </c>
      <c r="AK477" s="84">
        <v>0</v>
      </c>
      <c r="BB477" s="577" t="s">
        <v>67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x14ac:dyDescent="0.2">
      <c r="A478" s="721"/>
      <c r="B478" s="721"/>
      <c r="C478" s="721"/>
      <c r="D478" s="721"/>
      <c r="E478" s="721"/>
      <c r="F478" s="721"/>
      <c r="G478" s="721"/>
      <c r="H478" s="721"/>
      <c r="I478" s="721"/>
      <c r="J478" s="721"/>
      <c r="K478" s="721"/>
      <c r="L478" s="721"/>
      <c r="M478" s="721"/>
      <c r="N478" s="721"/>
      <c r="O478" s="722"/>
      <c r="P478" s="718" t="s">
        <v>40</v>
      </c>
      <c r="Q478" s="719"/>
      <c r="R478" s="719"/>
      <c r="S478" s="719"/>
      <c r="T478" s="719"/>
      <c r="U478" s="719"/>
      <c r="V478" s="72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x14ac:dyDescent="0.2">
      <c r="A479" s="721"/>
      <c r="B479" s="721"/>
      <c r="C479" s="721"/>
      <c r="D479" s="721"/>
      <c r="E479" s="721"/>
      <c r="F479" s="721"/>
      <c r="G479" s="721"/>
      <c r="H479" s="721"/>
      <c r="I479" s="721"/>
      <c r="J479" s="721"/>
      <c r="K479" s="721"/>
      <c r="L479" s="721"/>
      <c r="M479" s="721"/>
      <c r="N479" s="721"/>
      <c r="O479" s="722"/>
      <c r="P479" s="718" t="s">
        <v>40</v>
      </c>
      <c r="Q479" s="719"/>
      <c r="R479" s="719"/>
      <c r="S479" s="719"/>
      <c r="T479" s="719"/>
      <c r="U479" s="719"/>
      <c r="V479" s="72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customHeight="1" x14ac:dyDescent="0.25">
      <c r="A480" s="712" t="s">
        <v>86</v>
      </c>
      <c r="B480" s="712"/>
      <c r="C480" s="712"/>
      <c r="D480" s="712"/>
      <c r="E480" s="712"/>
      <c r="F480" s="712"/>
      <c r="G480" s="712"/>
      <c r="H480" s="712"/>
      <c r="I480" s="712"/>
      <c r="J480" s="712"/>
      <c r="K480" s="712"/>
      <c r="L480" s="712"/>
      <c r="M480" s="712"/>
      <c r="N480" s="712"/>
      <c r="O480" s="712"/>
      <c r="P480" s="712"/>
      <c r="Q480" s="712"/>
      <c r="R480" s="712"/>
      <c r="S480" s="712"/>
      <c r="T480" s="712"/>
      <c r="U480" s="712"/>
      <c r="V480" s="712"/>
      <c r="W480" s="712"/>
      <c r="X480" s="712"/>
      <c r="Y480" s="712"/>
      <c r="Z480" s="712"/>
      <c r="AA480" s="66"/>
      <c r="AB480" s="66"/>
      <c r="AC480" s="80"/>
    </row>
    <row r="481" spans="1:68" ht="27" customHeight="1" x14ac:dyDescent="0.25">
      <c r="A481" s="63" t="s">
        <v>783</v>
      </c>
      <c r="B481" s="63" t="s">
        <v>784</v>
      </c>
      <c r="C481" s="36">
        <v>4301051284</v>
      </c>
      <c r="D481" s="713">
        <v>4607091384352</v>
      </c>
      <c r="E481" s="713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9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5"/>
      <c r="R481" s="715"/>
      <c r="S481" s="715"/>
      <c r="T481" s="71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785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786</v>
      </c>
      <c r="B482" s="63" t="s">
        <v>787</v>
      </c>
      <c r="C482" s="36">
        <v>4301051431</v>
      </c>
      <c r="D482" s="713">
        <v>4607091389654</v>
      </c>
      <c r="E482" s="713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9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5"/>
      <c r="R482" s="715"/>
      <c r="S482" s="715"/>
      <c r="T482" s="716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721"/>
      <c r="B483" s="721"/>
      <c r="C483" s="721"/>
      <c r="D483" s="721"/>
      <c r="E483" s="721"/>
      <c r="F483" s="721"/>
      <c r="G483" s="721"/>
      <c r="H483" s="721"/>
      <c r="I483" s="721"/>
      <c r="J483" s="721"/>
      <c r="K483" s="721"/>
      <c r="L483" s="721"/>
      <c r="M483" s="721"/>
      <c r="N483" s="721"/>
      <c r="O483" s="722"/>
      <c r="P483" s="718" t="s">
        <v>40</v>
      </c>
      <c r="Q483" s="719"/>
      <c r="R483" s="719"/>
      <c r="S483" s="719"/>
      <c r="T483" s="719"/>
      <c r="U483" s="719"/>
      <c r="V483" s="72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721"/>
      <c r="B484" s="721"/>
      <c r="C484" s="721"/>
      <c r="D484" s="721"/>
      <c r="E484" s="721"/>
      <c r="F484" s="721"/>
      <c r="G484" s="721"/>
      <c r="H484" s="721"/>
      <c r="I484" s="721"/>
      <c r="J484" s="721"/>
      <c r="K484" s="721"/>
      <c r="L484" s="721"/>
      <c r="M484" s="721"/>
      <c r="N484" s="721"/>
      <c r="O484" s="722"/>
      <c r="P484" s="718" t="s">
        <v>40</v>
      </c>
      <c r="Q484" s="719"/>
      <c r="R484" s="719"/>
      <c r="S484" s="719"/>
      <c r="T484" s="719"/>
      <c r="U484" s="719"/>
      <c r="V484" s="72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711" t="s">
        <v>789</v>
      </c>
      <c r="B485" s="711"/>
      <c r="C485" s="711"/>
      <c r="D485" s="711"/>
      <c r="E485" s="711"/>
      <c r="F485" s="711"/>
      <c r="G485" s="711"/>
      <c r="H485" s="711"/>
      <c r="I485" s="711"/>
      <c r="J485" s="711"/>
      <c r="K485" s="711"/>
      <c r="L485" s="711"/>
      <c r="M485" s="711"/>
      <c r="N485" s="711"/>
      <c r="O485" s="711"/>
      <c r="P485" s="711"/>
      <c r="Q485" s="711"/>
      <c r="R485" s="711"/>
      <c r="S485" s="711"/>
      <c r="T485" s="711"/>
      <c r="U485" s="711"/>
      <c r="V485" s="711"/>
      <c r="W485" s="711"/>
      <c r="X485" s="711"/>
      <c r="Y485" s="711"/>
      <c r="Z485" s="711"/>
      <c r="AA485" s="65"/>
      <c r="AB485" s="65"/>
      <c r="AC485" s="79"/>
    </row>
    <row r="486" spans="1:68" ht="14.25" customHeight="1" x14ac:dyDescent="0.25">
      <c r="A486" s="712" t="s">
        <v>158</v>
      </c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2"/>
      <c r="P486" s="712"/>
      <c r="Q486" s="712"/>
      <c r="R486" s="712"/>
      <c r="S486" s="712"/>
      <c r="T486" s="712"/>
      <c r="U486" s="712"/>
      <c r="V486" s="712"/>
      <c r="W486" s="712"/>
      <c r="X486" s="712"/>
      <c r="Y486" s="712"/>
      <c r="Z486" s="712"/>
      <c r="AA486" s="66"/>
      <c r="AB486" s="66"/>
      <c r="AC486" s="80"/>
    </row>
    <row r="487" spans="1:68" ht="27" customHeight="1" x14ac:dyDescent="0.25">
      <c r="A487" s="63" t="s">
        <v>790</v>
      </c>
      <c r="B487" s="63" t="s">
        <v>791</v>
      </c>
      <c r="C487" s="36">
        <v>4301020416</v>
      </c>
      <c r="D487" s="713">
        <v>4680115885240</v>
      </c>
      <c r="E487" s="713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9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5"/>
      <c r="R487" s="715"/>
      <c r="S487" s="715"/>
      <c r="T487" s="71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792</v>
      </c>
      <c r="AG487" s="78"/>
      <c r="AJ487" s="84" t="s">
        <v>46</v>
      </c>
      <c r="AK487" s="84">
        <v>0</v>
      </c>
      <c r="BB487" s="583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721"/>
      <c r="B488" s="721"/>
      <c r="C488" s="721"/>
      <c r="D488" s="721"/>
      <c r="E488" s="721"/>
      <c r="F488" s="721"/>
      <c r="G488" s="721"/>
      <c r="H488" s="721"/>
      <c r="I488" s="721"/>
      <c r="J488" s="721"/>
      <c r="K488" s="721"/>
      <c r="L488" s="721"/>
      <c r="M488" s="721"/>
      <c r="N488" s="721"/>
      <c r="O488" s="722"/>
      <c r="P488" s="718" t="s">
        <v>40</v>
      </c>
      <c r="Q488" s="719"/>
      <c r="R488" s="719"/>
      <c r="S488" s="719"/>
      <c r="T488" s="719"/>
      <c r="U488" s="719"/>
      <c r="V488" s="72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721"/>
      <c r="B489" s="721"/>
      <c r="C489" s="721"/>
      <c r="D489" s="721"/>
      <c r="E489" s="721"/>
      <c r="F489" s="721"/>
      <c r="G489" s="721"/>
      <c r="H489" s="721"/>
      <c r="I489" s="721"/>
      <c r="J489" s="721"/>
      <c r="K489" s="721"/>
      <c r="L489" s="721"/>
      <c r="M489" s="721"/>
      <c r="N489" s="721"/>
      <c r="O489" s="722"/>
      <c r="P489" s="718" t="s">
        <v>40</v>
      </c>
      <c r="Q489" s="719"/>
      <c r="R489" s="719"/>
      <c r="S489" s="719"/>
      <c r="T489" s="719"/>
      <c r="U489" s="719"/>
      <c r="V489" s="72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customHeight="1" x14ac:dyDescent="0.25">
      <c r="A490" s="712" t="s">
        <v>77</v>
      </c>
      <c r="B490" s="712"/>
      <c r="C490" s="712"/>
      <c r="D490" s="712"/>
      <c r="E490" s="712"/>
      <c r="F490" s="712"/>
      <c r="G490" s="712"/>
      <c r="H490" s="712"/>
      <c r="I490" s="712"/>
      <c r="J490" s="712"/>
      <c r="K490" s="712"/>
      <c r="L490" s="712"/>
      <c r="M490" s="712"/>
      <c r="N490" s="712"/>
      <c r="O490" s="712"/>
      <c r="P490" s="712"/>
      <c r="Q490" s="712"/>
      <c r="R490" s="712"/>
      <c r="S490" s="712"/>
      <c r="T490" s="712"/>
      <c r="U490" s="712"/>
      <c r="V490" s="712"/>
      <c r="W490" s="712"/>
      <c r="X490" s="712"/>
      <c r="Y490" s="712"/>
      <c r="Z490" s="712"/>
      <c r="AA490" s="66"/>
      <c r="AB490" s="66"/>
      <c r="AC490" s="80"/>
    </row>
    <row r="491" spans="1:68" ht="27" customHeight="1" x14ac:dyDescent="0.25">
      <c r="A491" s="63" t="s">
        <v>793</v>
      </c>
      <c r="B491" s="63" t="s">
        <v>794</v>
      </c>
      <c r="C491" s="36">
        <v>4301031407</v>
      </c>
      <c r="D491" s="713">
        <v>4680115886094</v>
      </c>
      <c r="E491" s="713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9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5"/>
      <c r="R491" s="715"/>
      <c r="S491" s="715"/>
      <c r="T491" s="71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795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796</v>
      </c>
      <c r="B492" s="63" t="s">
        <v>797</v>
      </c>
      <c r="C492" s="36">
        <v>4301031373</v>
      </c>
      <c r="D492" s="713">
        <v>4680115880771</v>
      </c>
      <c r="E492" s="713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7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5"/>
      <c r="R492" s="715"/>
      <c r="S492" s="715"/>
      <c r="T492" s="71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4301031359</v>
      </c>
      <c r="D493" s="713">
        <v>4607091389500</v>
      </c>
      <c r="E493" s="713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5"/>
      <c r="R493" s="715"/>
      <c r="S493" s="715"/>
      <c r="T493" s="71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798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721"/>
      <c r="B494" s="721"/>
      <c r="C494" s="721"/>
      <c r="D494" s="721"/>
      <c r="E494" s="721"/>
      <c r="F494" s="721"/>
      <c r="G494" s="721"/>
      <c r="H494" s="721"/>
      <c r="I494" s="721"/>
      <c r="J494" s="721"/>
      <c r="K494" s="721"/>
      <c r="L494" s="721"/>
      <c r="M494" s="721"/>
      <c r="N494" s="721"/>
      <c r="O494" s="722"/>
      <c r="P494" s="718" t="s">
        <v>40</v>
      </c>
      <c r="Q494" s="719"/>
      <c r="R494" s="719"/>
      <c r="S494" s="719"/>
      <c r="T494" s="719"/>
      <c r="U494" s="719"/>
      <c r="V494" s="720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x14ac:dyDescent="0.2">
      <c r="A495" s="721"/>
      <c r="B495" s="721"/>
      <c r="C495" s="721"/>
      <c r="D495" s="721"/>
      <c r="E495" s="721"/>
      <c r="F495" s="721"/>
      <c r="G495" s="721"/>
      <c r="H495" s="721"/>
      <c r="I495" s="721"/>
      <c r="J495" s="721"/>
      <c r="K495" s="721"/>
      <c r="L495" s="721"/>
      <c r="M495" s="721"/>
      <c r="N495" s="721"/>
      <c r="O495" s="722"/>
      <c r="P495" s="718" t="s">
        <v>40</v>
      </c>
      <c r="Q495" s="719"/>
      <c r="R495" s="719"/>
      <c r="S495" s="719"/>
      <c r="T495" s="719"/>
      <c r="U495" s="719"/>
      <c r="V495" s="720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customHeight="1" x14ac:dyDescent="0.2">
      <c r="A496" s="710" t="s">
        <v>801</v>
      </c>
      <c r="B496" s="710"/>
      <c r="C496" s="710"/>
      <c r="D496" s="710"/>
      <c r="E496" s="710"/>
      <c r="F496" s="710"/>
      <c r="G496" s="710"/>
      <c r="H496" s="710"/>
      <c r="I496" s="710"/>
      <c r="J496" s="710"/>
      <c r="K496" s="710"/>
      <c r="L496" s="710"/>
      <c r="M496" s="710"/>
      <c r="N496" s="710"/>
      <c r="O496" s="710"/>
      <c r="P496" s="710"/>
      <c r="Q496" s="710"/>
      <c r="R496" s="710"/>
      <c r="S496" s="710"/>
      <c r="T496" s="710"/>
      <c r="U496" s="710"/>
      <c r="V496" s="710"/>
      <c r="W496" s="710"/>
      <c r="X496" s="710"/>
      <c r="Y496" s="710"/>
      <c r="Z496" s="710"/>
      <c r="AA496" s="54"/>
      <c r="AB496" s="54"/>
      <c r="AC496" s="54"/>
    </row>
    <row r="497" spans="1:68" ht="16.5" customHeight="1" x14ac:dyDescent="0.25">
      <c r="A497" s="711" t="s">
        <v>801</v>
      </c>
      <c r="B497" s="711"/>
      <c r="C497" s="711"/>
      <c r="D497" s="711"/>
      <c r="E497" s="711"/>
      <c r="F497" s="711"/>
      <c r="G497" s="711"/>
      <c r="H497" s="711"/>
      <c r="I497" s="711"/>
      <c r="J497" s="711"/>
      <c r="K497" s="711"/>
      <c r="L497" s="711"/>
      <c r="M497" s="711"/>
      <c r="N497" s="711"/>
      <c r="O497" s="711"/>
      <c r="P497" s="711"/>
      <c r="Q497" s="711"/>
      <c r="R497" s="711"/>
      <c r="S497" s="711"/>
      <c r="T497" s="711"/>
      <c r="U497" s="711"/>
      <c r="V497" s="711"/>
      <c r="W497" s="711"/>
      <c r="X497" s="711"/>
      <c r="Y497" s="711"/>
      <c r="Z497" s="711"/>
      <c r="AA497" s="65"/>
      <c r="AB497" s="65"/>
      <c r="AC497" s="79"/>
    </row>
    <row r="498" spans="1:68" ht="14.25" customHeight="1" x14ac:dyDescent="0.25">
      <c r="A498" s="712" t="s">
        <v>122</v>
      </c>
      <c r="B498" s="712"/>
      <c r="C498" s="712"/>
      <c r="D498" s="712"/>
      <c r="E498" s="712"/>
      <c r="F498" s="712"/>
      <c r="G498" s="712"/>
      <c r="H498" s="712"/>
      <c r="I498" s="712"/>
      <c r="J498" s="712"/>
      <c r="K498" s="712"/>
      <c r="L498" s="712"/>
      <c r="M498" s="712"/>
      <c r="N498" s="712"/>
      <c r="O498" s="712"/>
      <c r="P498" s="712"/>
      <c r="Q498" s="712"/>
      <c r="R498" s="712"/>
      <c r="S498" s="712"/>
      <c r="T498" s="712"/>
      <c r="U498" s="712"/>
      <c r="V498" s="712"/>
      <c r="W498" s="712"/>
      <c r="X498" s="712"/>
      <c r="Y498" s="712"/>
      <c r="Z498" s="712"/>
      <c r="AA498" s="66"/>
      <c r="AB498" s="66"/>
      <c r="AC498" s="80"/>
    </row>
    <row r="499" spans="1:68" ht="27" customHeight="1" x14ac:dyDescent="0.25">
      <c r="A499" s="63" t="s">
        <v>802</v>
      </c>
      <c r="B499" s="63" t="s">
        <v>803</v>
      </c>
      <c r="C499" s="36">
        <v>4301011769</v>
      </c>
      <c r="D499" s="713">
        <v>4607091389067</v>
      </c>
      <c r="E499" s="71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97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5"/>
      <c r="R499" s="715"/>
      <c r="S499" s="715"/>
      <c r="T499" s="71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63">IFERROR(IF(X499="",0,CEILING((X499/$H499),1)*$H499),"")</f>
        <v>0</v>
      </c>
      <c r="Z499" s="41" t="str">
        <f t="shared" ref="Z499:Z504" si="64">IFERROR(IF(Y499=0,"",ROUNDUP(Y499/H499,0)*0.01196),"")</f>
        <v/>
      </c>
      <c r="AA499" s="68" t="s">
        <v>46</v>
      </c>
      <c r="AB499" s="69" t="s">
        <v>46</v>
      </c>
      <c r="AC499" s="590" t="s">
        <v>125</v>
      </c>
      <c r="AG499" s="78"/>
      <c r="AJ499" s="84" t="s">
        <v>46</v>
      </c>
      <c r="AK499" s="84">
        <v>0</v>
      </c>
      <c r="BB499" s="591" t="s">
        <v>67</v>
      </c>
      <c r="BM499" s="78">
        <f t="shared" ref="BM499:BM507" si="65">IFERROR(X499*I499/H499,"0")</f>
        <v>0</v>
      </c>
      <c r="BN499" s="78">
        <f t="shared" ref="BN499:BN507" si="66">IFERROR(Y499*I499/H499,"0")</f>
        <v>0</v>
      </c>
      <c r="BO499" s="78">
        <f t="shared" ref="BO499:BO507" si="67">IFERROR(1/J499*(X499/H499),"0")</f>
        <v>0</v>
      </c>
      <c r="BP499" s="78">
        <f t="shared" ref="BP499:BP507" si="68">IFERROR(1/J499*(Y499/H499),"0")</f>
        <v>0</v>
      </c>
    </row>
    <row r="500" spans="1:68" ht="16.5" customHeight="1" x14ac:dyDescent="0.25">
      <c r="A500" s="63" t="s">
        <v>804</v>
      </c>
      <c r="B500" s="63" t="s">
        <v>805</v>
      </c>
      <c r="C500" s="36">
        <v>4301012380</v>
      </c>
      <c r="D500" s="713">
        <v>4680115889576</v>
      </c>
      <c r="E500" s="71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97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5"/>
      <c r="R500" s="715"/>
      <c r="S500" s="715"/>
      <c r="T500" s="71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806</v>
      </c>
      <c r="AG500" s="78"/>
      <c r="AJ500" s="84" t="s">
        <v>46</v>
      </c>
      <c r="AK500" s="84">
        <v>0</v>
      </c>
      <c r="BB500" s="593" t="s">
        <v>67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customHeight="1" x14ac:dyDescent="0.25">
      <c r="A501" s="63" t="s">
        <v>807</v>
      </c>
      <c r="B501" s="63" t="s">
        <v>808</v>
      </c>
      <c r="C501" s="36">
        <v>4301011961</v>
      </c>
      <c r="D501" s="713">
        <v>4680115885271</v>
      </c>
      <c r="E501" s="71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5"/>
      <c r="R501" s="715"/>
      <c r="S501" s="715"/>
      <c r="T501" s="716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3"/>
        <v>0</v>
      </c>
      <c r="Z501" s="41" t="str">
        <f t="shared" si="64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65"/>
        <v>0</v>
      </c>
      <c r="BN501" s="78">
        <f t="shared" si="66"/>
        <v>0</v>
      </c>
      <c r="BO501" s="78">
        <f t="shared" si="67"/>
        <v>0</v>
      </c>
      <c r="BP501" s="78">
        <f t="shared" si="68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4301011369</v>
      </c>
      <c r="D502" s="713">
        <v>4680115885226</v>
      </c>
      <c r="E502" s="71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5"/>
      <c r="R502" s="715"/>
      <c r="S502" s="715"/>
      <c r="T502" s="716"/>
      <c r="U502" s="39" t="s">
        <v>46</v>
      </c>
      <c r="V502" s="39" t="s">
        <v>46</v>
      </c>
      <c r="W502" s="40" t="s">
        <v>0</v>
      </c>
      <c r="X502" s="58">
        <v>1000</v>
      </c>
      <c r="Y502" s="55">
        <f t="shared" si="63"/>
        <v>1003.2</v>
      </c>
      <c r="Z502" s="41">
        <f t="shared" si="64"/>
        <v>2.2724000000000002</v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65"/>
        <v>1066.2878787878788</v>
      </c>
      <c r="BN502" s="78">
        <f t="shared" si="66"/>
        <v>1069.7</v>
      </c>
      <c r="BO502" s="78">
        <f t="shared" si="67"/>
        <v>1.821095571095571</v>
      </c>
      <c r="BP502" s="78">
        <f t="shared" si="68"/>
        <v>1.8269230769230771</v>
      </c>
    </row>
    <row r="503" spans="1:68" ht="16.5" customHeight="1" x14ac:dyDescent="0.25">
      <c r="A503" s="63" t="s">
        <v>813</v>
      </c>
      <c r="B503" s="63" t="s">
        <v>814</v>
      </c>
      <c r="C503" s="36">
        <v>4301011797</v>
      </c>
      <c r="D503" s="713">
        <v>4680115884502</v>
      </c>
      <c r="E503" s="71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97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5"/>
      <c r="R503" s="715"/>
      <c r="S503" s="715"/>
      <c r="T503" s="71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customHeight="1" x14ac:dyDescent="0.25">
      <c r="A504" s="63" t="s">
        <v>816</v>
      </c>
      <c r="B504" s="63" t="s">
        <v>817</v>
      </c>
      <c r="C504" s="36">
        <v>4301011771</v>
      </c>
      <c r="D504" s="713">
        <v>4607091389104</v>
      </c>
      <c r="E504" s="71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5"/>
      <c r="R504" s="715"/>
      <c r="S504" s="715"/>
      <c r="T504" s="716"/>
      <c r="U504" s="39" t="s">
        <v>46</v>
      </c>
      <c r="V504" s="39" t="s">
        <v>46</v>
      </c>
      <c r="W504" s="40" t="s">
        <v>0</v>
      </c>
      <c r="X504" s="58">
        <v>500</v>
      </c>
      <c r="Y504" s="55">
        <f t="shared" si="63"/>
        <v>501.6</v>
      </c>
      <c r="Z504" s="41">
        <f t="shared" si="64"/>
        <v>1.1362000000000001</v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65"/>
        <v>533.14393939393938</v>
      </c>
      <c r="BN504" s="78">
        <f t="shared" si="66"/>
        <v>534.85</v>
      </c>
      <c r="BO504" s="78">
        <f t="shared" si="67"/>
        <v>0.91054778554778548</v>
      </c>
      <c r="BP504" s="78">
        <f t="shared" si="68"/>
        <v>0.91346153846153855</v>
      </c>
    </row>
    <row r="505" spans="1:68" ht="27" customHeight="1" x14ac:dyDescent="0.25">
      <c r="A505" s="63" t="s">
        <v>819</v>
      </c>
      <c r="B505" s="63" t="s">
        <v>820</v>
      </c>
      <c r="C505" s="36">
        <v>4301012125</v>
      </c>
      <c r="D505" s="713">
        <v>4680115886391</v>
      </c>
      <c r="E505" s="713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97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5"/>
      <c r="R505" s="715"/>
      <c r="S505" s="715"/>
      <c r="T505" s="71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customHeight="1" x14ac:dyDescent="0.25">
      <c r="A506" s="63" t="s">
        <v>821</v>
      </c>
      <c r="B506" s="63" t="s">
        <v>822</v>
      </c>
      <c r="C506" s="36">
        <v>4301012048</v>
      </c>
      <c r="D506" s="713">
        <v>4680115880603</v>
      </c>
      <c r="E506" s="71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98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5"/>
      <c r="R506" s="715"/>
      <c r="S506" s="715"/>
      <c r="T506" s="71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customHeight="1" x14ac:dyDescent="0.25">
      <c r="A507" s="63" t="s">
        <v>823</v>
      </c>
      <c r="B507" s="63" t="s">
        <v>824</v>
      </c>
      <c r="C507" s="36">
        <v>4301012034</v>
      </c>
      <c r="D507" s="713">
        <v>4607091389982</v>
      </c>
      <c r="E507" s="713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98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5"/>
      <c r="R507" s="715"/>
      <c r="S507" s="715"/>
      <c r="T507" s="716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818</v>
      </c>
      <c r="AG507" s="78"/>
      <c r="AJ507" s="84" t="s">
        <v>46</v>
      </c>
      <c r="AK507" s="84">
        <v>0</v>
      </c>
      <c r="BB507" s="607" t="s">
        <v>67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x14ac:dyDescent="0.2">
      <c r="A508" s="721"/>
      <c r="B508" s="721"/>
      <c r="C508" s="721"/>
      <c r="D508" s="721"/>
      <c r="E508" s="721"/>
      <c r="F508" s="721"/>
      <c r="G508" s="721"/>
      <c r="H508" s="721"/>
      <c r="I508" s="721"/>
      <c r="J508" s="721"/>
      <c r="K508" s="721"/>
      <c r="L508" s="721"/>
      <c r="M508" s="721"/>
      <c r="N508" s="721"/>
      <c r="O508" s="722"/>
      <c r="P508" s="718" t="s">
        <v>40</v>
      </c>
      <c r="Q508" s="719"/>
      <c r="R508" s="719"/>
      <c r="S508" s="719"/>
      <c r="T508" s="719"/>
      <c r="U508" s="719"/>
      <c r="V508" s="72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284.09090909090907</v>
      </c>
      <c r="Y508" s="43">
        <f>IFERROR(Y499/H499,"0")+IFERROR(Y500/H500,"0")+IFERROR(Y501/H501,"0")+IFERROR(Y502/H502,"0")+IFERROR(Y503/H503,"0")+IFERROR(Y504/H504,"0")+IFERROR(Y505/H505,"0")+IFERROR(Y506/H506,"0")+IFERROR(Y507/H507,"0")</f>
        <v>285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3.4086000000000003</v>
      </c>
      <c r="AA508" s="67"/>
      <c r="AB508" s="67"/>
      <c r="AC508" s="67"/>
    </row>
    <row r="509" spans="1:68" x14ac:dyDescent="0.2">
      <c r="A509" s="721"/>
      <c r="B509" s="721"/>
      <c r="C509" s="721"/>
      <c r="D509" s="721"/>
      <c r="E509" s="721"/>
      <c r="F509" s="721"/>
      <c r="G509" s="721"/>
      <c r="H509" s="721"/>
      <c r="I509" s="721"/>
      <c r="J509" s="721"/>
      <c r="K509" s="721"/>
      <c r="L509" s="721"/>
      <c r="M509" s="721"/>
      <c r="N509" s="721"/>
      <c r="O509" s="722"/>
      <c r="P509" s="718" t="s">
        <v>40</v>
      </c>
      <c r="Q509" s="719"/>
      <c r="R509" s="719"/>
      <c r="S509" s="719"/>
      <c r="T509" s="719"/>
      <c r="U509" s="719"/>
      <c r="V509" s="720"/>
      <c r="W509" s="42" t="s">
        <v>0</v>
      </c>
      <c r="X509" s="43">
        <f>IFERROR(SUM(X499:X507),"0")</f>
        <v>1500</v>
      </c>
      <c r="Y509" s="43">
        <f>IFERROR(SUM(Y499:Y507),"0")</f>
        <v>1504.8000000000002</v>
      </c>
      <c r="Z509" s="42"/>
      <c r="AA509" s="67"/>
      <c r="AB509" s="67"/>
      <c r="AC509" s="67"/>
    </row>
    <row r="510" spans="1:68" ht="14.25" customHeight="1" x14ac:dyDescent="0.25">
      <c r="A510" s="712" t="s">
        <v>158</v>
      </c>
      <c r="B510" s="712"/>
      <c r="C510" s="712"/>
      <c r="D510" s="712"/>
      <c r="E510" s="712"/>
      <c r="F510" s="712"/>
      <c r="G510" s="712"/>
      <c r="H510" s="712"/>
      <c r="I510" s="712"/>
      <c r="J510" s="712"/>
      <c r="K510" s="712"/>
      <c r="L510" s="712"/>
      <c r="M510" s="712"/>
      <c r="N510" s="712"/>
      <c r="O510" s="712"/>
      <c r="P510" s="712"/>
      <c r="Q510" s="712"/>
      <c r="R510" s="712"/>
      <c r="S510" s="712"/>
      <c r="T510" s="712"/>
      <c r="U510" s="712"/>
      <c r="V510" s="712"/>
      <c r="W510" s="712"/>
      <c r="X510" s="712"/>
      <c r="Y510" s="712"/>
      <c r="Z510" s="712"/>
      <c r="AA510" s="66"/>
      <c r="AB510" s="66"/>
      <c r="AC510" s="80"/>
    </row>
    <row r="511" spans="1:68" ht="16.5" customHeight="1" x14ac:dyDescent="0.25">
      <c r="A511" s="63" t="s">
        <v>825</v>
      </c>
      <c r="B511" s="63" t="s">
        <v>826</v>
      </c>
      <c r="C511" s="36">
        <v>4301020334</v>
      </c>
      <c r="D511" s="713">
        <v>4607091388930</v>
      </c>
      <c r="E511" s="71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9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5"/>
      <c r="R511" s="715"/>
      <c r="S511" s="715"/>
      <c r="T511" s="716"/>
      <c r="U511" s="39" t="s">
        <v>46</v>
      </c>
      <c r="V511" s="39" t="s">
        <v>46</v>
      </c>
      <c r="W511" s="40" t="s">
        <v>0</v>
      </c>
      <c r="X511" s="58">
        <v>500</v>
      </c>
      <c r="Y511" s="55">
        <f>IFERROR(IF(X511="",0,CEILING((X511/$H511),1)*$H511),"")</f>
        <v>501.6</v>
      </c>
      <c r="Z511" s="41">
        <f>IFERROR(IF(Y511=0,"",ROUNDUP(Y511/H511,0)*0.01196),"")</f>
        <v>1.1362000000000001</v>
      </c>
      <c r="AA511" s="68" t="s">
        <v>46</v>
      </c>
      <c r="AB511" s="69" t="s">
        <v>46</v>
      </c>
      <c r="AC511" s="608" t="s">
        <v>827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533.14393939393938</v>
      </c>
      <c r="BN511" s="78">
        <f>IFERROR(Y511*I511/H511,"0")</f>
        <v>534.85</v>
      </c>
      <c r="BO511" s="78">
        <f>IFERROR(1/J511*(X511/H511),"0")</f>
        <v>0.91054778554778548</v>
      </c>
      <c r="BP511" s="78">
        <f>IFERROR(1/J511*(Y511/H511),"0")</f>
        <v>0.91346153846153855</v>
      </c>
    </row>
    <row r="512" spans="1:68" ht="16.5" customHeight="1" x14ac:dyDescent="0.25">
      <c r="A512" s="63" t="s">
        <v>828</v>
      </c>
      <c r="B512" s="63" t="s">
        <v>829</v>
      </c>
      <c r="C512" s="36">
        <v>4301020374</v>
      </c>
      <c r="D512" s="713">
        <v>4680115886407</v>
      </c>
      <c r="E512" s="713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9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5"/>
      <c r="R512" s="715"/>
      <c r="S512" s="715"/>
      <c r="T512" s="71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827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830</v>
      </c>
      <c r="B513" s="63" t="s">
        <v>831</v>
      </c>
      <c r="C513" s="36">
        <v>4301020385</v>
      </c>
      <c r="D513" s="713">
        <v>4680115880054</v>
      </c>
      <c r="E513" s="713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98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5"/>
      <c r="R513" s="715"/>
      <c r="S513" s="715"/>
      <c r="T513" s="716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827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721"/>
      <c r="B514" s="721"/>
      <c r="C514" s="721"/>
      <c r="D514" s="721"/>
      <c r="E514" s="721"/>
      <c r="F514" s="721"/>
      <c r="G514" s="721"/>
      <c r="H514" s="721"/>
      <c r="I514" s="721"/>
      <c r="J514" s="721"/>
      <c r="K514" s="721"/>
      <c r="L514" s="721"/>
      <c r="M514" s="721"/>
      <c r="N514" s="721"/>
      <c r="O514" s="722"/>
      <c r="P514" s="718" t="s">
        <v>40</v>
      </c>
      <c r="Q514" s="719"/>
      <c r="R514" s="719"/>
      <c r="S514" s="719"/>
      <c r="T514" s="719"/>
      <c r="U514" s="719"/>
      <c r="V514" s="720"/>
      <c r="W514" s="42" t="s">
        <v>39</v>
      </c>
      <c r="X514" s="43">
        <f>IFERROR(X511/H511,"0")+IFERROR(X512/H512,"0")+IFERROR(X513/H513,"0")</f>
        <v>94.696969696969688</v>
      </c>
      <c r="Y514" s="43">
        <f>IFERROR(Y511/H511,"0")+IFERROR(Y512/H512,"0")+IFERROR(Y513/H513,"0")</f>
        <v>95</v>
      </c>
      <c r="Z514" s="43">
        <f>IFERROR(IF(Z511="",0,Z511),"0")+IFERROR(IF(Z512="",0,Z512),"0")+IFERROR(IF(Z513="",0,Z513),"0")</f>
        <v>1.1362000000000001</v>
      </c>
      <c r="AA514" s="67"/>
      <c r="AB514" s="67"/>
      <c r="AC514" s="67"/>
    </row>
    <row r="515" spans="1:68" x14ac:dyDescent="0.2">
      <c r="A515" s="721"/>
      <c r="B515" s="721"/>
      <c r="C515" s="721"/>
      <c r="D515" s="721"/>
      <c r="E515" s="721"/>
      <c r="F515" s="721"/>
      <c r="G515" s="721"/>
      <c r="H515" s="721"/>
      <c r="I515" s="721"/>
      <c r="J515" s="721"/>
      <c r="K515" s="721"/>
      <c r="L515" s="721"/>
      <c r="M515" s="721"/>
      <c r="N515" s="721"/>
      <c r="O515" s="722"/>
      <c r="P515" s="718" t="s">
        <v>40</v>
      </c>
      <c r="Q515" s="719"/>
      <c r="R515" s="719"/>
      <c r="S515" s="719"/>
      <c r="T515" s="719"/>
      <c r="U515" s="719"/>
      <c r="V515" s="720"/>
      <c r="W515" s="42" t="s">
        <v>0</v>
      </c>
      <c r="X515" s="43">
        <f>IFERROR(SUM(X511:X513),"0")</f>
        <v>500</v>
      </c>
      <c r="Y515" s="43">
        <f>IFERROR(SUM(Y511:Y513),"0")</f>
        <v>501.6</v>
      </c>
      <c r="Z515" s="42"/>
      <c r="AA515" s="67"/>
      <c r="AB515" s="67"/>
      <c r="AC515" s="67"/>
    </row>
    <row r="516" spans="1:68" ht="14.25" customHeight="1" x14ac:dyDescent="0.25">
      <c r="A516" s="712" t="s">
        <v>77</v>
      </c>
      <c r="B516" s="712"/>
      <c r="C516" s="712"/>
      <c r="D516" s="712"/>
      <c r="E516" s="712"/>
      <c r="F516" s="712"/>
      <c r="G516" s="712"/>
      <c r="H516" s="712"/>
      <c r="I516" s="712"/>
      <c r="J516" s="712"/>
      <c r="K516" s="712"/>
      <c r="L516" s="712"/>
      <c r="M516" s="712"/>
      <c r="N516" s="712"/>
      <c r="O516" s="712"/>
      <c r="P516" s="712"/>
      <c r="Q516" s="712"/>
      <c r="R516" s="712"/>
      <c r="S516" s="712"/>
      <c r="T516" s="712"/>
      <c r="U516" s="712"/>
      <c r="V516" s="712"/>
      <c r="W516" s="712"/>
      <c r="X516" s="712"/>
      <c r="Y516" s="712"/>
      <c r="Z516" s="712"/>
      <c r="AA516" s="66"/>
      <c r="AB516" s="66"/>
      <c r="AC516" s="80"/>
    </row>
    <row r="517" spans="1:68" ht="27" customHeight="1" x14ac:dyDescent="0.25">
      <c r="A517" s="63" t="s">
        <v>832</v>
      </c>
      <c r="B517" s="63" t="s">
        <v>833</v>
      </c>
      <c r="C517" s="36">
        <v>4301031349</v>
      </c>
      <c r="D517" s="713">
        <v>4680115883116</v>
      </c>
      <c r="E517" s="71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98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5"/>
      <c r="R517" s="715"/>
      <c r="S517" s="715"/>
      <c r="T517" s="71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69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834</v>
      </c>
      <c r="AG517" s="78"/>
      <c r="AJ517" s="84" t="s">
        <v>46</v>
      </c>
      <c r="AK517" s="84">
        <v>0</v>
      </c>
      <c r="BB517" s="615" t="s">
        <v>67</v>
      </c>
      <c r="BM517" s="78">
        <f t="shared" ref="BM517:BM523" si="70">IFERROR(X517*I517/H517,"0")</f>
        <v>0</v>
      </c>
      <c r="BN517" s="78">
        <f t="shared" ref="BN517:BN523" si="71">IFERROR(Y517*I517/H517,"0")</f>
        <v>0</v>
      </c>
      <c r="BO517" s="78">
        <f t="shared" ref="BO517:BO523" si="72">IFERROR(1/J517*(X517/H517),"0")</f>
        <v>0</v>
      </c>
      <c r="BP517" s="78">
        <f t="shared" ref="BP517:BP523" si="73">IFERROR(1/J517*(Y517/H517),"0")</f>
        <v>0</v>
      </c>
    </row>
    <row r="518" spans="1:68" ht="27" customHeight="1" x14ac:dyDescent="0.25">
      <c r="A518" s="63" t="s">
        <v>835</v>
      </c>
      <c r="B518" s="63" t="s">
        <v>836</v>
      </c>
      <c r="C518" s="36">
        <v>4301031350</v>
      </c>
      <c r="D518" s="713">
        <v>4680115883093</v>
      </c>
      <c r="E518" s="71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5"/>
      <c r="R518" s="715"/>
      <c r="S518" s="715"/>
      <c r="T518" s="716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9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si="70"/>
        <v>0</v>
      </c>
      <c r="BN518" s="78">
        <f t="shared" si="71"/>
        <v>0</v>
      </c>
      <c r="BO518" s="78">
        <f t="shared" si="72"/>
        <v>0</v>
      </c>
      <c r="BP518" s="78">
        <f t="shared" si="73"/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4301031353</v>
      </c>
      <c r="D519" s="713">
        <v>4680115883109</v>
      </c>
      <c r="E519" s="713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5"/>
      <c r="R519" s="715"/>
      <c r="S519" s="715"/>
      <c r="T519" s="71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9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0"/>
        <v>0</v>
      </c>
      <c r="BN519" s="78">
        <f t="shared" si="71"/>
        <v>0</v>
      </c>
      <c r="BO519" s="78">
        <f t="shared" si="72"/>
        <v>0</v>
      </c>
      <c r="BP519" s="78">
        <f t="shared" si="73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4301031419</v>
      </c>
      <c r="D520" s="713">
        <v>4680115882072</v>
      </c>
      <c r="E520" s="713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9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5"/>
      <c r="R520" s="715"/>
      <c r="S520" s="715"/>
      <c r="T520" s="71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834</v>
      </c>
      <c r="AG520" s="78"/>
      <c r="AJ520" s="84" t="s">
        <v>46</v>
      </c>
      <c r="AK520" s="84">
        <v>0</v>
      </c>
      <c r="BB520" s="621" t="s">
        <v>67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customHeight="1" x14ac:dyDescent="0.25">
      <c r="A521" s="63" t="s">
        <v>843</v>
      </c>
      <c r="B521" s="63" t="s">
        <v>844</v>
      </c>
      <c r="C521" s="36">
        <v>4301031352</v>
      </c>
      <c r="D521" s="713">
        <v>4680115882102</v>
      </c>
      <c r="E521" s="713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98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5"/>
      <c r="R521" s="715"/>
      <c r="S521" s="715"/>
      <c r="T521" s="71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customHeight="1" x14ac:dyDescent="0.25">
      <c r="A522" s="63" t="s">
        <v>843</v>
      </c>
      <c r="B522" s="63" t="s">
        <v>845</v>
      </c>
      <c r="C522" s="36">
        <v>4301031418</v>
      </c>
      <c r="D522" s="713">
        <v>4680115882102</v>
      </c>
      <c r="E522" s="71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5"/>
      <c r="R522" s="715"/>
      <c r="S522" s="715"/>
      <c r="T522" s="71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837</v>
      </c>
      <c r="AG522" s="78"/>
      <c r="AJ522" s="84" t="s">
        <v>46</v>
      </c>
      <c r="AK522" s="84">
        <v>0</v>
      </c>
      <c r="BB522" s="625" t="s">
        <v>67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customHeight="1" x14ac:dyDescent="0.25">
      <c r="A523" s="63" t="s">
        <v>846</v>
      </c>
      <c r="B523" s="63" t="s">
        <v>847</v>
      </c>
      <c r="C523" s="36">
        <v>4301031417</v>
      </c>
      <c r="D523" s="713">
        <v>4680115882096</v>
      </c>
      <c r="E523" s="713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5"/>
      <c r="R523" s="715"/>
      <c r="S523" s="715"/>
      <c r="T523" s="71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x14ac:dyDescent="0.2">
      <c r="A524" s="721"/>
      <c r="B524" s="721"/>
      <c r="C524" s="721"/>
      <c r="D524" s="721"/>
      <c r="E524" s="721"/>
      <c r="F524" s="721"/>
      <c r="G524" s="721"/>
      <c r="H524" s="721"/>
      <c r="I524" s="721"/>
      <c r="J524" s="721"/>
      <c r="K524" s="721"/>
      <c r="L524" s="721"/>
      <c r="M524" s="721"/>
      <c r="N524" s="721"/>
      <c r="O524" s="722"/>
      <c r="P524" s="718" t="s">
        <v>40</v>
      </c>
      <c r="Q524" s="719"/>
      <c r="R524" s="719"/>
      <c r="S524" s="719"/>
      <c r="T524" s="719"/>
      <c r="U524" s="719"/>
      <c r="V524" s="720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x14ac:dyDescent="0.2">
      <c r="A525" s="721"/>
      <c r="B525" s="721"/>
      <c r="C525" s="721"/>
      <c r="D525" s="721"/>
      <c r="E525" s="721"/>
      <c r="F525" s="721"/>
      <c r="G525" s="721"/>
      <c r="H525" s="721"/>
      <c r="I525" s="721"/>
      <c r="J525" s="721"/>
      <c r="K525" s="721"/>
      <c r="L525" s="721"/>
      <c r="M525" s="721"/>
      <c r="N525" s="721"/>
      <c r="O525" s="722"/>
      <c r="P525" s="718" t="s">
        <v>40</v>
      </c>
      <c r="Q525" s="719"/>
      <c r="R525" s="719"/>
      <c r="S525" s="719"/>
      <c r="T525" s="719"/>
      <c r="U525" s="719"/>
      <c r="V525" s="720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customHeight="1" x14ac:dyDescent="0.2">
      <c r="A526" s="710" t="s">
        <v>848</v>
      </c>
      <c r="B526" s="710"/>
      <c r="C526" s="710"/>
      <c r="D526" s="710"/>
      <c r="E526" s="710"/>
      <c r="F526" s="710"/>
      <c r="G526" s="710"/>
      <c r="H526" s="710"/>
      <c r="I526" s="710"/>
      <c r="J526" s="710"/>
      <c r="K526" s="710"/>
      <c r="L526" s="710"/>
      <c r="M526" s="710"/>
      <c r="N526" s="710"/>
      <c r="O526" s="710"/>
      <c r="P526" s="710"/>
      <c r="Q526" s="710"/>
      <c r="R526" s="710"/>
      <c r="S526" s="710"/>
      <c r="T526" s="710"/>
      <c r="U526" s="710"/>
      <c r="V526" s="710"/>
      <c r="W526" s="710"/>
      <c r="X526" s="710"/>
      <c r="Y526" s="710"/>
      <c r="Z526" s="710"/>
      <c r="AA526" s="54"/>
      <c r="AB526" s="54"/>
      <c r="AC526" s="54"/>
    </row>
    <row r="527" spans="1:68" ht="16.5" customHeight="1" x14ac:dyDescent="0.25">
      <c r="A527" s="711" t="s">
        <v>848</v>
      </c>
      <c r="B527" s="711"/>
      <c r="C527" s="711"/>
      <c r="D527" s="711"/>
      <c r="E527" s="711"/>
      <c r="F527" s="711"/>
      <c r="G527" s="711"/>
      <c r="H527" s="711"/>
      <c r="I527" s="711"/>
      <c r="J527" s="711"/>
      <c r="K527" s="711"/>
      <c r="L527" s="711"/>
      <c r="M527" s="711"/>
      <c r="N527" s="711"/>
      <c r="O527" s="711"/>
      <c r="P527" s="711"/>
      <c r="Q527" s="711"/>
      <c r="R527" s="711"/>
      <c r="S527" s="711"/>
      <c r="T527" s="711"/>
      <c r="U527" s="711"/>
      <c r="V527" s="711"/>
      <c r="W527" s="711"/>
      <c r="X527" s="711"/>
      <c r="Y527" s="711"/>
      <c r="Z527" s="711"/>
      <c r="AA527" s="65"/>
      <c r="AB527" s="65"/>
      <c r="AC527" s="79"/>
    </row>
    <row r="528" spans="1:68" ht="14.25" customHeight="1" x14ac:dyDescent="0.25">
      <c r="A528" s="712" t="s">
        <v>122</v>
      </c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2"/>
      <c r="P528" s="712"/>
      <c r="Q528" s="712"/>
      <c r="R528" s="712"/>
      <c r="S528" s="712"/>
      <c r="T528" s="712"/>
      <c r="U528" s="712"/>
      <c r="V528" s="712"/>
      <c r="W528" s="712"/>
      <c r="X528" s="712"/>
      <c r="Y528" s="712"/>
      <c r="Z528" s="712"/>
      <c r="AA528" s="66"/>
      <c r="AB528" s="66"/>
      <c r="AC528" s="80"/>
    </row>
    <row r="529" spans="1:68" ht="27" customHeight="1" x14ac:dyDescent="0.25">
      <c r="A529" s="63" t="s">
        <v>849</v>
      </c>
      <c r="B529" s="63" t="s">
        <v>850</v>
      </c>
      <c r="C529" s="36">
        <v>4301011584</v>
      </c>
      <c r="D529" s="713">
        <v>4640242180564</v>
      </c>
      <c r="E529" s="713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99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5"/>
      <c r="R529" s="715"/>
      <c r="S529" s="715"/>
      <c r="T529" s="716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851</v>
      </c>
      <c r="AG529" s="78"/>
      <c r="AJ529" s="84" t="s">
        <v>46</v>
      </c>
      <c r="AK529" s="84">
        <v>0</v>
      </c>
      <c r="BB529" s="62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721"/>
      <c r="B530" s="721"/>
      <c r="C530" s="721"/>
      <c r="D530" s="721"/>
      <c r="E530" s="721"/>
      <c r="F530" s="721"/>
      <c r="G530" s="721"/>
      <c r="H530" s="721"/>
      <c r="I530" s="721"/>
      <c r="J530" s="721"/>
      <c r="K530" s="721"/>
      <c r="L530" s="721"/>
      <c r="M530" s="721"/>
      <c r="N530" s="721"/>
      <c r="O530" s="722"/>
      <c r="P530" s="718" t="s">
        <v>40</v>
      </c>
      <c r="Q530" s="719"/>
      <c r="R530" s="719"/>
      <c r="S530" s="719"/>
      <c r="T530" s="719"/>
      <c r="U530" s="719"/>
      <c r="V530" s="72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721"/>
      <c r="B531" s="721"/>
      <c r="C531" s="721"/>
      <c r="D531" s="721"/>
      <c r="E531" s="721"/>
      <c r="F531" s="721"/>
      <c r="G531" s="721"/>
      <c r="H531" s="721"/>
      <c r="I531" s="721"/>
      <c r="J531" s="721"/>
      <c r="K531" s="721"/>
      <c r="L531" s="721"/>
      <c r="M531" s="721"/>
      <c r="N531" s="721"/>
      <c r="O531" s="722"/>
      <c r="P531" s="718" t="s">
        <v>40</v>
      </c>
      <c r="Q531" s="719"/>
      <c r="R531" s="719"/>
      <c r="S531" s="719"/>
      <c r="T531" s="719"/>
      <c r="U531" s="719"/>
      <c r="V531" s="72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712" t="s">
        <v>158</v>
      </c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2"/>
      <c r="P532" s="712"/>
      <c r="Q532" s="712"/>
      <c r="R532" s="712"/>
      <c r="S532" s="712"/>
      <c r="T532" s="712"/>
      <c r="U532" s="712"/>
      <c r="V532" s="712"/>
      <c r="W532" s="712"/>
      <c r="X532" s="712"/>
      <c r="Y532" s="712"/>
      <c r="Z532" s="712"/>
      <c r="AA532" s="66"/>
      <c r="AB532" s="66"/>
      <c r="AC532" s="80"/>
    </row>
    <row r="533" spans="1:68" ht="27" customHeight="1" x14ac:dyDescent="0.25">
      <c r="A533" s="63" t="s">
        <v>852</v>
      </c>
      <c r="B533" s="63" t="s">
        <v>853</v>
      </c>
      <c r="C533" s="36">
        <v>4301020400</v>
      </c>
      <c r="D533" s="713">
        <v>4640242180519</v>
      </c>
      <c r="E533" s="713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9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5"/>
      <c r="R533" s="715"/>
      <c r="S533" s="715"/>
      <c r="T533" s="716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854</v>
      </c>
      <c r="AG533" s="78"/>
      <c r="AJ533" s="84" t="s">
        <v>46</v>
      </c>
      <c r="AK533" s="84">
        <v>0</v>
      </c>
      <c r="BB533" s="63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721"/>
      <c r="B534" s="721"/>
      <c r="C534" s="721"/>
      <c r="D534" s="721"/>
      <c r="E534" s="721"/>
      <c r="F534" s="721"/>
      <c r="G534" s="721"/>
      <c r="H534" s="721"/>
      <c r="I534" s="721"/>
      <c r="J534" s="721"/>
      <c r="K534" s="721"/>
      <c r="L534" s="721"/>
      <c r="M534" s="721"/>
      <c r="N534" s="721"/>
      <c r="O534" s="722"/>
      <c r="P534" s="718" t="s">
        <v>40</v>
      </c>
      <c r="Q534" s="719"/>
      <c r="R534" s="719"/>
      <c r="S534" s="719"/>
      <c r="T534" s="719"/>
      <c r="U534" s="719"/>
      <c r="V534" s="72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721"/>
      <c r="B535" s="721"/>
      <c r="C535" s="721"/>
      <c r="D535" s="721"/>
      <c r="E535" s="721"/>
      <c r="F535" s="721"/>
      <c r="G535" s="721"/>
      <c r="H535" s="721"/>
      <c r="I535" s="721"/>
      <c r="J535" s="721"/>
      <c r="K535" s="721"/>
      <c r="L535" s="721"/>
      <c r="M535" s="721"/>
      <c r="N535" s="721"/>
      <c r="O535" s="722"/>
      <c r="P535" s="718" t="s">
        <v>40</v>
      </c>
      <c r="Q535" s="719"/>
      <c r="R535" s="719"/>
      <c r="S535" s="719"/>
      <c r="T535" s="719"/>
      <c r="U535" s="719"/>
      <c r="V535" s="72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712" t="s">
        <v>77</v>
      </c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2"/>
      <c r="P536" s="712"/>
      <c r="Q536" s="712"/>
      <c r="R536" s="712"/>
      <c r="S536" s="712"/>
      <c r="T536" s="712"/>
      <c r="U536" s="712"/>
      <c r="V536" s="712"/>
      <c r="W536" s="712"/>
      <c r="X536" s="712"/>
      <c r="Y536" s="712"/>
      <c r="Z536" s="712"/>
      <c r="AA536" s="66"/>
      <c r="AB536" s="66"/>
      <c r="AC536" s="80"/>
    </row>
    <row r="537" spans="1:68" ht="27" customHeight="1" x14ac:dyDescent="0.25">
      <c r="A537" s="63" t="s">
        <v>855</v>
      </c>
      <c r="B537" s="63" t="s">
        <v>856</v>
      </c>
      <c r="C537" s="36">
        <v>4301031500</v>
      </c>
      <c r="D537" s="713">
        <v>4640242180595</v>
      </c>
      <c r="E537" s="713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99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5"/>
      <c r="R537" s="715"/>
      <c r="S537" s="715"/>
      <c r="T537" s="716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857</v>
      </c>
      <c r="AG537" s="78"/>
      <c r="AJ537" s="84" t="s">
        <v>46</v>
      </c>
      <c r="AK537" s="84">
        <v>0</v>
      </c>
      <c r="BB537" s="633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721"/>
      <c r="B538" s="721"/>
      <c r="C538" s="721"/>
      <c r="D538" s="721"/>
      <c r="E538" s="721"/>
      <c r="F538" s="721"/>
      <c r="G538" s="721"/>
      <c r="H538" s="721"/>
      <c r="I538" s="721"/>
      <c r="J538" s="721"/>
      <c r="K538" s="721"/>
      <c r="L538" s="721"/>
      <c r="M538" s="721"/>
      <c r="N538" s="721"/>
      <c r="O538" s="722"/>
      <c r="P538" s="718" t="s">
        <v>40</v>
      </c>
      <c r="Q538" s="719"/>
      <c r="R538" s="719"/>
      <c r="S538" s="719"/>
      <c r="T538" s="719"/>
      <c r="U538" s="719"/>
      <c r="V538" s="720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721"/>
      <c r="B539" s="721"/>
      <c r="C539" s="721"/>
      <c r="D539" s="721"/>
      <c r="E539" s="721"/>
      <c r="F539" s="721"/>
      <c r="G539" s="721"/>
      <c r="H539" s="721"/>
      <c r="I539" s="721"/>
      <c r="J539" s="721"/>
      <c r="K539" s="721"/>
      <c r="L539" s="721"/>
      <c r="M539" s="721"/>
      <c r="N539" s="721"/>
      <c r="O539" s="722"/>
      <c r="P539" s="718" t="s">
        <v>40</v>
      </c>
      <c r="Q539" s="719"/>
      <c r="R539" s="719"/>
      <c r="S539" s="719"/>
      <c r="T539" s="719"/>
      <c r="U539" s="719"/>
      <c r="V539" s="720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712" t="s">
        <v>86</v>
      </c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2"/>
      <c r="P540" s="712"/>
      <c r="Q540" s="712"/>
      <c r="R540" s="712"/>
      <c r="S540" s="712"/>
      <c r="T540" s="712"/>
      <c r="U540" s="712"/>
      <c r="V540" s="712"/>
      <c r="W540" s="712"/>
      <c r="X540" s="712"/>
      <c r="Y540" s="712"/>
      <c r="Z540" s="712"/>
      <c r="AA540" s="66"/>
      <c r="AB540" s="66"/>
      <c r="AC540" s="80"/>
    </row>
    <row r="541" spans="1:68" ht="27" customHeight="1" x14ac:dyDescent="0.25">
      <c r="A541" s="63" t="s">
        <v>858</v>
      </c>
      <c r="B541" s="63" t="s">
        <v>859</v>
      </c>
      <c r="C541" s="36">
        <v>4301052043</v>
      </c>
      <c r="D541" s="713">
        <v>4640242180533</v>
      </c>
      <c r="E541" s="713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9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5"/>
      <c r="R541" s="715"/>
      <c r="S541" s="715"/>
      <c r="T541" s="716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860</v>
      </c>
      <c r="AG541" s="78"/>
      <c r="AJ541" s="84" t="s">
        <v>46</v>
      </c>
      <c r="AK541" s="84">
        <v>0</v>
      </c>
      <c r="BB541" s="635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x14ac:dyDescent="0.2">
      <c r="A542" s="721"/>
      <c r="B542" s="721"/>
      <c r="C542" s="721"/>
      <c r="D542" s="721"/>
      <c r="E542" s="721"/>
      <c r="F542" s="721"/>
      <c r="G542" s="721"/>
      <c r="H542" s="721"/>
      <c r="I542" s="721"/>
      <c r="J542" s="721"/>
      <c r="K542" s="721"/>
      <c r="L542" s="721"/>
      <c r="M542" s="721"/>
      <c r="N542" s="721"/>
      <c r="O542" s="722"/>
      <c r="P542" s="718" t="s">
        <v>40</v>
      </c>
      <c r="Q542" s="719"/>
      <c r="R542" s="719"/>
      <c r="S542" s="719"/>
      <c r="T542" s="719"/>
      <c r="U542" s="719"/>
      <c r="V542" s="72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x14ac:dyDescent="0.2">
      <c r="A543" s="721"/>
      <c r="B543" s="721"/>
      <c r="C543" s="721"/>
      <c r="D543" s="721"/>
      <c r="E543" s="721"/>
      <c r="F543" s="721"/>
      <c r="G543" s="721"/>
      <c r="H543" s="721"/>
      <c r="I543" s="721"/>
      <c r="J543" s="721"/>
      <c r="K543" s="721"/>
      <c r="L543" s="721"/>
      <c r="M543" s="721"/>
      <c r="N543" s="721"/>
      <c r="O543" s="722"/>
      <c r="P543" s="718" t="s">
        <v>40</v>
      </c>
      <c r="Q543" s="719"/>
      <c r="R543" s="719"/>
      <c r="S543" s="719"/>
      <c r="T543" s="719"/>
      <c r="U543" s="719"/>
      <c r="V543" s="72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customHeight="1" x14ac:dyDescent="0.25">
      <c r="A544" s="712" t="s">
        <v>175</v>
      </c>
      <c r="B544" s="712"/>
      <c r="C544" s="712"/>
      <c r="D544" s="712"/>
      <c r="E544" s="712"/>
      <c r="F544" s="712"/>
      <c r="G544" s="712"/>
      <c r="H544" s="712"/>
      <c r="I544" s="712"/>
      <c r="J544" s="712"/>
      <c r="K544" s="712"/>
      <c r="L544" s="712"/>
      <c r="M544" s="712"/>
      <c r="N544" s="712"/>
      <c r="O544" s="712"/>
      <c r="P544" s="712"/>
      <c r="Q544" s="712"/>
      <c r="R544" s="712"/>
      <c r="S544" s="712"/>
      <c r="T544" s="712"/>
      <c r="U544" s="712"/>
      <c r="V544" s="712"/>
      <c r="W544" s="712"/>
      <c r="X544" s="712"/>
      <c r="Y544" s="712"/>
      <c r="Z544" s="712"/>
      <c r="AA544" s="66"/>
      <c r="AB544" s="66"/>
      <c r="AC544" s="80"/>
    </row>
    <row r="545" spans="1:68" ht="27" customHeight="1" x14ac:dyDescent="0.25">
      <c r="A545" s="63" t="s">
        <v>861</v>
      </c>
      <c r="B545" s="63" t="s">
        <v>862</v>
      </c>
      <c r="C545" s="36">
        <v>4301060535</v>
      </c>
      <c r="D545" s="713">
        <v>4640242180120</v>
      </c>
      <c r="E545" s="71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99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5"/>
      <c r="R545" s="715"/>
      <c r="S545" s="715"/>
      <c r="T545" s="71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863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customHeight="1" x14ac:dyDescent="0.25">
      <c r="A546" s="63" t="s">
        <v>864</v>
      </c>
      <c r="B546" s="63" t="s">
        <v>865</v>
      </c>
      <c r="C546" s="36">
        <v>4301060536</v>
      </c>
      <c r="D546" s="713">
        <v>4640242180137</v>
      </c>
      <c r="E546" s="713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5"/>
      <c r="R546" s="715"/>
      <c r="S546" s="715"/>
      <c r="T546" s="716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">
      <c r="A547" s="721"/>
      <c r="B547" s="721"/>
      <c r="C547" s="721"/>
      <c r="D547" s="721"/>
      <c r="E547" s="721"/>
      <c r="F547" s="721"/>
      <c r="G547" s="721"/>
      <c r="H547" s="721"/>
      <c r="I547" s="721"/>
      <c r="J547" s="721"/>
      <c r="K547" s="721"/>
      <c r="L547" s="721"/>
      <c r="M547" s="721"/>
      <c r="N547" s="721"/>
      <c r="O547" s="722"/>
      <c r="P547" s="718" t="s">
        <v>40</v>
      </c>
      <c r="Q547" s="719"/>
      <c r="R547" s="719"/>
      <c r="S547" s="719"/>
      <c r="T547" s="719"/>
      <c r="U547" s="719"/>
      <c r="V547" s="72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x14ac:dyDescent="0.2">
      <c r="A548" s="721"/>
      <c r="B548" s="721"/>
      <c r="C548" s="721"/>
      <c r="D548" s="721"/>
      <c r="E548" s="721"/>
      <c r="F548" s="721"/>
      <c r="G548" s="721"/>
      <c r="H548" s="721"/>
      <c r="I548" s="721"/>
      <c r="J548" s="721"/>
      <c r="K548" s="721"/>
      <c r="L548" s="721"/>
      <c r="M548" s="721"/>
      <c r="N548" s="721"/>
      <c r="O548" s="722"/>
      <c r="P548" s="718" t="s">
        <v>40</v>
      </c>
      <c r="Q548" s="719"/>
      <c r="R548" s="719"/>
      <c r="S548" s="719"/>
      <c r="T548" s="719"/>
      <c r="U548" s="719"/>
      <c r="V548" s="72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customHeight="1" x14ac:dyDescent="0.25">
      <c r="A549" s="711" t="s">
        <v>867</v>
      </c>
      <c r="B549" s="711"/>
      <c r="C549" s="711"/>
      <c r="D549" s="711"/>
      <c r="E549" s="711"/>
      <c r="F549" s="711"/>
      <c r="G549" s="711"/>
      <c r="H549" s="711"/>
      <c r="I549" s="711"/>
      <c r="J549" s="711"/>
      <c r="K549" s="711"/>
      <c r="L549" s="711"/>
      <c r="M549" s="711"/>
      <c r="N549" s="711"/>
      <c r="O549" s="711"/>
      <c r="P549" s="711"/>
      <c r="Q549" s="711"/>
      <c r="R549" s="711"/>
      <c r="S549" s="711"/>
      <c r="T549" s="711"/>
      <c r="U549" s="711"/>
      <c r="V549" s="711"/>
      <c r="W549" s="711"/>
      <c r="X549" s="711"/>
      <c r="Y549" s="711"/>
      <c r="Z549" s="711"/>
      <c r="AA549" s="65"/>
      <c r="AB549" s="65"/>
      <c r="AC549" s="79"/>
    </row>
    <row r="550" spans="1:68" ht="14.25" customHeight="1" x14ac:dyDescent="0.25">
      <c r="A550" s="712" t="s">
        <v>158</v>
      </c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2"/>
      <c r="P550" s="712"/>
      <c r="Q550" s="712"/>
      <c r="R550" s="712"/>
      <c r="S550" s="712"/>
      <c r="T550" s="712"/>
      <c r="U550" s="712"/>
      <c r="V550" s="712"/>
      <c r="W550" s="712"/>
      <c r="X550" s="712"/>
      <c r="Y550" s="712"/>
      <c r="Z550" s="712"/>
      <c r="AA550" s="66"/>
      <c r="AB550" s="66"/>
      <c r="AC550" s="80"/>
    </row>
    <row r="551" spans="1:68" ht="27" customHeight="1" x14ac:dyDescent="0.25">
      <c r="A551" s="63" t="s">
        <v>868</v>
      </c>
      <c r="B551" s="63" t="s">
        <v>869</v>
      </c>
      <c r="C551" s="36">
        <v>4301020428</v>
      </c>
      <c r="D551" s="713">
        <v>4640242180090</v>
      </c>
      <c r="E551" s="713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99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715"/>
      <c r="R551" s="715"/>
      <c r="S551" s="715"/>
      <c r="T551" s="71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870</v>
      </c>
      <c r="AG551" s="78"/>
      <c r="AJ551" s="84" t="s">
        <v>46</v>
      </c>
      <c r="AK551" s="84">
        <v>0</v>
      </c>
      <c r="BB551" s="641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721"/>
      <c r="B552" s="721"/>
      <c r="C552" s="721"/>
      <c r="D552" s="721"/>
      <c r="E552" s="721"/>
      <c r="F552" s="721"/>
      <c r="G552" s="721"/>
      <c r="H552" s="721"/>
      <c r="I552" s="721"/>
      <c r="J552" s="721"/>
      <c r="K552" s="721"/>
      <c r="L552" s="721"/>
      <c r="M552" s="721"/>
      <c r="N552" s="721"/>
      <c r="O552" s="722"/>
      <c r="P552" s="718" t="s">
        <v>40</v>
      </c>
      <c r="Q552" s="719"/>
      <c r="R552" s="719"/>
      <c r="S552" s="719"/>
      <c r="T552" s="719"/>
      <c r="U552" s="719"/>
      <c r="V552" s="72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721"/>
      <c r="B553" s="721"/>
      <c r="C553" s="721"/>
      <c r="D553" s="721"/>
      <c r="E553" s="721"/>
      <c r="F553" s="721"/>
      <c r="G553" s="721"/>
      <c r="H553" s="721"/>
      <c r="I553" s="721"/>
      <c r="J553" s="721"/>
      <c r="K553" s="721"/>
      <c r="L553" s="721"/>
      <c r="M553" s="721"/>
      <c r="N553" s="721"/>
      <c r="O553" s="722"/>
      <c r="P553" s="718" t="s">
        <v>40</v>
      </c>
      <c r="Q553" s="719"/>
      <c r="R553" s="719"/>
      <c r="S553" s="719"/>
      <c r="T553" s="719"/>
      <c r="U553" s="719"/>
      <c r="V553" s="72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721"/>
      <c r="B554" s="721"/>
      <c r="C554" s="721"/>
      <c r="D554" s="721"/>
      <c r="E554" s="721"/>
      <c r="F554" s="721"/>
      <c r="G554" s="721"/>
      <c r="H554" s="721"/>
      <c r="I554" s="721"/>
      <c r="J554" s="721"/>
      <c r="K554" s="721"/>
      <c r="L554" s="721"/>
      <c r="M554" s="721"/>
      <c r="N554" s="721"/>
      <c r="O554" s="1002"/>
      <c r="P554" s="999" t="s">
        <v>33</v>
      </c>
      <c r="Q554" s="1000"/>
      <c r="R554" s="1000"/>
      <c r="S554" s="1000"/>
      <c r="T554" s="1000"/>
      <c r="U554" s="1000"/>
      <c r="V554" s="1001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9100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9153.0000000000018</v>
      </c>
      <c r="Z554" s="42"/>
      <c r="AA554" s="67"/>
      <c r="AB554" s="67"/>
      <c r="AC554" s="67"/>
    </row>
    <row r="555" spans="1:68" x14ac:dyDescent="0.2">
      <c r="A555" s="721"/>
      <c r="B555" s="721"/>
      <c r="C555" s="721"/>
      <c r="D555" s="721"/>
      <c r="E555" s="721"/>
      <c r="F555" s="721"/>
      <c r="G555" s="721"/>
      <c r="H555" s="721"/>
      <c r="I555" s="721"/>
      <c r="J555" s="721"/>
      <c r="K555" s="721"/>
      <c r="L555" s="721"/>
      <c r="M555" s="721"/>
      <c r="N555" s="721"/>
      <c r="O555" s="1002"/>
      <c r="P555" s="999" t="s">
        <v>34</v>
      </c>
      <c r="Q555" s="1000"/>
      <c r="R555" s="1000"/>
      <c r="S555" s="1000"/>
      <c r="T555" s="1000"/>
      <c r="U555" s="1000"/>
      <c r="V555" s="1001"/>
      <c r="W555" s="42" t="s">
        <v>0</v>
      </c>
      <c r="X555" s="43">
        <f>IFERROR(SUM(BM22:BM551),"0")</f>
        <v>9488.2831649831642</v>
      </c>
      <c r="Y555" s="43">
        <f>IFERROR(SUM(BN22:BN551),"0")</f>
        <v>9543.5520000000015</v>
      </c>
      <c r="Z555" s="42"/>
      <c r="AA555" s="67"/>
      <c r="AB555" s="67"/>
      <c r="AC555" s="67"/>
    </row>
    <row r="556" spans="1:68" x14ac:dyDescent="0.2">
      <c r="A556" s="721"/>
      <c r="B556" s="721"/>
      <c r="C556" s="721"/>
      <c r="D556" s="721"/>
      <c r="E556" s="721"/>
      <c r="F556" s="721"/>
      <c r="G556" s="721"/>
      <c r="H556" s="721"/>
      <c r="I556" s="721"/>
      <c r="J556" s="721"/>
      <c r="K556" s="721"/>
      <c r="L556" s="721"/>
      <c r="M556" s="721"/>
      <c r="N556" s="721"/>
      <c r="O556" s="1002"/>
      <c r="P556" s="999" t="s">
        <v>35</v>
      </c>
      <c r="Q556" s="1000"/>
      <c r="R556" s="1000"/>
      <c r="S556" s="1000"/>
      <c r="T556" s="1000"/>
      <c r="U556" s="1000"/>
      <c r="V556" s="1001"/>
      <c r="W556" s="42" t="s">
        <v>20</v>
      </c>
      <c r="X556" s="44">
        <f>ROUNDUP(SUM(BO22:BO551),0)</f>
        <v>14</v>
      </c>
      <c r="Y556" s="44">
        <f>ROUNDUP(SUM(BP22:BP551),0)</f>
        <v>15</v>
      </c>
      <c r="Z556" s="42"/>
      <c r="AA556" s="67"/>
      <c r="AB556" s="67"/>
      <c r="AC556" s="67"/>
    </row>
    <row r="557" spans="1:68" x14ac:dyDescent="0.2">
      <c r="A557" s="721"/>
      <c r="B557" s="721"/>
      <c r="C557" s="721"/>
      <c r="D557" s="721"/>
      <c r="E557" s="721"/>
      <c r="F557" s="721"/>
      <c r="G557" s="721"/>
      <c r="H557" s="721"/>
      <c r="I557" s="721"/>
      <c r="J557" s="721"/>
      <c r="K557" s="721"/>
      <c r="L557" s="721"/>
      <c r="M557" s="721"/>
      <c r="N557" s="721"/>
      <c r="O557" s="1002"/>
      <c r="P557" s="999" t="s">
        <v>36</v>
      </c>
      <c r="Q557" s="1000"/>
      <c r="R557" s="1000"/>
      <c r="S557" s="1000"/>
      <c r="T557" s="1000"/>
      <c r="U557" s="1000"/>
      <c r="V557" s="1001"/>
      <c r="W557" s="42" t="s">
        <v>0</v>
      </c>
      <c r="X557" s="43">
        <f>GrossWeightTotal+PalletQtyTotal*25</f>
        <v>9838.2831649831642</v>
      </c>
      <c r="Y557" s="43">
        <f>GrossWeightTotalR+PalletQtyTotalR*25</f>
        <v>9918.5520000000015</v>
      </c>
      <c r="Z557" s="42"/>
      <c r="AA557" s="67"/>
      <c r="AB557" s="67"/>
      <c r="AC557" s="67"/>
    </row>
    <row r="558" spans="1:68" x14ac:dyDescent="0.2">
      <c r="A558" s="721"/>
      <c r="B558" s="721"/>
      <c r="C558" s="721"/>
      <c r="D558" s="721"/>
      <c r="E558" s="721"/>
      <c r="F558" s="721"/>
      <c r="G558" s="721"/>
      <c r="H558" s="721"/>
      <c r="I558" s="721"/>
      <c r="J558" s="721"/>
      <c r="K558" s="721"/>
      <c r="L558" s="721"/>
      <c r="M558" s="721"/>
      <c r="N558" s="721"/>
      <c r="O558" s="1002"/>
      <c r="P558" s="999" t="s">
        <v>37</v>
      </c>
      <c r="Q558" s="1000"/>
      <c r="R558" s="1000"/>
      <c r="S558" s="1000"/>
      <c r="T558" s="1000"/>
      <c r="U558" s="1000"/>
      <c r="V558" s="1001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948.73089873089884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954</v>
      </c>
      <c r="Z558" s="42"/>
      <c r="AA558" s="67"/>
      <c r="AB558" s="67"/>
      <c r="AC558" s="67"/>
    </row>
    <row r="559" spans="1:68" ht="14.25" x14ac:dyDescent="0.2">
      <c r="A559" s="721"/>
      <c r="B559" s="721"/>
      <c r="C559" s="721"/>
      <c r="D559" s="721"/>
      <c r="E559" s="721"/>
      <c r="F559" s="721"/>
      <c r="G559" s="721"/>
      <c r="H559" s="721"/>
      <c r="I559" s="721"/>
      <c r="J559" s="721"/>
      <c r="K559" s="721"/>
      <c r="L559" s="721"/>
      <c r="M559" s="721"/>
      <c r="N559" s="721"/>
      <c r="O559" s="1002"/>
      <c r="P559" s="999" t="s">
        <v>38</v>
      </c>
      <c r="Q559" s="1000"/>
      <c r="R559" s="1000"/>
      <c r="S559" s="1000"/>
      <c r="T559" s="1000"/>
      <c r="U559" s="1000"/>
      <c r="V559" s="1001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16.18168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1003" t="s">
        <v>120</v>
      </c>
      <c r="E561" s="1003" t="s">
        <v>120</v>
      </c>
      <c r="F561" s="1003" t="s">
        <v>120</v>
      </c>
      <c r="G561" s="1003" t="s">
        <v>120</v>
      </c>
      <c r="H561" s="1003" t="s">
        <v>120</v>
      </c>
      <c r="I561" s="1003" t="s">
        <v>120</v>
      </c>
      <c r="J561" s="1003" t="s">
        <v>120</v>
      </c>
      <c r="K561" s="1003" t="s">
        <v>353</v>
      </c>
      <c r="L561" s="1003" t="s">
        <v>353</v>
      </c>
      <c r="M561" s="1003" t="s">
        <v>353</v>
      </c>
      <c r="N561" s="1004"/>
      <c r="O561" s="1003" t="s">
        <v>353</v>
      </c>
      <c r="P561" s="1003" t="s">
        <v>353</v>
      </c>
      <c r="Q561" s="1003" t="s">
        <v>353</v>
      </c>
      <c r="R561" s="1003" t="s">
        <v>353</v>
      </c>
      <c r="S561" s="1003" t="s">
        <v>353</v>
      </c>
      <c r="T561" s="1003" t="s">
        <v>353</v>
      </c>
      <c r="U561" s="1003" t="s">
        <v>353</v>
      </c>
      <c r="V561" s="1003" t="s">
        <v>353</v>
      </c>
      <c r="W561" s="1003" t="s">
        <v>699</v>
      </c>
      <c r="X561" s="1003" t="s">
        <v>699</v>
      </c>
      <c r="Y561" s="1003" t="s">
        <v>765</v>
      </c>
      <c r="Z561" s="1003" t="s">
        <v>765</v>
      </c>
      <c r="AA561" s="85" t="s">
        <v>801</v>
      </c>
      <c r="AB561" s="1003" t="s">
        <v>848</v>
      </c>
      <c r="AC561" s="1003" t="s">
        <v>848</v>
      </c>
      <c r="AF561" s="1"/>
    </row>
    <row r="562" spans="1:32" ht="14.25" customHeight="1" thickTop="1" x14ac:dyDescent="0.2">
      <c r="A562" s="1005" t="s">
        <v>10</v>
      </c>
      <c r="B562" s="1003" t="s">
        <v>76</v>
      </c>
      <c r="C562" s="1003" t="s">
        <v>104</v>
      </c>
      <c r="D562" s="1003" t="s">
        <v>121</v>
      </c>
      <c r="E562" s="1003" t="s">
        <v>137</v>
      </c>
      <c r="F562" s="1003" t="s">
        <v>182</v>
      </c>
      <c r="G562" s="1003" t="s">
        <v>203</v>
      </c>
      <c r="H562" s="1003" t="s">
        <v>243</v>
      </c>
      <c r="I562" s="1003" t="s">
        <v>267</v>
      </c>
      <c r="J562" s="1003" t="s">
        <v>120</v>
      </c>
      <c r="K562" s="1003" t="s">
        <v>354</v>
      </c>
      <c r="L562" s="1003" t="s">
        <v>375</v>
      </c>
      <c r="M562" s="1003" t="s">
        <v>442</v>
      </c>
      <c r="N562" s="1"/>
      <c r="O562" s="1003" t="s">
        <v>510</v>
      </c>
      <c r="P562" s="1003" t="s">
        <v>543</v>
      </c>
      <c r="Q562" s="1003" t="s">
        <v>559</v>
      </c>
      <c r="R562" s="1003" t="s">
        <v>568</v>
      </c>
      <c r="S562" s="1003" t="s">
        <v>589</v>
      </c>
      <c r="T562" s="1003" t="s">
        <v>598</v>
      </c>
      <c r="U562" s="1003" t="s">
        <v>679</v>
      </c>
      <c r="V562" s="1003" t="s">
        <v>689</v>
      </c>
      <c r="W562" s="1003" t="s">
        <v>700</v>
      </c>
      <c r="X562" s="1003" t="s">
        <v>749</v>
      </c>
      <c r="Y562" s="1003" t="s">
        <v>766</v>
      </c>
      <c r="Z562" s="1003" t="s">
        <v>789</v>
      </c>
      <c r="AA562" s="1003" t="s">
        <v>801</v>
      </c>
      <c r="AB562" s="1003" t="s">
        <v>848</v>
      </c>
      <c r="AC562" s="1003" t="s">
        <v>867</v>
      </c>
      <c r="AF562" s="1"/>
    </row>
    <row r="563" spans="1:32" ht="13.5" thickBot="1" x14ac:dyDescent="0.25">
      <c r="A563" s="1006"/>
      <c r="B563" s="1003"/>
      <c r="C563" s="1003"/>
      <c r="D563" s="1003"/>
      <c r="E563" s="1003"/>
      <c r="F563" s="1003"/>
      <c r="G563" s="1003"/>
      <c r="H563" s="1003"/>
      <c r="I563" s="1003"/>
      <c r="J563" s="1003"/>
      <c r="K563" s="1003"/>
      <c r="L563" s="1003"/>
      <c r="M563" s="1003"/>
      <c r="N563" s="1"/>
      <c r="O563" s="1003"/>
      <c r="P563" s="1003"/>
      <c r="Q563" s="1003"/>
      <c r="R563" s="1003"/>
      <c r="S563" s="1003"/>
      <c r="T563" s="1003"/>
      <c r="U563" s="1003"/>
      <c r="V563" s="1003"/>
      <c r="W563" s="1003"/>
      <c r="X563" s="1003"/>
      <c r="Y563" s="1003"/>
      <c r="Z563" s="1003"/>
      <c r="AA563" s="1003"/>
      <c r="AB563" s="1003"/>
      <c r="AC563" s="1003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2008.8000000000002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0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507.6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304.2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4326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2006.4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3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1" spans="2:8" x14ac:dyDescent="0.2">
      <c r="B11" s="53" t="s">
        <v>889</v>
      </c>
      <c r="C11" s="53" t="s">
        <v>890</v>
      </c>
      <c r="D11" s="53" t="s">
        <v>891</v>
      </c>
      <c r="E11" s="53" t="s">
        <v>46</v>
      </c>
    </row>
    <row r="12" spans="2:8" x14ac:dyDescent="0.2">
      <c r="B12" s="53" t="s">
        <v>892</v>
      </c>
      <c r="C12" s="53" t="s">
        <v>893</v>
      </c>
      <c r="D12" s="53" t="s">
        <v>894</v>
      </c>
      <c r="E12" s="53" t="s">
        <v>46</v>
      </c>
    </row>
    <row r="14" spans="2:8" x14ac:dyDescent="0.2">
      <c r="B14" s="53" t="s">
        <v>895</v>
      </c>
      <c r="C14" s="53" t="s">
        <v>875</v>
      </c>
      <c r="D14" s="53" t="s">
        <v>46</v>
      </c>
      <c r="E14" s="53" t="s">
        <v>46</v>
      </c>
    </row>
    <row r="16" spans="2:8" x14ac:dyDescent="0.2">
      <c r="B16" s="53" t="s">
        <v>896</v>
      </c>
      <c r="C16" s="53" t="s">
        <v>878</v>
      </c>
      <c r="D16" s="53" t="s">
        <v>46</v>
      </c>
      <c r="E16" s="53" t="s">
        <v>46</v>
      </c>
    </row>
    <row r="18" spans="2:5" x14ac:dyDescent="0.2">
      <c r="B18" s="53" t="s">
        <v>897</v>
      </c>
      <c r="C18" s="53" t="s">
        <v>881</v>
      </c>
      <c r="D18" s="53" t="s">
        <v>46</v>
      </c>
      <c r="E18" s="53" t="s">
        <v>46</v>
      </c>
    </row>
    <row r="20" spans="2:5" x14ac:dyDescent="0.2">
      <c r="B20" s="53" t="s">
        <v>898</v>
      </c>
      <c r="C20" s="53" t="s">
        <v>884</v>
      </c>
      <c r="D20" s="53" t="s">
        <v>46</v>
      </c>
      <c r="E20" s="53" t="s">
        <v>46</v>
      </c>
    </row>
    <row r="22" spans="2:5" x14ac:dyDescent="0.2">
      <c r="B22" s="53" t="s">
        <v>899</v>
      </c>
      <c r="C22" s="53" t="s">
        <v>887</v>
      </c>
      <c r="D22" s="53" t="s">
        <v>46</v>
      </c>
      <c r="E22" s="53" t="s">
        <v>46</v>
      </c>
    </row>
    <row r="24" spans="2:5" x14ac:dyDescent="0.2">
      <c r="B24" s="53" t="s">
        <v>900</v>
      </c>
      <c r="C24" s="53" t="s">
        <v>890</v>
      </c>
      <c r="D24" s="53" t="s">
        <v>46</v>
      </c>
      <c r="E24" s="53" t="s">
        <v>46</v>
      </c>
    </row>
    <row r="26" spans="2:5" x14ac:dyDescent="0.2">
      <c r="B26" s="53" t="s">
        <v>901</v>
      </c>
      <c r="C26" s="53" t="s">
        <v>893</v>
      </c>
      <c r="D26" s="53" t="s">
        <v>46</v>
      </c>
      <c r="E26" s="53" t="s">
        <v>46</v>
      </c>
    </row>
    <row r="28" spans="2:5" x14ac:dyDescent="0.2">
      <c r="B28" s="53" t="s">
        <v>902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903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904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906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907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908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909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910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911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912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2026-08-10T08:04:04Z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