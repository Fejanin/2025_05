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B22DBA1-AA8A-42A6-AF03-DA15736BEFF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Z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Z335" i="2" s="1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9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BN132" i="2" s="1"/>
  <c r="P132" i="2"/>
  <c r="BO131" i="2"/>
  <c r="BM131" i="2"/>
  <c r="Y131" i="2"/>
  <c r="BN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60" i="2" l="1"/>
  <c r="Z274" i="2"/>
  <c r="BN274" i="2"/>
  <c r="BP178" i="2"/>
  <c r="Z395" i="2"/>
  <c r="BP111" i="2"/>
  <c r="Z231" i="2"/>
  <c r="BN231" i="2"/>
  <c r="Z39" i="2"/>
  <c r="BN39" i="2"/>
  <c r="Z94" i="2"/>
  <c r="BN94" i="2"/>
  <c r="Z221" i="2"/>
  <c r="Z264" i="2"/>
  <c r="BN264" i="2"/>
  <c r="Z351" i="2"/>
  <c r="Z431" i="2"/>
  <c r="BP476" i="2"/>
  <c r="X559" i="2"/>
  <c r="X558" i="2"/>
  <c r="Z38" i="2"/>
  <c r="Z55" i="2"/>
  <c r="Z61" i="2"/>
  <c r="BN61" i="2"/>
  <c r="Z104" i="2"/>
  <c r="BN104" i="2"/>
  <c r="Z115" i="2"/>
  <c r="BP223" i="2"/>
  <c r="Z237" i="2"/>
  <c r="BN237" i="2"/>
  <c r="BP269" i="2"/>
  <c r="Z284" i="2"/>
  <c r="BN284" i="2"/>
  <c r="Q568" i="2"/>
  <c r="Z337" i="2"/>
  <c r="Z345" i="2"/>
  <c r="Z374" i="2"/>
  <c r="BN374" i="2"/>
  <c r="Z436" i="2"/>
  <c r="Z459" i="2"/>
  <c r="Z484" i="2"/>
  <c r="Z486" i="2" s="1"/>
  <c r="BN31" i="2"/>
  <c r="BP49" i="2"/>
  <c r="BN56" i="2"/>
  <c r="BN72" i="2"/>
  <c r="BN89" i="2"/>
  <c r="BN95" i="2"/>
  <c r="BN105" i="2"/>
  <c r="BN126" i="2"/>
  <c r="Y134" i="2"/>
  <c r="BN136" i="2"/>
  <c r="Z136" i="2"/>
  <c r="BN177" i="2"/>
  <c r="Z177" i="2"/>
  <c r="BP207" i="2"/>
  <c r="BN207" i="2"/>
  <c r="Z207" i="2"/>
  <c r="BP228" i="2"/>
  <c r="BN228" i="2"/>
  <c r="Z228" i="2"/>
  <c r="BP239" i="2"/>
  <c r="BN239" i="2"/>
  <c r="Z239" i="2"/>
  <c r="BN240" i="2"/>
  <c r="BP240" i="2"/>
  <c r="BP248" i="2"/>
  <c r="BN248" i="2"/>
  <c r="Z248" i="2"/>
  <c r="BP281" i="2"/>
  <c r="BN281" i="2"/>
  <c r="Z281" i="2"/>
  <c r="BP288" i="2"/>
  <c r="Z288" i="2"/>
  <c r="BN296" i="2"/>
  <c r="Y298" i="2"/>
  <c r="Y312" i="2"/>
  <c r="Y313" i="2"/>
  <c r="Z311" i="2"/>
  <c r="Z312" i="2" s="1"/>
  <c r="BN330" i="2"/>
  <c r="BP343" i="2"/>
  <c r="Z343" i="2"/>
  <c r="BP368" i="2"/>
  <c r="Z368" i="2"/>
  <c r="BP384" i="2"/>
  <c r="BN384" i="2"/>
  <c r="Z384" i="2"/>
  <c r="BN390" i="2"/>
  <c r="Z390" i="2"/>
  <c r="BP469" i="2"/>
  <c r="BN469" i="2"/>
  <c r="Z469" i="2"/>
  <c r="Y470" i="2"/>
  <c r="BP477" i="2"/>
  <c r="BN477" i="2"/>
  <c r="Z477" i="2"/>
  <c r="BN479" i="2"/>
  <c r="BN504" i="2"/>
  <c r="BP516" i="2"/>
  <c r="Z516" i="2"/>
  <c r="BP520" i="2"/>
  <c r="Z520" i="2"/>
  <c r="Y546" i="2"/>
  <c r="Z544" i="2"/>
  <c r="Z545" i="2" s="1"/>
  <c r="Z27" i="2"/>
  <c r="BN27" i="2"/>
  <c r="BN29" i="2"/>
  <c r="C568" i="2"/>
  <c r="BP38" i="2"/>
  <c r="Z49" i="2"/>
  <c r="Z50" i="2"/>
  <c r="BN50" i="2"/>
  <c r="BP60" i="2"/>
  <c r="Z65" i="2"/>
  <c r="BN66" i="2"/>
  <c r="F568" i="2"/>
  <c r="BN87" i="2"/>
  <c r="G568" i="2"/>
  <c r="Z113" i="2"/>
  <c r="BP115" i="2"/>
  <c r="Y124" i="2"/>
  <c r="Y127" i="2"/>
  <c r="Y139" i="2"/>
  <c r="BN142" i="2"/>
  <c r="BN181" i="2"/>
  <c r="Z181" i="2"/>
  <c r="BN197" i="2"/>
  <c r="BP197" i="2"/>
  <c r="BN222" i="2"/>
  <c r="Z222" i="2"/>
  <c r="BN265" i="2"/>
  <c r="BP271" i="2"/>
  <c r="BN271" i="2"/>
  <c r="Z271" i="2"/>
  <c r="BN285" i="2"/>
  <c r="BN306" i="2"/>
  <c r="BP311" i="2"/>
  <c r="BN319" i="2"/>
  <c r="BN350" i="2"/>
  <c r="Y352" i="2"/>
  <c r="BN375" i="2"/>
  <c r="BP390" i="2"/>
  <c r="BN391" i="2"/>
  <c r="BN398" i="2"/>
  <c r="Z398" i="2"/>
  <c r="BN408" i="2"/>
  <c r="BN422" i="2"/>
  <c r="Z422" i="2"/>
  <c r="BN430" i="2"/>
  <c r="BN434" i="2"/>
  <c r="Z434" i="2"/>
  <c r="BN494" i="2"/>
  <c r="Z514" i="2"/>
  <c r="Y517" i="2"/>
  <c r="BN514" i="2"/>
  <c r="BN149" i="2"/>
  <c r="Y154" i="2"/>
  <c r="BN156" i="2"/>
  <c r="Y158" i="2"/>
  <c r="BN182" i="2"/>
  <c r="BN243" i="2"/>
  <c r="Y266" i="2"/>
  <c r="BN286" i="2"/>
  <c r="BN291" i="2"/>
  <c r="BN302" i="2"/>
  <c r="BN307" i="2"/>
  <c r="BN315" i="2"/>
  <c r="BN329" i="2"/>
  <c r="BP335" i="2"/>
  <c r="Y339" i="2"/>
  <c r="Y369" i="2"/>
  <c r="BN367" i="2"/>
  <c r="BN376" i="2"/>
  <c r="BN385" i="2"/>
  <c r="Y406" i="2"/>
  <c r="BN403" i="2"/>
  <c r="BN410" i="2"/>
  <c r="BP436" i="2"/>
  <c r="BP459" i="2"/>
  <c r="BN467" i="2"/>
  <c r="BN478" i="2"/>
  <c r="BP484" i="2"/>
  <c r="Y497" i="2"/>
  <c r="BN510" i="2"/>
  <c r="BN515" i="2"/>
  <c r="BN522" i="2"/>
  <c r="Y541" i="2"/>
  <c r="AC568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99" i="2" l="1"/>
  <c r="Z69" i="2"/>
  <c r="Z123" i="2"/>
  <c r="Z266" i="2"/>
  <c r="Z352" i="2"/>
  <c r="Z443" i="2"/>
  <c r="Z164" i="2"/>
  <c r="Z138" i="2"/>
  <c r="Z424" i="2"/>
  <c r="Z75" i="2"/>
  <c r="Z497" i="2"/>
  <c r="Z91" i="2"/>
  <c r="Z437" i="2"/>
  <c r="Y562" i="2"/>
  <c r="Z481" i="2"/>
  <c r="Z62" i="2"/>
  <c r="Z210" i="2"/>
  <c r="Z42" i="2"/>
  <c r="Z190" i="2"/>
  <c r="Z51" i="2"/>
  <c r="Z517" i="2"/>
  <c r="Z470" i="2"/>
  <c r="Z322" i="2"/>
  <c r="Z98" i="2"/>
  <c r="Z347" i="2"/>
  <c r="Z454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<sst xmlns="http://schemas.openxmlformats.org/spreadsheetml/2006/main" count="4313" uniqueCount="915">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</sst>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119" sqref="AA11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/>
      <c r="I5" s="995"/>
      <c r="J5" s="995"/>
      <c r="K5" s="995"/>
      <c r="L5" s="995"/>
      <c r="M5" s="995"/>
      <c r="N5" s="72"/>
      <c r="P5" s="27" t="s">
        <v>4</v>
      </c>
      <c r="Q5" s="997">
        <v>46279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/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Понедельник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>
        <f>IFERROR(VLOOKUP(DeliveryAddress,Table,3,0),1)</f>
        <v>1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idden="1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380</v>
      </c>
      <c r="Y119" s="55">
        <f>IFERROR(IF(X119="",0,CEILING((X119/$H119),1)*$H119),"")</f>
        <v>380.7</v>
      </c>
      <c r="Z119" s="41">
        <f>IFERROR(IF(Y119=0,"",ROUNDUP(Y119/H119,0)*0.01898),"")</f>
        <v>0.89205999999999996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402.8938271604938</v>
      </c>
      <c r="BN119" s="78">
        <f>IFERROR(Y119*I119/H119,"0")</f>
        <v>403.63599999999997</v>
      </c>
      <c r="BO119" s="78">
        <f>IFERROR(1/J119*(X119/H119),"0")</f>
        <v>0.73302469135802473</v>
      </c>
      <c r="BP119" s="78">
        <f>IFERROR(1/J119*(Y119/H119),"0")</f>
        <v>0.734375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46.913580246913583</v>
      </c>
      <c r="Y123" s="43">
        <f>IFERROR(Y119/H119,"0")+IFERROR(Y120/H120,"0")+IFERROR(Y121/H121,"0")+IFERROR(Y122/H122,"0")</f>
        <v>47</v>
      </c>
      <c r="Z123" s="43">
        <f>IFERROR(IF(Z119="",0,Z119),"0")+IFERROR(IF(Z120="",0,Z120),"0")+IFERROR(IF(Z121="",0,Z121),"0")+IFERROR(IF(Z122="",0,Z122),"0")</f>
        <v>0.89205999999999996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380</v>
      </c>
      <c r="Y124" s="43">
        <f>IFERROR(SUM(Y119:Y122),"0")</f>
        <v>380.7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350</v>
      </c>
      <c r="Y430" s="55">
        <f t="shared" si="68"/>
        <v>360</v>
      </c>
      <c r="Z430" s="41">
        <f>IFERROR(IF(Y430=0,"",ROUNDUP(Y430/H430,0)*0.02175),"")</f>
        <v>0.52200000000000002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360.96666666666664</v>
      </c>
      <c r="BN430" s="78">
        <f t="shared" si="70"/>
        <v>371.28</v>
      </c>
      <c r="BO430" s="78">
        <f t="shared" si="71"/>
        <v>0.48611111111111105</v>
      </c>
      <c r="BP430" s="78">
        <f t="shared" si="72"/>
        <v>0.5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23.333333333333332</v>
      </c>
      <c r="Y437" s="43">
        <f>IFERROR(Y429/H429,"0")+IFERROR(Y430/H430,"0")+IFERROR(Y431/H431,"0")+IFERROR(Y432/H432,"0")+IFERROR(Y433/H433,"0")+IFERROR(Y434/H434,"0")+IFERROR(Y435/H435,"0")+IFERROR(Y436/H436,"0")</f>
        <v>24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0.52200000000000002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350</v>
      </c>
      <c r="Y438" s="43">
        <f>IFERROR(SUM(Y429:Y436),"0")</f>
        <v>360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280</v>
      </c>
      <c r="Y440" s="55">
        <f>IFERROR(IF(X440="",0,CEILING((X440/$H440),1)*$H440),"")</f>
        <v>285</v>
      </c>
      <c r="Z440" s="41">
        <f>IFERROR(IF(Y440=0,"",ROUNDUP(Y440/H440,0)*0.02175),"")</f>
        <v>0.41324999999999995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288.77333333333337</v>
      </c>
      <c r="BN440" s="78">
        <f>IFERROR(Y440*I440/H440,"0")</f>
        <v>293.93</v>
      </c>
      <c r="BO440" s="78">
        <f>IFERROR(1/J440*(X440/H440),"0")</f>
        <v>0.3888888888888889</v>
      </c>
      <c r="BP440" s="78">
        <f>IFERROR(1/J440*(Y440/H440),"0")</f>
        <v>0.39583333333333331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18.666666666666668</v>
      </c>
      <c r="Y443" s="43">
        <f>IFERROR(Y440/H440,"0")+IFERROR(Y441/H441,"0")+IFERROR(Y442/H442,"0")</f>
        <v>19</v>
      </c>
      <c r="Z443" s="43">
        <f>IFERROR(IF(Z440="",0,Z440),"0")+IFERROR(IF(Z441="",0,Z441),"0")+IFERROR(IF(Z442="",0,Z442),"0")</f>
        <v>0.41324999999999995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280</v>
      </c>
      <c r="Y444" s="43">
        <f>IFERROR(SUM(Y440:Y442),"0")</f>
        <v>285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500</v>
      </c>
      <c r="Y505" s="55">
        <f t="shared" si="78"/>
        <v>501.6</v>
      </c>
      <c r="Z505" s="41">
        <f t="shared" si="79"/>
        <v>1.1362000000000001</v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533.14393939393938</v>
      </c>
      <c r="BN505" s="78">
        <f t="shared" si="81"/>
        <v>534.85</v>
      </c>
      <c r="BO505" s="78">
        <f t="shared" si="82"/>
        <v>0.91054778554778548</v>
      </c>
      <c r="BP505" s="78">
        <f t="shared" si="83"/>
        <v>0.91346153846153855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94.696969696969688</v>
      </c>
      <c r="Y511" s="43">
        <f>IFERROR(Y502/H502,"0")+IFERROR(Y503/H503,"0")+IFERROR(Y504/H504,"0")+IFERROR(Y505/H505,"0")+IFERROR(Y506/H506,"0")+IFERROR(Y507/H507,"0")+IFERROR(Y508/H508,"0")+IFERROR(Y509/H509,"0")+IFERROR(Y510/H510,"0")</f>
        <v>95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1.1362000000000001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500</v>
      </c>
      <c r="Y512" s="43">
        <f>IFERROR(SUM(Y502:Y510),"0")</f>
        <v>501.6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380</v>
      </c>
      <c r="Y514" s="55">
        <f>IFERROR(IF(X514="",0,CEILING((X514/$H514),1)*$H514),"")</f>
        <v>380.16</v>
      </c>
      <c r="Z514" s="41">
        <f>IFERROR(IF(Y514=0,"",ROUNDUP(Y514/H514,0)*0.01196),"")</f>
        <v>0.86112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405.18939393939394</v>
      </c>
      <c r="BN514" s="78">
        <f>IFERROR(Y514*I514/H514,"0")</f>
        <v>405.35999999999996</v>
      </c>
      <c r="BO514" s="78">
        <f>IFERROR(1/J514*(X514/H514),"0")</f>
        <v>0.69201631701631705</v>
      </c>
      <c r="BP514" s="78">
        <f>IFERROR(1/J514*(Y514/H514),"0")</f>
        <v>0.69230769230769229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71.969696969696969</v>
      </c>
      <c r="Y517" s="43">
        <f>IFERROR(Y514/H514,"0")+IFERROR(Y515/H515,"0")+IFERROR(Y516/H516,"0")</f>
        <v>72</v>
      </c>
      <c r="Z517" s="43">
        <f>IFERROR(IF(Z514="",0,Z514),"0")+IFERROR(IF(Z515="",0,Z515),"0")+IFERROR(IF(Z516="",0,Z516),"0")</f>
        <v>0.86112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380</v>
      </c>
      <c r="Y518" s="43">
        <f>IFERROR(SUM(Y514:Y516),"0")</f>
        <v>380.16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1890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1907.4600000000003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1990.9671604938271</v>
      </c>
      <c r="Y559" s="43">
        <f>IFERROR(SUM(BN22:BN555),"0")</f>
        <v>2009.0559999999998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4</v>
      </c>
      <c r="Y560" s="44">
        <f>ROUNDUP(SUM(BP22:BP555),0)</f>
        <v>4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2090.9671604938271</v>
      </c>
      <c r="Y561" s="43">
        <f>GrossWeightTotalR+PalletQtyTotalR*25</f>
        <v>2109.0559999999996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255.58024691358023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257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3.8246300000000004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0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380.7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645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881.76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90,00"/>
        <filter val="1 990,97"/>
        <filter val="18,67"/>
        <filter val="2 090,97"/>
        <filter val="23,33"/>
        <filter val="255,58"/>
        <filter val="280,00"/>
        <filter val="350,00"/>
        <filter val="380,00"/>
        <filter val="4"/>
        <filter val="46,91"/>
        <filter val="500,00"/>
        <filter val="71,97"/>
        <filter val="94,7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2026-09-14T08:03:25Z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