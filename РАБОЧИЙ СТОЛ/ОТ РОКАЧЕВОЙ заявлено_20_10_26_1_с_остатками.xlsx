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7D0DF0C-28DE-46E7-BFB9-C69D4C060EA9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20.10" sheetId="1" r:id="rId1"/>
    <sheet name="TDSheet" sheetId="2" r:id="rId2"/>
  </sheets>
  <definedNames>
    <definedName name="_xlnm._FilterDatabase" localSheetId="0" hidden="1">'20.10'!$AN$4:$AN$5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O271" i="1" l="1"/>
  <c r="AO270" i="1"/>
  <c r="AO239" i="1"/>
  <c r="AO226" i="1"/>
  <c r="AO225" i="1"/>
  <c r="AO224" i="1"/>
  <c r="AO221" i="1"/>
  <c r="AO220" i="1"/>
  <c r="AO218" i="1"/>
  <c r="AO215" i="1"/>
  <c r="AO209" i="1"/>
  <c r="AO208" i="1"/>
  <c r="AO206" i="1"/>
  <c r="AO203" i="1"/>
  <c r="AO197" i="1"/>
  <c r="AO189" i="1"/>
  <c r="AO186" i="1"/>
  <c r="AO167" i="1"/>
  <c r="AO165" i="1"/>
  <c r="AO164" i="1"/>
  <c r="AO158" i="1"/>
  <c r="AO151" i="1"/>
  <c r="AO144" i="1"/>
  <c r="AO132" i="1"/>
  <c r="AO130" i="1"/>
  <c r="AO129" i="1"/>
  <c r="AO128" i="1"/>
  <c r="AO125" i="1"/>
  <c r="AO108" i="1"/>
  <c r="AO100" i="1"/>
  <c r="AO99" i="1"/>
  <c r="AO98" i="1"/>
  <c r="AO96" i="1"/>
  <c r="AO92" i="1"/>
  <c r="AO91" i="1"/>
  <c r="AO90" i="1"/>
  <c r="AO89" i="1"/>
  <c r="AO85" i="1"/>
  <c r="AO83" i="1"/>
  <c r="AO82" i="1"/>
  <c r="AO78" i="1"/>
  <c r="AO73" i="1"/>
  <c r="AO72" i="1"/>
  <c r="AO71" i="1"/>
  <c r="AO70" i="1"/>
  <c r="AO69" i="1"/>
  <c r="AO68" i="1"/>
  <c r="AO67" i="1"/>
  <c r="AO62" i="1"/>
  <c r="AO58" i="1"/>
  <c r="AO51" i="1"/>
  <c r="AO49" i="1"/>
  <c r="AO45" i="1"/>
  <c r="AO44" i="1"/>
  <c r="AO41" i="1"/>
  <c r="AO38" i="1"/>
  <c r="AO37" i="1"/>
  <c r="AO35" i="1"/>
  <c r="AO29" i="1"/>
  <c r="AO13" i="1"/>
  <c r="AP3" i="1" s="1"/>
  <c r="AN286" i="1"/>
  <c r="AN279" i="1"/>
  <c r="AO279" i="1" s="1"/>
  <c r="AN278" i="1"/>
  <c r="AO278" i="1" s="1"/>
  <c r="AP242" i="1" s="1"/>
  <c r="AN277" i="1"/>
  <c r="AN271" i="1"/>
  <c r="AN270" i="1"/>
  <c r="AN268" i="1"/>
  <c r="AN242" i="1"/>
  <c r="AN241" i="1"/>
  <c r="AN239" i="1"/>
  <c r="AN236" i="1"/>
  <c r="AN232" i="1"/>
  <c r="AN231" i="1"/>
  <c r="AN227" i="1"/>
  <c r="AN226" i="1"/>
  <c r="AN225" i="1"/>
  <c r="AN224" i="1"/>
  <c r="AN221" i="1"/>
  <c r="AN220" i="1"/>
  <c r="AN218" i="1"/>
  <c r="AN216" i="1"/>
  <c r="AN215" i="1"/>
  <c r="AN213" i="1"/>
  <c r="AN212" i="1"/>
  <c r="AN209" i="1"/>
  <c r="AN208" i="1"/>
  <c r="AN207" i="1"/>
  <c r="AN206" i="1"/>
  <c r="AN205" i="1"/>
  <c r="AN203" i="1"/>
  <c r="AN202" i="1"/>
  <c r="AN201" i="1"/>
  <c r="AN200" i="1"/>
  <c r="AN199" i="1"/>
  <c r="AN198" i="1"/>
  <c r="AN197" i="1"/>
  <c r="AN196" i="1"/>
  <c r="AN193" i="1"/>
  <c r="AN192" i="1"/>
  <c r="AN191" i="1"/>
  <c r="AN190" i="1"/>
  <c r="AN189" i="1"/>
  <c r="AN188" i="1"/>
  <c r="AN187" i="1"/>
  <c r="AN186" i="1"/>
  <c r="AN185" i="1"/>
  <c r="AN183" i="1"/>
  <c r="AN182" i="1"/>
  <c r="AN179" i="1"/>
  <c r="AN177" i="1"/>
  <c r="AN176" i="1"/>
  <c r="AN175" i="1"/>
  <c r="AN170" i="1"/>
  <c r="AN169" i="1"/>
  <c r="AN167" i="1"/>
  <c r="AN166" i="1"/>
  <c r="AN165" i="1"/>
  <c r="AN164" i="1"/>
  <c r="AN161" i="1"/>
  <c r="AN160" i="1"/>
  <c r="AN158" i="1"/>
  <c r="AN157" i="1"/>
  <c r="AN153" i="1"/>
  <c r="AN151" i="1"/>
  <c r="AN150" i="1"/>
  <c r="AN145" i="1"/>
  <c r="AN144" i="1"/>
  <c r="AN143" i="1"/>
  <c r="AO143" i="1" s="1"/>
  <c r="AP142" i="1" s="1"/>
  <c r="AN142" i="1"/>
  <c r="AN141" i="1"/>
  <c r="AN132" i="1"/>
  <c r="AN130" i="1"/>
  <c r="AN129" i="1"/>
  <c r="AN128" i="1"/>
  <c r="AN125" i="1"/>
  <c r="AN120" i="1"/>
  <c r="AN115" i="1"/>
  <c r="AN114" i="1"/>
  <c r="AN108" i="1"/>
  <c r="AN100" i="1"/>
  <c r="AN99" i="1"/>
  <c r="AN98" i="1"/>
  <c r="AN96" i="1"/>
  <c r="AN93" i="1"/>
  <c r="AN92" i="1"/>
  <c r="AN91" i="1"/>
  <c r="AN90" i="1"/>
  <c r="AN89" i="1"/>
  <c r="AN88" i="1"/>
  <c r="AN85" i="1"/>
  <c r="AN83" i="1"/>
  <c r="AN82" i="1"/>
  <c r="AN80" i="1"/>
  <c r="AN78" i="1"/>
  <c r="AN76" i="1"/>
  <c r="AN73" i="1"/>
  <c r="AN72" i="1"/>
  <c r="AN71" i="1"/>
  <c r="AN70" i="1"/>
  <c r="AN69" i="1"/>
  <c r="AN68" i="1"/>
  <c r="AN67" i="1"/>
  <c r="AN62" i="1"/>
  <c r="AN58" i="1"/>
  <c r="AN51" i="1"/>
  <c r="AN49" i="1"/>
  <c r="AN47" i="1"/>
  <c r="AN45" i="1"/>
  <c r="AN44" i="1"/>
  <c r="AN43" i="1"/>
  <c r="AN41" i="1"/>
  <c r="AN38" i="1"/>
  <c r="AN37" i="1"/>
  <c r="AN35" i="1"/>
  <c r="AN33" i="1"/>
  <c r="AN31" i="1"/>
  <c r="AN29" i="1"/>
  <c r="AN28" i="1"/>
  <c r="AN27" i="1"/>
  <c r="AN16" i="1"/>
  <c r="AN14" i="1"/>
  <c r="AN13" i="1"/>
  <c r="AN12" i="1"/>
  <c r="AN5" i="1"/>
  <c r="AP2" i="1" l="1"/>
</calcChain>
</file>

<file path=xl/sharedStrings.xml><?xml version="1.0" encoding="utf-8"?>
<sst xmlns="http://schemas.openxmlformats.org/spreadsheetml/2006/main" count="1054" uniqueCount="518">
  <si>
    <t>Номенклатура</t>
  </si>
  <si>
    <t>по заказам</t>
  </si>
  <si>
    <t>реализация</t>
  </si>
  <si>
    <t>отклонения</t>
  </si>
  <si>
    <t>Недогруз вес</t>
  </si>
  <si>
    <t>Заказано вес</t>
  </si>
  <si>
    <t>Отгружено вес</t>
  </si>
  <si>
    <t>Отклонения вес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</si>
  <si>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</si>
  <si>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</si>
  <si>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</si>
  <si>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</si>
  <si>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</si>
  <si>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</si>
  <si>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</si>
  <si>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</si>
  <si>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</si>
  <si>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</si>
  <si>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</si>
  <si>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</si>
  <si>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</si>
  <si>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</si>
  <si>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</si>
  <si>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</si>
  <si>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</si>
  <si>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</si>
  <si>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</si>
  <si>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6764 СЛИИВОЧНЫЕ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</si>
  <si>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</si>
  <si>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</si>
  <si>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</si>
  <si>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</si>
  <si>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</si>
  <si>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</si>
  <si>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</si>
  <si>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</si>
  <si>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</si>
  <si>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</si>
  <si>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</si>
  <si>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</si>
  <si>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</si>
  <si>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</si>
  <si>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</si>
  <si>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</si>
  <si>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</si>
  <si>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</si>
  <si>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</si>
  <si>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</si>
  <si>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</si>
  <si>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</si>
  <si>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</si>
  <si>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</si>
  <si>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</si>
  <si>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</si>
  <si>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</si>
  <si>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</si>
  <si>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</si>
  <si>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</si>
  <si>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</si>
  <si>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</si>
  <si>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</si>
  <si>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</si>
  <si>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</si>
  <si>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</si>
  <si>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</si>
  <si>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</si>
  <si>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</si>
  <si>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</si>
  <si>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</si>
  <si>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</si>
  <si>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</si>
  <si>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</si>
  <si>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</si>
  <si>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</si>
  <si>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</si>
  <si>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</si>
  <si>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</si>
  <si>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</si>
  <si>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</si>
  <si>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</si>
  <si>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</si>
  <si>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</si>
  <si>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</si>
  <si>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</si>
  <si>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</si>
  <si>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</si>
  <si>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</si>
  <si>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</si>
  <si>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</si>
  <si>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</si>
  <si>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</si>
  <si>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</si>
  <si>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</si>
  <si>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</si>
  <si>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</si>
  <si>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</si>
  <si>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</si>
  <si>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</si>
  <si>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Останкино Заморозка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</si>
  <si>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</si>
  <si>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</si>
  <si>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</si>
  <si>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</si>
  <si>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</si>
  <si>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</si>
  <si>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</si>
  <si>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</si>
  <si>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</si>
  <si>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</si>
  <si>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</si>
  <si>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</si>
  <si>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</si>
  <si>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</si>
  <si>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А_5579 БЛИНЧ.КРУГЛЫЕ С САД.ЯБЛОК.пл.1/420 зам.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</si>
  <si>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</si>
  <si>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</si>
  <si>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</si>
  <si>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</si>
  <si>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</si>
  <si>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Останкино СЫР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</si>
  <si>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</si>
  <si>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</si>
  <si>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</si>
  <si>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</si>
  <si>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</si>
  <si>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</si>
  <si>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</si>
  <si>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</si>
  <si>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</si>
  <si>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</si>
  <si>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</si>
  <si>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</si>
  <si>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</si>
  <si>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</si>
  <si>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</si>
  <si>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</si>
  <si>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</si>
  <si>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</si>
  <si>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</si>
  <si>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</si>
  <si>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</si>
  <si>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</si>
  <si>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</si>
  <si>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</si>
  <si>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</si>
  <si>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</si>
  <si>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</si>
  <si>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</si>
  <si>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</si>
  <si>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</si>
  <si>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</si>
  <si>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</si>
  <si>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</si>
  <si>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</si>
  <si>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</si>
  <si>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</si>
  <si>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</si>
  <si>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</si>
  <si>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</si>
  <si>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</si>
  <si>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</si>
  <si>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</si>
  <si>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</si>
  <si>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</si>
  <si>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</si>
  <si>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</si>
  <si>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</si>
  <si>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</si>
  <si>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</si>
  <si>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</si>
  <si>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</si>
  <si>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</si>
  <si>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</si>
  <si>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</si>
  <si>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>Заморозка Зареченские Логистический партнер (кг)</t>
  </si>
  <si>
    <t>А_Пирожки с мясом 3,7кг ВЕС ТМ Зареченские  ПОКОМ</t>
  </si>
  <si>
    <t>Мини-сосиски в ароматном тесте ВЕС ТМ Зареченские продукты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</si>
  <si>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</si>
  <si>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</si>
  <si>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</si>
  <si>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</si>
  <si>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</si>
  <si>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</si>
  <si>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</si>
  <si>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</si>
  <si>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</si>
  <si>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</si>
  <si>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</si>
  <si>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</si>
  <si>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</si>
  <si>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</si>
  <si>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</si>
  <si>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</si>
  <si>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</si>
  <si>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</si>
  <si>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</si>
  <si>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</si>
  <si>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</si>
  <si>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</si>
  <si>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</si>
  <si>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</si>
  <si>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</si>
  <si>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</si>
  <si>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</si>
  <si>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</si>
  <si>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</si>
  <si>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</si>
  <si>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</si>
  <si>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</si>
  <si>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</si>
  <si>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</si>
  <si>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</si>
  <si>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</si>
  <si>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</si>
  <si>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</si>
  <si>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</si>
  <si>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</si>
  <si>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</si>
  <si>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</si>
  <si>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</si>
  <si>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</si>
  <si>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</si>
  <si>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</si>
  <si>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</si>
  <si>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</si>
  <si>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</si>
  <si>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</si>
  <si>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</si>
  <si>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</si>
  <si>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</si>
  <si>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</si>
  <si>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</si>
  <si>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</si>
  <si>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</si>
  <si>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</si>
  <si>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</si>
  <si>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</si>
  <si>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</si>
  <si>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</si>
  <si>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</si>
  <si>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</si>
  <si>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</si>
  <si>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</si>
  <si>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</si>
  <si>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</si>
  <si>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</si>
  <si>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</si>
  <si>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</si>
  <si>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</si>
  <si>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</si>
  <si>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</si>
  <si>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</si>
  <si>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</si>
  <si>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</si>
  <si>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</si>
  <si>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</si>
  <si>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</si>
  <si>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</si>
  <si>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</si>
  <si>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</si>
  <si>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</si>
  <si>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</si>
  <si>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</si>
  <si>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</si>
  <si>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</si>
  <si>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</si>
  <si>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</si>
  <si>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</si>
  <si>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</si>
  <si>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</si>
  <si>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</si>
  <si>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</si>
  <si>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</si>
  <si>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</si>
  <si>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</si>
  <si>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</si>
  <si>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</si>
  <si>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</si>
  <si>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</si>
  <si>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</si>
  <si>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</si>
  <si>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</si>
  <si>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</si>
  <si>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</si>
  <si>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</si>
  <si>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</si>
  <si>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</si>
  <si>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</si>
  <si>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</si>
  <si>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</si>
  <si>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</si>
  <si>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</si>
  <si>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</si>
  <si>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</si>
  <si>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</si>
  <si>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</si>
  <si>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Чебуреки сочные, ВЕС, куриные жарен. зам  ПОКОМ</t>
  </si>
  <si>
    <t>Итого</t>
  </si>
  <si>
    <t>Параметры:</t>
  </si>
  <si>
    <t>Период отчета: 21.10.2026 - 21.10.2026</t>
  </si>
  <si>
    <t>Отбор:</t>
  </si>
  <si>
    <t>Партнер Не в группе из списка "18 (4) ИП Арефьев( Филиал...; 1463 (45) МР ИП Ставриенк...; Физическое лицо Поляков В...; ИП Поляков опт  Мелитопол...; Физическое лицо Патяка О...." И
Документ.Склад.Подразделение В группе из списка "Основное подразделение Ме..."</t>
  </si>
  <si>
    <t>в Разрезе складов</t>
  </si>
  <si>
    <t>Документ.Склад</t>
  </si>
  <si>
    <t>* 2-8 УЦЕНКА Мелитополь</t>
  </si>
  <si>
    <t>АСП Мелитополь Останкино молоко</t>
  </si>
  <si>
    <t>АСП1 ЗПФ Мелитополь</t>
  </si>
  <si>
    <t>АСП1 Мелитополь Останкино</t>
  </si>
  <si>
    <t>АСП1 Мелитополь ПОКОМ</t>
  </si>
  <si>
    <t>в т.ч. ОПТ</t>
  </si>
  <si>
    <t>Отбор: Партнер В группе из списка "ООО Мясной Бум ОПТ1, г.Макеевка, квартал 61, д.36; Физическое лицо Табота Херсонская обл г.Новая Каховка...; Карлова С.С. ИП (г.Донецк, пр-кт Ильича, д.105); ИП Карлов И.С., Дон. обл. г. Макеевка, переулок Автоб...; Малахутин А.В. ИП (г.Горловка, ул.Первомайская, д.50/...; Малахутин А.В. ИП (г.Горловка, ул.Первомайская, д.50а...; Решетняк Е.А. ИП (г.Старобельск, пл.Товарная, д.3, ма...; Украинцев А.Н. ИП (г.Старобельск, ул.Кирова, д.43А, м...; Физическое лицо Патяка О.Н. Запорожская обл. г.Мелито...; Физическое лицо Поляков В.И. Запорожская обл. Мелитоп...;..."</t>
  </si>
  <si>
    <t>Партнер</t>
  </si>
  <si>
    <t>ИП Дьяченко Запорожская обл. г. Мелитополь ул. 8 Марта склад (при въезде справа)/+79900206880 Ан</t>
  </si>
  <si>
    <t>Водителя и партнеры</t>
  </si>
  <si>
    <t>Водитель</t>
  </si>
  <si>
    <t>№ в группе</t>
  </si>
  <si>
    <t>Вовк Виталий Николаевич</t>
  </si>
  <si>
    <t>ИП Харченко Херсонская обл с.Нижние Торгаи ул.Центральная 63 маг."Мечта"</t>
  </si>
  <si>
    <t>Барцал О.Ф. ИП (с.Новогородковка, ул.Центральная, д.10, по Херсон.трассе)</t>
  </si>
  <si>
    <t>Токарчук В.В. ИП (с.Высокое, ул.Вишневая, д.1а)</t>
  </si>
  <si>
    <t>ИП Трофименко Н.А.Херсонская обл пгт.Ивановка ул.Украинская 19 м-н"Рукавичка" / +79902290551</t>
  </si>
  <si>
    <t>ИП Юсупова З.Л. Херсонская обл Нижнесерогозский р-н с Нижние Торгаи ул Центральная 29  с 8 до 20</t>
  </si>
  <si>
    <t>ИП Коваленко Херсонская обл пгт.Ивановка Рынок ларёк "Фишка" (возле Братышенко) / +79900527924</t>
  </si>
  <si>
    <t>Щербань Е.В. ИП (ул.Солнечная, д.17/2)</t>
  </si>
  <si>
    <t>ИП Межлумян К И Запорожская обл Акимовский р-н с,Петровка ул Юбилейная 28  +79900575217</t>
  </si>
  <si>
    <t>ИП Юсубова Н.К. Херсонская обл пгт Ивановка ул Дружбы (Карла Маркса) 115 м-н "Александрия"</t>
  </si>
  <si>
    <t>ИП Гордовенко С.П.Херсонская обл Ивановский р-н  с.Фрунзе ул Садовая" Продукты "</t>
  </si>
  <si>
    <t>Рындя И.С. ИП (с.Агайманы, ул.Спартака, д.4)</t>
  </si>
  <si>
    <t>ИП Литвиненко В.В.Херсонская обл пгт Ивановка ул Соборная 4 " Каприз"</t>
  </si>
  <si>
    <t>ИП Ельцова Херсонская обл.Ивановский р-он,сФрунзе( Агайманы) ул Б Хмельницкого 10 возле Бачинской ,ч</t>
  </si>
  <si>
    <t>ИП Федюк Т.Н. Херсонская обл. Ивановский р-н пгт. Ивановка ул. Горького, 26 м-н "Продукты"/+79900655</t>
  </si>
  <si>
    <t>Вергун Л.С. ИП (с.Черноземное, ул.Ленина, д.4, м-н Мир)</t>
  </si>
  <si>
    <t>Мельник В.А. ИП (пгт.Ивановка, ул.Таврическая, д.10, м-н Продукты, возле рынка)</t>
  </si>
  <si>
    <t>ИП Братищенко Херсонская обл пгт Ивановка ул Соборная ( рынок)</t>
  </si>
  <si>
    <t>ИП Билык С.В. Запорожская обл Акимовский р-н с.Петровка ул.Юбилейная 42А(ПО ХЕРСОНСКОЙ ТРАССЕ) обед1</t>
  </si>
  <si>
    <t>Гасанов Я.Х. ИП (пгт.Ивановка, ул.Украинская, д.20, напротив Трофименко)</t>
  </si>
  <si>
    <t>Барабаш Ю.В. ИП (пгт.Ивановка, ул.Соборная, д.9, м-н Смак)</t>
  </si>
  <si>
    <t>ИП Кубайкина С И Запорожская обл Мелитопольский район с, Высокое ул Мира 5 а  с 8 м-н Кооп маркет</t>
  </si>
  <si>
    <t>ИП Чубата Н.И.Херсонская обл Ивановский р-н с.Шотовка ул.Степная 7 м-н"Продукты"</t>
  </si>
  <si>
    <t>ИП Коваленко Херсонская обл пгт Ивановка ул. Таврическая " Мамина Хата" ( рынок)</t>
  </si>
  <si>
    <t>ИП Сеттаров Є.Н.Херсонская обл пгт.Ивановка ул.Соборная 21 / +79900504089</t>
  </si>
  <si>
    <t>Деревянко Н.П. ИП (пгт.Ивановка, ул.Соборная, д.8)</t>
  </si>
  <si>
    <t>Голобородько Евгений Иванович</t>
  </si>
  <si>
    <t>ИП Кононов Е.П.Херсонская обл пгт Н. Серогозы ул. Петровского 19А " Ветеран" \ +79900955260</t>
  </si>
  <si>
    <t>Ткач Н.С. ИП (пгт.Нижние Серогозы, ул.Степная, д.12А, м-н Визит, на выезде)</t>
  </si>
  <si>
    <t>ИП Де-Луко М.Ф.Херсонская обл пгт Н. Серогозы ул.Мира 27 " Смак" +79900540868 Светлана</t>
  </si>
  <si>
    <t>ИП Мартынкевич С С Херсонская обл Н Серогозкий рн с Станция Сергозы ул Свободы 5а маг Светлана  +799</t>
  </si>
  <si>
    <t>ИП Шляхова Херсонская обл с.Нижние Серогозы ул. Высочина,7 (напротив аптеки, за Насо / +79900560664</t>
  </si>
  <si>
    <t>ИП Ермакова Херсонская обл пгт Н. Серогозы ул. Независимости  46а "  79900857956 Валентина</t>
  </si>
  <si>
    <t>Пономаренко Е.Г. ИП (пгт.Нижние Серогозы, ул.Таврийская, д.27, м-н Амазон)</t>
  </si>
  <si>
    <t>Кислая Н.С. ИП (ул.Высочина, д.25, м-н Дуэт)</t>
  </si>
  <si>
    <t>ИП Романенко Ю.М. Херсонская обл.,пгт Н.Серогозы,ул.Жданова 5,маг.Стекляшка</t>
  </si>
  <si>
    <t>ИП Шабалдина Л.С.Херсонская обл Ниженесерогоз. р-н с.Верхние Серогозы ул.Центральная 1 м-н"Продукты"</t>
  </si>
  <si>
    <t>ИП Разинков А.В.  Херсонская обл Н..Серогозы ул.Банковая 37 м-н "Феникс"</t>
  </si>
  <si>
    <t>ИП Гомон Херсонская обл пгт.Нижние Серогозы ул.Садовая 4 м-н Комфорт (центр) /+79900004508</t>
  </si>
  <si>
    <t>ИП Гаврилов В. А. (Виктор Алексеевич) Херсонская обл. Пгт Нижние Серогозы. Ул Чкалова, 10. +79901746</t>
  </si>
  <si>
    <t>ИП Качмар С.В. Херсонская обл. пгт. Н. Серогозы ул.Таврийская 1"Теремок" 8-14/ +79901595726 Светла</t>
  </si>
  <si>
    <t>ИП Полежаева Херсонская обл с.Верхние Серогозы ул.Почтовая,18  маг."Продукты" с 8 до 18/+79900035940</t>
  </si>
  <si>
    <t>Замниус Геннадий Михайлович</t>
  </si>
  <si>
    <t>ИП Кузнецов И.В. Запорожская обл Михайловский р-н с.Тимошовка ул.Магистральная 29 м-н"Продукты"</t>
  </si>
  <si>
    <t>Огур Н.В. ИП (с.Высокое, ул.40 лет Победы, д.44)</t>
  </si>
  <si>
    <t>ИП Еськова Запорожская обл.Михайловский р-н с.Тимошевка ул. Калинина 34 м-н "Продукты" /79900769728</t>
  </si>
  <si>
    <t>Кривохижа В.А. ИП (ул.Мичурина, д.186, м-н Буревестник)</t>
  </si>
  <si>
    <t>Тарасевич С.Д. ИП (пгт.Михайловка, ул.Мира, д.17а, м-н Эконом)</t>
  </si>
  <si>
    <t>ИП Корницкая Е.Ф. Запорожская обл. пгт Михайловка ул. Коноваленко 2Б (бывший Пыжик)/+79901300458</t>
  </si>
  <si>
    <t>ИП Калиниченко Запорожская обл.Васильевский р-н пгт.Михайловка ул.Космическая 37 м-н"Кубик"</t>
  </si>
  <si>
    <t>ИП Силаева Запорожская обл.пгт..Михайловка ул.Школьная 31Б / +79900660134</t>
  </si>
  <si>
    <t>ИП Бяширова О.С Запорожская обл.пгт Пришиб ул.Южная 29/1 "Альянс+79901018942</t>
  </si>
  <si>
    <t>Пасько Л.Т. ИП (ул.Центральная, д.33, м-н Артемида)</t>
  </si>
  <si>
    <t>Бойчун А.Н. ИП (с.Высокое, ул.40 лет Победы, д.72, м-н Веселка)</t>
  </si>
  <si>
    <t>ИП Савинова Ю.В. Запорожская обл. пгт Михайловка ул. Коноваленко 6 Рынок(направо от шаурмы) ( до 14:</t>
  </si>
  <si>
    <t>ИП Красников Запорожская обл Михайловский р-н с.Тимошовка ул.Мира 13А м-н"Грант" / +79900710702 /+79</t>
  </si>
  <si>
    <t>ИП Гапон Запорожская обл.пгт Михайловка  ул. Мира, 17  магазин "Наминайка"  +38 0975212316</t>
  </si>
  <si>
    <t>Сизова Я.И. ИП (пгт.Пришиб, ул.Школьная, д.1/1, маг.Анмар)</t>
  </si>
  <si>
    <t>ИП Дяконова Запорожская обл.пгт.Пришиб ул.Центральная 95.маг."Вест"(на рынке)</t>
  </si>
  <si>
    <t>Кашникова О.А. ИП (ул.Мира, д.22, м-н Вест)</t>
  </si>
  <si>
    <t>ИП Голуб  Запорожская обл.  пгт.Михайловка, ул. Центральныа 15А,   маг."Пёрший"   т.+79900650722</t>
  </si>
  <si>
    <t>Кашникова О.А. ИП (ул.Куйбышева, д.1, в одном здании с Сизовой)</t>
  </si>
  <si>
    <t>Чарелидзе Е.М. ИП (с.Пришиб, ул.Калинина, д.38, м-н Елена)</t>
  </si>
  <si>
    <t>ИП Голуб Ю.Н. Запорожская обл.пгт.Михайловка ул.Центральная 15а №7(первый)</t>
  </si>
  <si>
    <t>Пасько Л.Т. ИП (пер.Фестивальный, д.2, м-н Артемида, 1 этаж)</t>
  </si>
  <si>
    <t>Мирошниченко Андрей Николаевич</t>
  </si>
  <si>
    <t>МЕРА ООО 323 (ул.Дзержинского, д.294/4, Новый Мелитополь)</t>
  </si>
  <si>
    <t>МЕРА ООО (ул.Ленина, д.18/2)</t>
  </si>
  <si>
    <t>МЕРА ООО 40 (ул.Шмидта, д.40)</t>
  </si>
  <si>
    <t>МЕРА ООО 773 (пр.Б.Хмельницкого(Шмидта), д.50)</t>
  </si>
  <si>
    <t>МЕРА ООО 882 (ул.Кирова, д.14/2)</t>
  </si>
  <si>
    <t>МЕРА ООО 82 (ул.Гризодубовой, д.42)</t>
  </si>
  <si>
    <t>Мороз С.А. ИП (г.Мелитополь, ул.Дзержинского, д.291, маг.Заря, возле АТБ)</t>
  </si>
  <si>
    <t>ИП Дейнега А.В.Запорожская обл,г.Днепрорудный, ул.Краснофлотская 71 (порт),Причал, +79900644843</t>
  </si>
  <si>
    <t>ИП Дейнега  О.В.Запорожская обл г Днепрорудный ул Энтузиастов 13 " Удачный " \ 79900409219</t>
  </si>
  <si>
    <t>ИП Сухова Запорожская обл Васильевский р-н с.Ивановка ул.Широкая 83А м-н"Сич"/+79900723484</t>
  </si>
  <si>
    <t>ИП Костина В.А.,г.Мелитополь,Н.Мелитополь,рынок,бат.№59,+79900231386</t>
  </si>
  <si>
    <t>ИП Губа А.В. Запорожская обл. г. Днепрорудный, ул.Шахтерская 12 "Авоська"</t>
  </si>
  <si>
    <t>ИП Войнаровский В.В.Запорожская обл, г. Днепрорудный, ул. Комсомольская 25,маг. Визит</t>
  </si>
  <si>
    <t>Алыпов П.С. ИП (г.Мелитополь, ул.Гризодубовой, д.44, м-н Пиво Вода Еда)</t>
  </si>
  <si>
    <t>ИП Деков г.Мелитополь ул.Гризодубовой 37 м-н "Файно"</t>
  </si>
  <si>
    <t>Панасенко Александр Сергеевич</t>
  </si>
  <si>
    <t>(1) ИП Шапошник А.В. Запорожская обл г.Токмак ул.Центральная 42А м-н "У Виталика" \ +79900411763 (о</t>
  </si>
  <si>
    <t>(4) ИП Козлова Запорожская обл г.Токмак Рынок (павильон находиться с лева по пути на фантазию)</t>
  </si>
  <si>
    <t>(4) ИП Плуговая,Запорожская обл.г.Токмак ул.Б.Хмельницкого 3(бывший Грошик)+79900717250 Оля</t>
  </si>
  <si>
    <t>Корчак Е.В. ИП (ул.Шевченко, д.54, м-н Арбат)</t>
  </si>
  <si>
    <t>(4)ИП Бесклетко Н.Н Запорожская обл г.Токмак,ул.Центральная 65,м-н Вина мира раб.до 13./+79902547491</t>
  </si>
  <si>
    <t>Шевченко А.В. ИП (г.Токмак, ул.Куйбышева, д.64)</t>
  </si>
  <si>
    <t>МЕРА ООО 193 (ул.Центральная, д.46)</t>
  </si>
  <si>
    <t>Патчинская В.В. ИП (г.Токмак, ул.Володарского, д.680, м-н Продукты)</t>
  </si>
  <si>
    <t>(4) ИП Сухой С.И Запорожская обл г.Токмак ул.Центральная 46 м-н"Свежачок"возле Меры</t>
  </si>
  <si>
    <t>Соколова Н.И. ИП (г.Токмак, ул.Привокзальная, д.76, магазин №17)</t>
  </si>
  <si>
    <t>(4) ИП Прус Р.Г. Запорожская обл г.Токмак ул.Красноармейская 82 м-н"На дому"</t>
  </si>
  <si>
    <t>(3) ИП Еременко О.А.Запорожскаяобл. г.Токмак угу. Ленина 257 маг Барселона</t>
  </si>
  <si>
    <t>Бесклетко А.Ф. ИП (ул.Садовая, д.2)</t>
  </si>
  <si>
    <t>(3) ИП Мельник С.В. Запорожская обл г.Токмак ул.Дружбы 364А м-н"Теремок"(с 9 до 15) / +79900679310</t>
  </si>
  <si>
    <t>Прус Т.В. ИП (г.Токмак, ул.Ленина, д.27А, м-н Мария)</t>
  </si>
  <si>
    <t>(3) ИП Сытник Л.В.Запорожская обл г.Молочанск ул.Шевченко 99 м-н"Мясной"(доставка до 13:30)</t>
  </si>
  <si>
    <t>(3)ИП Вовченко М М Запорожская обл с Светлодолинское ул Гагарина 78 м-н У Михалыча +79902201991</t>
  </si>
  <si>
    <t>(2) ИП Валовая Н.А. Запорожская обл г.Токмак ул.Мостовая 8 м-н"Десятый"</t>
  </si>
  <si>
    <t>(3) ИП Крутая Е. В.  Запорожская обл. г. Токмак ул. Ленина 19 м-н "Гурман"</t>
  </si>
  <si>
    <t>(2) ИП Синица Л.И. Запорожская обл г.Токмак ул.Серегина 12 м-н"Южный"</t>
  </si>
  <si>
    <t>Еременко Н.А. ИП (г.Токмак, ул.Владимировская, д.139)</t>
  </si>
  <si>
    <t>(2) ИП Тазаева И.И. Запорожская обл г.Токмак ул.Заливная 21 м-н"Красный павильон"(возле моста)</t>
  </si>
  <si>
    <t>(4) ИП Буланова И.О. Запорожская обл г.Токмак ул.Революционная 24 м-н"Купец"</t>
  </si>
  <si>
    <t>Шило Т.В. ИП (г.Токмак, ул.Ленина, д.56)</t>
  </si>
  <si>
    <t>(3) ИП Матяж Р.Ф. Запорожская обл г.Молочанск ,ул.Шевченко 124а, +79900580416</t>
  </si>
  <si>
    <t>(4) ИП Чаусова А.В. Запорожская обл г.Токмак ул Центральная 26 маг- н "Всё По 5</t>
  </si>
  <si>
    <t>(4) ИП Жийнова Н.В. Запорожская  г.Токмак.ул.Гоголя 77 магазин Корзинка  возле ПСБ Банка</t>
  </si>
  <si>
    <t>Левченко Л.И. ИП (ул.Огородняя, д.100, м-н Мариетта)</t>
  </si>
  <si>
    <t>(4) ИП Сухой С.И Запорожская обл г.Токмак ул.Центральная 46 Рынок м-н игрушек"Модный"</t>
  </si>
  <si>
    <t>Пуйда С.В. ИП (г.Токмак, ул.Шевченко, д.41)</t>
  </si>
  <si>
    <t>Попов Алексей Васильевич</t>
  </si>
  <si>
    <t>Окованцева И.Г. ИП (с.Днепровка, ул.Центральная, д.541 а, возле блок поста, м-н Продукты)</t>
  </si>
  <si>
    <t>ИП Нечистый А.Н. Запорожская обл г Энергодар, ул.Молодежная 30 м-н "Полина" (коттеджи)</t>
  </si>
  <si>
    <t>Шевченко И.Н. ИП (с.Водяное, ул.Ленина, д.251, маг.Продукты)</t>
  </si>
  <si>
    <t>ИП Коваль Запорожская обл г.Васильевка ул.Ленина 9 м-н"Аврора" (доставка до 13) / +79900700827</t>
  </si>
  <si>
    <t>Юхно Е.Ю. ИП (ул.Центральная, д.14А, м-н Барвинок)</t>
  </si>
  <si>
    <t>Романюта Александр Алексеевич</t>
  </si>
  <si>
    <t>ХЛЕБОКОМБИНАТ СКАДОВСКОГО РАЙПО ППК (ул.Комсомольская, д.157)</t>
  </si>
  <si>
    <t>ИП Цыганок Херсонская обл г.Скадовск ул.Черновола 103 м-н"Продукты Алаказай"\+79900472305</t>
  </si>
  <si>
    <t>ИП Клочко И.А.Херсонская обл г.Скадовск ул.Чапаева 199 ( с 8 до 17)</t>
  </si>
  <si>
    <t>Ким А.И. ИП (ул.Херсонская, д.14-А)</t>
  </si>
  <si>
    <t>ИП Смелова Херсонская обл Чаплынский р-н с.Надеждовка ул.Молодёжная 31 / +79900484232 Маша</t>
  </si>
  <si>
    <t>МЛ ИП Клочко И.А.Херсонская обл г.Скадовск ул.Гуманенка 12В м-н"Джем" (с 8-17)</t>
  </si>
  <si>
    <t>Карпус Л.С. ИП (ул.Покровская, д.13)</t>
  </si>
  <si>
    <t>ИП Глухов А.Н.Херсонская обл г.Скадовск ул.Магубинская 150 м-н"Кокос"\ +79900348036 Валерия Павловна</t>
  </si>
  <si>
    <t>ИП Игнатенко Л.В. Херсонская обл г.Скадовск ул.Короленко 92 м-н"Миндаль"</t>
  </si>
  <si>
    <t>Боцман Т.А. ИП (ул.Херсонская, д.40Г, м-н Престиж)</t>
  </si>
  <si>
    <t>ИП Крекотень Н.Н., Херсонская обл., г. Скадовск, ул. Комсомольская 286, угловой м-н "Овощи"</t>
  </si>
  <si>
    <t>ИП Клецкий Е.А. Херсонская обл. Скадовский р-н с. Антоновка, ул. Садовая, 17</t>
  </si>
  <si>
    <t>Соловьев Сергей</t>
  </si>
  <si>
    <t>ИП Пароконный И.А. г.Мелитополь ул.Чайковского 57 м-н"Файно" до 14.00</t>
  </si>
  <si>
    <t>ИП Мамонова Н.В. г.Мелитополь ул. Октябрьская,44/1 магазин "Любимый"  +.79900229650</t>
  </si>
  <si>
    <t>Терещенко И.Н. ИП (г.Мелитополь, ул.Первомайская, д.120, м-н Продукты)</t>
  </si>
  <si>
    <t>Чупета А.А. ИП (б-р 30-летия Победы, д.38, м-н Фишка)</t>
  </si>
  <si>
    <t>ИП Рутман О.П. г. Мелитополь ул. Ивана Франка, 49/1 м-н "Дельфин" / +79900011438</t>
  </si>
  <si>
    <t>Декова Н.В. ИП (г.Мелитополь, ул.Академика Королева, д.133/7, напротив Меры, м-н Пельмания)</t>
  </si>
  <si>
    <t>ИП Деков  г.Мелитополь пр.50л.Победы 49  м-н"Ермолино"(возле Зеркального) / +79900428941</t>
  </si>
  <si>
    <t>Басалыга А.А. ИП (ул. Декабристов, д.52)</t>
  </si>
  <si>
    <t>Оглый А.Ю. ИП (г.Мелитополь, ул.Академика Королева, д.177, Продуктовый Магазин Доступные Цены, напро</t>
  </si>
  <si>
    <t>ИП Симонова Запорожская обл. г.Мелитополь ул.Февральская 231/1  маг"Продукты"</t>
  </si>
  <si>
    <t>Цыбульник А.В. ИП (пр-кт 50 лет Победы, д.49, Таврический рынок, бат.54)</t>
  </si>
  <si>
    <t>ИП Турубар г.Мелитополь б-р.30 лет Победы 1/1 "Мелитопольский РыбЦех" / +79900218641 Ольга До 16:00</t>
  </si>
  <si>
    <t>Елисеев Р.В. ИП (г.Мелитополь, ул.Казарцева, д.16, м-н ТОТ)</t>
  </si>
  <si>
    <t>ИП Клим, Запорожская обл., г.Мелитополь, ул.Гагарина 3 м-н "Я мигом""</t>
  </si>
  <si>
    <t>ИП Подгаецкая Запорожская обл. г. Мелитополь  ул. Ворошилова 4 м-н "Хомяк"</t>
  </si>
  <si>
    <t>ИП Тошева,г.Мелитополь,проспект Б.Хмельницкого 82,маг.Харчи,+79900219231</t>
  </si>
  <si>
    <t>Кондратьев И.В. ИП (пр.50 лет Победы, д.27, м-н Афина)</t>
  </si>
  <si>
    <t>ИП Павлова Н.В. г.Мелитополь ул. Героев Украины, рынок лоток 9-10 +79900278629</t>
  </si>
  <si>
    <t>Овчаренко Н.И. ИП (г.Мелитополь, ул.Ломоносова, д.62, маг.Ассоль)</t>
  </si>
  <si>
    <t>Кадырова Н.С. ИП (г.Мелитополь, б-р 30-летия Победы, д.40/4, маг.Балу)</t>
  </si>
  <si>
    <t>ИП Вдовиченко С.Е.Запорожская обл.Мелитополь 1й пер. Малюги 43 тел.+79900001102 Сергей</t>
  </si>
  <si>
    <t>ИП Борисова А. Г. г. Мелитополь 50 лет Победы 38 (возле маг.Максимум) тел.+79900215840 Алла</t>
  </si>
  <si>
    <t>ИП Нелипа И.В. г.Мелитополь ул.Невского 18  м-н"В.И.Д" / +79900433648 Ирина Владимировна</t>
  </si>
  <si>
    <t>ИП Прилюдько Е. В.г.Мелитополь ул.Гризодубова 60 маг.Продукты тел.79900217096 Екатерина</t>
  </si>
  <si>
    <t>ИП Кобец М.Н. Запорожская обл.г.Мелитополь ул.Калинина 101 маг "Ирис"</t>
  </si>
  <si>
    <t>Попова Т.Ю. ИП (ул.Бориса Михайлова, д.266)</t>
  </si>
  <si>
    <t>Овчаренко Н.И. ИП (г.Мелитополь, ул.58 Армии, д.111А, м-н Визит)</t>
  </si>
  <si>
    <t>Дерменжиева А.А. ИП (г.Мелитополь, ул.Чкалова, д.379/2, Харчи)</t>
  </si>
  <si>
    <t>Елисеева М.И. ИП (2-й пер.Чайковского, д.7)</t>
  </si>
  <si>
    <t>ИП Барбарчик А.Н. Запорожская обл. г. Мелитополь ул. Лунева 90/1 м-н "Причал"/+79901018347</t>
  </si>
  <si>
    <t>ИП Терещенко г.Мелитополь ул.Ворошилова 85А м-н"Продукты" \ +79900415113</t>
  </si>
  <si>
    <t>Вережников А.В. ИП (г.Мелитополь, ул.Пожарского, д.2А, магазин Пять этажей)</t>
  </si>
  <si>
    <t>ИП Куртева г.Мелитополь Образцовый Рынок Продуктовая №5</t>
  </si>
  <si>
    <t>ИП Конюшин Мелитополь 50 лет Победы 68 маг "Салют"</t>
  </si>
  <si>
    <t>Самбурская С.А. ИП (г.Мелитополь, б-р 30 лет Победы, д.42, остановка)</t>
  </si>
  <si>
    <t>ИП Стрельченко О.В. г.Мелитополь ул.Геническая 62 м-н"Вкус плюс"(возле СТО Бранд, с 9:00) / +7990088</t>
  </si>
  <si>
    <t>ИП Терещенко   г.Мелитополь ул. Молодёжная 64     маг."Продукты" (с 8 до 14)</t>
  </si>
  <si>
    <t>Тышковская О.П. ИП (г.Мелитополь, ул.Полевая, д.1/2, м-н Тавричанка)</t>
  </si>
  <si>
    <t>Цыбульник А.В. ИП (пр-кт 50 лет Победы, д.49, Таврический рынок, бат.53)</t>
  </si>
  <si>
    <t>ИП Мельникова Запорожская обл. г. Мелитополь ул.Героев Сталинграда, 13</t>
  </si>
  <si>
    <t>ИП Куртева О. П.  Мелитополь Дарьи Дугиной 5 Образцовый рынок Продуктовая 57 тел.79900006834 Елена</t>
  </si>
  <si>
    <t>Вечеря С.В. ИП (г.Мелитополь, ул.Е.Великой, д.390а, маг.Скорпион)</t>
  </si>
  <si>
    <t>ИП Мартынюк Д.О. г.Мелитополь пр-кт.Б.Хмельницкого 47 м-н"Вкусняшка"</t>
  </si>
  <si>
    <t>ИП Давыдова Запорожская обл.г.Мелитополь ул. Тельмана 54 маг. "Зевс"  +79900252358 Ирина</t>
  </si>
  <si>
    <t>ИП Мартынюк г.Мелитополь пр.50 лет Победы 51/2 маг."В корзине"</t>
  </si>
  <si>
    <t>Паламарчук Л.И. ИП (г.Мелитополь, пр-т Б.Хмельницкого, д.25, м-н Гурман, возле Квалитета)</t>
  </si>
  <si>
    <t>ИП Сафонова И.А.Запорожская обл. г.Мелитополь б-р.30-лет Победы 31 рынок на Куме (ларек с права)</t>
  </si>
  <si>
    <t>Николаев А.Г. ИП (г.Мелитополь, пр-кт 50-летия Победы, д.40)</t>
  </si>
  <si>
    <t>ИП Минков Е.Ю. г.Мелитополь ул. Олега Кошевого, 29А магазин "Продукты"</t>
  </si>
  <si>
    <t>Титова Я.А. ИП (ул.Брив-ла-Гайард, д.13/1, маг.27 квартал)</t>
  </si>
  <si>
    <t>Мищенко Е.В. ИП (г.Мелитополь, пр-кт 50 лет Победы, д.22а, м-н Купец)</t>
  </si>
  <si>
    <t>ГРОШИК РИТЕЙЛ ООО (пр-кт Богдана Хмельницкого, д.66А, Магазин №3)</t>
  </si>
  <si>
    <t>ИП Тышковский А.А. г. Мелитополь ул. Олега Кошевого, 85 А +79900205995</t>
  </si>
  <si>
    <t>ИП Проскурня г.Мелитополь ул.Героев Сталинграда 1 м-н"Торты"</t>
  </si>
  <si>
    <t>ИП Фефелов Л.Л. г.Мелитополь ул.Дзержинского 36 опт "Чикен" (напротив Опт пиво напитки) / +799002010</t>
  </si>
  <si>
    <t>ИП Цыбульник г Мелитополь  Б Хмельницкого 3 напротив Водоканала бывшие кассы</t>
  </si>
  <si>
    <t>Декова Н.В. ИП (г.Мелитополь, ул.Кирова, д.52/1)</t>
  </si>
  <si>
    <t>ИП Вавилова Н.П. Запорожская обл г.Мелитополь пр-т 50л Победы д.22(бывший пыжик) /+79902761466 Натал</t>
  </si>
  <si>
    <t>Транспортное средство</t>
  </si>
  <si>
    <t>Н563ХВ82 Мерседес-Бенц Спринтер</t>
  </si>
  <si>
    <t>Н692ТЕ82 Мерседес-Бенц Спринтер</t>
  </si>
  <si>
    <t>А557ЕВ92 Мерседес-Бенц Спринтер</t>
  </si>
  <si>
    <t>Н803ХХ82 Мерседес-Бенц Спринтер</t>
  </si>
  <si>
    <t>К179ЕХ82 Мерседес-Бенц Спринтер</t>
  </si>
  <si>
    <t>A-АР0000ВС Фура опт(Попов)</t>
  </si>
  <si>
    <t>Н178РТ82 Мерседес-Бенц Спринтер</t>
  </si>
  <si>
    <t>В166ВА185 Мерседес-Бенц Спринтер</t>
  </si>
  <si>
    <t>Остатки, кг (на утро 21.10.26, Мелитополь)</t>
  </si>
  <si>
    <t>аа</t>
  </si>
  <si>
    <t>ДЕФЕЦИТ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</si>
</sst>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4" x14ac:knownFonts="1">
    <font>
      <sz val="8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4ECC5"/>
        <bgColor rgb="FFFFF2CC"/>
      </patternFill>
    </fill>
    <fill>
      <patternFill patternType="solid">
        <fgColor rgb="FFFFF2CC"/>
        <bgColor rgb="FFF8F2D8"/>
      </patternFill>
    </fill>
    <fill>
      <patternFill patternType="solid">
        <fgColor rgb="FFF8F2D8"/>
        <bgColor rgb="FFFFF2CC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57">
    <xf numFmtId="0" fontId="0" fillId="0" borderId="0" xfId="0"/>
    <xf numFmtId="4" fontId="0" fillId="4" borderId="1" xfId="0" applyNumberFormat="1" applyFont="1" applyFill="1" applyBorder="1" applyAlignment="1">
      <alignment horizontal="right" vertical="top"/>
    </xf>
    <xf numFmtId="1" fontId="0" fillId="0" borderId="1" xfId="0" applyNumberFormat="1" applyFont="1" applyBorder="1" applyAlignment="1">
      <alignment horizontal="right" vertical="top"/>
    </xf>
    <xf numFmtId="2" fontId="0" fillId="0" borderId="1" xfId="0" applyNumberFormat="1" applyFont="1" applyBorder="1" applyAlignment="1">
      <alignment horizontal="right" vertical="top"/>
    </xf>
    <xf numFmtId="165" fontId="0" fillId="0" borderId="1" xfId="0" applyNumberFormat="1" applyFont="1" applyBorder="1" applyAlignment="1">
      <alignment horizontal="right" vertical="top"/>
    </xf>
    <xf numFmtId="166" fontId="0" fillId="0" borderId="1" xfId="0" applyNumberFormat="1" applyFont="1" applyBorder="1" applyAlignment="1">
      <alignment horizontal="right" vertical="top"/>
    </xf>
    <xf numFmtId="0" fontId="0" fillId="0" borderId="1" xfId="0" applyFont="1" applyBorder="1" applyAlignment="1">
      <alignment horizontal="left" vertical="top" wrapText="1" indent="4"/>
    </xf>
    <xf numFmtId="166" fontId="0" fillId="4" borderId="1" xfId="0" applyNumberFormat="1" applyFont="1" applyFill="1" applyBorder="1" applyAlignment="1">
      <alignment horizontal="right" vertical="top"/>
    </xf>
    <xf numFmtId="0" fontId="0" fillId="4" borderId="1" xfId="0" applyFont="1" applyFill="1" applyBorder="1" applyAlignment="1">
      <alignment horizontal="left" vertical="top" wrapText="1" indent="2"/>
    </xf>
    <xf numFmtId="165" fontId="0" fillId="4" borderId="1" xfId="0" applyNumberFormat="1" applyFont="1" applyFill="1" applyBorder="1" applyAlignment="1">
      <alignment horizontal="right" vertical="top"/>
    </xf>
    <xf numFmtId="2" fontId="0" fillId="4" borderId="1" xfId="0" applyNumberFormat="1" applyFont="1" applyFill="1" applyBorder="1" applyAlignment="1">
      <alignment horizontal="right" vertical="top"/>
    </xf>
    <xf numFmtId="164" fontId="0" fillId="4" borderId="1" xfId="0" applyNumberFormat="1" applyFont="1" applyFill="1" applyBorder="1" applyAlignment="1">
      <alignment horizontal="right" vertical="top"/>
    </xf>
    <xf numFmtId="0" fontId="0" fillId="4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4" fontId="1" fillId="0" borderId="0" xfId="0" applyNumberFormat="1" applyFont="1" applyAlignment="1">
      <alignment horizontal="right"/>
    </xf>
    <xf numFmtId="166" fontId="0" fillId="0" borderId="1" xfId="0" applyNumberFormat="1" applyFont="1" applyBorder="1" applyAlignment="1">
      <alignment horizontal="right" vertical="top"/>
    </xf>
    <xf numFmtId="165" fontId="0" fillId="0" borderId="1" xfId="0" applyNumberFormat="1" applyFont="1" applyBorder="1" applyAlignment="1">
      <alignment horizontal="right" vertical="top"/>
    </xf>
    <xf numFmtId="0" fontId="0" fillId="0" borderId="3" xfId="0" applyFont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0" fontId="0" fillId="0" borderId="5" xfId="0" applyFont="1" applyBorder="1" applyAlignment="1">
      <alignment horizontal="left" vertical="top"/>
    </xf>
    <xf numFmtId="0" fontId="0" fillId="0" borderId="3" xfId="0" applyFont="1" applyBorder="1" applyAlignment="1">
      <alignment horizontal="right" vertical="top"/>
    </xf>
    <xf numFmtId="0" fontId="0" fillId="0" borderId="4" xfId="0" applyFont="1" applyBorder="1" applyAlignment="1">
      <alignment horizontal="right" vertical="top"/>
    </xf>
    <xf numFmtId="0" fontId="0" fillId="0" borderId="5" xfId="0" applyFont="1" applyBorder="1" applyAlignment="1">
      <alignment horizontal="right" vertical="top"/>
    </xf>
    <xf numFmtId="0" fontId="0" fillId="4" borderId="3" xfId="0" applyFont="1" applyFill="1" applyBorder="1" applyAlignment="1">
      <alignment horizontal="right" vertical="top"/>
    </xf>
    <xf numFmtId="0" fontId="0" fillId="4" borderId="4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right" vertical="top"/>
    </xf>
    <xf numFmtId="0" fontId="0" fillId="4" borderId="3" xfId="0" applyFont="1" applyFill="1" applyBorder="1" applyAlignment="1">
      <alignment horizontal="left" vertical="top"/>
    </xf>
    <xf numFmtId="0" fontId="0" fillId="4" borderId="4" xfId="0" applyFont="1" applyFill="1" applyBorder="1" applyAlignment="1">
      <alignment horizontal="left" vertical="top"/>
    </xf>
    <xf numFmtId="0" fontId="0" fillId="4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64" fontId="0" fillId="0" borderId="1" xfId="0" applyNumberFormat="1" applyFont="1" applyBorder="1" applyAlignment="1">
      <alignment horizontal="right" vertical="top"/>
    </xf>
    <xf numFmtId="1" fontId="0" fillId="0" borderId="1" xfId="0" applyNumberFormat="1" applyFont="1" applyBorder="1" applyAlignment="1">
      <alignment horizontal="right" vertical="top" wrapText="1"/>
    </xf>
    <xf numFmtId="0" fontId="0" fillId="5" borderId="3" xfId="0" applyFont="1" applyFill="1" applyBorder="1" applyAlignment="1">
      <alignment horizontal="right" vertical="top"/>
    </xf>
    <xf numFmtId="0" fontId="0" fillId="5" borderId="4" xfId="0" applyFont="1" applyFill="1" applyBorder="1" applyAlignment="1">
      <alignment horizontal="right" vertical="top"/>
    </xf>
    <xf numFmtId="0" fontId="0" fillId="5" borderId="5" xfId="0" applyFont="1" applyFill="1" applyBorder="1" applyAlignment="1">
      <alignment horizontal="right" vertical="top"/>
    </xf>
    <xf numFmtId="1" fontId="0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0" borderId="0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4" fontId="0" fillId="0" borderId="1" xfId="0" applyNumberFormat="1" applyFont="1" applyBorder="1" applyAlignment="1">
      <alignment horizontal="right" vertical="top"/>
    </xf>
    <xf numFmtId="1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1" xfId="0" applyFont="1" applyBorder="1" applyAlignment="1">
      <alignment horizontal="left" vertical="top" wrapText="1" indent="2"/>
    </xf>
    <xf numFmtId="3" fontId="0" fillId="4" borderId="1" xfId="0" applyNumberFormat="1" applyFont="1" applyFill="1" applyBorder="1" applyAlignment="1">
      <alignment horizontal="right" vertical="top"/>
    </xf>
    <xf numFmtId="164" fontId="0" fillId="0" borderId="1" xfId="0" applyNumberFormat="1" applyFont="1" applyBorder="1" applyAlignment="1">
      <alignment horizontal="right" vertical="top"/>
    </xf>
    <xf numFmtId="3" fontId="0" fillId="0" borderId="1" xfId="0" applyNumberFormat="1" applyFont="1" applyBorder="1" applyAlignment="1">
      <alignment horizontal="right" vertical="top"/>
    </xf>
    <xf numFmtId="4" fontId="0" fillId="0" borderId="0" xfId="0" applyNumberFormat="1" applyFont="1" applyAlignment="1">
      <alignment horizontal="left"/>
    </xf>
    <xf numFmtId="0" fontId="0" fillId="6" borderId="0" xfId="0" applyFont="1" applyFill="1" applyAlignment="1">
      <alignment horizontal="left"/>
    </xf>
    <xf numFmtId="166" fontId="0" fillId="6" borderId="0" xfId="0" applyNumberFormat="1" applyFont="1" applyFill="1" applyAlignment="1">
      <alignment horizontal="left"/>
    </xf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8F2D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4ECC5"/>
      <rgbColor rgb="FF99CCFF"/>
      <rgbColor rgb="FFFF99CC"/>
      <rgbColor rgb="FFCC99FF"/>
      <rgbColor rgb="FFCCC08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3"/>
  <sheetViews>
    <sheetView tabSelected="1" zoomScaleNormal="100" workbookViewId="0">
      <selection activeCell="AP3" sqref="AP3"/>
    </sheetView>
  </sheetViews>
  <sheetFormatPr defaultColWidth="10.5" defaultRowHeight="11.25" outlineLevelRow="2" x14ac:dyDescent="0.2"/>
  <cols>
    <col min="1" max="1" width="9.5" style="15" customWidth="1"/>
    <col min="2" max="2" width="1" style="15" customWidth="1"/>
    <col min="3" max="3" width="4.1640625" style="15" customWidth="1"/>
    <col min="4" max="4" width="5.33203125" style="15" customWidth="1"/>
    <col min="5" max="5" width="15.5" style="15" customWidth="1"/>
    <col min="6" max="6" width="2" style="15" customWidth="1"/>
    <col min="7" max="7" width="1.1640625" style="15" customWidth="1"/>
    <col min="8" max="8" width="2.33203125" style="15" customWidth="1"/>
    <col min="9" max="9" width="11.33203125" style="15" customWidth="1"/>
    <col min="10" max="10" width="14.33203125" style="15" customWidth="1"/>
    <col min="11" max="11" width="3.5" style="15" customWidth="1"/>
    <col min="12" max="12" width="4.6640625" style="15" customWidth="1"/>
    <col min="13" max="14" width="2.33203125" style="15" customWidth="1"/>
    <col min="15" max="15" width="1.6640625" style="15" customWidth="1"/>
    <col min="16" max="16" width="3.1640625" style="15" customWidth="1"/>
    <col min="17" max="17" width="0.5" style="15" customWidth="1"/>
    <col min="18" max="18" width="1.83203125" style="15" customWidth="1"/>
    <col min="19" max="19" width="0.1640625" style="15" customWidth="1"/>
    <col min="20" max="20" width="3.1640625" style="15" customWidth="1"/>
    <col min="21" max="21" width="1.83203125" style="15" customWidth="1"/>
    <col min="22" max="22" width="1.6640625" style="15" customWidth="1"/>
    <col min="23" max="23" width="3.1640625" style="15" customWidth="1"/>
    <col min="24" max="24" width="3" style="15" customWidth="1"/>
    <col min="25" max="25" width="1.6640625" style="15" customWidth="1"/>
    <col min="26" max="26" width="3.1640625" style="15" customWidth="1"/>
    <col min="27" max="27" width="1.83203125" style="15" customWidth="1"/>
    <col min="28" max="28" width="2.83203125" style="15" customWidth="1"/>
    <col min="29" max="29" width="5" style="15" customWidth="1"/>
    <col min="30" max="30" width="1.83203125" style="15" customWidth="1"/>
    <col min="31" max="31" width="3.1640625" style="15" customWidth="1"/>
    <col min="32" max="32" width="1.83203125" style="15" customWidth="1"/>
    <col min="33" max="33" width="2.6640625" style="15" customWidth="1"/>
    <col min="34" max="34" width="4.5" style="15" customWidth="1"/>
    <col min="35" max="35" width="0.6640625" style="15" customWidth="1"/>
    <col min="36" max="36" width="2.83203125" style="15" customWidth="1"/>
    <col min="37" max="37" width="1.83203125" style="15" customWidth="1"/>
    <col min="38" max="38" width="16" style="15" customWidth="1"/>
    <col min="39" max="39" width="3" style="15" customWidth="1"/>
    <col min="41" max="41" width="10.5" style="56"/>
  </cols>
  <sheetData>
    <row r="1" spans="1:42" s="15" customFormat="1" ht="12.7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 t="s">
        <v>1</v>
      </c>
      <c r="P1" s="14"/>
      <c r="Q1" s="14"/>
      <c r="R1" s="14"/>
      <c r="S1" s="14"/>
      <c r="T1" s="14"/>
      <c r="U1" s="14"/>
      <c r="V1" s="14" t="s">
        <v>2</v>
      </c>
      <c r="W1" s="14"/>
      <c r="X1" s="14"/>
      <c r="Y1" s="14"/>
      <c r="Z1" s="14"/>
      <c r="AA1" s="14"/>
      <c r="AB1" s="14" t="s">
        <v>3</v>
      </c>
      <c r="AC1" s="14"/>
      <c r="AD1" s="14"/>
      <c r="AE1" s="14"/>
      <c r="AF1" s="14"/>
      <c r="AG1" s="14" t="s">
        <v>4</v>
      </c>
      <c r="AH1" s="14"/>
      <c r="AI1" s="14"/>
      <c r="AJ1" s="14"/>
      <c r="AK1" s="14"/>
      <c r="AL1" s="13" t="s">
        <v>515</v>
      </c>
      <c r="AO1" s="54"/>
    </row>
    <row r="2" spans="1:42" s="15" customFormat="1" ht="25.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 t="s">
        <v>5</v>
      </c>
      <c r="P2" s="14"/>
      <c r="Q2" s="14"/>
      <c r="R2" s="14"/>
      <c r="S2" s="14"/>
      <c r="T2" s="14"/>
      <c r="U2" s="14"/>
      <c r="V2" s="14" t="s">
        <v>6</v>
      </c>
      <c r="W2" s="14"/>
      <c r="X2" s="14"/>
      <c r="Y2" s="14"/>
      <c r="Z2" s="14"/>
      <c r="AA2" s="14"/>
      <c r="AB2" s="14" t="s">
        <v>7</v>
      </c>
      <c r="AC2" s="14"/>
      <c r="AD2" s="14"/>
      <c r="AE2" s="14"/>
      <c r="AF2" s="14"/>
      <c r="AG2" s="14"/>
      <c r="AH2" s="14"/>
      <c r="AI2" s="14"/>
      <c r="AJ2" s="14"/>
      <c r="AK2" s="14"/>
      <c r="AL2" s="13"/>
      <c r="AN2" s="15" t="s">
        <v>516</v>
      </c>
      <c r="AO2" s="54" t="s">
        <v>517</v>
      </c>
      <c r="AP2" s="15">
        <f>AP3+AP142+AP242</f>
        <v>1506.51</v>
      </c>
    </row>
    <row r="3" spans="1:42" s="15" customFormat="1" ht="10.5" customHeight="1" x14ac:dyDescent="0.2">
      <c r="A3" s="12" t="s">
        <v>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1">
        <v>1915.194</v>
      </c>
      <c r="P3" s="11"/>
      <c r="Q3" s="11"/>
      <c r="R3" s="11"/>
      <c r="S3" s="11"/>
      <c r="T3" s="11"/>
      <c r="U3" s="11"/>
      <c r="V3" s="11">
        <v>1130.8340000000001</v>
      </c>
      <c r="W3" s="11"/>
      <c r="X3" s="11"/>
      <c r="Y3" s="11"/>
      <c r="Z3" s="11"/>
      <c r="AA3" s="11"/>
      <c r="AB3" s="10">
        <v>784.36</v>
      </c>
      <c r="AC3" s="10"/>
      <c r="AD3" s="10"/>
      <c r="AE3" s="10"/>
      <c r="AF3" s="10"/>
      <c r="AG3" s="9">
        <v>824.41899999999998</v>
      </c>
      <c r="AH3" s="9"/>
      <c r="AI3" s="9"/>
      <c r="AJ3" s="9"/>
      <c r="AK3" s="9"/>
      <c r="AL3" s="17"/>
      <c r="AO3" s="54"/>
      <c r="AP3" s="15">
        <f>SUM(AO4:AO140)</f>
        <v>773.66399999999999</v>
      </c>
    </row>
    <row r="4" spans="1:42" s="15" customFormat="1" ht="10.5" customHeight="1" outlineLevel="1" x14ac:dyDescent="0.2">
      <c r="A4" s="8" t="s">
        <v>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7">
        <v>650.70000000000005</v>
      </c>
      <c r="P4" s="7"/>
      <c r="Q4" s="7"/>
      <c r="R4" s="7"/>
      <c r="S4" s="7"/>
      <c r="T4" s="7"/>
      <c r="U4" s="7"/>
      <c r="V4" s="9">
        <v>667.50800000000004</v>
      </c>
      <c r="W4" s="9"/>
      <c r="X4" s="9"/>
      <c r="Y4" s="9"/>
      <c r="Z4" s="9"/>
      <c r="AA4" s="9"/>
      <c r="AB4" s="9">
        <v>-16.808</v>
      </c>
      <c r="AC4" s="9"/>
      <c r="AD4" s="9"/>
      <c r="AE4" s="9"/>
      <c r="AF4" s="9"/>
      <c r="AG4" s="9">
        <v>11.614000000000001</v>
      </c>
      <c r="AH4" s="9"/>
      <c r="AI4" s="9"/>
      <c r="AJ4" s="9"/>
      <c r="AK4" s="9"/>
      <c r="AL4" s="17"/>
      <c r="AN4" s="15" t="s">
        <v>516</v>
      </c>
      <c r="AO4" s="54"/>
    </row>
    <row r="5" spans="1:42" s="15" customFormat="1" ht="10.5" hidden="1" customHeight="1" outlineLevel="2" x14ac:dyDescent="0.2">
      <c r="A5" s="6" t="s">
        <v>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>
        <v>5.5</v>
      </c>
      <c r="P5" s="5"/>
      <c r="Q5" s="5"/>
      <c r="R5" s="5"/>
      <c r="S5" s="5"/>
      <c r="T5" s="5"/>
      <c r="U5" s="5"/>
      <c r="V5" s="4">
        <v>5.4359999999999999</v>
      </c>
      <c r="W5" s="4"/>
      <c r="X5" s="4"/>
      <c r="Y5" s="4"/>
      <c r="Z5" s="4"/>
      <c r="AA5" s="4"/>
      <c r="AB5" s="4">
        <v>6.4000000000000001E-2</v>
      </c>
      <c r="AC5" s="4"/>
      <c r="AD5" s="4"/>
      <c r="AE5" s="4"/>
      <c r="AF5" s="4"/>
      <c r="AG5" s="3">
        <v>0.22</v>
      </c>
      <c r="AH5" s="3"/>
      <c r="AI5" s="3"/>
      <c r="AJ5" s="3"/>
      <c r="AK5" s="3"/>
      <c r="AL5" s="17">
        <v>129.97</v>
      </c>
      <c r="AN5" s="53">
        <f>AL5-AG5</f>
        <v>129.75</v>
      </c>
      <c r="AO5" s="54"/>
    </row>
    <row r="6" spans="1:42" s="15" customFormat="1" ht="10.5" hidden="1" customHeight="1" outlineLevel="2" x14ac:dyDescent="0.2">
      <c r="A6" s="6" t="s">
        <v>11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>
        <v>8.4</v>
      </c>
      <c r="P6" s="5"/>
      <c r="Q6" s="5"/>
      <c r="R6" s="5"/>
      <c r="S6" s="5"/>
      <c r="T6" s="5"/>
      <c r="U6" s="5"/>
      <c r="V6" s="4">
        <v>8.5570000000000004</v>
      </c>
      <c r="W6" s="4"/>
      <c r="X6" s="4"/>
      <c r="Y6" s="4"/>
      <c r="Z6" s="4"/>
      <c r="AA6" s="4"/>
      <c r="AB6" s="4">
        <v>-0.157</v>
      </c>
      <c r="AC6" s="4"/>
      <c r="AD6" s="4"/>
      <c r="AE6" s="4"/>
      <c r="AF6" s="4"/>
      <c r="AG6" s="3">
        <v>0.02</v>
      </c>
      <c r="AH6" s="3"/>
      <c r="AI6" s="3"/>
      <c r="AJ6" s="3"/>
      <c r="AK6" s="3"/>
      <c r="AL6" s="17">
        <v>56.521000000000001</v>
      </c>
      <c r="AO6" s="54"/>
    </row>
    <row r="7" spans="1:42" s="15" customFormat="1" ht="10.5" hidden="1" customHeight="1" outlineLevel="2" x14ac:dyDescent="0.2">
      <c r="A7" s="6" t="s">
        <v>12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>
        <v>49.9</v>
      </c>
      <c r="P7" s="5"/>
      <c r="Q7" s="5"/>
      <c r="R7" s="5"/>
      <c r="S7" s="5"/>
      <c r="T7" s="5"/>
      <c r="U7" s="5"/>
      <c r="V7" s="3">
        <v>52.72</v>
      </c>
      <c r="W7" s="3"/>
      <c r="X7" s="3"/>
      <c r="Y7" s="3"/>
      <c r="Z7" s="3"/>
      <c r="AA7" s="3"/>
      <c r="AB7" s="3">
        <v>-2.82</v>
      </c>
      <c r="AC7" s="3"/>
      <c r="AD7" s="3"/>
      <c r="AE7" s="3"/>
      <c r="AF7" s="3"/>
      <c r="AG7" s="20"/>
      <c r="AH7" s="21"/>
      <c r="AI7" s="21"/>
      <c r="AJ7" s="21"/>
      <c r="AK7" s="22"/>
      <c r="AL7" s="17">
        <v>136.48400000000001</v>
      </c>
      <c r="AO7" s="54"/>
    </row>
    <row r="8" spans="1:42" s="15" customFormat="1" ht="10.5" hidden="1" customHeight="1" outlineLevel="2" x14ac:dyDescent="0.2">
      <c r="A8" s="6" t="s">
        <v>13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5">
        <v>7.4</v>
      </c>
      <c r="P8" s="5"/>
      <c r="Q8" s="5"/>
      <c r="R8" s="5"/>
      <c r="S8" s="5"/>
      <c r="T8" s="5"/>
      <c r="U8" s="5"/>
      <c r="V8" s="3">
        <v>7.53</v>
      </c>
      <c r="W8" s="3"/>
      <c r="X8" s="3"/>
      <c r="Y8" s="3"/>
      <c r="Z8" s="3"/>
      <c r="AA8" s="3"/>
      <c r="AB8" s="3">
        <v>-0.13</v>
      </c>
      <c r="AC8" s="3"/>
      <c r="AD8" s="3"/>
      <c r="AE8" s="3"/>
      <c r="AF8" s="3"/>
      <c r="AG8" s="4">
        <v>7.0000000000000001E-3</v>
      </c>
      <c r="AH8" s="4"/>
      <c r="AI8" s="4"/>
      <c r="AJ8" s="4"/>
      <c r="AK8" s="4"/>
      <c r="AL8" s="17">
        <v>22.003</v>
      </c>
      <c r="AO8" s="54"/>
    </row>
    <row r="9" spans="1:42" s="15" customFormat="1" ht="10.5" hidden="1" customHeight="1" outlineLevel="2" x14ac:dyDescent="0.2">
      <c r="A9" s="6" t="s">
        <v>14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5">
        <v>2.6</v>
      </c>
      <c r="P9" s="5"/>
      <c r="Q9" s="5"/>
      <c r="R9" s="5"/>
      <c r="S9" s="5"/>
      <c r="T9" s="5"/>
      <c r="U9" s="5"/>
      <c r="V9" s="4">
        <v>2.6989999999999998</v>
      </c>
      <c r="W9" s="4"/>
      <c r="X9" s="4"/>
      <c r="Y9" s="4"/>
      <c r="Z9" s="4"/>
      <c r="AA9" s="4"/>
      <c r="AB9" s="4">
        <v>-9.9000000000000005E-2</v>
      </c>
      <c r="AC9" s="4"/>
      <c r="AD9" s="4"/>
      <c r="AE9" s="4"/>
      <c r="AF9" s="4"/>
      <c r="AG9" s="20"/>
      <c r="AH9" s="21"/>
      <c r="AI9" s="21"/>
      <c r="AJ9" s="21"/>
      <c r="AK9" s="22"/>
      <c r="AL9" s="17">
        <v>66.325999999999993</v>
      </c>
      <c r="AO9" s="54"/>
    </row>
    <row r="10" spans="1:42" s="15" customFormat="1" ht="10.5" hidden="1" customHeight="1" outlineLevel="2" x14ac:dyDescent="0.2">
      <c r="A10" s="6" t="s">
        <v>15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5">
        <v>16.5</v>
      </c>
      <c r="P10" s="5"/>
      <c r="Q10" s="5"/>
      <c r="R10" s="5"/>
      <c r="S10" s="5"/>
      <c r="T10" s="5"/>
      <c r="U10" s="5"/>
      <c r="V10" s="4">
        <v>17.670999999999999</v>
      </c>
      <c r="W10" s="4"/>
      <c r="X10" s="4"/>
      <c r="Y10" s="4"/>
      <c r="Z10" s="4"/>
      <c r="AA10" s="4"/>
      <c r="AB10" s="4">
        <v>-1.171</v>
      </c>
      <c r="AC10" s="4"/>
      <c r="AD10" s="4"/>
      <c r="AE10" s="4"/>
      <c r="AF10" s="4"/>
      <c r="AG10" s="20"/>
      <c r="AH10" s="21"/>
      <c r="AI10" s="21"/>
      <c r="AJ10" s="21"/>
      <c r="AK10" s="22"/>
      <c r="AL10" s="17">
        <v>174.28399999999999</v>
      </c>
      <c r="AO10" s="54"/>
    </row>
    <row r="11" spans="1:42" s="15" customFormat="1" ht="10.5" hidden="1" customHeight="1" outlineLevel="2" x14ac:dyDescent="0.2">
      <c r="A11" s="6" t="s">
        <v>16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2">
        <v>4</v>
      </c>
      <c r="P11" s="2"/>
      <c r="Q11" s="2"/>
      <c r="R11" s="2"/>
      <c r="S11" s="2"/>
      <c r="T11" s="2"/>
      <c r="U11" s="2"/>
      <c r="V11" s="4">
        <v>4.0110000000000001</v>
      </c>
      <c r="W11" s="4"/>
      <c r="X11" s="4"/>
      <c r="Y11" s="4"/>
      <c r="Z11" s="4"/>
      <c r="AA11" s="4"/>
      <c r="AB11" s="4">
        <v>-1.0999999999999999E-2</v>
      </c>
      <c r="AC11" s="4"/>
      <c r="AD11" s="4"/>
      <c r="AE11" s="4"/>
      <c r="AF11" s="4"/>
      <c r="AG11" s="20"/>
      <c r="AH11" s="21"/>
      <c r="AI11" s="21"/>
      <c r="AJ11" s="21"/>
      <c r="AK11" s="22"/>
      <c r="AL11" s="17">
        <v>13.917999999999999</v>
      </c>
      <c r="AO11" s="54"/>
    </row>
    <row r="12" spans="1:42" s="15" customFormat="1" ht="10.5" hidden="1" customHeight="1" outlineLevel="2" x14ac:dyDescent="0.2">
      <c r="A12" s="6" t="s">
        <v>17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5">
        <v>54.7</v>
      </c>
      <c r="P12" s="5"/>
      <c r="Q12" s="5"/>
      <c r="R12" s="5"/>
      <c r="S12" s="5"/>
      <c r="T12" s="5"/>
      <c r="U12" s="5"/>
      <c r="V12" s="4">
        <v>55.116999999999997</v>
      </c>
      <c r="W12" s="4"/>
      <c r="X12" s="4"/>
      <c r="Y12" s="4"/>
      <c r="Z12" s="4"/>
      <c r="AA12" s="4"/>
      <c r="AB12" s="4">
        <v>-0.41699999999999998</v>
      </c>
      <c r="AC12" s="4"/>
      <c r="AD12" s="4"/>
      <c r="AE12" s="4"/>
      <c r="AF12" s="4"/>
      <c r="AG12" s="4">
        <v>1.3220000000000001</v>
      </c>
      <c r="AH12" s="4"/>
      <c r="AI12" s="4"/>
      <c r="AJ12" s="4"/>
      <c r="AK12" s="4"/>
      <c r="AL12" s="17">
        <v>221.435</v>
      </c>
      <c r="AN12" s="53">
        <f t="shared" ref="AN12:AN14" si="0">AL12-AG12</f>
        <v>220.113</v>
      </c>
      <c r="AO12" s="54"/>
    </row>
    <row r="13" spans="1:42" s="15" customFormat="1" ht="10.5" hidden="1" customHeight="1" outlineLevel="2" x14ac:dyDescent="0.2">
      <c r="A13" s="6" t="s">
        <v>18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5">
        <v>3.5</v>
      </c>
      <c r="P13" s="5"/>
      <c r="Q13" s="5"/>
      <c r="R13" s="5"/>
      <c r="S13" s="5"/>
      <c r="T13" s="5"/>
      <c r="U13" s="5"/>
      <c r="V13" s="23"/>
      <c r="W13" s="24"/>
      <c r="X13" s="24"/>
      <c r="Y13" s="24"/>
      <c r="Z13" s="24"/>
      <c r="AA13" s="25"/>
      <c r="AB13" s="5">
        <v>3.5</v>
      </c>
      <c r="AC13" s="5"/>
      <c r="AD13" s="5"/>
      <c r="AE13" s="5"/>
      <c r="AF13" s="5"/>
      <c r="AG13" s="5">
        <v>3.5</v>
      </c>
      <c r="AH13" s="5"/>
      <c r="AI13" s="5"/>
      <c r="AJ13" s="5"/>
      <c r="AK13" s="5"/>
      <c r="AL13" s="17">
        <v>0.51200000000000001</v>
      </c>
      <c r="AN13" s="53">
        <f t="shared" si="0"/>
        <v>-2.988</v>
      </c>
      <c r="AO13" s="55">
        <f>AG13</f>
        <v>3.5</v>
      </c>
    </row>
    <row r="14" spans="1:42" s="15" customFormat="1" ht="10.5" hidden="1" customHeight="1" outlineLevel="2" x14ac:dyDescent="0.2">
      <c r="A14" s="6" t="s">
        <v>19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5">
        <v>8.6</v>
      </c>
      <c r="P14" s="5"/>
      <c r="Q14" s="5"/>
      <c r="R14" s="5"/>
      <c r="S14" s="5"/>
      <c r="T14" s="5"/>
      <c r="U14" s="5"/>
      <c r="V14" s="4">
        <v>8.0180000000000007</v>
      </c>
      <c r="W14" s="4"/>
      <c r="X14" s="4"/>
      <c r="Y14" s="4"/>
      <c r="Z14" s="4"/>
      <c r="AA14" s="4"/>
      <c r="AB14" s="4">
        <v>0.58199999999999996</v>
      </c>
      <c r="AC14" s="4"/>
      <c r="AD14" s="4"/>
      <c r="AE14" s="4"/>
      <c r="AF14" s="4"/>
      <c r="AG14" s="3">
        <v>0.68</v>
      </c>
      <c r="AH14" s="3"/>
      <c r="AI14" s="3"/>
      <c r="AJ14" s="3"/>
      <c r="AK14" s="3"/>
      <c r="AL14" s="17">
        <v>90.153999999999996</v>
      </c>
      <c r="AN14" s="53">
        <f t="shared" si="0"/>
        <v>89.47399999999999</v>
      </c>
      <c r="AO14" s="54"/>
    </row>
    <row r="15" spans="1:42" s="15" customFormat="1" ht="10.5" hidden="1" customHeight="1" outlineLevel="2" x14ac:dyDescent="0.2">
      <c r="A15" s="6" t="s">
        <v>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5">
        <v>10.5</v>
      </c>
      <c r="P15" s="5"/>
      <c r="Q15" s="5"/>
      <c r="R15" s="5"/>
      <c r="S15" s="5"/>
      <c r="T15" s="5"/>
      <c r="U15" s="5"/>
      <c r="V15" s="4">
        <v>10.862</v>
      </c>
      <c r="W15" s="4"/>
      <c r="X15" s="4"/>
      <c r="Y15" s="4"/>
      <c r="Z15" s="4"/>
      <c r="AA15" s="4"/>
      <c r="AB15" s="4">
        <v>-0.36199999999999999</v>
      </c>
      <c r="AC15" s="4"/>
      <c r="AD15" s="4"/>
      <c r="AE15" s="4"/>
      <c r="AF15" s="4"/>
      <c r="AG15" s="20"/>
      <c r="AH15" s="21"/>
      <c r="AI15" s="21"/>
      <c r="AJ15" s="21"/>
      <c r="AK15" s="22"/>
      <c r="AL15" s="17">
        <v>85.548000000000002</v>
      </c>
      <c r="AO15" s="54"/>
    </row>
    <row r="16" spans="1:42" s="15" customFormat="1" ht="10.5" hidden="1" customHeight="1" outlineLevel="2" x14ac:dyDescent="0.2">
      <c r="A16" s="6" t="s">
        <v>21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2">
        <v>177</v>
      </c>
      <c r="P16" s="2"/>
      <c r="Q16" s="2"/>
      <c r="R16" s="2"/>
      <c r="S16" s="2"/>
      <c r="T16" s="2"/>
      <c r="U16" s="2"/>
      <c r="V16" s="4">
        <v>182.08799999999999</v>
      </c>
      <c r="W16" s="4"/>
      <c r="X16" s="4"/>
      <c r="Y16" s="4"/>
      <c r="Z16" s="4"/>
      <c r="AA16" s="4"/>
      <c r="AB16" s="4">
        <v>-5.0880000000000001</v>
      </c>
      <c r="AC16" s="4"/>
      <c r="AD16" s="4"/>
      <c r="AE16" s="4"/>
      <c r="AF16" s="4"/>
      <c r="AG16" s="4">
        <v>1.887</v>
      </c>
      <c r="AH16" s="4"/>
      <c r="AI16" s="4"/>
      <c r="AJ16" s="4"/>
      <c r="AK16" s="4"/>
      <c r="AL16" s="17">
        <v>4.3079999999999998</v>
      </c>
      <c r="AN16" s="53">
        <f>AL16-AG16</f>
        <v>2.4209999999999998</v>
      </c>
      <c r="AO16" s="54"/>
    </row>
    <row r="17" spans="1:41" s="15" customFormat="1" ht="10.5" hidden="1" customHeight="1" outlineLevel="2" x14ac:dyDescent="0.2">
      <c r="A17" s="6" t="s">
        <v>22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2">
        <v>5</v>
      </c>
      <c r="P17" s="2"/>
      <c r="Q17" s="2"/>
      <c r="R17" s="2"/>
      <c r="S17" s="2"/>
      <c r="T17" s="2"/>
      <c r="U17" s="2"/>
      <c r="V17" s="4">
        <v>5.0149999999999997</v>
      </c>
      <c r="W17" s="4"/>
      <c r="X17" s="4"/>
      <c r="Y17" s="4"/>
      <c r="Z17" s="4"/>
      <c r="AA17" s="4"/>
      <c r="AB17" s="4">
        <v>-1.4999999999999999E-2</v>
      </c>
      <c r="AC17" s="4"/>
      <c r="AD17" s="4"/>
      <c r="AE17" s="4"/>
      <c r="AF17" s="4"/>
      <c r="AG17" s="20"/>
      <c r="AH17" s="21"/>
      <c r="AI17" s="21"/>
      <c r="AJ17" s="21"/>
      <c r="AK17" s="22"/>
      <c r="AL17" s="17">
        <v>140.90799999999999</v>
      </c>
      <c r="AO17" s="54"/>
    </row>
    <row r="18" spans="1:41" s="15" customFormat="1" ht="10.5" hidden="1" customHeight="1" outlineLevel="2" x14ac:dyDescent="0.2">
      <c r="A18" s="6" t="s">
        <v>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2">
        <v>8</v>
      </c>
      <c r="P18" s="2"/>
      <c r="Q18" s="2"/>
      <c r="R18" s="2"/>
      <c r="S18" s="2"/>
      <c r="T18" s="2"/>
      <c r="U18" s="2"/>
      <c r="V18" s="4">
        <v>8.3119999999999994</v>
      </c>
      <c r="W18" s="4"/>
      <c r="X18" s="4"/>
      <c r="Y18" s="4"/>
      <c r="Z18" s="4"/>
      <c r="AA18" s="4"/>
      <c r="AB18" s="4">
        <v>-0.312</v>
      </c>
      <c r="AC18" s="4"/>
      <c r="AD18" s="4"/>
      <c r="AE18" s="4"/>
      <c r="AF18" s="4"/>
      <c r="AG18" s="20"/>
      <c r="AH18" s="21"/>
      <c r="AI18" s="21"/>
      <c r="AJ18" s="21"/>
      <c r="AK18" s="22"/>
      <c r="AL18" s="17">
        <v>152.767</v>
      </c>
      <c r="AO18" s="54"/>
    </row>
    <row r="19" spans="1:41" s="15" customFormat="1" ht="10.5" hidden="1" customHeight="1" outlineLevel="2" x14ac:dyDescent="0.2">
      <c r="A19" s="6" t="s">
        <v>24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2">
        <v>6</v>
      </c>
      <c r="P19" s="2"/>
      <c r="Q19" s="2"/>
      <c r="R19" s="2"/>
      <c r="S19" s="2"/>
      <c r="T19" s="2"/>
      <c r="U19" s="2"/>
      <c r="V19" s="4">
        <v>6.3280000000000003</v>
      </c>
      <c r="W19" s="4"/>
      <c r="X19" s="4"/>
      <c r="Y19" s="4"/>
      <c r="Z19" s="4"/>
      <c r="AA19" s="4"/>
      <c r="AB19" s="4">
        <v>-0.32800000000000001</v>
      </c>
      <c r="AC19" s="4"/>
      <c r="AD19" s="4"/>
      <c r="AE19" s="4"/>
      <c r="AF19" s="4"/>
      <c r="AG19" s="20"/>
      <c r="AH19" s="21"/>
      <c r="AI19" s="21"/>
      <c r="AJ19" s="21"/>
      <c r="AK19" s="22"/>
      <c r="AL19" s="17">
        <v>30.050999999999998</v>
      </c>
      <c r="AO19" s="54"/>
    </row>
    <row r="20" spans="1:41" s="15" customFormat="1" ht="10.5" hidden="1" customHeight="1" outlineLevel="2" x14ac:dyDescent="0.2">
      <c r="A20" s="6" t="s">
        <v>25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2">
        <v>21</v>
      </c>
      <c r="P20" s="2"/>
      <c r="Q20" s="2"/>
      <c r="R20" s="2"/>
      <c r="S20" s="2"/>
      <c r="T20" s="2"/>
      <c r="U20" s="2"/>
      <c r="V20" s="4">
        <v>22.800999999999998</v>
      </c>
      <c r="W20" s="4"/>
      <c r="X20" s="4"/>
      <c r="Y20" s="4"/>
      <c r="Z20" s="4"/>
      <c r="AA20" s="4"/>
      <c r="AB20" s="4">
        <v>-1.8009999999999999</v>
      </c>
      <c r="AC20" s="4"/>
      <c r="AD20" s="4"/>
      <c r="AE20" s="4"/>
      <c r="AF20" s="4"/>
      <c r="AG20" s="20"/>
      <c r="AH20" s="21"/>
      <c r="AI20" s="21"/>
      <c r="AJ20" s="21"/>
      <c r="AK20" s="22"/>
      <c r="AL20" s="17">
        <v>82.62</v>
      </c>
      <c r="AO20" s="54"/>
    </row>
    <row r="21" spans="1:41" s="15" customFormat="1" ht="10.5" hidden="1" customHeight="1" outlineLevel="2" x14ac:dyDescent="0.2">
      <c r="A21" s="6" t="s">
        <v>26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5">
        <v>30.5</v>
      </c>
      <c r="P21" s="5"/>
      <c r="Q21" s="5"/>
      <c r="R21" s="5"/>
      <c r="S21" s="5"/>
      <c r="T21" s="5"/>
      <c r="U21" s="5"/>
      <c r="V21" s="4">
        <v>31.221</v>
      </c>
      <c r="W21" s="4"/>
      <c r="X21" s="4"/>
      <c r="Y21" s="4"/>
      <c r="Z21" s="4"/>
      <c r="AA21" s="4"/>
      <c r="AB21" s="4">
        <v>-0.72099999999999997</v>
      </c>
      <c r="AC21" s="4"/>
      <c r="AD21" s="4"/>
      <c r="AE21" s="4"/>
      <c r="AF21" s="4"/>
      <c r="AG21" s="4">
        <v>3.0000000000000001E-3</v>
      </c>
      <c r="AH21" s="4"/>
      <c r="AI21" s="4"/>
      <c r="AJ21" s="4"/>
      <c r="AK21" s="4"/>
      <c r="AL21" s="17">
        <v>27.667000000000002</v>
      </c>
      <c r="AO21" s="54"/>
    </row>
    <row r="22" spans="1:41" s="15" customFormat="1" ht="10.5" hidden="1" customHeight="1" outlineLevel="2" x14ac:dyDescent="0.2">
      <c r="A22" s="6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5">
        <v>1.5</v>
      </c>
      <c r="P22" s="5"/>
      <c r="Q22" s="5"/>
      <c r="R22" s="5"/>
      <c r="S22" s="5"/>
      <c r="T22" s="5"/>
      <c r="U22" s="5"/>
      <c r="V22" s="4">
        <v>2.0840000000000001</v>
      </c>
      <c r="W22" s="4"/>
      <c r="X22" s="4"/>
      <c r="Y22" s="4"/>
      <c r="Z22" s="4"/>
      <c r="AA22" s="4"/>
      <c r="AB22" s="4">
        <v>-0.58399999999999996</v>
      </c>
      <c r="AC22" s="4"/>
      <c r="AD22" s="4"/>
      <c r="AE22" s="4"/>
      <c r="AF22" s="4"/>
      <c r="AG22" s="20"/>
      <c r="AH22" s="21"/>
      <c r="AI22" s="21"/>
      <c r="AJ22" s="21"/>
      <c r="AK22" s="22"/>
      <c r="AL22" s="17">
        <v>46.95</v>
      </c>
      <c r="AO22" s="54"/>
    </row>
    <row r="23" spans="1:41" s="15" customFormat="1" ht="10.5" hidden="1" customHeight="1" outlineLevel="2" x14ac:dyDescent="0.2">
      <c r="A23" s="6" t="s">
        <v>28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2">
        <v>98</v>
      </c>
      <c r="P23" s="2"/>
      <c r="Q23" s="2"/>
      <c r="R23" s="2"/>
      <c r="S23" s="2"/>
      <c r="T23" s="2"/>
      <c r="U23" s="2"/>
      <c r="V23" s="4">
        <v>102.176</v>
      </c>
      <c r="W23" s="4"/>
      <c r="X23" s="4"/>
      <c r="Y23" s="4"/>
      <c r="Z23" s="4"/>
      <c r="AA23" s="4"/>
      <c r="AB23" s="4">
        <v>-4.1760000000000002</v>
      </c>
      <c r="AC23" s="4"/>
      <c r="AD23" s="4"/>
      <c r="AE23" s="4"/>
      <c r="AF23" s="4"/>
      <c r="AG23" s="20"/>
      <c r="AH23" s="21"/>
      <c r="AI23" s="21"/>
      <c r="AJ23" s="21"/>
      <c r="AK23" s="22"/>
      <c r="AL23" s="17">
        <v>128.316</v>
      </c>
      <c r="AO23" s="54"/>
    </row>
    <row r="24" spans="1:41" s="15" customFormat="1" ht="10.5" hidden="1" customHeight="1" outlineLevel="2" x14ac:dyDescent="0.2">
      <c r="A24" s="6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2">
        <v>6</v>
      </c>
      <c r="P24" s="2"/>
      <c r="Q24" s="2"/>
      <c r="R24" s="2"/>
      <c r="S24" s="2"/>
      <c r="T24" s="2"/>
      <c r="U24" s="2"/>
      <c r="V24" s="4">
        <v>6.3049999999999997</v>
      </c>
      <c r="W24" s="4"/>
      <c r="X24" s="4"/>
      <c r="Y24" s="4"/>
      <c r="Z24" s="4"/>
      <c r="AA24" s="4"/>
      <c r="AB24" s="4">
        <v>-0.30499999999999999</v>
      </c>
      <c r="AC24" s="4"/>
      <c r="AD24" s="4"/>
      <c r="AE24" s="4"/>
      <c r="AF24" s="4"/>
      <c r="AG24" s="20"/>
      <c r="AH24" s="21"/>
      <c r="AI24" s="21"/>
      <c r="AJ24" s="21"/>
      <c r="AK24" s="22"/>
      <c r="AL24" s="17">
        <v>45.018999999999998</v>
      </c>
      <c r="AO24" s="54"/>
    </row>
    <row r="25" spans="1:41" s="15" customFormat="1" ht="10.5" hidden="1" customHeight="1" outlineLevel="2" x14ac:dyDescent="0.2">
      <c r="A25" s="6" t="s">
        <v>30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2">
        <v>16</v>
      </c>
      <c r="P25" s="2"/>
      <c r="Q25" s="2"/>
      <c r="R25" s="2"/>
      <c r="S25" s="2"/>
      <c r="T25" s="2"/>
      <c r="U25" s="2"/>
      <c r="V25" s="4">
        <v>17.035</v>
      </c>
      <c r="W25" s="4"/>
      <c r="X25" s="4"/>
      <c r="Y25" s="4"/>
      <c r="Z25" s="4"/>
      <c r="AA25" s="4"/>
      <c r="AB25" s="4">
        <v>-1.0349999999999999</v>
      </c>
      <c r="AC25" s="4"/>
      <c r="AD25" s="4"/>
      <c r="AE25" s="4"/>
      <c r="AF25" s="4"/>
      <c r="AG25" s="20"/>
      <c r="AH25" s="21"/>
      <c r="AI25" s="21"/>
      <c r="AJ25" s="21"/>
      <c r="AK25" s="22"/>
      <c r="AL25" s="17">
        <v>122.08499999999999</v>
      </c>
      <c r="AO25" s="54"/>
    </row>
    <row r="26" spans="1:41" s="15" customFormat="1" ht="10.5" hidden="1" customHeight="1" outlineLevel="2" x14ac:dyDescent="0.2">
      <c r="A26" s="6" t="s">
        <v>31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5">
        <v>5.5</v>
      </c>
      <c r="P26" s="5"/>
      <c r="Q26" s="5"/>
      <c r="R26" s="5"/>
      <c r="S26" s="5"/>
      <c r="T26" s="5"/>
      <c r="U26" s="5"/>
      <c r="V26" s="4">
        <v>6.1929999999999996</v>
      </c>
      <c r="W26" s="4"/>
      <c r="X26" s="4"/>
      <c r="Y26" s="4"/>
      <c r="Z26" s="4"/>
      <c r="AA26" s="4"/>
      <c r="AB26" s="4">
        <v>-0.69299999999999995</v>
      </c>
      <c r="AC26" s="4"/>
      <c r="AD26" s="4"/>
      <c r="AE26" s="4"/>
      <c r="AF26" s="4"/>
      <c r="AG26" s="20"/>
      <c r="AH26" s="21"/>
      <c r="AI26" s="21"/>
      <c r="AJ26" s="21"/>
      <c r="AK26" s="22"/>
      <c r="AL26" s="17">
        <v>116.58199999999999</v>
      </c>
      <c r="AO26" s="54"/>
    </row>
    <row r="27" spans="1:41" s="15" customFormat="1" ht="10.5" hidden="1" customHeight="1" outlineLevel="2" x14ac:dyDescent="0.2">
      <c r="A27" s="6" t="s">
        <v>32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5">
        <v>44.3</v>
      </c>
      <c r="P27" s="5"/>
      <c r="Q27" s="5"/>
      <c r="R27" s="5"/>
      <c r="S27" s="5"/>
      <c r="T27" s="5"/>
      <c r="U27" s="5"/>
      <c r="V27" s="4">
        <v>44.552</v>
      </c>
      <c r="W27" s="4"/>
      <c r="X27" s="4"/>
      <c r="Y27" s="4"/>
      <c r="Z27" s="4"/>
      <c r="AA27" s="4"/>
      <c r="AB27" s="4">
        <v>-0.252</v>
      </c>
      <c r="AC27" s="4"/>
      <c r="AD27" s="4"/>
      <c r="AE27" s="4"/>
      <c r="AF27" s="4"/>
      <c r="AG27" s="3">
        <v>2.17</v>
      </c>
      <c r="AH27" s="3"/>
      <c r="AI27" s="3"/>
      <c r="AJ27" s="3"/>
      <c r="AK27" s="3"/>
      <c r="AL27" s="17">
        <v>193.67400000000001</v>
      </c>
      <c r="AN27" s="53">
        <f t="shared" ref="AN27:AN29" si="1">AL27-AG27</f>
        <v>191.50400000000002</v>
      </c>
      <c r="AO27" s="54"/>
    </row>
    <row r="28" spans="1:41" s="15" customFormat="1" ht="10.5" hidden="1" customHeight="1" outlineLevel="2" x14ac:dyDescent="0.2">
      <c r="A28" s="6" t="s">
        <v>33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5">
        <v>55.7</v>
      </c>
      <c r="P28" s="5"/>
      <c r="Q28" s="5"/>
      <c r="R28" s="5"/>
      <c r="S28" s="5"/>
      <c r="T28" s="5"/>
      <c r="U28" s="5"/>
      <c r="V28" s="4">
        <v>55.814999999999998</v>
      </c>
      <c r="W28" s="4"/>
      <c r="X28" s="4"/>
      <c r="Y28" s="4"/>
      <c r="Z28" s="4"/>
      <c r="AA28" s="4"/>
      <c r="AB28" s="4">
        <v>-0.115</v>
      </c>
      <c r="AC28" s="4"/>
      <c r="AD28" s="4"/>
      <c r="AE28" s="4"/>
      <c r="AF28" s="4"/>
      <c r="AG28" s="4">
        <v>1.2050000000000001</v>
      </c>
      <c r="AH28" s="4"/>
      <c r="AI28" s="4"/>
      <c r="AJ28" s="4"/>
      <c r="AK28" s="4"/>
      <c r="AL28" s="17">
        <v>231.684</v>
      </c>
      <c r="AN28" s="53">
        <f t="shared" si="1"/>
        <v>230.47899999999998</v>
      </c>
      <c r="AO28" s="54"/>
    </row>
    <row r="29" spans="1:41" s="15" customFormat="1" ht="10.5" hidden="1" customHeight="1" outlineLevel="2" x14ac:dyDescent="0.2">
      <c r="A29" s="6" t="s">
        <v>34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5">
        <v>0.6</v>
      </c>
      <c r="P29" s="5"/>
      <c r="Q29" s="5"/>
      <c r="R29" s="5"/>
      <c r="S29" s="5"/>
      <c r="T29" s="5"/>
      <c r="U29" s="5"/>
      <c r="V29" s="23"/>
      <c r="W29" s="24"/>
      <c r="X29" s="24"/>
      <c r="Y29" s="24"/>
      <c r="Z29" s="24"/>
      <c r="AA29" s="25"/>
      <c r="AB29" s="5">
        <v>0.6</v>
      </c>
      <c r="AC29" s="5"/>
      <c r="AD29" s="5"/>
      <c r="AE29" s="5"/>
      <c r="AF29" s="5"/>
      <c r="AG29" s="5">
        <v>0.6</v>
      </c>
      <c r="AH29" s="5"/>
      <c r="AI29" s="5"/>
      <c r="AJ29" s="5"/>
      <c r="AK29" s="5"/>
      <c r="AL29" s="17"/>
      <c r="AN29" s="53">
        <f t="shared" si="1"/>
        <v>-0.6</v>
      </c>
      <c r="AO29" s="55">
        <f>AG29</f>
        <v>0.6</v>
      </c>
    </row>
    <row r="30" spans="1:41" s="15" customFormat="1" ht="10.5" hidden="1" customHeight="1" outlineLevel="2" x14ac:dyDescent="0.2">
      <c r="A30" s="6" t="s">
        <v>35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2">
        <v>4</v>
      </c>
      <c r="P30" s="2"/>
      <c r="Q30" s="2"/>
      <c r="R30" s="2"/>
      <c r="S30" s="2"/>
      <c r="T30" s="2"/>
      <c r="U30" s="2"/>
      <c r="V30" s="4">
        <v>4.9619999999999997</v>
      </c>
      <c r="W30" s="4"/>
      <c r="X30" s="4"/>
      <c r="Y30" s="4"/>
      <c r="Z30" s="4"/>
      <c r="AA30" s="4"/>
      <c r="AB30" s="4">
        <v>-0.96199999999999997</v>
      </c>
      <c r="AC30" s="4"/>
      <c r="AD30" s="4"/>
      <c r="AE30" s="4"/>
      <c r="AF30" s="4"/>
      <c r="AG30" s="20"/>
      <c r="AH30" s="21"/>
      <c r="AI30" s="21"/>
      <c r="AJ30" s="21"/>
      <c r="AK30" s="22"/>
      <c r="AL30" s="17">
        <v>5.0919999999999996</v>
      </c>
      <c r="AO30" s="54"/>
    </row>
    <row r="31" spans="1:41" s="15" customFormat="1" ht="10.5" customHeight="1" outlineLevel="1" collapsed="1" x14ac:dyDescent="0.2">
      <c r="A31" s="8" t="s">
        <v>36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0">
        <v>825.07</v>
      </c>
      <c r="P31" s="10"/>
      <c r="Q31" s="10"/>
      <c r="R31" s="10"/>
      <c r="S31" s="10"/>
      <c r="T31" s="10"/>
      <c r="U31" s="10"/>
      <c r="V31" s="10">
        <v>264.76</v>
      </c>
      <c r="W31" s="10"/>
      <c r="X31" s="10"/>
      <c r="Y31" s="10"/>
      <c r="Z31" s="10"/>
      <c r="AA31" s="10"/>
      <c r="AB31" s="10">
        <v>560.30999999999995</v>
      </c>
      <c r="AC31" s="10"/>
      <c r="AD31" s="10"/>
      <c r="AE31" s="10"/>
      <c r="AF31" s="10"/>
      <c r="AG31" s="10">
        <v>562.38</v>
      </c>
      <c r="AH31" s="10"/>
      <c r="AI31" s="10"/>
      <c r="AJ31" s="10"/>
      <c r="AK31" s="10"/>
      <c r="AL31" s="17"/>
      <c r="AN31" s="53">
        <f>AL31-AG31</f>
        <v>-562.38</v>
      </c>
      <c r="AO31" s="54"/>
    </row>
    <row r="32" spans="1:41" s="15" customFormat="1" ht="10.5" hidden="1" customHeight="1" outlineLevel="2" x14ac:dyDescent="0.2">
      <c r="A32" s="6" t="s">
        <v>37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5">
        <v>12.8</v>
      </c>
      <c r="P32" s="5"/>
      <c r="Q32" s="5"/>
      <c r="R32" s="5"/>
      <c r="S32" s="5"/>
      <c r="T32" s="5"/>
      <c r="U32" s="5"/>
      <c r="V32" s="5">
        <v>12.8</v>
      </c>
      <c r="W32" s="5"/>
      <c r="X32" s="5"/>
      <c r="Y32" s="5"/>
      <c r="Z32" s="5"/>
      <c r="AA32" s="5"/>
      <c r="AB32" s="23"/>
      <c r="AC32" s="24"/>
      <c r="AD32" s="24"/>
      <c r="AE32" s="24"/>
      <c r="AF32" s="25"/>
      <c r="AG32" s="20"/>
      <c r="AH32" s="21"/>
      <c r="AI32" s="21"/>
      <c r="AJ32" s="21"/>
      <c r="AK32" s="22"/>
      <c r="AL32" s="17">
        <v>22</v>
      </c>
      <c r="AO32" s="54"/>
    </row>
    <row r="33" spans="1:41" s="15" customFormat="1" ht="10.5" hidden="1" customHeight="1" outlineLevel="2" x14ac:dyDescent="0.2">
      <c r="A33" s="6" t="s">
        <v>38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5">
        <v>7.5</v>
      </c>
      <c r="P33" s="5"/>
      <c r="Q33" s="5"/>
      <c r="R33" s="5"/>
      <c r="S33" s="5"/>
      <c r="T33" s="5"/>
      <c r="U33" s="5"/>
      <c r="V33" s="3">
        <v>4.25</v>
      </c>
      <c r="W33" s="3"/>
      <c r="X33" s="3"/>
      <c r="Y33" s="3"/>
      <c r="Z33" s="3"/>
      <c r="AA33" s="3"/>
      <c r="AB33" s="3">
        <v>3.25</v>
      </c>
      <c r="AC33" s="3"/>
      <c r="AD33" s="3"/>
      <c r="AE33" s="3"/>
      <c r="AF33" s="3"/>
      <c r="AG33" s="5">
        <v>4.5</v>
      </c>
      <c r="AH33" s="5"/>
      <c r="AI33" s="5"/>
      <c r="AJ33" s="5"/>
      <c r="AK33" s="5"/>
      <c r="AL33" s="17">
        <v>10.25</v>
      </c>
      <c r="AN33" s="53">
        <f>AL33-AG33</f>
        <v>5.75</v>
      </c>
      <c r="AO33" s="54"/>
    </row>
    <row r="34" spans="1:41" s="15" customFormat="1" ht="10.5" hidden="1" customHeight="1" outlineLevel="2" x14ac:dyDescent="0.2">
      <c r="A34" s="6" t="s">
        <v>39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3">
        <v>4.25</v>
      </c>
      <c r="P34" s="3"/>
      <c r="Q34" s="3"/>
      <c r="R34" s="3"/>
      <c r="S34" s="3"/>
      <c r="T34" s="3"/>
      <c r="U34" s="3"/>
      <c r="V34" s="3">
        <v>4.25</v>
      </c>
      <c r="W34" s="3"/>
      <c r="X34" s="3"/>
      <c r="Y34" s="3"/>
      <c r="Z34" s="3"/>
      <c r="AA34" s="3"/>
      <c r="AB34" s="23"/>
      <c r="AC34" s="24"/>
      <c r="AD34" s="24"/>
      <c r="AE34" s="24"/>
      <c r="AF34" s="25"/>
      <c r="AG34" s="20"/>
      <c r="AH34" s="21"/>
      <c r="AI34" s="21"/>
      <c r="AJ34" s="21"/>
      <c r="AK34" s="22"/>
      <c r="AL34" s="17">
        <v>31.25</v>
      </c>
      <c r="AO34" s="54"/>
    </row>
    <row r="35" spans="1:41" s="15" customFormat="1" ht="10.5" hidden="1" customHeight="1" outlineLevel="2" x14ac:dyDescent="0.2">
      <c r="A35" s="6" t="s">
        <v>40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2">
        <v>5</v>
      </c>
      <c r="P35" s="2"/>
      <c r="Q35" s="2"/>
      <c r="R35" s="2"/>
      <c r="S35" s="2"/>
      <c r="T35" s="2"/>
      <c r="U35" s="2"/>
      <c r="V35" s="2">
        <v>1</v>
      </c>
      <c r="W35" s="2"/>
      <c r="X35" s="2"/>
      <c r="Y35" s="2"/>
      <c r="Z35" s="2"/>
      <c r="AA35" s="2"/>
      <c r="AB35" s="2">
        <v>4</v>
      </c>
      <c r="AC35" s="2"/>
      <c r="AD35" s="2"/>
      <c r="AE35" s="2"/>
      <c r="AF35" s="2"/>
      <c r="AG35" s="2">
        <v>4</v>
      </c>
      <c r="AH35" s="2"/>
      <c r="AI35" s="2"/>
      <c r="AJ35" s="2"/>
      <c r="AK35" s="2"/>
      <c r="AL35" s="17">
        <v>2.25</v>
      </c>
      <c r="AN35" s="53">
        <f>AL35-AG35</f>
        <v>-1.75</v>
      </c>
      <c r="AO35" s="55">
        <f>AG35</f>
        <v>4</v>
      </c>
    </row>
    <row r="36" spans="1:41" s="15" customFormat="1" ht="10.5" hidden="1" customHeight="1" outlineLevel="2" x14ac:dyDescent="0.2">
      <c r="A36" s="6" t="s">
        <v>41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5">
        <v>0.4</v>
      </c>
      <c r="P36" s="5"/>
      <c r="Q36" s="5"/>
      <c r="R36" s="5"/>
      <c r="S36" s="5"/>
      <c r="T36" s="5"/>
      <c r="U36" s="5"/>
      <c r="V36" s="5">
        <v>0.4</v>
      </c>
      <c r="W36" s="5"/>
      <c r="X36" s="5"/>
      <c r="Y36" s="5"/>
      <c r="Z36" s="5"/>
      <c r="AA36" s="5"/>
      <c r="AB36" s="23"/>
      <c r="AC36" s="24"/>
      <c r="AD36" s="24"/>
      <c r="AE36" s="24"/>
      <c r="AF36" s="25"/>
      <c r="AG36" s="20"/>
      <c r="AH36" s="21"/>
      <c r="AI36" s="21"/>
      <c r="AJ36" s="21"/>
      <c r="AK36" s="22"/>
      <c r="AL36" s="17">
        <v>92</v>
      </c>
      <c r="AO36" s="54"/>
    </row>
    <row r="37" spans="1:41" s="15" customFormat="1" ht="10.5" hidden="1" customHeight="1" outlineLevel="2" x14ac:dyDescent="0.2">
      <c r="A37" s="6" t="s">
        <v>42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5">
        <v>43.2</v>
      </c>
      <c r="P37" s="5"/>
      <c r="Q37" s="5"/>
      <c r="R37" s="5"/>
      <c r="S37" s="5"/>
      <c r="T37" s="5"/>
      <c r="U37" s="5"/>
      <c r="V37" s="23"/>
      <c r="W37" s="24"/>
      <c r="X37" s="24"/>
      <c r="Y37" s="24"/>
      <c r="Z37" s="24"/>
      <c r="AA37" s="25"/>
      <c r="AB37" s="5">
        <v>43.2</v>
      </c>
      <c r="AC37" s="5"/>
      <c r="AD37" s="5"/>
      <c r="AE37" s="5"/>
      <c r="AF37" s="5"/>
      <c r="AG37" s="5">
        <v>43.2</v>
      </c>
      <c r="AH37" s="5"/>
      <c r="AI37" s="5"/>
      <c r="AJ37" s="5"/>
      <c r="AK37" s="5"/>
      <c r="AL37" s="17"/>
      <c r="AN37" s="53">
        <f t="shared" ref="AN37:AN38" si="2">AL37-AG37</f>
        <v>-43.2</v>
      </c>
      <c r="AO37" s="55">
        <f>AG37</f>
        <v>43.2</v>
      </c>
    </row>
    <row r="38" spans="1:41" s="15" customFormat="1" ht="10.5" hidden="1" customHeight="1" outlineLevel="2" x14ac:dyDescent="0.2">
      <c r="A38" s="6" t="s">
        <v>43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5">
        <v>16.5</v>
      </c>
      <c r="P38" s="5"/>
      <c r="Q38" s="5"/>
      <c r="R38" s="5"/>
      <c r="S38" s="5"/>
      <c r="T38" s="5"/>
      <c r="U38" s="5"/>
      <c r="V38" s="3">
        <v>0.66</v>
      </c>
      <c r="W38" s="3"/>
      <c r="X38" s="3"/>
      <c r="Y38" s="3"/>
      <c r="Z38" s="3"/>
      <c r="AA38" s="3"/>
      <c r="AB38" s="3">
        <v>15.84</v>
      </c>
      <c r="AC38" s="3"/>
      <c r="AD38" s="3"/>
      <c r="AE38" s="3"/>
      <c r="AF38" s="3"/>
      <c r="AG38" s="3">
        <v>15.84</v>
      </c>
      <c r="AH38" s="3"/>
      <c r="AI38" s="3"/>
      <c r="AJ38" s="3"/>
      <c r="AK38" s="3"/>
      <c r="AL38" s="17">
        <v>1.32</v>
      </c>
      <c r="AN38" s="53">
        <f t="shared" si="2"/>
        <v>-14.52</v>
      </c>
      <c r="AO38" s="55">
        <f>AG38</f>
        <v>15.84</v>
      </c>
    </row>
    <row r="39" spans="1:41" s="15" customFormat="1" ht="10.5" hidden="1" customHeight="1" outlineLevel="2" x14ac:dyDescent="0.2">
      <c r="A39" s="6" t="s">
        <v>44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3">
        <v>0.18</v>
      </c>
      <c r="P39" s="3"/>
      <c r="Q39" s="3"/>
      <c r="R39" s="3"/>
      <c r="S39" s="3"/>
      <c r="T39" s="3"/>
      <c r="U39" s="3"/>
      <c r="V39" s="3">
        <v>0.18</v>
      </c>
      <c r="W39" s="3"/>
      <c r="X39" s="3"/>
      <c r="Y39" s="3"/>
      <c r="Z39" s="3"/>
      <c r="AA39" s="3"/>
      <c r="AB39" s="23"/>
      <c r="AC39" s="24"/>
      <c r="AD39" s="24"/>
      <c r="AE39" s="24"/>
      <c r="AF39" s="25"/>
      <c r="AG39" s="20"/>
      <c r="AH39" s="21"/>
      <c r="AI39" s="21"/>
      <c r="AJ39" s="21"/>
      <c r="AK39" s="22"/>
      <c r="AL39" s="17">
        <v>6.57</v>
      </c>
      <c r="AO39" s="54"/>
    </row>
    <row r="40" spans="1:41" s="15" customFormat="1" ht="10.5" hidden="1" customHeight="1" outlineLevel="2" x14ac:dyDescent="0.2">
      <c r="A40" s="6" t="s">
        <v>45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">
        <v>0.09</v>
      </c>
      <c r="P40" s="3"/>
      <c r="Q40" s="3"/>
      <c r="R40" s="3"/>
      <c r="S40" s="3"/>
      <c r="T40" s="3"/>
      <c r="U40" s="3"/>
      <c r="V40" s="3">
        <v>0.09</v>
      </c>
      <c r="W40" s="3"/>
      <c r="X40" s="3"/>
      <c r="Y40" s="3"/>
      <c r="Z40" s="3"/>
      <c r="AA40" s="3"/>
      <c r="AB40" s="23"/>
      <c r="AC40" s="24"/>
      <c r="AD40" s="24"/>
      <c r="AE40" s="24"/>
      <c r="AF40" s="25"/>
      <c r="AG40" s="20"/>
      <c r="AH40" s="21"/>
      <c r="AI40" s="21"/>
      <c r="AJ40" s="21"/>
      <c r="AK40" s="22"/>
      <c r="AL40" s="17">
        <v>1.17</v>
      </c>
      <c r="AO40" s="54"/>
    </row>
    <row r="41" spans="1:41" s="15" customFormat="1" ht="10.5" hidden="1" customHeight="1" outlineLevel="2" x14ac:dyDescent="0.2">
      <c r="A41" s="6" t="s">
        <v>46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5">
        <v>44.4</v>
      </c>
      <c r="P41" s="5"/>
      <c r="Q41" s="5"/>
      <c r="R41" s="5"/>
      <c r="S41" s="5"/>
      <c r="T41" s="5"/>
      <c r="U41" s="5"/>
      <c r="V41" s="23"/>
      <c r="W41" s="24"/>
      <c r="X41" s="24"/>
      <c r="Y41" s="24"/>
      <c r="Z41" s="24"/>
      <c r="AA41" s="25"/>
      <c r="AB41" s="5">
        <v>44.4</v>
      </c>
      <c r="AC41" s="5"/>
      <c r="AD41" s="5"/>
      <c r="AE41" s="5"/>
      <c r="AF41" s="5"/>
      <c r="AG41" s="5">
        <v>44.4</v>
      </c>
      <c r="AH41" s="5"/>
      <c r="AI41" s="5"/>
      <c r="AJ41" s="5"/>
      <c r="AK41" s="5"/>
      <c r="AL41" s="17">
        <v>-0.45</v>
      </c>
      <c r="AN41" s="53">
        <f>AL41-AG41</f>
        <v>-44.85</v>
      </c>
      <c r="AO41" s="55">
        <f>AG41</f>
        <v>44.4</v>
      </c>
    </row>
    <row r="42" spans="1:41" s="15" customFormat="1" ht="10.5" hidden="1" customHeight="1" outlineLevel="2" x14ac:dyDescent="0.2">
      <c r="A42" s="6" t="s">
        <v>47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5">
        <v>2.4</v>
      </c>
      <c r="P42" s="5"/>
      <c r="Q42" s="5"/>
      <c r="R42" s="5"/>
      <c r="S42" s="5"/>
      <c r="T42" s="5"/>
      <c r="U42" s="5"/>
      <c r="V42" s="5">
        <v>2.4</v>
      </c>
      <c r="W42" s="5"/>
      <c r="X42" s="5"/>
      <c r="Y42" s="5"/>
      <c r="Z42" s="5"/>
      <c r="AA42" s="5"/>
      <c r="AB42" s="23"/>
      <c r="AC42" s="24"/>
      <c r="AD42" s="24"/>
      <c r="AE42" s="24"/>
      <c r="AF42" s="25"/>
      <c r="AG42" s="20"/>
      <c r="AH42" s="21"/>
      <c r="AI42" s="21"/>
      <c r="AJ42" s="21"/>
      <c r="AK42" s="22"/>
      <c r="AL42" s="17">
        <v>40.4</v>
      </c>
      <c r="AO42" s="54"/>
    </row>
    <row r="43" spans="1:41" s="15" customFormat="1" ht="10.5" hidden="1" customHeight="1" outlineLevel="2" x14ac:dyDescent="0.2">
      <c r="A43" s="6" t="s">
        <v>48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5">
        <v>34.799999999999997</v>
      </c>
      <c r="P43" s="5"/>
      <c r="Q43" s="5"/>
      <c r="R43" s="5"/>
      <c r="S43" s="5"/>
      <c r="T43" s="5"/>
      <c r="U43" s="5"/>
      <c r="V43" s="23"/>
      <c r="W43" s="24"/>
      <c r="X43" s="24"/>
      <c r="Y43" s="24"/>
      <c r="Z43" s="24"/>
      <c r="AA43" s="25"/>
      <c r="AB43" s="5">
        <v>34.799999999999997</v>
      </c>
      <c r="AC43" s="5"/>
      <c r="AD43" s="5"/>
      <c r="AE43" s="5"/>
      <c r="AF43" s="5"/>
      <c r="AG43" s="5">
        <v>34.799999999999997</v>
      </c>
      <c r="AH43" s="5"/>
      <c r="AI43" s="5"/>
      <c r="AJ43" s="5"/>
      <c r="AK43" s="5"/>
      <c r="AL43" s="17">
        <v>40</v>
      </c>
      <c r="AN43" s="53">
        <f t="shared" ref="AN43:AN45" si="3">AL43-AG43</f>
        <v>5.2000000000000028</v>
      </c>
      <c r="AO43" s="54"/>
    </row>
    <row r="44" spans="1:41" s="15" customFormat="1" ht="10.5" hidden="1" customHeight="1" outlineLevel="2" x14ac:dyDescent="0.2">
      <c r="A44" s="6" t="s">
        <v>49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5">
        <v>20.399999999999999</v>
      </c>
      <c r="P44" s="5"/>
      <c r="Q44" s="5"/>
      <c r="R44" s="5"/>
      <c r="S44" s="5"/>
      <c r="T44" s="5"/>
      <c r="U44" s="5"/>
      <c r="V44" s="5">
        <v>10.8</v>
      </c>
      <c r="W44" s="5"/>
      <c r="X44" s="5"/>
      <c r="Y44" s="5"/>
      <c r="Z44" s="5"/>
      <c r="AA44" s="5"/>
      <c r="AB44" s="5">
        <v>9.6</v>
      </c>
      <c r="AC44" s="5"/>
      <c r="AD44" s="5"/>
      <c r="AE44" s="5"/>
      <c r="AF44" s="5"/>
      <c r="AG44" s="5">
        <v>9.6</v>
      </c>
      <c r="AH44" s="5"/>
      <c r="AI44" s="5"/>
      <c r="AJ44" s="5"/>
      <c r="AK44" s="5"/>
      <c r="AL44" s="17">
        <v>0.4</v>
      </c>
      <c r="AN44" s="53">
        <f t="shared" si="3"/>
        <v>-9.1999999999999993</v>
      </c>
      <c r="AO44" s="55">
        <f>AG44</f>
        <v>9.6</v>
      </c>
    </row>
    <row r="45" spans="1:41" s="15" customFormat="1" ht="10.5" hidden="1" customHeight="1" outlineLevel="2" x14ac:dyDescent="0.2">
      <c r="A45" s="6" t="s">
        <v>50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5">
        <v>7.2</v>
      </c>
      <c r="P45" s="5"/>
      <c r="Q45" s="5"/>
      <c r="R45" s="5"/>
      <c r="S45" s="5"/>
      <c r="T45" s="5"/>
      <c r="U45" s="5"/>
      <c r="V45" s="23"/>
      <c r="W45" s="24"/>
      <c r="X45" s="24"/>
      <c r="Y45" s="24"/>
      <c r="Z45" s="24"/>
      <c r="AA45" s="25"/>
      <c r="AB45" s="5">
        <v>7.2</v>
      </c>
      <c r="AC45" s="5"/>
      <c r="AD45" s="5"/>
      <c r="AE45" s="5"/>
      <c r="AF45" s="5"/>
      <c r="AG45" s="5">
        <v>7.2</v>
      </c>
      <c r="AH45" s="5"/>
      <c r="AI45" s="5"/>
      <c r="AJ45" s="5"/>
      <c r="AK45" s="5"/>
      <c r="AL45" s="17"/>
      <c r="AN45" s="53">
        <f t="shared" si="3"/>
        <v>-7.2</v>
      </c>
      <c r="AO45" s="55">
        <f>AG45</f>
        <v>7.2</v>
      </c>
    </row>
    <row r="46" spans="1:41" s="15" customFormat="1" ht="10.5" hidden="1" customHeight="1" outlineLevel="2" x14ac:dyDescent="0.2">
      <c r="A46" s="6" t="s">
        <v>51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5">
        <v>1.8</v>
      </c>
      <c r="P46" s="5"/>
      <c r="Q46" s="5"/>
      <c r="R46" s="5"/>
      <c r="S46" s="5"/>
      <c r="T46" s="5"/>
      <c r="U46" s="5"/>
      <c r="V46" s="5">
        <v>1.8</v>
      </c>
      <c r="W46" s="5"/>
      <c r="X46" s="5"/>
      <c r="Y46" s="5"/>
      <c r="Z46" s="5"/>
      <c r="AA46" s="5"/>
      <c r="AB46" s="23"/>
      <c r="AC46" s="24"/>
      <c r="AD46" s="24"/>
      <c r="AE46" s="24"/>
      <c r="AF46" s="25"/>
      <c r="AG46" s="20"/>
      <c r="AH46" s="21"/>
      <c r="AI46" s="21"/>
      <c r="AJ46" s="21"/>
      <c r="AK46" s="22"/>
      <c r="AL46" s="17">
        <v>1.5</v>
      </c>
      <c r="AO46" s="54"/>
    </row>
    <row r="47" spans="1:41" s="15" customFormat="1" ht="10.5" hidden="1" customHeight="1" outlineLevel="2" x14ac:dyDescent="0.2">
      <c r="A47" s="6" t="s">
        <v>52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5">
        <v>0.6</v>
      </c>
      <c r="P47" s="5"/>
      <c r="Q47" s="5"/>
      <c r="R47" s="5"/>
      <c r="S47" s="5"/>
      <c r="T47" s="5"/>
      <c r="U47" s="5"/>
      <c r="V47" s="23"/>
      <c r="W47" s="24"/>
      <c r="X47" s="24"/>
      <c r="Y47" s="24"/>
      <c r="Z47" s="24"/>
      <c r="AA47" s="25"/>
      <c r="AB47" s="5">
        <v>0.6</v>
      </c>
      <c r="AC47" s="5"/>
      <c r="AD47" s="5"/>
      <c r="AE47" s="5"/>
      <c r="AF47" s="5"/>
      <c r="AG47" s="5">
        <v>0.6</v>
      </c>
      <c r="AH47" s="5"/>
      <c r="AI47" s="5"/>
      <c r="AJ47" s="5"/>
      <c r="AK47" s="5"/>
      <c r="AL47" s="17">
        <v>3.6</v>
      </c>
      <c r="AN47" s="53">
        <f>AL47-AG47</f>
        <v>3</v>
      </c>
      <c r="AO47" s="54"/>
    </row>
    <row r="48" spans="1:41" s="15" customFormat="1" ht="10.5" hidden="1" customHeight="1" outlineLevel="2" x14ac:dyDescent="0.2">
      <c r="A48" s="6" t="s">
        <v>53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3">
        <v>50.05</v>
      </c>
      <c r="P48" s="3"/>
      <c r="Q48" s="3"/>
      <c r="R48" s="3"/>
      <c r="S48" s="3"/>
      <c r="T48" s="3"/>
      <c r="U48" s="3"/>
      <c r="V48" s="3">
        <v>50.05</v>
      </c>
      <c r="W48" s="3"/>
      <c r="X48" s="3"/>
      <c r="Y48" s="3"/>
      <c r="Z48" s="3"/>
      <c r="AA48" s="3"/>
      <c r="AB48" s="23"/>
      <c r="AC48" s="24"/>
      <c r="AD48" s="24"/>
      <c r="AE48" s="24"/>
      <c r="AF48" s="25"/>
      <c r="AG48" s="20"/>
      <c r="AH48" s="21"/>
      <c r="AI48" s="21"/>
      <c r="AJ48" s="21"/>
      <c r="AK48" s="22"/>
      <c r="AL48" s="17">
        <v>42.35</v>
      </c>
      <c r="AO48" s="54"/>
    </row>
    <row r="49" spans="1:41" s="15" customFormat="1" ht="10.5" hidden="1" customHeight="1" outlineLevel="2" x14ac:dyDescent="0.2">
      <c r="A49" s="6" t="s">
        <v>54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3">
        <v>27.06</v>
      </c>
      <c r="P49" s="3"/>
      <c r="Q49" s="3"/>
      <c r="R49" s="3"/>
      <c r="S49" s="3"/>
      <c r="T49" s="3"/>
      <c r="U49" s="3"/>
      <c r="V49" s="23"/>
      <c r="W49" s="24"/>
      <c r="X49" s="24"/>
      <c r="Y49" s="24"/>
      <c r="Z49" s="24"/>
      <c r="AA49" s="25"/>
      <c r="AB49" s="3">
        <v>27.06</v>
      </c>
      <c r="AC49" s="3"/>
      <c r="AD49" s="3"/>
      <c r="AE49" s="3"/>
      <c r="AF49" s="3"/>
      <c r="AG49" s="3">
        <v>27.06</v>
      </c>
      <c r="AH49" s="3"/>
      <c r="AI49" s="3"/>
      <c r="AJ49" s="3"/>
      <c r="AK49" s="3"/>
      <c r="AL49" s="17"/>
      <c r="AN49" s="53">
        <f>AL49-AG49</f>
        <v>-27.06</v>
      </c>
      <c r="AO49" s="55">
        <f>AG49</f>
        <v>27.06</v>
      </c>
    </row>
    <row r="50" spans="1:41" s="15" customFormat="1" ht="10.5" hidden="1" customHeight="1" outlineLevel="2" x14ac:dyDescent="0.2">
      <c r="A50" s="6" t="s">
        <v>55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3">
        <v>11.89</v>
      </c>
      <c r="P50" s="3"/>
      <c r="Q50" s="3"/>
      <c r="R50" s="3"/>
      <c r="S50" s="3"/>
      <c r="T50" s="3"/>
      <c r="U50" s="3"/>
      <c r="V50" s="3">
        <v>12.71</v>
      </c>
      <c r="W50" s="3"/>
      <c r="X50" s="3"/>
      <c r="Y50" s="3"/>
      <c r="Z50" s="3"/>
      <c r="AA50" s="3"/>
      <c r="AB50" s="3">
        <v>-0.82</v>
      </c>
      <c r="AC50" s="3"/>
      <c r="AD50" s="3"/>
      <c r="AE50" s="3"/>
      <c r="AF50" s="3"/>
      <c r="AG50" s="20"/>
      <c r="AH50" s="21"/>
      <c r="AI50" s="21"/>
      <c r="AJ50" s="21"/>
      <c r="AK50" s="22"/>
      <c r="AL50" s="17">
        <v>37.31</v>
      </c>
      <c r="AO50" s="54"/>
    </row>
    <row r="51" spans="1:41" s="15" customFormat="1" ht="10.5" hidden="1" customHeight="1" outlineLevel="2" x14ac:dyDescent="0.2">
      <c r="A51" s="6" t="s">
        <v>56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3">
        <v>15.12</v>
      </c>
      <c r="P51" s="3"/>
      <c r="Q51" s="3"/>
      <c r="R51" s="3"/>
      <c r="S51" s="3"/>
      <c r="T51" s="3"/>
      <c r="U51" s="3"/>
      <c r="V51" s="23"/>
      <c r="W51" s="24"/>
      <c r="X51" s="24"/>
      <c r="Y51" s="24"/>
      <c r="Z51" s="24"/>
      <c r="AA51" s="25"/>
      <c r="AB51" s="3">
        <v>15.12</v>
      </c>
      <c r="AC51" s="3"/>
      <c r="AD51" s="3"/>
      <c r="AE51" s="3"/>
      <c r="AF51" s="3"/>
      <c r="AG51" s="3">
        <v>15.12</v>
      </c>
      <c r="AH51" s="3"/>
      <c r="AI51" s="3"/>
      <c r="AJ51" s="3"/>
      <c r="AK51" s="3"/>
      <c r="AL51" s="17">
        <v>1.08</v>
      </c>
      <c r="AN51" s="53">
        <f>AL51-AG51</f>
        <v>-14.04</v>
      </c>
      <c r="AO51" s="55">
        <f>AG51</f>
        <v>15.12</v>
      </c>
    </row>
    <row r="52" spans="1:41" s="15" customFormat="1" ht="10.5" hidden="1" customHeight="1" outlineLevel="2" x14ac:dyDescent="0.2">
      <c r="A52" s="6" t="s">
        <v>57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3">
        <v>1.32</v>
      </c>
      <c r="P52" s="3"/>
      <c r="Q52" s="3"/>
      <c r="R52" s="3"/>
      <c r="S52" s="3"/>
      <c r="T52" s="3"/>
      <c r="U52" s="3"/>
      <c r="V52" s="3">
        <v>1.32</v>
      </c>
      <c r="W52" s="3"/>
      <c r="X52" s="3"/>
      <c r="Y52" s="3"/>
      <c r="Z52" s="3"/>
      <c r="AA52" s="3"/>
      <c r="AB52" s="23"/>
      <c r="AC52" s="24"/>
      <c r="AD52" s="24"/>
      <c r="AE52" s="24"/>
      <c r="AF52" s="25"/>
      <c r="AG52" s="20"/>
      <c r="AH52" s="21"/>
      <c r="AI52" s="21"/>
      <c r="AJ52" s="21"/>
      <c r="AK52" s="22"/>
      <c r="AL52" s="17">
        <v>13.2</v>
      </c>
      <c r="AO52" s="54"/>
    </row>
    <row r="53" spans="1:41" s="15" customFormat="1" ht="10.5" hidden="1" customHeight="1" outlineLevel="2" x14ac:dyDescent="0.2">
      <c r="A53" s="6" t="s">
        <v>58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5">
        <v>3.6</v>
      </c>
      <c r="P53" s="5"/>
      <c r="Q53" s="5"/>
      <c r="R53" s="5"/>
      <c r="S53" s="5"/>
      <c r="T53" s="5"/>
      <c r="U53" s="5"/>
      <c r="V53" s="5">
        <v>3.6</v>
      </c>
      <c r="W53" s="5"/>
      <c r="X53" s="5"/>
      <c r="Y53" s="5"/>
      <c r="Z53" s="5"/>
      <c r="AA53" s="5"/>
      <c r="AB53" s="23"/>
      <c r="AC53" s="24"/>
      <c r="AD53" s="24"/>
      <c r="AE53" s="24"/>
      <c r="AF53" s="25"/>
      <c r="AG53" s="20"/>
      <c r="AH53" s="21"/>
      <c r="AI53" s="21"/>
      <c r="AJ53" s="21"/>
      <c r="AK53" s="22"/>
      <c r="AL53" s="17">
        <v>20.8</v>
      </c>
      <c r="AO53" s="54"/>
    </row>
    <row r="54" spans="1:41" s="15" customFormat="1" ht="10.5" hidden="1" customHeight="1" outlineLevel="2" x14ac:dyDescent="0.2">
      <c r="A54" s="6" t="s">
        <v>59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3">
        <v>0.99</v>
      </c>
      <c r="P54" s="3"/>
      <c r="Q54" s="3"/>
      <c r="R54" s="3"/>
      <c r="S54" s="3"/>
      <c r="T54" s="3"/>
      <c r="U54" s="3"/>
      <c r="V54" s="3">
        <v>0.99</v>
      </c>
      <c r="W54" s="3"/>
      <c r="X54" s="3"/>
      <c r="Y54" s="3"/>
      <c r="Z54" s="3"/>
      <c r="AA54" s="3"/>
      <c r="AB54" s="23"/>
      <c r="AC54" s="24"/>
      <c r="AD54" s="24"/>
      <c r="AE54" s="24"/>
      <c r="AF54" s="25"/>
      <c r="AG54" s="20"/>
      <c r="AH54" s="21"/>
      <c r="AI54" s="21"/>
      <c r="AJ54" s="21"/>
      <c r="AK54" s="22"/>
      <c r="AL54" s="17">
        <v>8.91</v>
      </c>
      <c r="AO54" s="54"/>
    </row>
    <row r="55" spans="1:41" s="15" customFormat="1" ht="10.5" hidden="1" customHeight="1" outlineLevel="2" x14ac:dyDescent="0.2">
      <c r="A55" s="6" t="s">
        <v>60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5">
        <v>0.8</v>
      </c>
      <c r="P55" s="5"/>
      <c r="Q55" s="5"/>
      <c r="R55" s="5"/>
      <c r="S55" s="5"/>
      <c r="T55" s="5"/>
      <c r="U55" s="5"/>
      <c r="V55" s="5">
        <v>0.8</v>
      </c>
      <c r="W55" s="5"/>
      <c r="X55" s="5"/>
      <c r="Y55" s="5"/>
      <c r="Z55" s="5"/>
      <c r="AA55" s="5"/>
      <c r="AB55" s="23"/>
      <c r="AC55" s="24"/>
      <c r="AD55" s="24"/>
      <c r="AE55" s="24"/>
      <c r="AF55" s="25"/>
      <c r="AG55" s="20"/>
      <c r="AH55" s="21"/>
      <c r="AI55" s="21"/>
      <c r="AJ55" s="21"/>
      <c r="AK55" s="22"/>
      <c r="AL55" s="17">
        <v>22</v>
      </c>
      <c r="AO55" s="54"/>
    </row>
    <row r="56" spans="1:41" s="15" customFormat="1" ht="10.5" hidden="1" customHeight="1" outlineLevel="2" x14ac:dyDescent="0.2">
      <c r="A56" s="6" t="s">
        <v>61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3">
        <v>0.75</v>
      </c>
      <c r="P56" s="3"/>
      <c r="Q56" s="3"/>
      <c r="R56" s="3"/>
      <c r="S56" s="3"/>
      <c r="T56" s="3"/>
      <c r="U56" s="3"/>
      <c r="V56" s="3">
        <v>0.75</v>
      </c>
      <c r="W56" s="3"/>
      <c r="X56" s="3"/>
      <c r="Y56" s="3"/>
      <c r="Z56" s="3"/>
      <c r="AA56" s="3"/>
      <c r="AB56" s="23"/>
      <c r="AC56" s="24"/>
      <c r="AD56" s="24"/>
      <c r="AE56" s="24"/>
      <c r="AF56" s="25"/>
      <c r="AG56" s="20"/>
      <c r="AH56" s="21"/>
      <c r="AI56" s="21"/>
      <c r="AJ56" s="21"/>
      <c r="AK56" s="22"/>
      <c r="AL56" s="17">
        <v>6.75</v>
      </c>
      <c r="AO56" s="54"/>
    </row>
    <row r="57" spans="1:41" s="15" customFormat="1" ht="10.5" hidden="1" customHeight="1" outlineLevel="2" x14ac:dyDescent="0.2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3">
        <v>0.54</v>
      </c>
      <c r="P57" s="3"/>
      <c r="Q57" s="3"/>
      <c r="R57" s="3"/>
      <c r="S57" s="3"/>
      <c r="T57" s="3"/>
      <c r="U57" s="3"/>
      <c r="V57" s="3">
        <v>0.54</v>
      </c>
      <c r="W57" s="3"/>
      <c r="X57" s="3"/>
      <c r="Y57" s="3"/>
      <c r="Z57" s="3"/>
      <c r="AA57" s="3"/>
      <c r="AB57" s="23"/>
      <c r="AC57" s="24"/>
      <c r="AD57" s="24"/>
      <c r="AE57" s="24"/>
      <c r="AF57" s="25"/>
      <c r="AG57" s="20"/>
      <c r="AH57" s="21"/>
      <c r="AI57" s="21"/>
      <c r="AJ57" s="21"/>
      <c r="AK57" s="22"/>
      <c r="AL57" s="17">
        <v>31.86</v>
      </c>
      <c r="AO57" s="54"/>
    </row>
    <row r="58" spans="1:41" s="15" customFormat="1" ht="10.5" hidden="1" customHeight="1" outlineLevel="2" x14ac:dyDescent="0.2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3">
        <v>113.16</v>
      </c>
      <c r="P58" s="3"/>
      <c r="Q58" s="3"/>
      <c r="R58" s="3"/>
      <c r="S58" s="3"/>
      <c r="T58" s="3"/>
      <c r="U58" s="3"/>
      <c r="V58" s="3">
        <v>4.51</v>
      </c>
      <c r="W58" s="3"/>
      <c r="X58" s="3"/>
      <c r="Y58" s="3"/>
      <c r="Z58" s="3"/>
      <c r="AA58" s="3"/>
      <c r="AB58" s="3">
        <v>108.65</v>
      </c>
      <c r="AC58" s="3"/>
      <c r="AD58" s="3"/>
      <c r="AE58" s="3"/>
      <c r="AF58" s="3"/>
      <c r="AG58" s="3">
        <v>108.65</v>
      </c>
      <c r="AH58" s="3"/>
      <c r="AI58" s="3"/>
      <c r="AJ58" s="3"/>
      <c r="AK58" s="3"/>
      <c r="AL58" s="17">
        <v>9.02</v>
      </c>
      <c r="AN58" s="53">
        <f>AL58-AG58</f>
        <v>-99.63000000000001</v>
      </c>
      <c r="AO58" s="55">
        <f>AG58</f>
        <v>108.65</v>
      </c>
    </row>
    <row r="59" spans="1:41" s="15" customFormat="1" ht="10.5" hidden="1" customHeight="1" outlineLevel="2" x14ac:dyDescent="0.2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5">
        <v>2.8</v>
      </c>
      <c r="P59" s="5"/>
      <c r="Q59" s="5"/>
      <c r="R59" s="5"/>
      <c r="S59" s="5"/>
      <c r="T59" s="5"/>
      <c r="U59" s="5"/>
      <c r="V59" s="5">
        <v>2.8</v>
      </c>
      <c r="W59" s="5"/>
      <c r="X59" s="5"/>
      <c r="Y59" s="5"/>
      <c r="Z59" s="5"/>
      <c r="AA59" s="5"/>
      <c r="AB59" s="23"/>
      <c r="AC59" s="24"/>
      <c r="AD59" s="24"/>
      <c r="AE59" s="24"/>
      <c r="AF59" s="25"/>
      <c r="AG59" s="20"/>
      <c r="AH59" s="21"/>
      <c r="AI59" s="21"/>
      <c r="AJ59" s="21"/>
      <c r="AK59" s="22"/>
      <c r="AL59" s="17">
        <v>18.2</v>
      </c>
      <c r="AO59" s="54"/>
    </row>
    <row r="60" spans="1:41" s="15" customFormat="1" ht="10.5" hidden="1" customHeight="1" outlineLevel="2" x14ac:dyDescent="0.2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3">
        <v>33.619999999999997</v>
      </c>
      <c r="P60" s="3"/>
      <c r="Q60" s="3"/>
      <c r="R60" s="3"/>
      <c r="S60" s="3"/>
      <c r="T60" s="3"/>
      <c r="U60" s="3"/>
      <c r="V60" s="3">
        <v>33.619999999999997</v>
      </c>
      <c r="W60" s="3"/>
      <c r="X60" s="3"/>
      <c r="Y60" s="3"/>
      <c r="Z60" s="3"/>
      <c r="AA60" s="3"/>
      <c r="AB60" s="23"/>
      <c r="AC60" s="24"/>
      <c r="AD60" s="24"/>
      <c r="AE60" s="24"/>
      <c r="AF60" s="25"/>
      <c r="AG60" s="20"/>
      <c r="AH60" s="21"/>
      <c r="AI60" s="21"/>
      <c r="AJ60" s="21"/>
      <c r="AK60" s="22"/>
      <c r="AL60" s="17">
        <v>38.54</v>
      </c>
      <c r="AO60" s="54"/>
    </row>
    <row r="61" spans="1:41" s="15" customFormat="1" ht="10.5" hidden="1" customHeight="1" outlineLevel="2" x14ac:dyDescent="0.2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5">
        <v>2.1</v>
      </c>
      <c r="P61" s="5"/>
      <c r="Q61" s="5"/>
      <c r="R61" s="5"/>
      <c r="S61" s="5"/>
      <c r="T61" s="5"/>
      <c r="U61" s="5"/>
      <c r="V61" s="5">
        <v>2.1</v>
      </c>
      <c r="W61" s="5"/>
      <c r="X61" s="5"/>
      <c r="Y61" s="5"/>
      <c r="Z61" s="5"/>
      <c r="AA61" s="5"/>
      <c r="AB61" s="23"/>
      <c r="AC61" s="24"/>
      <c r="AD61" s="24"/>
      <c r="AE61" s="24"/>
      <c r="AF61" s="25"/>
      <c r="AG61" s="20"/>
      <c r="AH61" s="21"/>
      <c r="AI61" s="21"/>
      <c r="AJ61" s="21"/>
      <c r="AK61" s="22"/>
      <c r="AL61" s="17">
        <v>28.2</v>
      </c>
      <c r="AO61" s="54"/>
    </row>
    <row r="62" spans="1:41" s="15" customFormat="1" ht="10.5" hidden="1" customHeight="1" outlineLevel="2" x14ac:dyDescent="0.2">
      <c r="A62" s="6" t="s">
        <v>67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5">
        <v>19.8</v>
      </c>
      <c r="P62" s="5"/>
      <c r="Q62" s="5"/>
      <c r="R62" s="5"/>
      <c r="S62" s="5"/>
      <c r="T62" s="5"/>
      <c r="U62" s="5"/>
      <c r="V62" s="23"/>
      <c r="W62" s="24"/>
      <c r="X62" s="24"/>
      <c r="Y62" s="24"/>
      <c r="Z62" s="24"/>
      <c r="AA62" s="25"/>
      <c r="AB62" s="5">
        <v>19.8</v>
      </c>
      <c r="AC62" s="5"/>
      <c r="AD62" s="5"/>
      <c r="AE62" s="5"/>
      <c r="AF62" s="5"/>
      <c r="AG62" s="5">
        <v>19.8</v>
      </c>
      <c r="AH62" s="5"/>
      <c r="AI62" s="5"/>
      <c r="AJ62" s="5"/>
      <c r="AK62" s="5"/>
      <c r="AL62" s="17"/>
      <c r="AN62" s="53">
        <f>AL62-AG62</f>
        <v>-19.8</v>
      </c>
      <c r="AO62" s="55">
        <f>AG62</f>
        <v>19.8</v>
      </c>
    </row>
    <row r="63" spans="1:41" s="15" customFormat="1" ht="10.5" hidden="1" customHeight="1" outlineLevel="2" x14ac:dyDescent="0.2">
      <c r="A63" s="6" t="s">
        <v>68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3">
        <v>0.22</v>
      </c>
      <c r="P63" s="3"/>
      <c r="Q63" s="3"/>
      <c r="R63" s="3"/>
      <c r="S63" s="3"/>
      <c r="T63" s="3"/>
      <c r="U63" s="3"/>
      <c r="V63" s="3">
        <v>0.22</v>
      </c>
      <c r="W63" s="3"/>
      <c r="X63" s="3"/>
      <c r="Y63" s="3"/>
      <c r="Z63" s="3"/>
      <c r="AA63" s="3"/>
      <c r="AB63" s="23"/>
      <c r="AC63" s="24"/>
      <c r="AD63" s="24"/>
      <c r="AE63" s="24"/>
      <c r="AF63" s="25"/>
      <c r="AG63" s="20"/>
      <c r="AH63" s="21"/>
      <c r="AI63" s="21"/>
      <c r="AJ63" s="21"/>
      <c r="AK63" s="22"/>
      <c r="AL63" s="17">
        <v>4.62</v>
      </c>
      <c r="AO63" s="54"/>
    </row>
    <row r="64" spans="1:41" s="15" customFormat="1" ht="10.5" hidden="1" customHeight="1" outlineLevel="2" x14ac:dyDescent="0.2">
      <c r="A64" s="6" t="s">
        <v>69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3">
        <v>39.549999999999997</v>
      </c>
      <c r="P64" s="3"/>
      <c r="Q64" s="3"/>
      <c r="R64" s="3"/>
      <c r="S64" s="3"/>
      <c r="T64" s="3"/>
      <c r="U64" s="3"/>
      <c r="V64" s="3">
        <v>39.549999999999997</v>
      </c>
      <c r="W64" s="3"/>
      <c r="X64" s="3"/>
      <c r="Y64" s="3"/>
      <c r="Z64" s="3"/>
      <c r="AA64" s="3"/>
      <c r="AB64" s="23"/>
      <c r="AC64" s="24"/>
      <c r="AD64" s="24"/>
      <c r="AE64" s="24"/>
      <c r="AF64" s="25"/>
      <c r="AG64" s="20"/>
      <c r="AH64" s="21"/>
      <c r="AI64" s="21"/>
      <c r="AJ64" s="21"/>
      <c r="AK64" s="22"/>
      <c r="AL64" s="17">
        <v>36.049999999999997</v>
      </c>
      <c r="AO64" s="54"/>
    </row>
    <row r="65" spans="1:41" s="15" customFormat="1" ht="10.5" hidden="1" customHeight="1" outlineLevel="2" x14ac:dyDescent="0.2">
      <c r="A65" s="6" t="s">
        <v>70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5">
        <v>38.5</v>
      </c>
      <c r="P65" s="5"/>
      <c r="Q65" s="5"/>
      <c r="R65" s="5"/>
      <c r="S65" s="5"/>
      <c r="T65" s="5"/>
      <c r="U65" s="5"/>
      <c r="V65" s="5">
        <v>38.5</v>
      </c>
      <c r="W65" s="5"/>
      <c r="X65" s="5"/>
      <c r="Y65" s="5"/>
      <c r="Z65" s="5"/>
      <c r="AA65" s="5"/>
      <c r="AB65" s="23"/>
      <c r="AC65" s="24"/>
      <c r="AD65" s="24"/>
      <c r="AE65" s="24"/>
      <c r="AF65" s="25"/>
      <c r="AG65" s="20"/>
      <c r="AH65" s="21"/>
      <c r="AI65" s="21"/>
      <c r="AJ65" s="21"/>
      <c r="AK65" s="22"/>
      <c r="AL65" s="17">
        <v>24.15</v>
      </c>
      <c r="AO65" s="54"/>
    </row>
    <row r="66" spans="1:41" s="15" customFormat="1" ht="10.5" hidden="1" customHeight="1" outlineLevel="2" x14ac:dyDescent="0.2">
      <c r="A66" s="6" t="s">
        <v>71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5">
        <v>1.8</v>
      </c>
      <c r="P66" s="5"/>
      <c r="Q66" s="5"/>
      <c r="R66" s="5"/>
      <c r="S66" s="5"/>
      <c r="T66" s="5"/>
      <c r="U66" s="5"/>
      <c r="V66" s="5">
        <v>1.8</v>
      </c>
      <c r="W66" s="5"/>
      <c r="X66" s="5"/>
      <c r="Y66" s="5"/>
      <c r="Z66" s="5"/>
      <c r="AA66" s="5"/>
      <c r="AB66" s="23"/>
      <c r="AC66" s="24"/>
      <c r="AD66" s="24"/>
      <c r="AE66" s="24"/>
      <c r="AF66" s="25"/>
      <c r="AG66" s="20"/>
      <c r="AH66" s="21"/>
      <c r="AI66" s="21"/>
      <c r="AJ66" s="21"/>
      <c r="AK66" s="22"/>
      <c r="AL66" s="17">
        <v>15.9</v>
      </c>
      <c r="AO66" s="54"/>
    </row>
    <row r="67" spans="1:41" s="15" customFormat="1" ht="10.5" hidden="1" customHeight="1" outlineLevel="2" x14ac:dyDescent="0.2">
      <c r="A67" s="6" t="s">
        <v>72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5">
        <v>0.3</v>
      </c>
      <c r="P67" s="5"/>
      <c r="Q67" s="5"/>
      <c r="R67" s="5"/>
      <c r="S67" s="5"/>
      <c r="T67" s="5"/>
      <c r="U67" s="5"/>
      <c r="V67" s="23"/>
      <c r="W67" s="24"/>
      <c r="X67" s="24"/>
      <c r="Y67" s="24"/>
      <c r="Z67" s="24"/>
      <c r="AA67" s="25"/>
      <c r="AB67" s="5">
        <v>0.3</v>
      </c>
      <c r="AC67" s="5"/>
      <c r="AD67" s="5"/>
      <c r="AE67" s="5"/>
      <c r="AF67" s="5"/>
      <c r="AG67" s="5">
        <v>0.3</v>
      </c>
      <c r="AH67" s="5"/>
      <c r="AI67" s="5"/>
      <c r="AJ67" s="5"/>
      <c r="AK67" s="5"/>
      <c r="AL67" s="17"/>
      <c r="AN67" s="53">
        <f t="shared" ref="AN67:AN73" si="4">AL67-AG67</f>
        <v>-0.3</v>
      </c>
      <c r="AO67" s="55">
        <f>AG67</f>
        <v>0.3</v>
      </c>
    </row>
    <row r="68" spans="1:41" s="15" customFormat="1" ht="10.5" hidden="1" customHeight="1" outlineLevel="2" x14ac:dyDescent="0.2">
      <c r="A68" s="6" t="s">
        <v>73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3">
        <v>21.56</v>
      </c>
      <c r="P68" s="3"/>
      <c r="Q68" s="3"/>
      <c r="R68" s="3"/>
      <c r="S68" s="3"/>
      <c r="T68" s="3"/>
      <c r="U68" s="3"/>
      <c r="V68" s="5">
        <v>2.8</v>
      </c>
      <c r="W68" s="5"/>
      <c r="X68" s="5"/>
      <c r="Y68" s="5"/>
      <c r="Z68" s="5"/>
      <c r="AA68" s="5"/>
      <c r="AB68" s="3">
        <v>18.760000000000002</v>
      </c>
      <c r="AC68" s="3"/>
      <c r="AD68" s="3"/>
      <c r="AE68" s="3"/>
      <c r="AF68" s="3"/>
      <c r="AG68" s="3">
        <v>18.760000000000002</v>
      </c>
      <c r="AH68" s="3"/>
      <c r="AI68" s="3"/>
      <c r="AJ68" s="3"/>
      <c r="AK68" s="3"/>
      <c r="AL68" s="17">
        <v>-0.28000000000000003</v>
      </c>
      <c r="AN68" s="53">
        <f t="shared" si="4"/>
        <v>-19.040000000000003</v>
      </c>
      <c r="AO68" s="55">
        <f t="shared" ref="AO68:AO73" si="5">AG68</f>
        <v>18.760000000000002</v>
      </c>
    </row>
    <row r="69" spans="1:41" s="15" customFormat="1" ht="10.5" hidden="1" customHeight="1" outlineLevel="2" x14ac:dyDescent="0.2">
      <c r="A69" s="6" t="s">
        <v>74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3">
        <v>26.04</v>
      </c>
      <c r="P69" s="3"/>
      <c r="Q69" s="3"/>
      <c r="R69" s="3"/>
      <c r="S69" s="3"/>
      <c r="T69" s="3"/>
      <c r="U69" s="3"/>
      <c r="V69" s="3">
        <v>11.76</v>
      </c>
      <c r="W69" s="3"/>
      <c r="X69" s="3"/>
      <c r="Y69" s="3"/>
      <c r="Z69" s="3"/>
      <c r="AA69" s="3"/>
      <c r="AB69" s="3">
        <v>14.28</v>
      </c>
      <c r="AC69" s="3"/>
      <c r="AD69" s="3"/>
      <c r="AE69" s="3"/>
      <c r="AF69" s="3"/>
      <c r="AG69" s="3">
        <v>14.28</v>
      </c>
      <c r="AH69" s="3"/>
      <c r="AI69" s="3"/>
      <c r="AJ69" s="3"/>
      <c r="AK69" s="3"/>
      <c r="AL69" s="17">
        <v>0.56000000000000005</v>
      </c>
      <c r="AN69" s="53">
        <f t="shared" si="4"/>
        <v>-13.719999999999999</v>
      </c>
      <c r="AO69" s="55">
        <f t="shared" si="5"/>
        <v>14.28</v>
      </c>
    </row>
    <row r="70" spans="1:41" s="15" customFormat="1" ht="10.5" hidden="1" customHeight="1" outlineLevel="2" x14ac:dyDescent="0.2">
      <c r="A70" s="6" t="s">
        <v>75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3">
        <v>24.92</v>
      </c>
      <c r="P70" s="3"/>
      <c r="Q70" s="3"/>
      <c r="R70" s="3"/>
      <c r="S70" s="3"/>
      <c r="T70" s="3"/>
      <c r="U70" s="3"/>
      <c r="V70" s="3">
        <v>4.76</v>
      </c>
      <c r="W70" s="3"/>
      <c r="X70" s="3"/>
      <c r="Y70" s="3"/>
      <c r="Z70" s="3"/>
      <c r="AA70" s="3"/>
      <c r="AB70" s="3">
        <v>20.16</v>
      </c>
      <c r="AC70" s="3"/>
      <c r="AD70" s="3"/>
      <c r="AE70" s="3"/>
      <c r="AF70" s="3"/>
      <c r="AG70" s="3">
        <v>20.16</v>
      </c>
      <c r="AH70" s="3"/>
      <c r="AI70" s="3"/>
      <c r="AJ70" s="3"/>
      <c r="AK70" s="3"/>
      <c r="AL70" s="17"/>
      <c r="AN70" s="53">
        <f t="shared" si="4"/>
        <v>-20.16</v>
      </c>
      <c r="AO70" s="55">
        <f t="shared" si="5"/>
        <v>20.16</v>
      </c>
    </row>
    <row r="71" spans="1:41" s="15" customFormat="1" ht="10.5" hidden="1" customHeight="1" outlineLevel="2" x14ac:dyDescent="0.2">
      <c r="A71" s="6" t="s">
        <v>76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5">
        <v>90.4</v>
      </c>
      <c r="P71" s="5"/>
      <c r="Q71" s="5"/>
      <c r="R71" s="5"/>
      <c r="S71" s="5"/>
      <c r="T71" s="5"/>
      <c r="U71" s="5"/>
      <c r="V71" s="5">
        <v>2.4</v>
      </c>
      <c r="W71" s="5"/>
      <c r="X71" s="5"/>
      <c r="Y71" s="5"/>
      <c r="Z71" s="5"/>
      <c r="AA71" s="5"/>
      <c r="AB71" s="2">
        <v>88</v>
      </c>
      <c r="AC71" s="2"/>
      <c r="AD71" s="2"/>
      <c r="AE71" s="2"/>
      <c r="AF71" s="2"/>
      <c r="AG71" s="2">
        <v>88</v>
      </c>
      <c r="AH71" s="2"/>
      <c r="AI71" s="2"/>
      <c r="AJ71" s="2"/>
      <c r="AK71" s="2"/>
      <c r="AL71" s="17">
        <v>1.2</v>
      </c>
      <c r="AN71" s="53">
        <f t="shared" si="4"/>
        <v>-86.8</v>
      </c>
      <c r="AO71" s="55">
        <f t="shared" si="5"/>
        <v>88</v>
      </c>
    </row>
    <row r="72" spans="1:41" s="15" customFormat="1" ht="10.5" hidden="1" customHeight="1" outlineLevel="2" x14ac:dyDescent="0.2">
      <c r="A72" s="6" t="s">
        <v>77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2">
        <v>3</v>
      </c>
      <c r="P72" s="2"/>
      <c r="Q72" s="2"/>
      <c r="R72" s="2"/>
      <c r="S72" s="2"/>
      <c r="T72" s="2"/>
      <c r="U72" s="2"/>
      <c r="V72" s="23"/>
      <c r="W72" s="24"/>
      <c r="X72" s="24"/>
      <c r="Y72" s="24"/>
      <c r="Z72" s="24"/>
      <c r="AA72" s="25"/>
      <c r="AB72" s="2">
        <v>3</v>
      </c>
      <c r="AC72" s="2"/>
      <c r="AD72" s="2"/>
      <c r="AE72" s="2"/>
      <c r="AF72" s="2"/>
      <c r="AG72" s="2">
        <v>3</v>
      </c>
      <c r="AH72" s="2"/>
      <c r="AI72" s="2"/>
      <c r="AJ72" s="2"/>
      <c r="AK72" s="2"/>
      <c r="AL72" s="17"/>
      <c r="AN72" s="53">
        <f t="shared" si="4"/>
        <v>-3</v>
      </c>
      <c r="AO72" s="55">
        <f t="shared" si="5"/>
        <v>3</v>
      </c>
    </row>
    <row r="73" spans="1:41" s="15" customFormat="1" ht="10.5" hidden="1" customHeight="1" outlineLevel="2" x14ac:dyDescent="0.2">
      <c r="A73" s="6" t="s">
        <v>78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3">
        <v>12.84</v>
      </c>
      <c r="P73" s="3"/>
      <c r="Q73" s="3"/>
      <c r="R73" s="3"/>
      <c r="S73" s="3"/>
      <c r="T73" s="3"/>
      <c r="U73" s="3"/>
      <c r="V73" s="23"/>
      <c r="W73" s="24"/>
      <c r="X73" s="24"/>
      <c r="Y73" s="24"/>
      <c r="Z73" s="24"/>
      <c r="AA73" s="25"/>
      <c r="AB73" s="3">
        <v>12.84</v>
      </c>
      <c r="AC73" s="3"/>
      <c r="AD73" s="3"/>
      <c r="AE73" s="3"/>
      <c r="AF73" s="3"/>
      <c r="AG73" s="3">
        <v>12.84</v>
      </c>
      <c r="AH73" s="3"/>
      <c r="AI73" s="3"/>
      <c r="AJ73" s="3"/>
      <c r="AK73" s="3"/>
      <c r="AL73" s="17">
        <v>-1.92</v>
      </c>
      <c r="AN73" s="53">
        <f t="shared" si="4"/>
        <v>-14.76</v>
      </c>
      <c r="AO73" s="55">
        <f t="shared" si="5"/>
        <v>12.84</v>
      </c>
    </row>
    <row r="74" spans="1:41" s="15" customFormat="1" ht="10.5" hidden="1" customHeight="1" outlineLevel="2" x14ac:dyDescent="0.2">
      <c r="A74" s="6" t="s">
        <v>79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5">
        <v>1.2</v>
      </c>
      <c r="P74" s="5"/>
      <c r="Q74" s="5"/>
      <c r="R74" s="5"/>
      <c r="S74" s="5"/>
      <c r="T74" s="5"/>
      <c r="U74" s="5"/>
      <c r="V74" s="5">
        <v>1.2</v>
      </c>
      <c r="W74" s="5"/>
      <c r="X74" s="5"/>
      <c r="Y74" s="5"/>
      <c r="Z74" s="5"/>
      <c r="AA74" s="5"/>
      <c r="AB74" s="23"/>
      <c r="AC74" s="24"/>
      <c r="AD74" s="24"/>
      <c r="AE74" s="24"/>
      <c r="AF74" s="25"/>
      <c r="AG74" s="20"/>
      <c r="AH74" s="21"/>
      <c r="AI74" s="21"/>
      <c r="AJ74" s="21"/>
      <c r="AK74" s="22"/>
      <c r="AL74" s="17">
        <v>36.9</v>
      </c>
      <c r="AO74" s="54"/>
    </row>
    <row r="75" spans="1:41" s="15" customFormat="1" ht="10.5" hidden="1" customHeight="1" outlineLevel="2" x14ac:dyDescent="0.2">
      <c r="A75" s="6" t="s">
        <v>80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5">
        <v>1.8</v>
      </c>
      <c r="P75" s="5"/>
      <c r="Q75" s="5"/>
      <c r="R75" s="5"/>
      <c r="S75" s="5"/>
      <c r="T75" s="5"/>
      <c r="U75" s="5"/>
      <c r="V75" s="5">
        <v>1.8</v>
      </c>
      <c r="W75" s="5"/>
      <c r="X75" s="5"/>
      <c r="Y75" s="5"/>
      <c r="Z75" s="5"/>
      <c r="AA75" s="5"/>
      <c r="AB75" s="23"/>
      <c r="AC75" s="24"/>
      <c r="AD75" s="24"/>
      <c r="AE75" s="24"/>
      <c r="AF75" s="25"/>
      <c r="AG75" s="20"/>
      <c r="AH75" s="21"/>
      <c r="AI75" s="21"/>
      <c r="AJ75" s="21"/>
      <c r="AK75" s="22"/>
      <c r="AL75" s="17">
        <v>38.1</v>
      </c>
      <c r="AO75" s="54"/>
    </row>
    <row r="76" spans="1:41" s="15" customFormat="1" ht="10.5" hidden="1" customHeight="1" outlineLevel="2" x14ac:dyDescent="0.2">
      <c r="A76" s="6" t="s">
        <v>81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3">
        <v>0.99</v>
      </c>
      <c r="P76" s="3"/>
      <c r="Q76" s="3"/>
      <c r="R76" s="3"/>
      <c r="S76" s="3"/>
      <c r="T76" s="3"/>
      <c r="U76" s="3"/>
      <c r="V76" s="3">
        <v>0.33</v>
      </c>
      <c r="W76" s="3"/>
      <c r="X76" s="3"/>
      <c r="Y76" s="3"/>
      <c r="Z76" s="3"/>
      <c r="AA76" s="3"/>
      <c r="AB76" s="3">
        <v>0.66</v>
      </c>
      <c r="AC76" s="3"/>
      <c r="AD76" s="3"/>
      <c r="AE76" s="3"/>
      <c r="AF76" s="3"/>
      <c r="AG76" s="3">
        <v>0.66</v>
      </c>
      <c r="AH76" s="3"/>
      <c r="AI76" s="3"/>
      <c r="AJ76" s="3"/>
      <c r="AK76" s="3"/>
      <c r="AL76" s="17">
        <v>1.32</v>
      </c>
      <c r="AN76" s="53">
        <f>AL76-AG76</f>
        <v>0.66</v>
      </c>
      <c r="AO76" s="54"/>
    </row>
    <row r="77" spans="1:41" s="15" customFormat="1" ht="10.5" hidden="1" customHeight="1" outlineLevel="2" x14ac:dyDescent="0.2">
      <c r="A77" s="6" t="s">
        <v>82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3">
        <v>0.15</v>
      </c>
      <c r="P77" s="3"/>
      <c r="Q77" s="3"/>
      <c r="R77" s="3"/>
      <c r="S77" s="3"/>
      <c r="T77" s="3"/>
      <c r="U77" s="3"/>
      <c r="V77" s="3">
        <v>0.15</v>
      </c>
      <c r="W77" s="3"/>
      <c r="X77" s="3"/>
      <c r="Y77" s="3"/>
      <c r="Z77" s="3"/>
      <c r="AA77" s="3"/>
      <c r="AB77" s="23"/>
      <c r="AC77" s="24"/>
      <c r="AD77" s="24"/>
      <c r="AE77" s="24"/>
      <c r="AF77" s="25"/>
      <c r="AG77" s="20"/>
      <c r="AH77" s="21"/>
      <c r="AI77" s="21"/>
      <c r="AJ77" s="21"/>
      <c r="AK77" s="22"/>
      <c r="AL77" s="17">
        <v>34.5</v>
      </c>
      <c r="AO77" s="54"/>
    </row>
    <row r="78" spans="1:41" s="15" customFormat="1" ht="10.5" hidden="1" customHeight="1" outlineLevel="2" x14ac:dyDescent="0.2">
      <c r="A78" s="6" t="s">
        <v>83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3">
        <v>23.78</v>
      </c>
      <c r="P78" s="3"/>
      <c r="Q78" s="3"/>
      <c r="R78" s="3"/>
      <c r="S78" s="3"/>
      <c r="T78" s="3"/>
      <c r="U78" s="3"/>
      <c r="V78" s="23"/>
      <c r="W78" s="24"/>
      <c r="X78" s="24"/>
      <c r="Y78" s="24"/>
      <c r="Z78" s="24"/>
      <c r="AA78" s="25"/>
      <c r="AB78" s="3">
        <v>23.78</v>
      </c>
      <c r="AC78" s="3"/>
      <c r="AD78" s="3"/>
      <c r="AE78" s="3"/>
      <c r="AF78" s="3"/>
      <c r="AG78" s="3">
        <v>23.78</v>
      </c>
      <c r="AH78" s="3"/>
      <c r="AI78" s="3"/>
      <c r="AJ78" s="3"/>
      <c r="AK78" s="3"/>
      <c r="AL78" s="17">
        <v>2.87</v>
      </c>
      <c r="AN78" s="53">
        <f>AL78-AG78</f>
        <v>-20.91</v>
      </c>
      <c r="AO78" s="55">
        <f>AG78</f>
        <v>23.78</v>
      </c>
    </row>
    <row r="79" spans="1:41" s="15" customFormat="1" ht="10.5" hidden="1" customHeight="1" outlineLevel="2" x14ac:dyDescent="0.2">
      <c r="A79" s="6" t="s">
        <v>84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3">
        <v>1.04</v>
      </c>
      <c r="P79" s="3"/>
      <c r="Q79" s="3"/>
      <c r="R79" s="3"/>
      <c r="S79" s="3"/>
      <c r="T79" s="3"/>
      <c r="U79" s="3"/>
      <c r="V79" s="3">
        <v>1.04</v>
      </c>
      <c r="W79" s="3"/>
      <c r="X79" s="3"/>
      <c r="Y79" s="3"/>
      <c r="Z79" s="3"/>
      <c r="AA79" s="3"/>
      <c r="AB79" s="23"/>
      <c r="AC79" s="24"/>
      <c r="AD79" s="24"/>
      <c r="AE79" s="24"/>
      <c r="AF79" s="25"/>
      <c r="AG79" s="20"/>
      <c r="AH79" s="21"/>
      <c r="AI79" s="21"/>
      <c r="AJ79" s="21"/>
      <c r="AK79" s="22"/>
      <c r="AL79" s="17">
        <v>55.12</v>
      </c>
      <c r="AO79" s="54"/>
    </row>
    <row r="80" spans="1:41" s="15" customFormat="1" ht="10.5" hidden="1" customHeight="1" outlineLevel="2" x14ac:dyDescent="0.2">
      <c r="A80" s="6" t="s">
        <v>85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3">
        <v>1.86</v>
      </c>
      <c r="P80" s="3"/>
      <c r="Q80" s="3"/>
      <c r="R80" s="3"/>
      <c r="S80" s="3"/>
      <c r="T80" s="3"/>
      <c r="U80" s="3"/>
      <c r="V80" s="23"/>
      <c r="W80" s="24"/>
      <c r="X80" s="24"/>
      <c r="Y80" s="24"/>
      <c r="Z80" s="24"/>
      <c r="AA80" s="25"/>
      <c r="AB80" s="3">
        <v>1.86</v>
      </c>
      <c r="AC80" s="3"/>
      <c r="AD80" s="3"/>
      <c r="AE80" s="3"/>
      <c r="AF80" s="3"/>
      <c r="AG80" s="3">
        <v>1.86</v>
      </c>
      <c r="AH80" s="3"/>
      <c r="AI80" s="3"/>
      <c r="AJ80" s="3"/>
      <c r="AK80" s="3"/>
      <c r="AL80" s="17">
        <v>30.69</v>
      </c>
      <c r="AN80" s="53">
        <f>AL80-AG80</f>
        <v>28.830000000000002</v>
      </c>
      <c r="AO80" s="54"/>
    </row>
    <row r="81" spans="1:41" s="15" customFormat="1" ht="10.5" hidden="1" customHeight="1" outlineLevel="2" x14ac:dyDescent="0.2">
      <c r="A81" s="6" t="s">
        <v>86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2">
        <v>4</v>
      </c>
      <c r="P81" s="2"/>
      <c r="Q81" s="2"/>
      <c r="R81" s="2"/>
      <c r="S81" s="2"/>
      <c r="T81" s="2"/>
      <c r="U81" s="2"/>
      <c r="V81" s="2">
        <v>4</v>
      </c>
      <c r="W81" s="2"/>
      <c r="X81" s="2"/>
      <c r="Y81" s="2"/>
      <c r="Z81" s="2"/>
      <c r="AA81" s="2"/>
      <c r="AB81" s="23"/>
      <c r="AC81" s="24"/>
      <c r="AD81" s="24"/>
      <c r="AE81" s="24"/>
      <c r="AF81" s="25"/>
      <c r="AG81" s="20"/>
      <c r="AH81" s="21"/>
      <c r="AI81" s="21"/>
      <c r="AJ81" s="21"/>
      <c r="AK81" s="22"/>
      <c r="AL81" s="17">
        <v>12.4</v>
      </c>
      <c r="AO81" s="54"/>
    </row>
    <row r="82" spans="1:41" s="15" customFormat="1" ht="10.5" hidden="1" customHeight="1" outlineLevel="2" x14ac:dyDescent="0.2">
      <c r="A82" s="6" t="s">
        <v>87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5">
        <v>19.8</v>
      </c>
      <c r="P82" s="5"/>
      <c r="Q82" s="5"/>
      <c r="R82" s="5"/>
      <c r="S82" s="5"/>
      <c r="T82" s="5"/>
      <c r="U82" s="5"/>
      <c r="V82" s="3">
        <v>0.33</v>
      </c>
      <c r="W82" s="3"/>
      <c r="X82" s="3"/>
      <c r="Y82" s="3"/>
      <c r="Z82" s="3"/>
      <c r="AA82" s="3"/>
      <c r="AB82" s="3">
        <v>19.47</v>
      </c>
      <c r="AC82" s="3"/>
      <c r="AD82" s="3"/>
      <c r="AE82" s="3"/>
      <c r="AF82" s="3"/>
      <c r="AG82" s="3">
        <v>19.47</v>
      </c>
      <c r="AH82" s="3"/>
      <c r="AI82" s="3"/>
      <c r="AJ82" s="3"/>
      <c r="AK82" s="3"/>
      <c r="AL82" s="17">
        <v>0.66</v>
      </c>
      <c r="AN82" s="53">
        <f t="shared" ref="AN82:AN83" si="6">AL82-AG82</f>
        <v>-18.809999999999999</v>
      </c>
      <c r="AO82" s="55">
        <f t="shared" ref="AO82:AO83" si="7">AG82</f>
        <v>19.47</v>
      </c>
    </row>
    <row r="83" spans="1:41" s="15" customFormat="1" ht="10.5" hidden="1" customHeight="1" outlineLevel="2" x14ac:dyDescent="0.2">
      <c r="A83" s="6" t="s">
        <v>88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5">
        <v>12.1</v>
      </c>
      <c r="P83" s="5"/>
      <c r="Q83" s="5"/>
      <c r="R83" s="5"/>
      <c r="S83" s="5"/>
      <c r="T83" s="5"/>
      <c r="U83" s="5"/>
      <c r="V83" s="5">
        <v>0.8</v>
      </c>
      <c r="W83" s="5"/>
      <c r="X83" s="5"/>
      <c r="Y83" s="5"/>
      <c r="Z83" s="5"/>
      <c r="AA83" s="5"/>
      <c r="AB83" s="5">
        <v>11.3</v>
      </c>
      <c r="AC83" s="5"/>
      <c r="AD83" s="5"/>
      <c r="AE83" s="5"/>
      <c r="AF83" s="5"/>
      <c r="AG83" s="5">
        <v>11.3</v>
      </c>
      <c r="AH83" s="5"/>
      <c r="AI83" s="5"/>
      <c r="AJ83" s="5"/>
      <c r="AK83" s="5"/>
      <c r="AL83" s="17">
        <v>3</v>
      </c>
      <c r="AN83" s="53">
        <f t="shared" si="6"/>
        <v>-8.3000000000000007</v>
      </c>
      <c r="AO83" s="55">
        <f t="shared" si="7"/>
        <v>11.3</v>
      </c>
    </row>
    <row r="84" spans="1:41" s="15" customFormat="1" ht="10.5" hidden="1" customHeight="1" outlineLevel="2" x14ac:dyDescent="0.2">
      <c r="A84" s="6" t="s">
        <v>89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5">
        <v>0.5</v>
      </c>
      <c r="P84" s="5"/>
      <c r="Q84" s="5"/>
      <c r="R84" s="5"/>
      <c r="S84" s="5"/>
      <c r="T84" s="5"/>
      <c r="U84" s="5"/>
      <c r="V84" s="5">
        <v>0.5</v>
      </c>
      <c r="W84" s="5"/>
      <c r="X84" s="5"/>
      <c r="Y84" s="5"/>
      <c r="Z84" s="5"/>
      <c r="AA84" s="5"/>
      <c r="AB84" s="23"/>
      <c r="AC84" s="24"/>
      <c r="AD84" s="24"/>
      <c r="AE84" s="24"/>
      <c r="AF84" s="25"/>
      <c r="AG84" s="20"/>
      <c r="AH84" s="21"/>
      <c r="AI84" s="21"/>
      <c r="AJ84" s="21"/>
      <c r="AK84" s="22"/>
      <c r="AL84" s="17">
        <v>3</v>
      </c>
      <c r="AO84" s="54"/>
    </row>
    <row r="85" spans="1:41" s="15" customFormat="1" ht="10.5" hidden="1" customHeight="1" outlineLevel="2" x14ac:dyDescent="0.2">
      <c r="A85" s="6" t="s">
        <v>90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5">
        <v>13.2</v>
      </c>
      <c r="P85" s="5"/>
      <c r="Q85" s="5"/>
      <c r="R85" s="5"/>
      <c r="S85" s="5"/>
      <c r="T85" s="5"/>
      <c r="U85" s="5"/>
      <c r="V85" s="23"/>
      <c r="W85" s="24"/>
      <c r="X85" s="24"/>
      <c r="Y85" s="24"/>
      <c r="Z85" s="24"/>
      <c r="AA85" s="25"/>
      <c r="AB85" s="5">
        <v>13.2</v>
      </c>
      <c r="AC85" s="5"/>
      <c r="AD85" s="5"/>
      <c r="AE85" s="5"/>
      <c r="AF85" s="5"/>
      <c r="AG85" s="5">
        <v>13.2</v>
      </c>
      <c r="AH85" s="5"/>
      <c r="AI85" s="5"/>
      <c r="AJ85" s="5"/>
      <c r="AK85" s="5"/>
      <c r="AL85" s="17"/>
      <c r="AN85" s="53">
        <f>AL85-AG85</f>
        <v>-13.2</v>
      </c>
      <c r="AO85" s="55">
        <f>AG85</f>
        <v>13.2</v>
      </c>
    </row>
    <row r="86" spans="1:41" s="15" customFormat="1" ht="10.5" hidden="1" customHeight="1" outlineLevel="2" x14ac:dyDescent="0.2">
      <c r="A86" s="6" t="s">
        <v>91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5">
        <v>0.2</v>
      </c>
      <c r="P86" s="5"/>
      <c r="Q86" s="5"/>
      <c r="R86" s="5"/>
      <c r="S86" s="5"/>
      <c r="T86" s="5"/>
      <c r="U86" s="5"/>
      <c r="V86" s="5">
        <v>0.2</v>
      </c>
      <c r="W86" s="5"/>
      <c r="X86" s="5"/>
      <c r="Y86" s="5"/>
      <c r="Z86" s="5"/>
      <c r="AA86" s="5"/>
      <c r="AB86" s="23"/>
      <c r="AC86" s="24"/>
      <c r="AD86" s="24"/>
      <c r="AE86" s="24"/>
      <c r="AF86" s="25"/>
      <c r="AG86" s="20"/>
      <c r="AH86" s="21"/>
      <c r="AI86" s="21"/>
      <c r="AJ86" s="21"/>
      <c r="AK86" s="22"/>
      <c r="AL86" s="17">
        <v>3.3</v>
      </c>
      <c r="AO86" s="54"/>
    </row>
    <row r="87" spans="1:41" s="15" customFormat="1" ht="10.5" hidden="1" customHeight="1" outlineLevel="2" x14ac:dyDescent="0.2">
      <c r="A87" s="6" t="s">
        <v>92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5">
        <v>0.2</v>
      </c>
      <c r="P87" s="5"/>
      <c r="Q87" s="5"/>
      <c r="R87" s="5"/>
      <c r="S87" s="5"/>
      <c r="T87" s="5"/>
      <c r="U87" s="5"/>
      <c r="V87" s="5">
        <v>0.2</v>
      </c>
      <c r="W87" s="5"/>
      <c r="X87" s="5"/>
      <c r="Y87" s="5"/>
      <c r="Z87" s="5"/>
      <c r="AA87" s="5"/>
      <c r="AB87" s="23"/>
      <c r="AC87" s="24"/>
      <c r="AD87" s="24"/>
      <c r="AE87" s="24"/>
      <c r="AF87" s="25"/>
      <c r="AG87" s="20"/>
      <c r="AH87" s="21"/>
      <c r="AI87" s="21"/>
      <c r="AJ87" s="21"/>
      <c r="AK87" s="22"/>
      <c r="AL87" s="17">
        <v>3.8</v>
      </c>
      <c r="AO87" s="54"/>
    </row>
    <row r="88" spans="1:41" s="15" customFormat="1" ht="10.5" customHeight="1" outlineLevel="1" collapsed="1" x14ac:dyDescent="0.2">
      <c r="A88" s="8" t="s">
        <v>93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9">
        <v>171.864</v>
      </c>
      <c r="P88" s="9"/>
      <c r="Q88" s="9"/>
      <c r="R88" s="9"/>
      <c r="S88" s="9"/>
      <c r="T88" s="9"/>
      <c r="U88" s="9"/>
      <c r="V88" s="26"/>
      <c r="W88" s="27"/>
      <c r="X88" s="27"/>
      <c r="Y88" s="27"/>
      <c r="Z88" s="27"/>
      <c r="AA88" s="28"/>
      <c r="AB88" s="9">
        <v>171.864</v>
      </c>
      <c r="AC88" s="9"/>
      <c r="AD88" s="9"/>
      <c r="AE88" s="9"/>
      <c r="AF88" s="9"/>
      <c r="AG88" s="9">
        <v>171.864</v>
      </c>
      <c r="AH88" s="9"/>
      <c r="AI88" s="9"/>
      <c r="AJ88" s="9"/>
      <c r="AK88" s="9"/>
      <c r="AL88" s="17"/>
      <c r="AN88" s="53">
        <f t="shared" ref="AN88:AN93" si="8">AL88-AG88</f>
        <v>-171.864</v>
      </c>
      <c r="AO88" s="54"/>
    </row>
    <row r="89" spans="1:41" s="15" customFormat="1" ht="21.75" hidden="1" customHeight="1" outlineLevel="2" x14ac:dyDescent="0.2">
      <c r="A89" s="6" t="s">
        <v>94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4">
        <v>26.783999999999999</v>
      </c>
      <c r="P89" s="4"/>
      <c r="Q89" s="4"/>
      <c r="R89" s="4"/>
      <c r="S89" s="4"/>
      <c r="T89" s="4"/>
      <c r="U89" s="4"/>
      <c r="V89" s="23"/>
      <c r="W89" s="24"/>
      <c r="X89" s="24"/>
      <c r="Y89" s="24"/>
      <c r="Z89" s="24"/>
      <c r="AA89" s="25"/>
      <c r="AB89" s="4">
        <v>26.783999999999999</v>
      </c>
      <c r="AC89" s="4"/>
      <c r="AD89" s="4"/>
      <c r="AE89" s="4"/>
      <c r="AF89" s="4"/>
      <c r="AG89" s="4">
        <v>26.783999999999999</v>
      </c>
      <c r="AH89" s="4"/>
      <c r="AI89" s="4"/>
      <c r="AJ89" s="4"/>
      <c r="AK89" s="4"/>
      <c r="AL89" s="17">
        <v>-0.372</v>
      </c>
      <c r="AN89" s="53">
        <f t="shared" si="8"/>
        <v>-27.155999999999999</v>
      </c>
      <c r="AO89" s="55">
        <f t="shared" ref="AO89:AO92" si="9">AG89</f>
        <v>26.783999999999999</v>
      </c>
    </row>
    <row r="90" spans="1:41" s="15" customFormat="1" ht="21.75" hidden="1" customHeight="1" outlineLevel="2" x14ac:dyDescent="0.2">
      <c r="A90" s="6" t="s">
        <v>95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4">
        <v>53.567999999999998</v>
      </c>
      <c r="P90" s="4"/>
      <c r="Q90" s="4"/>
      <c r="R90" s="4"/>
      <c r="S90" s="4"/>
      <c r="T90" s="4"/>
      <c r="U90" s="4"/>
      <c r="V90" s="23"/>
      <c r="W90" s="24"/>
      <c r="X90" s="24"/>
      <c r="Y90" s="24"/>
      <c r="Z90" s="24"/>
      <c r="AA90" s="25"/>
      <c r="AB90" s="4">
        <v>53.567999999999998</v>
      </c>
      <c r="AC90" s="4"/>
      <c r="AD90" s="4"/>
      <c r="AE90" s="4"/>
      <c r="AF90" s="4"/>
      <c r="AG90" s="4">
        <v>53.567999999999998</v>
      </c>
      <c r="AH90" s="4"/>
      <c r="AI90" s="4"/>
      <c r="AJ90" s="4"/>
      <c r="AK90" s="4"/>
      <c r="AL90" s="17">
        <v>-2.2320000000000002</v>
      </c>
      <c r="AN90" s="53">
        <f t="shared" si="8"/>
        <v>-55.8</v>
      </c>
      <c r="AO90" s="55">
        <f t="shared" si="9"/>
        <v>53.567999999999998</v>
      </c>
    </row>
    <row r="91" spans="1:41" s="15" customFormat="1" ht="21.75" hidden="1" customHeight="1" outlineLevel="2" x14ac:dyDescent="0.2">
      <c r="A91" s="6" t="s">
        <v>96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4">
        <v>29.015999999999998</v>
      </c>
      <c r="P91" s="4"/>
      <c r="Q91" s="4"/>
      <c r="R91" s="4"/>
      <c r="S91" s="4"/>
      <c r="T91" s="4"/>
      <c r="U91" s="4"/>
      <c r="V91" s="23"/>
      <c r="W91" s="24"/>
      <c r="X91" s="24"/>
      <c r="Y91" s="24"/>
      <c r="Z91" s="24"/>
      <c r="AA91" s="25"/>
      <c r="AB91" s="4">
        <v>29.015999999999998</v>
      </c>
      <c r="AC91" s="4"/>
      <c r="AD91" s="4"/>
      <c r="AE91" s="4"/>
      <c r="AF91" s="4"/>
      <c r="AG91" s="4">
        <v>29.015999999999998</v>
      </c>
      <c r="AH91" s="4"/>
      <c r="AI91" s="4"/>
      <c r="AJ91" s="4"/>
      <c r="AK91" s="4"/>
      <c r="AL91" s="17">
        <v>4.4640000000000004</v>
      </c>
      <c r="AN91" s="53">
        <f t="shared" si="8"/>
        <v>-24.552</v>
      </c>
      <c r="AO91" s="55">
        <f t="shared" si="9"/>
        <v>29.015999999999998</v>
      </c>
    </row>
    <row r="92" spans="1:41" s="15" customFormat="1" ht="21.75" hidden="1" customHeight="1" outlineLevel="2" x14ac:dyDescent="0.2">
      <c r="A92" s="6" t="s">
        <v>97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4">
        <v>62.496000000000002</v>
      </c>
      <c r="P92" s="4"/>
      <c r="Q92" s="4"/>
      <c r="R92" s="4"/>
      <c r="S92" s="4"/>
      <c r="T92" s="4"/>
      <c r="U92" s="4"/>
      <c r="V92" s="23"/>
      <c r="W92" s="24"/>
      <c r="X92" s="24"/>
      <c r="Y92" s="24"/>
      <c r="Z92" s="24"/>
      <c r="AA92" s="25"/>
      <c r="AB92" s="4">
        <v>62.496000000000002</v>
      </c>
      <c r="AC92" s="4"/>
      <c r="AD92" s="4"/>
      <c r="AE92" s="4"/>
      <c r="AF92" s="4"/>
      <c r="AG92" s="4">
        <v>62.496000000000002</v>
      </c>
      <c r="AH92" s="4"/>
      <c r="AI92" s="4"/>
      <c r="AJ92" s="4"/>
      <c r="AK92" s="4"/>
      <c r="AL92" s="17">
        <v>11.16</v>
      </c>
      <c r="AN92" s="53">
        <f t="shared" si="8"/>
        <v>-51.335999999999999</v>
      </c>
      <c r="AO92" s="55">
        <f t="shared" si="9"/>
        <v>62.496000000000002</v>
      </c>
    </row>
    <row r="93" spans="1:41" s="15" customFormat="1" ht="10.5" customHeight="1" outlineLevel="1" collapsed="1" x14ac:dyDescent="0.2">
      <c r="A93" s="8" t="s">
        <v>98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10">
        <v>91.42</v>
      </c>
      <c r="P93" s="10"/>
      <c r="Q93" s="10"/>
      <c r="R93" s="10"/>
      <c r="S93" s="10"/>
      <c r="T93" s="10"/>
      <c r="U93" s="10"/>
      <c r="V93" s="9">
        <v>31.521999999999998</v>
      </c>
      <c r="W93" s="9"/>
      <c r="X93" s="9"/>
      <c r="Y93" s="9"/>
      <c r="Z93" s="9"/>
      <c r="AA93" s="9"/>
      <c r="AB93" s="9">
        <v>59.898000000000003</v>
      </c>
      <c r="AC93" s="9"/>
      <c r="AD93" s="9"/>
      <c r="AE93" s="9"/>
      <c r="AF93" s="9"/>
      <c r="AG93" s="7">
        <v>60.1</v>
      </c>
      <c r="AH93" s="7"/>
      <c r="AI93" s="7"/>
      <c r="AJ93" s="7"/>
      <c r="AK93" s="7"/>
      <c r="AL93" s="17"/>
      <c r="AN93" s="53">
        <f t="shared" si="8"/>
        <v>-60.1</v>
      </c>
      <c r="AO93" s="54"/>
    </row>
    <row r="94" spans="1:41" s="15" customFormat="1" ht="10.5" hidden="1" customHeight="1" outlineLevel="2" x14ac:dyDescent="0.2">
      <c r="A94" s="6" t="s">
        <v>99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2">
        <v>9</v>
      </c>
      <c r="P94" s="2"/>
      <c r="Q94" s="2"/>
      <c r="R94" s="2"/>
      <c r="S94" s="2"/>
      <c r="T94" s="2"/>
      <c r="U94" s="2"/>
      <c r="V94" s="4">
        <v>9.202</v>
      </c>
      <c r="W94" s="4"/>
      <c r="X94" s="4"/>
      <c r="Y94" s="4"/>
      <c r="Z94" s="4"/>
      <c r="AA94" s="4"/>
      <c r="AB94" s="4">
        <v>-0.20200000000000001</v>
      </c>
      <c r="AC94" s="4"/>
      <c r="AD94" s="4"/>
      <c r="AE94" s="4"/>
      <c r="AF94" s="4"/>
      <c r="AG94" s="20"/>
      <c r="AH94" s="21"/>
      <c r="AI94" s="21"/>
      <c r="AJ94" s="21"/>
      <c r="AK94" s="22"/>
      <c r="AL94" s="17">
        <v>3.5720000000000001</v>
      </c>
      <c r="AO94" s="54"/>
    </row>
    <row r="95" spans="1:41" s="15" customFormat="1" ht="10.5" hidden="1" customHeight="1" outlineLevel="2" x14ac:dyDescent="0.2">
      <c r="A95" s="6" t="s">
        <v>100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5">
        <v>2.1</v>
      </c>
      <c r="P95" s="5"/>
      <c r="Q95" s="5"/>
      <c r="R95" s="5"/>
      <c r="S95" s="5"/>
      <c r="T95" s="5"/>
      <c r="U95" s="5"/>
      <c r="V95" s="5">
        <v>2.1</v>
      </c>
      <c r="W95" s="5"/>
      <c r="X95" s="5"/>
      <c r="Y95" s="5"/>
      <c r="Z95" s="5"/>
      <c r="AA95" s="5"/>
      <c r="AB95" s="23"/>
      <c r="AC95" s="24"/>
      <c r="AD95" s="24"/>
      <c r="AE95" s="24"/>
      <c r="AF95" s="25"/>
      <c r="AG95" s="20"/>
      <c r="AH95" s="21"/>
      <c r="AI95" s="21"/>
      <c r="AJ95" s="21"/>
      <c r="AK95" s="22"/>
      <c r="AL95" s="17">
        <v>0.42</v>
      </c>
      <c r="AO95" s="54"/>
    </row>
    <row r="96" spans="1:41" s="15" customFormat="1" ht="10.5" hidden="1" customHeight="1" outlineLevel="2" x14ac:dyDescent="0.2">
      <c r="A96" s="6" t="s">
        <v>101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5">
        <v>26.7</v>
      </c>
      <c r="P96" s="5"/>
      <c r="Q96" s="5"/>
      <c r="R96" s="5"/>
      <c r="S96" s="5"/>
      <c r="T96" s="5"/>
      <c r="U96" s="5"/>
      <c r="V96" s="5">
        <v>0.3</v>
      </c>
      <c r="W96" s="5"/>
      <c r="X96" s="5"/>
      <c r="Y96" s="5"/>
      <c r="Z96" s="5"/>
      <c r="AA96" s="5"/>
      <c r="AB96" s="5">
        <v>26.4</v>
      </c>
      <c r="AC96" s="5"/>
      <c r="AD96" s="5"/>
      <c r="AE96" s="5"/>
      <c r="AF96" s="5"/>
      <c r="AG96" s="5">
        <v>26.4</v>
      </c>
      <c r="AH96" s="5"/>
      <c r="AI96" s="5"/>
      <c r="AJ96" s="5"/>
      <c r="AK96" s="5"/>
      <c r="AL96" s="17">
        <v>-6.6</v>
      </c>
      <c r="AN96" s="53">
        <f>AL96-AG96</f>
        <v>-33</v>
      </c>
      <c r="AO96" s="55">
        <f>AG96</f>
        <v>26.4</v>
      </c>
    </row>
    <row r="97" spans="1:41" s="15" customFormat="1" ht="10.5" hidden="1" customHeight="1" outlineLevel="2" x14ac:dyDescent="0.2">
      <c r="A97" s="6" t="s">
        <v>102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2">
        <v>3</v>
      </c>
      <c r="P97" s="2"/>
      <c r="Q97" s="2"/>
      <c r="R97" s="2"/>
      <c r="S97" s="2"/>
      <c r="T97" s="2"/>
      <c r="U97" s="2"/>
      <c r="V97" s="2">
        <v>3</v>
      </c>
      <c r="W97" s="2"/>
      <c r="X97" s="2"/>
      <c r="Y97" s="2"/>
      <c r="Z97" s="2"/>
      <c r="AA97" s="2"/>
      <c r="AB97" s="23"/>
      <c r="AC97" s="24"/>
      <c r="AD97" s="24"/>
      <c r="AE97" s="24"/>
      <c r="AF97" s="25"/>
      <c r="AG97" s="20"/>
      <c r="AH97" s="21"/>
      <c r="AI97" s="21"/>
      <c r="AJ97" s="21"/>
      <c r="AK97" s="22"/>
      <c r="AL97" s="17">
        <v>15.3</v>
      </c>
      <c r="AO97" s="54"/>
    </row>
    <row r="98" spans="1:41" s="15" customFormat="1" ht="10.5" hidden="1" customHeight="1" outlineLevel="2" x14ac:dyDescent="0.2">
      <c r="A98" s="6" t="s">
        <v>103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5">
        <v>11.2</v>
      </c>
      <c r="P98" s="5"/>
      <c r="Q98" s="5"/>
      <c r="R98" s="5"/>
      <c r="S98" s="5"/>
      <c r="T98" s="5"/>
      <c r="U98" s="5"/>
      <c r="V98" s="23"/>
      <c r="W98" s="24"/>
      <c r="X98" s="24"/>
      <c r="Y98" s="24"/>
      <c r="Z98" s="24"/>
      <c r="AA98" s="25"/>
      <c r="AB98" s="5">
        <v>11.2</v>
      </c>
      <c r="AC98" s="5"/>
      <c r="AD98" s="5"/>
      <c r="AE98" s="5"/>
      <c r="AF98" s="5"/>
      <c r="AG98" s="5">
        <v>11.2</v>
      </c>
      <c r="AH98" s="5"/>
      <c r="AI98" s="5"/>
      <c r="AJ98" s="5"/>
      <c r="AK98" s="5"/>
      <c r="AL98" s="17">
        <v>0.35</v>
      </c>
      <c r="AN98" s="53">
        <f t="shared" ref="AN98:AN100" si="10">AL98-AG98</f>
        <v>-10.85</v>
      </c>
      <c r="AO98" s="55">
        <f t="shared" ref="AO98:AO100" si="11">AG98</f>
        <v>11.2</v>
      </c>
    </row>
    <row r="99" spans="1:41" s="15" customFormat="1" ht="10.5" hidden="1" customHeight="1" outlineLevel="2" x14ac:dyDescent="0.2">
      <c r="A99" s="6" t="s">
        <v>104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5">
        <v>3.6</v>
      </c>
      <c r="P99" s="5"/>
      <c r="Q99" s="5"/>
      <c r="R99" s="5"/>
      <c r="S99" s="5"/>
      <c r="T99" s="5"/>
      <c r="U99" s="5"/>
      <c r="V99" s="23"/>
      <c r="W99" s="24"/>
      <c r="X99" s="24"/>
      <c r="Y99" s="24"/>
      <c r="Z99" s="24"/>
      <c r="AA99" s="25"/>
      <c r="AB99" s="5">
        <v>3.6</v>
      </c>
      <c r="AC99" s="5"/>
      <c r="AD99" s="5"/>
      <c r="AE99" s="5"/>
      <c r="AF99" s="5"/>
      <c r="AG99" s="5">
        <v>3.6</v>
      </c>
      <c r="AH99" s="5"/>
      <c r="AI99" s="5"/>
      <c r="AJ99" s="5"/>
      <c r="AK99" s="5"/>
      <c r="AL99" s="17">
        <v>1.8</v>
      </c>
      <c r="AN99" s="53">
        <f t="shared" si="10"/>
        <v>-1.8</v>
      </c>
      <c r="AO99" s="55">
        <f t="shared" si="11"/>
        <v>3.6</v>
      </c>
    </row>
    <row r="100" spans="1:41" s="15" customFormat="1" ht="10.5" hidden="1" customHeight="1" outlineLevel="2" x14ac:dyDescent="0.2">
      <c r="A100" s="6" t="s">
        <v>105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5">
        <v>16.8</v>
      </c>
      <c r="P100" s="5"/>
      <c r="Q100" s="5"/>
      <c r="R100" s="5"/>
      <c r="S100" s="5"/>
      <c r="T100" s="5"/>
      <c r="U100" s="5"/>
      <c r="V100" s="23"/>
      <c r="W100" s="24"/>
      <c r="X100" s="24"/>
      <c r="Y100" s="24"/>
      <c r="Z100" s="24"/>
      <c r="AA100" s="25"/>
      <c r="AB100" s="5">
        <v>16.8</v>
      </c>
      <c r="AC100" s="5"/>
      <c r="AD100" s="5"/>
      <c r="AE100" s="5"/>
      <c r="AF100" s="5"/>
      <c r="AG100" s="5">
        <v>16.8</v>
      </c>
      <c r="AH100" s="5"/>
      <c r="AI100" s="5"/>
      <c r="AJ100" s="5"/>
      <c r="AK100" s="5"/>
      <c r="AL100" s="17">
        <v>9.1</v>
      </c>
      <c r="AN100" s="53">
        <f t="shared" si="10"/>
        <v>-7.7000000000000011</v>
      </c>
      <c r="AO100" s="55">
        <f t="shared" si="11"/>
        <v>16.8</v>
      </c>
    </row>
    <row r="101" spans="1:41" s="15" customFormat="1" ht="10.5" hidden="1" customHeight="1" outlineLevel="2" x14ac:dyDescent="0.2">
      <c r="A101" s="6" t="s">
        <v>106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2">
        <v>3</v>
      </c>
      <c r="P101" s="2"/>
      <c r="Q101" s="2"/>
      <c r="R101" s="2"/>
      <c r="S101" s="2"/>
      <c r="T101" s="2"/>
      <c r="U101" s="2"/>
      <c r="V101" s="2">
        <v>3</v>
      </c>
      <c r="W101" s="2"/>
      <c r="X101" s="2"/>
      <c r="Y101" s="2"/>
      <c r="Z101" s="2"/>
      <c r="AA101" s="2"/>
      <c r="AB101" s="23"/>
      <c r="AC101" s="24"/>
      <c r="AD101" s="24"/>
      <c r="AE101" s="24"/>
      <c r="AF101" s="25"/>
      <c r="AG101" s="20"/>
      <c r="AH101" s="21"/>
      <c r="AI101" s="21"/>
      <c r="AJ101" s="21"/>
      <c r="AK101" s="22"/>
      <c r="AL101" s="17">
        <v>20.100000000000001</v>
      </c>
      <c r="AO101" s="54"/>
    </row>
    <row r="102" spans="1:41" s="15" customFormat="1" ht="10.5" hidden="1" customHeight="1" outlineLevel="2" x14ac:dyDescent="0.2">
      <c r="A102" s="6" t="s">
        <v>107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5">
        <v>0.5</v>
      </c>
      <c r="P102" s="5"/>
      <c r="Q102" s="5"/>
      <c r="R102" s="5"/>
      <c r="S102" s="5"/>
      <c r="T102" s="5"/>
      <c r="U102" s="5"/>
      <c r="V102" s="5">
        <v>0.5</v>
      </c>
      <c r="W102" s="5"/>
      <c r="X102" s="5"/>
      <c r="Y102" s="5"/>
      <c r="Z102" s="5"/>
      <c r="AA102" s="5"/>
      <c r="AB102" s="23"/>
      <c r="AC102" s="24"/>
      <c r="AD102" s="24"/>
      <c r="AE102" s="24"/>
      <c r="AF102" s="25"/>
      <c r="AG102" s="20"/>
      <c r="AH102" s="21"/>
      <c r="AI102" s="21"/>
      <c r="AJ102" s="21"/>
      <c r="AK102" s="22"/>
      <c r="AL102" s="17">
        <v>23.5</v>
      </c>
      <c r="AO102" s="54"/>
    </row>
    <row r="103" spans="1:41" s="15" customFormat="1" ht="10.5" hidden="1" customHeight="1" outlineLevel="2" x14ac:dyDescent="0.2">
      <c r="A103" s="6" t="s">
        <v>108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3">
        <v>0.42</v>
      </c>
      <c r="P103" s="3"/>
      <c r="Q103" s="3"/>
      <c r="R103" s="3"/>
      <c r="S103" s="3"/>
      <c r="T103" s="3"/>
      <c r="U103" s="3"/>
      <c r="V103" s="3">
        <v>0.42</v>
      </c>
      <c r="W103" s="3"/>
      <c r="X103" s="3"/>
      <c r="Y103" s="3"/>
      <c r="Z103" s="3"/>
      <c r="AA103" s="3"/>
      <c r="AB103" s="23"/>
      <c r="AC103" s="24"/>
      <c r="AD103" s="24"/>
      <c r="AE103" s="24"/>
      <c r="AF103" s="25"/>
      <c r="AG103" s="20"/>
      <c r="AH103" s="21"/>
      <c r="AI103" s="21"/>
      <c r="AJ103" s="21"/>
      <c r="AK103" s="22"/>
      <c r="AL103" s="17">
        <v>28.98</v>
      </c>
      <c r="AO103" s="54"/>
    </row>
    <row r="104" spans="1:41" s="15" customFormat="1" ht="10.5" hidden="1" customHeight="1" outlineLevel="2" x14ac:dyDescent="0.2">
      <c r="A104" s="6" t="s">
        <v>109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5">
        <v>0.7</v>
      </c>
      <c r="P104" s="5"/>
      <c r="Q104" s="5"/>
      <c r="R104" s="5"/>
      <c r="S104" s="5"/>
      <c r="T104" s="5"/>
      <c r="U104" s="5"/>
      <c r="V104" s="5">
        <v>0.7</v>
      </c>
      <c r="W104" s="5"/>
      <c r="X104" s="5"/>
      <c r="Y104" s="5"/>
      <c r="Z104" s="5"/>
      <c r="AA104" s="5"/>
      <c r="AB104" s="23"/>
      <c r="AC104" s="24"/>
      <c r="AD104" s="24"/>
      <c r="AE104" s="24"/>
      <c r="AF104" s="25"/>
      <c r="AG104" s="20"/>
      <c r="AH104" s="21"/>
      <c r="AI104" s="21"/>
      <c r="AJ104" s="21"/>
      <c r="AK104" s="22"/>
      <c r="AL104" s="17">
        <v>13.3</v>
      </c>
      <c r="AO104" s="54"/>
    </row>
    <row r="105" spans="1:41" s="15" customFormat="1" ht="10.5" hidden="1" customHeight="1" outlineLevel="2" x14ac:dyDescent="0.2">
      <c r="A105" s="6" t="s">
        <v>110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5">
        <v>0.7</v>
      </c>
      <c r="P105" s="5"/>
      <c r="Q105" s="5"/>
      <c r="R105" s="5"/>
      <c r="S105" s="5"/>
      <c r="T105" s="5"/>
      <c r="U105" s="5"/>
      <c r="V105" s="5">
        <v>0.7</v>
      </c>
      <c r="W105" s="5"/>
      <c r="X105" s="5"/>
      <c r="Y105" s="5"/>
      <c r="Z105" s="5"/>
      <c r="AA105" s="5"/>
      <c r="AB105" s="23"/>
      <c r="AC105" s="24"/>
      <c r="AD105" s="24"/>
      <c r="AE105" s="24"/>
      <c r="AF105" s="25"/>
      <c r="AG105" s="20"/>
      <c r="AH105" s="21"/>
      <c r="AI105" s="21"/>
      <c r="AJ105" s="21"/>
      <c r="AK105" s="22"/>
      <c r="AL105" s="17">
        <v>34.299999999999997</v>
      </c>
      <c r="AO105" s="54"/>
    </row>
    <row r="106" spans="1:41" s="15" customFormat="1" ht="10.5" hidden="1" customHeight="1" outlineLevel="2" x14ac:dyDescent="0.2">
      <c r="A106" s="6" t="s">
        <v>111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5">
        <v>11.2</v>
      </c>
      <c r="P106" s="5"/>
      <c r="Q106" s="5"/>
      <c r="R106" s="5"/>
      <c r="S106" s="5"/>
      <c r="T106" s="5"/>
      <c r="U106" s="5"/>
      <c r="V106" s="5">
        <v>11.2</v>
      </c>
      <c r="W106" s="5"/>
      <c r="X106" s="5"/>
      <c r="Y106" s="5"/>
      <c r="Z106" s="5"/>
      <c r="AA106" s="5"/>
      <c r="AB106" s="23"/>
      <c r="AC106" s="24"/>
      <c r="AD106" s="24"/>
      <c r="AE106" s="24"/>
      <c r="AF106" s="25"/>
      <c r="AG106" s="20"/>
      <c r="AH106" s="21"/>
      <c r="AI106" s="21"/>
      <c r="AJ106" s="21"/>
      <c r="AK106" s="22"/>
      <c r="AL106" s="17">
        <v>53.2</v>
      </c>
      <c r="AO106" s="54"/>
    </row>
    <row r="107" spans="1:41" s="15" customFormat="1" ht="10.5" hidden="1" customHeight="1" outlineLevel="2" x14ac:dyDescent="0.2">
      <c r="A107" s="6" t="s">
        <v>112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5">
        <v>0.4</v>
      </c>
      <c r="P107" s="5"/>
      <c r="Q107" s="5"/>
      <c r="R107" s="5"/>
      <c r="S107" s="5"/>
      <c r="T107" s="5"/>
      <c r="U107" s="5"/>
      <c r="V107" s="5">
        <v>0.4</v>
      </c>
      <c r="W107" s="5"/>
      <c r="X107" s="5"/>
      <c r="Y107" s="5"/>
      <c r="Z107" s="5"/>
      <c r="AA107" s="5"/>
      <c r="AB107" s="23"/>
      <c r="AC107" s="24"/>
      <c r="AD107" s="24"/>
      <c r="AE107" s="24"/>
      <c r="AF107" s="25"/>
      <c r="AG107" s="20"/>
      <c r="AH107" s="21"/>
      <c r="AI107" s="21"/>
      <c r="AJ107" s="21"/>
      <c r="AK107" s="22"/>
      <c r="AL107" s="17">
        <v>25.2</v>
      </c>
      <c r="AO107" s="54"/>
    </row>
    <row r="108" spans="1:41" s="15" customFormat="1" ht="10.5" hidden="1" customHeight="1" outlineLevel="2" x14ac:dyDescent="0.2">
      <c r="A108" s="6" t="s">
        <v>113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5">
        <v>2.1</v>
      </c>
      <c r="P108" s="5"/>
      <c r="Q108" s="5"/>
      <c r="R108" s="5"/>
      <c r="S108" s="5"/>
      <c r="T108" s="5"/>
      <c r="U108" s="5"/>
      <c r="V108" s="23"/>
      <c r="W108" s="24"/>
      <c r="X108" s="24"/>
      <c r="Y108" s="24"/>
      <c r="Z108" s="24"/>
      <c r="AA108" s="25"/>
      <c r="AB108" s="5">
        <v>2.1</v>
      </c>
      <c r="AC108" s="5"/>
      <c r="AD108" s="5"/>
      <c r="AE108" s="5"/>
      <c r="AF108" s="5"/>
      <c r="AG108" s="5">
        <v>2.1</v>
      </c>
      <c r="AH108" s="5"/>
      <c r="AI108" s="5"/>
      <c r="AJ108" s="5"/>
      <c r="AK108" s="5"/>
      <c r="AL108" s="17">
        <v>-4.2</v>
      </c>
      <c r="AN108" s="53">
        <f>AL108-AG108</f>
        <v>-6.3000000000000007</v>
      </c>
      <c r="AO108" s="55">
        <f>AG108</f>
        <v>2.1</v>
      </c>
    </row>
    <row r="109" spans="1:41" s="15" customFormat="1" ht="10.5" customHeight="1" outlineLevel="1" collapsed="1" x14ac:dyDescent="0.2">
      <c r="A109" s="8" t="s">
        <v>114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7">
        <v>7.5</v>
      </c>
      <c r="P109" s="7"/>
      <c r="Q109" s="7"/>
      <c r="R109" s="7"/>
      <c r="S109" s="7"/>
      <c r="T109" s="7"/>
      <c r="U109" s="7"/>
      <c r="V109" s="9">
        <v>7.9459999999999997</v>
      </c>
      <c r="W109" s="9"/>
      <c r="X109" s="9"/>
      <c r="Y109" s="9"/>
      <c r="Z109" s="9"/>
      <c r="AA109" s="9"/>
      <c r="AB109" s="9">
        <v>-0.44600000000000001</v>
      </c>
      <c r="AC109" s="9"/>
      <c r="AD109" s="9"/>
      <c r="AE109" s="9"/>
      <c r="AF109" s="9"/>
      <c r="AG109" s="9">
        <v>8.1000000000000003E-2</v>
      </c>
      <c r="AH109" s="9"/>
      <c r="AI109" s="9"/>
      <c r="AJ109" s="9"/>
      <c r="AK109" s="9"/>
      <c r="AL109" s="17"/>
      <c r="AO109" s="54"/>
    </row>
    <row r="110" spans="1:41" s="15" customFormat="1" ht="10.5" hidden="1" customHeight="1" outlineLevel="2" x14ac:dyDescent="0.2">
      <c r="A110" s="6" t="s">
        <v>115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2">
        <v>2</v>
      </c>
      <c r="P110" s="2"/>
      <c r="Q110" s="2"/>
      <c r="R110" s="2"/>
      <c r="S110" s="2"/>
      <c r="T110" s="2"/>
      <c r="U110" s="2"/>
      <c r="V110" s="4">
        <v>1.919</v>
      </c>
      <c r="W110" s="4"/>
      <c r="X110" s="4"/>
      <c r="Y110" s="4"/>
      <c r="Z110" s="4"/>
      <c r="AA110" s="4"/>
      <c r="AB110" s="4">
        <v>8.1000000000000003E-2</v>
      </c>
      <c r="AC110" s="4"/>
      <c r="AD110" s="4"/>
      <c r="AE110" s="4"/>
      <c r="AF110" s="4"/>
      <c r="AG110" s="4">
        <v>8.1000000000000003E-2</v>
      </c>
      <c r="AH110" s="4"/>
      <c r="AI110" s="4"/>
      <c r="AJ110" s="4"/>
      <c r="AK110" s="4"/>
      <c r="AL110" s="17">
        <v>3.911</v>
      </c>
      <c r="AO110" s="54"/>
    </row>
    <row r="111" spans="1:41" s="15" customFormat="1" ht="10.5" hidden="1" customHeight="1" outlineLevel="2" x14ac:dyDescent="0.2">
      <c r="A111" s="6" t="s">
        <v>116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5">
        <v>5.5</v>
      </c>
      <c r="P111" s="5"/>
      <c r="Q111" s="5"/>
      <c r="R111" s="5"/>
      <c r="S111" s="5"/>
      <c r="T111" s="5"/>
      <c r="U111" s="5"/>
      <c r="V111" s="4">
        <v>6.0270000000000001</v>
      </c>
      <c r="W111" s="4"/>
      <c r="X111" s="4"/>
      <c r="Y111" s="4"/>
      <c r="Z111" s="4"/>
      <c r="AA111" s="4"/>
      <c r="AB111" s="4">
        <v>-0.52700000000000002</v>
      </c>
      <c r="AC111" s="4"/>
      <c r="AD111" s="4"/>
      <c r="AE111" s="4"/>
      <c r="AF111" s="4"/>
      <c r="AG111" s="20"/>
      <c r="AH111" s="21"/>
      <c r="AI111" s="21"/>
      <c r="AJ111" s="21"/>
      <c r="AK111" s="22"/>
      <c r="AL111" s="17">
        <v>109.578</v>
      </c>
      <c r="AO111" s="54"/>
    </row>
    <row r="112" spans="1:41" s="15" customFormat="1" ht="10.5" customHeight="1" outlineLevel="1" collapsed="1" x14ac:dyDescent="0.2">
      <c r="A112" s="8" t="s">
        <v>117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7">
        <v>8.4</v>
      </c>
      <c r="P112" s="7"/>
      <c r="Q112" s="7"/>
      <c r="R112" s="7"/>
      <c r="S112" s="7"/>
      <c r="T112" s="7"/>
      <c r="U112" s="7"/>
      <c r="V112" s="10">
        <v>11.76</v>
      </c>
      <c r="W112" s="10"/>
      <c r="X112" s="10"/>
      <c r="Y112" s="10"/>
      <c r="Z112" s="10"/>
      <c r="AA112" s="10"/>
      <c r="AB112" s="10">
        <v>-3.36</v>
      </c>
      <c r="AC112" s="10"/>
      <c r="AD112" s="10"/>
      <c r="AE112" s="10"/>
      <c r="AF112" s="10"/>
      <c r="AG112" s="29"/>
      <c r="AH112" s="30"/>
      <c r="AI112" s="30"/>
      <c r="AJ112" s="30"/>
      <c r="AK112" s="31"/>
      <c r="AL112" s="17"/>
      <c r="AO112" s="54"/>
    </row>
    <row r="113" spans="1:41" s="15" customFormat="1" ht="10.5" hidden="1" customHeight="1" outlineLevel="2" x14ac:dyDescent="0.2">
      <c r="A113" s="6" t="s">
        <v>118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5">
        <v>8.4</v>
      </c>
      <c r="P113" s="5"/>
      <c r="Q113" s="5"/>
      <c r="R113" s="5"/>
      <c r="S113" s="5"/>
      <c r="T113" s="5"/>
      <c r="U113" s="5"/>
      <c r="V113" s="3">
        <v>11.76</v>
      </c>
      <c r="W113" s="3"/>
      <c r="X113" s="3"/>
      <c r="Y113" s="3"/>
      <c r="Z113" s="3"/>
      <c r="AA113" s="3"/>
      <c r="AB113" s="3">
        <v>-3.36</v>
      </c>
      <c r="AC113" s="3"/>
      <c r="AD113" s="3"/>
      <c r="AE113" s="3"/>
      <c r="AF113" s="3"/>
      <c r="AG113" s="20"/>
      <c r="AH113" s="21"/>
      <c r="AI113" s="21"/>
      <c r="AJ113" s="21"/>
      <c r="AK113" s="22"/>
      <c r="AL113" s="17">
        <v>30.24</v>
      </c>
      <c r="AO113" s="54"/>
    </row>
    <row r="114" spans="1:41" s="15" customFormat="1" ht="10.5" customHeight="1" outlineLevel="1" collapsed="1" x14ac:dyDescent="0.2">
      <c r="A114" s="8" t="s">
        <v>119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10">
        <v>160.24</v>
      </c>
      <c r="P114" s="10"/>
      <c r="Q114" s="10"/>
      <c r="R114" s="10"/>
      <c r="S114" s="10"/>
      <c r="T114" s="10"/>
      <c r="U114" s="10"/>
      <c r="V114" s="9">
        <v>147.33799999999999</v>
      </c>
      <c r="W114" s="9"/>
      <c r="X114" s="9"/>
      <c r="Y114" s="9"/>
      <c r="Z114" s="9"/>
      <c r="AA114" s="9"/>
      <c r="AB114" s="9">
        <v>12.901999999999999</v>
      </c>
      <c r="AC114" s="9"/>
      <c r="AD114" s="9"/>
      <c r="AE114" s="9"/>
      <c r="AF114" s="9"/>
      <c r="AG114" s="10">
        <v>18.38</v>
      </c>
      <c r="AH114" s="10"/>
      <c r="AI114" s="10"/>
      <c r="AJ114" s="10"/>
      <c r="AK114" s="10"/>
      <c r="AL114" s="17"/>
      <c r="AN114" s="53">
        <f t="shared" ref="AN114:AN115" si="12">AL114-AG114</f>
        <v>-18.38</v>
      </c>
      <c r="AO114" s="54"/>
    </row>
    <row r="115" spans="1:41" s="15" customFormat="1" ht="10.5" hidden="1" customHeight="1" outlineLevel="2" x14ac:dyDescent="0.2">
      <c r="A115" s="6" t="s">
        <v>120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5">
        <v>9.5</v>
      </c>
      <c r="P115" s="5"/>
      <c r="Q115" s="5"/>
      <c r="R115" s="5"/>
      <c r="S115" s="5"/>
      <c r="T115" s="5"/>
      <c r="U115" s="5"/>
      <c r="V115" s="4">
        <v>10.736000000000001</v>
      </c>
      <c r="W115" s="4"/>
      <c r="X115" s="4"/>
      <c r="Y115" s="4"/>
      <c r="Z115" s="4"/>
      <c r="AA115" s="4"/>
      <c r="AB115" s="4">
        <v>-1.236</v>
      </c>
      <c r="AC115" s="4"/>
      <c r="AD115" s="4"/>
      <c r="AE115" s="4"/>
      <c r="AF115" s="4"/>
      <c r="AG115" s="3">
        <v>0.44</v>
      </c>
      <c r="AH115" s="3"/>
      <c r="AI115" s="3"/>
      <c r="AJ115" s="3"/>
      <c r="AK115" s="3"/>
      <c r="AL115" s="17">
        <v>35.378</v>
      </c>
      <c r="AN115" s="53">
        <f t="shared" si="12"/>
        <v>34.938000000000002</v>
      </c>
      <c r="AO115" s="54"/>
    </row>
    <row r="116" spans="1:41" s="15" customFormat="1" ht="21.75" hidden="1" customHeight="1" outlineLevel="2" x14ac:dyDescent="0.2">
      <c r="A116" s="6" t="s">
        <v>121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5">
        <v>2.5</v>
      </c>
      <c r="P116" s="5"/>
      <c r="Q116" s="5"/>
      <c r="R116" s="5"/>
      <c r="S116" s="5"/>
      <c r="T116" s="5"/>
      <c r="U116" s="5"/>
      <c r="V116" s="3">
        <v>3.06</v>
      </c>
      <c r="W116" s="3"/>
      <c r="X116" s="3"/>
      <c r="Y116" s="3"/>
      <c r="Z116" s="3"/>
      <c r="AA116" s="3"/>
      <c r="AB116" s="3">
        <v>-0.56000000000000005</v>
      </c>
      <c r="AC116" s="3"/>
      <c r="AD116" s="3"/>
      <c r="AE116" s="3"/>
      <c r="AF116" s="3"/>
      <c r="AG116" s="20"/>
      <c r="AH116" s="21"/>
      <c r="AI116" s="21"/>
      <c r="AJ116" s="21"/>
      <c r="AK116" s="22"/>
      <c r="AL116" s="17">
        <v>23.148</v>
      </c>
      <c r="AO116" s="54"/>
    </row>
    <row r="117" spans="1:41" s="15" customFormat="1" ht="10.5" hidden="1" customHeight="1" outlineLevel="2" x14ac:dyDescent="0.2">
      <c r="A117" s="6" t="s">
        <v>122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5">
        <v>0.7</v>
      </c>
      <c r="P117" s="5"/>
      <c r="Q117" s="5"/>
      <c r="R117" s="5"/>
      <c r="S117" s="5"/>
      <c r="T117" s="5"/>
      <c r="U117" s="5"/>
      <c r="V117" s="5">
        <v>0.7</v>
      </c>
      <c r="W117" s="5"/>
      <c r="X117" s="5"/>
      <c r="Y117" s="5"/>
      <c r="Z117" s="5"/>
      <c r="AA117" s="5"/>
      <c r="AB117" s="23"/>
      <c r="AC117" s="24"/>
      <c r="AD117" s="24"/>
      <c r="AE117" s="24"/>
      <c r="AF117" s="25"/>
      <c r="AG117" s="20"/>
      <c r="AH117" s="21"/>
      <c r="AI117" s="21"/>
      <c r="AJ117" s="21"/>
      <c r="AK117" s="22"/>
      <c r="AL117" s="17">
        <v>10.36</v>
      </c>
      <c r="AO117" s="54"/>
    </row>
    <row r="118" spans="1:41" s="15" customFormat="1" ht="10.5" hidden="1" customHeight="1" outlineLevel="2" x14ac:dyDescent="0.2">
      <c r="A118" s="6" t="s">
        <v>123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3">
        <v>1.98</v>
      </c>
      <c r="P118" s="3"/>
      <c r="Q118" s="3"/>
      <c r="R118" s="3"/>
      <c r="S118" s="3"/>
      <c r="T118" s="3"/>
      <c r="U118" s="3"/>
      <c r="V118" s="3">
        <v>1.98</v>
      </c>
      <c r="W118" s="3"/>
      <c r="X118" s="3"/>
      <c r="Y118" s="3"/>
      <c r="Z118" s="3"/>
      <c r="AA118" s="3"/>
      <c r="AB118" s="23"/>
      <c r="AC118" s="24"/>
      <c r="AD118" s="24"/>
      <c r="AE118" s="24"/>
      <c r="AF118" s="25"/>
      <c r="AG118" s="20"/>
      <c r="AH118" s="21"/>
      <c r="AI118" s="21"/>
      <c r="AJ118" s="21"/>
      <c r="AK118" s="22"/>
      <c r="AL118" s="17">
        <v>34.92</v>
      </c>
      <c r="AO118" s="54"/>
    </row>
    <row r="119" spans="1:41" s="15" customFormat="1" ht="10.5" hidden="1" customHeight="1" outlineLevel="2" x14ac:dyDescent="0.2">
      <c r="A119" s="6" t="s">
        <v>124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3">
        <v>2.52</v>
      </c>
      <c r="P119" s="3"/>
      <c r="Q119" s="3"/>
      <c r="R119" s="3"/>
      <c r="S119" s="3"/>
      <c r="T119" s="3"/>
      <c r="U119" s="3"/>
      <c r="V119" s="3">
        <v>2.52</v>
      </c>
      <c r="W119" s="3"/>
      <c r="X119" s="3"/>
      <c r="Y119" s="3"/>
      <c r="Z119" s="3"/>
      <c r="AA119" s="3"/>
      <c r="AB119" s="23"/>
      <c r="AC119" s="24"/>
      <c r="AD119" s="24"/>
      <c r="AE119" s="24"/>
      <c r="AF119" s="25"/>
      <c r="AG119" s="20"/>
      <c r="AH119" s="21"/>
      <c r="AI119" s="21"/>
      <c r="AJ119" s="21"/>
      <c r="AK119" s="22"/>
      <c r="AL119" s="17">
        <v>38.700000000000003</v>
      </c>
      <c r="AO119" s="54"/>
    </row>
    <row r="120" spans="1:41" s="15" customFormat="1" ht="10.5" hidden="1" customHeight="1" outlineLevel="2" x14ac:dyDescent="0.2">
      <c r="A120" s="6" t="s">
        <v>125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5">
        <v>0.3</v>
      </c>
      <c r="P120" s="5"/>
      <c r="Q120" s="5"/>
      <c r="R120" s="5"/>
      <c r="S120" s="5"/>
      <c r="T120" s="5"/>
      <c r="U120" s="5"/>
      <c r="V120" s="23"/>
      <c r="W120" s="24"/>
      <c r="X120" s="24"/>
      <c r="Y120" s="24"/>
      <c r="Z120" s="24"/>
      <c r="AA120" s="25"/>
      <c r="AB120" s="5">
        <v>0.3</v>
      </c>
      <c r="AC120" s="5"/>
      <c r="AD120" s="5"/>
      <c r="AE120" s="5"/>
      <c r="AF120" s="5"/>
      <c r="AG120" s="5">
        <v>0.3</v>
      </c>
      <c r="AH120" s="5"/>
      <c r="AI120" s="5"/>
      <c r="AJ120" s="5"/>
      <c r="AK120" s="5"/>
      <c r="AL120" s="17">
        <v>5.0999999999999996</v>
      </c>
      <c r="AN120" s="53">
        <f>AL120-AG120</f>
        <v>4.8</v>
      </c>
      <c r="AO120" s="54"/>
    </row>
    <row r="121" spans="1:41" s="15" customFormat="1" ht="10.5" hidden="1" customHeight="1" outlineLevel="2" x14ac:dyDescent="0.2">
      <c r="A121" s="6" t="s">
        <v>126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3">
        <v>33.659999999999997</v>
      </c>
      <c r="P121" s="3"/>
      <c r="Q121" s="3"/>
      <c r="R121" s="3"/>
      <c r="S121" s="3"/>
      <c r="T121" s="3"/>
      <c r="U121" s="3"/>
      <c r="V121" s="5">
        <v>34.200000000000003</v>
      </c>
      <c r="W121" s="5"/>
      <c r="X121" s="5"/>
      <c r="Y121" s="5"/>
      <c r="Z121" s="5"/>
      <c r="AA121" s="5"/>
      <c r="AB121" s="3">
        <v>-0.54</v>
      </c>
      <c r="AC121" s="3"/>
      <c r="AD121" s="3"/>
      <c r="AE121" s="3"/>
      <c r="AF121" s="3"/>
      <c r="AG121" s="20"/>
      <c r="AH121" s="21"/>
      <c r="AI121" s="21"/>
      <c r="AJ121" s="21"/>
      <c r="AK121" s="22"/>
      <c r="AL121" s="17">
        <v>55.08</v>
      </c>
      <c r="AO121" s="54"/>
    </row>
    <row r="122" spans="1:41" s="15" customFormat="1" ht="10.5" hidden="1" customHeight="1" outlineLevel="2" x14ac:dyDescent="0.2">
      <c r="A122" s="6" t="s">
        <v>127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5">
        <v>33.299999999999997</v>
      </c>
      <c r="P122" s="5"/>
      <c r="Q122" s="5"/>
      <c r="R122" s="5"/>
      <c r="S122" s="5"/>
      <c r="T122" s="5"/>
      <c r="U122" s="5"/>
      <c r="V122" s="5">
        <v>34.200000000000003</v>
      </c>
      <c r="W122" s="5"/>
      <c r="X122" s="5"/>
      <c r="Y122" s="5"/>
      <c r="Z122" s="5"/>
      <c r="AA122" s="5"/>
      <c r="AB122" s="5">
        <v>-0.9</v>
      </c>
      <c r="AC122" s="5"/>
      <c r="AD122" s="5"/>
      <c r="AE122" s="5"/>
      <c r="AF122" s="5"/>
      <c r="AG122" s="20"/>
      <c r="AH122" s="21"/>
      <c r="AI122" s="21"/>
      <c r="AJ122" s="21"/>
      <c r="AK122" s="22"/>
      <c r="AL122" s="17">
        <v>242.1</v>
      </c>
      <c r="AO122" s="54"/>
    </row>
    <row r="123" spans="1:41" s="15" customFormat="1" ht="21.75" hidden="1" customHeight="1" outlineLevel="2" x14ac:dyDescent="0.2">
      <c r="A123" s="6" t="s">
        <v>128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5">
        <v>1.2</v>
      </c>
      <c r="P123" s="5"/>
      <c r="Q123" s="5"/>
      <c r="R123" s="5"/>
      <c r="S123" s="5"/>
      <c r="T123" s="5"/>
      <c r="U123" s="5"/>
      <c r="V123" s="5">
        <v>1.2</v>
      </c>
      <c r="W123" s="5"/>
      <c r="X123" s="5"/>
      <c r="Y123" s="5"/>
      <c r="Z123" s="5"/>
      <c r="AA123" s="5"/>
      <c r="AB123" s="23"/>
      <c r="AC123" s="24"/>
      <c r="AD123" s="24"/>
      <c r="AE123" s="24"/>
      <c r="AF123" s="25"/>
      <c r="AG123" s="20"/>
      <c r="AH123" s="21"/>
      <c r="AI123" s="21"/>
      <c r="AJ123" s="21"/>
      <c r="AK123" s="22"/>
      <c r="AL123" s="17">
        <v>21.2</v>
      </c>
      <c r="AO123" s="54"/>
    </row>
    <row r="124" spans="1:41" s="15" customFormat="1" ht="10.5" hidden="1" customHeight="1" outlineLevel="2" x14ac:dyDescent="0.2">
      <c r="A124" s="6" t="s">
        <v>129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5">
        <v>1.2</v>
      </c>
      <c r="P124" s="5"/>
      <c r="Q124" s="5"/>
      <c r="R124" s="5"/>
      <c r="S124" s="5"/>
      <c r="T124" s="5"/>
      <c r="U124" s="5"/>
      <c r="V124" s="5">
        <v>1.2</v>
      </c>
      <c r="W124" s="5"/>
      <c r="X124" s="5"/>
      <c r="Y124" s="5"/>
      <c r="Z124" s="5"/>
      <c r="AA124" s="5"/>
      <c r="AB124" s="23"/>
      <c r="AC124" s="24"/>
      <c r="AD124" s="24"/>
      <c r="AE124" s="24"/>
      <c r="AF124" s="25"/>
      <c r="AG124" s="20"/>
      <c r="AH124" s="21"/>
      <c r="AI124" s="21"/>
      <c r="AJ124" s="21"/>
      <c r="AK124" s="22"/>
      <c r="AL124" s="17">
        <v>15.2</v>
      </c>
      <c r="AO124" s="54"/>
    </row>
    <row r="125" spans="1:41" s="15" customFormat="1" ht="10.5" hidden="1" customHeight="1" outlineLevel="2" x14ac:dyDescent="0.2">
      <c r="A125" s="6" t="s">
        <v>130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3">
        <v>1.08</v>
      </c>
      <c r="P125" s="3"/>
      <c r="Q125" s="3"/>
      <c r="R125" s="3"/>
      <c r="S125" s="3"/>
      <c r="T125" s="3"/>
      <c r="U125" s="3"/>
      <c r="V125" s="23"/>
      <c r="W125" s="24"/>
      <c r="X125" s="24"/>
      <c r="Y125" s="24"/>
      <c r="Z125" s="24"/>
      <c r="AA125" s="25"/>
      <c r="AB125" s="3">
        <v>1.08</v>
      </c>
      <c r="AC125" s="3"/>
      <c r="AD125" s="3"/>
      <c r="AE125" s="3"/>
      <c r="AF125" s="3"/>
      <c r="AG125" s="3">
        <v>1.08</v>
      </c>
      <c r="AH125" s="3"/>
      <c r="AI125" s="3"/>
      <c r="AJ125" s="3"/>
      <c r="AK125" s="3"/>
      <c r="AL125" s="17">
        <v>0.18</v>
      </c>
      <c r="AN125" s="53">
        <f>AL125-AG125</f>
        <v>-0.90000000000000013</v>
      </c>
      <c r="AO125" s="55">
        <f>AG125</f>
        <v>1.08</v>
      </c>
    </row>
    <row r="126" spans="1:41" s="15" customFormat="1" ht="10.5" hidden="1" customHeight="1" outlineLevel="2" x14ac:dyDescent="0.2">
      <c r="A126" s="6" t="s">
        <v>131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5">
        <v>0.3</v>
      </c>
      <c r="P126" s="5"/>
      <c r="Q126" s="5"/>
      <c r="R126" s="5"/>
      <c r="S126" s="5"/>
      <c r="T126" s="5"/>
      <c r="U126" s="5"/>
      <c r="V126" s="5">
        <v>0.3</v>
      </c>
      <c r="W126" s="5"/>
      <c r="X126" s="5"/>
      <c r="Y126" s="5"/>
      <c r="Z126" s="5"/>
      <c r="AA126" s="5"/>
      <c r="AB126" s="23"/>
      <c r="AC126" s="24"/>
      <c r="AD126" s="24"/>
      <c r="AE126" s="24"/>
      <c r="AF126" s="25"/>
      <c r="AG126" s="20"/>
      <c r="AH126" s="21"/>
      <c r="AI126" s="21"/>
      <c r="AJ126" s="21"/>
      <c r="AK126" s="22"/>
      <c r="AL126" s="17">
        <v>4.3</v>
      </c>
      <c r="AO126" s="54"/>
    </row>
    <row r="127" spans="1:41" s="15" customFormat="1" ht="10.5" hidden="1" customHeight="1" outlineLevel="2" x14ac:dyDescent="0.2">
      <c r="A127" s="6" t="s">
        <v>132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5">
        <v>0.3</v>
      </c>
      <c r="P127" s="5"/>
      <c r="Q127" s="5"/>
      <c r="R127" s="5"/>
      <c r="S127" s="5"/>
      <c r="T127" s="5"/>
      <c r="U127" s="5"/>
      <c r="V127" s="5">
        <v>0.3</v>
      </c>
      <c r="W127" s="5"/>
      <c r="X127" s="5"/>
      <c r="Y127" s="5"/>
      <c r="Z127" s="5"/>
      <c r="AA127" s="5"/>
      <c r="AB127" s="23"/>
      <c r="AC127" s="24"/>
      <c r="AD127" s="24"/>
      <c r="AE127" s="24"/>
      <c r="AF127" s="25"/>
      <c r="AG127" s="20"/>
      <c r="AH127" s="21"/>
      <c r="AI127" s="21"/>
      <c r="AJ127" s="21"/>
      <c r="AK127" s="22"/>
      <c r="AL127" s="17">
        <v>5.3</v>
      </c>
      <c r="AO127" s="54"/>
    </row>
    <row r="128" spans="1:41" s="15" customFormat="1" ht="10.5" hidden="1" customHeight="1" outlineLevel="2" x14ac:dyDescent="0.2">
      <c r="A128" s="6" t="s">
        <v>133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3">
        <v>13.14</v>
      </c>
      <c r="P128" s="3"/>
      <c r="Q128" s="3"/>
      <c r="R128" s="3"/>
      <c r="S128" s="3"/>
      <c r="T128" s="3"/>
      <c r="U128" s="3"/>
      <c r="V128" s="3">
        <v>9.5399999999999991</v>
      </c>
      <c r="W128" s="3"/>
      <c r="X128" s="3"/>
      <c r="Y128" s="3"/>
      <c r="Z128" s="3"/>
      <c r="AA128" s="3"/>
      <c r="AB128" s="5">
        <v>3.6</v>
      </c>
      <c r="AC128" s="5"/>
      <c r="AD128" s="5"/>
      <c r="AE128" s="5"/>
      <c r="AF128" s="5"/>
      <c r="AG128" s="5">
        <v>3.6</v>
      </c>
      <c r="AH128" s="5"/>
      <c r="AI128" s="5"/>
      <c r="AJ128" s="5"/>
      <c r="AK128" s="5"/>
      <c r="AL128" s="17">
        <v>0.54</v>
      </c>
      <c r="AN128" s="53">
        <f t="shared" ref="AN128:AN130" si="13">AL128-AG128</f>
        <v>-3.06</v>
      </c>
      <c r="AO128" s="55">
        <f t="shared" ref="AO128:AO130" si="14">AG128</f>
        <v>3.6</v>
      </c>
    </row>
    <row r="129" spans="1:42" s="15" customFormat="1" ht="10.5" hidden="1" customHeight="1" outlineLevel="2" x14ac:dyDescent="0.2">
      <c r="A129" s="6" t="s">
        <v>134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5">
        <v>0.9</v>
      </c>
      <c r="P129" s="5"/>
      <c r="Q129" s="5"/>
      <c r="R129" s="5"/>
      <c r="S129" s="5"/>
      <c r="T129" s="5"/>
      <c r="U129" s="5"/>
      <c r="V129" s="3">
        <v>0.54</v>
      </c>
      <c r="W129" s="3"/>
      <c r="X129" s="3"/>
      <c r="Y129" s="3"/>
      <c r="Z129" s="3"/>
      <c r="AA129" s="3"/>
      <c r="AB129" s="3">
        <v>0.36</v>
      </c>
      <c r="AC129" s="3"/>
      <c r="AD129" s="3"/>
      <c r="AE129" s="3"/>
      <c r="AF129" s="3"/>
      <c r="AG129" s="3">
        <v>0.36</v>
      </c>
      <c r="AH129" s="3"/>
      <c r="AI129" s="3"/>
      <c r="AJ129" s="3"/>
      <c r="AK129" s="3"/>
      <c r="AL129" s="17">
        <v>-3.06</v>
      </c>
      <c r="AN129" s="53">
        <f t="shared" si="13"/>
        <v>-3.42</v>
      </c>
      <c r="AO129" s="55">
        <f t="shared" si="14"/>
        <v>0.36</v>
      </c>
    </row>
    <row r="130" spans="1:42" s="15" customFormat="1" ht="10.5" hidden="1" customHeight="1" outlineLevel="2" x14ac:dyDescent="0.2">
      <c r="A130" s="6" t="s">
        <v>135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5">
        <v>10.8</v>
      </c>
      <c r="P130" s="5"/>
      <c r="Q130" s="5"/>
      <c r="R130" s="5"/>
      <c r="S130" s="5"/>
      <c r="T130" s="5"/>
      <c r="U130" s="5"/>
      <c r="V130" s="5">
        <v>1.8</v>
      </c>
      <c r="W130" s="5"/>
      <c r="X130" s="5"/>
      <c r="Y130" s="5"/>
      <c r="Z130" s="5"/>
      <c r="AA130" s="5"/>
      <c r="AB130" s="2">
        <v>9</v>
      </c>
      <c r="AC130" s="2"/>
      <c r="AD130" s="2"/>
      <c r="AE130" s="2"/>
      <c r="AF130" s="2"/>
      <c r="AG130" s="2">
        <v>9</v>
      </c>
      <c r="AH130" s="2"/>
      <c r="AI130" s="2"/>
      <c r="AJ130" s="2"/>
      <c r="AK130" s="2"/>
      <c r="AL130" s="17">
        <v>2.16</v>
      </c>
      <c r="AN130" s="53">
        <f t="shared" si="13"/>
        <v>-6.84</v>
      </c>
      <c r="AO130" s="55">
        <f t="shared" si="14"/>
        <v>9</v>
      </c>
    </row>
    <row r="131" spans="1:42" s="15" customFormat="1" ht="10.5" hidden="1" customHeight="1" outlineLevel="2" x14ac:dyDescent="0.2">
      <c r="A131" s="6" t="s">
        <v>136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3">
        <v>20.34</v>
      </c>
      <c r="P131" s="3"/>
      <c r="Q131" s="3"/>
      <c r="R131" s="3"/>
      <c r="S131" s="3"/>
      <c r="T131" s="3"/>
      <c r="U131" s="3"/>
      <c r="V131" s="3">
        <v>20.34</v>
      </c>
      <c r="W131" s="3"/>
      <c r="X131" s="3"/>
      <c r="Y131" s="3"/>
      <c r="Z131" s="3"/>
      <c r="AA131" s="3"/>
      <c r="AB131" s="23"/>
      <c r="AC131" s="24"/>
      <c r="AD131" s="24"/>
      <c r="AE131" s="24"/>
      <c r="AF131" s="25"/>
      <c r="AG131" s="20"/>
      <c r="AH131" s="21"/>
      <c r="AI131" s="21"/>
      <c r="AJ131" s="21"/>
      <c r="AK131" s="22"/>
      <c r="AL131" s="17">
        <v>7.74</v>
      </c>
      <c r="AO131" s="54"/>
    </row>
    <row r="132" spans="1:42" s="15" customFormat="1" ht="21.75" hidden="1" customHeight="1" outlineLevel="2" x14ac:dyDescent="0.2">
      <c r="A132" s="6" t="s">
        <v>137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5">
        <v>3.6</v>
      </c>
      <c r="P132" s="5"/>
      <c r="Q132" s="5"/>
      <c r="R132" s="5"/>
      <c r="S132" s="5"/>
      <c r="T132" s="5"/>
      <c r="U132" s="5"/>
      <c r="V132" s="23"/>
      <c r="W132" s="24"/>
      <c r="X132" s="24"/>
      <c r="Y132" s="24"/>
      <c r="Z132" s="24"/>
      <c r="AA132" s="25"/>
      <c r="AB132" s="5">
        <v>3.6</v>
      </c>
      <c r="AC132" s="5"/>
      <c r="AD132" s="5"/>
      <c r="AE132" s="5"/>
      <c r="AF132" s="5"/>
      <c r="AG132" s="5">
        <v>3.6</v>
      </c>
      <c r="AH132" s="5"/>
      <c r="AI132" s="5"/>
      <c r="AJ132" s="5"/>
      <c r="AK132" s="5"/>
      <c r="AL132" s="17">
        <v>1.08</v>
      </c>
      <c r="AN132" s="53">
        <f>AL132-AG132</f>
        <v>-2.52</v>
      </c>
      <c r="AO132" s="55">
        <f>AG132</f>
        <v>3.6</v>
      </c>
    </row>
    <row r="133" spans="1:42" s="15" customFormat="1" ht="10.5" hidden="1" customHeight="1" outlineLevel="2" x14ac:dyDescent="0.2">
      <c r="A133" s="6" t="s">
        <v>138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5">
        <v>2.7</v>
      </c>
      <c r="P133" s="5"/>
      <c r="Q133" s="5"/>
      <c r="R133" s="5"/>
      <c r="S133" s="5"/>
      <c r="T133" s="5"/>
      <c r="U133" s="5"/>
      <c r="V133" s="5">
        <v>2.7</v>
      </c>
      <c r="W133" s="5"/>
      <c r="X133" s="5"/>
      <c r="Y133" s="5"/>
      <c r="Z133" s="5"/>
      <c r="AA133" s="5"/>
      <c r="AB133" s="23"/>
      <c r="AC133" s="24"/>
      <c r="AD133" s="24"/>
      <c r="AE133" s="24"/>
      <c r="AF133" s="25"/>
      <c r="AG133" s="20"/>
      <c r="AH133" s="21"/>
      <c r="AI133" s="21"/>
      <c r="AJ133" s="21"/>
      <c r="AK133" s="22"/>
      <c r="AL133" s="17">
        <v>27.72</v>
      </c>
      <c r="AO133" s="54"/>
    </row>
    <row r="134" spans="1:42" s="15" customFormat="1" ht="21.75" hidden="1" customHeight="1" outlineLevel="2" x14ac:dyDescent="0.2">
      <c r="A134" s="6" t="s">
        <v>139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5">
        <v>5.5</v>
      </c>
      <c r="P134" s="5"/>
      <c r="Q134" s="5"/>
      <c r="R134" s="5"/>
      <c r="S134" s="5"/>
      <c r="T134" s="5"/>
      <c r="U134" s="5"/>
      <c r="V134" s="4">
        <v>7.1580000000000004</v>
      </c>
      <c r="W134" s="4"/>
      <c r="X134" s="4"/>
      <c r="Y134" s="4"/>
      <c r="Z134" s="4"/>
      <c r="AA134" s="4"/>
      <c r="AB134" s="4">
        <v>-1.6579999999999999</v>
      </c>
      <c r="AC134" s="4"/>
      <c r="AD134" s="4"/>
      <c r="AE134" s="4"/>
      <c r="AF134" s="4"/>
      <c r="AG134" s="20"/>
      <c r="AH134" s="21"/>
      <c r="AI134" s="21"/>
      <c r="AJ134" s="21"/>
      <c r="AK134" s="22"/>
      <c r="AL134" s="17">
        <v>110.52800000000001</v>
      </c>
      <c r="AO134" s="54"/>
    </row>
    <row r="135" spans="1:42" s="15" customFormat="1" ht="21.75" hidden="1" customHeight="1" outlineLevel="2" x14ac:dyDescent="0.2">
      <c r="A135" s="6" t="s">
        <v>140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2">
        <v>3</v>
      </c>
      <c r="P135" s="2"/>
      <c r="Q135" s="2"/>
      <c r="R135" s="2"/>
      <c r="S135" s="2"/>
      <c r="T135" s="2"/>
      <c r="U135" s="2"/>
      <c r="V135" s="4">
        <v>3.1440000000000001</v>
      </c>
      <c r="W135" s="4"/>
      <c r="X135" s="4"/>
      <c r="Y135" s="4"/>
      <c r="Z135" s="4"/>
      <c r="AA135" s="4"/>
      <c r="AB135" s="4">
        <v>-0.14399999999999999</v>
      </c>
      <c r="AC135" s="4"/>
      <c r="AD135" s="4"/>
      <c r="AE135" s="4"/>
      <c r="AF135" s="4"/>
      <c r="AG135" s="20"/>
      <c r="AH135" s="21"/>
      <c r="AI135" s="21"/>
      <c r="AJ135" s="21"/>
      <c r="AK135" s="22"/>
      <c r="AL135" s="17">
        <v>77.108000000000004</v>
      </c>
      <c r="AO135" s="54"/>
    </row>
    <row r="136" spans="1:42" s="15" customFormat="1" ht="10.5" hidden="1" customHeight="1" outlineLevel="2" x14ac:dyDescent="0.2">
      <c r="A136" s="6" t="s">
        <v>141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5">
        <v>0.6</v>
      </c>
      <c r="P136" s="5"/>
      <c r="Q136" s="5"/>
      <c r="R136" s="5"/>
      <c r="S136" s="5"/>
      <c r="T136" s="5"/>
      <c r="U136" s="5"/>
      <c r="V136" s="5">
        <v>0.6</v>
      </c>
      <c r="W136" s="5"/>
      <c r="X136" s="5"/>
      <c r="Y136" s="5"/>
      <c r="Z136" s="5"/>
      <c r="AA136" s="5"/>
      <c r="AB136" s="23"/>
      <c r="AC136" s="24"/>
      <c r="AD136" s="24"/>
      <c r="AE136" s="24"/>
      <c r="AF136" s="25"/>
      <c r="AG136" s="20"/>
      <c r="AH136" s="21"/>
      <c r="AI136" s="21"/>
      <c r="AJ136" s="21"/>
      <c r="AK136" s="22"/>
      <c r="AL136" s="17">
        <v>3</v>
      </c>
      <c r="AO136" s="54"/>
    </row>
    <row r="137" spans="1:42" s="15" customFormat="1" ht="10.5" hidden="1" customHeight="1" outlineLevel="2" x14ac:dyDescent="0.2">
      <c r="A137" s="6" t="s">
        <v>142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5">
        <v>0.7</v>
      </c>
      <c r="P137" s="5"/>
      <c r="Q137" s="5"/>
      <c r="R137" s="5"/>
      <c r="S137" s="5"/>
      <c r="T137" s="5"/>
      <c r="U137" s="5"/>
      <c r="V137" s="5">
        <v>0.7</v>
      </c>
      <c r="W137" s="5"/>
      <c r="X137" s="5"/>
      <c r="Y137" s="5"/>
      <c r="Z137" s="5"/>
      <c r="AA137" s="5"/>
      <c r="AB137" s="23"/>
      <c r="AC137" s="24"/>
      <c r="AD137" s="24"/>
      <c r="AE137" s="24"/>
      <c r="AF137" s="25"/>
      <c r="AG137" s="20"/>
      <c r="AH137" s="21"/>
      <c r="AI137" s="21"/>
      <c r="AJ137" s="21"/>
      <c r="AK137" s="22"/>
      <c r="AL137" s="17">
        <v>15.82</v>
      </c>
      <c r="AO137" s="54"/>
    </row>
    <row r="138" spans="1:42" s="15" customFormat="1" ht="10.5" hidden="1" customHeight="1" outlineLevel="2" x14ac:dyDescent="0.2">
      <c r="A138" s="6" t="s">
        <v>143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3">
        <v>0.42</v>
      </c>
      <c r="P138" s="3"/>
      <c r="Q138" s="3"/>
      <c r="R138" s="3"/>
      <c r="S138" s="3"/>
      <c r="T138" s="3"/>
      <c r="U138" s="3"/>
      <c r="V138" s="3">
        <v>0.42</v>
      </c>
      <c r="W138" s="3"/>
      <c r="X138" s="3"/>
      <c r="Y138" s="3"/>
      <c r="Z138" s="3"/>
      <c r="AA138" s="3"/>
      <c r="AB138" s="23"/>
      <c r="AC138" s="24"/>
      <c r="AD138" s="24"/>
      <c r="AE138" s="24"/>
      <c r="AF138" s="25"/>
      <c r="AG138" s="20"/>
      <c r="AH138" s="21"/>
      <c r="AI138" s="21"/>
      <c r="AJ138" s="21"/>
      <c r="AK138" s="22"/>
      <c r="AL138" s="17">
        <v>7.14</v>
      </c>
      <c r="AO138" s="54"/>
    </row>
    <row r="139" spans="1:42" s="15" customFormat="1" ht="10.5" hidden="1" customHeight="1" outlineLevel="2" x14ac:dyDescent="0.2">
      <c r="A139" s="6" t="s">
        <v>144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2">
        <v>7</v>
      </c>
      <c r="P139" s="2"/>
      <c r="Q139" s="2"/>
      <c r="R139" s="2"/>
      <c r="S139" s="2"/>
      <c r="T139" s="2"/>
      <c r="U139" s="2"/>
      <c r="V139" s="2">
        <v>7</v>
      </c>
      <c r="W139" s="2"/>
      <c r="X139" s="2"/>
      <c r="Y139" s="2"/>
      <c r="Z139" s="2"/>
      <c r="AA139" s="2"/>
      <c r="AB139" s="23"/>
      <c r="AC139" s="24"/>
      <c r="AD139" s="24"/>
      <c r="AE139" s="24"/>
      <c r="AF139" s="25"/>
      <c r="AG139" s="20"/>
      <c r="AH139" s="21"/>
      <c r="AI139" s="21"/>
      <c r="AJ139" s="21"/>
      <c r="AK139" s="22"/>
      <c r="AL139" s="17">
        <v>59.4</v>
      </c>
      <c r="AO139" s="54"/>
    </row>
    <row r="140" spans="1:42" s="15" customFormat="1" ht="10.5" hidden="1" customHeight="1" outlineLevel="2" x14ac:dyDescent="0.2">
      <c r="A140" s="6" t="s">
        <v>145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2">
        <v>3</v>
      </c>
      <c r="P140" s="2"/>
      <c r="Q140" s="2"/>
      <c r="R140" s="2"/>
      <c r="S140" s="2"/>
      <c r="T140" s="2"/>
      <c r="U140" s="2"/>
      <c r="V140" s="2">
        <v>3</v>
      </c>
      <c r="W140" s="2"/>
      <c r="X140" s="2"/>
      <c r="Y140" s="2"/>
      <c r="Z140" s="2"/>
      <c r="AA140" s="2"/>
      <c r="AB140" s="23"/>
      <c r="AC140" s="24"/>
      <c r="AD140" s="24"/>
      <c r="AE140" s="24"/>
      <c r="AF140" s="25"/>
      <c r="AG140" s="20"/>
      <c r="AH140" s="21"/>
      <c r="AI140" s="21"/>
      <c r="AJ140" s="21"/>
      <c r="AK140" s="22"/>
      <c r="AL140" s="17">
        <v>84</v>
      </c>
      <c r="AO140" s="54"/>
    </row>
    <row r="141" spans="1:42" s="15" customFormat="1" ht="10.5" customHeight="1" x14ac:dyDescent="0.2">
      <c r="A141" s="12" t="s">
        <v>146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">
        <v>6402.75</v>
      </c>
      <c r="P141" s="1"/>
      <c r="Q141" s="1"/>
      <c r="R141" s="1"/>
      <c r="S141" s="1"/>
      <c r="T141" s="1"/>
      <c r="U141" s="1"/>
      <c r="V141" s="11">
        <v>5767.9030000000002</v>
      </c>
      <c r="W141" s="11"/>
      <c r="X141" s="11"/>
      <c r="Y141" s="11"/>
      <c r="Z141" s="11"/>
      <c r="AA141" s="11"/>
      <c r="AB141" s="9">
        <v>634.84699999999998</v>
      </c>
      <c r="AC141" s="9"/>
      <c r="AD141" s="9"/>
      <c r="AE141" s="9"/>
      <c r="AF141" s="9"/>
      <c r="AG141" s="9">
        <v>872.16899999999998</v>
      </c>
      <c r="AH141" s="9"/>
      <c r="AI141" s="9"/>
      <c r="AJ141" s="9"/>
      <c r="AK141" s="9"/>
      <c r="AL141" s="17"/>
      <c r="AN141" s="53">
        <f t="shared" ref="AN141:AN145" si="15">AL141-AG141</f>
        <v>-872.16899999999998</v>
      </c>
      <c r="AO141" s="54"/>
    </row>
    <row r="142" spans="1:42" s="15" customFormat="1" ht="10.5" customHeight="1" outlineLevel="1" x14ac:dyDescent="0.2">
      <c r="A142" s="8" t="s">
        <v>147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10">
        <v>614.41</v>
      </c>
      <c r="P142" s="10"/>
      <c r="Q142" s="10"/>
      <c r="R142" s="10"/>
      <c r="S142" s="10"/>
      <c r="T142" s="10"/>
      <c r="U142" s="10"/>
      <c r="V142" s="10">
        <v>467.43</v>
      </c>
      <c r="W142" s="10"/>
      <c r="X142" s="10"/>
      <c r="Y142" s="10"/>
      <c r="Z142" s="10"/>
      <c r="AA142" s="10"/>
      <c r="AB142" s="10">
        <v>146.97999999999999</v>
      </c>
      <c r="AC142" s="10"/>
      <c r="AD142" s="10"/>
      <c r="AE142" s="10"/>
      <c r="AF142" s="10"/>
      <c r="AG142" s="9">
        <v>177.84399999999999</v>
      </c>
      <c r="AH142" s="9"/>
      <c r="AI142" s="9"/>
      <c r="AJ142" s="9"/>
      <c r="AK142" s="9"/>
      <c r="AL142" s="17"/>
      <c r="AN142" s="53">
        <f t="shared" si="15"/>
        <v>-177.84399999999999</v>
      </c>
      <c r="AO142" s="54"/>
      <c r="AP142" s="15">
        <f>SUM(AO143:AO241)</f>
        <v>696.44599999999991</v>
      </c>
    </row>
    <row r="143" spans="1:42" s="15" customFormat="1" ht="10.5" hidden="1" customHeight="1" outlineLevel="2" x14ac:dyDescent="0.2">
      <c r="A143" s="6" t="s">
        <v>148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3">
        <v>34.65</v>
      </c>
      <c r="P143" s="3"/>
      <c r="Q143" s="3"/>
      <c r="R143" s="3"/>
      <c r="S143" s="3"/>
      <c r="T143" s="3"/>
      <c r="U143" s="3"/>
      <c r="V143" s="23"/>
      <c r="W143" s="24"/>
      <c r="X143" s="24"/>
      <c r="Y143" s="24"/>
      <c r="Z143" s="24"/>
      <c r="AA143" s="25"/>
      <c r="AB143" s="3">
        <v>34.65</v>
      </c>
      <c r="AC143" s="3"/>
      <c r="AD143" s="3"/>
      <c r="AE143" s="3"/>
      <c r="AF143" s="3"/>
      <c r="AG143" s="3">
        <v>34.65</v>
      </c>
      <c r="AH143" s="3"/>
      <c r="AI143" s="3"/>
      <c r="AJ143" s="3"/>
      <c r="AK143" s="3"/>
      <c r="AL143" s="17">
        <v>28.596</v>
      </c>
      <c r="AN143" s="53">
        <f t="shared" si="15"/>
        <v>-6.0539999999999985</v>
      </c>
      <c r="AO143" s="54">
        <f>AN143*-1</f>
        <v>6.0539999999999985</v>
      </c>
    </row>
    <row r="144" spans="1:42" s="15" customFormat="1" ht="10.5" hidden="1" customHeight="1" outlineLevel="2" x14ac:dyDescent="0.2">
      <c r="A144" s="6" t="s">
        <v>149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3">
        <v>95.65</v>
      </c>
      <c r="P144" s="3"/>
      <c r="Q144" s="3"/>
      <c r="R144" s="3"/>
      <c r="S144" s="3"/>
      <c r="T144" s="3"/>
      <c r="U144" s="3"/>
      <c r="V144" s="3">
        <v>22.97</v>
      </c>
      <c r="W144" s="3"/>
      <c r="X144" s="3"/>
      <c r="Y144" s="3"/>
      <c r="Z144" s="3"/>
      <c r="AA144" s="3"/>
      <c r="AB144" s="3">
        <v>72.680000000000007</v>
      </c>
      <c r="AC144" s="3"/>
      <c r="AD144" s="3"/>
      <c r="AE144" s="3"/>
      <c r="AF144" s="3"/>
      <c r="AG144" s="4">
        <v>73.210999999999999</v>
      </c>
      <c r="AH144" s="4"/>
      <c r="AI144" s="4"/>
      <c r="AJ144" s="4"/>
      <c r="AK144" s="4"/>
      <c r="AL144" s="17">
        <v>0.65100000000000002</v>
      </c>
      <c r="AN144" s="53">
        <f t="shared" si="15"/>
        <v>-72.56</v>
      </c>
      <c r="AO144" s="55">
        <f>AG144</f>
        <v>73.210999999999999</v>
      </c>
    </row>
    <row r="145" spans="1:41" s="15" customFormat="1" ht="10.5" hidden="1" customHeight="1" outlineLevel="2" x14ac:dyDescent="0.2">
      <c r="A145" s="6" t="s">
        <v>150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3">
        <v>144.35</v>
      </c>
      <c r="P145" s="3"/>
      <c r="Q145" s="3"/>
      <c r="R145" s="3"/>
      <c r="S145" s="3"/>
      <c r="T145" s="3"/>
      <c r="U145" s="3"/>
      <c r="V145" s="4">
        <v>148.245</v>
      </c>
      <c r="W145" s="4"/>
      <c r="X145" s="4"/>
      <c r="Y145" s="4"/>
      <c r="Z145" s="4"/>
      <c r="AA145" s="4"/>
      <c r="AB145" s="4">
        <v>-3.895</v>
      </c>
      <c r="AC145" s="4"/>
      <c r="AD145" s="4"/>
      <c r="AE145" s="4"/>
      <c r="AF145" s="4"/>
      <c r="AG145" s="4">
        <v>6.1459999999999999</v>
      </c>
      <c r="AH145" s="4"/>
      <c r="AI145" s="4"/>
      <c r="AJ145" s="4"/>
      <c r="AK145" s="4"/>
      <c r="AL145" s="17">
        <v>277.33999999999997</v>
      </c>
      <c r="AN145" s="53">
        <f t="shared" si="15"/>
        <v>271.19399999999996</v>
      </c>
      <c r="AO145" s="54"/>
    </row>
    <row r="146" spans="1:41" s="15" customFormat="1" ht="10.5" hidden="1" customHeight="1" outlineLevel="2" x14ac:dyDescent="0.2">
      <c r="A146" s="6" t="s">
        <v>151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3">
        <v>25.95</v>
      </c>
      <c r="P146" s="3"/>
      <c r="Q146" s="3"/>
      <c r="R146" s="3"/>
      <c r="S146" s="3"/>
      <c r="T146" s="3"/>
      <c r="U146" s="3"/>
      <c r="V146" s="4">
        <v>28.568999999999999</v>
      </c>
      <c r="W146" s="4"/>
      <c r="X146" s="4"/>
      <c r="Y146" s="4"/>
      <c r="Z146" s="4"/>
      <c r="AA146" s="4"/>
      <c r="AB146" s="4">
        <v>-2.6190000000000002</v>
      </c>
      <c r="AC146" s="4"/>
      <c r="AD146" s="4"/>
      <c r="AE146" s="4"/>
      <c r="AF146" s="4"/>
      <c r="AG146" s="20"/>
      <c r="AH146" s="21"/>
      <c r="AI146" s="21"/>
      <c r="AJ146" s="21"/>
      <c r="AK146" s="22"/>
      <c r="AL146" s="17">
        <v>222.45400000000001</v>
      </c>
      <c r="AO146" s="54"/>
    </row>
    <row r="147" spans="1:41" s="15" customFormat="1" ht="10.5" hidden="1" customHeight="1" outlineLevel="2" x14ac:dyDescent="0.2">
      <c r="A147" s="6" t="s">
        <v>152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5">
        <v>11.2</v>
      </c>
      <c r="P147" s="5"/>
      <c r="Q147" s="5"/>
      <c r="R147" s="5"/>
      <c r="S147" s="5"/>
      <c r="T147" s="5"/>
      <c r="U147" s="5"/>
      <c r="V147" s="4">
        <v>12.119</v>
      </c>
      <c r="W147" s="4"/>
      <c r="X147" s="4"/>
      <c r="Y147" s="4"/>
      <c r="Z147" s="4"/>
      <c r="AA147" s="4"/>
      <c r="AB147" s="4">
        <v>-0.91900000000000004</v>
      </c>
      <c r="AC147" s="4"/>
      <c r="AD147" s="4"/>
      <c r="AE147" s="4"/>
      <c r="AF147" s="4"/>
      <c r="AG147" s="20"/>
      <c r="AH147" s="21"/>
      <c r="AI147" s="21"/>
      <c r="AJ147" s="21"/>
      <c r="AK147" s="22"/>
      <c r="AL147" s="17">
        <v>70.795000000000002</v>
      </c>
      <c r="AO147" s="54"/>
    </row>
    <row r="148" spans="1:41" s="15" customFormat="1" ht="10.5" hidden="1" customHeight="1" outlineLevel="2" x14ac:dyDescent="0.2">
      <c r="A148" s="6" t="s">
        <v>153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3">
        <v>23.55</v>
      </c>
      <c r="P148" s="3"/>
      <c r="Q148" s="3"/>
      <c r="R148" s="3"/>
      <c r="S148" s="3"/>
      <c r="T148" s="3"/>
      <c r="U148" s="3"/>
      <c r="V148" s="4">
        <v>25.526</v>
      </c>
      <c r="W148" s="4"/>
      <c r="X148" s="4"/>
      <c r="Y148" s="4"/>
      <c r="Z148" s="4"/>
      <c r="AA148" s="4"/>
      <c r="AB148" s="4">
        <v>-1.976</v>
      </c>
      <c r="AC148" s="4"/>
      <c r="AD148" s="4"/>
      <c r="AE148" s="4"/>
      <c r="AF148" s="4"/>
      <c r="AG148" s="20"/>
      <c r="AH148" s="21"/>
      <c r="AI148" s="21"/>
      <c r="AJ148" s="21"/>
      <c r="AK148" s="22"/>
      <c r="AL148" s="17">
        <v>149.34899999999999</v>
      </c>
      <c r="AO148" s="54"/>
    </row>
    <row r="149" spans="1:41" s="15" customFormat="1" ht="10.5" hidden="1" customHeight="1" outlineLevel="2" x14ac:dyDescent="0.2">
      <c r="A149" s="6" t="s">
        <v>154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5">
        <v>17.600000000000001</v>
      </c>
      <c r="P149" s="5"/>
      <c r="Q149" s="5"/>
      <c r="R149" s="5"/>
      <c r="S149" s="5"/>
      <c r="T149" s="5"/>
      <c r="U149" s="5"/>
      <c r="V149" s="5">
        <v>20.2</v>
      </c>
      <c r="W149" s="5"/>
      <c r="X149" s="5"/>
      <c r="Y149" s="5"/>
      <c r="Z149" s="5"/>
      <c r="AA149" s="5"/>
      <c r="AB149" s="5">
        <v>-2.6</v>
      </c>
      <c r="AC149" s="5"/>
      <c r="AD149" s="5"/>
      <c r="AE149" s="5"/>
      <c r="AF149" s="5"/>
      <c r="AG149" s="20"/>
      <c r="AH149" s="21"/>
      <c r="AI149" s="21"/>
      <c r="AJ149" s="21"/>
      <c r="AK149" s="22"/>
      <c r="AL149" s="17">
        <v>36.802</v>
      </c>
      <c r="AO149" s="54"/>
    </row>
    <row r="150" spans="1:41" s="15" customFormat="1" ht="10.5" hidden="1" customHeight="1" outlineLevel="2" x14ac:dyDescent="0.2">
      <c r="A150" s="6" t="s">
        <v>155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3">
        <v>75.650000000000006</v>
      </c>
      <c r="P150" s="3"/>
      <c r="Q150" s="3"/>
      <c r="R150" s="3"/>
      <c r="S150" s="3"/>
      <c r="T150" s="3"/>
      <c r="U150" s="3"/>
      <c r="V150" s="4">
        <v>73.052000000000007</v>
      </c>
      <c r="W150" s="4"/>
      <c r="X150" s="4"/>
      <c r="Y150" s="4"/>
      <c r="Z150" s="4"/>
      <c r="AA150" s="4"/>
      <c r="AB150" s="4">
        <v>2.5979999999999999</v>
      </c>
      <c r="AC150" s="4"/>
      <c r="AD150" s="4"/>
      <c r="AE150" s="4"/>
      <c r="AF150" s="4"/>
      <c r="AG150" s="3">
        <v>4.78</v>
      </c>
      <c r="AH150" s="3"/>
      <c r="AI150" s="3"/>
      <c r="AJ150" s="3"/>
      <c r="AK150" s="3"/>
      <c r="AL150" s="17">
        <v>134.06399999999999</v>
      </c>
      <c r="AN150" s="53">
        <f t="shared" ref="AN150:AN151" si="16">AL150-AG150</f>
        <v>129.28399999999999</v>
      </c>
      <c r="AO150" s="54"/>
    </row>
    <row r="151" spans="1:41" s="15" customFormat="1" ht="10.5" hidden="1" customHeight="1" outlineLevel="2" x14ac:dyDescent="0.2">
      <c r="A151" s="6" t="s">
        <v>156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3">
        <v>182.16</v>
      </c>
      <c r="P151" s="3"/>
      <c r="Q151" s="3"/>
      <c r="R151" s="3"/>
      <c r="S151" s="3"/>
      <c r="T151" s="3"/>
      <c r="U151" s="3"/>
      <c r="V151" s="4">
        <v>132.66300000000001</v>
      </c>
      <c r="W151" s="4"/>
      <c r="X151" s="4"/>
      <c r="Y151" s="4"/>
      <c r="Z151" s="4"/>
      <c r="AA151" s="4"/>
      <c r="AB151" s="4">
        <v>49.497</v>
      </c>
      <c r="AC151" s="4"/>
      <c r="AD151" s="4"/>
      <c r="AE151" s="4"/>
      <c r="AF151" s="4"/>
      <c r="AG151" s="4">
        <v>59.057000000000002</v>
      </c>
      <c r="AH151" s="4"/>
      <c r="AI151" s="4"/>
      <c r="AJ151" s="4"/>
      <c r="AK151" s="4"/>
      <c r="AL151" s="17">
        <v>3.1E-2</v>
      </c>
      <c r="AN151" s="53">
        <f t="shared" si="16"/>
        <v>-59.026000000000003</v>
      </c>
      <c r="AO151" s="55">
        <f>AG151</f>
        <v>59.057000000000002</v>
      </c>
    </row>
    <row r="152" spans="1:41" s="15" customFormat="1" ht="10.5" hidden="1" customHeight="1" outlineLevel="2" x14ac:dyDescent="0.2">
      <c r="A152" s="6" t="s">
        <v>157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3">
        <v>3.65</v>
      </c>
      <c r="P152" s="3"/>
      <c r="Q152" s="3"/>
      <c r="R152" s="3"/>
      <c r="S152" s="3"/>
      <c r="T152" s="3"/>
      <c r="U152" s="3"/>
      <c r="V152" s="4">
        <v>4.0860000000000003</v>
      </c>
      <c r="W152" s="4"/>
      <c r="X152" s="4"/>
      <c r="Y152" s="4"/>
      <c r="Z152" s="4"/>
      <c r="AA152" s="4"/>
      <c r="AB152" s="4">
        <v>-0.436</v>
      </c>
      <c r="AC152" s="4"/>
      <c r="AD152" s="4"/>
      <c r="AE152" s="4"/>
      <c r="AF152" s="4"/>
      <c r="AG152" s="20"/>
      <c r="AH152" s="21"/>
      <c r="AI152" s="21"/>
      <c r="AJ152" s="21"/>
      <c r="AK152" s="22"/>
      <c r="AL152" s="17">
        <v>46.558</v>
      </c>
      <c r="AO152" s="54"/>
    </row>
    <row r="153" spans="1:41" s="15" customFormat="1" ht="10.5" customHeight="1" outlineLevel="1" collapsed="1" x14ac:dyDescent="0.2">
      <c r="A153" s="8" t="s">
        <v>158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10">
        <v>133.33000000000001</v>
      </c>
      <c r="P153" s="10"/>
      <c r="Q153" s="10"/>
      <c r="R153" s="10"/>
      <c r="S153" s="10"/>
      <c r="T153" s="10"/>
      <c r="U153" s="10"/>
      <c r="V153" s="10">
        <v>126.68</v>
      </c>
      <c r="W153" s="10"/>
      <c r="X153" s="10"/>
      <c r="Y153" s="10"/>
      <c r="Z153" s="10"/>
      <c r="AA153" s="10"/>
      <c r="AB153" s="10">
        <v>6.65</v>
      </c>
      <c r="AC153" s="10"/>
      <c r="AD153" s="10"/>
      <c r="AE153" s="10"/>
      <c r="AF153" s="10"/>
      <c r="AG153" s="10">
        <v>11.77</v>
      </c>
      <c r="AH153" s="10"/>
      <c r="AI153" s="10"/>
      <c r="AJ153" s="10"/>
      <c r="AK153" s="10"/>
      <c r="AL153" s="17"/>
      <c r="AN153" s="53">
        <f>AL153-AG153</f>
        <v>-11.77</v>
      </c>
      <c r="AO153" s="54"/>
    </row>
    <row r="154" spans="1:41" s="15" customFormat="1" ht="10.5" hidden="1" customHeight="1" outlineLevel="2" x14ac:dyDescent="0.2">
      <c r="A154" s="6" t="s">
        <v>159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2">
        <v>2</v>
      </c>
      <c r="P154" s="2"/>
      <c r="Q154" s="2"/>
      <c r="R154" s="2"/>
      <c r="S154" s="2"/>
      <c r="T154" s="2"/>
      <c r="U154" s="2"/>
      <c r="V154" s="2">
        <v>2</v>
      </c>
      <c r="W154" s="2"/>
      <c r="X154" s="2"/>
      <c r="Y154" s="2"/>
      <c r="Z154" s="2"/>
      <c r="AA154" s="2"/>
      <c r="AB154" s="23"/>
      <c r="AC154" s="24"/>
      <c r="AD154" s="24"/>
      <c r="AE154" s="24"/>
      <c r="AF154" s="25"/>
      <c r="AG154" s="20"/>
      <c r="AH154" s="21"/>
      <c r="AI154" s="21"/>
      <c r="AJ154" s="21"/>
      <c r="AK154" s="22"/>
      <c r="AL154" s="17">
        <v>2.8</v>
      </c>
      <c r="AO154" s="54"/>
    </row>
    <row r="155" spans="1:41" s="15" customFormat="1" ht="10.5" hidden="1" customHeight="1" outlineLevel="2" x14ac:dyDescent="0.2">
      <c r="A155" s="6" t="s">
        <v>160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2">
        <v>18</v>
      </c>
      <c r="P155" s="2"/>
      <c r="Q155" s="2"/>
      <c r="R155" s="2"/>
      <c r="S155" s="2"/>
      <c r="T155" s="2"/>
      <c r="U155" s="2"/>
      <c r="V155" s="2">
        <v>18</v>
      </c>
      <c r="W155" s="2"/>
      <c r="X155" s="2"/>
      <c r="Y155" s="2"/>
      <c r="Z155" s="2"/>
      <c r="AA155" s="2"/>
      <c r="AB155" s="23"/>
      <c r="AC155" s="24"/>
      <c r="AD155" s="24"/>
      <c r="AE155" s="24"/>
      <c r="AF155" s="25"/>
      <c r="AG155" s="20"/>
      <c r="AH155" s="21"/>
      <c r="AI155" s="21"/>
      <c r="AJ155" s="21"/>
      <c r="AK155" s="22"/>
      <c r="AL155" s="17">
        <v>52.65</v>
      </c>
      <c r="AO155" s="54"/>
    </row>
    <row r="156" spans="1:41" s="15" customFormat="1" ht="10.5" hidden="1" customHeight="1" outlineLevel="2" x14ac:dyDescent="0.2">
      <c r="A156" s="6" t="s">
        <v>161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3">
        <v>22.05</v>
      </c>
      <c r="P156" s="3"/>
      <c r="Q156" s="3"/>
      <c r="R156" s="3"/>
      <c r="S156" s="3"/>
      <c r="T156" s="3"/>
      <c r="U156" s="3"/>
      <c r="V156" s="3">
        <v>23.85</v>
      </c>
      <c r="W156" s="3"/>
      <c r="X156" s="3"/>
      <c r="Y156" s="3"/>
      <c r="Z156" s="3"/>
      <c r="AA156" s="3"/>
      <c r="AB156" s="5">
        <v>-1.8</v>
      </c>
      <c r="AC156" s="5"/>
      <c r="AD156" s="5"/>
      <c r="AE156" s="5"/>
      <c r="AF156" s="5"/>
      <c r="AG156" s="20"/>
      <c r="AH156" s="21"/>
      <c r="AI156" s="21"/>
      <c r="AJ156" s="21"/>
      <c r="AK156" s="22"/>
      <c r="AL156" s="17">
        <v>31.5</v>
      </c>
      <c r="AO156" s="54"/>
    </row>
    <row r="157" spans="1:41" s="15" customFormat="1" ht="10.5" hidden="1" customHeight="1" outlineLevel="2" x14ac:dyDescent="0.2">
      <c r="A157" s="6" t="s">
        <v>162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5">
        <v>1.8</v>
      </c>
      <c r="P157" s="5"/>
      <c r="Q157" s="5"/>
      <c r="R157" s="5"/>
      <c r="S157" s="5"/>
      <c r="T157" s="5"/>
      <c r="U157" s="5"/>
      <c r="V157" s="23"/>
      <c r="W157" s="24"/>
      <c r="X157" s="24"/>
      <c r="Y157" s="24"/>
      <c r="Z157" s="24"/>
      <c r="AA157" s="25"/>
      <c r="AB157" s="5">
        <v>1.8</v>
      </c>
      <c r="AC157" s="5"/>
      <c r="AD157" s="5"/>
      <c r="AE157" s="5"/>
      <c r="AF157" s="5"/>
      <c r="AG157" s="5">
        <v>1.8</v>
      </c>
      <c r="AH157" s="5"/>
      <c r="AI157" s="5"/>
      <c r="AJ157" s="5"/>
      <c r="AK157" s="5"/>
      <c r="AL157" s="17">
        <v>2.7</v>
      </c>
      <c r="AN157" s="53">
        <f t="shared" ref="AN157:AN158" si="17">AL157-AG157</f>
        <v>0.90000000000000013</v>
      </c>
      <c r="AO157" s="54"/>
    </row>
    <row r="158" spans="1:41" s="15" customFormat="1" ht="10.5" hidden="1" customHeight="1" outlineLevel="2" x14ac:dyDescent="0.2">
      <c r="A158" s="6" t="s">
        <v>163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5">
        <v>4.4000000000000004</v>
      </c>
      <c r="P158" s="5"/>
      <c r="Q158" s="5"/>
      <c r="R158" s="5"/>
      <c r="S158" s="5"/>
      <c r="T158" s="5"/>
      <c r="U158" s="5"/>
      <c r="V158" s="5">
        <v>3.6</v>
      </c>
      <c r="W158" s="5"/>
      <c r="X158" s="5"/>
      <c r="Y158" s="5"/>
      <c r="Z158" s="5"/>
      <c r="AA158" s="5"/>
      <c r="AB158" s="5">
        <v>0.8</v>
      </c>
      <c r="AC158" s="5"/>
      <c r="AD158" s="5"/>
      <c r="AE158" s="5"/>
      <c r="AF158" s="5"/>
      <c r="AG158" s="5">
        <v>0.8</v>
      </c>
      <c r="AH158" s="5"/>
      <c r="AI158" s="5"/>
      <c r="AJ158" s="5"/>
      <c r="AK158" s="5"/>
      <c r="AL158" s="17"/>
      <c r="AN158" s="53">
        <f t="shared" si="17"/>
        <v>-0.8</v>
      </c>
      <c r="AO158" s="55">
        <f>AG158</f>
        <v>0.8</v>
      </c>
    </row>
    <row r="159" spans="1:41" s="15" customFormat="1" ht="10.5" hidden="1" customHeight="1" outlineLevel="2" x14ac:dyDescent="0.2">
      <c r="A159" s="6" t="s">
        <v>164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2">
        <v>8</v>
      </c>
      <c r="P159" s="2"/>
      <c r="Q159" s="2"/>
      <c r="R159" s="2"/>
      <c r="S159" s="2"/>
      <c r="T159" s="2"/>
      <c r="U159" s="2"/>
      <c r="V159" s="5">
        <v>8.4</v>
      </c>
      <c r="W159" s="5"/>
      <c r="X159" s="5"/>
      <c r="Y159" s="5"/>
      <c r="Z159" s="5"/>
      <c r="AA159" s="5"/>
      <c r="AB159" s="5">
        <v>-0.4</v>
      </c>
      <c r="AC159" s="5"/>
      <c r="AD159" s="5"/>
      <c r="AE159" s="5"/>
      <c r="AF159" s="5"/>
      <c r="AG159" s="20"/>
      <c r="AH159" s="21"/>
      <c r="AI159" s="21"/>
      <c r="AJ159" s="21"/>
      <c r="AK159" s="22"/>
      <c r="AL159" s="17">
        <v>25.2</v>
      </c>
      <c r="AO159" s="54"/>
    </row>
    <row r="160" spans="1:41" s="15" customFormat="1" ht="10.5" hidden="1" customHeight="1" outlineLevel="2" x14ac:dyDescent="0.2">
      <c r="A160" s="6" t="s">
        <v>165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3">
        <v>22.11</v>
      </c>
      <c r="P160" s="3"/>
      <c r="Q160" s="3"/>
      <c r="R160" s="3"/>
      <c r="S160" s="3"/>
      <c r="T160" s="3"/>
      <c r="U160" s="3"/>
      <c r="V160" s="3">
        <v>24.09</v>
      </c>
      <c r="W160" s="3"/>
      <c r="X160" s="3"/>
      <c r="Y160" s="3"/>
      <c r="Z160" s="3"/>
      <c r="AA160" s="3"/>
      <c r="AB160" s="3">
        <v>-1.98</v>
      </c>
      <c r="AC160" s="3"/>
      <c r="AD160" s="3"/>
      <c r="AE160" s="3"/>
      <c r="AF160" s="3"/>
      <c r="AG160" s="3">
        <v>0.66</v>
      </c>
      <c r="AH160" s="3"/>
      <c r="AI160" s="3"/>
      <c r="AJ160" s="3"/>
      <c r="AK160" s="3"/>
      <c r="AL160" s="17">
        <v>38.94</v>
      </c>
      <c r="AN160" s="53">
        <f t="shared" ref="AN160:AN161" si="18">AL160-AG160</f>
        <v>38.28</v>
      </c>
      <c r="AO160" s="54"/>
    </row>
    <row r="161" spans="1:41" s="15" customFormat="1" ht="10.5" hidden="1" customHeight="1" outlineLevel="2" x14ac:dyDescent="0.2">
      <c r="A161" s="6" t="s">
        <v>166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5">
        <v>3.7</v>
      </c>
      <c r="P161" s="5"/>
      <c r="Q161" s="5"/>
      <c r="R161" s="5"/>
      <c r="S161" s="5"/>
      <c r="T161" s="5"/>
      <c r="U161" s="5"/>
      <c r="V161" s="3">
        <v>1.85</v>
      </c>
      <c r="W161" s="3"/>
      <c r="X161" s="3"/>
      <c r="Y161" s="3"/>
      <c r="Z161" s="3"/>
      <c r="AA161" s="3"/>
      <c r="AB161" s="3">
        <v>1.85</v>
      </c>
      <c r="AC161" s="3"/>
      <c r="AD161" s="3"/>
      <c r="AE161" s="3"/>
      <c r="AF161" s="3"/>
      <c r="AG161" s="3">
        <v>1.85</v>
      </c>
      <c r="AH161" s="3"/>
      <c r="AI161" s="3"/>
      <c r="AJ161" s="3"/>
      <c r="AK161" s="3"/>
      <c r="AL161" s="17">
        <v>41.44</v>
      </c>
      <c r="AN161" s="53">
        <f t="shared" si="18"/>
        <v>39.589999999999996</v>
      </c>
      <c r="AO161" s="54"/>
    </row>
    <row r="162" spans="1:41" s="15" customFormat="1" ht="10.5" hidden="1" customHeight="1" outlineLevel="2" x14ac:dyDescent="0.2">
      <c r="A162" s="6" t="s">
        <v>167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3">
        <v>7.26</v>
      </c>
      <c r="P162" s="3"/>
      <c r="Q162" s="3"/>
      <c r="R162" s="3"/>
      <c r="S162" s="3"/>
      <c r="T162" s="3"/>
      <c r="U162" s="3"/>
      <c r="V162" s="3">
        <v>7.26</v>
      </c>
      <c r="W162" s="3"/>
      <c r="X162" s="3"/>
      <c r="Y162" s="3"/>
      <c r="Z162" s="3"/>
      <c r="AA162" s="3"/>
      <c r="AB162" s="23"/>
      <c r="AC162" s="24"/>
      <c r="AD162" s="24"/>
      <c r="AE162" s="24"/>
      <c r="AF162" s="25"/>
      <c r="AG162" s="20"/>
      <c r="AH162" s="21"/>
      <c r="AI162" s="21"/>
      <c r="AJ162" s="21"/>
      <c r="AK162" s="22"/>
      <c r="AL162" s="17">
        <v>16.170000000000002</v>
      </c>
      <c r="AO162" s="54"/>
    </row>
    <row r="163" spans="1:41" s="15" customFormat="1" ht="10.5" hidden="1" customHeight="1" outlineLevel="2" x14ac:dyDescent="0.2">
      <c r="A163" s="6" t="s">
        <v>168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5">
        <v>2.4</v>
      </c>
      <c r="P163" s="5"/>
      <c r="Q163" s="5"/>
      <c r="R163" s="5"/>
      <c r="S163" s="5"/>
      <c r="T163" s="5"/>
      <c r="U163" s="5"/>
      <c r="V163" s="5">
        <v>2.4</v>
      </c>
      <c r="W163" s="5"/>
      <c r="X163" s="5"/>
      <c r="Y163" s="5"/>
      <c r="Z163" s="5"/>
      <c r="AA163" s="5"/>
      <c r="AB163" s="23"/>
      <c r="AC163" s="24"/>
      <c r="AD163" s="24"/>
      <c r="AE163" s="24"/>
      <c r="AF163" s="25"/>
      <c r="AG163" s="20"/>
      <c r="AH163" s="21"/>
      <c r="AI163" s="21"/>
      <c r="AJ163" s="21"/>
      <c r="AK163" s="22"/>
      <c r="AL163" s="17">
        <v>0.8</v>
      </c>
      <c r="AO163" s="54"/>
    </row>
    <row r="164" spans="1:41" s="15" customFormat="1" ht="21.75" hidden="1" customHeight="1" outlineLevel="2" x14ac:dyDescent="0.2">
      <c r="A164" s="6" t="s">
        <v>169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3">
        <v>0.33</v>
      </c>
      <c r="P164" s="3"/>
      <c r="Q164" s="3"/>
      <c r="R164" s="3"/>
      <c r="S164" s="3"/>
      <c r="T164" s="3"/>
      <c r="U164" s="3"/>
      <c r="V164" s="3">
        <v>0.11</v>
      </c>
      <c r="W164" s="3"/>
      <c r="X164" s="3"/>
      <c r="Y164" s="3"/>
      <c r="Z164" s="3"/>
      <c r="AA164" s="3"/>
      <c r="AB164" s="3">
        <v>0.22</v>
      </c>
      <c r="AC164" s="3"/>
      <c r="AD164" s="3"/>
      <c r="AE164" s="3"/>
      <c r="AF164" s="3"/>
      <c r="AG164" s="3">
        <v>0.22</v>
      </c>
      <c r="AH164" s="3"/>
      <c r="AI164" s="3"/>
      <c r="AJ164" s="3"/>
      <c r="AK164" s="3"/>
      <c r="AL164" s="17"/>
      <c r="AN164" s="53">
        <f t="shared" ref="AN164:AN167" si="19">AL164-AG164</f>
        <v>-0.22</v>
      </c>
      <c r="AO164" s="55">
        <f t="shared" ref="AO164:AO165" si="20">AG164</f>
        <v>0.22</v>
      </c>
    </row>
    <row r="165" spans="1:41" s="15" customFormat="1" ht="21.75" hidden="1" customHeight="1" outlineLevel="2" x14ac:dyDescent="0.2">
      <c r="A165" s="6" t="s">
        <v>170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3">
        <v>2.52</v>
      </c>
      <c r="P165" s="3"/>
      <c r="Q165" s="3"/>
      <c r="R165" s="3"/>
      <c r="S165" s="3"/>
      <c r="T165" s="3"/>
      <c r="U165" s="3"/>
      <c r="V165" s="23"/>
      <c r="W165" s="24"/>
      <c r="X165" s="24"/>
      <c r="Y165" s="24"/>
      <c r="Z165" s="24"/>
      <c r="AA165" s="25"/>
      <c r="AB165" s="3">
        <v>2.52</v>
      </c>
      <c r="AC165" s="3"/>
      <c r="AD165" s="3"/>
      <c r="AE165" s="3"/>
      <c r="AF165" s="3"/>
      <c r="AG165" s="3">
        <v>2.52</v>
      </c>
      <c r="AH165" s="3"/>
      <c r="AI165" s="3"/>
      <c r="AJ165" s="3"/>
      <c r="AK165" s="3"/>
      <c r="AL165" s="17"/>
      <c r="AN165" s="53">
        <f t="shared" si="19"/>
        <v>-2.52</v>
      </c>
      <c r="AO165" s="55">
        <f t="shared" si="20"/>
        <v>2.52</v>
      </c>
    </row>
    <row r="166" spans="1:41" s="15" customFormat="1" ht="21.75" hidden="1" customHeight="1" outlineLevel="2" x14ac:dyDescent="0.2">
      <c r="A166" s="6" t="s">
        <v>171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5">
        <v>33.6</v>
      </c>
      <c r="P166" s="5"/>
      <c r="Q166" s="5"/>
      <c r="R166" s="5"/>
      <c r="S166" s="5"/>
      <c r="T166" s="5"/>
      <c r="U166" s="5"/>
      <c r="V166" s="3">
        <v>33.32</v>
      </c>
      <c r="W166" s="3"/>
      <c r="X166" s="3"/>
      <c r="Y166" s="3"/>
      <c r="Z166" s="3"/>
      <c r="AA166" s="3"/>
      <c r="AB166" s="3">
        <v>0.28000000000000003</v>
      </c>
      <c r="AC166" s="3"/>
      <c r="AD166" s="3"/>
      <c r="AE166" s="3"/>
      <c r="AF166" s="3"/>
      <c r="AG166" s="3">
        <v>0.56000000000000005</v>
      </c>
      <c r="AH166" s="3"/>
      <c r="AI166" s="3"/>
      <c r="AJ166" s="3"/>
      <c r="AK166" s="3"/>
      <c r="AL166" s="17">
        <v>28.84</v>
      </c>
      <c r="AN166" s="53">
        <f t="shared" si="19"/>
        <v>28.28</v>
      </c>
      <c r="AO166" s="54"/>
    </row>
    <row r="167" spans="1:41" s="15" customFormat="1" ht="21.75" hidden="1" customHeight="1" outlineLevel="2" x14ac:dyDescent="0.2">
      <c r="A167" s="6" t="s">
        <v>172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3">
        <v>3.36</v>
      </c>
      <c r="P167" s="3"/>
      <c r="Q167" s="3"/>
      <c r="R167" s="3"/>
      <c r="S167" s="3"/>
      <c r="T167" s="3"/>
      <c r="U167" s="3"/>
      <c r="V167" s="23"/>
      <c r="W167" s="24"/>
      <c r="X167" s="24"/>
      <c r="Y167" s="24"/>
      <c r="Z167" s="24"/>
      <c r="AA167" s="25"/>
      <c r="AB167" s="3">
        <v>3.36</v>
      </c>
      <c r="AC167" s="3"/>
      <c r="AD167" s="3"/>
      <c r="AE167" s="3"/>
      <c r="AF167" s="3"/>
      <c r="AG167" s="3">
        <v>3.36</v>
      </c>
      <c r="AH167" s="3"/>
      <c r="AI167" s="3"/>
      <c r="AJ167" s="3"/>
      <c r="AK167" s="3"/>
      <c r="AL167" s="17">
        <v>0.56000000000000005</v>
      </c>
      <c r="AN167" s="53">
        <f t="shared" si="19"/>
        <v>-2.8</v>
      </c>
      <c r="AO167" s="55">
        <f>AG167</f>
        <v>3.36</v>
      </c>
    </row>
    <row r="168" spans="1:41" s="15" customFormat="1" ht="10.5" hidden="1" customHeight="1" outlineLevel="2" x14ac:dyDescent="0.2">
      <c r="A168" s="6" t="s">
        <v>173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5">
        <v>1.8</v>
      </c>
      <c r="P168" s="5"/>
      <c r="Q168" s="5"/>
      <c r="R168" s="5"/>
      <c r="S168" s="5"/>
      <c r="T168" s="5"/>
      <c r="U168" s="5"/>
      <c r="V168" s="5">
        <v>1.8</v>
      </c>
      <c r="W168" s="5"/>
      <c r="X168" s="5"/>
      <c r="Y168" s="5"/>
      <c r="Z168" s="5"/>
      <c r="AA168" s="5"/>
      <c r="AB168" s="23"/>
      <c r="AC168" s="24"/>
      <c r="AD168" s="24"/>
      <c r="AE168" s="24"/>
      <c r="AF168" s="25"/>
      <c r="AG168" s="20"/>
      <c r="AH168" s="21"/>
      <c r="AI168" s="21"/>
      <c r="AJ168" s="21"/>
      <c r="AK168" s="22"/>
      <c r="AL168" s="17">
        <v>1.44</v>
      </c>
      <c r="AO168" s="54"/>
    </row>
    <row r="169" spans="1:41" s="15" customFormat="1" ht="10.5" customHeight="1" outlineLevel="1" collapsed="1" x14ac:dyDescent="0.2">
      <c r="A169" s="8" t="s">
        <v>174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7">
        <v>89.6</v>
      </c>
      <c r="P169" s="7"/>
      <c r="Q169" s="7"/>
      <c r="R169" s="7"/>
      <c r="S169" s="7"/>
      <c r="T169" s="7"/>
      <c r="U169" s="7"/>
      <c r="V169" s="7">
        <v>82.5</v>
      </c>
      <c r="W169" s="7"/>
      <c r="X169" s="7"/>
      <c r="Y169" s="7"/>
      <c r="Z169" s="7"/>
      <c r="AA169" s="7"/>
      <c r="AB169" s="7">
        <v>7.1</v>
      </c>
      <c r="AC169" s="7"/>
      <c r="AD169" s="7"/>
      <c r="AE169" s="7"/>
      <c r="AF169" s="7"/>
      <c r="AG169" s="7">
        <v>14.8</v>
      </c>
      <c r="AH169" s="7"/>
      <c r="AI169" s="7"/>
      <c r="AJ169" s="7"/>
      <c r="AK169" s="7"/>
      <c r="AL169" s="17"/>
      <c r="AN169" s="53">
        <f t="shared" ref="AN169:AN170" si="21">AL169-AG169</f>
        <v>-14.8</v>
      </c>
      <c r="AO169" s="54"/>
    </row>
    <row r="170" spans="1:41" s="15" customFormat="1" ht="10.5" hidden="1" customHeight="1" outlineLevel="2" x14ac:dyDescent="0.2">
      <c r="A170" s="6" t="s">
        <v>175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5">
        <v>22.2</v>
      </c>
      <c r="P170" s="5"/>
      <c r="Q170" s="5"/>
      <c r="R170" s="5"/>
      <c r="S170" s="5"/>
      <c r="T170" s="5"/>
      <c r="U170" s="5"/>
      <c r="V170" s="5">
        <v>7.4</v>
      </c>
      <c r="W170" s="5"/>
      <c r="X170" s="5"/>
      <c r="Y170" s="5"/>
      <c r="Z170" s="5"/>
      <c r="AA170" s="5"/>
      <c r="AB170" s="5">
        <v>14.8</v>
      </c>
      <c r="AC170" s="5"/>
      <c r="AD170" s="5"/>
      <c r="AE170" s="5"/>
      <c r="AF170" s="5"/>
      <c r="AG170" s="5">
        <v>14.8</v>
      </c>
      <c r="AH170" s="5"/>
      <c r="AI170" s="5"/>
      <c r="AJ170" s="5"/>
      <c r="AK170" s="5"/>
      <c r="AL170" s="17">
        <v>14.8</v>
      </c>
      <c r="AN170" s="53">
        <f t="shared" si="21"/>
        <v>0</v>
      </c>
      <c r="AO170" s="54"/>
    </row>
    <row r="171" spans="1:41" s="15" customFormat="1" ht="10.5" hidden="1" customHeight="1" outlineLevel="2" x14ac:dyDescent="0.2">
      <c r="A171" s="6" t="s">
        <v>176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5">
        <v>40.4</v>
      </c>
      <c r="P171" s="5"/>
      <c r="Q171" s="5"/>
      <c r="R171" s="5"/>
      <c r="S171" s="5"/>
      <c r="T171" s="5"/>
      <c r="U171" s="5"/>
      <c r="V171" s="5">
        <v>48.1</v>
      </c>
      <c r="W171" s="5"/>
      <c r="X171" s="5"/>
      <c r="Y171" s="5"/>
      <c r="Z171" s="5"/>
      <c r="AA171" s="5"/>
      <c r="AB171" s="5">
        <v>-7.7</v>
      </c>
      <c r="AC171" s="5"/>
      <c r="AD171" s="5"/>
      <c r="AE171" s="5"/>
      <c r="AF171" s="5"/>
      <c r="AG171" s="20"/>
      <c r="AH171" s="21"/>
      <c r="AI171" s="21"/>
      <c r="AJ171" s="21"/>
      <c r="AK171" s="22"/>
      <c r="AL171" s="17">
        <v>214.6</v>
      </c>
      <c r="AO171" s="54"/>
    </row>
    <row r="172" spans="1:41" s="15" customFormat="1" ht="10.5" hidden="1" customHeight="1" outlineLevel="2" x14ac:dyDescent="0.2">
      <c r="A172" s="6" t="s">
        <v>177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2">
        <v>27</v>
      </c>
      <c r="P172" s="2"/>
      <c r="Q172" s="2"/>
      <c r="R172" s="2"/>
      <c r="S172" s="2"/>
      <c r="T172" s="2"/>
      <c r="U172" s="2"/>
      <c r="V172" s="2">
        <v>27</v>
      </c>
      <c r="W172" s="2"/>
      <c r="X172" s="2"/>
      <c r="Y172" s="2"/>
      <c r="Z172" s="2"/>
      <c r="AA172" s="2"/>
      <c r="AB172" s="23"/>
      <c r="AC172" s="24"/>
      <c r="AD172" s="24"/>
      <c r="AE172" s="24"/>
      <c r="AF172" s="25"/>
      <c r="AG172" s="20"/>
      <c r="AH172" s="21"/>
      <c r="AI172" s="21"/>
      <c r="AJ172" s="21"/>
      <c r="AK172" s="22"/>
      <c r="AL172" s="17">
        <v>391.4</v>
      </c>
      <c r="AO172" s="54"/>
    </row>
    <row r="173" spans="1:41" s="15" customFormat="1" ht="10.5" customHeight="1" outlineLevel="1" collapsed="1" x14ac:dyDescent="0.2">
      <c r="A173" s="8" t="s">
        <v>178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7">
        <v>34.299999999999997</v>
      </c>
      <c r="P173" s="7"/>
      <c r="Q173" s="7"/>
      <c r="R173" s="7"/>
      <c r="S173" s="7"/>
      <c r="T173" s="7"/>
      <c r="U173" s="7"/>
      <c r="V173" s="7">
        <v>37.1</v>
      </c>
      <c r="W173" s="7"/>
      <c r="X173" s="7"/>
      <c r="Y173" s="7"/>
      <c r="Z173" s="7"/>
      <c r="AA173" s="7"/>
      <c r="AB173" s="7">
        <v>-2.8</v>
      </c>
      <c r="AC173" s="7"/>
      <c r="AD173" s="7"/>
      <c r="AE173" s="7"/>
      <c r="AF173" s="7"/>
      <c r="AG173" s="29"/>
      <c r="AH173" s="30"/>
      <c r="AI173" s="30"/>
      <c r="AJ173" s="30"/>
      <c r="AK173" s="31"/>
      <c r="AL173" s="17"/>
      <c r="AO173" s="54"/>
    </row>
    <row r="174" spans="1:41" s="15" customFormat="1" ht="21.75" hidden="1" customHeight="1" outlineLevel="2" x14ac:dyDescent="0.2">
      <c r="A174" s="6" t="s">
        <v>179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5">
        <v>34.299999999999997</v>
      </c>
      <c r="P174" s="5"/>
      <c r="Q174" s="5"/>
      <c r="R174" s="5"/>
      <c r="S174" s="5"/>
      <c r="T174" s="5"/>
      <c r="U174" s="5"/>
      <c r="V174" s="5">
        <v>37.1</v>
      </c>
      <c r="W174" s="5"/>
      <c r="X174" s="5"/>
      <c r="Y174" s="5"/>
      <c r="Z174" s="5"/>
      <c r="AA174" s="5"/>
      <c r="AB174" s="5">
        <v>-2.8</v>
      </c>
      <c r="AC174" s="5"/>
      <c r="AD174" s="5"/>
      <c r="AE174" s="5"/>
      <c r="AF174" s="5"/>
      <c r="AG174" s="20"/>
      <c r="AH174" s="21"/>
      <c r="AI174" s="21"/>
      <c r="AJ174" s="21"/>
      <c r="AK174" s="22"/>
      <c r="AL174" s="17">
        <v>298.89999999999998</v>
      </c>
      <c r="AO174" s="54"/>
    </row>
    <row r="175" spans="1:41" s="15" customFormat="1" ht="10.5" customHeight="1" outlineLevel="1" collapsed="1" x14ac:dyDescent="0.2">
      <c r="A175" s="8" t="s">
        <v>180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7">
        <v>18.5</v>
      </c>
      <c r="P175" s="7"/>
      <c r="Q175" s="7"/>
      <c r="R175" s="7"/>
      <c r="S175" s="7"/>
      <c r="T175" s="7"/>
      <c r="U175" s="7"/>
      <c r="V175" s="9">
        <v>20.463999999999999</v>
      </c>
      <c r="W175" s="9"/>
      <c r="X175" s="9"/>
      <c r="Y175" s="9"/>
      <c r="Z175" s="9"/>
      <c r="AA175" s="9"/>
      <c r="AB175" s="9">
        <v>-1.964</v>
      </c>
      <c r="AC175" s="9"/>
      <c r="AD175" s="9"/>
      <c r="AE175" s="9"/>
      <c r="AF175" s="9"/>
      <c r="AG175" s="10">
        <v>1.07</v>
      </c>
      <c r="AH175" s="10"/>
      <c r="AI175" s="10"/>
      <c r="AJ175" s="10"/>
      <c r="AK175" s="10"/>
      <c r="AL175" s="17"/>
      <c r="AN175" s="53">
        <f t="shared" ref="AN175:AN177" si="22">AL175-AG175</f>
        <v>-1.07</v>
      </c>
      <c r="AO175" s="54"/>
    </row>
    <row r="176" spans="1:41" s="15" customFormat="1" ht="10.5" hidden="1" customHeight="1" outlineLevel="2" x14ac:dyDescent="0.2">
      <c r="A176" s="6" t="s">
        <v>181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5">
        <v>18.5</v>
      </c>
      <c r="P176" s="5"/>
      <c r="Q176" s="5"/>
      <c r="R176" s="5"/>
      <c r="S176" s="5"/>
      <c r="T176" s="5"/>
      <c r="U176" s="5"/>
      <c r="V176" s="4">
        <v>20.463999999999999</v>
      </c>
      <c r="W176" s="4"/>
      <c r="X176" s="4"/>
      <c r="Y176" s="4"/>
      <c r="Z176" s="4"/>
      <c r="AA176" s="4"/>
      <c r="AB176" s="4">
        <v>-1.964</v>
      </c>
      <c r="AC176" s="4"/>
      <c r="AD176" s="4"/>
      <c r="AE176" s="4"/>
      <c r="AF176" s="4"/>
      <c r="AG176" s="3">
        <v>1.07</v>
      </c>
      <c r="AH176" s="3"/>
      <c r="AI176" s="3"/>
      <c r="AJ176" s="3"/>
      <c r="AK176" s="3"/>
      <c r="AL176" s="17">
        <v>69.331999999999994</v>
      </c>
      <c r="AN176" s="53">
        <f t="shared" si="22"/>
        <v>68.262</v>
      </c>
      <c r="AO176" s="54"/>
    </row>
    <row r="177" spans="1:41" s="15" customFormat="1" ht="10.5" customHeight="1" outlineLevel="1" collapsed="1" x14ac:dyDescent="0.2">
      <c r="A177" s="8" t="s">
        <v>182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1">
        <v>4241.51</v>
      </c>
      <c r="P177" s="1"/>
      <c r="Q177" s="1"/>
      <c r="R177" s="1"/>
      <c r="S177" s="1"/>
      <c r="T177" s="1"/>
      <c r="U177" s="1"/>
      <c r="V177" s="11">
        <v>3844.029</v>
      </c>
      <c r="W177" s="11"/>
      <c r="X177" s="11"/>
      <c r="Y177" s="11"/>
      <c r="Z177" s="11"/>
      <c r="AA177" s="11"/>
      <c r="AB177" s="9">
        <v>397.48099999999999</v>
      </c>
      <c r="AC177" s="9"/>
      <c r="AD177" s="9"/>
      <c r="AE177" s="9"/>
      <c r="AF177" s="9"/>
      <c r="AG177" s="9">
        <v>557.72500000000002</v>
      </c>
      <c r="AH177" s="9"/>
      <c r="AI177" s="9"/>
      <c r="AJ177" s="9"/>
      <c r="AK177" s="9"/>
      <c r="AL177" s="17"/>
      <c r="AN177" s="53">
        <f t="shared" si="22"/>
        <v>-557.72500000000002</v>
      </c>
      <c r="AO177" s="54"/>
    </row>
    <row r="178" spans="1:41" s="15" customFormat="1" ht="10.5" hidden="1" customHeight="1" outlineLevel="2" x14ac:dyDescent="0.2">
      <c r="A178" s="6" t="s">
        <v>183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2">
        <v>108</v>
      </c>
      <c r="P178" s="2"/>
      <c r="Q178" s="2"/>
      <c r="R178" s="2"/>
      <c r="S178" s="2"/>
      <c r="T178" s="2"/>
      <c r="U178" s="2"/>
      <c r="V178" s="4">
        <v>119.337</v>
      </c>
      <c r="W178" s="4"/>
      <c r="X178" s="4"/>
      <c r="Y178" s="4"/>
      <c r="Z178" s="4"/>
      <c r="AA178" s="4"/>
      <c r="AB178" s="4">
        <v>-11.337</v>
      </c>
      <c r="AC178" s="4"/>
      <c r="AD178" s="4"/>
      <c r="AE178" s="4"/>
      <c r="AF178" s="4"/>
      <c r="AG178" s="4">
        <v>8.6999999999999994E-2</v>
      </c>
      <c r="AH178" s="4"/>
      <c r="AI178" s="4"/>
      <c r="AJ178" s="4"/>
      <c r="AK178" s="4"/>
      <c r="AL178" s="17">
        <v>312.505</v>
      </c>
      <c r="AO178" s="54"/>
    </row>
    <row r="179" spans="1:41" s="15" customFormat="1" ht="10.5" hidden="1" customHeight="1" outlineLevel="2" x14ac:dyDescent="0.2">
      <c r="A179" s="6" t="s">
        <v>184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5">
        <v>567.5</v>
      </c>
      <c r="P179" s="5"/>
      <c r="Q179" s="5"/>
      <c r="R179" s="5"/>
      <c r="S179" s="5"/>
      <c r="T179" s="5"/>
      <c r="U179" s="5"/>
      <c r="V179" s="3">
        <v>573.49</v>
      </c>
      <c r="W179" s="3"/>
      <c r="X179" s="3"/>
      <c r="Y179" s="3"/>
      <c r="Z179" s="3"/>
      <c r="AA179" s="3"/>
      <c r="AB179" s="3">
        <v>-5.99</v>
      </c>
      <c r="AC179" s="3"/>
      <c r="AD179" s="3"/>
      <c r="AE179" s="3"/>
      <c r="AF179" s="3"/>
      <c r="AG179" s="4">
        <v>0.13300000000000001</v>
      </c>
      <c r="AH179" s="4"/>
      <c r="AI179" s="4"/>
      <c r="AJ179" s="4"/>
      <c r="AK179" s="4"/>
      <c r="AL179" s="17">
        <v>1069.8209999999999</v>
      </c>
      <c r="AN179" s="53">
        <f>AL179-AG179</f>
        <v>1069.6879999999999</v>
      </c>
      <c r="AO179" s="54"/>
    </row>
    <row r="180" spans="1:41" s="15" customFormat="1" ht="10.5" hidden="1" customHeight="1" outlineLevel="2" x14ac:dyDescent="0.2">
      <c r="A180" s="6" t="s">
        <v>185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5">
        <v>14.4</v>
      </c>
      <c r="P180" s="5"/>
      <c r="Q180" s="5"/>
      <c r="R180" s="5"/>
      <c r="S180" s="5"/>
      <c r="T180" s="5"/>
      <c r="U180" s="5"/>
      <c r="V180" s="3">
        <v>16.62</v>
      </c>
      <c r="W180" s="3"/>
      <c r="X180" s="3"/>
      <c r="Y180" s="3"/>
      <c r="Z180" s="3"/>
      <c r="AA180" s="3"/>
      <c r="AB180" s="3">
        <v>-2.2200000000000002</v>
      </c>
      <c r="AC180" s="3"/>
      <c r="AD180" s="3"/>
      <c r="AE180" s="3"/>
      <c r="AF180" s="3"/>
      <c r="AG180" s="3">
        <v>0.04</v>
      </c>
      <c r="AH180" s="3"/>
      <c r="AI180" s="3"/>
      <c r="AJ180" s="3"/>
      <c r="AK180" s="3"/>
      <c r="AL180" s="17">
        <v>66.918000000000006</v>
      </c>
      <c r="AO180" s="54"/>
    </row>
    <row r="181" spans="1:41" s="15" customFormat="1" ht="10.5" hidden="1" customHeight="1" outlineLevel="2" x14ac:dyDescent="0.2">
      <c r="A181" s="6" t="s">
        <v>186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5">
        <v>14.4</v>
      </c>
      <c r="P181" s="5"/>
      <c r="Q181" s="5"/>
      <c r="R181" s="5"/>
      <c r="S181" s="5"/>
      <c r="T181" s="5"/>
      <c r="U181" s="5"/>
      <c r="V181" s="4">
        <v>16.693000000000001</v>
      </c>
      <c r="W181" s="4"/>
      <c r="X181" s="4"/>
      <c r="Y181" s="4"/>
      <c r="Z181" s="4"/>
      <c r="AA181" s="4"/>
      <c r="AB181" s="4">
        <v>-2.2930000000000001</v>
      </c>
      <c r="AC181" s="4"/>
      <c r="AD181" s="4"/>
      <c r="AE181" s="4"/>
      <c r="AF181" s="4"/>
      <c r="AG181" s="4">
        <v>1.9E-2</v>
      </c>
      <c r="AH181" s="4"/>
      <c r="AI181" s="4"/>
      <c r="AJ181" s="4"/>
      <c r="AK181" s="4"/>
      <c r="AL181" s="17">
        <v>30.84</v>
      </c>
      <c r="AO181" s="54"/>
    </row>
    <row r="182" spans="1:41" s="15" customFormat="1" ht="21.75" hidden="1" customHeight="1" outlineLevel="2" x14ac:dyDescent="0.2">
      <c r="A182" s="6" t="s">
        <v>187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3">
        <v>3.98</v>
      </c>
      <c r="P182" s="3"/>
      <c r="Q182" s="3"/>
      <c r="R182" s="3"/>
      <c r="S182" s="3"/>
      <c r="T182" s="3"/>
      <c r="U182" s="3"/>
      <c r="V182" s="4">
        <v>3.867</v>
      </c>
      <c r="W182" s="4"/>
      <c r="X182" s="4"/>
      <c r="Y182" s="4"/>
      <c r="Z182" s="4"/>
      <c r="AA182" s="4"/>
      <c r="AB182" s="4">
        <v>0.113</v>
      </c>
      <c r="AC182" s="4"/>
      <c r="AD182" s="4"/>
      <c r="AE182" s="4"/>
      <c r="AF182" s="4"/>
      <c r="AG182" s="4">
        <v>0.28100000000000003</v>
      </c>
      <c r="AH182" s="4"/>
      <c r="AI182" s="4"/>
      <c r="AJ182" s="4"/>
      <c r="AK182" s="4"/>
      <c r="AL182" s="17">
        <v>1.702</v>
      </c>
      <c r="AN182" s="53">
        <f t="shared" ref="AN182:AN183" si="23">AL182-AG182</f>
        <v>1.4209999999999998</v>
      </c>
      <c r="AO182" s="54"/>
    </row>
    <row r="183" spans="1:41" s="15" customFormat="1" ht="10.5" hidden="1" customHeight="1" outlineLevel="2" x14ac:dyDescent="0.2">
      <c r="A183" s="6" t="s">
        <v>188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3">
        <v>151.63999999999999</v>
      </c>
      <c r="P183" s="3"/>
      <c r="Q183" s="3"/>
      <c r="R183" s="3"/>
      <c r="S183" s="3"/>
      <c r="T183" s="3"/>
      <c r="U183" s="3"/>
      <c r="V183" s="4">
        <v>166.482</v>
      </c>
      <c r="W183" s="4"/>
      <c r="X183" s="4"/>
      <c r="Y183" s="4"/>
      <c r="Z183" s="4"/>
      <c r="AA183" s="4"/>
      <c r="AB183" s="4">
        <v>-14.842000000000001</v>
      </c>
      <c r="AC183" s="4"/>
      <c r="AD183" s="4"/>
      <c r="AE183" s="4"/>
      <c r="AF183" s="4"/>
      <c r="AG183" s="4">
        <v>2.2959999999999998</v>
      </c>
      <c r="AH183" s="4"/>
      <c r="AI183" s="4"/>
      <c r="AJ183" s="4"/>
      <c r="AK183" s="4"/>
      <c r="AL183" s="17">
        <v>127.19199999999999</v>
      </c>
      <c r="AN183" s="53">
        <f t="shared" si="23"/>
        <v>124.89599999999999</v>
      </c>
      <c r="AO183" s="54"/>
    </row>
    <row r="184" spans="1:41" s="15" customFormat="1" ht="10.5" hidden="1" customHeight="1" outlineLevel="2" x14ac:dyDescent="0.2">
      <c r="A184" s="6" t="s">
        <v>189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5">
        <v>22.2</v>
      </c>
      <c r="P184" s="5"/>
      <c r="Q184" s="5"/>
      <c r="R184" s="5"/>
      <c r="S184" s="5"/>
      <c r="T184" s="5"/>
      <c r="U184" s="5"/>
      <c r="V184" s="4">
        <v>25.658000000000001</v>
      </c>
      <c r="W184" s="4"/>
      <c r="X184" s="4"/>
      <c r="Y184" s="4"/>
      <c r="Z184" s="4"/>
      <c r="AA184" s="4"/>
      <c r="AB184" s="4">
        <v>-3.4580000000000002</v>
      </c>
      <c r="AC184" s="4"/>
      <c r="AD184" s="4"/>
      <c r="AE184" s="4"/>
      <c r="AF184" s="4"/>
      <c r="AG184" s="4">
        <v>6.4000000000000001E-2</v>
      </c>
      <c r="AH184" s="4"/>
      <c r="AI184" s="4"/>
      <c r="AJ184" s="4"/>
      <c r="AK184" s="4"/>
      <c r="AL184" s="17">
        <v>48.591000000000001</v>
      </c>
      <c r="AO184" s="54"/>
    </row>
    <row r="185" spans="1:41" s="15" customFormat="1" ht="21.75" hidden="1" customHeight="1" outlineLevel="2" x14ac:dyDescent="0.2">
      <c r="A185" s="6" t="s">
        <v>190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3">
        <v>61.24</v>
      </c>
      <c r="P185" s="3"/>
      <c r="Q185" s="3"/>
      <c r="R185" s="3"/>
      <c r="S185" s="3"/>
      <c r="T185" s="3"/>
      <c r="U185" s="3"/>
      <c r="V185" s="4">
        <v>68.441000000000003</v>
      </c>
      <c r="W185" s="4"/>
      <c r="X185" s="4"/>
      <c r="Y185" s="4"/>
      <c r="Z185" s="4"/>
      <c r="AA185" s="4"/>
      <c r="AB185" s="4">
        <v>-7.2009999999999996</v>
      </c>
      <c r="AC185" s="4"/>
      <c r="AD185" s="4"/>
      <c r="AE185" s="4"/>
      <c r="AF185" s="4"/>
      <c r="AG185" s="4">
        <v>0.121</v>
      </c>
      <c r="AH185" s="4"/>
      <c r="AI185" s="4"/>
      <c r="AJ185" s="4"/>
      <c r="AK185" s="4"/>
      <c r="AL185" s="17">
        <v>193.846</v>
      </c>
      <c r="AN185" s="53">
        <f t="shared" ref="AN185:AN193" si="24">AL185-AG185</f>
        <v>193.72499999999999</v>
      </c>
      <c r="AO185" s="54"/>
    </row>
    <row r="186" spans="1:41" s="15" customFormat="1" ht="10.5" hidden="1" customHeight="1" outlineLevel="2" x14ac:dyDescent="0.2">
      <c r="A186" s="6" t="s">
        <v>191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3">
        <v>5.96</v>
      </c>
      <c r="P186" s="3"/>
      <c r="Q186" s="3"/>
      <c r="R186" s="3"/>
      <c r="S186" s="3"/>
      <c r="T186" s="3"/>
      <c r="U186" s="3"/>
      <c r="V186" s="4">
        <v>4.2130000000000001</v>
      </c>
      <c r="W186" s="4"/>
      <c r="X186" s="4"/>
      <c r="Y186" s="4"/>
      <c r="Z186" s="4"/>
      <c r="AA186" s="4"/>
      <c r="AB186" s="4">
        <v>1.7470000000000001</v>
      </c>
      <c r="AC186" s="4"/>
      <c r="AD186" s="4"/>
      <c r="AE186" s="4"/>
      <c r="AF186" s="4"/>
      <c r="AG186" s="4">
        <v>2.6030000000000002</v>
      </c>
      <c r="AH186" s="4"/>
      <c r="AI186" s="4"/>
      <c r="AJ186" s="4"/>
      <c r="AK186" s="4"/>
      <c r="AL186" s="17">
        <v>-0.48</v>
      </c>
      <c r="AN186" s="53">
        <f t="shared" si="24"/>
        <v>-3.0830000000000002</v>
      </c>
      <c r="AO186" s="55">
        <f>AG186</f>
        <v>2.6030000000000002</v>
      </c>
    </row>
    <row r="187" spans="1:41" s="15" customFormat="1" ht="10.5" hidden="1" customHeight="1" outlineLevel="2" x14ac:dyDescent="0.2">
      <c r="A187" s="6" t="s">
        <v>192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3">
        <v>58.96</v>
      </c>
      <c r="P187" s="3"/>
      <c r="Q187" s="3"/>
      <c r="R187" s="3"/>
      <c r="S187" s="3"/>
      <c r="T187" s="3"/>
      <c r="U187" s="3"/>
      <c r="V187" s="4">
        <v>63.183999999999997</v>
      </c>
      <c r="W187" s="4"/>
      <c r="X187" s="4"/>
      <c r="Y187" s="4"/>
      <c r="Z187" s="4"/>
      <c r="AA187" s="4"/>
      <c r="AB187" s="4">
        <v>-4.2240000000000002</v>
      </c>
      <c r="AC187" s="4"/>
      <c r="AD187" s="4"/>
      <c r="AE187" s="4"/>
      <c r="AF187" s="4"/>
      <c r="AG187" s="4">
        <v>0.219</v>
      </c>
      <c r="AH187" s="4"/>
      <c r="AI187" s="4"/>
      <c r="AJ187" s="4"/>
      <c r="AK187" s="4"/>
      <c r="AL187" s="17">
        <v>297.89999999999998</v>
      </c>
      <c r="AN187" s="53">
        <f t="shared" si="24"/>
        <v>297.68099999999998</v>
      </c>
      <c r="AO187" s="54"/>
    </row>
    <row r="188" spans="1:41" s="15" customFormat="1" ht="10.5" hidden="1" customHeight="1" outlineLevel="2" x14ac:dyDescent="0.2">
      <c r="A188" s="6" t="s">
        <v>193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5">
        <v>16.5</v>
      </c>
      <c r="P188" s="5"/>
      <c r="Q188" s="5"/>
      <c r="R188" s="5"/>
      <c r="S188" s="5"/>
      <c r="T188" s="5"/>
      <c r="U188" s="5"/>
      <c r="V188" s="23"/>
      <c r="W188" s="24"/>
      <c r="X188" s="24"/>
      <c r="Y188" s="24"/>
      <c r="Z188" s="24"/>
      <c r="AA188" s="25"/>
      <c r="AB188" s="5">
        <v>16.5</v>
      </c>
      <c r="AC188" s="5"/>
      <c r="AD188" s="5"/>
      <c r="AE188" s="5"/>
      <c r="AF188" s="5"/>
      <c r="AG188" s="5">
        <v>16.5</v>
      </c>
      <c r="AH188" s="5"/>
      <c r="AI188" s="5"/>
      <c r="AJ188" s="5"/>
      <c r="AK188" s="5"/>
      <c r="AL188" s="17">
        <v>10.207000000000001</v>
      </c>
      <c r="AN188" s="53">
        <f t="shared" si="24"/>
        <v>-6.2929999999999993</v>
      </c>
      <c r="AO188" s="54"/>
    </row>
    <row r="189" spans="1:41" s="15" customFormat="1" ht="10.5" hidden="1" customHeight="1" outlineLevel="2" x14ac:dyDescent="0.2">
      <c r="A189" s="6" t="s">
        <v>194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2">
        <v>4</v>
      </c>
      <c r="P189" s="2"/>
      <c r="Q189" s="2"/>
      <c r="R189" s="2"/>
      <c r="S189" s="2"/>
      <c r="T189" s="2"/>
      <c r="U189" s="2"/>
      <c r="V189" s="23"/>
      <c r="W189" s="24"/>
      <c r="X189" s="24"/>
      <c r="Y189" s="24"/>
      <c r="Z189" s="24"/>
      <c r="AA189" s="25"/>
      <c r="AB189" s="2">
        <v>4</v>
      </c>
      <c r="AC189" s="2"/>
      <c r="AD189" s="2"/>
      <c r="AE189" s="2"/>
      <c r="AF189" s="2"/>
      <c r="AG189" s="2">
        <v>4</v>
      </c>
      <c r="AH189" s="2"/>
      <c r="AI189" s="2"/>
      <c r="AJ189" s="2"/>
      <c r="AK189" s="2"/>
      <c r="AL189" s="17">
        <v>-1.601</v>
      </c>
      <c r="AN189" s="53">
        <f t="shared" si="24"/>
        <v>-5.601</v>
      </c>
      <c r="AO189" s="55">
        <f>AG189</f>
        <v>4</v>
      </c>
    </row>
    <row r="190" spans="1:41" s="15" customFormat="1" ht="10.5" hidden="1" customHeight="1" outlineLevel="2" x14ac:dyDescent="0.2">
      <c r="A190" s="6" t="s">
        <v>195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3">
        <v>113.35</v>
      </c>
      <c r="P190" s="3"/>
      <c r="Q190" s="3"/>
      <c r="R190" s="3"/>
      <c r="S190" s="3"/>
      <c r="T190" s="3"/>
      <c r="U190" s="3"/>
      <c r="V190" s="4">
        <v>123.154</v>
      </c>
      <c r="W190" s="4"/>
      <c r="X190" s="4"/>
      <c r="Y190" s="4"/>
      <c r="Z190" s="4"/>
      <c r="AA190" s="4"/>
      <c r="AB190" s="4">
        <v>-9.8040000000000003</v>
      </c>
      <c r="AC190" s="4"/>
      <c r="AD190" s="4"/>
      <c r="AE190" s="4"/>
      <c r="AF190" s="4"/>
      <c r="AG190" s="4">
        <v>1.673</v>
      </c>
      <c r="AH190" s="4"/>
      <c r="AI190" s="4"/>
      <c r="AJ190" s="4"/>
      <c r="AK190" s="4"/>
      <c r="AL190" s="17">
        <v>264.62200000000001</v>
      </c>
      <c r="AN190" s="53">
        <f t="shared" si="24"/>
        <v>262.94900000000001</v>
      </c>
      <c r="AO190" s="54"/>
    </row>
    <row r="191" spans="1:41" s="15" customFormat="1" ht="21.75" hidden="1" customHeight="1" outlineLevel="2" x14ac:dyDescent="0.2">
      <c r="A191" s="6" t="s">
        <v>196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2">
        <v>175</v>
      </c>
      <c r="P191" s="2"/>
      <c r="Q191" s="2"/>
      <c r="R191" s="2"/>
      <c r="S191" s="2"/>
      <c r="T191" s="2"/>
      <c r="U191" s="2"/>
      <c r="V191" s="4">
        <v>183.976</v>
      </c>
      <c r="W191" s="4"/>
      <c r="X191" s="4"/>
      <c r="Y191" s="4"/>
      <c r="Z191" s="4"/>
      <c r="AA191" s="4"/>
      <c r="AB191" s="4">
        <v>-8.9760000000000009</v>
      </c>
      <c r="AC191" s="4"/>
      <c r="AD191" s="4"/>
      <c r="AE191" s="4"/>
      <c r="AF191" s="4"/>
      <c r="AG191" s="4">
        <v>3.0049999999999999</v>
      </c>
      <c r="AH191" s="4"/>
      <c r="AI191" s="4"/>
      <c r="AJ191" s="4"/>
      <c r="AK191" s="4"/>
      <c r="AL191" s="17">
        <v>544.76900000000001</v>
      </c>
      <c r="AN191" s="53">
        <f t="shared" si="24"/>
        <v>541.76400000000001</v>
      </c>
      <c r="AO191" s="54"/>
    </row>
    <row r="192" spans="1:41" s="15" customFormat="1" ht="10.5" hidden="1" customHeight="1" outlineLevel="2" x14ac:dyDescent="0.2">
      <c r="A192" s="6" t="s">
        <v>197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5">
        <v>21.9</v>
      </c>
      <c r="P192" s="5"/>
      <c r="Q192" s="5"/>
      <c r="R192" s="5"/>
      <c r="S192" s="5"/>
      <c r="T192" s="5"/>
      <c r="U192" s="5"/>
      <c r="V192" s="4">
        <v>23.956</v>
      </c>
      <c r="W192" s="4"/>
      <c r="X192" s="4"/>
      <c r="Y192" s="4"/>
      <c r="Z192" s="4"/>
      <c r="AA192" s="4"/>
      <c r="AB192" s="4">
        <v>-2.056</v>
      </c>
      <c r="AC192" s="4"/>
      <c r="AD192" s="4"/>
      <c r="AE192" s="4"/>
      <c r="AF192" s="4"/>
      <c r="AG192" s="4">
        <v>0.108</v>
      </c>
      <c r="AH192" s="4"/>
      <c r="AI192" s="4"/>
      <c r="AJ192" s="4"/>
      <c r="AK192" s="4"/>
      <c r="AL192" s="17">
        <v>29.792000000000002</v>
      </c>
      <c r="AN192" s="53">
        <f t="shared" si="24"/>
        <v>29.684000000000001</v>
      </c>
      <c r="AO192" s="54"/>
    </row>
    <row r="193" spans="1:41" s="15" customFormat="1" ht="10.5" hidden="1" customHeight="1" outlineLevel="2" x14ac:dyDescent="0.2">
      <c r="A193" s="6" t="s">
        <v>198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5">
        <v>23.8</v>
      </c>
      <c r="P193" s="5"/>
      <c r="Q193" s="5"/>
      <c r="R193" s="5"/>
      <c r="S193" s="5"/>
      <c r="T193" s="5"/>
      <c r="U193" s="5"/>
      <c r="V193" s="4">
        <v>26.295000000000002</v>
      </c>
      <c r="W193" s="4"/>
      <c r="X193" s="4"/>
      <c r="Y193" s="4"/>
      <c r="Z193" s="4"/>
      <c r="AA193" s="4"/>
      <c r="AB193" s="4">
        <v>-2.4950000000000001</v>
      </c>
      <c r="AC193" s="4"/>
      <c r="AD193" s="4"/>
      <c r="AE193" s="4"/>
      <c r="AF193" s="4"/>
      <c r="AG193" s="3">
        <v>0.27</v>
      </c>
      <c r="AH193" s="3"/>
      <c r="AI193" s="3"/>
      <c r="AJ193" s="3"/>
      <c r="AK193" s="3"/>
      <c r="AL193" s="17">
        <v>166.75200000000001</v>
      </c>
      <c r="AN193" s="53">
        <f t="shared" si="24"/>
        <v>166.482</v>
      </c>
      <c r="AO193" s="54"/>
    </row>
    <row r="194" spans="1:41" s="15" customFormat="1" ht="21.75" hidden="1" customHeight="1" outlineLevel="2" x14ac:dyDescent="0.2">
      <c r="A194" s="6" t="s">
        <v>199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5">
        <v>11.9</v>
      </c>
      <c r="P194" s="5"/>
      <c r="Q194" s="5"/>
      <c r="R194" s="5"/>
      <c r="S194" s="5"/>
      <c r="T194" s="5"/>
      <c r="U194" s="5"/>
      <c r="V194" s="4">
        <v>13.587</v>
      </c>
      <c r="W194" s="4"/>
      <c r="X194" s="4"/>
      <c r="Y194" s="4"/>
      <c r="Z194" s="4"/>
      <c r="AA194" s="4"/>
      <c r="AB194" s="4">
        <v>-1.6870000000000001</v>
      </c>
      <c r="AC194" s="4"/>
      <c r="AD194" s="4"/>
      <c r="AE194" s="4"/>
      <c r="AF194" s="4"/>
      <c r="AG194" s="20"/>
      <c r="AH194" s="21"/>
      <c r="AI194" s="21"/>
      <c r="AJ194" s="21"/>
      <c r="AK194" s="22"/>
      <c r="AL194" s="17">
        <v>87.488</v>
      </c>
      <c r="AO194" s="54"/>
    </row>
    <row r="195" spans="1:41" s="15" customFormat="1" ht="10.5" hidden="1" customHeight="1" outlineLevel="2" x14ac:dyDescent="0.2">
      <c r="A195" s="6" t="s">
        <v>200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5">
        <v>4.9000000000000004</v>
      </c>
      <c r="P195" s="5"/>
      <c r="Q195" s="5"/>
      <c r="R195" s="5"/>
      <c r="S195" s="5"/>
      <c r="T195" s="5"/>
      <c r="U195" s="5"/>
      <c r="V195" s="3">
        <v>5.52</v>
      </c>
      <c r="W195" s="3"/>
      <c r="X195" s="3"/>
      <c r="Y195" s="3"/>
      <c r="Z195" s="3"/>
      <c r="AA195" s="3"/>
      <c r="AB195" s="3">
        <v>-0.62</v>
      </c>
      <c r="AC195" s="3"/>
      <c r="AD195" s="3"/>
      <c r="AE195" s="3"/>
      <c r="AF195" s="3"/>
      <c r="AG195" s="4">
        <v>1.4999999999999999E-2</v>
      </c>
      <c r="AH195" s="4"/>
      <c r="AI195" s="4"/>
      <c r="AJ195" s="4"/>
      <c r="AK195" s="4"/>
      <c r="AL195" s="17">
        <v>35.371000000000002</v>
      </c>
      <c r="AO195" s="54"/>
    </row>
    <row r="196" spans="1:41" s="15" customFormat="1" ht="10.5" hidden="1" customHeight="1" outlineLevel="2" x14ac:dyDescent="0.2">
      <c r="A196" s="6" t="s">
        <v>201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5">
        <v>43.1</v>
      </c>
      <c r="P196" s="5"/>
      <c r="Q196" s="5"/>
      <c r="R196" s="5"/>
      <c r="S196" s="5"/>
      <c r="T196" s="5"/>
      <c r="U196" s="5"/>
      <c r="V196" s="4">
        <v>39.298000000000002</v>
      </c>
      <c r="W196" s="4"/>
      <c r="X196" s="4"/>
      <c r="Y196" s="4"/>
      <c r="Z196" s="4"/>
      <c r="AA196" s="4"/>
      <c r="AB196" s="4">
        <v>3.802</v>
      </c>
      <c r="AC196" s="4"/>
      <c r="AD196" s="4"/>
      <c r="AE196" s="4"/>
      <c r="AF196" s="4"/>
      <c r="AG196" s="4">
        <v>4.1239999999999997</v>
      </c>
      <c r="AH196" s="4"/>
      <c r="AI196" s="4"/>
      <c r="AJ196" s="4"/>
      <c r="AK196" s="4"/>
      <c r="AL196" s="17">
        <v>96.364999999999995</v>
      </c>
      <c r="AN196" s="53">
        <f t="shared" ref="AN196:AN203" si="25">AL196-AG196</f>
        <v>92.241</v>
      </c>
      <c r="AO196" s="54"/>
    </row>
    <row r="197" spans="1:41" s="15" customFormat="1" ht="21.75" hidden="1" customHeight="1" outlineLevel="2" x14ac:dyDescent="0.2">
      <c r="A197" s="6" t="s">
        <v>202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2">
        <v>5</v>
      </c>
      <c r="P197" s="2"/>
      <c r="Q197" s="2"/>
      <c r="R197" s="2"/>
      <c r="S197" s="2"/>
      <c r="T197" s="2"/>
      <c r="U197" s="2"/>
      <c r="V197" s="23"/>
      <c r="W197" s="24"/>
      <c r="X197" s="24"/>
      <c r="Y197" s="24"/>
      <c r="Z197" s="24"/>
      <c r="AA197" s="25"/>
      <c r="AB197" s="2">
        <v>5</v>
      </c>
      <c r="AC197" s="2"/>
      <c r="AD197" s="2"/>
      <c r="AE197" s="2"/>
      <c r="AF197" s="2"/>
      <c r="AG197" s="2">
        <v>5</v>
      </c>
      <c r="AH197" s="2"/>
      <c r="AI197" s="2"/>
      <c r="AJ197" s="2"/>
      <c r="AK197" s="2"/>
      <c r="AL197" s="17">
        <v>-3.6999999999999998E-2</v>
      </c>
      <c r="AN197" s="53">
        <f t="shared" si="25"/>
        <v>-5.0369999999999999</v>
      </c>
      <c r="AO197" s="55">
        <f>AG197</f>
        <v>5</v>
      </c>
    </row>
    <row r="198" spans="1:41" s="15" customFormat="1" ht="10.5" hidden="1" customHeight="1" outlineLevel="2" x14ac:dyDescent="0.2">
      <c r="A198" s="6" t="s">
        <v>203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3">
        <v>23.45</v>
      </c>
      <c r="P198" s="3"/>
      <c r="Q198" s="3"/>
      <c r="R198" s="3"/>
      <c r="S198" s="3"/>
      <c r="T198" s="3"/>
      <c r="U198" s="3"/>
      <c r="V198" s="4">
        <v>23.908000000000001</v>
      </c>
      <c r="W198" s="4"/>
      <c r="X198" s="4"/>
      <c r="Y198" s="4"/>
      <c r="Z198" s="4"/>
      <c r="AA198" s="4"/>
      <c r="AB198" s="4">
        <v>-0.45800000000000002</v>
      </c>
      <c r="AC198" s="4"/>
      <c r="AD198" s="4"/>
      <c r="AE198" s="4"/>
      <c r="AF198" s="4"/>
      <c r="AG198" s="4">
        <v>0.54500000000000004</v>
      </c>
      <c r="AH198" s="4"/>
      <c r="AI198" s="4"/>
      <c r="AJ198" s="4"/>
      <c r="AK198" s="4"/>
      <c r="AL198" s="17">
        <v>57.588999999999999</v>
      </c>
      <c r="AN198" s="53">
        <f t="shared" si="25"/>
        <v>57.043999999999997</v>
      </c>
      <c r="AO198" s="54"/>
    </row>
    <row r="199" spans="1:41" s="15" customFormat="1" ht="10.5" hidden="1" customHeight="1" outlineLevel="2" x14ac:dyDescent="0.2">
      <c r="A199" s="6" t="s">
        <v>204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5">
        <v>21.8</v>
      </c>
      <c r="P199" s="5"/>
      <c r="Q199" s="5"/>
      <c r="R199" s="5"/>
      <c r="S199" s="5"/>
      <c r="T199" s="5"/>
      <c r="U199" s="5"/>
      <c r="V199" s="4">
        <v>21.722000000000001</v>
      </c>
      <c r="W199" s="4"/>
      <c r="X199" s="4"/>
      <c r="Y199" s="4"/>
      <c r="Z199" s="4"/>
      <c r="AA199" s="4"/>
      <c r="AB199" s="4">
        <v>7.8E-2</v>
      </c>
      <c r="AC199" s="4"/>
      <c r="AD199" s="4"/>
      <c r="AE199" s="4"/>
      <c r="AF199" s="4"/>
      <c r="AG199" s="4">
        <v>1.5980000000000001</v>
      </c>
      <c r="AH199" s="4"/>
      <c r="AI199" s="4"/>
      <c r="AJ199" s="4"/>
      <c r="AK199" s="4"/>
      <c r="AL199" s="17">
        <v>101.361</v>
      </c>
      <c r="AN199" s="53">
        <f t="shared" si="25"/>
        <v>99.763000000000005</v>
      </c>
      <c r="AO199" s="54"/>
    </row>
    <row r="200" spans="1:41" s="15" customFormat="1" ht="21.75" hidden="1" customHeight="1" outlineLevel="2" x14ac:dyDescent="0.2">
      <c r="A200" s="6" t="s">
        <v>205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5">
        <v>58.3</v>
      </c>
      <c r="P200" s="5"/>
      <c r="Q200" s="5"/>
      <c r="R200" s="5"/>
      <c r="S200" s="5"/>
      <c r="T200" s="5"/>
      <c r="U200" s="5"/>
      <c r="V200" s="4">
        <v>67.076999999999998</v>
      </c>
      <c r="W200" s="4"/>
      <c r="X200" s="4"/>
      <c r="Y200" s="4"/>
      <c r="Z200" s="4"/>
      <c r="AA200" s="4"/>
      <c r="AB200" s="4">
        <v>-8.7769999999999992</v>
      </c>
      <c r="AC200" s="4"/>
      <c r="AD200" s="4"/>
      <c r="AE200" s="4"/>
      <c r="AF200" s="4"/>
      <c r="AG200" s="4">
        <v>0.188</v>
      </c>
      <c r="AH200" s="4"/>
      <c r="AI200" s="4"/>
      <c r="AJ200" s="4"/>
      <c r="AK200" s="4"/>
      <c r="AL200" s="17">
        <v>167.678</v>
      </c>
      <c r="AN200" s="53">
        <f t="shared" si="25"/>
        <v>167.49</v>
      </c>
      <c r="AO200" s="54"/>
    </row>
    <row r="201" spans="1:41" s="15" customFormat="1" ht="10.5" hidden="1" customHeight="1" outlineLevel="2" x14ac:dyDescent="0.2">
      <c r="A201" s="6" t="s">
        <v>206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5">
        <v>66.099999999999994</v>
      </c>
      <c r="P201" s="5"/>
      <c r="Q201" s="5"/>
      <c r="R201" s="5"/>
      <c r="S201" s="5"/>
      <c r="T201" s="5"/>
      <c r="U201" s="5"/>
      <c r="V201" s="4">
        <v>78.822999999999993</v>
      </c>
      <c r="W201" s="4"/>
      <c r="X201" s="4"/>
      <c r="Y201" s="4"/>
      <c r="Z201" s="4"/>
      <c r="AA201" s="4"/>
      <c r="AB201" s="4">
        <v>-12.723000000000001</v>
      </c>
      <c r="AC201" s="4"/>
      <c r="AD201" s="4"/>
      <c r="AE201" s="4"/>
      <c r="AF201" s="4"/>
      <c r="AG201" s="4">
        <v>0.193</v>
      </c>
      <c r="AH201" s="4"/>
      <c r="AI201" s="4"/>
      <c r="AJ201" s="4"/>
      <c r="AK201" s="4"/>
      <c r="AL201" s="17">
        <v>64.289000000000001</v>
      </c>
      <c r="AN201" s="53">
        <f t="shared" si="25"/>
        <v>64.096000000000004</v>
      </c>
      <c r="AO201" s="54"/>
    </row>
    <row r="202" spans="1:41" s="15" customFormat="1" ht="10.5" hidden="1" customHeight="1" outlineLevel="2" x14ac:dyDescent="0.2">
      <c r="A202" s="6" t="s">
        <v>207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5">
        <v>13.1</v>
      </c>
      <c r="P202" s="5"/>
      <c r="Q202" s="5"/>
      <c r="R202" s="5"/>
      <c r="S202" s="5"/>
      <c r="T202" s="5"/>
      <c r="U202" s="5"/>
      <c r="V202" s="23"/>
      <c r="W202" s="24"/>
      <c r="X202" s="24"/>
      <c r="Y202" s="24"/>
      <c r="Z202" s="24"/>
      <c r="AA202" s="25"/>
      <c r="AB202" s="5">
        <v>13.1</v>
      </c>
      <c r="AC202" s="5"/>
      <c r="AD202" s="5"/>
      <c r="AE202" s="5"/>
      <c r="AF202" s="5"/>
      <c r="AG202" s="5">
        <v>13.1</v>
      </c>
      <c r="AH202" s="5"/>
      <c r="AI202" s="5"/>
      <c r="AJ202" s="5"/>
      <c r="AK202" s="5"/>
      <c r="AL202" s="17">
        <v>2.637</v>
      </c>
      <c r="AN202" s="53">
        <f t="shared" si="25"/>
        <v>-10.462999999999999</v>
      </c>
      <c r="AO202" s="54"/>
    </row>
    <row r="203" spans="1:41" s="15" customFormat="1" ht="10.5" hidden="1" customHeight="1" outlineLevel="2" x14ac:dyDescent="0.2">
      <c r="A203" s="6" t="s">
        <v>208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2">
        <v>5</v>
      </c>
      <c r="P203" s="2"/>
      <c r="Q203" s="2"/>
      <c r="R203" s="2"/>
      <c r="S203" s="2"/>
      <c r="T203" s="2"/>
      <c r="U203" s="2"/>
      <c r="V203" s="23"/>
      <c r="W203" s="24"/>
      <c r="X203" s="24"/>
      <c r="Y203" s="24"/>
      <c r="Z203" s="24"/>
      <c r="AA203" s="25"/>
      <c r="AB203" s="2">
        <v>5</v>
      </c>
      <c r="AC203" s="2"/>
      <c r="AD203" s="2"/>
      <c r="AE203" s="2"/>
      <c r="AF203" s="2"/>
      <c r="AG203" s="2">
        <v>5</v>
      </c>
      <c r="AH203" s="2"/>
      <c r="AI203" s="2"/>
      <c r="AJ203" s="2"/>
      <c r="AK203" s="2"/>
      <c r="AL203" s="17">
        <v>-2.8109999999999999</v>
      </c>
      <c r="AN203" s="53">
        <f t="shared" si="25"/>
        <v>-7.8109999999999999</v>
      </c>
      <c r="AO203" s="55">
        <f>AG203</f>
        <v>5</v>
      </c>
    </row>
    <row r="204" spans="1:41" s="15" customFormat="1" ht="10.5" hidden="1" customHeight="1" outlineLevel="2" x14ac:dyDescent="0.2">
      <c r="A204" s="6" t="s">
        <v>209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5">
        <v>4.7</v>
      </c>
      <c r="P204" s="5"/>
      <c r="Q204" s="5"/>
      <c r="R204" s="5"/>
      <c r="S204" s="5"/>
      <c r="T204" s="5"/>
      <c r="U204" s="5"/>
      <c r="V204" s="4">
        <v>5.7919999999999998</v>
      </c>
      <c r="W204" s="4"/>
      <c r="X204" s="4"/>
      <c r="Y204" s="4"/>
      <c r="Z204" s="4"/>
      <c r="AA204" s="4"/>
      <c r="AB204" s="4">
        <v>-1.0920000000000001</v>
      </c>
      <c r="AC204" s="4"/>
      <c r="AD204" s="4"/>
      <c r="AE204" s="4"/>
      <c r="AF204" s="4"/>
      <c r="AG204" s="20"/>
      <c r="AH204" s="21"/>
      <c r="AI204" s="21"/>
      <c r="AJ204" s="21"/>
      <c r="AK204" s="22"/>
      <c r="AL204" s="17">
        <v>27.268000000000001</v>
      </c>
      <c r="AO204" s="54"/>
    </row>
    <row r="205" spans="1:41" s="15" customFormat="1" ht="10.5" hidden="1" customHeight="1" outlineLevel="2" x14ac:dyDescent="0.2">
      <c r="A205" s="6" t="s">
        <v>210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3">
        <v>54.82</v>
      </c>
      <c r="P205" s="3"/>
      <c r="Q205" s="3"/>
      <c r="R205" s="3"/>
      <c r="S205" s="3"/>
      <c r="T205" s="3"/>
      <c r="U205" s="3"/>
      <c r="V205" s="4">
        <v>59.503</v>
      </c>
      <c r="W205" s="4"/>
      <c r="X205" s="4"/>
      <c r="Y205" s="4"/>
      <c r="Z205" s="4"/>
      <c r="AA205" s="4"/>
      <c r="AB205" s="4">
        <v>-4.6829999999999998</v>
      </c>
      <c r="AC205" s="4"/>
      <c r="AD205" s="4"/>
      <c r="AE205" s="4"/>
      <c r="AF205" s="4"/>
      <c r="AG205" s="4">
        <v>0.114</v>
      </c>
      <c r="AH205" s="4"/>
      <c r="AI205" s="4"/>
      <c r="AJ205" s="4"/>
      <c r="AK205" s="4"/>
      <c r="AL205" s="17">
        <v>40.725000000000001</v>
      </c>
      <c r="AN205" s="53">
        <f t="shared" ref="AN205:AN209" si="26">AL205-AG205</f>
        <v>40.611000000000004</v>
      </c>
      <c r="AO205" s="54"/>
    </row>
    <row r="206" spans="1:41" s="15" customFormat="1" ht="10.5" hidden="1" customHeight="1" outlineLevel="2" x14ac:dyDescent="0.2">
      <c r="A206" s="6" t="s">
        <v>211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2">
        <v>485</v>
      </c>
      <c r="P206" s="2"/>
      <c r="Q206" s="2"/>
      <c r="R206" s="2"/>
      <c r="S206" s="2"/>
      <c r="T206" s="2"/>
      <c r="U206" s="2"/>
      <c r="V206" s="4">
        <v>228.279</v>
      </c>
      <c r="W206" s="4"/>
      <c r="X206" s="4"/>
      <c r="Y206" s="4"/>
      <c r="Z206" s="4"/>
      <c r="AA206" s="4"/>
      <c r="AB206" s="4">
        <v>256.721</v>
      </c>
      <c r="AC206" s="4"/>
      <c r="AD206" s="4"/>
      <c r="AE206" s="4"/>
      <c r="AF206" s="4"/>
      <c r="AG206" s="4">
        <v>257.63099999999997</v>
      </c>
      <c r="AH206" s="4"/>
      <c r="AI206" s="4"/>
      <c r="AJ206" s="4"/>
      <c r="AK206" s="4"/>
      <c r="AL206" s="17">
        <v>-5.258</v>
      </c>
      <c r="AN206" s="53">
        <f t="shared" si="26"/>
        <v>-262.88899999999995</v>
      </c>
      <c r="AO206" s="55">
        <f>AG206</f>
        <v>257.63099999999997</v>
      </c>
    </row>
    <row r="207" spans="1:41" s="15" customFormat="1" ht="10.5" hidden="1" customHeight="1" outlineLevel="2" x14ac:dyDescent="0.2">
      <c r="A207" s="6" t="s">
        <v>212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2">
        <v>560</v>
      </c>
      <c r="P207" s="2"/>
      <c r="Q207" s="2"/>
      <c r="R207" s="2"/>
      <c r="S207" s="2"/>
      <c r="T207" s="2"/>
      <c r="U207" s="2"/>
      <c r="V207" s="4">
        <v>574.03700000000003</v>
      </c>
      <c r="W207" s="4"/>
      <c r="X207" s="4"/>
      <c r="Y207" s="4"/>
      <c r="Z207" s="4"/>
      <c r="AA207" s="4"/>
      <c r="AB207" s="4">
        <v>-14.037000000000001</v>
      </c>
      <c r="AC207" s="4"/>
      <c r="AD207" s="4"/>
      <c r="AE207" s="4"/>
      <c r="AF207" s="4"/>
      <c r="AG207" s="4">
        <v>0.20899999999999999</v>
      </c>
      <c r="AH207" s="4"/>
      <c r="AI207" s="4"/>
      <c r="AJ207" s="4"/>
      <c r="AK207" s="4"/>
      <c r="AL207" s="17">
        <v>867.51599999999996</v>
      </c>
      <c r="AN207" s="53">
        <f t="shared" si="26"/>
        <v>867.30700000000002</v>
      </c>
      <c r="AO207" s="54"/>
    </row>
    <row r="208" spans="1:41" s="15" customFormat="1" ht="10.5" hidden="1" customHeight="1" outlineLevel="2" x14ac:dyDescent="0.2">
      <c r="A208" s="6" t="s">
        <v>213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2">
        <v>865</v>
      </c>
      <c r="P208" s="2"/>
      <c r="Q208" s="2"/>
      <c r="R208" s="2"/>
      <c r="S208" s="2"/>
      <c r="T208" s="2"/>
      <c r="U208" s="2"/>
      <c r="V208" s="3">
        <v>733.99</v>
      </c>
      <c r="W208" s="3"/>
      <c r="X208" s="3"/>
      <c r="Y208" s="3"/>
      <c r="Z208" s="3"/>
      <c r="AA208" s="3"/>
      <c r="AB208" s="3">
        <v>131.01</v>
      </c>
      <c r="AC208" s="3"/>
      <c r="AD208" s="3"/>
      <c r="AE208" s="3"/>
      <c r="AF208" s="3"/>
      <c r="AG208" s="4">
        <v>141.584</v>
      </c>
      <c r="AH208" s="4"/>
      <c r="AI208" s="4"/>
      <c r="AJ208" s="4"/>
      <c r="AK208" s="4"/>
      <c r="AL208" s="17">
        <v>-1.9590000000000001</v>
      </c>
      <c r="AN208" s="53">
        <f t="shared" si="26"/>
        <v>-143.54300000000001</v>
      </c>
      <c r="AO208" s="55">
        <f t="shared" ref="AO208:AO209" si="27">AG208</f>
        <v>141.584</v>
      </c>
    </row>
    <row r="209" spans="1:41" s="15" customFormat="1" ht="21.75" hidden="1" customHeight="1" outlineLevel="2" x14ac:dyDescent="0.2">
      <c r="A209" s="6" t="s">
        <v>214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3">
        <v>101.76</v>
      </c>
      <c r="P209" s="3"/>
      <c r="Q209" s="3"/>
      <c r="R209" s="3"/>
      <c r="S209" s="3"/>
      <c r="T209" s="3"/>
      <c r="U209" s="3"/>
      <c r="V209" s="4">
        <v>66.602000000000004</v>
      </c>
      <c r="W209" s="4"/>
      <c r="X209" s="4"/>
      <c r="Y209" s="4"/>
      <c r="Z209" s="4"/>
      <c r="AA209" s="4"/>
      <c r="AB209" s="4">
        <v>35.158000000000001</v>
      </c>
      <c r="AC209" s="4"/>
      <c r="AD209" s="4"/>
      <c r="AE209" s="4"/>
      <c r="AF209" s="4"/>
      <c r="AG209" s="4">
        <v>43.540999999999997</v>
      </c>
      <c r="AH209" s="4"/>
      <c r="AI209" s="4"/>
      <c r="AJ209" s="4"/>
      <c r="AK209" s="4"/>
      <c r="AL209" s="17">
        <v>-1.532</v>
      </c>
      <c r="AN209" s="53">
        <f t="shared" si="26"/>
        <v>-45.072999999999993</v>
      </c>
      <c r="AO209" s="55">
        <f t="shared" si="27"/>
        <v>43.540999999999997</v>
      </c>
    </row>
    <row r="210" spans="1:41" s="15" customFormat="1" ht="21.75" hidden="1" customHeight="1" outlineLevel="2" x14ac:dyDescent="0.2">
      <c r="A210" s="6" t="s">
        <v>215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2">
        <v>10</v>
      </c>
      <c r="P210" s="2"/>
      <c r="Q210" s="2"/>
      <c r="R210" s="2"/>
      <c r="S210" s="2"/>
      <c r="T210" s="2"/>
      <c r="U210" s="2"/>
      <c r="V210" s="4">
        <v>9.9879999999999995</v>
      </c>
      <c r="W210" s="4"/>
      <c r="X210" s="4"/>
      <c r="Y210" s="4"/>
      <c r="Z210" s="4"/>
      <c r="AA210" s="4"/>
      <c r="AB210" s="4">
        <v>1.2E-2</v>
      </c>
      <c r="AC210" s="4"/>
      <c r="AD210" s="4"/>
      <c r="AE210" s="4"/>
      <c r="AF210" s="4"/>
      <c r="AG210" s="3">
        <v>0.02</v>
      </c>
      <c r="AH210" s="3"/>
      <c r="AI210" s="3"/>
      <c r="AJ210" s="3"/>
      <c r="AK210" s="3"/>
      <c r="AL210" s="17">
        <v>92.198999999999998</v>
      </c>
      <c r="AO210" s="54"/>
    </row>
    <row r="211" spans="1:41" s="15" customFormat="1" ht="21.75" hidden="1" customHeight="1" outlineLevel="2" x14ac:dyDescent="0.2">
      <c r="A211" s="6" t="s">
        <v>216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2">
        <v>5</v>
      </c>
      <c r="P211" s="2"/>
      <c r="Q211" s="2"/>
      <c r="R211" s="2"/>
      <c r="S211" s="2"/>
      <c r="T211" s="2"/>
      <c r="U211" s="2"/>
      <c r="V211" s="4">
        <v>5.024</v>
      </c>
      <c r="W211" s="4"/>
      <c r="X211" s="4"/>
      <c r="Y211" s="4"/>
      <c r="Z211" s="4"/>
      <c r="AA211" s="4"/>
      <c r="AB211" s="4">
        <v>-2.4E-2</v>
      </c>
      <c r="AC211" s="4"/>
      <c r="AD211" s="4"/>
      <c r="AE211" s="4"/>
      <c r="AF211" s="4"/>
      <c r="AG211" s="4">
        <v>1.6E-2</v>
      </c>
      <c r="AH211" s="4"/>
      <c r="AI211" s="4"/>
      <c r="AJ211" s="4"/>
      <c r="AK211" s="4"/>
      <c r="AL211" s="17">
        <v>28.02</v>
      </c>
      <c r="AO211" s="54"/>
    </row>
    <row r="212" spans="1:41" s="15" customFormat="1" ht="10.5" hidden="1" customHeight="1" outlineLevel="2" x14ac:dyDescent="0.2">
      <c r="A212" s="6" t="s">
        <v>217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5">
        <v>40.799999999999997</v>
      </c>
      <c r="P212" s="5"/>
      <c r="Q212" s="5"/>
      <c r="R212" s="5"/>
      <c r="S212" s="5"/>
      <c r="T212" s="5"/>
      <c r="U212" s="5"/>
      <c r="V212" s="4">
        <v>41.695</v>
      </c>
      <c r="W212" s="4"/>
      <c r="X212" s="4"/>
      <c r="Y212" s="4"/>
      <c r="Z212" s="4"/>
      <c r="AA212" s="4"/>
      <c r="AB212" s="4">
        <v>-0.89500000000000002</v>
      </c>
      <c r="AC212" s="4"/>
      <c r="AD212" s="4"/>
      <c r="AE212" s="4"/>
      <c r="AF212" s="4"/>
      <c r="AG212" s="4">
        <v>2.1960000000000002</v>
      </c>
      <c r="AH212" s="4"/>
      <c r="AI212" s="4"/>
      <c r="AJ212" s="4"/>
      <c r="AK212" s="4"/>
      <c r="AL212" s="17">
        <v>11.939</v>
      </c>
      <c r="AN212" s="53">
        <f t="shared" ref="AN212:AN213" si="28">AL212-AG212</f>
        <v>9.7430000000000003</v>
      </c>
      <c r="AO212" s="54"/>
    </row>
    <row r="213" spans="1:41" s="15" customFormat="1" ht="10.5" hidden="1" customHeight="1" outlineLevel="2" x14ac:dyDescent="0.2">
      <c r="A213" s="6" t="s">
        <v>218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3">
        <v>59.65</v>
      </c>
      <c r="P213" s="3"/>
      <c r="Q213" s="3"/>
      <c r="R213" s="3"/>
      <c r="S213" s="3"/>
      <c r="T213" s="3"/>
      <c r="U213" s="3"/>
      <c r="V213" s="4">
        <v>62.036000000000001</v>
      </c>
      <c r="W213" s="4"/>
      <c r="X213" s="4"/>
      <c r="Y213" s="4"/>
      <c r="Z213" s="4"/>
      <c r="AA213" s="4"/>
      <c r="AB213" s="4">
        <v>-2.3860000000000001</v>
      </c>
      <c r="AC213" s="4"/>
      <c r="AD213" s="4"/>
      <c r="AE213" s="4"/>
      <c r="AF213" s="4"/>
      <c r="AG213" s="4">
        <v>0.91700000000000004</v>
      </c>
      <c r="AH213" s="4"/>
      <c r="AI213" s="4"/>
      <c r="AJ213" s="4"/>
      <c r="AK213" s="4"/>
      <c r="AL213" s="17">
        <v>10.302</v>
      </c>
      <c r="AN213" s="53">
        <f t="shared" si="28"/>
        <v>9.3849999999999998</v>
      </c>
      <c r="AO213" s="54"/>
    </row>
    <row r="214" spans="1:41" s="15" customFormat="1" ht="10.5" hidden="1" customHeight="1" outlineLevel="2" x14ac:dyDescent="0.2">
      <c r="A214" s="6" t="s">
        <v>219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5">
        <v>14.3</v>
      </c>
      <c r="P214" s="5"/>
      <c r="Q214" s="5"/>
      <c r="R214" s="5"/>
      <c r="S214" s="5"/>
      <c r="T214" s="5"/>
      <c r="U214" s="5"/>
      <c r="V214" s="4">
        <v>16.795000000000002</v>
      </c>
      <c r="W214" s="4"/>
      <c r="X214" s="4"/>
      <c r="Y214" s="4"/>
      <c r="Z214" s="4"/>
      <c r="AA214" s="4"/>
      <c r="AB214" s="4">
        <v>-2.4950000000000001</v>
      </c>
      <c r="AC214" s="4"/>
      <c r="AD214" s="4"/>
      <c r="AE214" s="4"/>
      <c r="AF214" s="4"/>
      <c r="AG214" s="20"/>
      <c r="AH214" s="21"/>
      <c r="AI214" s="21"/>
      <c r="AJ214" s="21"/>
      <c r="AK214" s="22"/>
      <c r="AL214" s="17">
        <v>34.145000000000003</v>
      </c>
      <c r="AO214" s="54"/>
    </row>
    <row r="215" spans="1:41" s="15" customFormat="1" ht="10.5" hidden="1" customHeight="1" outlineLevel="2" x14ac:dyDescent="0.2">
      <c r="A215" s="6" t="s">
        <v>220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2">
        <v>425</v>
      </c>
      <c r="P215" s="2"/>
      <c r="Q215" s="2"/>
      <c r="R215" s="2"/>
      <c r="S215" s="2"/>
      <c r="T215" s="2"/>
      <c r="U215" s="2"/>
      <c r="V215" s="4">
        <v>374.98700000000002</v>
      </c>
      <c r="W215" s="4"/>
      <c r="X215" s="4"/>
      <c r="Y215" s="4"/>
      <c r="Z215" s="4"/>
      <c r="AA215" s="4"/>
      <c r="AB215" s="4">
        <v>50.012999999999998</v>
      </c>
      <c r="AC215" s="4"/>
      <c r="AD215" s="4"/>
      <c r="AE215" s="4"/>
      <c r="AF215" s="4"/>
      <c r="AG215" s="4">
        <v>50.314999999999998</v>
      </c>
      <c r="AH215" s="4"/>
      <c r="AI215" s="4"/>
      <c r="AJ215" s="4"/>
      <c r="AK215" s="4"/>
      <c r="AL215" s="17">
        <v>6.2E-2</v>
      </c>
      <c r="AN215" s="53">
        <f t="shared" ref="AN215:AN216" si="29">AL215-AG215</f>
        <v>-50.253</v>
      </c>
      <c r="AO215" s="55">
        <f>AG215</f>
        <v>50.314999999999998</v>
      </c>
    </row>
    <row r="216" spans="1:41" s="15" customFormat="1" ht="10.5" customHeight="1" outlineLevel="1" collapsed="1" x14ac:dyDescent="0.2">
      <c r="A216" s="8" t="s">
        <v>221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10">
        <v>272.89</v>
      </c>
      <c r="P216" s="10"/>
      <c r="Q216" s="10"/>
      <c r="R216" s="10"/>
      <c r="S216" s="10"/>
      <c r="T216" s="10"/>
      <c r="U216" s="10"/>
      <c r="V216" s="10">
        <v>233.33</v>
      </c>
      <c r="W216" s="10"/>
      <c r="X216" s="10"/>
      <c r="Y216" s="10"/>
      <c r="Z216" s="10"/>
      <c r="AA216" s="10"/>
      <c r="AB216" s="10">
        <v>39.56</v>
      </c>
      <c r="AC216" s="10"/>
      <c r="AD216" s="10"/>
      <c r="AE216" s="10"/>
      <c r="AF216" s="10"/>
      <c r="AG216" s="10">
        <v>43.96</v>
      </c>
      <c r="AH216" s="10"/>
      <c r="AI216" s="10"/>
      <c r="AJ216" s="10"/>
      <c r="AK216" s="10"/>
      <c r="AL216" s="17"/>
      <c r="AN216" s="53">
        <f t="shared" si="29"/>
        <v>-43.96</v>
      </c>
      <c r="AO216" s="54"/>
    </row>
    <row r="217" spans="1:41" s="15" customFormat="1" ht="10.5" hidden="1" customHeight="1" outlineLevel="2" x14ac:dyDescent="0.2">
      <c r="A217" s="6" t="s">
        <v>222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3">
        <v>3.74</v>
      </c>
      <c r="P217" s="3"/>
      <c r="Q217" s="3"/>
      <c r="R217" s="3"/>
      <c r="S217" s="3"/>
      <c r="T217" s="3"/>
      <c r="U217" s="3"/>
      <c r="V217" s="3">
        <v>3.74</v>
      </c>
      <c r="W217" s="3"/>
      <c r="X217" s="3"/>
      <c r="Y217" s="3"/>
      <c r="Z217" s="3"/>
      <c r="AA217" s="3"/>
      <c r="AB217" s="23"/>
      <c r="AC217" s="24"/>
      <c r="AD217" s="24"/>
      <c r="AE217" s="24"/>
      <c r="AF217" s="25"/>
      <c r="AG217" s="20"/>
      <c r="AH217" s="21"/>
      <c r="AI217" s="21"/>
      <c r="AJ217" s="21"/>
      <c r="AK217" s="22"/>
      <c r="AL217" s="17">
        <v>24.31</v>
      </c>
      <c r="AO217" s="54"/>
    </row>
    <row r="218" spans="1:41" s="15" customFormat="1" ht="10.5" hidden="1" customHeight="1" outlineLevel="2" x14ac:dyDescent="0.2">
      <c r="A218" s="6" t="s">
        <v>223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5">
        <v>72.8</v>
      </c>
      <c r="P218" s="5"/>
      <c r="Q218" s="5"/>
      <c r="R218" s="5"/>
      <c r="S218" s="5"/>
      <c r="T218" s="5"/>
      <c r="U218" s="5"/>
      <c r="V218" s="5">
        <v>50.4</v>
      </c>
      <c r="W218" s="5"/>
      <c r="X218" s="5"/>
      <c r="Y218" s="5"/>
      <c r="Z218" s="5"/>
      <c r="AA218" s="5"/>
      <c r="AB218" s="5">
        <v>22.4</v>
      </c>
      <c r="AC218" s="5"/>
      <c r="AD218" s="5"/>
      <c r="AE218" s="5"/>
      <c r="AF218" s="5"/>
      <c r="AG218" s="5">
        <v>22.4</v>
      </c>
      <c r="AH218" s="5"/>
      <c r="AI218" s="5"/>
      <c r="AJ218" s="5"/>
      <c r="AK218" s="5"/>
      <c r="AL218" s="17">
        <v>0.8</v>
      </c>
      <c r="AN218" s="53">
        <f>AL218-AG218</f>
        <v>-21.599999999999998</v>
      </c>
      <c r="AO218" s="55">
        <f>AG218</f>
        <v>22.4</v>
      </c>
    </row>
    <row r="219" spans="1:41" s="15" customFormat="1" ht="10.5" hidden="1" customHeight="1" outlineLevel="2" x14ac:dyDescent="0.2">
      <c r="A219" s="6" t="s">
        <v>224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5">
        <v>2.8</v>
      </c>
      <c r="P219" s="5"/>
      <c r="Q219" s="5"/>
      <c r="R219" s="5"/>
      <c r="S219" s="5"/>
      <c r="T219" s="5"/>
      <c r="U219" s="5"/>
      <c r="V219" s="5">
        <v>2.8</v>
      </c>
      <c r="W219" s="5"/>
      <c r="X219" s="5"/>
      <c r="Y219" s="5"/>
      <c r="Z219" s="5"/>
      <c r="AA219" s="5"/>
      <c r="AB219" s="23"/>
      <c r="AC219" s="24"/>
      <c r="AD219" s="24"/>
      <c r="AE219" s="24"/>
      <c r="AF219" s="25"/>
      <c r="AG219" s="20"/>
      <c r="AH219" s="21"/>
      <c r="AI219" s="21"/>
      <c r="AJ219" s="21"/>
      <c r="AK219" s="22"/>
      <c r="AL219" s="17">
        <v>9.1999999999999993</v>
      </c>
      <c r="AO219" s="54"/>
    </row>
    <row r="220" spans="1:41" s="15" customFormat="1" ht="10.5" hidden="1" customHeight="1" outlineLevel="2" x14ac:dyDescent="0.2">
      <c r="A220" s="6" t="s">
        <v>225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5">
        <v>2.1</v>
      </c>
      <c r="P220" s="5"/>
      <c r="Q220" s="5"/>
      <c r="R220" s="5"/>
      <c r="S220" s="5"/>
      <c r="T220" s="5"/>
      <c r="U220" s="5"/>
      <c r="V220" s="5">
        <v>0.5</v>
      </c>
      <c r="W220" s="5"/>
      <c r="X220" s="5"/>
      <c r="Y220" s="5"/>
      <c r="Z220" s="5"/>
      <c r="AA220" s="5"/>
      <c r="AB220" s="5">
        <v>1.6</v>
      </c>
      <c r="AC220" s="5"/>
      <c r="AD220" s="5"/>
      <c r="AE220" s="5"/>
      <c r="AF220" s="5"/>
      <c r="AG220" s="5">
        <v>1.6</v>
      </c>
      <c r="AH220" s="5"/>
      <c r="AI220" s="5"/>
      <c r="AJ220" s="5"/>
      <c r="AK220" s="5"/>
      <c r="AL220" s="17">
        <v>0.1</v>
      </c>
      <c r="AN220" s="53">
        <f t="shared" ref="AN220:AN221" si="30">AL220-AG220</f>
        <v>-1.5</v>
      </c>
      <c r="AO220" s="55">
        <f>AG220</f>
        <v>1.6</v>
      </c>
    </row>
    <row r="221" spans="1:41" s="15" customFormat="1" ht="21.75" hidden="1" customHeight="1" outlineLevel="2" x14ac:dyDescent="0.2">
      <c r="A221" s="6" t="s">
        <v>226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5">
        <v>32.200000000000003</v>
      </c>
      <c r="P221" s="5"/>
      <c r="Q221" s="5"/>
      <c r="R221" s="5"/>
      <c r="S221" s="5"/>
      <c r="T221" s="5"/>
      <c r="U221" s="5"/>
      <c r="V221" s="5">
        <v>25.9</v>
      </c>
      <c r="W221" s="5"/>
      <c r="X221" s="5"/>
      <c r="Y221" s="5"/>
      <c r="Z221" s="5"/>
      <c r="AA221" s="5"/>
      <c r="AB221" s="5">
        <v>6.3</v>
      </c>
      <c r="AC221" s="5"/>
      <c r="AD221" s="5"/>
      <c r="AE221" s="5"/>
      <c r="AF221" s="5"/>
      <c r="AG221" s="3">
        <v>7.35</v>
      </c>
      <c r="AH221" s="3"/>
      <c r="AI221" s="3"/>
      <c r="AJ221" s="3"/>
      <c r="AK221" s="3"/>
      <c r="AL221" s="17">
        <v>-1.05</v>
      </c>
      <c r="AN221" s="53">
        <f t="shared" si="30"/>
        <v>-8.4</v>
      </c>
      <c r="AO221" s="55">
        <f>AG221</f>
        <v>7.35</v>
      </c>
    </row>
    <row r="222" spans="1:41" s="15" customFormat="1" ht="10.5" hidden="1" customHeight="1" outlineLevel="2" x14ac:dyDescent="0.2">
      <c r="A222" s="6" t="s">
        <v>227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5">
        <v>9.6</v>
      </c>
      <c r="P222" s="5"/>
      <c r="Q222" s="5"/>
      <c r="R222" s="5"/>
      <c r="S222" s="5"/>
      <c r="T222" s="5"/>
      <c r="U222" s="5"/>
      <c r="V222" s="2">
        <v>10</v>
      </c>
      <c r="W222" s="2"/>
      <c r="X222" s="2"/>
      <c r="Y222" s="2"/>
      <c r="Z222" s="2"/>
      <c r="AA222" s="2"/>
      <c r="AB222" s="5">
        <v>-0.4</v>
      </c>
      <c r="AC222" s="5"/>
      <c r="AD222" s="5"/>
      <c r="AE222" s="5"/>
      <c r="AF222" s="5"/>
      <c r="AG222" s="20"/>
      <c r="AH222" s="21"/>
      <c r="AI222" s="21"/>
      <c r="AJ222" s="21"/>
      <c r="AK222" s="22"/>
      <c r="AL222" s="17">
        <v>6.4</v>
      </c>
      <c r="AO222" s="54"/>
    </row>
    <row r="223" spans="1:41" s="15" customFormat="1" ht="10.5" hidden="1" customHeight="1" outlineLevel="2" x14ac:dyDescent="0.2">
      <c r="A223" s="6" t="s">
        <v>228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5">
        <v>8.8000000000000007</v>
      </c>
      <c r="P223" s="5"/>
      <c r="Q223" s="5"/>
      <c r="R223" s="5"/>
      <c r="S223" s="5"/>
      <c r="T223" s="5"/>
      <c r="U223" s="5"/>
      <c r="V223" s="5">
        <v>9.1999999999999993</v>
      </c>
      <c r="W223" s="5"/>
      <c r="X223" s="5"/>
      <c r="Y223" s="5"/>
      <c r="Z223" s="5"/>
      <c r="AA223" s="5"/>
      <c r="AB223" s="5">
        <v>-0.4</v>
      </c>
      <c r="AC223" s="5"/>
      <c r="AD223" s="5"/>
      <c r="AE223" s="5"/>
      <c r="AF223" s="5"/>
      <c r="AG223" s="20"/>
      <c r="AH223" s="21"/>
      <c r="AI223" s="21"/>
      <c r="AJ223" s="21"/>
      <c r="AK223" s="22"/>
      <c r="AL223" s="17">
        <v>53.2</v>
      </c>
      <c r="AO223" s="54"/>
    </row>
    <row r="224" spans="1:41" s="15" customFormat="1" ht="10.5" hidden="1" customHeight="1" outlineLevel="2" x14ac:dyDescent="0.2">
      <c r="A224" s="6" t="s">
        <v>229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5">
        <v>0.8</v>
      </c>
      <c r="P224" s="5"/>
      <c r="Q224" s="5"/>
      <c r="R224" s="5"/>
      <c r="S224" s="5"/>
      <c r="T224" s="5"/>
      <c r="U224" s="5"/>
      <c r="V224" s="23"/>
      <c r="W224" s="24"/>
      <c r="X224" s="24"/>
      <c r="Y224" s="24"/>
      <c r="Z224" s="24"/>
      <c r="AA224" s="25"/>
      <c r="AB224" s="5">
        <v>0.8</v>
      </c>
      <c r="AC224" s="5"/>
      <c r="AD224" s="5"/>
      <c r="AE224" s="5"/>
      <c r="AF224" s="5"/>
      <c r="AG224" s="5">
        <v>0.8</v>
      </c>
      <c r="AH224" s="5"/>
      <c r="AI224" s="5"/>
      <c r="AJ224" s="5"/>
      <c r="AK224" s="5"/>
      <c r="AL224" s="17">
        <v>0.4</v>
      </c>
      <c r="AN224" s="53">
        <f t="shared" ref="AN224:AN227" si="31">AL224-AG224</f>
        <v>-0.4</v>
      </c>
      <c r="AO224" s="55">
        <f t="shared" ref="AO224:AO226" si="32">AG224</f>
        <v>0.8</v>
      </c>
    </row>
    <row r="225" spans="1:41" s="15" customFormat="1" ht="10.5" hidden="1" customHeight="1" outlineLevel="2" x14ac:dyDescent="0.2">
      <c r="A225" s="6" t="s">
        <v>230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2">
        <v>2</v>
      </c>
      <c r="P225" s="2"/>
      <c r="Q225" s="2"/>
      <c r="R225" s="2"/>
      <c r="S225" s="2"/>
      <c r="T225" s="2"/>
      <c r="U225" s="2"/>
      <c r="V225" s="23"/>
      <c r="W225" s="24"/>
      <c r="X225" s="24"/>
      <c r="Y225" s="24"/>
      <c r="Z225" s="24"/>
      <c r="AA225" s="25"/>
      <c r="AB225" s="2">
        <v>2</v>
      </c>
      <c r="AC225" s="2"/>
      <c r="AD225" s="2"/>
      <c r="AE225" s="2"/>
      <c r="AF225" s="2"/>
      <c r="AG225" s="2">
        <v>2</v>
      </c>
      <c r="AH225" s="2"/>
      <c r="AI225" s="2"/>
      <c r="AJ225" s="2"/>
      <c r="AK225" s="2"/>
      <c r="AL225" s="17">
        <v>2</v>
      </c>
      <c r="AN225" s="53">
        <f t="shared" si="31"/>
        <v>0</v>
      </c>
      <c r="AO225" s="55">
        <f t="shared" si="32"/>
        <v>2</v>
      </c>
    </row>
    <row r="226" spans="1:41" s="15" customFormat="1" ht="10.5" hidden="1" customHeight="1" outlineLevel="2" x14ac:dyDescent="0.2">
      <c r="A226" s="6" t="s">
        <v>231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5">
        <v>4.0999999999999996</v>
      </c>
      <c r="P226" s="5"/>
      <c r="Q226" s="5"/>
      <c r="R226" s="5"/>
      <c r="S226" s="5"/>
      <c r="T226" s="5"/>
      <c r="U226" s="5"/>
      <c r="V226" s="23"/>
      <c r="W226" s="24"/>
      <c r="X226" s="24"/>
      <c r="Y226" s="24"/>
      <c r="Z226" s="24"/>
      <c r="AA226" s="25"/>
      <c r="AB226" s="5">
        <v>4.0999999999999996</v>
      </c>
      <c r="AC226" s="5"/>
      <c r="AD226" s="5"/>
      <c r="AE226" s="5"/>
      <c r="AF226" s="5"/>
      <c r="AG226" s="5">
        <v>4.0999999999999996</v>
      </c>
      <c r="AH226" s="5"/>
      <c r="AI226" s="5"/>
      <c r="AJ226" s="5"/>
      <c r="AK226" s="5"/>
      <c r="AL226" s="17">
        <v>2</v>
      </c>
      <c r="AN226" s="53">
        <f t="shared" si="31"/>
        <v>-2.0999999999999996</v>
      </c>
      <c r="AO226" s="55">
        <f t="shared" si="32"/>
        <v>4.0999999999999996</v>
      </c>
    </row>
    <row r="227" spans="1:41" s="15" customFormat="1" ht="10.5" hidden="1" customHeight="1" outlineLevel="2" x14ac:dyDescent="0.2">
      <c r="A227" s="6" t="s">
        <v>232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2">
        <v>60</v>
      </c>
      <c r="P227" s="2"/>
      <c r="Q227" s="2"/>
      <c r="R227" s="2"/>
      <c r="S227" s="2"/>
      <c r="T227" s="2"/>
      <c r="U227" s="2"/>
      <c r="V227" s="5">
        <v>60.8</v>
      </c>
      <c r="W227" s="5"/>
      <c r="X227" s="5"/>
      <c r="Y227" s="5"/>
      <c r="Z227" s="5"/>
      <c r="AA227" s="5"/>
      <c r="AB227" s="5">
        <v>-0.8</v>
      </c>
      <c r="AC227" s="5"/>
      <c r="AD227" s="5"/>
      <c r="AE227" s="5"/>
      <c r="AF227" s="5"/>
      <c r="AG227" s="5">
        <v>0.4</v>
      </c>
      <c r="AH227" s="5"/>
      <c r="AI227" s="5"/>
      <c r="AJ227" s="5"/>
      <c r="AK227" s="5"/>
      <c r="AL227" s="17">
        <v>250.4</v>
      </c>
      <c r="AN227" s="53">
        <f t="shared" si="31"/>
        <v>250</v>
      </c>
      <c r="AO227" s="54"/>
    </row>
    <row r="228" spans="1:41" s="15" customFormat="1" ht="10.5" hidden="1" customHeight="1" outlineLevel="2" x14ac:dyDescent="0.2">
      <c r="A228" s="6" t="s">
        <v>233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2">
        <v>30</v>
      </c>
      <c r="P228" s="2"/>
      <c r="Q228" s="2"/>
      <c r="R228" s="2"/>
      <c r="S228" s="2"/>
      <c r="T228" s="2"/>
      <c r="U228" s="2"/>
      <c r="V228" s="2">
        <v>30</v>
      </c>
      <c r="W228" s="2"/>
      <c r="X228" s="2"/>
      <c r="Y228" s="2"/>
      <c r="Z228" s="2"/>
      <c r="AA228" s="2"/>
      <c r="AB228" s="23"/>
      <c r="AC228" s="24"/>
      <c r="AD228" s="24"/>
      <c r="AE228" s="24"/>
      <c r="AF228" s="25"/>
      <c r="AG228" s="20"/>
      <c r="AH228" s="21"/>
      <c r="AI228" s="21"/>
      <c r="AJ228" s="21"/>
      <c r="AK228" s="22"/>
      <c r="AL228" s="17">
        <v>24</v>
      </c>
      <c r="AO228" s="54"/>
    </row>
    <row r="229" spans="1:41" s="15" customFormat="1" ht="21.75" hidden="1" customHeight="1" outlineLevel="2" x14ac:dyDescent="0.2">
      <c r="A229" s="6" t="s">
        <v>234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3">
        <v>10.15</v>
      </c>
      <c r="P229" s="3"/>
      <c r="Q229" s="3"/>
      <c r="R229" s="3"/>
      <c r="S229" s="3"/>
      <c r="T229" s="3"/>
      <c r="U229" s="3"/>
      <c r="V229" s="5">
        <v>11.2</v>
      </c>
      <c r="W229" s="5"/>
      <c r="X229" s="5"/>
      <c r="Y229" s="5"/>
      <c r="Z229" s="5"/>
      <c r="AA229" s="5"/>
      <c r="AB229" s="3">
        <v>-1.05</v>
      </c>
      <c r="AC229" s="3"/>
      <c r="AD229" s="3"/>
      <c r="AE229" s="3"/>
      <c r="AF229" s="3"/>
      <c r="AG229" s="20"/>
      <c r="AH229" s="21"/>
      <c r="AI229" s="21"/>
      <c r="AJ229" s="21"/>
      <c r="AK229" s="22"/>
      <c r="AL229" s="17">
        <v>17.850000000000001</v>
      </c>
      <c r="AO229" s="54"/>
    </row>
    <row r="230" spans="1:41" s="15" customFormat="1" ht="10.5" hidden="1" customHeight="1" outlineLevel="2" x14ac:dyDescent="0.2">
      <c r="A230" s="6" t="s">
        <v>235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5">
        <v>1.4</v>
      </c>
      <c r="P230" s="5"/>
      <c r="Q230" s="5"/>
      <c r="R230" s="5"/>
      <c r="S230" s="5"/>
      <c r="T230" s="5"/>
      <c r="U230" s="5"/>
      <c r="V230" s="5">
        <v>1.4</v>
      </c>
      <c r="W230" s="5"/>
      <c r="X230" s="5"/>
      <c r="Y230" s="5"/>
      <c r="Z230" s="5"/>
      <c r="AA230" s="5"/>
      <c r="AB230" s="23"/>
      <c r="AC230" s="24"/>
      <c r="AD230" s="24"/>
      <c r="AE230" s="24"/>
      <c r="AF230" s="25"/>
      <c r="AG230" s="20"/>
      <c r="AH230" s="21"/>
      <c r="AI230" s="21"/>
      <c r="AJ230" s="21"/>
      <c r="AK230" s="22"/>
      <c r="AL230" s="17">
        <v>15.4</v>
      </c>
      <c r="AO230" s="54"/>
    </row>
    <row r="231" spans="1:41" s="15" customFormat="1" ht="10.5" hidden="1" customHeight="1" outlineLevel="2" x14ac:dyDescent="0.2">
      <c r="A231" s="6" t="s">
        <v>236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5">
        <v>0.9</v>
      </c>
      <c r="P231" s="5"/>
      <c r="Q231" s="5"/>
      <c r="R231" s="5"/>
      <c r="S231" s="5"/>
      <c r="T231" s="5"/>
      <c r="U231" s="5"/>
      <c r="V231" s="23"/>
      <c r="W231" s="24"/>
      <c r="X231" s="24"/>
      <c r="Y231" s="24"/>
      <c r="Z231" s="24"/>
      <c r="AA231" s="25"/>
      <c r="AB231" s="5">
        <v>0.9</v>
      </c>
      <c r="AC231" s="5"/>
      <c r="AD231" s="5"/>
      <c r="AE231" s="5"/>
      <c r="AF231" s="5"/>
      <c r="AG231" s="5">
        <v>0.9</v>
      </c>
      <c r="AH231" s="5"/>
      <c r="AI231" s="5"/>
      <c r="AJ231" s="5"/>
      <c r="AK231" s="5"/>
      <c r="AL231" s="17">
        <v>0.3</v>
      </c>
      <c r="AN231" s="53">
        <f t="shared" ref="AN231:AN232" si="33">AL231-AG231</f>
        <v>-0.60000000000000009</v>
      </c>
      <c r="AO231" s="54"/>
    </row>
    <row r="232" spans="1:41" s="15" customFormat="1" ht="10.5" hidden="1" customHeight="1" outlineLevel="2" x14ac:dyDescent="0.2">
      <c r="A232" s="6" t="s">
        <v>237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3">
        <v>0.35</v>
      </c>
      <c r="P232" s="3"/>
      <c r="Q232" s="3"/>
      <c r="R232" s="3"/>
      <c r="S232" s="3"/>
      <c r="T232" s="3"/>
      <c r="U232" s="3"/>
      <c r="V232" s="23"/>
      <c r="W232" s="24"/>
      <c r="X232" s="24"/>
      <c r="Y232" s="24"/>
      <c r="Z232" s="24"/>
      <c r="AA232" s="25"/>
      <c r="AB232" s="3">
        <v>0.35</v>
      </c>
      <c r="AC232" s="3"/>
      <c r="AD232" s="3"/>
      <c r="AE232" s="3"/>
      <c r="AF232" s="3"/>
      <c r="AG232" s="3">
        <v>0.35</v>
      </c>
      <c r="AH232" s="3"/>
      <c r="AI232" s="3"/>
      <c r="AJ232" s="3"/>
      <c r="AK232" s="3"/>
      <c r="AL232" s="17">
        <v>7.0000000000000007E-2</v>
      </c>
      <c r="AN232" s="53">
        <f t="shared" si="33"/>
        <v>-0.27999999999999997</v>
      </c>
      <c r="AO232" s="54"/>
    </row>
    <row r="233" spans="1:41" s="15" customFormat="1" ht="10.5" hidden="1" customHeight="1" outlineLevel="2" x14ac:dyDescent="0.2">
      <c r="A233" s="6" t="s">
        <v>238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5">
        <v>2.1</v>
      </c>
      <c r="P233" s="5"/>
      <c r="Q233" s="5"/>
      <c r="R233" s="5"/>
      <c r="S233" s="5"/>
      <c r="T233" s="5"/>
      <c r="U233" s="5"/>
      <c r="V233" s="5">
        <v>2.1</v>
      </c>
      <c r="W233" s="5"/>
      <c r="X233" s="5"/>
      <c r="Y233" s="5"/>
      <c r="Z233" s="5"/>
      <c r="AA233" s="5"/>
      <c r="AB233" s="23"/>
      <c r="AC233" s="24"/>
      <c r="AD233" s="24"/>
      <c r="AE233" s="24"/>
      <c r="AF233" s="25"/>
      <c r="AG233" s="20"/>
      <c r="AH233" s="21"/>
      <c r="AI233" s="21"/>
      <c r="AJ233" s="21"/>
      <c r="AK233" s="22"/>
      <c r="AL233" s="17">
        <v>4.13</v>
      </c>
      <c r="AO233" s="54"/>
    </row>
    <row r="234" spans="1:41" s="15" customFormat="1" ht="10.5" hidden="1" customHeight="1" outlineLevel="2" x14ac:dyDescent="0.2">
      <c r="A234" s="6" t="s">
        <v>239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5">
        <v>6.6</v>
      </c>
      <c r="P234" s="5"/>
      <c r="Q234" s="5"/>
      <c r="R234" s="5"/>
      <c r="S234" s="5"/>
      <c r="T234" s="5"/>
      <c r="U234" s="5"/>
      <c r="V234" s="5">
        <v>6.9</v>
      </c>
      <c r="W234" s="5"/>
      <c r="X234" s="5"/>
      <c r="Y234" s="5"/>
      <c r="Z234" s="5"/>
      <c r="AA234" s="5"/>
      <c r="AB234" s="5">
        <v>-0.3</v>
      </c>
      <c r="AC234" s="5"/>
      <c r="AD234" s="5"/>
      <c r="AE234" s="5"/>
      <c r="AF234" s="5"/>
      <c r="AG234" s="20"/>
      <c r="AH234" s="21"/>
      <c r="AI234" s="21"/>
      <c r="AJ234" s="21"/>
      <c r="AK234" s="22"/>
      <c r="AL234" s="17">
        <v>14.4</v>
      </c>
      <c r="AO234" s="54"/>
    </row>
    <row r="235" spans="1:41" s="15" customFormat="1" ht="21.75" hidden="1" customHeight="1" outlineLevel="2" x14ac:dyDescent="0.2">
      <c r="A235" s="6" t="s">
        <v>240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5">
        <v>2.4</v>
      </c>
      <c r="P235" s="5"/>
      <c r="Q235" s="5"/>
      <c r="R235" s="5"/>
      <c r="S235" s="5"/>
      <c r="T235" s="5"/>
      <c r="U235" s="5"/>
      <c r="V235" s="5">
        <v>2.4</v>
      </c>
      <c r="W235" s="5"/>
      <c r="X235" s="5"/>
      <c r="Y235" s="5"/>
      <c r="Z235" s="5"/>
      <c r="AA235" s="5"/>
      <c r="AB235" s="23"/>
      <c r="AC235" s="24"/>
      <c r="AD235" s="24"/>
      <c r="AE235" s="24"/>
      <c r="AF235" s="25"/>
      <c r="AG235" s="20"/>
      <c r="AH235" s="21"/>
      <c r="AI235" s="21"/>
      <c r="AJ235" s="21"/>
      <c r="AK235" s="22"/>
      <c r="AL235" s="17">
        <v>0.72</v>
      </c>
      <c r="AO235" s="54"/>
    </row>
    <row r="236" spans="1:41" s="15" customFormat="1" ht="21.75" hidden="1" customHeight="1" outlineLevel="2" x14ac:dyDescent="0.2">
      <c r="A236" s="6" t="s">
        <v>241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3">
        <v>5.12</v>
      </c>
      <c r="P236" s="3"/>
      <c r="Q236" s="3"/>
      <c r="R236" s="3"/>
      <c r="S236" s="3"/>
      <c r="T236" s="3"/>
      <c r="U236" s="3"/>
      <c r="V236" s="3">
        <v>4.96</v>
      </c>
      <c r="W236" s="3"/>
      <c r="X236" s="3"/>
      <c r="Y236" s="3"/>
      <c r="Z236" s="3"/>
      <c r="AA236" s="3"/>
      <c r="AB236" s="3">
        <v>0.16</v>
      </c>
      <c r="AC236" s="3"/>
      <c r="AD236" s="3"/>
      <c r="AE236" s="3"/>
      <c r="AF236" s="3"/>
      <c r="AG236" s="3">
        <v>0.16</v>
      </c>
      <c r="AH236" s="3"/>
      <c r="AI236" s="3"/>
      <c r="AJ236" s="3"/>
      <c r="AK236" s="3"/>
      <c r="AL236" s="17">
        <v>5.04</v>
      </c>
      <c r="AN236" s="53">
        <f>AL236-AG236</f>
        <v>4.88</v>
      </c>
      <c r="AO236" s="54"/>
    </row>
    <row r="237" spans="1:41" s="15" customFormat="1" ht="21.75" hidden="1" customHeight="1" outlineLevel="2" x14ac:dyDescent="0.2">
      <c r="A237" s="6" t="s">
        <v>242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5">
        <v>4.5</v>
      </c>
      <c r="P237" s="5"/>
      <c r="Q237" s="5"/>
      <c r="R237" s="5"/>
      <c r="S237" s="5"/>
      <c r="T237" s="5"/>
      <c r="U237" s="5"/>
      <c r="V237" s="5">
        <v>4.5</v>
      </c>
      <c r="W237" s="5"/>
      <c r="X237" s="5"/>
      <c r="Y237" s="5"/>
      <c r="Z237" s="5"/>
      <c r="AA237" s="5"/>
      <c r="AB237" s="23"/>
      <c r="AC237" s="24"/>
      <c r="AD237" s="24"/>
      <c r="AE237" s="24"/>
      <c r="AF237" s="25"/>
      <c r="AG237" s="20"/>
      <c r="AH237" s="21"/>
      <c r="AI237" s="21"/>
      <c r="AJ237" s="21"/>
      <c r="AK237" s="22"/>
      <c r="AL237" s="17">
        <v>78.75</v>
      </c>
      <c r="AO237" s="54"/>
    </row>
    <row r="238" spans="1:41" s="15" customFormat="1" ht="21.75" hidden="1" customHeight="1" outlineLevel="2" x14ac:dyDescent="0.2">
      <c r="A238" s="6" t="s">
        <v>243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3">
        <v>1.25</v>
      </c>
      <c r="P238" s="3"/>
      <c r="Q238" s="3"/>
      <c r="R238" s="3"/>
      <c r="S238" s="3"/>
      <c r="T238" s="3"/>
      <c r="U238" s="3"/>
      <c r="V238" s="3">
        <v>1.25</v>
      </c>
      <c r="W238" s="3"/>
      <c r="X238" s="3"/>
      <c r="Y238" s="3"/>
      <c r="Z238" s="3"/>
      <c r="AA238" s="3"/>
      <c r="AB238" s="23"/>
      <c r="AC238" s="24"/>
      <c r="AD238" s="24"/>
      <c r="AE238" s="24"/>
      <c r="AF238" s="25"/>
      <c r="AG238" s="20"/>
      <c r="AH238" s="21"/>
      <c r="AI238" s="21"/>
      <c r="AJ238" s="21"/>
      <c r="AK238" s="22"/>
      <c r="AL238" s="17">
        <v>106.75</v>
      </c>
      <c r="AO238" s="54"/>
    </row>
    <row r="239" spans="1:41" s="15" customFormat="1" ht="10.5" hidden="1" customHeight="1" outlineLevel="2" x14ac:dyDescent="0.2">
      <c r="A239" s="6" t="s">
        <v>244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5">
        <v>4.5</v>
      </c>
      <c r="P239" s="5"/>
      <c r="Q239" s="5"/>
      <c r="R239" s="5"/>
      <c r="S239" s="5"/>
      <c r="T239" s="5"/>
      <c r="U239" s="5"/>
      <c r="V239" s="5">
        <v>1.2</v>
      </c>
      <c r="W239" s="5"/>
      <c r="X239" s="5"/>
      <c r="Y239" s="5"/>
      <c r="Z239" s="5"/>
      <c r="AA239" s="5"/>
      <c r="AB239" s="5">
        <v>3.3</v>
      </c>
      <c r="AC239" s="5"/>
      <c r="AD239" s="5"/>
      <c r="AE239" s="5"/>
      <c r="AF239" s="5"/>
      <c r="AG239" s="5">
        <v>3.3</v>
      </c>
      <c r="AH239" s="5"/>
      <c r="AI239" s="5"/>
      <c r="AJ239" s="5"/>
      <c r="AK239" s="5"/>
      <c r="AL239" s="17">
        <v>0.3</v>
      </c>
      <c r="AN239" s="53">
        <f>AL239-AG239</f>
        <v>-3</v>
      </c>
      <c r="AO239" s="55">
        <f>AG239</f>
        <v>3.3</v>
      </c>
    </row>
    <row r="240" spans="1:41" s="15" customFormat="1" ht="10.5" hidden="1" customHeight="1" outlineLevel="2" x14ac:dyDescent="0.2">
      <c r="A240" s="6" t="s">
        <v>245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3">
        <v>4.08</v>
      </c>
      <c r="P240" s="3"/>
      <c r="Q240" s="3"/>
      <c r="R240" s="3"/>
      <c r="S240" s="3"/>
      <c r="T240" s="3"/>
      <c r="U240" s="3"/>
      <c r="V240" s="3">
        <v>4.08</v>
      </c>
      <c r="W240" s="3"/>
      <c r="X240" s="3"/>
      <c r="Y240" s="3"/>
      <c r="Z240" s="3"/>
      <c r="AA240" s="3"/>
      <c r="AB240" s="23"/>
      <c r="AC240" s="24"/>
      <c r="AD240" s="24"/>
      <c r="AE240" s="24"/>
      <c r="AF240" s="25"/>
      <c r="AG240" s="20"/>
      <c r="AH240" s="21"/>
      <c r="AI240" s="21"/>
      <c r="AJ240" s="21"/>
      <c r="AK240" s="22"/>
      <c r="AL240" s="17">
        <v>0.12</v>
      </c>
      <c r="AO240" s="54"/>
    </row>
    <row r="241" spans="1:42" s="15" customFormat="1" ht="10.5" hidden="1" customHeight="1" outlineLevel="2" x14ac:dyDescent="0.2">
      <c r="A241" s="6" t="s">
        <v>246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5">
        <v>0.6</v>
      </c>
      <c r="P241" s="5"/>
      <c r="Q241" s="5"/>
      <c r="R241" s="5"/>
      <c r="S241" s="5"/>
      <c r="T241" s="5"/>
      <c r="U241" s="5"/>
      <c r="V241" s="23"/>
      <c r="W241" s="24"/>
      <c r="X241" s="24"/>
      <c r="Y241" s="24"/>
      <c r="Z241" s="24"/>
      <c r="AA241" s="25"/>
      <c r="AB241" s="5">
        <v>0.6</v>
      </c>
      <c r="AC241" s="5"/>
      <c r="AD241" s="5"/>
      <c r="AE241" s="5"/>
      <c r="AF241" s="5"/>
      <c r="AG241" s="5">
        <v>0.6</v>
      </c>
      <c r="AH241" s="5"/>
      <c r="AI241" s="5"/>
      <c r="AJ241" s="5"/>
      <c r="AK241" s="5"/>
      <c r="AL241" s="17">
        <v>3.5</v>
      </c>
      <c r="AN241" s="53">
        <f t="shared" ref="AN241:AN242" si="34">AL241-AG241</f>
        <v>2.9</v>
      </c>
      <c r="AO241" s="54"/>
    </row>
    <row r="242" spans="1:42" s="15" customFormat="1" ht="10.5" customHeight="1" outlineLevel="1" collapsed="1" x14ac:dyDescent="0.2">
      <c r="A242" s="8" t="s">
        <v>247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10">
        <v>998.21</v>
      </c>
      <c r="P242" s="10"/>
      <c r="Q242" s="10"/>
      <c r="R242" s="10"/>
      <c r="S242" s="10"/>
      <c r="T242" s="10"/>
      <c r="U242" s="10"/>
      <c r="V242" s="10">
        <v>956.37</v>
      </c>
      <c r="W242" s="10"/>
      <c r="X242" s="10"/>
      <c r="Y242" s="10"/>
      <c r="Z242" s="10"/>
      <c r="AA242" s="10"/>
      <c r="AB242" s="10">
        <v>41.84</v>
      </c>
      <c r="AC242" s="10"/>
      <c r="AD242" s="10"/>
      <c r="AE242" s="10"/>
      <c r="AF242" s="10"/>
      <c r="AG242" s="41">
        <v>65</v>
      </c>
      <c r="AH242" s="41"/>
      <c r="AI242" s="41"/>
      <c r="AJ242" s="41"/>
      <c r="AK242" s="41"/>
      <c r="AL242" s="17"/>
      <c r="AN242" s="53">
        <f t="shared" si="34"/>
        <v>-65</v>
      </c>
      <c r="AO242" s="54"/>
      <c r="AP242" s="15">
        <f>SUM(AO243:AO291)</f>
        <v>36.4</v>
      </c>
    </row>
    <row r="243" spans="1:42" s="15" customFormat="1" ht="21.75" hidden="1" customHeight="1" outlineLevel="2" x14ac:dyDescent="0.2">
      <c r="A243" s="6" t="s">
        <v>248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3">
        <v>0.48</v>
      </c>
      <c r="P243" s="3"/>
      <c r="Q243" s="3"/>
      <c r="R243" s="3"/>
      <c r="S243" s="3"/>
      <c r="T243" s="3"/>
      <c r="U243" s="3"/>
      <c r="V243" s="3">
        <v>0.48</v>
      </c>
      <c r="W243" s="3"/>
      <c r="X243" s="3"/>
      <c r="Y243" s="3"/>
      <c r="Z243" s="3"/>
      <c r="AA243" s="3"/>
      <c r="AB243" s="23"/>
      <c r="AC243" s="24"/>
      <c r="AD243" s="24"/>
      <c r="AE243" s="24"/>
      <c r="AF243" s="25"/>
      <c r="AG243" s="20"/>
      <c r="AH243" s="21"/>
      <c r="AI243" s="21"/>
      <c r="AJ243" s="21"/>
      <c r="AK243" s="22"/>
      <c r="AL243" s="17">
        <v>8.64</v>
      </c>
      <c r="AO243" s="54"/>
    </row>
    <row r="244" spans="1:42" s="15" customFormat="1" ht="10.5" hidden="1" customHeight="1" outlineLevel="2" x14ac:dyDescent="0.2">
      <c r="A244" s="6" t="s">
        <v>249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5">
        <v>0.5</v>
      </c>
      <c r="P244" s="5"/>
      <c r="Q244" s="5"/>
      <c r="R244" s="5"/>
      <c r="S244" s="5"/>
      <c r="T244" s="5"/>
      <c r="U244" s="5"/>
      <c r="V244" s="5">
        <v>0.5</v>
      </c>
      <c r="W244" s="5"/>
      <c r="X244" s="5"/>
      <c r="Y244" s="5"/>
      <c r="Z244" s="5"/>
      <c r="AA244" s="5"/>
      <c r="AB244" s="23"/>
      <c r="AC244" s="24"/>
      <c r="AD244" s="24"/>
      <c r="AE244" s="24"/>
      <c r="AF244" s="25"/>
      <c r="AG244" s="20"/>
      <c r="AH244" s="21"/>
      <c r="AI244" s="21"/>
      <c r="AJ244" s="21"/>
      <c r="AK244" s="22"/>
      <c r="AL244" s="17">
        <v>20.75</v>
      </c>
      <c r="AO244" s="54"/>
    </row>
    <row r="245" spans="1:42" s="15" customFormat="1" ht="21.75" hidden="1" customHeight="1" outlineLevel="2" x14ac:dyDescent="0.2">
      <c r="A245" s="6" t="s">
        <v>250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3">
        <v>0.44</v>
      </c>
      <c r="P245" s="3"/>
      <c r="Q245" s="3"/>
      <c r="R245" s="3"/>
      <c r="S245" s="3"/>
      <c r="T245" s="3"/>
      <c r="U245" s="3"/>
      <c r="V245" s="3">
        <v>0.44</v>
      </c>
      <c r="W245" s="3"/>
      <c r="X245" s="3"/>
      <c r="Y245" s="3"/>
      <c r="Z245" s="3"/>
      <c r="AA245" s="3"/>
      <c r="AB245" s="23"/>
      <c r="AC245" s="24"/>
      <c r="AD245" s="24"/>
      <c r="AE245" s="24"/>
      <c r="AF245" s="25"/>
      <c r="AG245" s="20"/>
      <c r="AH245" s="21"/>
      <c r="AI245" s="21"/>
      <c r="AJ245" s="21"/>
      <c r="AK245" s="22"/>
      <c r="AL245" s="17">
        <v>31.02</v>
      </c>
      <c r="AO245" s="54"/>
    </row>
    <row r="246" spans="1:42" s="15" customFormat="1" ht="10.5" hidden="1" customHeight="1" outlineLevel="2" x14ac:dyDescent="0.2">
      <c r="A246" s="6" t="s">
        <v>251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2">
        <v>14</v>
      </c>
      <c r="P246" s="2"/>
      <c r="Q246" s="2"/>
      <c r="R246" s="2"/>
      <c r="S246" s="2"/>
      <c r="T246" s="2"/>
      <c r="U246" s="2"/>
      <c r="V246" s="2">
        <v>14</v>
      </c>
      <c r="W246" s="2"/>
      <c r="X246" s="2"/>
      <c r="Y246" s="2"/>
      <c r="Z246" s="2"/>
      <c r="AA246" s="2"/>
      <c r="AB246" s="23"/>
      <c r="AC246" s="24"/>
      <c r="AD246" s="24"/>
      <c r="AE246" s="24"/>
      <c r="AF246" s="25"/>
      <c r="AG246" s="20"/>
      <c r="AH246" s="21"/>
      <c r="AI246" s="21"/>
      <c r="AJ246" s="21"/>
      <c r="AK246" s="22"/>
      <c r="AL246" s="17">
        <v>69.75</v>
      </c>
      <c r="AO246" s="54"/>
    </row>
    <row r="247" spans="1:42" s="15" customFormat="1" ht="10.5" hidden="1" customHeight="1" outlineLevel="2" x14ac:dyDescent="0.2">
      <c r="A247" s="6" t="s">
        <v>252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5">
        <v>0.6</v>
      </c>
      <c r="P247" s="5"/>
      <c r="Q247" s="5"/>
      <c r="R247" s="5"/>
      <c r="S247" s="5"/>
      <c r="T247" s="5"/>
      <c r="U247" s="5"/>
      <c r="V247" s="5">
        <v>0.6</v>
      </c>
      <c r="W247" s="5"/>
      <c r="X247" s="5"/>
      <c r="Y247" s="5"/>
      <c r="Z247" s="5"/>
      <c r="AA247" s="5"/>
      <c r="AB247" s="23"/>
      <c r="AC247" s="24"/>
      <c r="AD247" s="24"/>
      <c r="AE247" s="24"/>
      <c r="AF247" s="25"/>
      <c r="AG247" s="20"/>
      <c r="AH247" s="21"/>
      <c r="AI247" s="21"/>
      <c r="AJ247" s="21"/>
      <c r="AK247" s="22"/>
      <c r="AL247" s="17">
        <v>0.6</v>
      </c>
      <c r="AO247" s="54"/>
    </row>
    <row r="248" spans="1:42" s="15" customFormat="1" ht="10.5" hidden="1" customHeight="1" outlineLevel="2" x14ac:dyDescent="0.2">
      <c r="A248" s="6" t="s">
        <v>253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5">
        <v>6.4</v>
      </c>
      <c r="P248" s="5"/>
      <c r="Q248" s="5"/>
      <c r="R248" s="5"/>
      <c r="S248" s="5"/>
      <c r="T248" s="5"/>
      <c r="U248" s="5"/>
      <c r="V248" s="5">
        <v>6.4</v>
      </c>
      <c r="W248" s="5"/>
      <c r="X248" s="5"/>
      <c r="Y248" s="5"/>
      <c r="Z248" s="5"/>
      <c r="AA248" s="5"/>
      <c r="AB248" s="23"/>
      <c r="AC248" s="24"/>
      <c r="AD248" s="24"/>
      <c r="AE248" s="24"/>
      <c r="AF248" s="25"/>
      <c r="AG248" s="20"/>
      <c r="AH248" s="21"/>
      <c r="AI248" s="21"/>
      <c r="AJ248" s="21"/>
      <c r="AK248" s="22"/>
      <c r="AL248" s="17">
        <v>27.8</v>
      </c>
      <c r="AO248" s="54"/>
    </row>
    <row r="249" spans="1:42" s="15" customFormat="1" ht="21.75" hidden="1" customHeight="1" outlineLevel="2" x14ac:dyDescent="0.2">
      <c r="A249" s="6" t="s">
        <v>254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3">
        <v>3.25</v>
      </c>
      <c r="P249" s="3"/>
      <c r="Q249" s="3"/>
      <c r="R249" s="3"/>
      <c r="S249" s="3"/>
      <c r="T249" s="3"/>
      <c r="U249" s="3"/>
      <c r="V249" s="3">
        <v>3.25</v>
      </c>
      <c r="W249" s="3"/>
      <c r="X249" s="3"/>
      <c r="Y249" s="3"/>
      <c r="Z249" s="3"/>
      <c r="AA249" s="3"/>
      <c r="AB249" s="23"/>
      <c r="AC249" s="24"/>
      <c r="AD249" s="24"/>
      <c r="AE249" s="24"/>
      <c r="AF249" s="25"/>
      <c r="AG249" s="20"/>
      <c r="AH249" s="21"/>
      <c r="AI249" s="21"/>
      <c r="AJ249" s="21"/>
      <c r="AK249" s="22"/>
      <c r="AL249" s="17">
        <v>46.75</v>
      </c>
      <c r="AO249" s="54"/>
    </row>
    <row r="250" spans="1:42" s="15" customFormat="1" ht="21.75" hidden="1" customHeight="1" outlineLevel="2" x14ac:dyDescent="0.2">
      <c r="A250" s="6" t="s">
        <v>255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2">
        <v>3</v>
      </c>
      <c r="P250" s="2"/>
      <c r="Q250" s="2"/>
      <c r="R250" s="2"/>
      <c r="S250" s="2"/>
      <c r="T250" s="2"/>
      <c r="U250" s="2"/>
      <c r="V250" s="2">
        <v>3</v>
      </c>
      <c r="W250" s="2"/>
      <c r="X250" s="2"/>
      <c r="Y250" s="2"/>
      <c r="Z250" s="2"/>
      <c r="AA250" s="2"/>
      <c r="AB250" s="23"/>
      <c r="AC250" s="24"/>
      <c r="AD250" s="24"/>
      <c r="AE250" s="24"/>
      <c r="AF250" s="25"/>
      <c r="AG250" s="20"/>
      <c r="AH250" s="21"/>
      <c r="AI250" s="21"/>
      <c r="AJ250" s="21"/>
      <c r="AK250" s="22"/>
      <c r="AL250" s="17">
        <v>0.75</v>
      </c>
      <c r="AO250" s="54"/>
    </row>
    <row r="251" spans="1:42" s="15" customFormat="1" ht="10.5" hidden="1" customHeight="1" outlineLevel="2" x14ac:dyDescent="0.2">
      <c r="A251" s="6" t="s">
        <v>256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2">
        <v>5</v>
      </c>
      <c r="P251" s="2"/>
      <c r="Q251" s="2"/>
      <c r="R251" s="2"/>
      <c r="S251" s="2"/>
      <c r="T251" s="2"/>
      <c r="U251" s="2"/>
      <c r="V251" s="2">
        <v>5</v>
      </c>
      <c r="W251" s="2"/>
      <c r="X251" s="2"/>
      <c r="Y251" s="2"/>
      <c r="Z251" s="2"/>
      <c r="AA251" s="2"/>
      <c r="AB251" s="23"/>
      <c r="AC251" s="24"/>
      <c r="AD251" s="24"/>
      <c r="AE251" s="24"/>
      <c r="AF251" s="25"/>
      <c r="AG251" s="20"/>
      <c r="AH251" s="21"/>
      <c r="AI251" s="21"/>
      <c r="AJ251" s="21"/>
      <c r="AK251" s="22"/>
      <c r="AL251" s="17">
        <v>42.5</v>
      </c>
      <c r="AO251" s="54"/>
    </row>
    <row r="252" spans="1:42" s="15" customFormat="1" ht="10.5" hidden="1" customHeight="1" outlineLevel="2" x14ac:dyDescent="0.2">
      <c r="A252" s="6" t="s">
        <v>257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3">
        <v>0.56000000000000005</v>
      </c>
      <c r="P252" s="3"/>
      <c r="Q252" s="3"/>
      <c r="R252" s="3"/>
      <c r="S252" s="3"/>
      <c r="T252" s="3"/>
      <c r="U252" s="3"/>
      <c r="V252" s="3">
        <v>0.56000000000000005</v>
      </c>
      <c r="W252" s="3"/>
      <c r="X252" s="3"/>
      <c r="Y252" s="3"/>
      <c r="Z252" s="3"/>
      <c r="AA252" s="3"/>
      <c r="AB252" s="23"/>
      <c r="AC252" s="24"/>
      <c r="AD252" s="24"/>
      <c r="AE252" s="24"/>
      <c r="AF252" s="25"/>
      <c r="AG252" s="20"/>
      <c r="AH252" s="21"/>
      <c r="AI252" s="21"/>
      <c r="AJ252" s="21"/>
      <c r="AK252" s="22"/>
      <c r="AL252" s="17">
        <v>4.2</v>
      </c>
      <c r="AO252" s="54"/>
    </row>
    <row r="253" spans="1:42" s="15" customFormat="1" ht="10.5" hidden="1" customHeight="1" outlineLevel="2" x14ac:dyDescent="0.2">
      <c r="A253" s="6" t="s">
        <v>258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3">
        <v>1.44</v>
      </c>
      <c r="P253" s="3"/>
      <c r="Q253" s="3"/>
      <c r="R253" s="3"/>
      <c r="S253" s="3"/>
      <c r="T253" s="3"/>
      <c r="U253" s="3"/>
      <c r="V253" s="3">
        <v>1.44</v>
      </c>
      <c r="W253" s="3"/>
      <c r="X253" s="3"/>
      <c r="Y253" s="3"/>
      <c r="Z253" s="3"/>
      <c r="AA253" s="3"/>
      <c r="AB253" s="23"/>
      <c r="AC253" s="24"/>
      <c r="AD253" s="24"/>
      <c r="AE253" s="24"/>
      <c r="AF253" s="25"/>
      <c r="AG253" s="20"/>
      <c r="AH253" s="21"/>
      <c r="AI253" s="21"/>
      <c r="AJ253" s="21"/>
      <c r="AK253" s="22"/>
      <c r="AL253" s="17">
        <v>4.08</v>
      </c>
      <c r="AO253" s="54"/>
    </row>
    <row r="254" spans="1:42" s="15" customFormat="1" ht="10.5" hidden="1" customHeight="1" outlineLevel="2" x14ac:dyDescent="0.2">
      <c r="A254" s="6" t="s">
        <v>259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3">
        <v>6.24</v>
      </c>
      <c r="P254" s="3"/>
      <c r="Q254" s="3"/>
      <c r="R254" s="3"/>
      <c r="S254" s="3"/>
      <c r="T254" s="3"/>
      <c r="U254" s="3"/>
      <c r="V254" s="3">
        <v>6.72</v>
      </c>
      <c r="W254" s="3"/>
      <c r="X254" s="3"/>
      <c r="Y254" s="3"/>
      <c r="Z254" s="3"/>
      <c r="AA254" s="3"/>
      <c r="AB254" s="3">
        <v>-0.48</v>
      </c>
      <c r="AC254" s="3"/>
      <c r="AD254" s="3"/>
      <c r="AE254" s="3"/>
      <c r="AF254" s="3"/>
      <c r="AG254" s="20"/>
      <c r="AH254" s="21"/>
      <c r="AI254" s="21"/>
      <c r="AJ254" s="21"/>
      <c r="AK254" s="22"/>
      <c r="AL254" s="17">
        <v>24.72</v>
      </c>
      <c r="AO254" s="54"/>
    </row>
    <row r="255" spans="1:42" s="15" customFormat="1" ht="10.5" hidden="1" customHeight="1" outlineLevel="2" x14ac:dyDescent="0.2">
      <c r="A255" s="6" t="s">
        <v>260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3">
        <v>2.16</v>
      </c>
      <c r="P255" s="3"/>
      <c r="Q255" s="3"/>
      <c r="R255" s="3"/>
      <c r="S255" s="3"/>
      <c r="T255" s="3"/>
      <c r="U255" s="3"/>
      <c r="V255" s="3">
        <v>2.16</v>
      </c>
      <c r="W255" s="3"/>
      <c r="X255" s="3"/>
      <c r="Y255" s="3"/>
      <c r="Z255" s="3"/>
      <c r="AA255" s="3"/>
      <c r="AB255" s="23"/>
      <c r="AC255" s="24"/>
      <c r="AD255" s="24"/>
      <c r="AE255" s="24"/>
      <c r="AF255" s="25"/>
      <c r="AG255" s="20"/>
      <c r="AH255" s="21"/>
      <c r="AI255" s="21"/>
      <c r="AJ255" s="21"/>
      <c r="AK255" s="22"/>
      <c r="AL255" s="17">
        <v>17.04</v>
      </c>
      <c r="AO255" s="54"/>
    </row>
    <row r="256" spans="1:42" s="15" customFormat="1" ht="21.75" hidden="1" customHeight="1" outlineLevel="2" x14ac:dyDescent="0.2">
      <c r="A256" s="6" t="s">
        <v>261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3">
        <v>14.64</v>
      </c>
      <c r="P256" s="3"/>
      <c r="Q256" s="3"/>
      <c r="R256" s="3"/>
      <c r="S256" s="3"/>
      <c r="T256" s="3"/>
      <c r="U256" s="3"/>
      <c r="V256" s="3">
        <v>14.64</v>
      </c>
      <c r="W256" s="3"/>
      <c r="X256" s="3"/>
      <c r="Y256" s="3"/>
      <c r="Z256" s="3"/>
      <c r="AA256" s="3"/>
      <c r="AB256" s="23"/>
      <c r="AC256" s="24"/>
      <c r="AD256" s="24"/>
      <c r="AE256" s="24"/>
      <c r="AF256" s="25"/>
      <c r="AG256" s="20"/>
      <c r="AH256" s="21"/>
      <c r="AI256" s="21"/>
      <c r="AJ256" s="21"/>
      <c r="AK256" s="22"/>
      <c r="AL256" s="17">
        <v>103.68</v>
      </c>
      <c r="AO256" s="54"/>
    </row>
    <row r="257" spans="1:41" s="15" customFormat="1" ht="21.75" hidden="1" customHeight="1" outlineLevel="2" x14ac:dyDescent="0.2">
      <c r="A257" s="6" t="s">
        <v>262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3">
        <v>2.88</v>
      </c>
      <c r="P257" s="3"/>
      <c r="Q257" s="3"/>
      <c r="R257" s="3"/>
      <c r="S257" s="3"/>
      <c r="T257" s="3"/>
      <c r="U257" s="3"/>
      <c r="V257" s="3">
        <v>3.84</v>
      </c>
      <c r="W257" s="3"/>
      <c r="X257" s="3"/>
      <c r="Y257" s="3"/>
      <c r="Z257" s="3"/>
      <c r="AA257" s="3"/>
      <c r="AB257" s="3">
        <v>-0.96</v>
      </c>
      <c r="AC257" s="3"/>
      <c r="AD257" s="3"/>
      <c r="AE257" s="3"/>
      <c r="AF257" s="3"/>
      <c r="AG257" s="20"/>
      <c r="AH257" s="21"/>
      <c r="AI257" s="21"/>
      <c r="AJ257" s="21"/>
      <c r="AK257" s="22"/>
      <c r="AL257" s="17">
        <v>64.319999999999993</v>
      </c>
      <c r="AO257" s="54"/>
    </row>
    <row r="258" spans="1:41" s="15" customFormat="1" ht="10.5" hidden="1" customHeight="1" outlineLevel="2" x14ac:dyDescent="0.2">
      <c r="A258" s="6" t="s">
        <v>263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5">
        <v>1.2</v>
      </c>
      <c r="P258" s="5"/>
      <c r="Q258" s="5"/>
      <c r="R258" s="5"/>
      <c r="S258" s="5"/>
      <c r="T258" s="5"/>
      <c r="U258" s="5"/>
      <c r="V258" s="5">
        <v>1.2</v>
      </c>
      <c r="W258" s="5"/>
      <c r="X258" s="5"/>
      <c r="Y258" s="5"/>
      <c r="Z258" s="5"/>
      <c r="AA258" s="5"/>
      <c r="AB258" s="23"/>
      <c r="AC258" s="24"/>
      <c r="AD258" s="24"/>
      <c r="AE258" s="24"/>
      <c r="AF258" s="25"/>
      <c r="AG258" s="20"/>
      <c r="AH258" s="21"/>
      <c r="AI258" s="21"/>
      <c r="AJ258" s="21"/>
      <c r="AK258" s="22"/>
      <c r="AL258" s="17">
        <v>21.8</v>
      </c>
      <c r="AO258" s="54"/>
    </row>
    <row r="259" spans="1:41" s="15" customFormat="1" ht="21.75" hidden="1" customHeight="1" outlineLevel="2" x14ac:dyDescent="0.2">
      <c r="A259" s="6" t="s">
        <v>264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5">
        <v>1.4</v>
      </c>
      <c r="P259" s="5"/>
      <c r="Q259" s="5"/>
      <c r="R259" s="5"/>
      <c r="S259" s="5"/>
      <c r="T259" s="5"/>
      <c r="U259" s="5"/>
      <c r="V259" s="5">
        <v>1.4</v>
      </c>
      <c r="W259" s="5"/>
      <c r="X259" s="5"/>
      <c r="Y259" s="5"/>
      <c r="Z259" s="5"/>
      <c r="AA259" s="5"/>
      <c r="AB259" s="23"/>
      <c r="AC259" s="24"/>
      <c r="AD259" s="24"/>
      <c r="AE259" s="24"/>
      <c r="AF259" s="25"/>
      <c r="AG259" s="20"/>
      <c r="AH259" s="21"/>
      <c r="AI259" s="21"/>
      <c r="AJ259" s="21"/>
      <c r="AK259" s="22"/>
      <c r="AL259" s="17">
        <v>18.8</v>
      </c>
      <c r="AO259" s="54"/>
    </row>
    <row r="260" spans="1:41" s="15" customFormat="1" ht="10.5" hidden="1" customHeight="1" outlineLevel="2" x14ac:dyDescent="0.2">
      <c r="A260" s="6" t="s">
        <v>265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2">
        <v>16</v>
      </c>
      <c r="P260" s="2"/>
      <c r="Q260" s="2"/>
      <c r="R260" s="2"/>
      <c r="S260" s="2"/>
      <c r="T260" s="2"/>
      <c r="U260" s="2"/>
      <c r="V260" s="5">
        <v>16.5</v>
      </c>
      <c r="W260" s="5"/>
      <c r="X260" s="5"/>
      <c r="Y260" s="5"/>
      <c r="Z260" s="5"/>
      <c r="AA260" s="5"/>
      <c r="AB260" s="5">
        <v>-0.5</v>
      </c>
      <c r="AC260" s="5"/>
      <c r="AD260" s="5"/>
      <c r="AE260" s="5"/>
      <c r="AF260" s="5"/>
      <c r="AG260" s="20"/>
      <c r="AH260" s="21"/>
      <c r="AI260" s="21"/>
      <c r="AJ260" s="21"/>
      <c r="AK260" s="22"/>
      <c r="AL260" s="17">
        <v>175.5</v>
      </c>
      <c r="AO260" s="54"/>
    </row>
    <row r="261" spans="1:41" s="15" customFormat="1" ht="10.5" hidden="1" customHeight="1" outlineLevel="2" x14ac:dyDescent="0.2">
      <c r="A261" s="6" t="s">
        <v>266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5">
        <v>10.5</v>
      </c>
      <c r="P261" s="5"/>
      <c r="Q261" s="5"/>
      <c r="R261" s="5"/>
      <c r="S261" s="5"/>
      <c r="T261" s="5"/>
      <c r="U261" s="5"/>
      <c r="V261" s="5">
        <v>10.5</v>
      </c>
      <c r="W261" s="5"/>
      <c r="X261" s="5"/>
      <c r="Y261" s="5"/>
      <c r="Z261" s="5"/>
      <c r="AA261" s="5"/>
      <c r="AB261" s="23"/>
      <c r="AC261" s="24"/>
      <c r="AD261" s="24"/>
      <c r="AE261" s="24"/>
      <c r="AF261" s="25"/>
      <c r="AG261" s="20"/>
      <c r="AH261" s="21"/>
      <c r="AI261" s="21"/>
      <c r="AJ261" s="21"/>
      <c r="AK261" s="22"/>
      <c r="AL261" s="17">
        <v>114.5</v>
      </c>
      <c r="AO261" s="54"/>
    </row>
    <row r="262" spans="1:41" s="15" customFormat="1" ht="21.75" hidden="1" customHeight="1" outlineLevel="2" x14ac:dyDescent="0.2">
      <c r="A262" s="6" t="s">
        <v>267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5">
        <v>11.5</v>
      </c>
      <c r="P262" s="5"/>
      <c r="Q262" s="5"/>
      <c r="R262" s="5"/>
      <c r="S262" s="5"/>
      <c r="T262" s="5"/>
      <c r="U262" s="5"/>
      <c r="V262" s="5">
        <v>11.5</v>
      </c>
      <c r="W262" s="5"/>
      <c r="X262" s="5"/>
      <c r="Y262" s="5"/>
      <c r="Z262" s="5"/>
      <c r="AA262" s="5"/>
      <c r="AB262" s="23"/>
      <c r="AC262" s="24"/>
      <c r="AD262" s="24"/>
      <c r="AE262" s="24"/>
      <c r="AF262" s="25"/>
      <c r="AG262" s="20"/>
      <c r="AH262" s="21"/>
      <c r="AI262" s="21"/>
      <c r="AJ262" s="21"/>
      <c r="AK262" s="22"/>
      <c r="AL262" s="17">
        <v>58</v>
      </c>
      <c r="AO262" s="54"/>
    </row>
    <row r="263" spans="1:41" s="15" customFormat="1" ht="10.5" hidden="1" customHeight="1" outlineLevel="2" x14ac:dyDescent="0.2">
      <c r="A263" s="6" t="s">
        <v>268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3">
        <v>5.75</v>
      </c>
      <c r="P263" s="3"/>
      <c r="Q263" s="3"/>
      <c r="R263" s="3"/>
      <c r="S263" s="3"/>
      <c r="T263" s="3"/>
      <c r="U263" s="3"/>
      <c r="V263" s="3">
        <v>5.75</v>
      </c>
      <c r="W263" s="3"/>
      <c r="X263" s="3"/>
      <c r="Y263" s="3"/>
      <c r="Z263" s="3"/>
      <c r="AA263" s="3"/>
      <c r="AB263" s="23"/>
      <c r="AC263" s="24"/>
      <c r="AD263" s="24"/>
      <c r="AE263" s="24"/>
      <c r="AF263" s="25"/>
      <c r="AG263" s="20"/>
      <c r="AH263" s="21"/>
      <c r="AI263" s="21"/>
      <c r="AJ263" s="21"/>
      <c r="AK263" s="22"/>
      <c r="AL263" s="17">
        <v>120.75</v>
      </c>
      <c r="AO263" s="54"/>
    </row>
    <row r="264" spans="1:41" s="15" customFormat="1" ht="10.5" hidden="1" customHeight="1" outlineLevel="2" x14ac:dyDescent="0.2">
      <c r="A264" s="6" t="s">
        <v>269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2">
        <v>6</v>
      </c>
      <c r="P264" s="2"/>
      <c r="Q264" s="2"/>
      <c r="R264" s="2"/>
      <c r="S264" s="2"/>
      <c r="T264" s="2"/>
      <c r="U264" s="2"/>
      <c r="V264" s="2">
        <v>6</v>
      </c>
      <c r="W264" s="2"/>
      <c r="X264" s="2"/>
      <c r="Y264" s="2"/>
      <c r="Z264" s="2"/>
      <c r="AA264" s="2"/>
      <c r="AB264" s="23"/>
      <c r="AC264" s="24"/>
      <c r="AD264" s="24"/>
      <c r="AE264" s="24"/>
      <c r="AF264" s="25"/>
      <c r="AG264" s="20"/>
      <c r="AH264" s="21"/>
      <c r="AI264" s="21"/>
      <c r="AJ264" s="21"/>
      <c r="AK264" s="22"/>
      <c r="AL264" s="17">
        <v>37</v>
      </c>
      <c r="AO264" s="54"/>
    </row>
    <row r="265" spans="1:41" s="15" customFormat="1" ht="10.5" hidden="1" customHeight="1" outlineLevel="2" x14ac:dyDescent="0.2">
      <c r="A265" s="6" t="s">
        <v>270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2">
        <v>59</v>
      </c>
      <c r="P265" s="2"/>
      <c r="Q265" s="2"/>
      <c r="R265" s="2"/>
      <c r="S265" s="2"/>
      <c r="T265" s="2"/>
      <c r="U265" s="2"/>
      <c r="V265" s="2">
        <v>60</v>
      </c>
      <c r="W265" s="2"/>
      <c r="X265" s="2"/>
      <c r="Y265" s="2"/>
      <c r="Z265" s="2"/>
      <c r="AA265" s="2"/>
      <c r="AB265" s="2">
        <v>-1</v>
      </c>
      <c r="AC265" s="2"/>
      <c r="AD265" s="2"/>
      <c r="AE265" s="2"/>
      <c r="AF265" s="2"/>
      <c r="AG265" s="20"/>
      <c r="AH265" s="21"/>
      <c r="AI265" s="21"/>
      <c r="AJ265" s="21"/>
      <c r="AK265" s="22"/>
      <c r="AL265" s="17">
        <v>235</v>
      </c>
      <c r="AO265" s="54"/>
    </row>
    <row r="266" spans="1:41" s="15" customFormat="1" ht="10.5" hidden="1" customHeight="1" outlineLevel="2" x14ac:dyDescent="0.2">
      <c r="A266" s="6" t="s">
        <v>271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3">
        <v>2.76</v>
      </c>
      <c r="P266" s="3"/>
      <c r="Q266" s="3"/>
      <c r="R266" s="3"/>
      <c r="S266" s="3"/>
      <c r="T266" s="3"/>
      <c r="U266" s="3"/>
      <c r="V266" s="3">
        <v>2.76</v>
      </c>
      <c r="W266" s="3"/>
      <c r="X266" s="3"/>
      <c r="Y266" s="3"/>
      <c r="Z266" s="3"/>
      <c r="AA266" s="3"/>
      <c r="AB266" s="23"/>
      <c r="AC266" s="24"/>
      <c r="AD266" s="24"/>
      <c r="AE266" s="24"/>
      <c r="AF266" s="25"/>
      <c r="AG266" s="20"/>
      <c r="AH266" s="21"/>
      <c r="AI266" s="21"/>
      <c r="AJ266" s="21"/>
      <c r="AK266" s="22"/>
      <c r="AL266" s="17">
        <v>20.47</v>
      </c>
      <c r="AO266" s="54"/>
    </row>
    <row r="267" spans="1:41" s="15" customFormat="1" ht="21.75" hidden="1" customHeight="1" outlineLevel="2" x14ac:dyDescent="0.2">
      <c r="A267" s="6" t="s">
        <v>272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2">
        <v>28</v>
      </c>
      <c r="P267" s="2"/>
      <c r="Q267" s="2"/>
      <c r="R267" s="2"/>
      <c r="S267" s="2"/>
      <c r="T267" s="2"/>
      <c r="U267" s="2"/>
      <c r="V267" s="5">
        <v>32.200000000000003</v>
      </c>
      <c r="W267" s="5"/>
      <c r="X267" s="5"/>
      <c r="Y267" s="5"/>
      <c r="Z267" s="5"/>
      <c r="AA267" s="5"/>
      <c r="AB267" s="5">
        <v>-4.2</v>
      </c>
      <c r="AC267" s="5"/>
      <c r="AD267" s="5"/>
      <c r="AE267" s="5"/>
      <c r="AF267" s="5"/>
      <c r="AG267" s="20"/>
      <c r="AH267" s="21"/>
      <c r="AI267" s="21"/>
      <c r="AJ267" s="21"/>
      <c r="AK267" s="22"/>
      <c r="AL267" s="17">
        <v>100.8</v>
      </c>
      <c r="AO267" s="54"/>
    </row>
    <row r="268" spans="1:41" s="15" customFormat="1" ht="10.5" hidden="1" customHeight="1" outlineLevel="2" x14ac:dyDescent="0.2">
      <c r="A268" s="6" t="s">
        <v>273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5">
        <v>5.6</v>
      </c>
      <c r="P268" s="5"/>
      <c r="Q268" s="5"/>
      <c r="R268" s="5"/>
      <c r="S268" s="5"/>
      <c r="T268" s="5"/>
      <c r="U268" s="5"/>
      <c r="V268" s="23"/>
      <c r="W268" s="24"/>
      <c r="X268" s="24"/>
      <c r="Y268" s="24"/>
      <c r="Z268" s="24"/>
      <c r="AA268" s="25"/>
      <c r="AB268" s="5">
        <v>5.6</v>
      </c>
      <c r="AC268" s="5"/>
      <c r="AD268" s="5"/>
      <c r="AE268" s="5"/>
      <c r="AF268" s="5"/>
      <c r="AG268" s="5">
        <v>5.6</v>
      </c>
      <c r="AH268" s="5"/>
      <c r="AI268" s="5"/>
      <c r="AJ268" s="5"/>
      <c r="AK268" s="5"/>
      <c r="AL268" s="17">
        <v>11.2</v>
      </c>
      <c r="AN268" s="53">
        <f>AL268-AG268</f>
        <v>5.6</v>
      </c>
      <c r="AO268" s="54"/>
    </row>
    <row r="269" spans="1:41" s="15" customFormat="1" ht="21.75" hidden="1" customHeight="1" outlineLevel="2" x14ac:dyDescent="0.2">
      <c r="A269" s="6" t="s">
        <v>274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5">
        <v>43.4</v>
      </c>
      <c r="P269" s="5"/>
      <c r="Q269" s="5"/>
      <c r="R269" s="5"/>
      <c r="S269" s="5"/>
      <c r="T269" s="5"/>
      <c r="U269" s="5"/>
      <c r="V269" s="5">
        <v>46.2</v>
      </c>
      <c r="W269" s="5"/>
      <c r="X269" s="5"/>
      <c r="Y269" s="5"/>
      <c r="Z269" s="5"/>
      <c r="AA269" s="5"/>
      <c r="AB269" s="5">
        <v>-2.8</v>
      </c>
      <c r="AC269" s="5"/>
      <c r="AD269" s="5"/>
      <c r="AE269" s="5"/>
      <c r="AF269" s="5"/>
      <c r="AG269" s="20"/>
      <c r="AH269" s="21"/>
      <c r="AI269" s="21"/>
      <c r="AJ269" s="21"/>
      <c r="AK269" s="22"/>
      <c r="AL269" s="17">
        <v>37.799999999999997</v>
      </c>
      <c r="AO269" s="54"/>
    </row>
    <row r="270" spans="1:41" s="15" customFormat="1" ht="21.75" hidden="1" customHeight="1" outlineLevel="2" x14ac:dyDescent="0.2">
      <c r="A270" s="6" t="s">
        <v>275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5">
        <v>4.2</v>
      </c>
      <c r="P270" s="5"/>
      <c r="Q270" s="5"/>
      <c r="R270" s="5"/>
      <c r="S270" s="5"/>
      <c r="T270" s="5"/>
      <c r="U270" s="5"/>
      <c r="V270" s="23"/>
      <c r="W270" s="24"/>
      <c r="X270" s="24"/>
      <c r="Y270" s="24"/>
      <c r="Z270" s="24"/>
      <c r="AA270" s="25"/>
      <c r="AB270" s="5">
        <v>4.2</v>
      </c>
      <c r="AC270" s="5"/>
      <c r="AD270" s="5"/>
      <c r="AE270" s="5"/>
      <c r="AF270" s="5"/>
      <c r="AG270" s="5">
        <v>4.2</v>
      </c>
      <c r="AH270" s="5"/>
      <c r="AI270" s="5"/>
      <c r="AJ270" s="5"/>
      <c r="AK270" s="5"/>
      <c r="AL270" s="17">
        <v>1.4</v>
      </c>
      <c r="AN270" s="53">
        <f t="shared" ref="AN270:AN271" si="35">AL270-AG270</f>
        <v>-2.8000000000000003</v>
      </c>
      <c r="AO270" s="55">
        <f>AG270</f>
        <v>4.2</v>
      </c>
    </row>
    <row r="271" spans="1:41" s="15" customFormat="1" ht="21.75" hidden="1" customHeight="1" outlineLevel="2" x14ac:dyDescent="0.2">
      <c r="A271" s="6" t="s">
        <v>276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2">
        <v>15</v>
      </c>
      <c r="P271" s="2"/>
      <c r="Q271" s="2"/>
      <c r="R271" s="2"/>
      <c r="S271" s="2"/>
      <c r="T271" s="2"/>
      <c r="U271" s="2"/>
      <c r="V271" s="2">
        <v>5</v>
      </c>
      <c r="W271" s="2"/>
      <c r="X271" s="2"/>
      <c r="Y271" s="2"/>
      <c r="Z271" s="2"/>
      <c r="AA271" s="2"/>
      <c r="AB271" s="2">
        <v>10</v>
      </c>
      <c r="AC271" s="2"/>
      <c r="AD271" s="2"/>
      <c r="AE271" s="2"/>
      <c r="AF271" s="2"/>
      <c r="AG271" s="2">
        <v>10</v>
      </c>
      <c r="AH271" s="2"/>
      <c r="AI271" s="2"/>
      <c r="AJ271" s="2"/>
      <c r="AK271" s="2"/>
      <c r="AL271" s="17">
        <v>-55</v>
      </c>
      <c r="AN271" s="53">
        <f t="shared" si="35"/>
        <v>-65</v>
      </c>
      <c r="AO271" s="55">
        <f>AG271</f>
        <v>10</v>
      </c>
    </row>
    <row r="272" spans="1:41" s="15" customFormat="1" ht="21.75" hidden="1" customHeight="1" outlineLevel="2" x14ac:dyDescent="0.2">
      <c r="A272" s="6" t="s">
        <v>277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2">
        <v>2</v>
      </c>
      <c r="P272" s="2"/>
      <c r="Q272" s="2"/>
      <c r="R272" s="2"/>
      <c r="S272" s="2"/>
      <c r="T272" s="2"/>
      <c r="U272" s="2"/>
      <c r="V272" s="2">
        <v>2</v>
      </c>
      <c r="W272" s="2"/>
      <c r="X272" s="2"/>
      <c r="Y272" s="2"/>
      <c r="Z272" s="2"/>
      <c r="AA272" s="2"/>
      <c r="AB272" s="23"/>
      <c r="AC272" s="24"/>
      <c r="AD272" s="24"/>
      <c r="AE272" s="24"/>
      <c r="AF272" s="25"/>
      <c r="AG272" s="20"/>
      <c r="AH272" s="21"/>
      <c r="AI272" s="21"/>
      <c r="AJ272" s="21"/>
      <c r="AK272" s="22"/>
      <c r="AL272" s="17">
        <v>1.2</v>
      </c>
      <c r="AO272" s="54"/>
    </row>
    <row r="273" spans="1:41" s="15" customFormat="1" ht="21.75" hidden="1" customHeight="1" outlineLevel="2" x14ac:dyDescent="0.2">
      <c r="A273" s="6" t="s">
        <v>278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5">
        <v>125.3</v>
      </c>
      <c r="P273" s="5"/>
      <c r="Q273" s="5"/>
      <c r="R273" s="5"/>
      <c r="S273" s="5"/>
      <c r="T273" s="5"/>
      <c r="U273" s="5"/>
      <c r="V273" s="5">
        <v>125.3</v>
      </c>
      <c r="W273" s="5"/>
      <c r="X273" s="5"/>
      <c r="Y273" s="5"/>
      <c r="Z273" s="5"/>
      <c r="AA273" s="5"/>
      <c r="AB273" s="23"/>
      <c r="AC273" s="24"/>
      <c r="AD273" s="24"/>
      <c r="AE273" s="24"/>
      <c r="AF273" s="25"/>
      <c r="AG273" s="20"/>
      <c r="AH273" s="21"/>
      <c r="AI273" s="21"/>
      <c r="AJ273" s="21"/>
      <c r="AK273" s="22"/>
      <c r="AL273" s="17">
        <v>212.1</v>
      </c>
      <c r="AO273" s="54"/>
    </row>
    <row r="274" spans="1:41" s="15" customFormat="1" ht="21.75" hidden="1" customHeight="1" outlineLevel="2" x14ac:dyDescent="0.2">
      <c r="A274" s="6" t="s">
        <v>279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5">
        <v>8.8000000000000007</v>
      </c>
      <c r="P274" s="5"/>
      <c r="Q274" s="5"/>
      <c r="R274" s="5"/>
      <c r="S274" s="5"/>
      <c r="T274" s="5"/>
      <c r="U274" s="5"/>
      <c r="V274" s="5">
        <v>8.8000000000000007</v>
      </c>
      <c r="W274" s="5"/>
      <c r="X274" s="5"/>
      <c r="Y274" s="5"/>
      <c r="Z274" s="5"/>
      <c r="AA274" s="5"/>
      <c r="AB274" s="23"/>
      <c r="AC274" s="24"/>
      <c r="AD274" s="24"/>
      <c r="AE274" s="24"/>
      <c r="AF274" s="25"/>
      <c r="AG274" s="20"/>
      <c r="AH274" s="21"/>
      <c r="AI274" s="21"/>
      <c r="AJ274" s="21"/>
      <c r="AK274" s="22"/>
      <c r="AL274" s="17">
        <v>74.8</v>
      </c>
      <c r="AO274" s="54"/>
    </row>
    <row r="275" spans="1:41" s="15" customFormat="1" ht="21.75" hidden="1" customHeight="1" outlineLevel="2" x14ac:dyDescent="0.2">
      <c r="A275" s="6" t="s">
        <v>280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5">
        <v>67.900000000000006</v>
      </c>
      <c r="P275" s="5"/>
      <c r="Q275" s="5"/>
      <c r="R275" s="5"/>
      <c r="S275" s="5"/>
      <c r="T275" s="5"/>
      <c r="U275" s="5"/>
      <c r="V275" s="5">
        <v>67.900000000000006</v>
      </c>
      <c r="W275" s="5"/>
      <c r="X275" s="5"/>
      <c r="Y275" s="5"/>
      <c r="Z275" s="5"/>
      <c r="AA275" s="5"/>
      <c r="AB275" s="23"/>
      <c r="AC275" s="24"/>
      <c r="AD275" s="24"/>
      <c r="AE275" s="24"/>
      <c r="AF275" s="25"/>
      <c r="AG275" s="20"/>
      <c r="AH275" s="21"/>
      <c r="AI275" s="21"/>
      <c r="AJ275" s="21"/>
      <c r="AK275" s="22"/>
      <c r="AL275" s="17">
        <v>629.29999999999995</v>
      </c>
      <c r="AO275" s="54"/>
    </row>
    <row r="276" spans="1:41" s="15" customFormat="1" ht="21.75" hidden="1" customHeight="1" outlineLevel="2" x14ac:dyDescent="0.2">
      <c r="A276" s="6" t="s">
        <v>281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5">
        <v>53.6</v>
      </c>
      <c r="P276" s="5"/>
      <c r="Q276" s="5"/>
      <c r="R276" s="5"/>
      <c r="S276" s="5"/>
      <c r="T276" s="5"/>
      <c r="U276" s="5"/>
      <c r="V276" s="5">
        <v>53.6</v>
      </c>
      <c r="W276" s="5"/>
      <c r="X276" s="5"/>
      <c r="Y276" s="5"/>
      <c r="Z276" s="5"/>
      <c r="AA276" s="5"/>
      <c r="AB276" s="23"/>
      <c r="AC276" s="24"/>
      <c r="AD276" s="24"/>
      <c r="AE276" s="24"/>
      <c r="AF276" s="25"/>
      <c r="AG276" s="20"/>
      <c r="AH276" s="21"/>
      <c r="AI276" s="21"/>
      <c r="AJ276" s="21"/>
      <c r="AK276" s="22"/>
      <c r="AL276" s="17">
        <v>132.80000000000001</v>
      </c>
      <c r="AO276" s="54"/>
    </row>
    <row r="277" spans="1:41" s="15" customFormat="1" ht="10.5" hidden="1" customHeight="1" outlineLevel="2" x14ac:dyDescent="0.2">
      <c r="A277" s="6" t="s">
        <v>282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2">
        <v>65</v>
      </c>
      <c r="P277" s="2"/>
      <c r="Q277" s="2"/>
      <c r="R277" s="2"/>
      <c r="S277" s="2"/>
      <c r="T277" s="2"/>
      <c r="U277" s="2"/>
      <c r="V277" s="2">
        <v>74</v>
      </c>
      <c r="W277" s="2"/>
      <c r="X277" s="2"/>
      <c r="Y277" s="2"/>
      <c r="Z277" s="2"/>
      <c r="AA277" s="2"/>
      <c r="AB277" s="2">
        <v>-9</v>
      </c>
      <c r="AC277" s="2"/>
      <c r="AD277" s="2"/>
      <c r="AE277" s="2"/>
      <c r="AF277" s="2"/>
      <c r="AG277" s="2">
        <v>1</v>
      </c>
      <c r="AH277" s="2"/>
      <c r="AI277" s="2"/>
      <c r="AJ277" s="2"/>
      <c r="AK277" s="2"/>
      <c r="AL277" s="17">
        <v>346</v>
      </c>
      <c r="AN277" s="53">
        <f t="shared" ref="AN277:AN279" si="36">AL277-AG277</f>
        <v>345</v>
      </c>
      <c r="AO277" s="54"/>
    </row>
    <row r="278" spans="1:41" s="15" customFormat="1" ht="21.75" hidden="1" customHeight="1" outlineLevel="2" x14ac:dyDescent="0.2">
      <c r="A278" s="6" t="s">
        <v>283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5">
        <v>21.6</v>
      </c>
      <c r="P278" s="5"/>
      <c r="Q278" s="5"/>
      <c r="R278" s="5"/>
      <c r="S278" s="5"/>
      <c r="T278" s="5"/>
      <c r="U278" s="5"/>
      <c r="V278" s="5">
        <v>2.7</v>
      </c>
      <c r="W278" s="5"/>
      <c r="X278" s="5"/>
      <c r="Y278" s="5"/>
      <c r="Z278" s="5"/>
      <c r="AA278" s="5"/>
      <c r="AB278" s="5">
        <v>18.899999999999999</v>
      </c>
      <c r="AC278" s="5"/>
      <c r="AD278" s="5"/>
      <c r="AE278" s="5"/>
      <c r="AF278" s="5"/>
      <c r="AG278" s="5">
        <v>18.899999999999999</v>
      </c>
      <c r="AH278" s="5"/>
      <c r="AI278" s="5"/>
      <c r="AJ278" s="5"/>
      <c r="AK278" s="5"/>
      <c r="AL278" s="17">
        <v>11.7</v>
      </c>
      <c r="AN278" s="53">
        <f t="shared" si="36"/>
        <v>-7.1999999999999993</v>
      </c>
      <c r="AO278" s="54">
        <f>AN278*-1</f>
        <v>7.1999999999999993</v>
      </c>
    </row>
    <row r="279" spans="1:41" s="15" customFormat="1" ht="10.5" hidden="1" customHeight="1" outlineLevel="2" x14ac:dyDescent="0.2">
      <c r="A279" s="6" t="s">
        <v>284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2">
        <v>25</v>
      </c>
      <c r="P279" s="2"/>
      <c r="Q279" s="2"/>
      <c r="R279" s="2"/>
      <c r="S279" s="2"/>
      <c r="T279" s="2"/>
      <c r="U279" s="2"/>
      <c r="V279" s="23"/>
      <c r="W279" s="24"/>
      <c r="X279" s="24"/>
      <c r="Y279" s="24"/>
      <c r="Z279" s="24"/>
      <c r="AA279" s="25"/>
      <c r="AB279" s="2">
        <v>25</v>
      </c>
      <c r="AC279" s="2"/>
      <c r="AD279" s="2"/>
      <c r="AE279" s="2"/>
      <c r="AF279" s="2"/>
      <c r="AG279" s="2">
        <v>25</v>
      </c>
      <c r="AH279" s="2"/>
      <c r="AI279" s="2"/>
      <c r="AJ279" s="2"/>
      <c r="AK279" s="2"/>
      <c r="AL279" s="17">
        <v>10</v>
      </c>
      <c r="AN279" s="53">
        <f t="shared" si="36"/>
        <v>-15</v>
      </c>
      <c r="AO279" s="54">
        <f>AN279*-1</f>
        <v>15</v>
      </c>
    </row>
    <row r="280" spans="1:41" s="15" customFormat="1" ht="10.5" hidden="1" customHeight="1" outlineLevel="2" x14ac:dyDescent="0.2">
      <c r="A280" s="6" t="s">
        <v>285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2">
        <v>137</v>
      </c>
      <c r="P280" s="2"/>
      <c r="Q280" s="2"/>
      <c r="R280" s="2"/>
      <c r="S280" s="2"/>
      <c r="T280" s="2"/>
      <c r="U280" s="2"/>
      <c r="V280" s="2">
        <v>140</v>
      </c>
      <c r="W280" s="2"/>
      <c r="X280" s="2"/>
      <c r="Y280" s="2"/>
      <c r="Z280" s="2"/>
      <c r="AA280" s="2"/>
      <c r="AB280" s="2">
        <v>-3</v>
      </c>
      <c r="AC280" s="2"/>
      <c r="AD280" s="2"/>
      <c r="AE280" s="2"/>
      <c r="AF280" s="2"/>
      <c r="AG280" s="20"/>
      <c r="AH280" s="21"/>
      <c r="AI280" s="21"/>
      <c r="AJ280" s="21"/>
      <c r="AK280" s="22"/>
      <c r="AL280" s="17">
        <v>500</v>
      </c>
      <c r="AO280" s="54"/>
    </row>
    <row r="281" spans="1:41" s="15" customFormat="1" ht="10.5" hidden="1" customHeight="1" outlineLevel="2" x14ac:dyDescent="0.2">
      <c r="A281" s="6" t="s">
        <v>286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5">
        <v>3.6</v>
      </c>
      <c r="P281" s="5"/>
      <c r="Q281" s="5"/>
      <c r="R281" s="5"/>
      <c r="S281" s="5"/>
      <c r="T281" s="5"/>
      <c r="U281" s="5"/>
      <c r="V281" s="5">
        <v>3.6</v>
      </c>
      <c r="W281" s="5"/>
      <c r="X281" s="5"/>
      <c r="Y281" s="5"/>
      <c r="Z281" s="5"/>
      <c r="AA281" s="5"/>
      <c r="AB281" s="23"/>
      <c r="AC281" s="24"/>
      <c r="AD281" s="24"/>
      <c r="AE281" s="24"/>
      <c r="AF281" s="25"/>
      <c r="AG281" s="20"/>
      <c r="AH281" s="21"/>
      <c r="AI281" s="21"/>
      <c r="AJ281" s="21"/>
      <c r="AK281" s="22"/>
      <c r="AL281" s="17">
        <v>46.8</v>
      </c>
      <c r="AO281" s="54"/>
    </row>
    <row r="282" spans="1:41" s="15" customFormat="1" ht="10.5" hidden="1" customHeight="1" outlineLevel="2" x14ac:dyDescent="0.2">
      <c r="A282" s="6" t="s">
        <v>287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3">
        <v>7.56</v>
      </c>
      <c r="P282" s="3"/>
      <c r="Q282" s="3"/>
      <c r="R282" s="3"/>
      <c r="S282" s="3"/>
      <c r="T282" s="3"/>
      <c r="U282" s="3"/>
      <c r="V282" s="3">
        <v>7.56</v>
      </c>
      <c r="W282" s="3"/>
      <c r="X282" s="3"/>
      <c r="Y282" s="3"/>
      <c r="Z282" s="3"/>
      <c r="AA282" s="3"/>
      <c r="AB282" s="23"/>
      <c r="AC282" s="24"/>
      <c r="AD282" s="24"/>
      <c r="AE282" s="24"/>
      <c r="AF282" s="25"/>
      <c r="AG282" s="20"/>
      <c r="AH282" s="21"/>
      <c r="AI282" s="21"/>
      <c r="AJ282" s="21"/>
      <c r="AK282" s="22"/>
      <c r="AL282" s="17">
        <v>86.52</v>
      </c>
      <c r="AO282" s="54"/>
    </row>
    <row r="283" spans="1:41" s="15" customFormat="1" ht="21.75" hidden="1" customHeight="1" outlineLevel="2" x14ac:dyDescent="0.2">
      <c r="A283" s="6" t="s">
        <v>288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5">
        <v>1.5</v>
      </c>
      <c r="P283" s="5"/>
      <c r="Q283" s="5"/>
      <c r="R283" s="5"/>
      <c r="S283" s="5"/>
      <c r="T283" s="5"/>
      <c r="U283" s="5"/>
      <c r="V283" s="5">
        <v>1.5</v>
      </c>
      <c r="W283" s="5"/>
      <c r="X283" s="5"/>
      <c r="Y283" s="5"/>
      <c r="Z283" s="5"/>
      <c r="AA283" s="5"/>
      <c r="AB283" s="23"/>
      <c r="AC283" s="24"/>
      <c r="AD283" s="24"/>
      <c r="AE283" s="24"/>
      <c r="AF283" s="25"/>
      <c r="AG283" s="20"/>
      <c r="AH283" s="21"/>
      <c r="AI283" s="21"/>
      <c r="AJ283" s="21"/>
      <c r="AK283" s="22"/>
      <c r="AL283" s="17">
        <v>51.9</v>
      </c>
      <c r="AO283" s="54"/>
    </row>
    <row r="284" spans="1:41" s="15" customFormat="1" ht="10.5" hidden="1" customHeight="1" outlineLevel="2" x14ac:dyDescent="0.2">
      <c r="A284" s="6" t="s">
        <v>289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2">
        <v>15</v>
      </c>
      <c r="P284" s="2"/>
      <c r="Q284" s="2"/>
      <c r="R284" s="2"/>
      <c r="S284" s="2"/>
      <c r="T284" s="2"/>
      <c r="U284" s="2"/>
      <c r="V284" s="2">
        <v>15</v>
      </c>
      <c r="W284" s="2"/>
      <c r="X284" s="2"/>
      <c r="Y284" s="2"/>
      <c r="Z284" s="2"/>
      <c r="AA284" s="2"/>
      <c r="AB284" s="23"/>
      <c r="AC284" s="24"/>
      <c r="AD284" s="24"/>
      <c r="AE284" s="24"/>
      <c r="AF284" s="25"/>
      <c r="AG284" s="20"/>
      <c r="AH284" s="21"/>
      <c r="AI284" s="21"/>
      <c r="AJ284" s="21"/>
      <c r="AK284" s="22"/>
      <c r="AL284" s="17">
        <v>111</v>
      </c>
      <c r="AO284" s="54"/>
    </row>
    <row r="285" spans="1:41" s="15" customFormat="1" ht="10.5" hidden="1" customHeight="1" outlineLevel="2" x14ac:dyDescent="0.2">
      <c r="A285" s="6" t="s">
        <v>290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5">
        <v>9.6</v>
      </c>
      <c r="P285" s="5"/>
      <c r="Q285" s="5"/>
      <c r="R285" s="5"/>
      <c r="S285" s="5"/>
      <c r="T285" s="5"/>
      <c r="U285" s="5"/>
      <c r="V285" s="5">
        <v>9.6</v>
      </c>
      <c r="W285" s="5"/>
      <c r="X285" s="5"/>
      <c r="Y285" s="5"/>
      <c r="Z285" s="5"/>
      <c r="AA285" s="5"/>
      <c r="AB285" s="23"/>
      <c r="AC285" s="24"/>
      <c r="AD285" s="24"/>
      <c r="AE285" s="24"/>
      <c r="AF285" s="25"/>
      <c r="AG285" s="20"/>
      <c r="AH285" s="21"/>
      <c r="AI285" s="21"/>
      <c r="AJ285" s="21"/>
      <c r="AK285" s="22"/>
      <c r="AL285" s="17">
        <v>94.5</v>
      </c>
      <c r="AO285" s="54"/>
    </row>
    <row r="286" spans="1:41" s="15" customFormat="1" ht="10.5" hidden="1" customHeight="1" outlineLevel="2" x14ac:dyDescent="0.2">
      <c r="A286" s="6" t="s">
        <v>291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5">
        <v>17.100000000000001</v>
      </c>
      <c r="P286" s="5"/>
      <c r="Q286" s="5"/>
      <c r="R286" s="5"/>
      <c r="S286" s="5"/>
      <c r="T286" s="5"/>
      <c r="U286" s="5"/>
      <c r="V286" s="5">
        <v>16.8</v>
      </c>
      <c r="W286" s="5"/>
      <c r="X286" s="5"/>
      <c r="Y286" s="5"/>
      <c r="Z286" s="5"/>
      <c r="AA286" s="5"/>
      <c r="AB286" s="5">
        <v>0.3</v>
      </c>
      <c r="AC286" s="5"/>
      <c r="AD286" s="5"/>
      <c r="AE286" s="5"/>
      <c r="AF286" s="5"/>
      <c r="AG286" s="5">
        <v>0.3</v>
      </c>
      <c r="AH286" s="5"/>
      <c r="AI286" s="5"/>
      <c r="AJ286" s="5"/>
      <c r="AK286" s="5"/>
      <c r="AL286" s="17">
        <v>183.3</v>
      </c>
      <c r="AN286" s="53">
        <f>AL286-AG286</f>
        <v>183</v>
      </c>
      <c r="AO286" s="54"/>
    </row>
    <row r="287" spans="1:41" s="15" customFormat="1" ht="10.5" hidden="1" customHeight="1" outlineLevel="2" x14ac:dyDescent="0.2">
      <c r="A287" s="6" t="s">
        <v>292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3">
        <v>1.98</v>
      </c>
      <c r="P287" s="3"/>
      <c r="Q287" s="3"/>
      <c r="R287" s="3"/>
      <c r="S287" s="3"/>
      <c r="T287" s="3"/>
      <c r="U287" s="3"/>
      <c r="V287" s="5">
        <v>2.2000000000000002</v>
      </c>
      <c r="W287" s="5"/>
      <c r="X287" s="5"/>
      <c r="Y287" s="5"/>
      <c r="Z287" s="5"/>
      <c r="AA287" s="5"/>
      <c r="AB287" s="3">
        <v>-0.22</v>
      </c>
      <c r="AC287" s="3"/>
      <c r="AD287" s="3"/>
      <c r="AE287" s="3"/>
      <c r="AF287" s="3"/>
      <c r="AG287" s="20"/>
      <c r="AH287" s="21"/>
      <c r="AI287" s="21"/>
      <c r="AJ287" s="21"/>
      <c r="AK287" s="22"/>
      <c r="AL287" s="17">
        <v>5.28</v>
      </c>
      <c r="AO287" s="54"/>
    </row>
    <row r="288" spans="1:41" s="15" customFormat="1" ht="10.5" hidden="1" customHeight="1" outlineLevel="2" x14ac:dyDescent="0.2">
      <c r="A288" s="6" t="s">
        <v>293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3">
        <v>24.75</v>
      </c>
      <c r="P288" s="3"/>
      <c r="Q288" s="3"/>
      <c r="R288" s="3"/>
      <c r="S288" s="3"/>
      <c r="T288" s="3"/>
      <c r="U288" s="3"/>
      <c r="V288" s="3">
        <v>24.75</v>
      </c>
      <c r="W288" s="3"/>
      <c r="X288" s="3"/>
      <c r="Y288" s="3"/>
      <c r="Z288" s="3"/>
      <c r="AA288" s="3"/>
      <c r="AB288" s="23"/>
      <c r="AC288" s="24"/>
      <c r="AD288" s="24"/>
      <c r="AE288" s="24"/>
      <c r="AF288" s="25"/>
      <c r="AG288" s="20"/>
      <c r="AH288" s="21"/>
      <c r="AI288" s="21"/>
      <c r="AJ288" s="21"/>
      <c r="AK288" s="22"/>
      <c r="AL288" s="17">
        <v>145.5</v>
      </c>
      <c r="AO288" s="54"/>
    </row>
    <row r="289" spans="1:41" s="15" customFormat="1" ht="10.5" hidden="1" customHeight="1" outlineLevel="2" x14ac:dyDescent="0.2">
      <c r="A289" s="6" t="s">
        <v>294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5">
        <v>5.8</v>
      </c>
      <c r="P289" s="5"/>
      <c r="Q289" s="5"/>
      <c r="R289" s="5"/>
      <c r="S289" s="5"/>
      <c r="T289" s="5"/>
      <c r="U289" s="5"/>
      <c r="V289" s="5">
        <v>5.8</v>
      </c>
      <c r="W289" s="5"/>
      <c r="X289" s="5"/>
      <c r="Y289" s="5"/>
      <c r="Z289" s="5"/>
      <c r="AA289" s="5"/>
      <c r="AB289" s="23"/>
      <c r="AC289" s="24"/>
      <c r="AD289" s="24"/>
      <c r="AE289" s="24"/>
      <c r="AF289" s="25"/>
      <c r="AG289" s="20"/>
      <c r="AH289" s="21"/>
      <c r="AI289" s="21"/>
      <c r="AJ289" s="21"/>
      <c r="AK289" s="22"/>
      <c r="AL289" s="17">
        <v>27.4</v>
      </c>
      <c r="AO289" s="54"/>
    </row>
    <row r="290" spans="1:41" s="15" customFormat="1" ht="21.75" hidden="1" customHeight="1" outlineLevel="2" x14ac:dyDescent="0.2">
      <c r="A290" s="6" t="s">
        <v>295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3">
        <v>3.22</v>
      </c>
      <c r="P290" s="3"/>
      <c r="Q290" s="3"/>
      <c r="R290" s="3"/>
      <c r="S290" s="3"/>
      <c r="T290" s="3"/>
      <c r="U290" s="3"/>
      <c r="V290" s="3">
        <v>3.22</v>
      </c>
      <c r="W290" s="3"/>
      <c r="X290" s="3"/>
      <c r="Y290" s="3"/>
      <c r="Z290" s="3"/>
      <c r="AA290" s="3"/>
      <c r="AB290" s="23"/>
      <c r="AC290" s="24"/>
      <c r="AD290" s="24"/>
      <c r="AE290" s="24"/>
      <c r="AF290" s="25"/>
      <c r="AG290" s="20"/>
      <c r="AH290" s="21"/>
      <c r="AI290" s="21"/>
      <c r="AJ290" s="21"/>
      <c r="AK290" s="22"/>
      <c r="AL290" s="17">
        <v>94.76</v>
      </c>
      <c r="AO290" s="54"/>
    </row>
    <row r="291" spans="1:41" s="15" customFormat="1" ht="10.5" hidden="1" customHeight="1" outlineLevel="2" x14ac:dyDescent="0.2">
      <c r="A291" s="6" t="s">
        <v>296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2">
        <v>130</v>
      </c>
      <c r="P291" s="2"/>
      <c r="Q291" s="2"/>
      <c r="R291" s="2"/>
      <c r="S291" s="2"/>
      <c r="T291" s="2"/>
      <c r="U291" s="2"/>
      <c r="V291" s="2">
        <v>130</v>
      </c>
      <c r="W291" s="2"/>
      <c r="X291" s="2"/>
      <c r="Y291" s="2"/>
      <c r="Z291" s="2"/>
      <c r="AA291" s="2"/>
      <c r="AB291" s="23"/>
      <c r="AC291" s="24"/>
      <c r="AD291" s="24"/>
      <c r="AE291" s="24"/>
      <c r="AF291" s="25"/>
      <c r="AG291" s="20"/>
      <c r="AH291" s="21"/>
      <c r="AI291" s="21"/>
      <c r="AJ291" s="21"/>
      <c r="AK291" s="22"/>
      <c r="AL291" s="17">
        <v>60</v>
      </c>
      <c r="AO291" s="54"/>
    </row>
    <row r="292" spans="1:41" s="15" customFormat="1" ht="12.75" customHeight="1" x14ac:dyDescent="0.2">
      <c r="A292" s="42" t="s">
        <v>297</v>
      </c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3">
        <v>8317.9439999999995</v>
      </c>
      <c r="P292" s="43"/>
      <c r="Q292" s="43"/>
      <c r="R292" s="43"/>
      <c r="S292" s="43"/>
      <c r="T292" s="43"/>
      <c r="U292" s="43"/>
      <c r="V292" s="43">
        <v>6898.7370000000001</v>
      </c>
      <c r="W292" s="43"/>
      <c r="X292" s="43"/>
      <c r="Y292" s="43"/>
      <c r="Z292" s="43"/>
      <c r="AA292" s="43"/>
      <c r="AB292" s="43">
        <v>1419.2070000000001</v>
      </c>
      <c r="AC292" s="43"/>
      <c r="AD292" s="43"/>
      <c r="AE292" s="43"/>
      <c r="AF292" s="43"/>
      <c r="AG292" s="43">
        <v>1696.588</v>
      </c>
      <c r="AH292" s="43"/>
      <c r="AI292" s="43"/>
      <c r="AJ292" s="43"/>
      <c r="AK292" s="43"/>
      <c r="AL292" s="17"/>
      <c r="AO292" s="54"/>
    </row>
    <row r="293" spans="1:41" s="15" customFormat="1" ht="9.75" customHeight="1" x14ac:dyDescent="0.2">
      <c r="AO293" s="54"/>
    </row>
  </sheetData>
  <autoFilter ref="AN4:AN5" xr:uid="{7D09C829-644D-47CF-B94C-84943C35F31C}"/>
  <mergeCells count="1161">
    <mergeCell ref="A291:N291"/>
    <mergeCell ref="O291:U291"/>
    <mergeCell ref="V291:AA291"/>
    <mergeCell ref="A292:N292"/>
    <mergeCell ref="O292:U292"/>
    <mergeCell ref="V292:AA292"/>
    <mergeCell ref="AB292:AF292"/>
    <mergeCell ref="AG292:AK292"/>
    <mergeCell ref="A286:N286"/>
    <mergeCell ref="O286:U286"/>
    <mergeCell ref="V286:AA286"/>
    <mergeCell ref="AB286:AF286"/>
    <mergeCell ref="AG286:AK286"/>
    <mergeCell ref="A287:N287"/>
    <mergeCell ref="O287:U287"/>
    <mergeCell ref="V287:AA287"/>
    <mergeCell ref="AB287:AF287"/>
    <mergeCell ref="A288:N288"/>
    <mergeCell ref="O288:U288"/>
    <mergeCell ref="V288:AA288"/>
    <mergeCell ref="A289:N289"/>
    <mergeCell ref="O289:U289"/>
    <mergeCell ref="V289:AA289"/>
    <mergeCell ref="A290:N290"/>
    <mergeCell ref="O290:U290"/>
    <mergeCell ref="V290:AA290"/>
    <mergeCell ref="A280:N280"/>
    <mergeCell ref="O280:U280"/>
    <mergeCell ref="V280:AA280"/>
    <mergeCell ref="AB280:AF280"/>
    <mergeCell ref="A281:N281"/>
    <mergeCell ref="O281:U281"/>
    <mergeCell ref="V281:AA281"/>
    <mergeCell ref="A282:N282"/>
    <mergeCell ref="O282:U282"/>
    <mergeCell ref="V282:AA282"/>
    <mergeCell ref="A283:N283"/>
    <mergeCell ref="O283:U283"/>
    <mergeCell ref="V283:AA283"/>
    <mergeCell ref="A284:N284"/>
    <mergeCell ref="O284:U284"/>
    <mergeCell ref="V284:AA284"/>
    <mergeCell ref="A285:N285"/>
    <mergeCell ref="O285:U285"/>
    <mergeCell ref="V285:AA285"/>
    <mergeCell ref="A276:N276"/>
    <mergeCell ref="O276:U276"/>
    <mergeCell ref="V276:AA276"/>
    <mergeCell ref="A277:N277"/>
    <mergeCell ref="O277:U277"/>
    <mergeCell ref="V277:AA277"/>
    <mergeCell ref="AB277:AF277"/>
    <mergeCell ref="AG277:AK277"/>
    <mergeCell ref="A278:N278"/>
    <mergeCell ref="O278:U278"/>
    <mergeCell ref="V278:AA278"/>
    <mergeCell ref="AB278:AF278"/>
    <mergeCell ref="AG278:AK278"/>
    <mergeCell ref="A279:N279"/>
    <mergeCell ref="O279:U279"/>
    <mergeCell ref="AB279:AF279"/>
    <mergeCell ref="AG279:AK279"/>
    <mergeCell ref="A271:N271"/>
    <mergeCell ref="O271:U271"/>
    <mergeCell ref="V271:AA271"/>
    <mergeCell ref="AB271:AF271"/>
    <mergeCell ref="AG271:AK271"/>
    <mergeCell ref="A272:N272"/>
    <mergeCell ref="O272:U272"/>
    <mergeCell ref="V272:AA272"/>
    <mergeCell ref="A273:N273"/>
    <mergeCell ref="O273:U273"/>
    <mergeCell ref="V273:AA273"/>
    <mergeCell ref="A274:N274"/>
    <mergeCell ref="O274:U274"/>
    <mergeCell ref="V274:AA274"/>
    <mergeCell ref="A275:N275"/>
    <mergeCell ref="O275:U275"/>
    <mergeCell ref="V275:AA275"/>
    <mergeCell ref="A266:N266"/>
    <mergeCell ref="O266:U266"/>
    <mergeCell ref="V266:AA266"/>
    <mergeCell ref="A267:N267"/>
    <mergeCell ref="O267:U267"/>
    <mergeCell ref="V267:AA267"/>
    <mergeCell ref="AB267:AF267"/>
    <mergeCell ref="A268:N268"/>
    <mergeCell ref="O268:U268"/>
    <mergeCell ref="AB268:AF268"/>
    <mergeCell ref="AG268:AK268"/>
    <mergeCell ref="A269:N269"/>
    <mergeCell ref="O269:U269"/>
    <mergeCell ref="V269:AA269"/>
    <mergeCell ref="AB269:AF269"/>
    <mergeCell ref="A270:N270"/>
    <mergeCell ref="O270:U270"/>
    <mergeCell ref="AB270:AF270"/>
    <mergeCell ref="AG270:AK270"/>
    <mergeCell ref="A260:N260"/>
    <mergeCell ref="O260:U260"/>
    <mergeCell ref="V260:AA260"/>
    <mergeCell ref="AB260:AF260"/>
    <mergeCell ref="A261:N261"/>
    <mergeCell ref="O261:U261"/>
    <mergeCell ref="V261:AA261"/>
    <mergeCell ref="A262:N262"/>
    <mergeCell ref="O262:U262"/>
    <mergeCell ref="V262:AA262"/>
    <mergeCell ref="A263:N263"/>
    <mergeCell ref="O263:U263"/>
    <mergeCell ref="V263:AA263"/>
    <mergeCell ref="A264:N264"/>
    <mergeCell ref="O264:U264"/>
    <mergeCell ref="V264:AA264"/>
    <mergeCell ref="A265:N265"/>
    <mergeCell ref="O265:U265"/>
    <mergeCell ref="V265:AA265"/>
    <mergeCell ref="AB265:AF265"/>
    <mergeCell ref="AB254:AF254"/>
    <mergeCell ref="A255:N255"/>
    <mergeCell ref="O255:U255"/>
    <mergeCell ref="V255:AA255"/>
    <mergeCell ref="A256:N256"/>
    <mergeCell ref="O256:U256"/>
    <mergeCell ref="V256:AA256"/>
    <mergeCell ref="A257:N257"/>
    <mergeCell ref="O257:U257"/>
    <mergeCell ref="V257:AA257"/>
    <mergeCell ref="AB257:AF257"/>
    <mergeCell ref="A258:N258"/>
    <mergeCell ref="O258:U258"/>
    <mergeCell ref="V258:AA258"/>
    <mergeCell ref="A259:N259"/>
    <mergeCell ref="O259:U259"/>
    <mergeCell ref="V259:AA259"/>
    <mergeCell ref="A249:N249"/>
    <mergeCell ref="O249:U249"/>
    <mergeCell ref="V249:AA249"/>
    <mergeCell ref="A250:N250"/>
    <mergeCell ref="O250:U250"/>
    <mergeCell ref="V250:AA250"/>
    <mergeCell ref="A251:N251"/>
    <mergeCell ref="O251:U251"/>
    <mergeCell ref="V251:AA251"/>
    <mergeCell ref="A252:N252"/>
    <mergeCell ref="O252:U252"/>
    <mergeCell ref="V252:AA252"/>
    <mergeCell ref="A253:N253"/>
    <mergeCell ref="O253:U253"/>
    <mergeCell ref="V253:AA253"/>
    <mergeCell ref="A254:N254"/>
    <mergeCell ref="O254:U254"/>
    <mergeCell ref="V254:AA254"/>
    <mergeCell ref="A243:N243"/>
    <mergeCell ref="O243:U243"/>
    <mergeCell ref="V243:AA243"/>
    <mergeCell ref="A244:N244"/>
    <mergeCell ref="O244:U244"/>
    <mergeCell ref="V244:AA244"/>
    <mergeCell ref="A245:N245"/>
    <mergeCell ref="O245:U245"/>
    <mergeCell ref="V245:AA245"/>
    <mergeCell ref="A246:N246"/>
    <mergeCell ref="O246:U246"/>
    <mergeCell ref="V246:AA246"/>
    <mergeCell ref="A247:N247"/>
    <mergeCell ref="O247:U247"/>
    <mergeCell ref="V247:AA247"/>
    <mergeCell ref="A248:N248"/>
    <mergeCell ref="O248:U248"/>
    <mergeCell ref="V248:AA248"/>
    <mergeCell ref="A238:N238"/>
    <mergeCell ref="O238:U238"/>
    <mergeCell ref="V238:AA238"/>
    <mergeCell ref="A239:N239"/>
    <mergeCell ref="O239:U239"/>
    <mergeCell ref="V239:AA239"/>
    <mergeCell ref="AB239:AF239"/>
    <mergeCell ref="AG239:AK239"/>
    <mergeCell ref="A240:N240"/>
    <mergeCell ref="O240:U240"/>
    <mergeCell ref="V240:AA240"/>
    <mergeCell ref="A241:N241"/>
    <mergeCell ref="O241:U241"/>
    <mergeCell ref="AB241:AF241"/>
    <mergeCell ref="AG241:AK241"/>
    <mergeCell ref="A242:N242"/>
    <mergeCell ref="O242:U242"/>
    <mergeCell ref="V242:AA242"/>
    <mergeCell ref="AB242:AF242"/>
    <mergeCell ref="AG242:AK242"/>
    <mergeCell ref="A233:N233"/>
    <mergeCell ref="O233:U233"/>
    <mergeCell ref="V233:AA233"/>
    <mergeCell ref="A234:N234"/>
    <mergeCell ref="O234:U234"/>
    <mergeCell ref="V234:AA234"/>
    <mergeCell ref="AB234:AF234"/>
    <mergeCell ref="A235:N235"/>
    <mergeCell ref="O235:U235"/>
    <mergeCell ref="V235:AA235"/>
    <mergeCell ref="A236:N236"/>
    <mergeCell ref="O236:U236"/>
    <mergeCell ref="V236:AA236"/>
    <mergeCell ref="AB236:AF236"/>
    <mergeCell ref="AG236:AK236"/>
    <mergeCell ref="A237:N237"/>
    <mergeCell ref="O237:U237"/>
    <mergeCell ref="V237:AA237"/>
    <mergeCell ref="A228:N228"/>
    <mergeCell ref="O228:U228"/>
    <mergeCell ref="V228:AA228"/>
    <mergeCell ref="A229:N229"/>
    <mergeCell ref="O229:U229"/>
    <mergeCell ref="V229:AA229"/>
    <mergeCell ref="AB229:AF229"/>
    <mergeCell ref="A230:N230"/>
    <mergeCell ref="O230:U230"/>
    <mergeCell ref="V230:AA230"/>
    <mergeCell ref="A231:N231"/>
    <mergeCell ref="O231:U231"/>
    <mergeCell ref="AB231:AF231"/>
    <mergeCell ref="AG231:AK231"/>
    <mergeCell ref="A232:N232"/>
    <mergeCell ref="O232:U232"/>
    <mergeCell ref="AB232:AF232"/>
    <mergeCell ref="AG232:AK232"/>
    <mergeCell ref="A223:N223"/>
    <mergeCell ref="O223:U223"/>
    <mergeCell ref="V223:AA223"/>
    <mergeCell ref="AB223:AF223"/>
    <mergeCell ref="A224:N224"/>
    <mergeCell ref="O224:U224"/>
    <mergeCell ref="AB224:AF224"/>
    <mergeCell ref="AG224:AK224"/>
    <mergeCell ref="A225:N225"/>
    <mergeCell ref="O225:U225"/>
    <mergeCell ref="AB225:AF225"/>
    <mergeCell ref="AG225:AK225"/>
    <mergeCell ref="A226:N226"/>
    <mergeCell ref="O226:U226"/>
    <mergeCell ref="AB226:AF226"/>
    <mergeCell ref="AG226:AK226"/>
    <mergeCell ref="A227:N227"/>
    <mergeCell ref="O227:U227"/>
    <mergeCell ref="V227:AA227"/>
    <mergeCell ref="AB227:AF227"/>
    <mergeCell ref="AG227:AK227"/>
    <mergeCell ref="A219:N219"/>
    <mergeCell ref="O219:U219"/>
    <mergeCell ref="V219:AA219"/>
    <mergeCell ref="A220:N220"/>
    <mergeCell ref="O220:U220"/>
    <mergeCell ref="V220:AA220"/>
    <mergeCell ref="AB220:AF220"/>
    <mergeCell ref="AG220:AK220"/>
    <mergeCell ref="A221:N221"/>
    <mergeCell ref="O221:U221"/>
    <mergeCell ref="V221:AA221"/>
    <mergeCell ref="AB221:AF221"/>
    <mergeCell ref="AG221:AK221"/>
    <mergeCell ref="A222:N222"/>
    <mergeCell ref="O222:U222"/>
    <mergeCell ref="V222:AA222"/>
    <mergeCell ref="AB222:AF222"/>
    <mergeCell ref="A215:N215"/>
    <mergeCell ref="O215:U215"/>
    <mergeCell ref="V215:AA215"/>
    <mergeCell ref="AB215:AF215"/>
    <mergeCell ref="AG215:AK215"/>
    <mergeCell ref="A216:N216"/>
    <mergeCell ref="O216:U216"/>
    <mergeCell ref="V216:AA216"/>
    <mergeCell ref="AB216:AF216"/>
    <mergeCell ref="AG216:AK216"/>
    <mergeCell ref="A217:N217"/>
    <mergeCell ref="O217:U217"/>
    <mergeCell ref="V217:AA217"/>
    <mergeCell ref="A218:N218"/>
    <mergeCell ref="O218:U218"/>
    <mergeCell ref="V218:AA218"/>
    <mergeCell ref="AB218:AF218"/>
    <mergeCell ref="AG218:AK218"/>
    <mergeCell ref="A211:N211"/>
    <mergeCell ref="O211:U211"/>
    <mergeCell ref="V211:AA211"/>
    <mergeCell ref="AB211:AF211"/>
    <mergeCell ref="AG211:AK211"/>
    <mergeCell ref="A212:N212"/>
    <mergeCell ref="O212:U212"/>
    <mergeCell ref="V212:AA212"/>
    <mergeCell ref="AB212:AF212"/>
    <mergeCell ref="AG212:AK212"/>
    <mergeCell ref="A213:N213"/>
    <mergeCell ref="O213:U213"/>
    <mergeCell ref="V213:AA213"/>
    <mergeCell ref="AB213:AF213"/>
    <mergeCell ref="AG213:AK213"/>
    <mergeCell ref="A214:N214"/>
    <mergeCell ref="O214:U214"/>
    <mergeCell ref="V214:AA214"/>
    <mergeCell ref="AB214:AF214"/>
    <mergeCell ref="A207:N207"/>
    <mergeCell ref="O207:U207"/>
    <mergeCell ref="V207:AA207"/>
    <mergeCell ref="AB207:AF207"/>
    <mergeCell ref="AG207:AK207"/>
    <mergeCell ref="A208:N208"/>
    <mergeCell ref="O208:U208"/>
    <mergeCell ref="V208:AA208"/>
    <mergeCell ref="AB208:AF208"/>
    <mergeCell ref="AG208:AK208"/>
    <mergeCell ref="A209:N209"/>
    <mergeCell ref="O209:U209"/>
    <mergeCell ref="V209:AA209"/>
    <mergeCell ref="AB209:AF209"/>
    <mergeCell ref="AG209:AK209"/>
    <mergeCell ref="A210:N210"/>
    <mergeCell ref="O210:U210"/>
    <mergeCell ref="V210:AA210"/>
    <mergeCell ref="AB210:AF210"/>
    <mergeCell ref="AG210:AK210"/>
    <mergeCell ref="A203:N203"/>
    <mergeCell ref="O203:U203"/>
    <mergeCell ref="AB203:AF203"/>
    <mergeCell ref="AG203:AK203"/>
    <mergeCell ref="A204:N204"/>
    <mergeCell ref="O204:U204"/>
    <mergeCell ref="V204:AA204"/>
    <mergeCell ref="AB204:AF204"/>
    <mergeCell ref="A205:N205"/>
    <mergeCell ref="O205:U205"/>
    <mergeCell ref="V205:AA205"/>
    <mergeCell ref="AB205:AF205"/>
    <mergeCell ref="AG205:AK205"/>
    <mergeCell ref="A206:N206"/>
    <mergeCell ref="O206:U206"/>
    <mergeCell ref="V206:AA206"/>
    <mergeCell ref="AB206:AF206"/>
    <mergeCell ref="AG206:AK206"/>
    <mergeCell ref="A199:N199"/>
    <mergeCell ref="O199:U199"/>
    <mergeCell ref="V199:AA199"/>
    <mergeCell ref="AB199:AF199"/>
    <mergeCell ref="AG199:AK199"/>
    <mergeCell ref="A200:N200"/>
    <mergeCell ref="O200:U200"/>
    <mergeCell ref="V200:AA200"/>
    <mergeCell ref="AB200:AF200"/>
    <mergeCell ref="AG200:AK200"/>
    <mergeCell ref="A201:N201"/>
    <mergeCell ref="O201:U201"/>
    <mergeCell ref="V201:AA201"/>
    <mergeCell ref="AB201:AF201"/>
    <mergeCell ref="AG201:AK201"/>
    <mergeCell ref="A202:N202"/>
    <mergeCell ref="O202:U202"/>
    <mergeCell ref="AB202:AF202"/>
    <mergeCell ref="AG202:AK202"/>
    <mergeCell ref="A195:N195"/>
    <mergeCell ref="O195:U195"/>
    <mergeCell ref="V195:AA195"/>
    <mergeCell ref="AB195:AF195"/>
    <mergeCell ref="AG195:AK195"/>
    <mergeCell ref="A196:N196"/>
    <mergeCell ref="O196:U196"/>
    <mergeCell ref="V196:AA196"/>
    <mergeCell ref="AB196:AF196"/>
    <mergeCell ref="AG196:AK196"/>
    <mergeCell ref="A197:N197"/>
    <mergeCell ref="O197:U197"/>
    <mergeCell ref="AB197:AF197"/>
    <mergeCell ref="AG197:AK197"/>
    <mergeCell ref="A198:N198"/>
    <mergeCell ref="O198:U198"/>
    <mergeCell ref="V198:AA198"/>
    <mergeCell ref="AB198:AF198"/>
    <mergeCell ref="AG198:AK198"/>
    <mergeCell ref="A191:N191"/>
    <mergeCell ref="O191:U191"/>
    <mergeCell ref="V191:AA191"/>
    <mergeCell ref="AB191:AF191"/>
    <mergeCell ref="AG191:AK191"/>
    <mergeCell ref="A192:N192"/>
    <mergeCell ref="O192:U192"/>
    <mergeCell ref="V192:AA192"/>
    <mergeCell ref="AB192:AF192"/>
    <mergeCell ref="AG192:AK192"/>
    <mergeCell ref="A193:N193"/>
    <mergeCell ref="O193:U193"/>
    <mergeCell ref="V193:AA193"/>
    <mergeCell ref="AB193:AF193"/>
    <mergeCell ref="AG193:AK193"/>
    <mergeCell ref="A194:N194"/>
    <mergeCell ref="O194:U194"/>
    <mergeCell ref="V194:AA194"/>
    <mergeCell ref="AB194:AF194"/>
    <mergeCell ref="A187:N187"/>
    <mergeCell ref="O187:U187"/>
    <mergeCell ref="V187:AA187"/>
    <mergeCell ref="AB187:AF187"/>
    <mergeCell ref="AG187:AK187"/>
    <mergeCell ref="A188:N188"/>
    <mergeCell ref="O188:U188"/>
    <mergeCell ref="AB188:AF188"/>
    <mergeCell ref="AG188:AK188"/>
    <mergeCell ref="A189:N189"/>
    <mergeCell ref="O189:U189"/>
    <mergeCell ref="AB189:AF189"/>
    <mergeCell ref="AG189:AK189"/>
    <mergeCell ref="A190:N190"/>
    <mergeCell ref="O190:U190"/>
    <mergeCell ref="V190:AA190"/>
    <mergeCell ref="AB190:AF190"/>
    <mergeCell ref="AG190:AK190"/>
    <mergeCell ref="A183:N183"/>
    <mergeCell ref="O183:U183"/>
    <mergeCell ref="V183:AA183"/>
    <mergeCell ref="AB183:AF183"/>
    <mergeCell ref="AG183:AK183"/>
    <mergeCell ref="A184:N184"/>
    <mergeCell ref="O184:U184"/>
    <mergeCell ref="V184:AA184"/>
    <mergeCell ref="AB184:AF184"/>
    <mergeCell ref="AG184:AK184"/>
    <mergeCell ref="A185:N185"/>
    <mergeCell ref="O185:U185"/>
    <mergeCell ref="V185:AA185"/>
    <mergeCell ref="AB185:AF185"/>
    <mergeCell ref="AG185:AK185"/>
    <mergeCell ref="A186:N186"/>
    <mergeCell ref="O186:U186"/>
    <mergeCell ref="V186:AA186"/>
    <mergeCell ref="AB186:AF186"/>
    <mergeCell ref="AG186:AK186"/>
    <mergeCell ref="A179:N179"/>
    <mergeCell ref="O179:U179"/>
    <mergeCell ref="V179:AA179"/>
    <mergeCell ref="AB179:AF179"/>
    <mergeCell ref="AG179:AK179"/>
    <mergeCell ref="A180:N180"/>
    <mergeCell ref="O180:U180"/>
    <mergeCell ref="V180:AA180"/>
    <mergeCell ref="AB180:AF180"/>
    <mergeCell ref="AG180:AK180"/>
    <mergeCell ref="A181:N181"/>
    <mergeCell ref="O181:U181"/>
    <mergeCell ref="V181:AA181"/>
    <mergeCell ref="AB181:AF181"/>
    <mergeCell ref="AG181:AK181"/>
    <mergeCell ref="A182:N182"/>
    <mergeCell ref="O182:U182"/>
    <mergeCell ref="V182:AA182"/>
    <mergeCell ref="AB182:AF182"/>
    <mergeCell ref="AG182:AK182"/>
    <mergeCell ref="A175:N175"/>
    <mergeCell ref="O175:U175"/>
    <mergeCell ref="V175:AA175"/>
    <mergeCell ref="AB175:AF175"/>
    <mergeCell ref="AG175:AK175"/>
    <mergeCell ref="A176:N176"/>
    <mergeCell ref="O176:U176"/>
    <mergeCell ref="V176:AA176"/>
    <mergeCell ref="AB176:AF176"/>
    <mergeCell ref="AG176:AK176"/>
    <mergeCell ref="A177:N177"/>
    <mergeCell ref="O177:U177"/>
    <mergeCell ref="V177:AA177"/>
    <mergeCell ref="AB177:AF177"/>
    <mergeCell ref="AG177:AK177"/>
    <mergeCell ref="A178:N178"/>
    <mergeCell ref="O178:U178"/>
    <mergeCell ref="V178:AA178"/>
    <mergeCell ref="AB178:AF178"/>
    <mergeCell ref="AG178:AK178"/>
    <mergeCell ref="A170:N170"/>
    <mergeCell ref="O170:U170"/>
    <mergeCell ref="V170:AA170"/>
    <mergeCell ref="AB170:AF170"/>
    <mergeCell ref="AG170:AK170"/>
    <mergeCell ref="A171:N171"/>
    <mergeCell ref="O171:U171"/>
    <mergeCell ref="V171:AA171"/>
    <mergeCell ref="AB171:AF171"/>
    <mergeCell ref="A172:N172"/>
    <mergeCell ref="O172:U172"/>
    <mergeCell ref="V172:AA172"/>
    <mergeCell ref="A173:N173"/>
    <mergeCell ref="O173:U173"/>
    <mergeCell ref="V173:AA173"/>
    <mergeCell ref="AB173:AF173"/>
    <mergeCell ref="A174:N174"/>
    <mergeCell ref="O174:U174"/>
    <mergeCell ref="V174:AA174"/>
    <mergeCell ref="AB174:AF174"/>
    <mergeCell ref="A165:N165"/>
    <mergeCell ref="O165:U165"/>
    <mergeCell ref="AB165:AF165"/>
    <mergeCell ref="AG165:AK165"/>
    <mergeCell ref="A166:N166"/>
    <mergeCell ref="O166:U166"/>
    <mergeCell ref="V166:AA166"/>
    <mergeCell ref="AB166:AF166"/>
    <mergeCell ref="AG166:AK166"/>
    <mergeCell ref="A167:N167"/>
    <mergeCell ref="O167:U167"/>
    <mergeCell ref="AB167:AF167"/>
    <mergeCell ref="AG167:AK167"/>
    <mergeCell ref="A168:N168"/>
    <mergeCell ref="O168:U168"/>
    <mergeCell ref="V168:AA168"/>
    <mergeCell ref="A169:N169"/>
    <mergeCell ref="O169:U169"/>
    <mergeCell ref="V169:AA169"/>
    <mergeCell ref="AB169:AF169"/>
    <mergeCell ref="AG169:AK169"/>
    <mergeCell ref="A160:N160"/>
    <mergeCell ref="O160:U160"/>
    <mergeCell ref="V160:AA160"/>
    <mergeCell ref="AB160:AF160"/>
    <mergeCell ref="AG160:AK160"/>
    <mergeCell ref="A161:N161"/>
    <mergeCell ref="O161:U161"/>
    <mergeCell ref="V161:AA161"/>
    <mergeCell ref="AB161:AF161"/>
    <mergeCell ref="AG161:AK161"/>
    <mergeCell ref="A162:N162"/>
    <mergeCell ref="O162:U162"/>
    <mergeCell ref="V162:AA162"/>
    <mergeCell ref="A163:N163"/>
    <mergeCell ref="O163:U163"/>
    <mergeCell ref="V163:AA163"/>
    <mergeCell ref="A164:N164"/>
    <mergeCell ref="O164:U164"/>
    <mergeCell ref="V164:AA164"/>
    <mergeCell ref="AB164:AF164"/>
    <mergeCell ref="AG164:AK164"/>
    <mergeCell ref="A155:N155"/>
    <mergeCell ref="O155:U155"/>
    <mergeCell ref="V155:AA155"/>
    <mergeCell ref="A156:N156"/>
    <mergeCell ref="O156:U156"/>
    <mergeCell ref="V156:AA156"/>
    <mergeCell ref="AB156:AF156"/>
    <mergeCell ref="A157:N157"/>
    <mergeCell ref="O157:U157"/>
    <mergeCell ref="AB157:AF157"/>
    <mergeCell ref="AG157:AK157"/>
    <mergeCell ref="A158:N158"/>
    <mergeCell ref="O158:U158"/>
    <mergeCell ref="V158:AA158"/>
    <mergeCell ref="AB158:AF158"/>
    <mergeCell ref="AG158:AK158"/>
    <mergeCell ref="A159:N159"/>
    <mergeCell ref="O159:U159"/>
    <mergeCell ref="V159:AA159"/>
    <mergeCell ref="AB159:AF159"/>
    <mergeCell ref="A151:N151"/>
    <mergeCell ref="O151:U151"/>
    <mergeCell ref="V151:AA151"/>
    <mergeCell ref="AB151:AF151"/>
    <mergeCell ref="AG151:AK151"/>
    <mergeCell ref="A152:N152"/>
    <mergeCell ref="O152:U152"/>
    <mergeCell ref="V152:AA152"/>
    <mergeCell ref="AB152:AF152"/>
    <mergeCell ref="A153:N153"/>
    <mergeCell ref="O153:U153"/>
    <mergeCell ref="V153:AA153"/>
    <mergeCell ref="AB153:AF153"/>
    <mergeCell ref="AG153:AK153"/>
    <mergeCell ref="A154:N154"/>
    <mergeCell ref="O154:U154"/>
    <mergeCell ref="V154:AA154"/>
    <mergeCell ref="A147:N147"/>
    <mergeCell ref="O147:U147"/>
    <mergeCell ref="V147:AA147"/>
    <mergeCell ref="AB147:AF147"/>
    <mergeCell ref="A148:N148"/>
    <mergeCell ref="O148:U148"/>
    <mergeCell ref="V148:AA148"/>
    <mergeCell ref="AB148:AF148"/>
    <mergeCell ref="A149:N149"/>
    <mergeCell ref="O149:U149"/>
    <mergeCell ref="V149:AA149"/>
    <mergeCell ref="AB149:AF149"/>
    <mergeCell ref="A150:N150"/>
    <mergeCell ref="O150:U150"/>
    <mergeCell ref="V150:AA150"/>
    <mergeCell ref="AB150:AF150"/>
    <mergeCell ref="AG150:AK150"/>
    <mergeCell ref="A143:N143"/>
    <mergeCell ref="O143:U143"/>
    <mergeCell ref="AB143:AF143"/>
    <mergeCell ref="AG143:AK143"/>
    <mergeCell ref="A144:N144"/>
    <mergeCell ref="O144:U144"/>
    <mergeCell ref="V144:AA144"/>
    <mergeCell ref="AB144:AF144"/>
    <mergeCell ref="AG144:AK144"/>
    <mergeCell ref="A145:N145"/>
    <mergeCell ref="O145:U145"/>
    <mergeCell ref="V145:AA145"/>
    <mergeCell ref="AB145:AF145"/>
    <mergeCell ref="AG145:AK145"/>
    <mergeCell ref="A146:N146"/>
    <mergeCell ref="O146:U146"/>
    <mergeCell ref="V146:AA146"/>
    <mergeCell ref="AB146:AF146"/>
    <mergeCell ref="A138:N138"/>
    <mergeCell ref="O138:U138"/>
    <mergeCell ref="V138:AA138"/>
    <mergeCell ref="A139:N139"/>
    <mergeCell ref="O139:U139"/>
    <mergeCell ref="V139:AA139"/>
    <mergeCell ref="A140:N140"/>
    <mergeCell ref="O140:U140"/>
    <mergeCell ref="V140:AA140"/>
    <mergeCell ref="A141:N141"/>
    <mergeCell ref="O141:U141"/>
    <mergeCell ref="V141:AA141"/>
    <mergeCell ref="AB141:AF141"/>
    <mergeCell ref="AG141:AK141"/>
    <mergeCell ref="A142:N142"/>
    <mergeCell ref="O142:U142"/>
    <mergeCell ref="V142:AA142"/>
    <mergeCell ref="AB142:AF142"/>
    <mergeCell ref="AG142:AK142"/>
    <mergeCell ref="A133:N133"/>
    <mergeCell ref="O133:U133"/>
    <mergeCell ref="V133:AA133"/>
    <mergeCell ref="A134:N134"/>
    <mergeCell ref="O134:U134"/>
    <mergeCell ref="V134:AA134"/>
    <mergeCell ref="AB134:AF134"/>
    <mergeCell ref="A135:N135"/>
    <mergeCell ref="O135:U135"/>
    <mergeCell ref="V135:AA135"/>
    <mergeCell ref="AB135:AF135"/>
    <mergeCell ref="A136:N136"/>
    <mergeCell ref="O136:U136"/>
    <mergeCell ref="V136:AA136"/>
    <mergeCell ref="A137:N137"/>
    <mergeCell ref="O137:U137"/>
    <mergeCell ref="V137:AA137"/>
    <mergeCell ref="A129:N129"/>
    <mergeCell ref="O129:U129"/>
    <mergeCell ref="V129:AA129"/>
    <mergeCell ref="AB129:AF129"/>
    <mergeCell ref="AG129:AK129"/>
    <mergeCell ref="A130:N130"/>
    <mergeCell ref="O130:U130"/>
    <mergeCell ref="V130:AA130"/>
    <mergeCell ref="AB130:AF130"/>
    <mergeCell ref="AG130:AK130"/>
    <mergeCell ref="A131:N131"/>
    <mergeCell ref="O131:U131"/>
    <mergeCell ref="V131:AA131"/>
    <mergeCell ref="A132:N132"/>
    <mergeCell ref="O132:U132"/>
    <mergeCell ref="AB132:AF132"/>
    <mergeCell ref="AG132:AK132"/>
    <mergeCell ref="A123:N123"/>
    <mergeCell ref="O123:U123"/>
    <mergeCell ref="V123:AA123"/>
    <mergeCell ref="A124:N124"/>
    <mergeCell ref="O124:U124"/>
    <mergeCell ref="V124:AA124"/>
    <mergeCell ref="A125:N125"/>
    <mergeCell ref="O125:U125"/>
    <mergeCell ref="AB125:AF125"/>
    <mergeCell ref="AG125:AK125"/>
    <mergeCell ref="A126:N126"/>
    <mergeCell ref="O126:U126"/>
    <mergeCell ref="V126:AA126"/>
    <mergeCell ref="A127:N127"/>
    <mergeCell ref="O127:U127"/>
    <mergeCell ref="V127:AA127"/>
    <mergeCell ref="A128:N128"/>
    <mergeCell ref="O128:U128"/>
    <mergeCell ref="V128:AA128"/>
    <mergeCell ref="AB128:AF128"/>
    <mergeCell ref="AG128:AK128"/>
    <mergeCell ref="A118:N118"/>
    <mergeCell ref="O118:U118"/>
    <mergeCell ref="V118:AA118"/>
    <mergeCell ref="A119:N119"/>
    <mergeCell ref="O119:U119"/>
    <mergeCell ref="V119:AA119"/>
    <mergeCell ref="A120:N120"/>
    <mergeCell ref="O120:U120"/>
    <mergeCell ref="AB120:AF120"/>
    <mergeCell ref="AG120:AK120"/>
    <mergeCell ref="A121:N121"/>
    <mergeCell ref="O121:U121"/>
    <mergeCell ref="V121:AA121"/>
    <mergeCell ref="AB121:AF121"/>
    <mergeCell ref="A122:N122"/>
    <mergeCell ref="O122:U122"/>
    <mergeCell ref="V122:AA122"/>
    <mergeCell ref="AB122:AF122"/>
    <mergeCell ref="A114:N114"/>
    <mergeCell ref="O114:U114"/>
    <mergeCell ref="V114:AA114"/>
    <mergeCell ref="AB114:AF114"/>
    <mergeCell ref="AG114:AK114"/>
    <mergeCell ref="A115:N115"/>
    <mergeCell ref="O115:U115"/>
    <mergeCell ref="V115:AA115"/>
    <mergeCell ref="AB115:AF115"/>
    <mergeCell ref="AG115:AK115"/>
    <mergeCell ref="A116:N116"/>
    <mergeCell ref="O116:U116"/>
    <mergeCell ref="V116:AA116"/>
    <mergeCell ref="AB116:AF116"/>
    <mergeCell ref="A117:N117"/>
    <mergeCell ref="O117:U117"/>
    <mergeCell ref="V117:AA117"/>
    <mergeCell ref="A110:N110"/>
    <mergeCell ref="O110:U110"/>
    <mergeCell ref="V110:AA110"/>
    <mergeCell ref="AB110:AF110"/>
    <mergeCell ref="AG110:AK110"/>
    <mergeCell ref="A111:N111"/>
    <mergeCell ref="O111:U111"/>
    <mergeCell ref="V111:AA111"/>
    <mergeCell ref="AB111:AF111"/>
    <mergeCell ref="A112:N112"/>
    <mergeCell ref="O112:U112"/>
    <mergeCell ref="V112:AA112"/>
    <mergeCell ref="AB112:AF112"/>
    <mergeCell ref="A113:N113"/>
    <mergeCell ref="O113:U113"/>
    <mergeCell ref="V113:AA113"/>
    <mergeCell ref="AB113:AF113"/>
    <mergeCell ref="A104:N104"/>
    <mergeCell ref="O104:U104"/>
    <mergeCell ref="V104:AA104"/>
    <mergeCell ref="A105:N105"/>
    <mergeCell ref="O105:U105"/>
    <mergeCell ref="V105:AA105"/>
    <mergeCell ref="A106:N106"/>
    <mergeCell ref="O106:U106"/>
    <mergeCell ref="V106:AA106"/>
    <mergeCell ref="A107:N107"/>
    <mergeCell ref="O107:U107"/>
    <mergeCell ref="V107:AA107"/>
    <mergeCell ref="A108:N108"/>
    <mergeCell ref="O108:U108"/>
    <mergeCell ref="AB108:AF108"/>
    <mergeCell ref="AG108:AK108"/>
    <mergeCell ref="A109:N109"/>
    <mergeCell ref="O109:U109"/>
    <mergeCell ref="V109:AA109"/>
    <mergeCell ref="AB109:AF109"/>
    <mergeCell ref="AG109:AK109"/>
    <mergeCell ref="A99:N99"/>
    <mergeCell ref="O99:U99"/>
    <mergeCell ref="AB99:AF99"/>
    <mergeCell ref="AG99:AK99"/>
    <mergeCell ref="A100:N100"/>
    <mergeCell ref="O100:U100"/>
    <mergeCell ref="AB100:AF100"/>
    <mergeCell ref="AG100:AK100"/>
    <mergeCell ref="A101:N101"/>
    <mergeCell ref="O101:U101"/>
    <mergeCell ref="V101:AA101"/>
    <mergeCell ref="A102:N102"/>
    <mergeCell ref="O102:U102"/>
    <mergeCell ref="V102:AA102"/>
    <mergeCell ref="A103:N103"/>
    <mergeCell ref="O103:U103"/>
    <mergeCell ref="V103:AA103"/>
    <mergeCell ref="A94:N94"/>
    <mergeCell ref="O94:U94"/>
    <mergeCell ref="V94:AA94"/>
    <mergeCell ref="AB94:AF94"/>
    <mergeCell ref="A95:N95"/>
    <mergeCell ref="O95:U95"/>
    <mergeCell ref="V95:AA95"/>
    <mergeCell ref="A96:N96"/>
    <mergeCell ref="O96:U96"/>
    <mergeCell ref="V96:AA96"/>
    <mergeCell ref="AB96:AF96"/>
    <mergeCell ref="AG96:AK96"/>
    <mergeCell ref="A97:N97"/>
    <mergeCell ref="O97:U97"/>
    <mergeCell ref="V97:AA97"/>
    <mergeCell ref="A98:N98"/>
    <mergeCell ref="O98:U98"/>
    <mergeCell ref="AB98:AF98"/>
    <mergeCell ref="AG98:AK98"/>
    <mergeCell ref="A89:N89"/>
    <mergeCell ref="O89:U89"/>
    <mergeCell ref="AB89:AF89"/>
    <mergeCell ref="AG89:AK89"/>
    <mergeCell ref="A90:N90"/>
    <mergeCell ref="O90:U90"/>
    <mergeCell ref="AB90:AF90"/>
    <mergeCell ref="AG90:AK90"/>
    <mergeCell ref="A91:N91"/>
    <mergeCell ref="O91:U91"/>
    <mergeCell ref="AB91:AF91"/>
    <mergeCell ref="AG91:AK91"/>
    <mergeCell ref="A92:N92"/>
    <mergeCell ref="O92:U92"/>
    <mergeCell ref="AB92:AF92"/>
    <mergeCell ref="AG92:AK92"/>
    <mergeCell ref="A93:N93"/>
    <mergeCell ref="O93:U93"/>
    <mergeCell ref="V93:AA93"/>
    <mergeCell ref="AB93:AF93"/>
    <mergeCell ref="AG93:AK93"/>
    <mergeCell ref="A84:N84"/>
    <mergeCell ref="O84:U84"/>
    <mergeCell ref="V84:AA84"/>
    <mergeCell ref="A85:N85"/>
    <mergeCell ref="O85:U85"/>
    <mergeCell ref="AB85:AF85"/>
    <mergeCell ref="AG85:AK85"/>
    <mergeCell ref="A86:N86"/>
    <mergeCell ref="O86:U86"/>
    <mergeCell ref="V86:AA86"/>
    <mergeCell ref="A87:N87"/>
    <mergeCell ref="O87:U87"/>
    <mergeCell ref="V87:AA87"/>
    <mergeCell ref="A88:N88"/>
    <mergeCell ref="O88:U88"/>
    <mergeCell ref="AB88:AF88"/>
    <mergeCell ref="AG88:AK88"/>
    <mergeCell ref="A79:N79"/>
    <mergeCell ref="O79:U79"/>
    <mergeCell ref="V79:AA79"/>
    <mergeCell ref="A80:N80"/>
    <mergeCell ref="O80:U80"/>
    <mergeCell ref="AB80:AF80"/>
    <mergeCell ref="AG80:AK80"/>
    <mergeCell ref="A81:N81"/>
    <mergeCell ref="O81:U81"/>
    <mergeCell ref="V81:AA81"/>
    <mergeCell ref="A82:N82"/>
    <mergeCell ref="O82:U82"/>
    <mergeCell ref="V82:AA82"/>
    <mergeCell ref="AB82:AF82"/>
    <mergeCell ref="AG82:AK82"/>
    <mergeCell ref="A83:N83"/>
    <mergeCell ref="O83:U83"/>
    <mergeCell ref="V83:AA83"/>
    <mergeCell ref="AB83:AF83"/>
    <mergeCell ref="AG83:AK83"/>
    <mergeCell ref="A74:N74"/>
    <mergeCell ref="O74:U74"/>
    <mergeCell ref="V74:AA74"/>
    <mergeCell ref="A75:N75"/>
    <mergeCell ref="O75:U75"/>
    <mergeCell ref="V75:AA75"/>
    <mergeCell ref="A76:N76"/>
    <mergeCell ref="O76:U76"/>
    <mergeCell ref="V76:AA76"/>
    <mergeCell ref="AB76:AF76"/>
    <mergeCell ref="AG76:AK76"/>
    <mergeCell ref="A77:N77"/>
    <mergeCell ref="O77:U77"/>
    <mergeCell ref="V77:AA77"/>
    <mergeCell ref="A78:N78"/>
    <mergeCell ref="O78:U78"/>
    <mergeCell ref="AB78:AF78"/>
    <mergeCell ref="AG78:AK78"/>
    <mergeCell ref="A70:N70"/>
    <mergeCell ref="O70:U70"/>
    <mergeCell ref="V70:AA70"/>
    <mergeCell ref="AB70:AF70"/>
    <mergeCell ref="AG70:AK70"/>
    <mergeCell ref="A71:N71"/>
    <mergeCell ref="O71:U71"/>
    <mergeCell ref="V71:AA71"/>
    <mergeCell ref="AB71:AF71"/>
    <mergeCell ref="AG71:AK71"/>
    <mergeCell ref="A72:N72"/>
    <mergeCell ref="O72:U72"/>
    <mergeCell ref="AB72:AF72"/>
    <mergeCell ref="AG72:AK72"/>
    <mergeCell ref="A73:N73"/>
    <mergeCell ref="O73:U73"/>
    <mergeCell ref="AB73:AF73"/>
    <mergeCell ref="AG73:AK73"/>
    <mergeCell ref="A65:N65"/>
    <mergeCell ref="O65:U65"/>
    <mergeCell ref="V65:AA65"/>
    <mergeCell ref="A66:N66"/>
    <mergeCell ref="O66:U66"/>
    <mergeCell ref="V66:AA66"/>
    <mergeCell ref="A67:N67"/>
    <mergeCell ref="O67:U67"/>
    <mergeCell ref="AB67:AF67"/>
    <mergeCell ref="AG67:AK67"/>
    <mergeCell ref="A68:N68"/>
    <mergeCell ref="O68:U68"/>
    <mergeCell ref="V68:AA68"/>
    <mergeCell ref="AB68:AF68"/>
    <mergeCell ref="AG68:AK68"/>
    <mergeCell ref="A69:N69"/>
    <mergeCell ref="O69:U69"/>
    <mergeCell ref="V69:AA69"/>
    <mergeCell ref="AB69:AF69"/>
    <mergeCell ref="AG69:AK69"/>
    <mergeCell ref="A59:N59"/>
    <mergeCell ref="O59:U59"/>
    <mergeCell ref="V59:AA59"/>
    <mergeCell ref="A60:N60"/>
    <mergeCell ref="O60:U60"/>
    <mergeCell ref="V60:AA60"/>
    <mergeCell ref="A61:N61"/>
    <mergeCell ref="O61:U61"/>
    <mergeCell ref="V61:AA61"/>
    <mergeCell ref="A62:N62"/>
    <mergeCell ref="O62:U62"/>
    <mergeCell ref="AB62:AF62"/>
    <mergeCell ref="AG62:AK62"/>
    <mergeCell ref="A63:N63"/>
    <mergeCell ref="O63:U63"/>
    <mergeCell ref="V63:AA63"/>
    <mergeCell ref="A64:N64"/>
    <mergeCell ref="O64:U64"/>
    <mergeCell ref="V64:AA64"/>
    <mergeCell ref="A54:N54"/>
    <mergeCell ref="O54:U54"/>
    <mergeCell ref="V54:AA54"/>
    <mergeCell ref="A55:N55"/>
    <mergeCell ref="O55:U55"/>
    <mergeCell ref="V55:AA55"/>
    <mergeCell ref="A56:N56"/>
    <mergeCell ref="O56:U56"/>
    <mergeCell ref="V56:AA56"/>
    <mergeCell ref="A57:N57"/>
    <mergeCell ref="O57:U57"/>
    <mergeCell ref="V57:AA57"/>
    <mergeCell ref="A58:N58"/>
    <mergeCell ref="O58:U58"/>
    <mergeCell ref="V58:AA58"/>
    <mergeCell ref="AB58:AF58"/>
    <mergeCell ref="AG58:AK58"/>
    <mergeCell ref="A49:N49"/>
    <mergeCell ref="O49:U49"/>
    <mergeCell ref="AB49:AF49"/>
    <mergeCell ref="AG49:AK49"/>
    <mergeCell ref="A50:N50"/>
    <mergeCell ref="O50:U50"/>
    <mergeCell ref="V50:AA50"/>
    <mergeCell ref="AB50:AF50"/>
    <mergeCell ref="A51:N51"/>
    <mergeCell ref="O51:U51"/>
    <mergeCell ref="AB51:AF51"/>
    <mergeCell ref="AG51:AK51"/>
    <mergeCell ref="A52:N52"/>
    <mergeCell ref="O52:U52"/>
    <mergeCell ref="V52:AA52"/>
    <mergeCell ref="A53:N53"/>
    <mergeCell ref="O53:U53"/>
    <mergeCell ref="V53:AA53"/>
    <mergeCell ref="A44:N44"/>
    <mergeCell ref="O44:U44"/>
    <mergeCell ref="V44:AA44"/>
    <mergeCell ref="AB44:AF44"/>
    <mergeCell ref="AG44:AK44"/>
    <mergeCell ref="A45:N45"/>
    <mergeCell ref="O45:U45"/>
    <mergeCell ref="AB45:AF45"/>
    <mergeCell ref="AG45:AK45"/>
    <mergeCell ref="A46:N46"/>
    <mergeCell ref="O46:U46"/>
    <mergeCell ref="V46:AA46"/>
    <mergeCell ref="A47:N47"/>
    <mergeCell ref="O47:U47"/>
    <mergeCell ref="AB47:AF47"/>
    <mergeCell ref="AG47:AK47"/>
    <mergeCell ref="A48:N48"/>
    <mergeCell ref="O48:U48"/>
    <mergeCell ref="V48:AA48"/>
    <mergeCell ref="A39:N39"/>
    <mergeCell ref="O39:U39"/>
    <mergeCell ref="V39:AA39"/>
    <mergeCell ref="A40:N40"/>
    <mergeCell ref="O40:U40"/>
    <mergeCell ref="V40:AA40"/>
    <mergeCell ref="A41:N41"/>
    <mergeCell ref="O41:U41"/>
    <mergeCell ref="AB41:AF41"/>
    <mergeCell ref="AG41:AK41"/>
    <mergeCell ref="A42:N42"/>
    <mergeCell ref="O42:U42"/>
    <mergeCell ref="V42:AA42"/>
    <mergeCell ref="A43:N43"/>
    <mergeCell ref="O43:U43"/>
    <mergeCell ref="AB43:AF43"/>
    <mergeCell ref="AG43:AK43"/>
    <mergeCell ref="A34:N34"/>
    <mergeCell ref="O34:U34"/>
    <mergeCell ref="V34:AA34"/>
    <mergeCell ref="A35:N35"/>
    <mergeCell ref="O35:U35"/>
    <mergeCell ref="V35:AA35"/>
    <mergeCell ref="AB35:AF35"/>
    <mergeCell ref="AG35:AK35"/>
    <mergeCell ref="A36:N36"/>
    <mergeCell ref="O36:U36"/>
    <mergeCell ref="V36:AA36"/>
    <mergeCell ref="A37:N37"/>
    <mergeCell ref="O37:U37"/>
    <mergeCell ref="AB37:AF37"/>
    <mergeCell ref="AG37:AK37"/>
    <mergeCell ref="A38:N38"/>
    <mergeCell ref="O38:U38"/>
    <mergeCell ref="V38:AA38"/>
    <mergeCell ref="AB38:AF38"/>
    <mergeCell ref="AG38:AK38"/>
    <mergeCell ref="A30:N30"/>
    <mergeCell ref="O30:U30"/>
    <mergeCell ref="V30:AA30"/>
    <mergeCell ref="AB30:AF30"/>
    <mergeCell ref="A31:N31"/>
    <mergeCell ref="O31:U31"/>
    <mergeCell ref="V31:AA31"/>
    <mergeCell ref="AB31:AF31"/>
    <mergeCell ref="AG31:AK31"/>
    <mergeCell ref="A32:N32"/>
    <mergeCell ref="O32:U32"/>
    <mergeCell ref="V32:AA32"/>
    <mergeCell ref="A33:N33"/>
    <mergeCell ref="O33:U33"/>
    <mergeCell ref="V33:AA33"/>
    <mergeCell ref="AB33:AF33"/>
    <mergeCell ref="AG33:AK33"/>
    <mergeCell ref="A26:N26"/>
    <mergeCell ref="O26:U26"/>
    <mergeCell ref="V26:AA26"/>
    <mergeCell ref="AB26:AF26"/>
    <mergeCell ref="A27:N27"/>
    <mergeCell ref="O27:U27"/>
    <mergeCell ref="V27:AA27"/>
    <mergeCell ref="AB27:AF27"/>
    <mergeCell ref="AG27:AK27"/>
    <mergeCell ref="A28:N28"/>
    <mergeCell ref="O28:U28"/>
    <mergeCell ref="V28:AA28"/>
    <mergeCell ref="AB28:AF28"/>
    <mergeCell ref="AG28:AK28"/>
    <mergeCell ref="A29:N29"/>
    <mergeCell ref="O29:U29"/>
    <mergeCell ref="AB29:AF29"/>
    <mergeCell ref="AG29:AK29"/>
    <mergeCell ref="AG21:AK21"/>
    <mergeCell ref="A22:N22"/>
    <mergeCell ref="O22:U22"/>
    <mergeCell ref="V22:AA22"/>
    <mergeCell ref="AB22:AF22"/>
    <mergeCell ref="A23:N23"/>
    <mergeCell ref="O23:U23"/>
    <mergeCell ref="V23:AA23"/>
    <mergeCell ref="AB23:AF23"/>
    <mergeCell ref="A24:N24"/>
    <mergeCell ref="O24:U24"/>
    <mergeCell ref="V24:AA24"/>
    <mergeCell ref="AB24:AF24"/>
    <mergeCell ref="A25:N25"/>
    <mergeCell ref="O25:U25"/>
    <mergeCell ref="V25:AA25"/>
    <mergeCell ref="AB25:AF25"/>
    <mergeCell ref="A17:N17"/>
    <mergeCell ref="O17:U17"/>
    <mergeCell ref="V17:AA17"/>
    <mergeCell ref="AB17:AF17"/>
    <mergeCell ref="A18:N18"/>
    <mergeCell ref="O18:U18"/>
    <mergeCell ref="V18:AA18"/>
    <mergeCell ref="AB18:AF18"/>
    <mergeCell ref="A19:N19"/>
    <mergeCell ref="O19:U19"/>
    <mergeCell ref="V19:AA19"/>
    <mergeCell ref="AB19:AF19"/>
    <mergeCell ref="A20:N20"/>
    <mergeCell ref="O20:U20"/>
    <mergeCell ref="V20:AA20"/>
    <mergeCell ref="AB20:AF20"/>
    <mergeCell ref="A21:N21"/>
    <mergeCell ref="O21:U21"/>
    <mergeCell ref="V21:AA21"/>
    <mergeCell ref="AB21:AF21"/>
    <mergeCell ref="A13:N13"/>
    <mergeCell ref="O13:U13"/>
    <mergeCell ref="AB13:AF13"/>
    <mergeCell ref="AG13:AK13"/>
    <mergeCell ref="A14:N14"/>
    <mergeCell ref="O14:U14"/>
    <mergeCell ref="V14:AA14"/>
    <mergeCell ref="AB14:AF14"/>
    <mergeCell ref="AG14:AK14"/>
    <mergeCell ref="A15:N15"/>
    <mergeCell ref="O15:U15"/>
    <mergeCell ref="V15:AA15"/>
    <mergeCell ref="AB15:AF15"/>
    <mergeCell ref="A16:N16"/>
    <mergeCell ref="O16:U16"/>
    <mergeCell ref="V16:AA16"/>
    <mergeCell ref="AB16:AF16"/>
    <mergeCell ref="AG16:AK16"/>
    <mergeCell ref="A9:N9"/>
    <mergeCell ref="O9:U9"/>
    <mergeCell ref="V9:AA9"/>
    <mergeCell ref="AB9:AF9"/>
    <mergeCell ref="A10:N10"/>
    <mergeCell ref="O10:U10"/>
    <mergeCell ref="V10:AA10"/>
    <mergeCell ref="AB10:AF10"/>
    <mergeCell ref="A11:N11"/>
    <mergeCell ref="O11:U11"/>
    <mergeCell ref="V11:AA11"/>
    <mergeCell ref="AB11:AF11"/>
    <mergeCell ref="A12:N12"/>
    <mergeCell ref="O12:U12"/>
    <mergeCell ref="V12:AA12"/>
    <mergeCell ref="AB12:AF12"/>
    <mergeCell ref="AG12:AK12"/>
    <mergeCell ref="A5:N5"/>
    <mergeCell ref="O5:U5"/>
    <mergeCell ref="V5:AA5"/>
    <mergeCell ref="AB5:AF5"/>
    <mergeCell ref="AG5:AK5"/>
    <mergeCell ref="A6:N6"/>
    <mergeCell ref="O6:U6"/>
    <mergeCell ref="V6:AA6"/>
    <mergeCell ref="AB6:AF6"/>
    <mergeCell ref="AG6:AK6"/>
    <mergeCell ref="A7:N7"/>
    <mergeCell ref="O7:U7"/>
    <mergeCell ref="V7:AA7"/>
    <mergeCell ref="AB7:AF7"/>
    <mergeCell ref="A8:N8"/>
    <mergeCell ref="O8:U8"/>
    <mergeCell ref="V8:AA8"/>
    <mergeCell ref="AB8:AF8"/>
    <mergeCell ref="AG8:AK8"/>
    <mergeCell ref="A1:N2"/>
    <mergeCell ref="O1:U1"/>
    <mergeCell ref="V1:AA1"/>
    <mergeCell ref="AB1:AF1"/>
    <mergeCell ref="AG1:AK2"/>
    <mergeCell ref="AL1:AL2"/>
    <mergeCell ref="O2:U2"/>
    <mergeCell ref="V2:AA2"/>
    <mergeCell ref="AB2:AF2"/>
    <mergeCell ref="A3:N3"/>
    <mergeCell ref="O3:U3"/>
    <mergeCell ref="V3:AA3"/>
    <mergeCell ref="AB3:AF3"/>
    <mergeCell ref="AG3:AK3"/>
    <mergeCell ref="A4:N4"/>
    <mergeCell ref="O4:U4"/>
    <mergeCell ref="V4:AA4"/>
    <mergeCell ref="AB4:AF4"/>
    <mergeCell ref="AG4:AK4"/>
  </mergeCells>
  <pageMargins left="0.75" right="1" top="0.75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13"/>
  <sheetViews>
    <sheetView zoomScaleNormal="100" workbookViewId="0"/>
  </sheetViews>
  <sheetFormatPr defaultColWidth="10.5" defaultRowHeight="11.25" outlineLevelRow="2" x14ac:dyDescent="0.2"/>
  <cols>
    <col min="1" max="1" width="9.5" style="15" customWidth="1"/>
    <col min="2" max="2" width="1" style="15" customWidth="1"/>
    <col min="3" max="3" width="4.1640625" style="15" customWidth="1"/>
    <col min="4" max="4" width="5.33203125" style="15" customWidth="1"/>
    <col min="5" max="5" width="15.5" style="15" customWidth="1"/>
    <col min="6" max="6" width="2" style="15" customWidth="1"/>
    <col min="7" max="7" width="1.1640625" style="15" customWidth="1"/>
    <col min="8" max="8" width="2.33203125" style="15" customWidth="1"/>
    <col min="9" max="9" width="11.33203125" style="15" customWidth="1"/>
    <col min="10" max="10" width="14.33203125" style="15" customWidth="1"/>
    <col min="11" max="11" width="3.5" style="15" customWidth="1"/>
    <col min="12" max="12" width="4.6640625" style="15" customWidth="1"/>
    <col min="13" max="14" width="2.33203125" style="15" customWidth="1"/>
    <col min="15" max="15" width="1.6640625" style="15" customWidth="1"/>
    <col min="16" max="16" width="3.1640625" style="15" customWidth="1"/>
    <col min="17" max="17" width="0.5" style="15" customWidth="1"/>
    <col min="18" max="18" width="1.83203125" style="15" customWidth="1"/>
    <col min="19" max="19" width="0.1640625" style="15" customWidth="1"/>
    <col min="20" max="20" width="3.1640625" style="15" customWidth="1"/>
    <col min="21" max="21" width="1.83203125" style="15" customWidth="1"/>
    <col min="22" max="22" width="1.6640625" style="15" customWidth="1"/>
    <col min="23" max="23" width="3.1640625" style="15" customWidth="1"/>
    <col min="24" max="24" width="3" style="15" customWidth="1"/>
    <col min="25" max="25" width="1.6640625" style="15" customWidth="1"/>
    <col min="26" max="26" width="3.1640625" style="15" customWidth="1"/>
    <col min="27" max="27" width="1.83203125" style="15" customWidth="1"/>
    <col min="28" max="28" width="2.83203125" style="15" customWidth="1"/>
    <col min="29" max="29" width="5" style="15" customWidth="1"/>
    <col min="30" max="30" width="1.83203125" style="15" customWidth="1"/>
    <col min="31" max="31" width="3.1640625" style="15" customWidth="1"/>
    <col min="32" max="32" width="1.83203125" style="15" customWidth="1"/>
    <col min="33" max="33" width="2.6640625" style="15" customWidth="1"/>
    <col min="34" max="34" width="4.5" style="15" customWidth="1"/>
    <col min="35" max="35" width="0.6640625" style="15" customWidth="1"/>
    <col min="36" max="36" width="2.83203125" style="15" customWidth="1"/>
    <col min="37" max="37" width="1.83203125" style="15" customWidth="1"/>
    <col min="38" max="38" width="4.83203125" style="15" customWidth="1"/>
    <col min="39" max="39" width="3" style="15" customWidth="1"/>
  </cols>
  <sheetData>
    <row r="1" spans="1:32" s="15" customFormat="1" ht="9.75" customHeight="1" x14ac:dyDescent="0.2"/>
    <row r="2" spans="1:32" s="15" customFormat="1" ht="12.75" hidden="1" customHeight="1" outlineLevel="1" x14ac:dyDescent="0.2">
      <c r="A2" s="34" t="s">
        <v>298</v>
      </c>
      <c r="B2" s="34"/>
      <c r="C2" s="34"/>
      <c r="D2" s="34" t="s">
        <v>299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32" s="15" customFormat="1" ht="25.5" hidden="1" customHeight="1" outlineLevel="1" x14ac:dyDescent="0.2">
      <c r="A3" s="34" t="s">
        <v>300</v>
      </c>
      <c r="B3" s="34"/>
      <c r="C3" s="34"/>
      <c r="D3" s="44" t="s">
        <v>301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</row>
    <row r="4" spans="1:32" s="15" customFormat="1" ht="9.75" customHeight="1" x14ac:dyDescent="0.2"/>
    <row r="5" spans="1:32" ht="21.75" customHeight="1" x14ac:dyDescent="0.2">
      <c r="A5" s="35" t="s">
        <v>302</v>
      </c>
      <c r="B5" s="35"/>
      <c r="C5" s="35"/>
      <c r="D5" s="35"/>
      <c r="E5" s="35"/>
    </row>
    <row r="6" spans="1:32" s="15" customFormat="1" ht="9.75" customHeight="1" x14ac:dyDescent="0.2"/>
    <row r="7" spans="1:32" s="15" customFormat="1" ht="9.75" customHeight="1" x14ac:dyDescent="0.2"/>
    <row r="8" spans="1:32" ht="12.75" customHeight="1" x14ac:dyDescent="0.2">
      <c r="A8" s="14" t="s">
        <v>303</v>
      </c>
      <c r="B8" s="14"/>
      <c r="C8" s="14"/>
      <c r="D8" s="14"/>
      <c r="E8" s="14"/>
      <c r="F8" s="14"/>
      <c r="G8" s="14"/>
      <c r="H8" s="42" t="s">
        <v>297</v>
      </c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32" ht="12.75" customHeight="1" x14ac:dyDescent="0.2">
      <c r="A9" s="14"/>
      <c r="B9" s="14"/>
      <c r="C9" s="14"/>
      <c r="D9" s="14"/>
      <c r="E9" s="14"/>
      <c r="F9" s="14"/>
      <c r="G9" s="14"/>
      <c r="H9" s="42" t="s">
        <v>1</v>
      </c>
      <c r="I9" s="42"/>
      <c r="J9" s="32" t="s">
        <v>2</v>
      </c>
      <c r="K9" s="42" t="s">
        <v>3</v>
      </c>
      <c r="L9" s="42"/>
      <c r="M9" s="42"/>
      <c r="N9" s="42"/>
      <c r="O9" s="42"/>
      <c r="P9" s="14" t="s">
        <v>4</v>
      </c>
      <c r="Q9" s="14"/>
      <c r="R9" s="14"/>
      <c r="S9" s="14"/>
      <c r="T9" s="14"/>
      <c r="U9" s="14"/>
      <c r="V9" s="14"/>
    </row>
    <row r="10" spans="1:32" ht="25.5" customHeight="1" x14ac:dyDescent="0.2">
      <c r="A10" s="14"/>
      <c r="B10" s="14"/>
      <c r="C10" s="14"/>
      <c r="D10" s="14"/>
      <c r="E10" s="14"/>
      <c r="F10" s="14"/>
      <c r="G10" s="14"/>
      <c r="H10" s="14" t="s">
        <v>5</v>
      </c>
      <c r="I10" s="14"/>
      <c r="J10" s="16" t="s">
        <v>6</v>
      </c>
      <c r="K10" s="14" t="s">
        <v>7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32" ht="10.5" customHeight="1" x14ac:dyDescent="0.2">
      <c r="A11" s="45" t="s">
        <v>304</v>
      </c>
      <c r="B11" s="45"/>
      <c r="C11" s="45"/>
      <c r="D11" s="45"/>
      <c r="E11" s="45"/>
      <c r="F11" s="45"/>
      <c r="G11" s="45"/>
      <c r="H11" s="5">
        <v>22.2</v>
      </c>
      <c r="I11" s="5"/>
      <c r="J11" s="18">
        <v>7.4</v>
      </c>
      <c r="K11" s="5">
        <v>14.8</v>
      </c>
      <c r="L11" s="5"/>
      <c r="M11" s="5"/>
      <c r="N11" s="5"/>
      <c r="O11" s="5"/>
      <c r="P11" s="5">
        <v>14.8</v>
      </c>
      <c r="Q11" s="5"/>
      <c r="R11" s="5"/>
      <c r="S11" s="5"/>
      <c r="T11" s="5"/>
      <c r="U11" s="5"/>
      <c r="V11" s="5"/>
    </row>
    <row r="12" spans="1:32" ht="10.5" customHeight="1" x14ac:dyDescent="0.2">
      <c r="A12" s="45" t="s">
        <v>305</v>
      </c>
      <c r="B12" s="45"/>
      <c r="C12" s="45"/>
      <c r="D12" s="45"/>
      <c r="E12" s="45"/>
      <c r="F12" s="45"/>
      <c r="G12" s="45"/>
      <c r="H12" s="4">
        <v>265.14400000000001</v>
      </c>
      <c r="I12" s="4"/>
      <c r="J12" s="19">
        <v>78.938000000000002</v>
      </c>
      <c r="K12" s="4">
        <v>186.20599999999999</v>
      </c>
      <c r="L12" s="4"/>
      <c r="M12" s="4"/>
      <c r="N12" s="4"/>
      <c r="O12" s="4"/>
      <c r="P12" s="4">
        <v>190.244</v>
      </c>
      <c r="Q12" s="4"/>
      <c r="R12" s="4"/>
      <c r="S12" s="4"/>
      <c r="T12" s="4"/>
      <c r="U12" s="4"/>
      <c r="V12" s="4"/>
    </row>
    <row r="13" spans="1:32" ht="10.5" customHeight="1" x14ac:dyDescent="0.2">
      <c r="A13" s="45" t="s">
        <v>306</v>
      </c>
      <c r="B13" s="45"/>
      <c r="C13" s="45"/>
      <c r="D13" s="45"/>
      <c r="E13" s="45"/>
      <c r="F13" s="45"/>
      <c r="G13" s="45"/>
      <c r="H13" s="46">
        <v>1258.29</v>
      </c>
      <c r="I13" s="46"/>
      <c r="J13" s="36">
        <v>1168.492</v>
      </c>
      <c r="K13" s="4">
        <v>89.798000000000002</v>
      </c>
      <c r="L13" s="4"/>
      <c r="M13" s="4"/>
      <c r="N13" s="4"/>
      <c r="O13" s="4"/>
      <c r="P13" s="5">
        <v>125.1</v>
      </c>
      <c r="Q13" s="5"/>
      <c r="R13" s="5"/>
      <c r="S13" s="5"/>
      <c r="T13" s="5"/>
      <c r="U13" s="5"/>
      <c r="V13" s="5"/>
    </row>
    <row r="14" spans="1:32" ht="10.5" customHeight="1" x14ac:dyDescent="0.2">
      <c r="A14" s="45" t="s">
        <v>307</v>
      </c>
      <c r="B14" s="45"/>
      <c r="C14" s="45"/>
      <c r="D14" s="45"/>
      <c r="E14" s="45"/>
      <c r="F14" s="45"/>
      <c r="G14" s="45"/>
      <c r="H14" s="46">
        <v>1491.67</v>
      </c>
      <c r="I14" s="46"/>
      <c r="J14" s="19">
        <v>951.97400000000005</v>
      </c>
      <c r="K14" s="4">
        <v>539.69600000000003</v>
      </c>
      <c r="L14" s="4"/>
      <c r="M14" s="4"/>
      <c r="N14" s="4"/>
      <c r="O14" s="4"/>
      <c r="P14" s="4">
        <v>574.07500000000005</v>
      </c>
      <c r="Q14" s="4"/>
      <c r="R14" s="4"/>
      <c r="S14" s="4"/>
      <c r="T14" s="4"/>
      <c r="U14" s="4"/>
      <c r="V14" s="4"/>
    </row>
    <row r="15" spans="1:32" ht="10.5" customHeight="1" x14ac:dyDescent="0.2">
      <c r="A15" s="45" t="s">
        <v>308</v>
      </c>
      <c r="B15" s="45"/>
      <c r="C15" s="45"/>
      <c r="D15" s="45"/>
      <c r="E15" s="45"/>
      <c r="F15" s="45"/>
      <c r="G15" s="45"/>
      <c r="H15" s="46">
        <v>5280.64</v>
      </c>
      <c r="I15" s="46"/>
      <c r="J15" s="36">
        <v>4691.933</v>
      </c>
      <c r="K15" s="4">
        <v>588.70699999999999</v>
      </c>
      <c r="L15" s="4"/>
      <c r="M15" s="4"/>
      <c r="N15" s="4"/>
      <c r="O15" s="4"/>
      <c r="P15" s="4">
        <v>792.36900000000003</v>
      </c>
      <c r="Q15" s="4"/>
      <c r="R15" s="4"/>
      <c r="S15" s="4"/>
      <c r="T15" s="4"/>
      <c r="U15" s="4"/>
      <c r="V15" s="4"/>
    </row>
    <row r="16" spans="1:32" ht="12.75" customHeight="1" x14ac:dyDescent="0.2">
      <c r="A16" s="42" t="s">
        <v>297</v>
      </c>
      <c r="B16" s="42"/>
      <c r="C16" s="42"/>
      <c r="D16" s="42"/>
      <c r="E16" s="42"/>
      <c r="F16" s="42"/>
      <c r="G16" s="42"/>
      <c r="H16" s="43">
        <v>8317.9439999999995</v>
      </c>
      <c r="I16" s="43"/>
      <c r="J16" s="33">
        <v>6898.7370000000001</v>
      </c>
      <c r="K16" s="43">
        <v>1419.2070000000001</v>
      </c>
      <c r="L16" s="43"/>
      <c r="M16" s="43"/>
      <c r="N16" s="43"/>
      <c r="O16" s="43"/>
      <c r="P16" s="43">
        <v>1696.588</v>
      </c>
      <c r="Q16" s="43"/>
      <c r="R16" s="43"/>
      <c r="S16" s="43"/>
      <c r="T16" s="43"/>
      <c r="U16" s="43"/>
      <c r="V16" s="43"/>
    </row>
    <row r="17" spans="1:37" s="15" customFormat="1" ht="9.75" customHeight="1" x14ac:dyDescent="0.2"/>
    <row r="18" spans="1:37" ht="12.75" customHeight="1" x14ac:dyDescent="0.2">
      <c r="A18" s="14" t="s">
        <v>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 t="s">
        <v>1</v>
      </c>
      <c r="P18" s="14"/>
      <c r="Q18" s="14"/>
      <c r="R18" s="14"/>
      <c r="S18" s="14"/>
      <c r="T18" s="14"/>
      <c r="U18" s="14"/>
      <c r="V18" s="14" t="s">
        <v>2</v>
      </c>
      <c r="W18" s="14"/>
      <c r="X18" s="14"/>
      <c r="Y18" s="14"/>
      <c r="Z18" s="14"/>
      <c r="AA18" s="14"/>
      <c r="AB18" s="14" t="s">
        <v>3</v>
      </c>
      <c r="AC18" s="14"/>
      <c r="AD18" s="14"/>
      <c r="AE18" s="14"/>
      <c r="AF18" s="14"/>
      <c r="AG18" s="14" t="s">
        <v>4</v>
      </c>
      <c r="AH18" s="14"/>
      <c r="AI18" s="14"/>
      <c r="AJ18" s="14"/>
      <c r="AK18" s="14"/>
    </row>
    <row r="19" spans="1:37" ht="25.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 t="s">
        <v>5</v>
      </c>
      <c r="P19" s="14"/>
      <c r="Q19" s="14"/>
      <c r="R19" s="14"/>
      <c r="S19" s="14"/>
      <c r="T19" s="14"/>
      <c r="U19" s="14"/>
      <c r="V19" s="14" t="s">
        <v>6</v>
      </c>
      <c r="W19" s="14"/>
      <c r="X19" s="14"/>
      <c r="Y19" s="14"/>
      <c r="Z19" s="14"/>
      <c r="AA19" s="14"/>
      <c r="AB19" s="14" t="s">
        <v>7</v>
      </c>
      <c r="AC19" s="14"/>
      <c r="AD19" s="14"/>
      <c r="AE19" s="14"/>
      <c r="AF19" s="14"/>
      <c r="AG19" s="14"/>
      <c r="AH19" s="14"/>
      <c r="AI19" s="14"/>
      <c r="AJ19" s="14"/>
      <c r="AK19" s="14"/>
    </row>
    <row r="20" spans="1:37" ht="10.5" customHeight="1" x14ac:dyDescent="0.2">
      <c r="A20" s="12" t="s">
        <v>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>
        <v>1915.194</v>
      </c>
      <c r="P20" s="11"/>
      <c r="Q20" s="11"/>
      <c r="R20" s="11"/>
      <c r="S20" s="11"/>
      <c r="T20" s="11"/>
      <c r="U20" s="11"/>
      <c r="V20" s="11">
        <v>1130.8340000000001</v>
      </c>
      <c r="W20" s="11"/>
      <c r="X20" s="11"/>
      <c r="Y20" s="11"/>
      <c r="Z20" s="11"/>
      <c r="AA20" s="11"/>
      <c r="AB20" s="10">
        <v>784.36</v>
      </c>
      <c r="AC20" s="10"/>
      <c r="AD20" s="10"/>
      <c r="AE20" s="10"/>
      <c r="AF20" s="10"/>
      <c r="AG20" s="9">
        <v>824.41899999999998</v>
      </c>
      <c r="AH20" s="9"/>
      <c r="AI20" s="9"/>
      <c r="AJ20" s="9"/>
      <c r="AK20" s="9"/>
    </row>
    <row r="21" spans="1:37" s="15" customFormat="1" ht="10.5" hidden="1" customHeight="1" outlineLevel="1" x14ac:dyDescent="0.2">
      <c r="A21" s="8" t="s">
        <v>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7">
        <v>650.70000000000005</v>
      </c>
      <c r="P21" s="7"/>
      <c r="Q21" s="7"/>
      <c r="R21" s="7"/>
      <c r="S21" s="7"/>
      <c r="T21" s="7"/>
      <c r="U21" s="7"/>
      <c r="V21" s="9">
        <v>667.50800000000004</v>
      </c>
      <c r="W21" s="9"/>
      <c r="X21" s="9"/>
      <c r="Y21" s="9"/>
      <c r="Z21" s="9"/>
      <c r="AA21" s="9"/>
      <c r="AB21" s="9">
        <v>-16.808</v>
      </c>
      <c r="AC21" s="9"/>
      <c r="AD21" s="9"/>
      <c r="AE21" s="9"/>
      <c r="AF21" s="9"/>
      <c r="AG21" s="9">
        <v>11.614000000000001</v>
      </c>
      <c r="AH21" s="9"/>
      <c r="AI21" s="9"/>
      <c r="AJ21" s="9"/>
      <c r="AK21" s="9"/>
    </row>
    <row r="22" spans="1:37" s="15" customFormat="1" ht="10.5" hidden="1" customHeight="1" outlineLevel="2" x14ac:dyDescent="0.2">
      <c r="A22" s="6" t="s">
        <v>10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5">
        <v>5.5</v>
      </c>
      <c r="P22" s="5"/>
      <c r="Q22" s="5"/>
      <c r="R22" s="5"/>
      <c r="S22" s="5"/>
      <c r="T22" s="5"/>
      <c r="U22" s="5"/>
      <c r="V22" s="4">
        <v>5.4359999999999999</v>
      </c>
      <c r="W22" s="4"/>
      <c r="X22" s="4"/>
      <c r="Y22" s="4"/>
      <c r="Z22" s="4"/>
      <c r="AA22" s="4"/>
      <c r="AB22" s="4">
        <v>6.4000000000000001E-2</v>
      </c>
      <c r="AC22" s="4"/>
      <c r="AD22" s="4"/>
      <c r="AE22" s="4"/>
      <c r="AF22" s="4"/>
      <c r="AG22" s="3">
        <v>0.22</v>
      </c>
      <c r="AH22" s="3"/>
      <c r="AI22" s="3"/>
      <c r="AJ22" s="3"/>
      <c r="AK22" s="3"/>
    </row>
    <row r="23" spans="1:37" s="15" customFormat="1" ht="10.5" hidden="1" customHeight="1" outlineLevel="2" x14ac:dyDescent="0.2">
      <c r="A23" s="6" t="s">
        <v>11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5">
        <v>8.4</v>
      </c>
      <c r="P23" s="5"/>
      <c r="Q23" s="5"/>
      <c r="R23" s="5"/>
      <c r="S23" s="5"/>
      <c r="T23" s="5"/>
      <c r="U23" s="5"/>
      <c r="V23" s="4">
        <v>8.5570000000000004</v>
      </c>
      <c r="W23" s="4"/>
      <c r="X23" s="4"/>
      <c r="Y23" s="4"/>
      <c r="Z23" s="4"/>
      <c r="AA23" s="4"/>
      <c r="AB23" s="4">
        <v>-0.157</v>
      </c>
      <c r="AC23" s="4"/>
      <c r="AD23" s="4"/>
      <c r="AE23" s="4"/>
      <c r="AF23" s="4"/>
      <c r="AG23" s="3">
        <v>0.02</v>
      </c>
      <c r="AH23" s="3"/>
      <c r="AI23" s="3"/>
      <c r="AJ23" s="3"/>
      <c r="AK23" s="3"/>
    </row>
    <row r="24" spans="1:37" s="15" customFormat="1" ht="10.5" hidden="1" customHeight="1" outlineLevel="2" x14ac:dyDescent="0.2">
      <c r="A24" s="6" t="s">
        <v>12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5">
        <v>49.9</v>
      </c>
      <c r="P24" s="5"/>
      <c r="Q24" s="5"/>
      <c r="R24" s="5"/>
      <c r="S24" s="5"/>
      <c r="T24" s="5"/>
      <c r="U24" s="5"/>
      <c r="V24" s="3">
        <v>52.72</v>
      </c>
      <c r="W24" s="3"/>
      <c r="X24" s="3"/>
      <c r="Y24" s="3"/>
      <c r="Z24" s="3"/>
      <c r="AA24" s="3"/>
      <c r="AB24" s="3">
        <v>-2.82</v>
      </c>
      <c r="AC24" s="3"/>
      <c r="AD24" s="3"/>
      <c r="AE24" s="3"/>
      <c r="AF24" s="3"/>
      <c r="AG24" s="20"/>
      <c r="AH24" s="21"/>
      <c r="AI24" s="21"/>
      <c r="AJ24" s="21"/>
      <c r="AK24" s="22"/>
    </row>
    <row r="25" spans="1:37" s="15" customFormat="1" ht="10.5" hidden="1" customHeight="1" outlineLevel="2" x14ac:dyDescent="0.2">
      <c r="A25" s="6" t="s">
        <v>13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5">
        <v>7.4</v>
      </c>
      <c r="P25" s="5"/>
      <c r="Q25" s="5"/>
      <c r="R25" s="5"/>
      <c r="S25" s="5"/>
      <c r="T25" s="5"/>
      <c r="U25" s="5"/>
      <c r="V25" s="3">
        <v>7.53</v>
      </c>
      <c r="W25" s="3"/>
      <c r="X25" s="3"/>
      <c r="Y25" s="3"/>
      <c r="Z25" s="3"/>
      <c r="AA25" s="3"/>
      <c r="AB25" s="3">
        <v>-0.13</v>
      </c>
      <c r="AC25" s="3"/>
      <c r="AD25" s="3"/>
      <c r="AE25" s="3"/>
      <c r="AF25" s="3"/>
      <c r="AG25" s="4">
        <v>7.0000000000000001E-3</v>
      </c>
      <c r="AH25" s="4"/>
      <c r="AI25" s="4"/>
      <c r="AJ25" s="4"/>
      <c r="AK25" s="4"/>
    </row>
    <row r="26" spans="1:37" s="15" customFormat="1" ht="10.5" hidden="1" customHeight="1" outlineLevel="2" x14ac:dyDescent="0.2">
      <c r="A26" s="6" t="s">
        <v>14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5">
        <v>2.6</v>
      </c>
      <c r="P26" s="5"/>
      <c r="Q26" s="5"/>
      <c r="R26" s="5"/>
      <c r="S26" s="5"/>
      <c r="T26" s="5"/>
      <c r="U26" s="5"/>
      <c r="V26" s="4">
        <v>2.6989999999999998</v>
      </c>
      <c r="W26" s="4"/>
      <c r="X26" s="4"/>
      <c r="Y26" s="4"/>
      <c r="Z26" s="4"/>
      <c r="AA26" s="4"/>
      <c r="AB26" s="4">
        <v>-9.9000000000000005E-2</v>
      </c>
      <c r="AC26" s="4"/>
      <c r="AD26" s="4"/>
      <c r="AE26" s="4"/>
      <c r="AF26" s="4"/>
      <c r="AG26" s="20"/>
      <c r="AH26" s="21"/>
      <c r="AI26" s="21"/>
      <c r="AJ26" s="21"/>
      <c r="AK26" s="22"/>
    </row>
    <row r="27" spans="1:37" s="15" customFormat="1" ht="10.5" hidden="1" customHeight="1" outlineLevel="2" x14ac:dyDescent="0.2">
      <c r="A27" s="6" t="s">
        <v>15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5">
        <v>16.5</v>
      </c>
      <c r="P27" s="5"/>
      <c r="Q27" s="5"/>
      <c r="R27" s="5"/>
      <c r="S27" s="5"/>
      <c r="T27" s="5"/>
      <c r="U27" s="5"/>
      <c r="V27" s="4">
        <v>17.670999999999999</v>
      </c>
      <c r="W27" s="4"/>
      <c r="X27" s="4"/>
      <c r="Y27" s="4"/>
      <c r="Z27" s="4"/>
      <c r="AA27" s="4"/>
      <c r="AB27" s="4">
        <v>-1.171</v>
      </c>
      <c r="AC27" s="4"/>
      <c r="AD27" s="4"/>
      <c r="AE27" s="4"/>
      <c r="AF27" s="4"/>
      <c r="AG27" s="20"/>
      <c r="AH27" s="21"/>
      <c r="AI27" s="21"/>
      <c r="AJ27" s="21"/>
      <c r="AK27" s="22"/>
    </row>
    <row r="28" spans="1:37" s="15" customFormat="1" ht="10.5" hidden="1" customHeight="1" outlineLevel="2" x14ac:dyDescent="0.2">
      <c r="A28" s="6" t="s">
        <v>16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2">
        <v>4</v>
      </c>
      <c r="P28" s="2"/>
      <c r="Q28" s="2"/>
      <c r="R28" s="2"/>
      <c r="S28" s="2"/>
      <c r="T28" s="2"/>
      <c r="U28" s="2"/>
      <c r="V28" s="4">
        <v>4.0110000000000001</v>
      </c>
      <c r="W28" s="4"/>
      <c r="X28" s="4"/>
      <c r="Y28" s="4"/>
      <c r="Z28" s="4"/>
      <c r="AA28" s="4"/>
      <c r="AB28" s="4">
        <v>-1.0999999999999999E-2</v>
      </c>
      <c r="AC28" s="4"/>
      <c r="AD28" s="4"/>
      <c r="AE28" s="4"/>
      <c r="AF28" s="4"/>
      <c r="AG28" s="20"/>
      <c r="AH28" s="21"/>
      <c r="AI28" s="21"/>
      <c r="AJ28" s="21"/>
      <c r="AK28" s="22"/>
    </row>
    <row r="29" spans="1:37" s="15" customFormat="1" ht="10.5" hidden="1" customHeight="1" outlineLevel="2" x14ac:dyDescent="0.2">
      <c r="A29" s="6" t="s">
        <v>17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5">
        <v>54.7</v>
      </c>
      <c r="P29" s="5"/>
      <c r="Q29" s="5"/>
      <c r="R29" s="5"/>
      <c r="S29" s="5"/>
      <c r="T29" s="5"/>
      <c r="U29" s="5"/>
      <c r="V29" s="4">
        <v>55.116999999999997</v>
      </c>
      <c r="W29" s="4"/>
      <c r="X29" s="4"/>
      <c r="Y29" s="4"/>
      <c r="Z29" s="4"/>
      <c r="AA29" s="4"/>
      <c r="AB29" s="4">
        <v>-0.41699999999999998</v>
      </c>
      <c r="AC29" s="4"/>
      <c r="AD29" s="4"/>
      <c r="AE29" s="4"/>
      <c r="AF29" s="4"/>
      <c r="AG29" s="4">
        <v>1.3220000000000001</v>
      </c>
      <c r="AH29" s="4"/>
      <c r="AI29" s="4"/>
      <c r="AJ29" s="4"/>
      <c r="AK29" s="4"/>
    </row>
    <row r="30" spans="1:37" s="15" customFormat="1" ht="10.5" hidden="1" customHeight="1" outlineLevel="2" x14ac:dyDescent="0.2">
      <c r="A30" s="6" t="s">
        <v>18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5">
        <v>3.5</v>
      </c>
      <c r="P30" s="5"/>
      <c r="Q30" s="5"/>
      <c r="R30" s="5"/>
      <c r="S30" s="5"/>
      <c r="T30" s="5"/>
      <c r="U30" s="5"/>
      <c r="V30" s="23"/>
      <c r="W30" s="24"/>
      <c r="X30" s="24"/>
      <c r="Y30" s="24"/>
      <c r="Z30" s="24"/>
      <c r="AA30" s="25"/>
      <c r="AB30" s="5">
        <v>3.5</v>
      </c>
      <c r="AC30" s="5"/>
      <c r="AD30" s="5"/>
      <c r="AE30" s="5"/>
      <c r="AF30" s="5"/>
      <c r="AG30" s="5">
        <v>3.5</v>
      </c>
      <c r="AH30" s="5"/>
      <c r="AI30" s="5"/>
      <c r="AJ30" s="5"/>
      <c r="AK30" s="5"/>
    </row>
    <row r="31" spans="1:37" s="15" customFormat="1" ht="10.5" hidden="1" customHeight="1" outlineLevel="2" x14ac:dyDescent="0.2">
      <c r="A31" s="6" t="s">
        <v>19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5">
        <v>8.6</v>
      </c>
      <c r="P31" s="5"/>
      <c r="Q31" s="5"/>
      <c r="R31" s="5"/>
      <c r="S31" s="5"/>
      <c r="T31" s="5"/>
      <c r="U31" s="5"/>
      <c r="V31" s="4">
        <v>8.0180000000000007</v>
      </c>
      <c r="W31" s="4"/>
      <c r="X31" s="4"/>
      <c r="Y31" s="4"/>
      <c r="Z31" s="4"/>
      <c r="AA31" s="4"/>
      <c r="AB31" s="4">
        <v>0.58199999999999996</v>
      </c>
      <c r="AC31" s="4"/>
      <c r="AD31" s="4"/>
      <c r="AE31" s="4"/>
      <c r="AF31" s="4"/>
      <c r="AG31" s="3">
        <v>0.68</v>
      </c>
      <c r="AH31" s="3"/>
      <c r="AI31" s="3"/>
      <c r="AJ31" s="3"/>
      <c r="AK31" s="3"/>
    </row>
    <row r="32" spans="1:37" s="15" customFormat="1" ht="10.5" hidden="1" customHeight="1" outlineLevel="2" x14ac:dyDescent="0.2">
      <c r="A32" s="6" t="s">
        <v>20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5">
        <v>10.5</v>
      </c>
      <c r="P32" s="5"/>
      <c r="Q32" s="5"/>
      <c r="R32" s="5"/>
      <c r="S32" s="5"/>
      <c r="T32" s="5"/>
      <c r="U32" s="5"/>
      <c r="V32" s="4">
        <v>10.862</v>
      </c>
      <c r="W32" s="4"/>
      <c r="X32" s="4"/>
      <c r="Y32" s="4"/>
      <c r="Z32" s="4"/>
      <c r="AA32" s="4"/>
      <c r="AB32" s="4">
        <v>-0.36199999999999999</v>
      </c>
      <c r="AC32" s="4"/>
      <c r="AD32" s="4"/>
      <c r="AE32" s="4"/>
      <c r="AF32" s="4"/>
      <c r="AG32" s="20"/>
      <c r="AH32" s="21"/>
      <c r="AI32" s="21"/>
      <c r="AJ32" s="21"/>
      <c r="AK32" s="22"/>
    </row>
    <row r="33" spans="1:37" s="15" customFormat="1" ht="10.5" hidden="1" customHeight="1" outlineLevel="2" x14ac:dyDescent="0.2">
      <c r="A33" s="6" t="s">
        <v>21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2">
        <v>177</v>
      </c>
      <c r="P33" s="2"/>
      <c r="Q33" s="2"/>
      <c r="R33" s="2"/>
      <c r="S33" s="2"/>
      <c r="T33" s="2"/>
      <c r="U33" s="2"/>
      <c r="V33" s="4">
        <v>182.08799999999999</v>
      </c>
      <c r="W33" s="4"/>
      <c r="X33" s="4"/>
      <c r="Y33" s="4"/>
      <c r="Z33" s="4"/>
      <c r="AA33" s="4"/>
      <c r="AB33" s="4">
        <v>-5.0880000000000001</v>
      </c>
      <c r="AC33" s="4"/>
      <c r="AD33" s="4"/>
      <c r="AE33" s="4"/>
      <c r="AF33" s="4"/>
      <c r="AG33" s="4">
        <v>1.887</v>
      </c>
      <c r="AH33" s="4"/>
      <c r="AI33" s="4"/>
      <c r="AJ33" s="4"/>
      <c r="AK33" s="4"/>
    </row>
    <row r="34" spans="1:37" s="15" customFormat="1" ht="10.5" hidden="1" customHeight="1" outlineLevel="2" x14ac:dyDescent="0.2">
      <c r="A34" s="6" t="s">
        <v>22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2">
        <v>5</v>
      </c>
      <c r="P34" s="2"/>
      <c r="Q34" s="2"/>
      <c r="R34" s="2"/>
      <c r="S34" s="2"/>
      <c r="T34" s="2"/>
      <c r="U34" s="2"/>
      <c r="V34" s="4">
        <v>5.0149999999999997</v>
      </c>
      <c r="W34" s="4"/>
      <c r="X34" s="4"/>
      <c r="Y34" s="4"/>
      <c r="Z34" s="4"/>
      <c r="AA34" s="4"/>
      <c r="AB34" s="4">
        <v>-1.4999999999999999E-2</v>
      </c>
      <c r="AC34" s="4"/>
      <c r="AD34" s="4"/>
      <c r="AE34" s="4"/>
      <c r="AF34" s="4"/>
      <c r="AG34" s="20"/>
      <c r="AH34" s="21"/>
      <c r="AI34" s="21"/>
      <c r="AJ34" s="21"/>
      <c r="AK34" s="22"/>
    </row>
    <row r="35" spans="1:37" s="15" customFormat="1" ht="10.5" hidden="1" customHeight="1" outlineLevel="2" x14ac:dyDescent="0.2">
      <c r="A35" s="6" t="s">
        <v>23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2">
        <v>8</v>
      </c>
      <c r="P35" s="2"/>
      <c r="Q35" s="2"/>
      <c r="R35" s="2"/>
      <c r="S35" s="2"/>
      <c r="T35" s="2"/>
      <c r="U35" s="2"/>
      <c r="V35" s="4">
        <v>8.3119999999999994</v>
      </c>
      <c r="W35" s="4"/>
      <c r="X35" s="4"/>
      <c r="Y35" s="4"/>
      <c r="Z35" s="4"/>
      <c r="AA35" s="4"/>
      <c r="AB35" s="4">
        <v>-0.312</v>
      </c>
      <c r="AC35" s="4"/>
      <c r="AD35" s="4"/>
      <c r="AE35" s="4"/>
      <c r="AF35" s="4"/>
      <c r="AG35" s="20"/>
      <c r="AH35" s="21"/>
      <c r="AI35" s="21"/>
      <c r="AJ35" s="21"/>
      <c r="AK35" s="22"/>
    </row>
    <row r="36" spans="1:37" s="15" customFormat="1" ht="10.5" hidden="1" customHeight="1" outlineLevel="2" x14ac:dyDescent="0.2">
      <c r="A36" s="6" t="s">
        <v>24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2">
        <v>6</v>
      </c>
      <c r="P36" s="2"/>
      <c r="Q36" s="2"/>
      <c r="R36" s="2"/>
      <c r="S36" s="2"/>
      <c r="T36" s="2"/>
      <c r="U36" s="2"/>
      <c r="V36" s="4">
        <v>6.3280000000000003</v>
      </c>
      <c r="W36" s="4"/>
      <c r="X36" s="4"/>
      <c r="Y36" s="4"/>
      <c r="Z36" s="4"/>
      <c r="AA36" s="4"/>
      <c r="AB36" s="4">
        <v>-0.32800000000000001</v>
      </c>
      <c r="AC36" s="4"/>
      <c r="AD36" s="4"/>
      <c r="AE36" s="4"/>
      <c r="AF36" s="4"/>
      <c r="AG36" s="20"/>
      <c r="AH36" s="21"/>
      <c r="AI36" s="21"/>
      <c r="AJ36" s="21"/>
      <c r="AK36" s="22"/>
    </row>
    <row r="37" spans="1:37" s="15" customFormat="1" ht="10.5" hidden="1" customHeight="1" outlineLevel="2" x14ac:dyDescent="0.2">
      <c r="A37" s="6" t="s">
        <v>25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2">
        <v>21</v>
      </c>
      <c r="P37" s="2"/>
      <c r="Q37" s="2"/>
      <c r="R37" s="2"/>
      <c r="S37" s="2"/>
      <c r="T37" s="2"/>
      <c r="U37" s="2"/>
      <c r="V37" s="4">
        <v>22.800999999999998</v>
      </c>
      <c r="W37" s="4"/>
      <c r="X37" s="4"/>
      <c r="Y37" s="4"/>
      <c r="Z37" s="4"/>
      <c r="AA37" s="4"/>
      <c r="AB37" s="4">
        <v>-1.8009999999999999</v>
      </c>
      <c r="AC37" s="4"/>
      <c r="AD37" s="4"/>
      <c r="AE37" s="4"/>
      <c r="AF37" s="4"/>
      <c r="AG37" s="20"/>
      <c r="AH37" s="21"/>
      <c r="AI37" s="21"/>
      <c r="AJ37" s="21"/>
      <c r="AK37" s="22"/>
    </row>
    <row r="38" spans="1:37" s="15" customFormat="1" ht="10.5" hidden="1" customHeight="1" outlineLevel="2" x14ac:dyDescent="0.2">
      <c r="A38" s="6" t="s">
        <v>26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5">
        <v>30.5</v>
      </c>
      <c r="P38" s="5"/>
      <c r="Q38" s="5"/>
      <c r="R38" s="5"/>
      <c r="S38" s="5"/>
      <c r="T38" s="5"/>
      <c r="U38" s="5"/>
      <c r="V38" s="4">
        <v>31.221</v>
      </c>
      <c r="W38" s="4"/>
      <c r="X38" s="4"/>
      <c r="Y38" s="4"/>
      <c r="Z38" s="4"/>
      <c r="AA38" s="4"/>
      <c r="AB38" s="4">
        <v>-0.72099999999999997</v>
      </c>
      <c r="AC38" s="4"/>
      <c r="AD38" s="4"/>
      <c r="AE38" s="4"/>
      <c r="AF38" s="4"/>
      <c r="AG38" s="4">
        <v>3.0000000000000001E-3</v>
      </c>
      <c r="AH38" s="4"/>
      <c r="AI38" s="4"/>
      <c r="AJ38" s="4"/>
      <c r="AK38" s="4"/>
    </row>
    <row r="39" spans="1:37" s="15" customFormat="1" ht="10.5" hidden="1" customHeight="1" outlineLevel="2" x14ac:dyDescent="0.2">
      <c r="A39" s="6" t="s">
        <v>27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5">
        <v>1.5</v>
      </c>
      <c r="P39" s="5"/>
      <c r="Q39" s="5"/>
      <c r="R39" s="5"/>
      <c r="S39" s="5"/>
      <c r="T39" s="5"/>
      <c r="U39" s="5"/>
      <c r="V39" s="4">
        <v>2.0840000000000001</v>
      </c>
      <c r="W39" s="4"/>
      <c r="X39" s="4"/>
      <c r="Y39" s="4"/>
      <c r="Z39" s="4"/>
      <c r="AA39" s="4"/>
      <c r="AB39" s="4">
        <v>-0.58399999999999996</v>
      </c>
      <c r="AC39" s="4"/>
      <c r="AD39" s="4"/>
      <c r="AE39" s="4"/>
      <c r="AF39" s="4"/>
      <c r="AG39" s="20"/>
      <c r="AH39" s="21"/>
      <c r="AI39" s="21"/>
      <c r="AJ39" s="21"/>
      <c r="AK39" s="22"/>
    </row>
    <row r="40" spans="1:37" s="15" customFormat="1" ht="10.5" hidden="1" customHeight="1" outlineLevel="2" x14ac:dyDescent="0.2">
      <c r="A40" s="6" t="s">
        <v>28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2">
        <v>98</v>
      </c>
      <c r="P40" s="2"/>
      <c r="Q40" s="2"/>
      <c r="R40" s="2"/>
      <c r="S40" s="2"/>
      <c r="T40" s="2"/>
      <c r="U40" s="2"/>
      <c r="V40" s="4">
        <v>102.176</v>
      </c>
      <c r="W40" s="4"/>
      <c r="X40" s="4"/>
      <c r="Y40" s="4"/>
      <c r="Z40" s="4"/>
      <c r="AA40" s="4"/>
      <c r="AB40" s="4">
        <v>-4.1760000000000002</v>
      </c>
      <c r="AC40" s="4"/>
      <c r="AD40" s="4"/>
      <c r="AE40" s="4"/>
      <c r="AF40" s="4"/>
      <c r="AG40" s="20"/>
      <c r="AH40" s="21"/>
      <c r="AI40" s="21"/>
      <c r="AJ40" s="21"/>
      <c r="AK40" s="22"/>
    </row>
    <row r="41" spans="1:37" s="15" customFormat="1" ht="10.5" hidden="1" customHeight="1" outlineLevel="2" x14ac:dyDescent="0.2">
      <c r="A41" s="6" t="s">
        <v>29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2">
        <v>6</v>
      </c>
      <c r="P41" s="2"/>
      <c r="Q41" s="2"/>
      <c r="R41" s="2"/>
      <c r="S41" s="2"/>
      <c r="T41" s="2"/>
      <c r="U41" s="2"/>
      <c r="V41" s="4">
        <v>6.3049999999999997</v>
      </c>
      <c r="W41" s="4"/>
      <c r="X41" s="4"/>
      <c r="Y41" s="4"/>
      <c r="Z41" s="4"/>
      <c r="AA41" s="4"/>
      <c r="AB41" s="4">
        <v>-0.30499999999999999</v>
      </c>
      <c r="AC41" s="4"/>
      <c r="AD41" s="4"/>
      <c r="AE41" s="4"/>
      <c r="AF41" s="4"/>
      <c r="AG41" s="20"/>
      <c r="AH41" s="21"/>
      <c r="AI41" s="21"/>
      <c r="AJ41" s="21"/>
      <c r="AK41" s="22"/>
    </row>
    <row r="42" spans="1:37" s="15" customFormat="1" ht="10.5" hidden="1" customHeight="1" outlineLevel="2" x14ac:dyDescent="0.2">
      <c r="A42" s="6" t="s">
        <v>30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2">
        <v>16</v>
      </c>
      <c r="P42" s="2"/>
      <c r="Q42" s="2"/>
      <c r="R42" s="2"/>
      <c r="S42" s="2"/>
      <c r="T42" s="2"/>
      <c r="U42" s="2"/>
      <c r="V42" s="4">
        <v>17.035</v>
      </c>
      <c r="W42" s="4"/>
      <c r="X42" s="4"/>
      <c r="Y42" s="4"/>
      <c r="Z42" s="4"/>
      <c r="AA42" s="4"/>
      <c r="AB42" s="4">
        <v>-1.0349999999999999</v>
      </c>
      <c r="AC42" s="4"/>
      <c r="AD42" s="4"/>
      <c r="AE42" s="4"/>
      <c r="AF42" s="4"/>
      <c r="AG42" s="20"/>
      <c r="AH42" s="21"/>
      <c r="AI42" s="21"/>
      <c r="AJ42" s="21"/>
      <c r="AK42" s="22"/>
    </row>
    <row r="43" spans="1:37" s="15" customFormat="1" ht="10.5" hidden="1" customHeight="1" outlineLevel="2" x14ac:dyDescent="0.2">
      <c r="A43" s="6" t="s">
        <v>31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5">
        <v>5.5</v>
      </c>
      <c r="P43" s="5"/>
      <c r="Q43" s="5"/>
      <c r="R43" s="5"/>
      <c r="S43" s="5"/>
      <c r="T43" s="5"/>
      <c r="U43" s="5"/>
      <c r="V43" s="4">
        <v>6.1929999999999996</v>
      </c>
      <c r="W43" s="4"/>
      <c r="X43" s="4"/>
      <c r="Y43" s="4"/>
      <c r="Z43" s="4"/>
      <c r="AA43" s="4"/>
      <c r="AB43" s="4">
        <v>-0.69299999999999995</v>
      </c>
      <c r="AC43" s="4"/>
      <c r="AD43" s="4"/>
      <c r="AE43" s="4"/>
      <c r="AF43" s="4"/>
      <c r="AG43" s="20"/>
      <c r="AH43" s="21"/>
      <c r="AI43" s="21"/>
      <c r="AJ43" s="21"/>
      <c r="AK43" s="22"/>
    </row>
    <row r="44" spans="1:37" s="15" customFormat="1" ht="10.5" hidden="1" customHeight="1" outlineLevel="2" x14ac:dyDescent="0.2">
      <c r="A44" s="6" t="s">
        <v>32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5">
        <v>44.3</v>
      </c>
      <c r="P44" s="5"/>
      <c r="Q44" s="5"/>
      <c r="R44" s="5"/>
      <c r="S44" s="5"/>
      <c r="T44" s="5"/>
      <c r="U44" s="5"/>
      <c r="V44" s="4">
        <v>44.552</v>
      </c>
      <c r="W44" s="4"/>
      <c r="X44" s="4"/>
      <c r="Y44" s="4"/>
      <c r="Z44" s="4"/>
      <c r="AA44" s="4"/>
      <c r="AB44" s="4">
        <v>-0.252</v>
      </c>
      <c r="AC44" s="4"/>
      <c r="AD44" s="4"/>
      <c r="AE44" s="4"/>
      <c r="AF44" s="4"/>
      <c r="AG44" s="3">
        <v>2.17</v>
      </c>
      <c r="AH44" s="3"/>
      <c r="AI44" s="3"/>
      <c r="AJ44" s="3"/>
      <c r="AK44" s="3"/>
    </row>
    <row r="45" spans="1:37" s="15" customFormat="1" ht="10.5" hidden="1" customHeight="1" outlineLevel="2" x14ac:dyDescent="0.2">
      <c r="A45" s="6" t="s">
        <v>33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5">
        <v>55.7</v>
      </c>
      <c r="P45" s="5"/>
      <c r="Q45" s="5"/>
      <c r="R45" s="5"/>
      <c r="S45" s="5"/>
      <c r="T45" s="5"/>
      <c r="U45" s="5"/>
      <c r="V45" s="4">
        <v>55.814999999999998</v>
      </c>
      <c r="W45" s="4"/>
      <c r="X45" s="4"/>
      <c r="Y45" s="4"/>
      <c r="Z45" s="4"/>
      <c r="AA45" s="4"/>
      <c r="AB45" s="4">
        <v>-0.115</v>
      </c>
      <c r="AC45" s="4"/>
      <c r="AD45" s="4"/>
      <c r="AE45" s="4"/>
      <c r="AF45" s="4"/>
      <c r="AG45" s="4">
        <v>1.2050000000000001</v>
      </c>
      <c r="AH45" s="4"/>
      <c r="AI45" s="4"/>
      <c r="AJ45" s="4"/>
      <c r="AK45" s="4"/>
    </row>
    <row r="46" spans="1:37" s="15" customFormat="1" ht="10.5" hidden="1" customHeight="1" outlineLevel="2" x14ac:dyDescent="0.2">
      <c r="A46" s="6" t="s">
        <v>34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5">
        <v>0.6</v>
      </c>
      <c r="P46" s="5"/>
      <c r="Q46" s="5"/>
      <c r="R46" s="5"/>
      <c r="S46" s="5"/>
      <c r="T46" s="5"/>
      <c r="U46" s="5"/>
      <c r="V46" s="23"/>
      <c r="W46" s="24"/>
      <c r="X46" s="24"/>
      <c r="Y46" s="24"/>
      <c r="Z46" s="24"/>
      <c r="AA46" s="25"/>
      <c r="AB46" s="5">
        <v>0.6</v>
      </c>
      <c r="AC46" s="5"/>
      <c r="AD46" s="5"/>
      <c r="AE46" s="5"/>
      <c r="AF46" s="5"/>
      <c r="AG46" s="5">
        <v>0.6</v>
      </c>
      <c r="AH46" s="5"/>
      <c r="AI46" s="5"/>
      <c r="AJ46" s="5"/>
      <c r="AK46" s="5"/>
    </row>
    <row r="47" spans="1:37" s="15" customFormat="1" ht="10.5" hidden="1" customHeight="1" outlineLevel="2" x14ac:dyDescent="0.2">
      <c r="A47" s="6" t="s">
        <v>35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2">
        <v>4</v>
      </c>
      <c r="P47" s="2"/>
      <c r="Q47" s="2"/>
      <c r="R47" s="2"/>
      <c r="S47" s="2"/>
      <c r="T47" s="2"/>
      <c r="U47" s="2"/>
      <c r="V47" s="4">
        <v>4.9619999999999997</v>
      </c>
      <c r="W47" s="4"/>
      <c r="X47" s="4"/>
      <c r="Y47" s="4"/>
      <c r="Z47" s="4"/>
      <c r="AA47" s="4"/>
      <c r="AB47" s="4">
        <v>-0.96199999999999997</v>
      </c>
      <c r="AC47" s="4"/>
      <c r="AD47" s="4"/>
      <c r="AE47" s="4"/>
      <c r="AF47" s="4"/>
      <c r="AG47" s="20"/>
      <c r="AH47" s="21"/>
      <c r="AI47" s="21"/>
      <c r="AJ47" s="21"/>
      <c r="AK47" s="22"/>
    </row>
    <row r="48" spans="1:37" s="15" customFormat="1" ht="10.5" hidden="1" customHeight="1" outlineLevel="1" collapsed="1" x14ac:dyDescent="0.2">
      <c r="A48" s="8" t="s">
        <v>36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10">
        <v>825.07</v>
      </c>
      <c r="P48" s="10"/>
      <c r="Q48" s="10"/>
      <c r="R48" s="10"/>
      <c r="S48" s="10"/>
      <c r="T48" s="10"/>
      <c r="U48" s="10"/>
      <c r="V48" s="10">
        <v>264.76</v>
      </c>
      <c r="W48" s="10"/>
      <c r="X48" s="10"/>
      <c r="Y48" s="10"/>
      <c r="Z48" s="10"/>
      <c r="AA48" s="10"/>
      <c r="AB48" s="10">
        <v>560.30999999999995</v>
      </c>
      <c r="AC48" s="10"/>
      <c r="AD48" s="10"/>
      <c r="AE48" s="10"/>
      <c r="AF48" s="10"/>
      <c r="AG48" s="10">
        <v>562.38</v>
      </c>
      <c r="AH48" s="10"/>
      <c r="AI48" s="10"/>
      <c r="AJ48" s="10"/>
      <c r="AK48" s="10"/>
    </row>
    <row r="49" spans="1:37" s="15" customFormat="1" ht="10.5" hidden="1" customHeight="1" outlineLevel="2" x14ac:dyDescent="0.2">
      <c r="A49" s="6" t="s">
        <v>37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5">
        <v>12.8</v>
      </c>
      <c r="P49" s="5"/>
      <c r="Q49" s="5"/>
      <c r="R49" s="5"/>
      <c r="S49" s="5"/>
      <c r="T49" s="5"/>
      <c r="U49" s="5"/>
      <c r="V49" s="5">
        <v>12.8</v>
      </c>
      <c r="W49" s="5"/>
      <c r="X49" s="5"/>
      <c r="Y49" s="5"/>
      <c r="Z49" s="5"/>
      <c r="AA49" s="5"/>
      <c r="AB49" s="23"/>
      <c r="AC49" s="24"/>
      <c r="AD49" s="24"/>
      <c r="AE49" s="24"/>
      <c r="AF49" s="25"/>
      <c r="AG49" s="20"/>
      <c r="AH49" s="21"/>
      <c r="AI49" s="21"/>
      <c r="AJ49" s="21"/>
      <c r="AK49" s="22"/>
    </row>
    <row r="50" spans="1:37" s="15" customFormat="1" ht="10.5" hidden="1" customHeight="1" outlineLevel="2" x14ac:dyDescent="0.2">
      <c r="A50" s="6" t="s">
        <v>38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5">
        <v>7.5</v>
      </c>
      <c r="P50" s="5"/>
      <c r="Q50" s="5"/>
      <c r="R50" s="5"/>
      <c r="S50" s="5"/>
      <c r="T50" s="5"/>
      <c r="U50" s="5"/>
      <c r="V50" s="3">
        <v>4.25</v>
      </c>
      <c r="W50" s="3"/>
      <c r="X50" s="3"/>
      <c r="Y50" s="3"/>
      <c r="Z50" s="3"/>
      <c r="AA50" s="3"/>
      <c r="AB50" s="3">
        <v>3.25</v>
      </c>
      <c r="AC50" s="3"/>
      <c r="AD50" s="3"/>
      <c r="AE50" s="3"/>
      <c r="AF50" s="3"/>
      <c r="AG50" s="5">
        <v>4.5</v>
      </c>
      <c r="AH50" s="5"/>
      <c r="AI50" s="5"/>
      <c r="AJ50" s="5"/>
      <c r="AK50" s="5"/>
    </row>
    <row r="51" spans="1:37" s="15" customFormat="1" ht="10.5" hidden="1" customHeight="1" outlineLevel="2" x14ac:dyDescent="0.2">
      <c r="A51" s="6" t="s">
        <v>39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3">
        <v>4.25</v>
      </c>
      <c r="P51" s="3"/>
      <c r="Q51" s="3"/>
      <c r="R51" s="3"/>
      <c r="S51" s="3"/>
      <c r="T51" s="3"/>
      <c r="U51" s="3"/>
      <c r="V51" s="3">
        <v>4.25</v>
      </c>
      <c r="W51" s="3"/>
      <c r="X51" s="3"/>
      <c r="Y51" s="3"/>
      <c r="Z51" s="3"/>
      <c r="AA51" s="3"/>
      <c r="AB51" s="23"/>
      <c r="AC51" s="24"/>
      <c r="AD51" s="24"/>
      <c r="AE51" s="24"/>
      <c r="AF51" s="25"/>
      <c r="AG51" s="20"/>
      <c r="AH51" s="21"/>
      <c r="AI51" s="21"/>
      <c r="AJ51" s="21"/>
      <c r="AK51" s="22"/>
    </row>
    <row r="52" spans="1:37" s="15" customFormat="1" ht="10.5" hidden="1" customHeight="1" outlineLevel="2" x14ac:dyDescent="0.2">
      <c r="A52" s="6" t="s">
        <v>40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2">
        <v>5</v>
      </c>
      <c r="P52" s="2"/>
      <c r="Q52" s="2"/>
      <c r="R52" s="2"/>
      <c r="S52" s="2"/>
      <c r="T52" s="2"/>
      <c r="U52" s="2"/>
      <c r="V52" s="2">
        <v>1</v>
      </c>
      <c r="W52" s="2"/>
      <c r="X52" s="2"/>
      <c r="Y52" s="2"/>
      <c r="Z52" s="2"/>
      <c r="AA52" s="2"/>
      <c r="AB52" s="2">
        <v>4</v>
      </c>
      <c r="AC52" s="2"/>
      <c r="AD52" s="2"/>
      <c r="AE52" s="2"/>
      <c r="AF52" s="2"/>
      <c r="AG52" s="2">
        <v>4</v>
      </c>
      <c r="AH52" s="2"/>
      <c r="AI52" s="2"/>
      <c r="AJ52" s="2"/>
      <c r="AK52" s="2"/>
    </row>
    <row r="53" spans="1:37" s="15" customFormat="1" ht="10.5" hidden="1" customHeight="1" outlineLevel="2" x14ac:dyDescent="0.2">
      <c r="A53" s="6" t="s">
        <v>41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5">
        <v>0.4</v>
      </c>
      <c r="P53" s="5"/>
      <c r="Q53" s="5"/>
      <c r="R53" s="5"/>
      <c r="S53" s="5"/>
      <c r="T53" s="5"/>
      <c r="U53" s="5"/>
      <c r="V53" s="5">
        <v>0.4</v>
      </c>
      <c r="W53" s="5"/>
      <c r="X53" s="5"/>
      <c r="Y53" s="5"/>
      <c r="Z53" s="5"/>
      <c r="AA53" s="5"/>
      <c r="AB53" s="23"/>
      <c r="AC53" s="24"/>
      <c r="AD53" s="24"/>
      <c r="AE53" s="24"/>
      <c r="AF53" s="25"/>
      <c r="AG53" s="20"/>
      <c r="AH53" s="21"/>
      <c r="AI53" s="21"/>
      <c r="AJ53" s="21"/>
      <c r="AK53" s="22"/>
    </row>
    <row r="54" spans="1:37" s="15" customFormat="1" ht="10.5" hidden="1" customHeight="1" outlineLevel="2" x14ac:dyDescent="0.2">
      <c r="A54" s="6" t="s">
        <v>42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5">
        <v>43.2</v>
      </c>
      <c r="P54" s="5"/>
      <c r="Q54" s="5"/>
      <c r="R54" s="5"/>
      <c r="S54" s="5"/>
      <c r="T54" s="5"/>
      <c r="U54" s="5"/>
      <c r="V54" s="23"/>
      <c r="W54" s="24"/>
      <c r="X54" s="24"/>
      <c r="Y54" s="24"/>
      <c r="Z54" s="24"/>
      <c r="AA54" s="25"/>
      <c r="AB54" s="5">
        <v>43.2</v>
      </c>
      <c r="AC54" s="5"/>
      <c r="AD54" s="5"/>
      <c r="AE54" s="5"/>
      <c r="AF54" s="5"/>
      <c r="AG54" s="5">
        <v>43.2</v>
      </c>
      <c r="AH54" s="5"/>
      <c r="AI54" s="5"/>
      <c r="AJ54" s="5"/>
      <c r="AK54" s="5"/>
    </row>
    <row r="55" spans="1:37" s="15" customFormat="1" ht="10.5" hidden="1" customHeight="1" outlineLevel="2" x14ac:dyDescent="0.2">
      <c r="A55" s="6" t="s">
        <v>43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5">
        <v>16.5</v>
      </c>
      <c r="P55" s="5"/>
      <c r="Q55" s="5"/>
      <c r="R55" s="5"/>
      <c r="S55" s="5"/>
      <c r="T55" s="5"/>
      <c r="U55" s="5"/>
      <c r="V55" s="3">
        <v>0.66</v>
      </c>
      <c r="W55" s="3"/>
      <c r="X55" s="3"/>
      <c r="Y55" s="3"/>
      <c r="Z55" s="3"/>
      <c r="AA55" s="3"/>
      <c r="AB55" s="3">
        <v>15.84</v>
      </c>
      <c r="AC55" s="3"/>
      <c r="AD55" s="3"/>
      <c r="AE55" s="3"/>
      <c r="AF55" s="3"/>
      <c r="AG55" s="3">
        <v>15.84</v>
      </c>
      <c r="AH55" s="3"/>
      <c r="AI55" s="3"/>
      <c r="AJ55" s="3"/>
      <c r="AK55" s="3"/>
    </row>
    <row r="56" spans="1:37" s="15" customFormat="1" ht="10.5" hidden="1" customHeight="1" outlineLevel="2" x14ac:dyDescent="0.2">
      <c r="A56" s="6" t="s">
        <v>44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3">
        <v>0.18</v>
      </c>
      <c r="P56" s="3"/>
      <c r="Q56" s="3"/>
      <c r="R56" s="3"/>
      <c r="S56" s="3"/>
      <c r="T56" s="3"/>
      <c r="U56" s="3"/>
      <c r="V56" s="3">
        <v>0.18</v>
      </c>
      <c r="W56" s="3"/>
      <c r="X56" s="3"/>
      <c r="Y56" s="3"/>
      <c r="Z56" s="3"/>
      <c r="AA56" s="3"/>
      <c r="AB56" s="23"/>
      <c r="AC56" s="24"/>
      <c r="AD56" s="24"/>
      <c r="AE56" s="24"/>
      <c r="AF56" s="25"/>
      <c r="AG56" s="20"/>
      <c r="AH56" s="21"/>
      <c r="AI56" s="21"/>
      <c r="AJ56" s="21"/>
      <c r="AK56" s="22"/>
    </row>
    <row r="57" spans="1:37" s="15" customFormat="1" ht="10.5" hidden="1" customHeight="1" outlineLevel="2" x14ac:dyDescent="0.2">
      <c r="A57" s="6" t="s">
        <v>45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3">
        <v>0.09</v>
      </c>
      <c r="P57" s="3"/>
      <c r="Q57" s="3"/>
      <c r="R57" s="3"/>
      <c r="S57" s="3"/>
      <c r="T57" s="3"/>
      <c r="U57" s="3"/>
      <c r="V57" s="3">
        <v>0.09</v>
      </c>
      <c r="W57" s="3"/>
      <c r="X57" s="3"/>
      <c r="Y57" s="3"/>
      <c r="Z57" s="3"/>
      <c r="AA57" s="3"/>
      <c r="AB57" s="23"/>
      <c r="AC57" s="24"/>
      <c r="AD57" s="24"/>
      <c r="AE57" s="24"/>
      <c r="AF57" s="25"/>
      <c r="AG57" s="20"/>
      <c r="AH57" s="21"/>
      <c r="AI57" s="21"/>
      <c r="AJ57" s="21"/>
      <c r="AK57" s="22"/>
    </row>
    <row r="58" spans="1:37" s="15" customFormat="1" ht="10.5" hidden="1" customHeight="1" outlineLevel="2" x14ac:dyDescent="0.2">
      <c r="A58" s="6" t="s">
        <v>46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5">
        <v>44.4</v>
      </c>
      <c r="P58" s="5"/>
      <c r="Q58" s="5"/>
      <c r="R58" s="5"/>
      <c r="S58" s="5"/>
      <c r="T58" s="5"/>
      <c r="U58" s="5"/>
      <c r="V58" s="23"/>
      <c r="W58" s="24"/>
      <c r="X58" s="24"/>
      <c r="Y58" s="24"/>
      <c r="Z58" s="24"/>
      <c r="AA58" s="25"/>
      <c r="AB58" s="5">
        <v>44.4</v>
      </c>
      <c r="AC58" s="5"/>
      <c r="AD58" s="5"/>
      <c r="AE58" s="5"/>
      <c r="AF58" s="5"/>
      <c r="AG58" s="5">
        <v>44.4</v>
      </c>
      <c r="AH58" s="5"/>
      <c r="AI58" s="5"/>
      <c r="AJ58" s="5"/>
      <c r="AK58" s="5"/>
    </row>
    <row r="59" spans="1:37" s="15" customFormat="1" ht="10.5" hidden="1" customHeight="1" outlineLevel="2" x14ac:dyDescent="0.2">
      <c r="A59" s="6" t="s">
        <v>47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5">
        <v>2.4</v>
      </c>
      <c r="P59" s="5"/>
      <c r="Q59" s="5"/>
      <c r="R59" s="5"/>
      <c r="S59" s="5"/>
      <c r="T59" s="5"/>
      <c r="U59" s="5"/>
      <c r="V59" s="5">
        <v>2.4</v>
      </c>
      <c r="W59" s="5"/>
      <c r="X59" s="5"/>
      <c r="Y59" s="5"/>
      <c r="Z59" s="5"/>
      <c r="AA59" s="5"/>
      <c r="AB59" s="23"/>
      <c r="AC59" s="24"/>
      <c r="AD59" s="24"/>
      <c r="AE59" s="24"/>
      <c r="AF59" s="25"/>
      <c r="AG59" s="20"/>
      <c r="AH59" s="21"/>
      <c r="AI59" s="21"/>
      <c r="AJ59" s="21"/>
      <c r="AK59" s="22"/>
    </row>
    <row r="60" spans="1:37" s="15" customFormat="1" ht="10.5" hidden="1" customHeight="1" outlineLevel="2" x14ac:dyDescent="0.2">
      <c r="A60" s="6" t="s">
        <v>48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5">
        <v>34.799999999999997</v>
      </c>
      <c r="P60" s="5"/>
      <c r="Q60" s="5"/>
      <c r="R60" s="5"/>
      <c r="S60" s="5"/>
      <c r="T60" s="5"/>
      <c r="U60" s="5"/>
      <c r="V60" s="23"/>
      <c r="W60" s="24"/>
      <c r="X60" s="24"/>
      <c r="Y60" s="24"/>
      <c r="Z60" s="24"/>
      <c r="AA60" s="25"/>
      <c r="AB60" s="5">
        <v>34.799999999999997</v>
      </c>
      <c r="AC60" s="5"/>
      <c r="AD60" s="5"/>
      <c r="AE60" s="5"/>
      <c r="AF60" s="5"/>
      <c r="AG60" s="5">
        <v>34.799999999999997</v>
      </c>
      <c r="AH60" s="5"/>
      <c r="AI60" s="5"/>
      <c r="AJ60" s="5"/>
      <c r="AK60" s="5"/>
    </row>
    <row r="61" spans="1:37" s="15" customFormat="1" ht="10.5" hidden="1" customHeight="1" outlineLevel="2" x14ac:dyDescent="0.2">
      <c r="A61" s="6" t="s">
        <v>49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5">
        <v>20.399999999999999</v>
      </c>
      <c r="P61" s="5"/>
      <c r="Q61" s="5"/>
      <c r="R61" s="5"/>
      <c r="S61" s="5"/>
      <c r="T61" s="5"/>
      <c r="U61" s="5"/>
      <c r="V61" s="5">
        <v>10.8</v>
      </c>
      <c r="W61" s="5"/>
      <c r="X61" s="5"/>
      <c r="Y61" s="5"/>
      <c r="Z61" s="5"/>
      <c r="AA61" s="5"/>
      <c r="AB61" s="5">
        <v>9.6</v>
      </c>
      <c r="AC61" s="5"/>
      <c r="AD61" s="5"/>
      <c r="AE61" s="5"/>
      <c r="AF61" s="5"/>
      <c r="AG61" s="5">
        <v>9.6</v>
      </c>
      <c r="AH61" s="5"/>
      <c r="AI61" s="5"/>
      <c r="AJ61" s="5"/>
      <c r="AK61" s="5"/>
    </row>
    <row r="62" spans="1:37" s="15" customFormat="1" ht="10.5" hidden="1" customHeight="1" outlineLevel="2" x14ac:dyDescent="0.2">
      <c r="A62" s="6" t="s">
        <v>50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5">
        <v>7.2</v>
      </c>
      <c r="P62" s="5"/>
      <c r="Q62" s="5"/>
      <c r="R62" s="5"/>
      <c r="S62" s="5"/>
      <c r="T62" s="5"/>
      <c r="U62" s="5"/>
      <c r="V62" s="23"/>
      <c r="W62" s="24"/>
      <c r="X62" s="24"/>
      <c r="Y62" s="24"/>
      <c r="Z62" s="24"/>
      <c r="AA62" s="25"/>
      <c r="AB62" s="5">
        <v>7.2</v>
      </c>
      <c r="AC62" s="5"/>
      <c r="AD62" s="5"/>
      <c r="AE62" s="5"/>
      <c r="AF62" s="5"/>
      <c r="AG62" s="5">
        <v>7.2</v>
      </c>
      <c r="AH62" s="5"/>
      <c r="AI62" s="5"/>
      <c r="AJ62" s="5"/>
      <c r="AK62" s="5"/>
    </row>
    <row r="63" spans="1:37" s="15" customFormat="1" ht="10.5" hidden="1" customHeight="1" outlineLevel="2" x14ac:dyDescent="0.2">
      <c r="A63" s="6" t="s">
        <v>51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5">
        <v>1.8</v>
      </c>
      <c r="P63" s="5"/>
      <c r="Q63" s="5"/>
      <c r="R63" s="5"/>
      <c r="S63" s="5"/>
      <c r="T63" s="5"/>
      <c r="U63" s="5"/>
      <c r="V63" s="5">
        <v>1.8</v>
      </c>
      <c r="W63" s="5"/>
      <c r="X63" s="5"/>
      <c r="Y63" s="5"/>
      <c r="Z63" s="5"/>
      <c r="AA63" s="5"/>
      <c r="AB63" s="23"/>
      <c r="AC63" s="24"/>
      <c r="AD63" s="24"/>
      <c r="AE63" s="24"/>
      <c r="AF63" s="25"/>
      <c r="AG63" s="20"/>
      <c r="AH63" s="21"/>
      <c r="AI63" s="21"/>
      <c r="AJ63" s="21"/>
      <c r="AK63" s="22"/>
    </row>
    <row r="64" spans="1:37" s="15" customFormat="1" ht="10.5" hidden="1" customHeight="1" outlineLevel="2" x14ac:dyDescent="0.2">
      <c r="A64" s="6" t="s">
        <v>52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5">
        <v>0.6</v>
      </c>
      <c r="P64" s="5"/>
      <c r="Q64" s="5"/>
      <c r="R64" s="5"/>
      <c r="S64" s="5"/>
      <c r="T64" s="5"/>
      <c r="U64" s="5"/>
      <c r="V64" s="23"/>
      <c r="W64" s="24"/>
      <c r="X64" s="24"/>
      <c r="Y64" s="24"/>
      <c r="Z64" s="24"/>
      <c r="AA64" s="25"/>
      <c r="AB64" s="5">
        <v>0.6</v>
      </c>
      <c r="AC64" s="5"/>
      <c r="AD64" s="5"/>
      <c r="AE64" s="5"/>
      <c r="AF64" s="5"/>
      <c r="AG64" s="5">
        <v>0.6</v>
      </c>
      <c r="AH64" s="5"/>
      <c r="AI64" s="5"/>
      <c r="AJ64" s="5"/>
      <c r="AK64" s="5"/>
    </row>
    <row r="65" spans="1:37" s="15" customFormat="1" ht="10.5" hidden="1" customHeight="1" outlineLevel="2" x14ac:dyDescent="0.2">
      <c r="A65" s="6" t="s">
        <v>53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>
        <v>50.05</v>
      </c>
      <c r="P65" s="3"/>
      <c r="Q65" s="3"/>
      <c r="R65" s="3"/>
      <c r="S65" s="3"/>
      <c r="T65" s="3"/>
      <c r="U65" s="3"/>
      <c r="V65" s="3">
        <v>50.05</v>
      </c>
      <c r="W65" s="3"/>
      <c r="X65" s="3"/>
      <c r="Y65" s="3"/>
      <c r="Z65" s="3"/>
      <c r="AA65" s="3"/>
      <c r="AB65" s="23"/>
      <c r="AC65" s="24"/>
      <c r="AD65" s="24"/>
      <c r="AE65" s="24"/>
      <c r="AF65" s="25"/>
      <c r="AG65" s="20"/>
      <c r="AH65" s="21"/>
      <c r="AI65" s="21"/>
      <c r="AJ65" s="21"/>
      <c r="AK65" s="22"/>
    </row>
    <row r="66" spans="1:37" s="15" customFormat="1" ht="10.5" hidden="1" customHeight="1" outlineLevel="2" x14ac:dyDescent="0.2">
      <c r="A66" s="6" t="s">
        <v>54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3">
        <v>27.06</v>
      </c>
      <c r="P66" s="3"/>
      <c r="Q66" s="3"/>
      <c r="R66" s="3"/>
      <c r="S66" s="3"/>
      <c r="T66" s="3"/>
      <c r="U66" s="3"/>
      <c r="V66" s="23"/>
      <c r="W66" s="24"/>
      <c r="X66" s="24"/>
      <c r="Y66" s="24"/>
      <c r="Z66" s="24"/>
      <c r="AA66" s="25"/>
      <c r="AB66" s="3">
        <v>27.06</v>
      </c>
      <c r="AC66" s="3"/>
      <c r="AD66" s="3"/>
      <c r="AE66" s="3"/>
      <c r="AF66" s="3"/>
      <c r="AG66" s="3">
        <v>27.06</v>
      </c>
      <c r="AH66" s="3"/>
      <c r="AI66" s="3"/>
      <c r="AJ66" s="3"/>
      <c r="AK66" s="3"/>
    </row>
    <row r="67" spans="1:37" s="15" customFormat="1" ht="10.5" hidden="1" customHeight="1" outlineLevel="2" x14ac:dyDescent="0.2">
      <c r="A67" s="6" t="s">
        <v>55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3">
        <v>11.89</v>
      </c>
      <c r="P67" s="3"/>
      <c r="Q67" s="3"/>
      <c r="R67" s="3"/>
      <c r="S67" s="3"/>
      <c r="T67" s="3"/>
      <c r="U67" s="3"/>
      <c r="V67" s="3">
        <v>12.71</v>
      </c>
      <c r="W67" s="3"/>
      <c r="X67" s="3"/>
      <c r="Y67" s="3"/>
      <c r="Z67" s="3"/>
      <c r="AA67" s="3"/>
      <c r="AB67" s="3">
        <v>-0.82</v>
      </c>
      <c r="AC67" s="3"/>
      <c r="AD67" s="3"/>
      <c r="AE67" s="3"/>
      <c r="AF67" s="3"/>
      <c r="AG67" s="20"/>
      <c r="AH67" s="21"/>
      <c r="AI67" s="21"/>
      <c r="AJ67" s="21"/>
      <c r="AK67" s="22"/>
    </row>
    <row r="68" spans="1:37" s="15" customFormat="1" ht="10.5" hidden="1" customHeight="1" outlineLevel="2" x14ac:dyDescent="0.2">
      <c r="A68" s="6" t="s">
        <v>56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3">
        <v>15.12</v>
      </c>
      <c r="P68" s="3"/>
      <c r="Q68" s="3"/>
      <c r="R68" s="3"/>
      <c r="S68" s="3"/>
      <c r="T68" s="3"/>
      <c r="U68" s="3"/>
      <c r="V68" s="23"/>
      <c r="W68" s="24"/>
      <c r="X68" s="24"/>
      <c r="Y68" s="24"/>
      <c r="Z68" s="24"/>
      <c r="AA68" s="25"/>
      <c r="AB68" s="3">
        <v>15.12</v>
      </c>
      <c r="AC68" s="3"/>
      <c r="AD68" s="3"/>
      <c r="AE68" s="3"/>
      <c r="AF68" s="3"/>
      <c r="AG68" s="3">
        <v>15.12</v>
      </c>
      <c r="AH68" s="3"/>
      <c r="AI68" s="3"/>
      <c r="AJ68" s="3"/>
      <c r="AK68" s="3"/>
    </row>
    <row r="69" spans="1:37" s="15" customFormat="1" ht="10.5" hidden="1" customHeight="1" outlineLevel="2" x14ac:dyDescent="0.2">
      <c r="A69" s="6" t="s">
        <v>57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3">
        <v>1.32</v>
      </c>
      <c r="P69" s="3"/>
      <c r="Q69" s="3"/>
      <c r="R69" s="3"/>
      <c r="S69" s="3"/>
      <c r="T69" s="3"/>
      <c r="U69" s="3"/>
      <c r="V69" s="3">
        <v>1.32</v>
      </c>
      <c r="W69" s="3"/>
      <c r="X69" s="3"/>
      <c r="Y69" s="3"/>
      <c r="Z69" s="3"/>
      <c r="AA69" s="3"/>
      <c r="AB69" s="23"/>
      <c r="AC69" s="24"/>
      <c r="AD69" s="24"/>
      <c r="AE69" s="24"/>
      <c r="AF69" s="25"/>
      <c r="AG69" s="20"/>
      <c r="AH69" s="21"/>
      <c r="AI69" s="21"/>
      <c r="AJ69" s="21"/>
      <c r="AK69" s="22"/>
    </row>
    <row r="70" spans="1:37" s="15" customFormat="1" ht="10.5" hidden="1" customHeight="1" outlineLevel="2" x14ac:dyDescent="0.2">
      <c r="A70" s="6" t="s">
        <v>58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5">
        <v>3.6</v>
      </c>
      <c r="P70" s="5"/>
      <c r="Q70" s="5"/>
      <c r="R70" s="5"/>
      <c r="S70" s="5"/>
      <c r="T70" s="5"/>
      <c r="U70" s="5"/>
      <c r="V70" s="5">
        <v>3.6</v>
      </c>
      <c r="W70" s="5"/>
      <c r="X70" s="5"/>
      <c r="Y70" s="5"/>
      <c r="Z70" s="5"/>
      <c r="AA70" s="5"/>
      <c r="AB70" s="23"/>
      <c r="AC70" s="24"/>
      <c r="AD70" s="24"/>
      <c r="AE70" s="24"/>
      <c r="AF70" s="25"/>
      <c r="AG70" s="20"/>
      <c r="AH70" s="21"/>
      <c r="AI70" s="21"/>
      <c r="AJ70" s="21"/>
      <c r="AK70" s="22"/>
    </row>
    <row r="71" spans="1:37" s="15" customFormat="1" ht="10.5" hidden="1" customHeight="1" outlineLevel="2" x14ac:dyDescent="0.2">
      <c r="A71" s="6" t="s">
        <v>59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3">
        <v>0.99</v>
      </c>
      <c r="P71" s="3"/>
      <c r="Q71" s="3"/>
      <c r="R71" s="3"/>
      <c r="S71" s="3"/>
      <c r="T71" s="3"/>
      <c r="U71" s="3"/>
      <c r="V71" s="3">
        <v>0.99</v>
      </c>
      <c r="W71" s="3"/>
      <c r="X71" s="3"/>
      <c r="Y71" s="3"/>
      <c r="Z71" s="3"/>
      <c r="AA71" s="3"/>
      <c r="AB71" s="23"/>
      <c r="AC71" s="24"/>
      <c r="AD71" s="24"/>
      <c r="AE71" s="24"/>
      <c r="AF71" s="25"/>
      <c r="AG71" s="20"/>
      <c r="AH71" s="21"/>
      <c r="AI71" s="21"/>
      <c r="AJ71" s="21"/>
      <c r="AK71" s="22"/>
    </row>
    <row r="72" spans="1:37" s="15" customFormat="1" ht="10.5" hidden="1" customHeight="1" outlineLevel="2" x14ac:dyDescent="0.2">
      <c r="A72" s="6" t="s">
        <v>60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5">
        <v>0.8</v>
      </c>
      <c r="P72" s="5"/>
      <c r="Q72" s="5"/>
      <c r="R72" s="5"/>
      <c r="S72" s="5"/>
      <c r="T72" s="5"/>
      <c r="U72" s="5"/>
      <c r="V72" s="5">
        <v>0.8</v>
      </c>
      <c r="W72" s="5"/>
      <c r="X72" s="5"/>
      <c r="Y72" s="5"/>
      <c r="Z72" s="5"/>
      <c r="AA72" s="5"/>
      <c r="AB72" s="23"/>
      <c r="AC72" s="24"/>
      <c r="AD72" s="24"/>
      <c r="AE72" s="24"/>
      <c r="AF72" s="25"/>
      <c r="AG72" s="20"/>
      <c r="AH72" s="21"/>
      <c r="AI72" s="21"/>
      <c r="AJ72" s="21"/>
      <c r="AK72" s="22"/>
    </row>
    <row r="73" spans="1:37" s="15" customFormat="1" ht="10.5" hidden="1" customHeight="1" outlineLevel="2" x14ac:dyDescent="0.2">
      <c r="A73" s="6" t="s">
        <v>61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3">
        <v>0.75</v>
      </c>
      <c r="P73" s="3"/>
      <c r="Q73" s="3"/>
      <c r="R73" s="3"/>
      <c r="S73" s="3"/>
      <c r="T73" s="3"/>
      <c r="U73" s="3"/>
      <c r="V73" s="3">
        <v>0.75</v>
      </c>
      <c r="W73" s="3"/>
      <c r="X73" s="3"/>
      <c r="Y73" s="3"/>
      <c r="Z73" s="3"/>
      <c r="AA73" s="3"/>
      <c r="AB73" s="23"/>
      <c r="AC73" s="24"/>
      <c r="AD73" s="24"/>
      <c r="AE73" s="24"/>
      <c r="AF73" s="25"/>
      <c r="AG73" s="20"/>
      <c r="AH73" s="21"/>
      <c r="AI73" s="21"/>
      <c r="AJ73" s="21"/>
      <c r="AK73" s="22"/>
    </row>
    <row r="74" spans="1:37" s="15" customFormat="1" ht="10.5" hidden="1" customHeight="1" outlineLevel="2" x14ac:dyDescent="0.2">
      <c r="A74" s="6" t="s">
        <v>62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3">
        <v>0.54</v>
      </c>
      <c r="P74" s="3"/>
      <c r="Q74" s="3"/>
      <c r="R74" s="3"/>
      <c r="S74" s="3"/>
      <c r="T74" s="3"/>
      <c r="U74" s="3"/>
      <c r="V74" s="3">
        <v>0.54</v>
      </c>
      <c r="W74" s="3"/>
      <c r="X74" s="3"/>
      <c r="Y74" s="3"/>
      <c r="Z74" s="3"/>
      <c r="AA74" s="3"/>
      <c r="AB74" s="23"/>
      <c r="AC74" s="24"/>
      <c r="AD74" s="24"/>
      <c r="AE74" s="24"/>
      <c r="AF74" s="25"/>
      <c r="AG74" s="20"/>
      <c r="AH74" s="21"/>
      <c r="AI74" s="21"/>
      <c r="AJ74" s="21"/>
      <c r="AK74" s="22"/>
    </row>
    <row r="75" spans="1:37" s="15" customFormat="1" ht="10.5" hidden="1" customHeight="1" outlineLevel="2" x14ac:dyDescent="0.2">
      <c r="A75" s="6" t="s">
        <v>63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3">
        <v>113.16</v>
      </c>
      <c r="P75" s="3"/>
      <c r="Q75" s="3"/>
      <c r="R75" s="3"/>
      <c r="S75" s="3"/>
      <c r="T75" s="3"/>
      <c r="U75" s="3"/>
      <c r="V75" s="3">
        <v>4.51</v>
      </c>
      <c r="W75" s="3"/>
      <c r="X75" s="3"/>
      <c r="Y75" s="3"/>
      <c r="Z75" s="3"/>
      <c r="AA75" s="3"/>
      <c r="AB75" s="3">
        <v>108.65</v>
      </c>
      <c r="AC75" s="3"/>
      <c r="AD75" s="3"/>
      <c r="AE75" s="3"/>
      <c r="AF75" s="3"/>
      <c r="AG75" s="3">
        <v>108.65</v>
      </c>
      <c r="AH75" s="3"/>
      <c r="AI75" s="3"/>
      <c r="AJ75" s="3"/>
      <c r="AK75" s="3"/>
    </row>
    <row r="76" spans="1:37" s="15" customFormat="1" ht="10.5" hidden="1" customHeight="1" outlineLevel="2" x14ac:dyDescent="0.2">
      <c r="A76" s="6" t="s">
        <v>64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5">
        <v>2.8</v>
      </c>
      <c r="P76" s="5"/>
      <c r="Q76" s="5"/>
      <c r="R76" s="5"/>
      <c r="S76" s="5"/>
      <c r="T76" s="5"/>
      <c r="U76" s="5"/>
      <c r="V76" s="5">
        <v>2.8</v>
      </c>
      <c r="W76" s="5"/>
      <c r="X76" s="5"/>
      <c r="Y76" s="5"/>
      <c r="Z76" s="5"/>
      <c r="AA76" s="5"/>
      <c r="AB76" s="23"/>
      <c r="AC76" s="24"/>
      <c r="AD76" s="24"/>
      <c r="AE76" s="24"/>
      <c r="AF76" s="25"/>
      <c r="AG76" s="20"/>
      <c r="AH76" s="21"/>
      <c r="AI76" s="21"/>
      <c r="AJ76" s="21"/>
      <c r="AK76" s="22"/>
    </row>
    <row r="77" spans="1:37" s="15" customFormat="1" ht="10.5" hidden="1" customHeight="1" outlineLevel="2" x14ac:dyDescent="0.2">
      <c r="A77" s="6" t="s">
        <v>65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3">
        <v>33.619999999999997</v>
      </c>
      <c r="P77" s="3"/>
      <c r="Q77" s="3"/>
      <c r="R77" s="3"/>
      <c r="S77" s="3"/>
      <c r="T77" s="3"/>
      <c r="U77" s="3"/>
      <c r="V77" s="3">
        <v>33.619999999999997</v>
      </c>
      <c r="W77" s="3"/>
      <c r="X77" s="3"/>
      <c r="Y77" s="3"/>
      <c r="Z77" s="3"/>
      <c r="AA77" s="3"/>
      <c r="AB77" s="23"/>
      <c r="AC77" s="24"/>
      <c r="AD77" s="24"/>
      <c r="AE77" s="24"/>
      <c r="AF77" s="25"/>
      <c r="AG77" s="20"/>
      <c r="AH77" s="21"/>
      <c r="AI77" s="21"/>
      <c r="AJ77" s="21"/>
      <c r="AK77" s="22"/>
    </row>
    <row r="78" spans="1:37" s="15" customFormat="1" ht="10.5" hidden="1" customHeight="1" outlineLevel="2" x14ac:dyDescent="0.2">
      <c r="A78" s="6" t="s">
        <v>66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5">
        <v>2.1</v>
      </c>
      <c r="P78" s="5"/>
      <c r="Q78" s="5"/>
      <c r="R78" s="5"/>
      <c r="S78" s="5"/>
      <c r="T78" s="5"/>
      <c r="U78" s="5"/>
      <c r="V78" s="5">
        <v>2.1</v>
      </c>
      <c r="W78" s="5"/>
      <c r="X78" s="5"/>
      <c r="Y78" s="5"/>
      <c r="Z78" s="5"/>
      <c r="AA78" s="5"/>
      <c r="AB78" s="23"/>
      <c r="AC78" s="24"/>
      <c r="AD78" s="24"/>
      <c r="AE78" s="24"/>
      <c r="AF78" s="25"/>
      <c r="AG78" s="20"/>
      <c r="AH78" s="21"/>
      <c r="AI78" s="21"/>
      <c r="AJ78" s="21"/>
      <c r="AK78" s="22"/>
    </row>
    <row r="79" spans="1:37" s="15" customFormat="1" ht="10.5" hidden="1" customHeight="1" outlineLevel="2" x14ac:dyDescent="0.2">
      <c r="A79" s="6" t="s">
        <v>67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5">
        <v>19.8</v>
      </c>
      <c r="P79" s="5"/>
      <c r="Q79" s="5"/>
      <c r="R79" s="5"/>
      <c r="S79" s="5"/>
      <c r="T79" s="5"/>
      <c r="U79" s="5"/>
      <c r="V79" s="23"/>
      <c r="W79" s="24"/>
      <c r="X79" s="24"/>
      <c r="Y79" s="24"/>
      <c r="Z79" s="24"/>
      <c r="AA79" s="25"/>
      <c r="AB79" s="5">
        <v>19.8</v>
      </c>
      <c r="AC79" s="5"/>
      <c r="AD79" s="5"/>
      <c r="AE79" s="5"/>
      <c r="AF79" s="5"/>
      <c r="AG79" s="5">
        <v>19.8</v>
      </c>
      <c r="AH79" s="5"/>
      <c r="AI79" s="5"/>
      <c r="AJ79" s="5"/>
      <c r="AK79" s="5"/>
    </row>
    <row r="80" spans="1:37" s="15" customFormat="1" ht="10.5" hidden="1" customHeight="1" outlineLevel="2" x14ac:dyDescent="0.2">
      <c r="A80" s="6" t="s">
        <v>68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3">
        <v>0.22</v>
      </c>
      <c r="P80" s="3"/>
      <c r="Q80" s="3"/>
      <c r="R80" s="3"/>
      <c r="S80" s="3"/>
      <c r="T80" s="3"/>
      <c r="U80" s="3"/>
      <c r="V80" s="3">
        <v>0.22</v>
      </c>
      <c r="W80" s="3"/>
      <c r="X80" s="3"/>
      <c r="Y80" s="3"/>
      <c r="Z80" s="3"/>
      <c r="AA80" s="3"/>
      <c r="AB80" s="23"/>
      <c r="AC80" s="24"/>
      <c r="AD80" s="24"/>
      <c r="AE80" s="24"/>
      <c r="AF80" s="25"/>
      <c r="AG80" s="20"/>
      <c r="AH80" s="21"/>
      <c r="AI80" s="21"/>
      <c r="AJ80" s="21"/>
      <c r="AK80" s="22"/>
    </row>
    <row r="81" spans="1:37" s="15" customFormat="1" ht="10.5" hidden="1" customHeight="1" outlineLevel="2" x14ac:dyDescent="0.2">
      <c r="A81" s="6" t="s">
        <v>69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3">
        <v>39.549999999999997</v>
      </c>
      <c r="P81" s="3"/>
      <c r="Q81" s="3"/>
      <c r="R81" s="3"/>
      <c r="S81" s="3"/>
      <c r="T81" s="3"/>
      <c r="U81" s="3"/>
      <c r="V81" s="3">
        <v>39.549999999999997</v>
      </c>
      <c r="W81" s="3"/>
      <c r="X81" s="3"/>
      <c r="Y81" s="3"/>
      <c r="Z81" s="3"/>
      <c r="AA81" s="3"/>
      <c r="AB81" s="23"/>
      <c r="AC81" s="24"/>
      <c r="AD81" s="24"/>
      <c r="AE81" s="24"/>
      <c r="AF81" s="25"/>
      <c r="AG81" s="20"/>
      <c r="AH81" s="21"/>
      <c r="AI81" s="21"/>
      <c r="AJ81" s="21"/>
      <c r="AK81" s="22"/>
    </row>
    <row r="82" spans="1:37" s="15" customFormat="1" ht="10.5" hidden="1" customHeight="1" outlineLevel="2" x14ac:dyDescent="0.2">
      <c r="A82" s="6" t="s">
        <v>70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5">
        <v>38.5</v>
      </c>
      <c r="P82" s="5"/>
      <c r="Q82" s="5"/>
      <c r="R82" s="5"/>
      <c r="S82" s="5"/>
      <c r="T82" s="5"/>
      <c r="U82" s="5"/>
      <c r="V82" s="5">
        <v>38.5</v>
      </c>
      <c r="W82" s="5"/>
      <c r="X82" s="5"/>
      <c r="Y82" s="5"/>
      <c r="Z82" s="5"/>
      <c r="AA82" s="5"/>
      <c r="AB82" s="23"/>
      <c r="AC82" s="24"/>
      <c r="AD82" s="24"/>
      <c r="AE82" s="24"/>
      <c r="AF82" s="25"/>
      <c r="AG82" s="20"/>
      <c r="AH82" s="21"/>
      <c r="AI82" s="21"/>
      <c r="AJ82" s="21"/>
      <c r="AK82" s="22"/>
    </row>
    <row r="83" spans="1:37" s="15" customFormat="1" ht="10.5" hidden="1" customHeight="1" outlineLevel="2" x14ac:dyDescent="0.2">
      <c r="A83" s="6" t="s">
        <v>71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5">
        <v>1.8</v>
      </c>
      <c r="P83" s="5"/>
      <c r="Q83" s="5"/>
      <c r="R83" s="5"/>
      <c r="S83" s="5"/>
      <c r="T83" s="5"/>
      <c r="U83" s="5"/>
      <c r="V83" s="5">
        <v>1.8</v>
      </c>
      <c r="W83" s="5"/>
      <c r="X83" s="5"/>
      <c r="Y83" s="5"/>
      <c r="Z83" s="5"/>
      <c r="AA83" s="5"/>
      <c r="AB83" s="23"/>
      <c r="AC83" s="24"/>
      <c r="AD83" s="24"/>
      <c r="AE83" s="24"/>
      <c r="AF83" s="25"/>
      <c r="AG83" s="20"/>
      <c r="AH83" s="21"/>
      <c r="AI83" s="21"/>
      <c r="AJ83" s="21"/>
      <c r="AK83" s="22"/>
    </row>
    <row r="84" spans="1:37" s="15" customFormat="1" ht="10.5" hidden="1" customHeight="1" outlineLevel="2" x14ac:dyDescent="0.2">
      <c r="A84" s="6" t="s">
        <v>72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5">
        <v>0.3</v>
      </c>
      <c r="P84" s="5"/>
      <c r="Q84" s="5"/>
      <c r="R84" s="5"/>
      <c r="S84" s="5"/>
      <c r="T84" s="5"/>
      <c r="U84" s="5"/>
      <c r="V84" s="23"/>
      <c r="W84" s="24"/>
      <c r="X84" s="24"/>
      <c r="Y84" s="24"/>
      <c r="Z84" s="24"/>
      <c r="AA84" s="25"/>
      <c r="AB84" s="5">
        <v>0.3</v>
      </c>
      <c r="AC84" s="5"/>
      <c r="AD84" s="5"/>
      <c r="AE84" s="5"/>
      <c r="AF84" s="5"/>
      <c r="AG84" s="5">
        <v>0.3</v>
      </c>
      <c r="AH84" s="5"/>
      <c r="AI84" s="5"/>
      <c r="AJ84" s="5"/>
      <c r="AK84" s="5"/>
    </row>
    <row r="85" spans="1:37" s="15" customFormat="1" ht="10.5" hidden="1" customHeight="1" outlineLevel="2" x14ac:dyDescent="0.2">
      <c r="A85" s="6" t="s">
        <v>73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3">
        <v>21.56</v>
      </c>
      <c r="P85" s="3"/>
      <c r="Q85" s="3"/>
      <c r="R85" s="3"/>
      <c r="S85" s="3"/>
      <c r="T85" s="3"/>
      <c r="U85" s="3"/>
      <c r="V85" s="5">
        <v>2.8</v>
      </c>
      <c r="W85" s="5"/>
      <c r="X85" s="5"/>
      <c r="Y85" s="5"/>
      <c r="Z85" s="5"/>
      <c r="AA85" s="5"/>
      <c r="AB85" s="3">
        <v>18.760000000000002</v>
      </c>
      <c r="AC85" s="3"/>
      <c r="AD85" s="3"/>
      <c r="AE85" s="3"/>
      <c r="AF85" s="3"/>
      <c r="AG85" s="3">
        <v>18.760000000000002</v>
      </c>
      <c r="AH85" s="3"/>
      <c r="AI85" s="3"/>
      <c r="AJ85" s="3"/>
      <c r="AK85" s="3"/>
    </row>
    <row r="86" spans="1:37" s="15" customFormat="1" ht="10.5" hidden="1" customHeight="1" outlineLevel="2" x14ac:dyDescent="0.2">
      <c r="A86" s="6" t="s">
        <v>74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3">
        <v>26.04</v>
      </c>
      <c r="P86" s="3"/>
      <c r="Q86" s="3"/>
      <c r="R86" s="3"/>
      <c r="S86" s="3"/>
      <c r="T86" s="3"/>
      <c r="U86" s="3"/>
      <c r="V86" s="3">
        <v>11.76</v>
      </c>
      <c r="W86" s="3"/>
      <c r="X86" s="3"/>
      <c r="Y86" s="3"/>
      <c r="Z86" s="3"/>
      <c r="AA86" s="3"/>
      <c r="AB86" s="3">
        <v>14.28</v>
      </c>
      <c r="AC86" s="3"/>
      <c r="AD86" s="3"/>
      <c r="AE86" s="3"/>
      <c r="AF86" s="3"/>
      <c r="AG86" s="3">
        <v>14.28</v>
      </c>
      <c r="AH86" s="3"/>
      <c r="AI86" s="3"/>
      <c r="AJ86" s="3"/>
      <c r="AK86" s="3"/>
    </row>
    <row r="87" spans="1:37" s="15" customFormat="1" ht="10.5" hidden="1" customHeight="1" outlineLevel="2" x14ac:dyDescent="0.2">
      <c r="A87" s="6" t="s">
        <v>75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3">
        <v>24.92</v>
      </c>
      <c r="P87" s="3"/>
      <c r="Q87" s="3"/>
      <c r="R87" s="3"/>
      <c r="S87" s="3"/>
      <c r="T87" s="3"/>
      <c r="U87" s="3"/>
      <c r="V87" s="3">
        <v>4.76</v>
      </c>
      <c r="W87" s="3"/>
      <c r="X87" s="3"/>
      <c r="Y87" s="3"/>
      <c r="Z87" s="3"/>
      <c r="AA87" s="3"/>
      <c r="AB87" s="3">
        <v>20.16</v>
      </c>
      <c r="AC87" s="3"/>
      <c r="AD87" s="3"/>
      <c r="AE87" s="3"/>
      <c r="AF87" s="3"/>
      <c r="AG87" s="3">
        <v>20.16</v>
      </c>
      <c r="AH87" s="3"/>
      <c r="AI87" s="3"/>
      <c r="AJ87" s="3"/>
      <c r="AK87" s="3"/>
    </row>
    <row r="88" spans="1:37" s="15" customFormat="1" ht="10.5" hidden="1" customHeight="1" outlineLevel="2" x14ac:dyDescent="0.2">
      <c r="A88" s="6" t="s">
        <v>76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5">
        <v>90.4</v>
      </c>
      <c r="P88" s="5"/>
      <c r="Q88" s="5"/>
      <c r="R88" s="5"/>
      <c r="S88" s="5"/>
      <c r="T88" s="5"/>
      <c r="U88" s="5"/>
      <c r="V88" s="5">
        <v>2.4</v>
      </c>
      <c r="W88" s="5"/>
      <c r="X88" s="5"/>
      <c r="Y88" s="5"/>
      <c r="Z88" s="5"/>
      <c r="AA88" s="5"/>
      <c r="AB88" s="2">
        <v>88</v>
      </c>
      <c r="AC88" s="2"/>
      <c r="AD88" s="2"/>
      <c r="AE88" s="2"/>
      <c r="AF88" s="2"/>
      <c r="AG88" s="2">
        <v>88</v>
      </c>
      <c r="AH88" s="2"/>
      <c r="AI88" s="2"/>
      <c r="AJ88" s="2"/>
      <c r="AK88" s="2"/>
    </row>
    <row r="89" spans="1:37" s="15" customFormat="1" ht="10.5" hidden="1" customHeight="1" outlineLevel="2" x14ac:dyDescent="0.2">
      <c r="A89" s="6" t="s">
        <v>77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2">
        <v>3</v>
      </c>
      <c r="P89" s="2"/>
      <c r="Q89" s="2"/>
      <c r="R89" s="2"/>
      <c r="S89" s="2"/>
      <c r="T89" s="2"/>
      <c r="U89" s="2"/>
      <c r="V89" s="23"/>
      <c r="W89" s="24"/>
      <c r="X89" s="24"/>
      <c r="Y89" s="24"/>
      <c r="Z89" s="24"/>
      <c r="AA89" s="25"/>
      <c r="AB89" s="2">
        <v>3</v>
      </c>
      <c r="AC89" s="2"/>
      <c r="AD89" s="2"/>
      <c r="AE89" s="2"/>
      <c r="AF89" s="2"/>
      <c r="AG89" s="2">
        <v>3</v>
      </c>
      <c r="AH89" s="2"/>
      <c r="AI89" s="2"/>
      <c r="AJ89" s="2"/>
      <c r="AK89" s="2"/>
    </row>
    <row r="90" spans="1:37" s="15" customFormat="1" ht="10.5" hidden="1" customHeight="1" outlineLevel="2" x14ac:dyDescent="0.2">
      <c r="A90" s="6" t="s">
        <v>78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3">
        <v>12.84</v>
      </c>
      <c r="P90" s="3"/>
      <c r="Q90" s="3"/>
      <c r="R90" s="3"/>
      <c r="S90" s="3"/>
      <c r="T90" s="3"/>
      <c r="U90" s="3"/>
      <c r="V90" s="23"/>
      <c r="W90" s="24"/>
      <c r="X90" s="24"/>
      <c r="Y90" s="24"/>
      <c r="Z90" s="24"/>
      <c r="AA90" s="25"/>
      <c r="AB90" s="3">
        <v>12.84</v>
      </c>
      <c r="AC90" s="3"/>
      <c r="AD90" s="3"/>
      <c r="AE90" s="3"/>
      <c r="AF90" s="3"/>
      <c r="AG90" s="3">
        <v>12.84</v>
      </c>
      <c r="AH90" s="3"/>
      <c r="AI90" s="3"/>
      <c r="AJ90" s="3"/>
      <c r="AK90" s="3"/>
    </row>
    <row r="91" spans="1:37" s="15" customFormat="1" ht="10.5" hidden="1" customHeight="1" outlineLevel="2" x14ac:dyDescent="0.2">
      <c r="A91" s="6" t="s">
        <v>79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5">
        <v>1.2</v>
      </c>
      <c r="P91" s="5"/>
      <c r="Q91" s="5"/>
      <c r="R91" s="5"/>
      <c r="S91" s="5"/>
      <c r="T91" s="5"/>
      <c r="U91" s="5"/>
      <c r="V91" s="5">
        <v>1.2</v>
      </c>
      <c r="W91" s="5"/>
      <c r="X91" s="5"/>
      <c r="Y91" s="5"/>
      <c r="Z91" s="5"/>
      <c r="AA91" s="5"/>
      <c r="AB91" s="23"/>
      <c r="AC91" s="24"/>
      <c r="AD91" s="24"/>
      <c r="AE91" s="24"/>
      <c r="AF91" s="25"/>
      <c r="AG91" s="20"/>
      <c r="AH91" s="21"/>
      <c r="AI91" s="21"/>
      <c r="AJ91" s="21"/>
      <c r="AK91" s="22"/>
    </row>
    <row r="92" spans="1:37" s="15" customFormat="1" ht="10.5" hidden="1" customHeight="1" outlineLevel="2" x14ac:dyDescent="0.2">
      <c r="A92" s="6" t="s">
        <v>80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5">
        <v>1.8</v>
      </c>
      <c r="P92" s="5"/>
      <c r="Q92" s="5"/>
      <c r="R92" s="5"/>
      <c r="S92" s="5"/>
      <c r="T92" s="5"/>
      <c r="U92" s="5"/>
      <c r="V92" s="5">
        <v>1.8</v>
      </c>
      <c r="W92" s="5"/>
      <c r="X92" s="5"/>
      <c r="Y92" s="5"/>
      <c r="Z92" s="5"/>
      <c r="AA92" s="5"/>
      <c r="AB92" s="23"/>
      <c r="AC92" s="24"/>
      <c r="AD92" s="24"/>
      <c r="AE92" s="24"/>
      <c r="AF92" s="25"/>
      <c r="AG92" s="20"/>
      <c r="AH92" s="21"/>
      <c r="AI92" s="21"/>
      <c r="AJ92" s="21"/>
      <c r="AK92" s="22"/>
    </row>
    <row r="93" spans="1:37" s="15" customFormat="1" ht="10.5" hidden="1" customHeight="1" outlineLevel="2" x14ac:dyDescent="0.2">
      <c r="A93" s="6" t="s">
        <v>81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3">
        <v>0.99</v>
      </c>
      <c r="P93" s="3"/>
      <c r="Q93" s="3"/>
      <c r="R93" s="3"/>
      <c r="S93" s="3"/>
      <c r="T93" s="3"/>
      <c r="U93" s="3"/>
      <c r="V93" s="3">
        <v>0.33</v>
      </c>
      <c r="W93" s="3"/>
      <c r="X93" s="3"/>
      <c r="Y93" s="3"/>
      <c r="Z93" s="3"/>
      <c r="AA93" s="3"/>
      <c r="AB93" s="3">
        <v>0.66</v>
      </c>
      <c r="AC93" s="3"/>
      <c r="AD93" s="3"/>
      <c r="AE93" s="3"/>
      <c r="AF93" s="3"/>
      <c r="AG93" s="3">
        <v>0.66</v>
      </c>
      <c r="AH93" s="3"/>
      <c r="AI93" s="3"/>
      <c r="AJ93" s="3"/>
      <c r="AK93" s="3"/>
    </row>
    <row r="94" spans="1:37" s="15" customFormat="1" ht="10.5" hidden="1" customHeight="1" outlineLevel="2" x14ac:dyDescent="0.2">
      <c r="A94" s="6" t="s">
        <v>82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3">
        <v>0.15</v>
      </c>
      <c r="P94" s="3"/>
      <c r="Q94" s="3"/>
      <c r="R94" s="3"/>
      <c r="S94" s="3"/>
      <c r="T94" s="3"/>
      <c r="U94" s="3"/>
      <c r="V94" s="3">
        <v>0.15</v>
      </c>
      <c r="W94" s="3"/>
      <c r="X94" s="3"/>
      <c r="Y94" s="3"/>
      <c r="Z94" s="3"/>
      <c r="AA94" s="3"/>
      <c r="AB94" s="23"/>
      <c r="AC94" s="24"/>
      <c r="AD94" s="24"/>
      <c r="AE94" s="24"/>
      <c r="AF94" s="25"/>
      <c r="AG94" s="20"/>
      <c r="AH94" s="21"/>
      <c r="AI94" s="21"/>
      <c r="AJ94" s="21"/>
      <c r="AK94" s="22"/>
    </row>
    <row r="95" spans="1:37" s="15" customFormat="1" ht="10.5" hidden="1" customHeight="1" outlineLevel="2" x14ac:dyDescent="0.2">
      <c r="A95" s="6" t="s">
        <v>83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3">
        <v>23.78</v>
      </c>
      <c r="P95" s="3"/>
      <c r="Q95" s="3"/>
      <c r="R95" s="3"/>
      <c r="S95" s="3"/>
      <c r="T95" s="3"/>
      <c r="U95" s="3"/>
      <c r="V95" s="23"/>
      <c r="W95" s="24"/>
      <c r="X95" s="24"/>
      <c r="Y95" s="24"/>
      <c r="Z95" s="24"/>
      <c r="AA95" s="25"/>
      <c r="AB95" s="3">
        <v>23.78</v>
      </c>
      <c r="AC95" s="3"/>
      <c r="AD95" s="3"/>
      <c r="AE95" s="3"/>
      <c r="AF95" s="3"/>
      <c r="AG95" s="3">
        <v>23.78</v>
      </c>
      <c r="AH95" s="3"/>
      <c r="AI95" s="3"/>
      <c r="AJ95" s="3"/>
      <c r="AK95" s="3"/>
    </row>
    <row r="96" spans="1:37" s="15" customFormat="1" ht="10.5" hidden="1" customHeight="1" outlineLevel="2" x14ac:dyDescent="0.2">
      <c r="A96" s="6" t="s">
        <v>84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3">
        <v>1.04</v>
      </c>
      <c r="P96" s="3"/>
      <c r="Q96" s="3"/>
      <c r="R96" s="3"/>
      <c r="S96" s="3"/>
      <c r="T96" s="3"/>
      <c r="U96" s="3"/>
      <c r="V96" s="3">
        <v>1.04</v>
      </c>
      <c r="W96" s="3"/>
      <c r="X96" s="3"/>
      <c r="Y96" s="3"/>
      <c r="Z96" s="3"/>
      <c r="AA96" s="3"/>
      <c r="AB96" s="23"/>
      <c r="AC96" s="24"/>
      <c r="AD96" s="24"/>
      <c r="AE96" s="24"/>
      <c r="AF96" s="25"/>
      <c r="AG96" s="20"/>
      <c r="AH96" s="21"/>
      <c r="AI96" s="21"/>
      <c r="AJ96" s="21"/>
      <c r="AK96" s="22"/>
    </row>
    <row r="97" spans="1:37" s="15" customFormat="1" ht="10.5" hidden="1" customHeight="1" outlineLevel="2" x14ac:dyDescent="0.2">
      <c r="A97" s="6" t="s">
        <v>85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3">
        <v>1.86</v>
      </c>
      <c r="P97" s="3"/>
      <c r="Q97" s="3"/>
      <c r="R97" s="3"/>
      <c r="S97" s="3"/>
      <c r="T97" s="3"/>
      <c r="U97" s="3"/>
      <c r="V97" s="23"/>
      <c r="W97" s="24"/>
      <c r="X97" s="24"/>
      <c r="Y97" s="24"/>
      <c r="Z97" s="24"/>
      <c r="AA97" s="25"/>
      <c r="AB97" s="3">
        <v>1.86</v>
      </c>
      <c r="AC97" s="3"/>
      <c r="AD97" s="3"/>
      <c r="AE97" s="3"/>
      <c r="AF97" s="3"/>
      <c r="AG97" s="3">
        <v>1.86</v>
      </c>
      <c r="AH97" s="3"/>
      <c r="AI97" s="3"/>
      <c r="AJ97" s="3"/>
      <c r="AK97" s="3"/>
    </row>
    <row r="98" spans="1:37" s="15" customFormat="1" ht="10.5" hidden="1" customHeight="1" outlineLevel="2" x14ac:dyDescent="0.2">
      <c r="A98" s="6" t="s">
        <v>86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2">
        <v>4</v>
      </c>
      <c r="P98" s="2"/>
      <c r="Q98" s="2"/>
      <c r="R98" s="2"/>
      <c r="S98" s="2"/>
      <c r="T98" s="2"/>
      <c r="U98" s="2"/>
      <c r="V98" s="2">
        <v>4</v>
      </c>
      <c r="W98" s="2"/>
      <c r="X98" s="2"/>
      <c r="Y98" s="2"/>
      <c r="Z98" s="2"/>
      <c r="AA98" s="2"/>
      <c r="AB98" s="23"/>
      <c r="AC98" s="24"/>
      <c r="AD98" s="24"/>
      <c r="AE98" s="24"/>
      <c r="AF98" s="25"/>
      <c r="AG98" s="20"/>
      <c r="AH98" s="21"/>
      <c r="AI98" s="21"/>
      <c r="AJ98" s="21"/>
      <c r="AK98" s="22"/>
    </row>
    <row r="99" spans="1:37" s="15" customFormat="1" ht="10.5" hidden="1" customHeight="1" outlineLevel="2" x14ac:dyDescent="0.2">
      <c r="A99" s="6" t="s">
        <v>87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5">
        <v>19.8</v>
      </c>
      <c r="P99" s="5"/>
      <c r="Q99" s="5"/>
      <c r="R99" s="5"/>
      <c r="S99" s="5"/>
      <c r="T99" s="5"/>
      <c r="U99" s="5"/>
      <c r="V99" s="3">
        <v>0.33</v>
      </c>
      <c r="W99" s="3"/>
      <c r="X99" s="3"/>
      <c r="Y99" s="3"/>
      <c r="Z99" s="3"/>
      <c r="AA99" s="3"/>
      <c r="AB99" s="3">
        <v>19.47</v>
      </c>
      <c r="AC99" s="3"/>
      <c r="AD99" s="3"/>
      <c r="AE99" s="3"/>
      <c r="AF99" s="3"/>
      <c r="AG99" s="3">
        <v>19.47</v>
      </c>
      <c r="AH99" s="3"/>
      <c r="AI99" s="3"/>
      <c r="AJ99" s="3"/>
      <c r="AK99" s="3"/>
    </row>
    <row r="100" spans="1:37" s="15" customFormat="1" ht="10.5" hidden="1" customHeight="1" outlineLevel="2" x14ac:dyDescent="0.2">
      <c r="A100" s="6" t="s">
        <v>88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5">
        <v>12.1</v>
      </c>
      <c r="P100" s="5"/>
      <c r="Q100" s="5"/>
      <c r="R100" s="5"/>
      <c r="S100" s="5"/>
      <c r="T100" s="5"/>
      <c r="U100" s="5"/>
      <c r="V100" s="5">
        <v>0.8</v>
      </c>
      <c r="W100" s="5"/>
      <c r="X100" s="5"/>
      <c r="Y100" s="5"/>
      <c r="Z100" s="5"/>
      <c r="AA100" s="5"/>
      <c r="AB100" s="5">
        <v>11.3</v>
      </c>
      <c r="AC100" s="5"/>
      <c r="AD100" s="5"/>
      <c r="AE100" s="5"/>
      <c r="AF100" s="5"/>
      <c r="AG100" s="5">
        <v>11.3</v>
      </c>
      <c r="AH100" s="5"/>
      <c r="AI100" s="5"/>
      <c r="AJ100" s="5"/>
      <c r="AK100" s="5"/>
    </row>
    <row r="101" spans="1:37" s="15" customFormat="1" ht="10.5" hidden="1" customHeight="1" outlineLevel="2" x14ac:dyDescent="0.2">
      <c r="A101" s="6" t="s">
        <v>89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5">
        <v>0.5</v>
      </c>
      <c r="P101" s="5"/>
      <c r="Q101" s="5"/>
      <c r="R101" s="5"/>
      <c r="S101" s="5"/>
      <c r="T101" s="5"/>
      <c r="U101" s="5"/>
      <c r="V101" s="5">
        <v>0.5</v>
      </c>
      <c r="W101" s="5"/>
      <c r="X101" s="5"/>
      <c r="Y101" s="5"/>
      <c r="Z101" s="5"/>
      <c r="AA101" s="5"/>
      <c r="AB101" s="23"/>
      <c r="AC101" s="24"/>
      <c r="AD101" s="24"/>
      <c r="AE101" s="24"/>
      <c r="AF101" s="25"/>
      <c r="AG101" s="20"/>
      <c r="AH101" s="21"/>
      <c r="AI101" s="21"/>
      <c r="AJ101" s="21"/>
      <c r="AK101" s="22"/>
    </row>
    <row r="102" spans="1:37" s="15" customFormat="1" ht="10.5" hidden="1" customHeight="1" outlineLevel="2" x14ac:dyDescent="0.2">
      <c r="A102" s="6" t="s">
        <v>90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5">
        <v>13.2</v>
      </c>
      <c r="P102" s="5"/>
      <c r="Q102" s="5"/>
      <c r="R102" s="5"/>
      <c r="S102" s="5"/>
      <c r="T102" s="5"/>
      <c r="U102" s="5"/>
      <c r="V102" s="23"/>
      <c r="W102" s="24"/>
      <c r="X102" s="24"/>
      <c r="Y102" s="24"/>
      <c r="Z102" s="24"/>
      <c r="AA102" s="25"/>
      <c r="AB102" s="5">
        <v>13.2</v>
      </c>
      <c r="AC102" s="5"/>
      <c r="AD102" s="5"/>
      <c r="AE102" s="5"/>
      <c r="AF102" s="5"/>
      <c r="AG102" s="5">
        <v>13.2</v>
      </c>
      <c r="AH102" s="5"/>
      <c r="AI102" s="5"/>
      <c r="AJ102" s="5"/>
      <c r="AK102" s="5"/>
    </row>
    <row r="103" spans="1:37" s="15" customFormat="1" ht="10.5" hidden="1" customHeight="1" outlineLevel="2" x14ac:dyDescent="0.2">
      <c r="A103" s="6" t="s">
        <v>91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5">
        <v>0.2</v>
      </c>
      <c r="P103" s="5"/>
      <c r="Q103" s="5"/>
      <c r="R103" s="5"/>
      <c r="S103" s="5"/>
      <c r="T103" s="5"/>
      <c r="U103" s="5"/>
      <c r="V103" s="5">
        <v>0.2</v>
      </c>
      <c r="W103" s="5"/>
      <c r="X103" s="5"/>
      <c r="Y103" s="5"/>
      <c r="Z103" s="5"/>
      <c r="AA103" s="5"/>
      <c r="AB103" s="23"/>
      <c r="AC103" s="24"/>
      <c r="AD103" s="24"/>
      <c r="AE103" s="24"/>
      <c r="AF103" s="25"/>
      <c r="AG103" s="20"/>
      <c r="AH103" s="21"/>
      <c r="AI103" s="21"/>
      <c r="AJ103" s="21"/>
      <c r="AK103" s="22"/>
    </row>
    <row r="104" spans="1:37" s="15" customFormat="1" ht="10.5" hidden="1" customHeight="1" outlineLevel="2" x14ac:dyDescent="0.2">
      <c r="A104" s="6" t="s">
        <v>92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5">
        <v>0.2</v>
      </c>
      <c r="P104" s="5"/>
      <c r="Q104" s="5"/>
      <c r="R104" s="5"/>
      <c r="S104" s="5"/>
      <c r="T104" s="5"/>
      <c r="U104" s="5"/>
      <c r="V104" s="5">
        <v>0.2</v>
      </c>
      <c r="W104" s="5"/>
      <c r="X104" s="5"/>
      <c r="Y104" s="5"/>
      <c r="Z104" s="5"/>
      <c r="AA104" s="5"/>
      <c r="AB104" s="23"/>
      <c r="AC104" s="24"/>
      <c r="AD104" s="24"/>
      <c r="AE104" s="24"/>
      <c r="AF104" s="25"/>
      <c r="AG104" s="20"/>
      <c r="AH104" s="21"/>
      <c r="AI104" s="21"/>
      <c r="AJ104" s="21"/>
      <c r="AK104" s="22"/>
    </row>
    <row r="105" spans="1:37" s="15" customFormat="1" ht="10.5" hidden="1" customHeight="1" outlineLevel="1" collapsed="1" x14ac:dyDescent="0.2">
      <c r="A105" s="8" t="s">
        <v>93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9">
        <v>171.864</v>
      </c>
      <c r="P105" s="9"/>
      <c r="Q105" s="9"/>
      <c r="R105" s="9"/>
      <c r="S105" s="9"/>
      <c r="T105" s="9"/>
      <c r="U105" s="9"/>
      <c r="V105" s="26"/>
      <c r="W105" s="27"/>
      <c r="X105" s="27"/>
      <c r="Y105" s="27"/>
      <c r="Z105" s="27"/>
      <c r="AA105" s="28"/>
      <c r="AB105" s="9">
        <v>171.864</v>
      </c>
      <c r="AC105" s="9"/>
      <c r="AD105" s="9"/>
      <c r="AE105" s="9"/>
      <c r="AF105" s="9"/>
      <c r="AG105" s="9">
        <v>171.864</v>
      </c>
      <c r="AH105" s="9"/>
      <c r="AI105" s="9"/>
      <c r="AJ105" s="9"/>
      <c r="AK105" s="9"/>
    </row>
    <row r="106" spans="1:37" s="15" customFormat="1" ht="21.75" hidden="1" customHeight="1" outlineLevel="2" x14ac:dyDescent="0.2">
      <c r="A106" s="6" t="s">
        <v>94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4">
        <v>26.783999999999999</v>
      </c>
      <c r="P106" s="4"/>
      <c r="Q106" s="4"/>
      <c r="R106" s="4"/>
      <c r="S106" s="4"/>
      <c r="T106" s="4"/>
      <c r="U106" s="4"/>
      <c r="V106" s="23"/>
      <c r="W106" s="24"/>
      <c r="X106" s="24"/>
      <c r="Y106" s="24"/>
      <c r="Z106" s="24"/>
      <c r="AA106" s="25"/>
      <c r="AB106" s="4">
        <v>26.783999999999999</v>
      </c>
      <c r="AC106" s="4"/>
      <c r="AD106" s="4"/>
      <c r="AE106" s="4"/>
      <c r="AF106" s="4"/>
      <c r="AG106" s="4">
        <v>26.783999999999999</v>
      </c>
      <c r="AH106" s="4"/>
      <c r="AI106" s="4"/>
      <c r="AJ106" s="4"/>
      <c r="AK106" s="4"/>
    </row>
    <row r="107" spans="1:37" s="15" customFormat="1" ht="21.75" hidden="1" customHeight="1" outlineLevel="2" x14ac:dyDescent="0.2">
      <c r="A107" s="6" t="s">
        <v>95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4">
        <v>53.567999999999998</v>
      </c>
      <c r="P107" s="4"/>
      <c r="Q107" s="4"/>
      <c r="R107" s="4"/>
      <c r="S107" s="4"/>
      <c r="T107" s="4"/>
      <c r="U107" s="4"/>
      <c r="V107" s="23"/>
      <c r="W107" s="24"/>
      <c r="X107" s="24"/>
      <c r="Y107" s="24"/>
      <c r="Z107" s="24"/>
      <c r="AA107" s="25"/>
      <c r="AB107" s="4">
        <v>53.567999999999998</v>
      </c>
      <c r="AC107" s="4"/>
      <c r="AD107" s="4"/>
      <c r="AE107" s="4"/>
      <c r="AF107" s="4"/>
      <c r="AG107" s="4">
        <v>53.567999999999998</v>
      </c>
      <c r="AH107" s="4"/>
      <c r="AI107" s="4"/>
      <c r="AJ107" s="4"/>
      <c r="AK107" s="4"/>
    </row>
    <row r="108" spans="1:37" s="15" customFormat="1" ht="21.75" hidden="1" customHeight="1" outlineLevel="2" x14ac:dyDescent="0.2">
      <c r="A108" s="6" t="s">
        <v>96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4">
        <v>29.015999999999998</v>
      </c>
      <c r="P108" s="4"/>
      <c r="Q108" s="4"/>
      <c r="R108" s="4"/>
      <c r="S108" s="4"/>
      <c r="T108" s="4"/>
      <c r="U108" s="4"/>
      <c r="V108" s="23"/>
      <c r="W108" s="24"/>
      <c r="X108" s="24"/>
      <c r="Y108" s="24"/>
      <c r="Z108" s="24"/>
      <c r="AA108" s="25"/>
      <c r="AB108" s="4">
        <v>29.015999999999998</v>
      </c>
      <c r="AC108" s="4"/>
      <c r="AD108" s="4"/>
      <c r="AE108" s="4"/>
      <c r="AF108" s="4"/>
      <c r="AG108" s="4">
        <v>29.015999999999998</v>
      </c>
      <c r="AH108" s="4"/>
      <c r="AI108" s="4"/>
      <c r="AJ108" s="4"/>
      <c r="AK108" s="4"/>
    </row>
    <row r="109" spans="1:37" s="15" customFormat="1" ht="21.75" hidden="1" customHeight="1" outlineLevel="2" x14ac:dyDescent="0.2">
      <c r="A109" s="6" t="s">
        <v>97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4">
        <v>62.496000000000002</v>
      </c>
      <c r="P109" s="4"/>
      <c r="Q109" s="4"/>
      <c r="R109" s="4"/>
      <c r="S109" s="4"/>
      <c r="T109" s="4"/>
      <c r="U109" s="4"/>
      <c r="V109" s="23"/>
      <c r="W109" s="24"/>
      <c r="X109" s="24"/>
      <c r="Y109" s="24"/>
      <c r="Z109" s="24"/>
      <c r="AA109" s="25"/>
      <c r="AB109" s="4">
        <v>62.496000000000002</v>
      </c>
      <c r="AC109" s="4"/>
      <c r="AD109" s="4"/>
      <c r="AE109" s="4"/>
      <c r="AF109" s="4"/>
      <c r="AG109" s="4">
        <v>62.496000000000002</v>
      </c>
      <c r="AH109" s="4"/>
      <c r="AI109" s="4"/>
      <c r="AJ109" s="4"/>
      <c r="AK109" s="4"/>
    </row>
    <row r="110" spans="1:37" s="15" customFormat="1" ht="10.5" hidden="1" customHeight="1" outlineLevel="1" collapsed="1" x14ac:dyDescent="0.2">
      <c r="A110" s="8" t="s">
        <v>98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10">
        <v>91.42</v>
      </c>
      <c r="P110" s="10"/>
      <c r="Q110" s="10"/>
      <c r="R110" s="10"/>
      <c r="S110" s="10"/>
      <c r="T110" s="10"/>
      <c r="U110" s="10"/>
      <c r="V110" s="9">
        <v>31.521999999999998</v>
      </c>
      <c r="W110" s="9"/>
      <c r="X110" s="9"/>
      <c r="Y110" s="9"/>
      <c r="Z110" s="9"/>
      <c r="AA110" s="9"/>
      <c r="AB110" s="9">
        <v>59.898000000000003</v>
      </c>
      <c r="AC110" s="9"/>
      <c r="AD110" s="9"/>
      <c r="AE110" s="9"/>
      <c r="AF110" s="9"/>
      <c r="AG110" s="7">
        <v>60.1</v>
      </c>
      <c r="AH110" s="7"/>
      <c r="AI110" s="7"/>
      <c r="AJ110" s="7"/>
      <c r="AK110" s="7"/>
    </row>
    <row r="111" spans="1:37" s="15" customFormat="1" ht="10.5" hidden="1" customHeight="1" outlineLevel="2" x14ac:dyDescent="0.2">
      <c r="A111" s="6" t="s">
        <v>99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2">
        <v>9</v>
      </c>
      <c r="P111" s="2"/>
      <c r="Q111" s="2"/>
      <c r="R111" s="2"/>
      <c r="S111" s="2"/>
      <c r="T111" s="2"/>
      <c r="U111" s="2"/>
      <c r="V111" s="4">
        <v>9.202</v>
      </c>
      <c r="W111" s="4"/>
      <c r="X111" s="4"/>
      <c r="Y111" s="4"/>
      <c r="Z111" s="4"/>
      <c r="AA111" s="4"/>
      <c r="AB111" s="4">
        <v>-0.20200000000000001</v>
      </c>
      <c r="AC111" s="4"/>
      <c r="AD111" s="4"/>
      <c r="AE111" s="4"/>
      <c r="AF111" s="4"/>
      <c r="AG111" s="20"/>
      <c r="AH111" s="21"/>
      <c r="AI111" s="21"/>
      <c r="AJ111" s="21"/>
      <c r="AK111" s="22"/>
    </row>
    <row r="112" spans="1:37" s="15" customFormat="1" ht="10.5" hidden="1" customHeight="1" outlineLevel="2" x14ac:dyDescent="0.2">
      <c r="A112" s="6" t="s">
        <v>100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5">
        <v>2.1</v>
      </c>
      <c r="P112" s="5"/>
      <c r="Q112" s="5"/>
      <c r="R112" s="5"/>
      <c r="S112" s="5"/>
      <c r="T112" s="5"/>
      <c r="U112" s="5"/>
      <c r="V112" s="5">
        <v>2.1</v>
      </c>
      <c r="W112" s="5"/>
      <c r="X112" s="5"/>
      <c r="Y112" s="5"/>
      <c r="Z112" s="5"/>
      <c r="AA112" s="5"/>
      <c r="AB112" s="23"/>
      <c r="AC112" s="24"/>
      <c r="AD112" s="24"/>
      <c r="AE112" s="24"/>
      <c r="AF112" s="25"/>
      <c r="AG112" s="20"/>
      <c r="AH112" s="21"/>
      <c r="AI112" s="21"/>
      <c r="AJ112" s="21"/>
      <c r="AK112" s="22"/>
    </row>
    <row r="113" spans="1:37" s="15" customFormat="1" ht="10.5" hidden="1" customHeight="1" outlineLevel="2" x14ac:dyDescent="0.2">
      <c r="A113" s="6" t="s">
        <v>101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5">
        <v>26.7</v>
      </c>
      <c r="P113" s="5"/>
      <c r="Q113" s="5"/>
      <c r="R113" s="5"/>
      <c r="S113" s="5"/>
      <c r="T113" s="5"/>
      <c r="U113" s="5"/>
      <c r="V113" s="5">
        <v>0.3</v>
      </c>
      <c r="W113" s="5"/>
      <c r="X113" s="5"/>
      <c r="Y113" s="5"/>
      <c r="Z113" s="5"/>
      <c r="AA113" s="5"/>
      <c r="AB113" s="5">
        <v>26.4</v>
      </c>
      <c r="AC113" s="5"/>
      <c r="AD113" s="5"/>
      <c r="AE113" s="5"/>
      <c r="AF113" s="5"/>
      <c r="AG113" s="5">
        <v>26.4</v>
      </c>
      <c r="AH113" s="5"/>
      <c r="AI113" s="5"/>
      <c r="AJ113" s="5"/>
      <c r="AK113" s="5"/>
    </row>
    <row r="114" spans="1:37" s="15" customFormat="1" ht="10.5" hidden="1" customHeight="1" outlineLevel="2" x14ac:dyDescent="0.2">
      <c r="A114" s="6" t="s">
        <v>102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2">
        <v>3</v>
      </c>
      <c r="P114" s="2"/>
      <c r="Q114" s="2"/>
      <c r="R114" s="2"/>
      <c r="S114" s="2"/>
      <c r="T114" s="2"/>
      <c r="U114" s="2"/>
      <c r="V114" s="2">
        <v>3</v>
      </c>
      <c r="W114" s="2"/>
      <c r="X114" s="2"/>
      <c r="Y114" s="2"/>
      <c r="Z114" s="2"/>
      <c r="AA114" s="2"/>
      <c r="AB114" s="23"/>
      <c r="AC114" s="24"/>
      <c r="AD114" s="24"/>
      <c r="AE114" s="24"/>
      <c r="AF114" s="25"/>
      <c r="AG114" s="20"/>
      <c r="AH114" s="21"/>
      <c r="AI114" s="21"/>
      <c r="AJ114" s="21"/>
      <c r="AK114" s="22"/>
    </row>
    <row r="115" spans="1:37" s="15" customFormat="1" ht="10.5" hidden="1" customHeight="1" outlineLevel="2" x14ac:dyDescent="0.2">
      <c r="A115" s="6" t="s">
        <v>103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5">
        <v>11.2</v>
      </c>
      <c r="P115" s="5"/>
      <c r="Q115" s="5"/>
      <c r="R115" s="5"/>
      <c r="S115" s="5"/>
      <c r="T115" s="5"/>
      <c r="U115" s="5"/>
      <c r="V115" s="23"/>
      <c r="W115" s="24"/>
      <c r="X115" s="24"/>
      <c r="Y115" s="24"/>
      <c r="Z115" s="24"/>
      <c r="AA115" s="25"/>
      <c r="AB115" s="5">
        <v>11.2</v>
      </c>
      <c r="AC115" s="5"/>
      <c r="AD115" s="5"/>
      <c r="AE115" s="5"/>
      <c r="AF115" s="5"/>
      <c r="AG115" s="5">
        <v>11.2</v>
      </c>
      <c r="AH115" s="5"/>
      <c r="AI115" s="5"/>
      <c r="AJ115" s="5"/>
      <c r="AK115" s="5"/>
    </row>
    <row r="116" spans="1:37" s="15" customFormat="1" ht="10.5" hidden="1" customHeight="1" outlineLevel="2" x14ac:dyDescent="0.2">
      <c r="A116" s="6" t="s">
        <v>104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5">
        <v>3.6</v>
      </c>
      <c r="P116" s="5"/>
      <c r="Q116" s="5"/>
      <c r="R116" s="5"/>
      <c r="S116" s="5"/>
      <c r="T116" s="5"/>
      <c r="U116" s="5"/>
      <c r="V116" s="23"/>
      <c r="W116" s="24"/>
      <c r="X116" s="24"/>
      <c r="Y116" s="24"/>
      <c r="Z116" s="24"/>
      <c r="AA116" s="25"/>
      <c r="AB116" s="5">
        <v>3.6</v>
      </c>
      <c r="AC116" s="5"/>
      <c r="AD116" s="5"/>
      <c r="AE116" s="5"/>
      <c r="AF116" s="5"/>
      <c r="AG116" s="5">
        <v>3.6</v>
      </c>
      <c r="AH116" s="5"/>
      <c r="AI116" s="5"/>
      <c r="AJ116" s="5"/>
      <c r="AK116" s="5"/>
    </row>
    <row r="117" spans="1:37" s="15" customFormat="1" ht="10.5" hidden="1" customHeight="1" outlineLevel="2" x14ac:dyDescent="0.2">
      <c r="A117" s="6" t="s">
        <v>105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5">
        <v>16.8</v>
      </c>
      <c r="P117" s="5"/>
      <c r="Q117" s="5"/>
      <c r="R117" s="5"/>
      <c r="S117" s="5"/>
      <c r="T117" s="5"/>
      <c r="U117" s="5"/>
      <c r="V117" s="23"/>
      <c r="W117" s="24"/>
      <c r="X117" s="24"/>
      <c r="Y117" s="24"/>
      <c r="Z117" s="24"/>
      <c r="AA117" s="25"/>
      <c r="AB117" s="5">
        <v>16.8</v>
      </c>
      <c r="AC117" s="5"/>
      <c r="AD117" s="5"/>
      <c r="AE117" s="5"/>
      <c r="AF117" s="5"/>
      <c r="AG117" s="5">
        <v>16.8</v>
      </c>
      <c r="AH117" s="5"/>
      <c r="AI117" s="5"/>
      <c r="AJ117" s="5"/>
      <c r="AK117" s="5"/>
    </row>
    <row r="118" spans="1:37" s="15" customFormat="1" ht="10.5" hidden="1" customHeight="1" outlineLevel="2" x14ac:dyDescent="0.2">
      <c r="A118" s="6" t="s">
        <v>106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2">
        <v>3</v>
      </c>
      <c r="P118" s="2"/>
      <c r="Q118" s="2"/>
      <c r="R118" s="2"/>
      <c r="S118" s="2"/>
      <c r="T118" s="2"/>
      <c r="U118" s="2"/>
      <c r="V118" s="2">
        <v>3</v>
      </c>
      <c r="W118" s="2"/>
      <c r="X118" s="2"/>
      <c r="Y118" s="2"/>
      <c r="Z118" s="2"/>
      <c r="AA118" s="2"/>
      <c r="AB118" s="23"/>
      <c r="AC118" s="24"/>
      <c r="AD118" s="24"/>
      <c r="AE118" s="24"/>
      <c r="AF118" s="25"/>
      <c r="AG118" s="20"/>
      <c r="AH118" s="21"/>
      <c r="AI118" s="21"/>
      <c r="AJ118" s="21"/>
      <c r="AK118" s="22"/>
    </row>
    <row r="119" spans="1:37" s="15" customFormat="1" ht="10.5" hidden="1" customHeight="1" outlineLevel="2" x14ac:dyDescent="0.2">
      <c r="A119" s="6" t="s">
        <v>107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5">
        <v>0.5</v>
      </c>
      <c r="P119" s="5"/>
      <c r="Q119" s="5"/>
      <c r="R119" s="5"/>
      <c r="S119" s="5"/>
      <c r="T119" s="5"/>
      <c r="U119" s="5"/>
      <c r="V119" s="5">
        <v>0.5</v>
      </c>
      <c r="W119" s="5"/>
      <c r="X119" s="5"/>
      <c r="Y119" s="5"/>
      <c r="Z119" s="5"/>
      <c r="AA119" s="5"/>
      <c r="AB119" s="23"/>
      <c r="AC119" s="24"/>
      <c r="AD119" s="24"/>
      <c r="AE119" s="24"/>
      <c r="AF119" s="25"/>
      <c r="AG119" s="20"/>
      <c r="AH119" s="21"/>
      <c r="AI119" s="21"/>
      <c r="AJ119" s="21"/>
      <c r="AK119" s="22"/>
    </row>
    <row r="120" spans="1:37" s="15" customFormat="1" ht="10.5" hidden="1" customHeight="1" outlineLevel="2" x14ac:dyDescent="0.2">
      <c r="A120" s="6" t="s">
        <v>108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3">
        <v>0.42</v>
      </c>
      <c r="P120" s="3"/>
      <c r="Q120" s="3"/>
      <c r="R120" s="3"/>
      <c r="S120" s="3"/>
      <c r="T120" s="3"/>
      <c r="U120" s="3"/>
      <c r="V120" s="3">
        <v>0.42</v>
      </c>
      <c r="W120" s="3"/>
      <c r="X120" s="3"/>
      <c r="Y120" s="3"/>
      <c r="Z120" s="3"/>
      <c r="AA120" s="3"/>
      <c r="AB120" s="23"/>
      <c r="AC120" s="24"/>
      <c r="AD120" s="24"/>
      <c r="AE120" s="24"/>
      <c r="AF120" s="25"/>
      <c r="AG120" s="20"/>
      <c r="AH120" s="21"/>
      <c r="AI120" s="21"/>
      <c r="AJ120" s="21"/>
      <c r="AK120" s="22"/>
    </row>
    <row r="121" spans="1:37" s="15" customFormat="1" ht="10.5" hidden="1" customHeight="1" outlineLevel="2" x14ac:dyDescent="0.2">
      <c r="A121" s="6" t="s">
        <v>109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5">
        <v>0.7</v>
      </c>
      <c r="P121" s="5"/>
      <c r="Q121" s="5"/>
      <c r="R121" s="5"/>
      <c r="S121" s="5"/>
      <c r="T121" s="5"/>
      <c r="U121" s="5"/>
      <c r="V121" s="5">
        <v>0.7</v>
      </c>
      <c r="W121" s="5"/>
      <c r="X121" s="5"/>
      <c r="Y121" s="5"/>
      <c r="Z121" s="5"/>
      <c r="AA121" s="5"/>
      <c r="AB121" s="23"/>
      <c r="AC121" s="24"/>
      <c r="AD121" s="24"/>
      <c r="AE121" s="24"/>
      <c r="AF121" s="25"/>
      <c r="AG121" s="20"/>
      <c r="AH121" s="21"/>
      <c r="AI121" s="21"/>
      <c r="AJ121" s="21"/>
      <c r="AK121" s="22"/>
    </row>
    <row r="122" spans="1:37" s="15" customFormat="1" ht="10.5" hidden="1" customHeight="1" outlineLevel="2" x14ac:dyDescent="0.2">
      <c r="A122" s="6" t="s">
        <v>110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5">
        <v>0.7</v>
      </c>
      <c r="P122" s="5"/>
      <c r="Q122" s="5"/>
      <c r="R122" s="5"/>
      <c r="S122" s="5"/>
      <c r="T122" s="5"/>
      <c r="U122" s="5"/>
      <c r="V122" s="5">
        <v>0.7</v>
      </c>
      <c r="W122" s="5"/>
      <c r="X122" s="5"/>
      <c r="Y122" s="5"/>
      <c r="Z122" s="5"/>
      <c r="AA122" s="5"/>
      <c r="AB122" s="23"/>
      <c r="AC122" s="24"/>
      <c r="AD122" s="24"/>
      <c r="AE122" s="24"/>
      <c r="AF122" s="25"/>
      <c r="AG122" s="20"/>
      <c r="AH122" s="21"/>
      <c r="AI122" s="21"/>
      <c r="AJ122" s="21"/>
      <c r="AK122" s="22"/>
    </row>
    <row r="123" spans="1:37" s="15" customFormat="1" ht="10.5" hidden="1" customHeight="1" outlineLevel="2" x14ac:dyDescent="0.2">
      <c r="A123" s="6" t="s">
        <v>111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5">
        <v>11.2</v>
      </c>
      <c r="P123" s="5"/>
      <c r="Q123" s="5"/>
      <c r="R123" s="5"/>
      <c r="S123" s="5"/>
      <c r="T123" s="5"/>
      <c r="U123" s="5"/>
      <c r="V123" s="5">
        <v>11.2</v>
      </c>
      <c r="W123" s="5"/>
      <c r="X123" s="5"/>
      <c r="Y123" s="5"/>
      <c r="Z123" s="5"/>
      <c r="AA123" s="5"/>
      <c r="AB123" s="23"/>
      <c r="AC123" s="24"/>
      <c r="AD123" s="24"/>
      <c r="AE123" s="24"/>
      <c r="AF123" s="25"/>
      <c r="AG123" s="20"/>
      <c r="AH123" s="21"/>
      <c r="AI123" s="21"/>
      <c r="AJ123" s="21"/>
      <c r="AK123" s="22"/>
    </row>
    <row r="124" spans="1:37" s="15" customFormat="1" ht="10.5" hidden="1" customHeight="1" outlineLevel="2" x14ac:dyDescent="0.2">
      <c r="A124" s="6" t="s">
        <v>112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5">
        <v>0.4</v>
      </c>
      <c r="P124" s="5"/>
      <c r="Q124" s="5"/>
      <c r="R124" s="5"/>
      <c r="S124" s="5"/>
      <c r="T124" s="5"/>
      <c r="U124" s="5"/>
      <c r="V124" s="5">
        <v>0.4</v>
      </c>
      <c r="W124" s="5"/>
      <c r="X124" s="5"/>
      <c r="Y124" s="5"/>
      <c r="Z124" s="5"/>
      <c r="AA124" s="5"/>
      <c r="AB124" s="23"/>
      <c r="AC124" s="24"/>
      <c r="AD124" s="24"/>
      <c r="AE124" s="24"/>
      <c r="AF124" s="25"/>
      <c r="AG124" s="20"/>
      <c r="AH124" s="21"/>
      <c r="AI124" s="21"/>
      <c r="AJ124" s="21"/>
      <c r="AK124" s="22"/>
    </row>
    <row r="125" spans="1:37" s="15" customFormat="1" ht="10.5" hidden="1" customHeight="1" outlineLevel="2" x14ac:dyDescent="0.2">
      <c r="A125" s="6" t="s">
        <v>113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5">
        <v>2.1</v>
      </c>
      <c r="P125" s="5"/>
      <c r="Q125" s="5"/>
      <c r="R125" s="5"/>
      <c r="S125" s="5"/>
      <c r="T125" s="5"/>
      <c r="U125" s="5"/>
      <c r="V125" s="23"/>
      <c r="W125" s="24"/>
      <c r="X125" s="24"/>
      <c r="Y125" s="24"/>
      <c r="Z125" s="24"/>
      <c r="AA125" s="25"/>
      <c r="AB125" s="5">
        <v>2.1</v>
      </c>
      <c r="AC125" s="5"/>
      <c r="AD125" s="5"/>
      <c r="AE125" s="5"/>
      <c r="AF125" s="5"/>
      <c r="AG125" s="5">
        <v>2.1</v>
      </c>
      <c r="AH125" s="5"/>
      <c r="AI125" s="5"/>
      <c r="AJ125" s="5"/>
      <c r="AK125" s="5"/>
    </row>
    <row r="126" spans="1:37" s="15" customFormat="1" ht="10.5" hidden="1" customHeight="1" outlineLevel="1" collapsed="1" x14ac:dyDescent="0.2">
      <c r="A126" s="8" t="s">
        <v>114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7">
        <v>7.5</v>
      </c>
      <c r="P126" s="7"/>
      <c r="Q126" s="7"/>
      <c r="R126" s="7"/>
      <c r="S126" s="7"/>
      <c r="T126" s="7"/>
      <c r="U126" s="7"/>
      <c r="V126" s="9">
        <v>7.9459999999999997</v>
      </c>
      <c r="W126" s="9"/>
      <c r="X126" s="9"/>
      <c r="Y126" s="9"/>
      <c r="Z126" s="9"/>
      <c r="AA126" s="9"/>
      <c r="AB126" s="9">
        <v>-0.44600000000000001</v>
      </c>
      <c r="AC126" s="9"/>
      <c r="AD126" s="9"/>
      <c r="AE126" s="9"/>
      <c r="AF126" s="9"/>
      <c r="AG126" s="9">
        <v>8.1000000000000003E-2</v>
      </c>
      <c r="AH126" s="9"/>
      <c r="AI126" s="9"/>
      <c r="AJ126" s="9"/>
      <c r="AK126" s="9"/>
    </row>
    <row r="127" spans="1:37" s="15" customFormat="1" ht="10.5" hidden="1" customHeight="1" outlineLevel="2" x14ac:dyDescent="0.2">
      <c r="A127" s="6" t="s">
        <v>115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2">
        <v>2</v>
      </c>
      <c r="P127" s="2"/>
      <c r="Q127" s="2"/>
      <c r="R127" s="2"/>
      <c r="S127" s="2"/>
      <c r="T127" s="2"/>
      <c r="U127" s="2"/>
      <c r="V127" s="4">
        <v>1.919</v>
      </c>
      <c r="W127" s="4"/>
      <c r="X127" s="4"/>
      <c r="Y127" s="4"/>
      <c r="Z127" s="4"/>
      <c r="AA127" s="4"/>
      <c r="AB127" s="4">
        <v>8.1000000000000003E-2</v>
      </c>
      <c r="AC127" s="4"/>
      <c r="AD127" s="4"/>
      <c r="AE127" s="4"/>
      <c r="AF127" s="4"/>
      <c r="AG127" s="4">
        <v>8.1000000000000003E-2</v>
      </c>
      <c r="AH127" s="4"/>
      <c r="AI127" s="4"/>
      <c r="AJ127" s="4"/>
      <c r="AK127" s="4"/>
    </row>
    <row r="128" spans="1:37" s="15" customFormat="1" ht="10.5" hidden="1" customHeight="1" outlineLevel="2" x14ac:dyDescent="0.2">
      <c r="A128" s="6" t="s">
        <v>116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5">
        <v>5.5</v>
      </c>
      <c r="P128" s="5"/>
      <c r="Q128" s="5"/>
      <c r="R128" s="5"/>
      <c r="S128" s="5"/>
      <c r="T128" s="5"/>
      <c r="U128" s="5"/>
      <c r="V128" s="4">
        <v>6.0270000000000001</v>
      </c>
      <c r="W128" s="4"/>
      <c r="X128" s="4"/>
      <c r="Y128" s="4"/>
      <c r="Z128" s="4"/>
      <c r="AA128" s="4"/>
      <c r="AB128" s="4">
        <v>-0.52700000000000002</v>
      </c>
      <c r="AC128" s="4"/>
      <c r="AD128" s="4"/>
      <c r="AE128" s="4"/>
      <c r="AF128" s="4"/>
      <c r="AG128" s="20"/>
      <c r="AH128" s="21"/>
      <c r="AI128" s="21"/>
      <c r="AJ128" s="21"/>
      <c r="AK128" s="22"/>
    </row>
    <row r="129" spans="1:37" s="15" customFormat="1" ht="10.5" hidden="1" customHeight="1" outlineLevel="1" collapsed="1" x14ac:dyDescent="0.2">
      <c r="A129" s="8" t="s">
        <v>117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7">
        <v>8.4</v>
      </c>
      <c r="P129" s="7"/>
      <c r="Q129" s="7"/>
      <c r="R129" s="7"/>
      <c r="S129" s="7"/>
      <c r="T129" s="7"/>
      <c r="U129" s="7"/>
      <c r="V129" s="10">
        <v>11.76</v>
      </c>
      <c r="W129" s="10"/>
      <c r="X129" s="10"/>
      <c r="Y129" s="10"/>
      <c r="Z129" s="10"/>
      <c r="AA129" s="10"/>
      <c r="AB129" s="10">
        <v>-3.36</v>
      </c>
      <c r="AC129" s="10"/>
      <c r="AD129" s="10"/>
      <c r="AE129" s="10"/>
      <c r="AF129" s="10"/>
      <c r="AG129" s="29"/>
      <c r="AH129" s="30"/>
      <c r="AI129" s="30"/>
      <c r="AJ129" s="30"/>
      <c r="AK129" s="31"/>
    </row>
    <row r="130" spans="1:37" s="15" customFormat="1" ht="10.5" hidden="1" customHeight="1" outlineLevel="2" x14ac:dyDescent="0.2">
      <c r="A130" s="6" t="s">
        <v>118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5">
        <v>8.4</v>
      </c>
      <c r="P130" s="5"/>
      <c r="Q130" s="5"/>
      <c r="R130" s="5"/>
      <c r="S130" s="5"/>
      <c r="T130" s="5"/>
      <c r="U130" s="5"/>
      <c r="V130" s="3">
        <v>11.76</v>
      </c>
      <c r="W130" s="3"/>
      <c r="X130" s="3"/>
      <c r="Y130" s="3"/>
      <c r="Z130" s="3"/>
      <c r="AA130" s="3"/>
      <c r="AB130" s="3">
        <v>-3.36</v>
      </c>
      <c r="AC130" s="3"/>
      <c r="AD130" s="3"/>
      <c r="AE130" s="3"/>
      <c r="AF130" s="3"/>
      <c r="AG130" s="20"/>
      <c r="AH130" s="21"/>
      <c r="AI130" s="21"/>
      <c r="AJ130" s="21"/>
      <c r="AK130" s="22"/>
    </row>
    <row r="131" spans="1:37" s="15" customFormat="1" ht="10.5" hidden="1" customHeight="1" outlineLevel="1" collapsed="1" x14ac:dyDescent="0.2">
      <c r="A131" s="8" t="s">
        <v>119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10">
        <v>160.24</v>
      </c>
      <c r="P131" s="10"/>
      <c r="Q131" s="10"/>
      <c r="R131" s="10"/>
      <c r="S131" s="10"/>
      <c r="T131" s="10"/>
      <c r="U131" s="10"/>
      <c r="V131" s="9">
        <v>147.33799999999999</v>
      </c>
      <c r="W131" s="9"/>
      <c r="X131" s="9"/>
      <c r="Y131" s="9"/>
      <c r="Z131" s="9"/>
      <c r="AA131" s="9"/>
      <c r="AB131" s="9">
        <v>12.901999999999999</v>
      </c>
      <c r="AC131" s="9"/>
      <c r="AD131" s="9"/>
      <c r="AE131" s="9"/>
      <c r="AF131" s="9"/>
      <c r="AG131" s="10">
        <v>18.38</v>
      </c>
      <c r="AH131" s="10"/>
      <c r="AI131" s="10"/>
      <c r="AJ131" s="10"/>
      <c r="AK131" s="10"/>
    </row>
    <row r="132" spans="1:37" s="15" customFormat="1" ht="10.5" hidden="1" customHeight="1" outlineLevel="2" x14ac:dyDescent="0.2">
      <c r="A132" s="6" t="s">
        <v>120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5">
        <v>9.5</v>
      </c>
      <c r="P132" s="5"/>
      <c r="Q132" s="5"/>
      <c r="R132" s="5"/>
      <c r="S132" s="5"/>
      <c r="T132" s="5"/>
      <c r="U132" s="5"/>
      <c r="V132" s="4">
        <v>10.736000000000001</v>
      </c>
      <c r="W132" s="4"/>
      <c r="X132" s="4"/>
      <c r="Y132" s="4"/>
      <c r="Z132" s="4"/>
      <c r="AA132" s="4"/>
      <c r="AB132" s="4">
        <v>-1.236</v>
      </c>
      <c r="AC132" s="4"/>
      <c r="AD132" s="4"/>
      <c r="AE132" s="4"/>
      <c r="AF132" s="4"/>
      <c r="AG132" s="3">
        <v>0.44</v>
      </c>
      <c r="AH132" s="3"/>
      <c r="AI132" s="3"/>
      <c r="AJ132" s="3"/>
      <c r="AK132" s="3"/>
    </row>
    <row r="133" spans="1:37" s="15" customFormat="1" ht="21.75" hidden="1" customHeight="1" outlineLevel="2" x14ac:dyDescent="0.2">
      <c r="A133" s="6" t="s">
        <v>121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5">
        <v>2.5</v>
      </c>
      <c r="P133" s="5"/>
      <c r="Q133" s="5"/>
      <c r="R133" s="5"/>
      <c r="S133" s="5"/>
      <c r="T133" s="5"/>
      <c r="U133" s="5"/>
      <c r="V133" s="3">
        <v>3.06</v>
      </c>
      <c r="W133" s="3"/>
      <c r="X133" s="3"/>
      <c r="Y133" s="3"/>
      <c r="Z133" s="3"/>
      <c r="AA133" s="3"/>
      <c r="AB133" s="3">
        <v>-0.56000000000000005</v>
      </c>
      <c r="AC133" s="3"/>
      <c r="AD133" s="3"/>
      <c r="AE133" s="3"/>
      <c r="AF133" s="3"/>
      <c r="AG133" s="20"/>
      <c r="AH133" s="21"/>
      <c r="AI133" s="21"/>
      <c r="AJ133" s="21"/>
      <c r="AK133" s="22"/>
    </row>
    <row r="134" spans="1:37" s="15" customFormat="1" ht="10.5" hidden="1" customHeight="1" outlineLevel="2" x14ac:dyDescent="0.2">
      <c r="A134" s="6" t="s">
        <v>122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5">
        <v>0.7</v>
      </c>
      <c r="P134" s="5"/>
      <c r="Q134" s="5"/>
      <c r="R134" s="5"/>
      <c r="S134" s="5"/>
      <c r="T134" s="5"/>
      <c r="U134" s="5"/>
      <c r="V134" s="5">
        <v>0.7</v>
      </c>
      <c r="W134" s="5"/>
      <c r="X134" s="5"/>
      <c r="Y134" s="5"/>
      <c r="Z134" s="5"/>
      <c r="AA134" s="5"/>
      <c r="AB134" s="23"/>
      <c r="AC134" s="24"/>
      <c r="AD134" s="24"/>
      <c r="AE134" s="24"/>
      <c r="AF134" s="25"/>
      <c r="AG134" s="20"/>
      <c r="AH134" s="21"/>
      <c r="AI134" s="21"/>
      <c r="AJ134" s="21"/>
      <c r="AK134" s="22"/>
    </row>
    <row r="135" spans="1:37" s="15" customFormat="1" ht="10.5" hidden="1" customHeight="1" outlineLevel="2" x14ac:dyDescent="0.2">
      <c r="A135" s="6" t="s">
        <v>123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">
        <v>1.98</v>
      </c>
      <c r="P135" s="3"/>
      <c r="Q135" s="3"/>
      <c r="R135" s="3"/>
      <c r="S135" s="3"/>
      <c r="T135" s="3"/>
      <c r="U135" s="3"/>
      <c r="V135" s="3">
        <v>1.98</v>
      </c>
      <c r="W135" s="3"/>
      <c r="X135" s="3"/>
      <c r="Y135" s="3"/>
      <c r="Z135" s="3"/>
      <c r="AA135" s="3"/>
      <c r="AB135" s="23"/>
      <c r="AC135" s="24"/>
      <c r="AD135" s="24"/>
      <c r="AE135" s="24"/>
      <c r="AF135" s="25"/>
      <c r="AG135" s="20"/>
      <c r="AH135" s="21"/>
      <c r="AI135" s="21"/>
      <c r="AJ135" s="21"/>
      <c r="AK135" s="22"/>
    </row>
    <row r="136" spans="1:37" s="15" customFormat="1" ht="10.5" hidden="1" customHeight="1" outlineLevel="2" x14ac:dyDescent="0.2">
      <c r="A136" s="6" t="s">
        <v>124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3">
        <v>2.52</v>
      </c>
      <c r="P136" s="3"/>
      <c r="Q136" s="3"/>
      <c r="R136" s="3"/>
      <c r="S136" s="3"/>
      <c r="T136" s="3"/>
      <c r="U136" s="3"/>
      <c r="V136" s="3">
        <v>2.52</v>
      </c>
      <c r="W136" s="3"/>
      <c r="X136" s="3"/>
      <c r="Y136" s="3"/>
      <c r="Z136" s="3"/>
      <c r="AA136" s="3"/>
      <c r="AB136" s="23"/>
      <c r="AC136" s="24"/>
      <c r="AD136" s="24"/>
      <c r="AE136" s="24"/>
      <c r="AF136" s="25"/>
      <c r="AG136" s="20"/>
      <c r="AH136" s="21"/>
      <c r="AI136" s="21"/>
      <c r="AJ136" s="21"/>
      <c r="AK136" s="22"/>
    </row>
    <row r="137" spans="1:37" s="15" customFormat="1" ht="10.5" hidden="1" customHeight="1" outlineLevel="2" x14ac:dyDescent="0.2">
      <c r="A137" s="6" t="s">
        <v>125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5">
        <v>0.3</v>
      </c>
      <c r="P137" s="5"/>
      <c r="Q137" s="5"/>
      <c r="R137" s="5"/>
      <c r="S137" s="5"/>
      <c r="T137" s="5"/>
      <c r="U137" s="5"/>
      <c r="V137" s="23"/>
      <c r="W137" s="24"/>
      <c r="X137" s="24"/>
      <c r="Y137" s="24"/>
      <c r="Z137" s="24"/>
      <c r="AA137" s="25"/>
      <c r="AB137" s="5">
        <v>0.3</v>
      </c>
      <c r="AC137" s="5"/>
      <c r="AD137" s="5"/>
      <c r="AE137" s="5"/>
      <c r="AF137" s="5"/>
      <c r="AG137" s="5">
        <v>0.3</v>
      </c>
      <c r="AH137" s="5"/>
      <c r="AI137" s="5"/>
      <c r="AJ137" s="5"/>
      <c r="AK137" s="5"/>
    </row>
    <row r="138" spans="1:37" s="15" customFormat="1" ht="10.5" hidden="1" customHeight="1" outlineLevel="2" x14ac:dyDescent="0.2">
      <c r="A138" s="6" t="s">
        <v>126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3">
        <v>33.659999999999997</v>
      </c>
      <c r="P138" s="3"/>
      <c r="Q138" s="3"/>
      <c r="R138" s="3"/>
      <c r="S138" s="3"/>
      <c r="T138" s="3"/>
      <c r="U138" s="3"/>
      <c r="V138" s="5">
        <v>34.200000000000003</v>
      </c>
      <c r="W138" s="5"/>
      <c r="X138" s="5"/>
      <c r="Y138" s="5"/>
      <c r="Z138" s="5"/>
      <c r="AA138" s="5"/>
      <c r="AB138" s="3">
        <v>-0.54</v>
      </c>
      <c r="AC138" s="3"/>
      <c r="AD138" s="3"/>
      <c r="AE138" s="3"/>
      <c r="AF138" s="3"/>
      <c r="AG138" s="20"/>
      <c r="AH138" s="21"/>
      <c r="AI138" s="21"/>
      <c r="AJ138" s="21"/>
      <c r="AK138" s="22"/>
    </row>
    <row r="139" spans="1:37" s="15" customFormat="1" ht="10.5" hidden="1" customHeight="1" outlineLevel="2" x14ac:dyDescent="0.2">
      <c r="A139" s="6" t="s">
        <v>127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5">
        <v>33.299999999999997</v>
      </c>
      <c r="P139" s="5"/>
      <c r="Q139" s="5"/>
      <c r="R139" s="5"/>
      <c r="S139" s="5"/>
      <c r="T139" s="5"/>
      <c r="U139" s="5"/>
      <c r="V139" s="5">
        <v>34.200000000000003</v>
      </c>
      <c r="W139" s="5"/>
      <c r="X139" s="5"/>
      <c r="Y139" s="5"/>
      <c r="Z139" s="5"/>
      <c r="AA139" s="5"/>
      <c r="AB139" s="5">
        <v>-0.9</v>
      </c>
      <c r="AC139" s="5"/>
      <c r="AD139" s="5"/>
      <c r="AE139" s="5"/>
      <c r="AF139" s="5"/>
      <c r="AG139" s="20"/>
      <c r="AH139" s="21"/>
      <c r="AI139" s="21"/>
      <c r="AJ139" s="21"/>
      <c r="AK139" s="22"/>
    </row>
    <row r="140" spans="1:37" s="15" customFormat="1" ht="21.75" hidden="1" customHeight="1" outlineLevel="2" x14ac:dyDescent="0.2">
      <c r="A140" s="6" t="s">
        <v>128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5">
        <v>1.2</v>
      </c>
      <c r="P140" s="5"/>
      <c r="Q140" s="5"/>
      <c r="R140" s="5"/>
      <c r="S140" s="5"/>
      <c r="T140" s="5"/>
      <c r="U140" s="5"/>
      <c r="V140" s="5">
        <v>1.2</v>
      </c>
      <c r="W140" s="5"/>
      <c r="X140" s="5"/>
      <c r="Y140" s="5"/>
      <c r="Z140" s="5"/>
      <c r="AA140" s="5"/>
      <c r="AB140" s="23"/>
      <c r="AC140" s="24"/>
      <c r="AD140" s="24"/>
      <c r="AE140" s="24"/>
      <c r="AF140" s="25"/>
      <c r="AG140" s="20"/>
      <c r="AH140" s="21"/>
      <c r="AI140" s="21"/>
      <c r="AJ140" s="21"/>
      <c r="AK140" s="22"/>
    </row>
    <row r="141" spans="1:37" s="15" customFormat="1" ht="10.5" hidden="1" customHeight="1" outlineLevel="2" x14ac:dyDescent="0.2">
      <c r="A141" s="6" t="s">
        <v>129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5">
        <v>1.2</v>
      </c>
      <c r="P141" s="5"/>
      <c r="Q141" s="5"/>
      <c r="R141" s="5"/>
      <c r="S141" s="5"/>
      <c r="T141" s="5"/>
      <c r="U141" s="5"/>
      <c r="V141" s="5">
        <v>1.2</v>
      </c>
      <c r="W141" s="5"/>
      <c r="X141" s="5"/>
      <c r="Y141" s="5"/>
      <c r="Z141" s="5"/>
      <c r="AA141" s="5"/>
      <c r="AB141" s="23"/>
      <c r="AC141" s="24"/>
      <c r="AD141" s="24"/>
      <c r="AE141" s="24"/>
      <c r="AF141" s="25"/>
      <c r="AG141" s="20"/>
      <c r="AH141" s="21"/>
      <c r="AI141" s="21"/>
      <c r="AJ141" s="21"/>
      <c r="AK141" s="22"/>
    </row>
    <row r="142" spans="1:37" s="15" customFormat="1" ht="10.5" hidden="1" customHeight="1" outlineLevel="2" x14ac:dyDescent="0.2">
      <c r="A142" s="6" t="s">
        <v>130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3">
        <v>1.08</v>
      </c>
      <c r="P142" s="3"/>
      <c r="Q142" s="3"/>
      <c r="R142" s="3"/>
      <c r="S142" s="3"/>
      <c r="T142" s="3"/>
      <c r="U142" s="3"/>
      <c r="V142" s="23"/>
      <c r="W142" s="24"/>
      <c r="X142" s="24"/>
      <c r="Y142" s="24"/>
      <c r="Z142" s="24"/>
      <c r="AA142" s="25"/>
      <c r="AB142" s="3">
        <v>1.08</v>
      </c>
      <c r="AC142" s="3"/>
      <c r="AD142" s="3"/>
      <c r="AE142" s="3"/>
      <c r="AF142" s="3"/>
      <c r="AG142" s="3">
        <v>1.08</v>
      </c>
      <c r="AH142" s="3"/>
      <c r="AI142" s="3"/>
      <c r="AJ142" s="3"/>
      <c r="AK142" s="3"/>
    </row>
    <row r="143" spans="1:37" s="15" customFormat="1" ht="10.5" hidden="1" customHeight="1" outlineLevel="2" x14ac:dyDescent="0.2">
      <c r="A143" s="6" t="s">
        <v>131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5">
        <v>0.3</v>
      </c>
      <c r="P143" s="5"/>
      <c r="Q143" s="5"/>
      <c r="R143" s="5"/>
      <c r="S143" s="5"/>
      <c r="T143" s="5"/>
      <c r="U143" s="5"/>
      <c r="V143" s="5">
        <v>0.3</v>
      </c>
      <c r="W143" s="5"/>
      <c r="X143" s="5"/>
      <c r="Y143" s="5"/>
      <c r="Z143" s="5"/>
      <c r="AA143" s="5"/>
      <c r="AB143" s="23"/>
      <c r="AC143" s="24"/>
      <c r="AD143" s="24"/>
      <c r="AE143" s="24"/>
      <c r="AF143" s="25"/>
      <c r="AG143" s="20"/>
      <c r="AH143" s="21"/>
      <c r="AI143" s="21"/>
      <c r="AJ143" s="21"/>
      <c r="AK143" s="22"/>
    </row>
    <row r="144" spans="1:37" s="15" customFormat="1" ht="10.5" hidden="1" customHeight="1" outlineLevel="2" x14ac:dyDescent="0.2">
      <c r="A144" s="6" t="s">
        <v>132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5">
        <v>0.3</v>
      </c>
      <c r="P144" s="5"/>
      <c r="Q144" s="5"/>
      <c r="R144" s="5"/>
      <c r="S144" s="5"/>
      <c r="T144" s="5"/>
      <c r="U144" s="5"/>
      <c r="V144" s="5">
        <v>0.3</v>
      </c>
      <c r="W144" s="5"/>
      <c r="X144" s="5"/>
      <c r="Y144" s="5"/>
      <c r="Z144" s="5"/>
      <c r="AA144" s="5"/>
      <c r="AB144" s="23"/>
      <c r="AC144" s="24"/>
      <c r="AD144" s="24"/>
      <c r="AE144" s="24"/>
      <c r="AF144" s="25"/>
      <c r="AG144" s="20"/>
      <c r="AH144" s="21"/>
      <c r="AI144" s="21"/>
      <c r="AJ144" s="21"/>
      <c r="AK144" s="22"/>
    </row>
    <row r="145" spans="1:37" s="15" customFormat="1" ht="10.5" hidden="1" customHeight="1" outlineLevel="2" x14ac:dyDescent="0.2">
      <c r="A145" s="6" t="s">
        <v>133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3">
        <v>13.14</v>
      </c>
      <c r="P145" s="3"/>
      <c r="Q145" s="3"/>
      <c r="R145" s="3"/>
      <c r="S145" s="3"/>
      <c r="T145" s="3"/>
      <c r="U145" s="3"/>
      <c r="V145" s="3">
        <v>9.5399999999999991</v>
      </c>
      <c r="W145" s="3"/>
      <c r="X145" s="3"/>
      <c r="Y145" s="3"/>
      <c r="Z145" s="3"/>
      <c r="AA145" s="3"/>
      <c r="AB145" s="5">
        <v>3.6</v>
      </c>
      <c r="AC145" s="5"/>
      <c r="AD145" s="5"/>
      <c r="AE145" s="5"/>
      <c r="AF145" s="5"/>
      <c r="AG145" s="5">
        <v>3.6</v>
      </c>
      <c r="AH145" s="5"/>
      <c r="AI145" s="5"/>
      <c r="AJ145" s="5"/>
      <c r="AK145" s="5"/>
    </row>
    <row r="146" spans="1:37" s="15" customFormat="1" ht="10.5" hidden="1" customHeight="1" outlineLevel="2" x14ac:dyDescent="0.2">
      <c r="A146" s="6" t="s">
        <v>134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5">
        <v>0.9</v>
      </c>
      <c r="P146" s="5"/>
      <c r="Q146" s="5"/>
      <c r="R146" s="5"/>
      <c r="S146" s="5"/>
      <c r="T146" s="5"/>
      <c r="U146" s="5"/>
      <c r="V146" s="3">
        <v>0.54</v>
      </c>
      <c r="W146" s="3"/>
      <c r="X146" s="3"/>
      <c r="Y146" s="3"/>
      <c r="Z146" s="3"/>
      <c r="AA146" s="3"/>
      <c r="AB146" s="3">
        <v>0.36</v>
      </c>
      <c r="AC146" s="3"/>
      <c r="AD146" s="3"/>
      <c r="AE146" s="3"/>
      <c r="AF146" s="3"/>
      <c r="AG146" s="3">
        <v>0.36</v>
      </c>
      <c r="AH146" s="3"/>
      <c r="AI146" s="3"/>
      <c r="AJ146" s="3"/>
      <c r="AK146" s="3"/>
    </row>
    <row r="147" spans="1:37" s="15" customFormat="1" ht="10.5" hidden="1" customHeight="1" outlineLevel="2" x14ac:dyDescent="0.2">
      <c r="A147" s="6" t="s">
        <v>135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5">
        <v>10.8</v>
      </c>
      <c r="P147" s="5"/>
      <c r="Q147" s="5"/>
      <c r="R147" s="5"/>
      <c r="S147" s="5"/>
      <c r="T147" s="5"/>
      <c r="U147" s="5"/>
      <c r="V147" s="5">
        <v>1.8</v>
      </c>
      <c r="W147" s="5"/>
      <c r="X147" s="5"/>
      <c r="Y147" s="5"/>
      <c r="Z147" s="5"/>
      <c r="AA147" s="5"/>
      <c r="AB147" s="2">
        <v>9</v>
      </c>
      <c r="AC147" s="2"/>
      <c r="AD147" s="2"/>
      <c r="AE147" s="2"/>
      <c r="AF147" s="2"/>
      <c r="AG147" s="2">
        <v>9</v>
      </c>
      <c r="AH147" s="2"/>
      <c r="AI147" s="2"/>
      <c r="AJ147" s="2"/>
      <c r="AK147" s="2"/>
    </row>
    <row r="148" spans="1:37" s="15" customFormat="1" ht="10.5" hidden="1" customHeight="1" outlineLevel="2" x14ac:dyDescent="0.2">
      <c r="A148" s="6" t="s">
        <v>136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3">
        <v>20.34</v>
      </c>
      <c r="P148" s="3"/>
      <c r="Q148" s="3"/>
      <c r="R148" s="3"/>
      <c r="S148" s="3"/>
      <c r="T148" s="3"/>
      <c r="U148" s="3"/>
      <c r="V148" s="3">
        <v>20.34</v>
      </c>
      <c r="W148" s="3"/>
      <c r="X148" s="3"/>
      <c r="Y148" s="3"/>
      <c r="Z148" s="3"/>
      <c r="AA148" s="3"/>
      <c r="AB148" s="23"/>
      <c r="AC148" s="24"/>
      <c r="AD148" s="24"/>
      <c r="AE148" s="24"/>
      <c r="AF148" s="25"/>
      <c r="AG148" s="20"/>
      <c r="AH148" s="21"/>
      <c r="AI148" s="21"/>
      <c r="AJ148" s="21"/>
      <c r="AK148" s="22"/>
    </row>
    <row r="149" spans="1:37" s="15" customFormat="1" ht="21.75" hidden="1" customHeight="1" outlineLevel="2" x14ac:dyDescent="0.2">
      <c r="A149" s="6" t="s">
        <v>137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5">
        <v>3.6</v>
      </c>
      <c r="P149" s="5"/>
      <c r="Q149" s="5"/>
      <c r="R149" s="5"/>
      <c r="S149" s="5"/>
      <c r="T149" s="5"/>
      <c r="U149" s="5"/>
      <c r="V149" s="23"/>
      <c r="W149" s="24"/>
      <c r="X149" s="24"/>
      <c r="Y149" s="24"/>
      <c r="Z149" s="24"/>
      <c r="AA149" s="25"/>
      <c r="AB149" s="5">
        <v>3.6</v>
      </c>
      <c r="AC149" s="5"/>
      <c r="AD149" s="5"/>
      <c r="AE149" s="5"/>
      <c r="AF149" s="5"/>
      <c r="AG149" s="5">
        <v>3.6</v>
      </c>
      <c r="AH149" s="5"/>
      <c r="AI149" s="5"/>
      <c r="AJ149" s="5"/>
      <c r="AK149" s="5"/>
    </row>
    <row r="150" spans="1:37" s="15" customFormat="1" ht="10.5" hidden="1" customHeight="1" outlineLevel="2" x14ac:dyDescent="0.2">
      <c r="A150" s="6" t="s">
        <v>138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5">
        <v>2.7</v>
      </c>
      <c r="P150" s="5"/>
      <c r="Q150" s="5"/>
      <c r="R150" s="5"/>
      <c r="S150" s="5"/>
      <c r="T150" s="5"/>
      <c r="U150" s="5"/>
      <c r="V150" s="5">
        <v>2.7</v>
      </c>
      <c r="W150" s="5"/>
      <c r="X150" s="5"/>
      <c r="Y150" s="5"/>
      <c r="Z150" s="5"/>
      <c r="AA150" s="5"/>
      <c r="AB150" s="23"/>
      <c r="AC150" s="24"/>
      <c r="AD150" s="24"/>
      <c r="AE150" s="24"/>
      <c r="AF150" s="25"/>
      <c r="AG150" s="20"/>
      <c r="AH150" s="21"/>
      <c r="AI150" s="21"/>
      <c r="AJ150" s="21"/>
      <c r="AK150" s="22"/>
    </row>
    <row r="151" spans="1:37" s="15" customFormat="1" ht="21.75" hidden="1" customHeight="1" outlineLevel="2" x14ac:dyDescent="0.2">
      <c r="A151" s="6" t="s">
        <v>139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5">
        <v>5.5</v>
      </c>
      <c r="P151" s="5"/>
      <c r="Q151" s="5"/>
      <c r="R151" s="5"/>
      <c r="S151" s="5"/>
      <c r="T151" s="5"/>
      <c r="U151" s="5"/>
      <c r="V151" s="4">
        <v>7.1580000000000004</v>
      </c>
      <c r="W151" s="4"/>
      <c r="X151" s="4"/>
      <c r="Y151" s="4"/>
      <c r="Z151" s="4"/>
      <c r="AA151" s="4"/>
      <c r="AB151" s="4">
        <v>-1.6579999999999999</v>
      </c>
      <c r="AC151" s="4"/>
      <c r="AD151" s="4"/>
      <c r="AE151" s="4"/>
      <c r="AF151" s="4"/>
      <c r="AG151" s="20"/>
      <c r="AH151" s="21"/>
      <c r="AI151" s="21"/>
      <c r="AJ151" s="21"/>
      <c r="AK151" s="22"/>
    </row>
    <row r="152" spans="1:37" s="15" customFormat="1" ht="21.75" hidden="1" customHeight="1" outlineLevel="2" x14ac:dyDescent="0.2">
      <c r="A152" s="6" t="s">
        <v>140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2">
        <v>3</v>
      </c>
      <c r="P152" s="2"/>
      <c r="Q152" s="2"/>
      <c r="R152" s="2"/>
      <c r="S152" s="2"/>
      <c r="T152" s="2"/>
      <c r="U152" s="2"/>
      <c r="V152" s="4">
        <v>3.1440000000000001</v>
      </c>
      <c r="W152" s="4"/>
      <c r="X152" s="4"/>
      <c r="Y152" s="4"/>
      <c r="Z152" s="4"/>
      <c r="AA152" s="4"/>
      <c r="AB152" s="4">
        <v>-0.14399999999999999</v>
      </c>
      <c r="AC152" s="4"/>
      <c r="AD152" s="4"/>
      <c r="AE152" s="4"/>
      <c r="AF152" s="4"/>
      <c r="AG152" s="20"/>
      <c r="AH152" s="21"/>
      <c r="AI152" s="21"/>
      <c r="AJ152" s="21"/>
      <c r="AK152" s="22"/>
    </row>
    <row r="153" spans="1:37" s="15" customFormat="1" ht="10.5" hidden="1" customHeight="1" outlineLevel="2" x14ac:dyDescent="0.2">
      <c r="A153" s="6" t="s">
        <v>141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5">
        <v>0.6</v>
      </c>
      <c r="P153" s="5"/>
      <c r="Q153" s="5"/>
      <c r="R153" s="5"/>
      <c r="S153" s="5"/>
      <c r="T153" s="5"/>
      <c r="U153" s="5"/>
      <c r="V153" s="5">
        <v>0.6</v>
      </c>
      <c r="W153" s="5"/>
      <c r="X153" s="5"/>
      <c r="Y153" s="5"/>
      <c r="Z153" s="5"/>
      <c r="AA153" s="5"/>
      <c r="AB153" s="23"/>
      <c r="AC153" s="24"/>
      <c r="AD153" s="24"/>
      <c r="AE153" s="24"/>
      <c r="AF153" s="25"/>
      <c r="AG153" s="20"/>
      <c r="AH153" s="21"/>
      <c r="AI153" s="21"/>
      <c r="AJ153" s="21"/>
      <c r="AK153" s="22"/>
    </row>
    <row r="154" spans="1:37" s="15" customFormat="1" ht="10.5" hidden="1" customHeight="1" outlineLevel="2" x14ac:dyDescent="0.2">
      <c r="A154" s="6" t="s">
        <v>142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5">
        <v>0.7</v>
      </c>
      <c r="P154" s="5"/>
      <c r="Q154" s="5"/>
      <c r="R154" s="5"/>
      <c r="S154" s="5"/>
      <c r="T154" s="5"/>
      <c r="U154" s="5"/>
      <c r="V154" s="5">
        <v>0.7</v>
      </c>
      <c r="W154" s="5"/>
      <c r="X154" s="5"/>
      <c r="Y154" s="5"/>
      <c r="Z154" s="5"/>
      <c r="AA154" s="5"/>
      <c r="AB154" s="23"/>
      <c r="AC154" s="24"/>
      <c r="AD154" s="24"/>
      <c r="AE154" s="24"/>
      <c r="AF154" s="25"/>
      <c r="AG154" s="20"/>
      <c r="AH154" s="21"/>
      <c r="AI154" s="21"/>
      <c r="AJ154" s="21"/>
      <c r="AK154" s="22"/>
    </row>
    <row r="155" spans="1:37" s="15" customFormat="1" ht="10.5" hidden="1" customHeight="1" outlineLevel="2" x14ac:dyDescent="0.2">
      <c r="A155" s="6" t="s">
        <v>143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3">
        <v>0.42</v>
      </c>
      <c r="P155" s="3"/>
      <c r="Q155" s="3"/>
      <c r="R155" s="3"/>
      <c r="S155" s="3"/>
      <c r="T155" s="3"/>
      <c r="U155" s="3"/>
      <c r="V155" s="3">
        <v>0.42</v>
      </c>
      <c r="W155" s="3"/>
      <c r="X155" s="3"/>
      <c r="Y155" s="3"/>
      <c r="Z155" s="3"/>
      <c r="AA155" s="3"/>
      <c r="AB155" s="23"/>
      <c r="AC155" s="24"/>
      <c r="AD155" s="24"/>
      <c r="AE155" s="24"/>
      <c r="AF155" s="25"/>
      <c r="AG155" s="20"/>
      <c r="AH155" s="21"/>
      <c r="AI155" s="21"/>
      <c r="AJ155" s="21"/>
      <c r="AK155" s="22"/>
    </row>
    <row r="156" spans="1:37" s="15" customFormat="1" ht="10.5" hidden="1" customHeight="1" outlineLevel="2" x14ac:dyDescent="0.2">
      <c r="A156" s="6" t="s">
        <v>144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2">
        <v>7</v>
      </c>
      <c r="P156" s="2"/>
      <c r="Q156" s="2"/>
      <c r="R156" s="2"/>
      <c r="S156" s="2"/>
      <c r="T156" s="2"/>
      <c r="U156" s="2"/>
      <c r="V156" s="2">
        <v>7</v>
      </c>
      <c r="W156" s="2"/>
      <c r="X156" s="2"/>
      <c r="Y156" s="2"/>
      <c r="Z156" s="2"/>
      <c r="AA156" s="2"/>
      <c r="AB156" s="23"/>
      <c r="AC156" s="24"/>
      <c r="AD156" s="24"/>
      <c r="AE156" s="24"/>
      <c r="AF156" s="25"/>
      <c r="AG156" s="20"/>
      <c r="AH156" s="21"/>
      <c r="AI156" s="21"/>
      <c r="AJ156" s="21"/>
      <c r="AK156" s="22"/>
    </row>
    <row r="157" spans="1:37" s="15" customFormat="1" ht="10.5" hidden="1" customHeight="1" outlineLevel="2" x14ac:dyDescent="0.2">
      <c r="A157" s="6" t="s">
        <v>145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2">
        <v>3</v>
      </c>
      <c r="P157" s="2"/>
      <c r="Q157" s="2"/>
      <c r="R157" s="2"/>
      <c r="S157" s="2"/>
      <c r="T157" s="2"/>
      <c r="U157" s="2"/>
      <c r="V157" s="2">
        <v>3</v>
      </c>
      <c r="W157" s="2"/>
      <c r="X157" s="2"/>
      <c r="Y157" s="2"/>
      <c r="Z157" s="2"/>
      <c r="AA157" s="2"/>
      <c r="AB157" s="23"/>
      <c r="AC157" s="24"/>
      <c r="AD157" s="24"/>
      <c r="AE157" s="24"/>
      <c r="AF157" s="25"/>
      <c r="AG157" s="20"/>
      <c r="AH157" s="21"/>
      <c r="AI157" s="21"/>
      <c r="AJ157" s="21"/>
      <c r="AK157" s="22"/>
    </row>
    <row r="158" spans="1:37" ht="10.5" customHeight="1" collapsed="1" x14ac:dyDescent="0.2">
      <c r="A158" s="12" t="s">
        <v>146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">
        <v>6402.75</v>
      </c>
      <c r="P158" s="1"/>
      <c r="Q158" s="1"/>
      <c r="R158" s="1"/>
      <c r="S158" s="1"/>
      <c r="T158" s="1"/>
      <c r="U158" s="1"/>
      <c r="V158" s="11">
        <v>5767.9030000000002</v>
      </c>
      <c r="W158" s="11"/>
      <c r="X158" s="11"/>
      <c r="Y158" s="11"/>
      <c r="Z158" s="11"/>
      <c r="AA158" s="11"/>
      <c r="AB158" s="9">
        <v>634.84699999999998</v>
      </c>
      <c r="AC158" s="9"/>
      <c r="AD158" s="9"/>
      <c r="AE158" s="9"/>
      <c r="AF158" s="9"/>
      <c r="AG158" s="9">
        <v>872.16899999999998</v>
      </c>
      <c r="AH158" s="9"/>
      <c r="AI158" s="9"/>
      <c r="AJ158" s="9"/>
      <c r="AK158" s="9"/>
    </row>
    <row r="159" spans="1:37" s="15" customFormat="1" ht="10.5" hidden="1" customHeight="1" outlineLevel="1" x14ac:dyDescent="0.2">
      <c r="A159" s="8" t="s">
        <v>147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10">
        <v>614.41</v>
      </c>
      <c r="P159" s="10"/>
      <c r="Q159" s="10"/>
      <c r="R159" s="10"/>
      <c r="S159" s="10"/>
      <c r="T159" s="10"/>
      <c r="U159" s="10"/>
      <c r="V159" s="10">
        <v>467.43</v>
      </c>
      <c r="W159" s="10"/>
      <c r="X159" s="10"/>
      <c r="Y159" s="10"/>
      <c r="Z159" s="10"/>
      <c r="AA159" s="10"/>
      <c r="AB159" s="10">
        <v>146.97999999999999</v>
      </c>
      <c r="AC159" s="10"/>
      <c r="AD159" s="10"/>
      <c r="AE159" s="10"/>
      <c r="AF159" s="10"/>
      <c r="AG159" s="9">
        <v>177.84399999999999</v>
      </c>
      <c r="AH159" s="9"/>
      <c r="AI159" s="9"/>
      <c r="AJ159" s="9"/>
      <c r="AK159" s="9"/>
    </row>
    <row r="160" spans="1:37" s="15" customFormat="1" ht="10.5" hidden="1" customHeight="1" outlineLevel="2" x14ac:dyDescent="0.2">
      <c r="A160" s="6" t="s">
        <v>148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3">
        <v>34.65</v>
      </c>
      <c r="P160" s="3"/>
      <c r="Q160" s="3"/>
      <c r="R160" s="3"/>
      <c r="S160" s="3"/>
      <c r="T160" s="3"/>
      <c r="U160" s="3"/>
      <c r="V160" s="23"/>
      <c r="W160" s="24"/>
      <c r="X160" s="24"/>
      <c r="Y160" s="24"/>
      <c r="Z160" s="24"/>
      <c r="AA160" s="25"/>
      <c r="AB160" s="3">
        <v>34.65</v>
      </c>
      <c r="AC160" s="3"/>
      <c r="AD160" s="3"/>
      <c r="AE160" s="3"/>
      <c r="AF160" s="3"/>
      <c r="AG160" s="3">
        <v>34.65</v>
      </c>
      <c r="AH160" s="3"/>
      <c r="AI160" s="3"/>
      <c r="AJ160" s="3"/>
      <c r="AK160" s="3"/>
    </row>
    <row r="161" spans="1:37" s="15" customFormat="1" ht="10.5" hidden="1" customHeight="1" outlineLevel="2" x14ac:dyDescent="0.2">
      <c r="A161" s="6" t="s">
        <v>149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3">
        <v>95.65</v>
      </c>
      <c r="P161" s="3"/>
      <c r="Q161" s="3"/>
      <c r="R161" s="3"/>
      <c r="S161" s="3"/>
      <c r="T161" s="3"/>
      <c r="U161" s="3"/>
      <c r="V161" s="3">
        <v>22.97</v>
      </c>
      <c r="W161" s="3"/>
      <c r="X161" s="3"/>
      <c r="Y161" s="3"/>
      <c r="Z161" s="3"/>
      <c r="AA161" s="3"/>
      <c r="AB161" s="3">
        <v>72.680000000000007</v>
      </c>
      <c r="AC161" s="3"/>
      <c r="AD161" s="3"/>
      <c r="AE161" s="3"/>
      <c r="AF161" s="3"/>
      <c r="AG161" s="4">
        <v>73.210999999999999</v>
      </c>
      <c r="AH161" s="4"/>
      <c r="AI161" s="4"/>
      <c r="AJ161" s="4"/>
      <c r="AK161" s="4"/>
    </row>
    <row r="162" spans="1:37" s="15" customFormat="1" ht="10.5" hidden="1" customHeight="1" outlineLevel="2" x14ac:dyDescent="0.2">
      <c r="A162" s="6" t="s">
        <v>150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3">
        <v>144.35</v>
      </c>
      <c r="P162" s="3"/>
      <c r="Q162" s="3"/>
      <c r="R162" s="3"/>
      <c r="S162" s="3"/>
      <c r="T162" s="3"/>
      <c r="U162" s="3"/>
      <c r="V162" s="4">
        <v>148.245</v>
      </c>
      <c r="W162" s="4"/>
      <c r="X162" s="4"/>
      <c r="Y162" s="4"/>
      <c r="Z162" s="4"/>
      <c r="AA162" s="4"/>
      <c r="AB162" s="4">
        <v>-3.895</v>
      </c>
      <c r="AC162" s="4"/>
      <c r="AD162" s="4"/>
      <c r="AE162" s="4"/>
      <c r="AF162" s="4"/>
      <c r="AG162" s="4">
        <v>6.1459999999999999</v>
      </c>
      <c r="AH162" s="4"/>
      <c r="AI162" s="4"/>
      <c r="AJ162" s="4"/>
      <c r="AK162" s="4"/>
    </row>
    <row r="163" spans="1:37" s="15" customFormat="1" ht="10.5" hidden="1" customHeight="1" outlineLevel="2" x14ac:dyDescent="0.2">
      <c r="A163" s="6" t="s">
        <v>151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3">
        <v>25.95</v>
      </c>
      <c r="P163" s="3"/>
      <c r="Q163" s="3"/>
      <c r="R163" s="3"/>
      <c r="S163" s="3"/>
      <c r="T163" s="3"/>
      <c r="U163" s="3"/>
      <c r="V163" s="4">
        <v>28.568999999999999</v>
      </c>
      <c r="W163" s="4"/>
      <c r="X163" s="4"/>
      <c r="Y163" s="4"/>
      <c r="Z163" s="4"/>
      <c r="AA163" s="4"/>
      <c r="AB163" s="4">
        <v>-2.6190000000000002</v>
      </c>
      <c r="AC163" s="4"/>
      <c r="AD163" s="4"/>
      <c r="AE163" s="4"/>
      <c r="AF163" s="4"/>
      <c r="AG163" s="20"/>
      <c r="AH163" s="21"/>
      <c r="AI163" s="21"/>
      <c r="AJ163" s="21"/>
      <c r="AK163" s="22"/>
    </row>
    <row r="164" spans="1:37" s="15" customFormat="1" ht="10.5" hidden="1" customHeight="1" outlineLevel="2" x14ac:dyDescent="0.2">
      <c r="A164" s="6" t="s">
        <v>152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5">
        <v>11.2</v>
      </c>
      <c r="P164" s="5"/>
      <c r="Q164" s="5"/>
      <c r="R164" s="5"/>
      <c r="S164" s="5"/>
      <c r="T164" s="5"/>
      <c r="U164" s="5"/>
      <c r="V164" s="4">
        <v>12.119</v>
      </c>
      <c r="W164" s="4"/>
      <c r="X164" s="4"/>
      <c r="Y164" s="4"/>
      <c r="Z164" s="4"/>
      <c r="AA164" s="4"/>
      <c r="AB164" s="4">
        <v>-0.91900000000000004</v>
      </c>
      <c r="AC164" s="4"/>
      <c r="AD164" s="4"/>
      <c r="AE164" s="4"/>
      <c r="AF164" s="4"/>
      <c r="AG164" s="20"/>
      <c r="AH164" s="21"/>
      <c r="AI164" s="21"/>
      <c r="AJ164" s="21"/>
      <c r="AK164" s="22"/>
    </row>
    <row r="165" spans="1:37" s="15" customFormat="1" ht="10.5" hidden="1" customHeight="1" outlineLevel="2" x14ac:dyDescent="0.2">
      <c r="A165" s="6" t="s">
        <v>153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3">
        <v>23.55</v>
      </c>
      <c r="P165" s="3"/>
      <c r="Q165" s="3"/>
      <c r="R165" s="3"/>
      <c r="S165" s="3"/>
      <c r="T165" s="3"/>
      <c r="U165" s="3"/>
      <c r="V165" s="4">
        <v>25.526</v>
      </c>
      <c r="W165" s="4"/>
      <c r="X165" s="4"/>
      <c r="Y165" s="4"/>
      <c r="Z165" s="4"/>
      <c r="AA165" s="4"/>
      <c r="AB165" s="4">
        <v>-1.976</v>
      </c>
      <c r="AC165" s="4"/>
      <c r="AD165" s="4"/>
      <c r="AE165" s="4"/>
      <c r="AF165" s="4"/>
      <c r="AG165" s="20"/>
      <c r="AH165" s="21"/>
      <c r="AI165" s="21"/>
      <c r="AJ165" s="21"/>
      <c r="AK165" s="22"/>
    </row>
    <row r="166" spans="1:37" s="15" customFormat="1" ht="10.5" hidden="1" customHeight="1" outlineLevel="2" x14ac:dyDescent="0.2">
      <c r="A166" s="6" t="s">
        <v>154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5">
        <v>17.600000000000001</v>
      </c>
      <c r="P166" s="5"/>
      <c r="Q166" s="5"/>
      <c r="R166" s="5"/>
      <c r="S166" s="5"/>
      <c r="T166" s="5"/>
      <c r="U166" s="5"/>
      <c r="V166" s="5">
        <v>20.2</v>
      </c>
      <c r="W166" s="5"/>
      <c r="X166" s="5"/>
      <c r="Y166" s="5"/>
      <c r="Z166" s="5"/>
      <c r="AA166" s="5"/>
      <c r="AB166" s="5">
        <v>-2.6</v>
      </c>
      <c r="AC166" s="5"/>
      <c r="AD166" s="5"/>
      <c r="AE166" s="5"/>
      <c r="AF166" s="5"/>
      <c r="AG166" s="20"/>
      <c r="AH166" s="21"/>
      <c r="AI166" s="21"/>
      <c r="AJ166" s="21"/>
      <c r="AK166" s="22"/>
    </row>
    <row r="167" spans="1:37" s="15" customFormat="1" ht="10.5" hidden="1" customHeight="1" outlineLevel="2" x14ac:dyDescent="0.2">
      <c r="A167" s="6" t="s">
        <v>155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3">
        <v>75.650000000000006</v>
      </c>
      <c r="P167" s="3"/>
      <c r="Q167" s="3"/>
      <c r="R167" s="3"/>
      <c r="S167" s="3"/>
      <c r="T167" s="3"/>
      <c r="U167" s="3"/>
      <c r="V167" s="4">
        <v>73.052000000000007</v>
      </c>
      <c r="W167" s="4"/>
      <c r="X167" s="4"/>
      <c r="Y167" s="4"/>
      <c r="Z167" s="4"/>
      <c r="AA167" s="4"/>
      <c r="AB167" s="4">
        <v>2.5979999999999999</v>
      </c>
      <c r="AC167" s="4"/>
      <c r="AD167" s="4"/>
      <c r="AE167" s="4"/>
      <c r="AF167" s="4"/>
      <c r="AG167" s="3">
        <v>4.78</v>
      </c>
      <c r="AH167" s="3"/>
      <c r="AI167" s="3"/>
      <c r="AJ167" s="3"/>
      <c r="AK167" s="3"/>
    </row>
    <row r="168" spans="1:37" s="15" customFormat="1" ht="10.5" hidden="1" customHeight="1" outlineLevel="2" x14ac:dyDescent="0.2">
      <c r="A168" s="6" t="s">
        <v>156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3">
        <v>182.16</v>
      </c>
      <c r="P168" s="3"/>
      <c r="Q168" s="3"/>
      <c r="R168" s="3"/>
      <c r="S168" s="3"/>
      <c r="T168" s="3"/>
      <c r="U168" s="3"/>
      <c r="V168" s="4">
        <v>132.66300000000001</v>
      </c>
      <c r="W168" s="4"/>
      <c r="X168" s="4"/>
      <c r="Y168" s="4"/>
      <c r="Z168" s="4"/>
      <c r="AA168" s="4"/>
      <c r="AB168" s="4">
        <v>49.497</v>
      </c>
      <c r="AC168" s="4"/>
      <c r="AD168" s="4"/>
      <c r="AE168" s="4"/>
      <c r="AF168" s="4"/>
      <c r="AG168" s="4">
        <v>59.057000000000002</v>
      </c>
      <c r="AH168" s="4"/>
      <c r="AI168" s="4"/>
      <c r="AJ168" s="4"/>
      <c r="AK168" s="4"/>
    </row>
    <row r="169" spans="1:37" s="15" customFormat="1" ht="10.5" hidden="1" customHeight="1" outlineLevel="2" x14ac:dyDescent="0.2">
      <c r="A169" s="6" t="s">
        <v>157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3">
        <v>3.65</v>
      </c>
      <c r="P169" s="3"/>
      <c r="Q169" s="3"/>
      <c r="R169" s="3"/>
      <c r="S169" s="3"/>
      <c r="T169" s="3"/>
      <c r="U169" s="3"/>
      <c r="V169" s="4">
        <v>4.0860000000000003</v>
      </c>
      <c r="W169" s="4"/>
      <c r="X169" s="4"/>
      <c r="Y169" s="4"/>
      <c r="Z169" s="4"/>
      <c r="AA169" s="4"/>
      <c r="AB169" s="4">
        <v>-0.436</v>
      </c>
      <c r="AC169" s="4"/>
      <c r="AD169" s="4"/>
      <c r="AE169" s="4"/>
      <c r="AF169" s="4"/>
      <c r="AG169" s="20"/>
      <c r="AH169" s="21"/>
      <c r="AI169" s="21"/>
      <c r="AJ169" s="21"/>
      <c r="AK169" s="22"/>
    </row>
    <row r="170" spans="1:37" s="15" customFormat="1" ht="10.5" hidden="1" customHeight="1" outlineLevel="1" collapsed="1" x14ac:dyDescent="0.2">
      <c r="A170" s="8" t="s">
        <v>158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10">
        <v>133.33000000000001</v>
      </c>
      <c r="P170" s="10"/>
      <c r="Q170" s="10"/>
      <c r="R170" s="10"/>
      <c r="S170" s="10"/>
      <c r="T170" s="10"/>
      <c r="U170" s="10"/>
      <c r="V170" s="10">
        <v>126.68</v>
      </c>
      <c r="W170" s="10"/>
      <c r="X170" s="10"/>
      <c r="Y170" s="10"/>
      <c r="Z170" s="10"/>
      <c r="AA170" s="10"/>
      <c r="AB170" s="10">
        <v>6.65</v>
      </c>
      <c r="AC170" s="10"/>
      <c r="AD170" s="10"/>
      <c r="AE170" s="10"/>
      <c r="AF170" s="10"/>
      <c r="AG170" s="10">
        <v>11.77</v>
      </c>
      <c r="AH170" s="10"/>
      <c r="AI170" s="10"/>
      <c r="AJ170" s="10"/>
      <c r="AK170" s="10"/>
    </row>
    <row r="171" spans="1:37" s="15" customFormat="1" ht="10.5" hidden="1" customHeight="1" outlineLevel="2" x14ac:dyDescent="0.2">
      <c r="A171" s="6" t="s">
        <v>159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2">
        <v>2</v>
      </c>
      <c r="P171" s="2"/>
      <c r="Q171" s="2"/>
      <c r="R171" s="2"/>
      <c r="S171" s="2"/>
      <c r="T171" s="2"/>
      <c r="U171" s="2"/>
      <c r="V171" s="2">
        <v>2</v>
      </c>
      <c r="W171" s="2"/>
      <c r="X171" s="2"/>
      <c r="Y171" s="2"/>
      <c r="Z171" s="2"/>
      <c r="AA171" s="2"/>
      <c r="AB171" s="23"/>
      <c r="AC171" s="24"/>
      <c r="AD171" s="24"/>
      <c r="AE171" s="24"/>
      <c r="AF171" s="25"/>
      <c r="AG171" s="20"/>
      <c r="AH171" s="21"/>
      <c r="AI171" s="21"/>
      <c r="AJ171" s="21"/>
      <c r="AK171" s="22"/>
    </row>
    <row r="172" spans="1:37" s="15" customFormat="1" ht="10.5" hidden="1" customHeight="1" outlineLevel="2" x14ac:dyDescent="0.2">
      <c r="A172" s="6" t="s">
        <v>160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2">
        <v>18</v>
      </c>
      <c r="P172" s="2"/>
      <c r="Q172" s="2"/>
      <c r="R172" s="2"/>
      <c r="S172" s="2"/>
      <c r="T172" s="2"/>
      <c r="U172" s="2"/>
      <c r="V172" s="2">
        <v>18</v>
      </c>
      <c r="W172" s="2"/>
      <c r="X172" s="2"/>
      <c r="Y172" s="2"/>
      <c r="Z172" s="2"/>
      <c r="AA172" s="2"/>
      <c r="AB172" s="23"/>
      <c r="AC172" s="24"/>
      <c r="AD172" s="24"/>
      <c r="AE172" s="24"/>
      <c r="AF172" s="25"/>
      <c r="AG172" s="20"/>
      <c r="AH172" s="21"/>
      <c r="AI172" s="21"/>
      <c r="AJ172" s="21"/>
      <c r="AK172" s="22"/>
    </row>
    <row r="173" spans="1:37" s="15" customFormat="1" ht="10.5" hidden="1" customHeight="1" outlineLevel="2" x14ac:dyDescent="0.2">
      <c r="A173" s="6" t="s">
        <v>161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3">
        <v>22.05</v>
      </c>
      <c r="P173" s="3"/>
      <c r="Q173" s="3"/>
      <c r="R173" s="3"/>
      <c r="S173" s="3"/>
      <c r="T173" s="3"/>
      <c r="U173" s="3"/>
      <c r="V173" s="3">
        <v>23.85</v>
      </c>
      <c r="W173" s="3"/>
      <c r="X173" s="3"/>
      <c r="Y173" s="3"/>
      <c r="Z173" s="3"/>
      <c r="AA173" s="3"/>
      <c r="AB173" s="5">
        <v>-1.8</v>
      </c>
      <c r="AC173" s="5"/>
      <c r="AD173" s="5"/>
      <c r="AE173" s="5"/>
      <c r="AF173" s="5"/>
      <c r="AG173" s="20"/>
      <c r="AH173" s="21"/>
      <c r="AI173" s="21"/>
      <c r="AJ173" s="21"/>
      <c r="AK173" s="22"/>
    </row>
    <row r="174" spans="1:37" s="15" customFormat="1" ht="10.5" hidden="1" customHeight="1" outlineLevel="2" x14ac:dyDescent="0.2">
      <c r="A174" s="6" t="s">
        <v>162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5">
        <v>1.8</v>
      </c>
      <c r="P174" s="5"/>
      <c r="Q174" s="5"/>
      <c r="R174" s="5"/>
      <c r="S174" s="5"/>
      <c r="T174" s="5"/>
      <c r="U174" s="5"/>
      <c r="V174" s="23"/>
      <c r="W174" s="24"/>
      <c r="X174" s="24"/>
      <c r="Y174" s="24"/>
      <c r="Z174" s="24"/>
      <c r="AA174" s="25"/>
      <c r="AB174" s="5">
        <v>1.8</v>
      </c>
      <c r="AC174" s="5"/>
      <c r="AD174" s="5"/>
      <c r="AE174" s="5"/>
      <c r="AF174" s="5"/>
      <c r="AG174" s="5">
        <v>1.8</v>
      </c>
      <c r="AH174" s="5"/>
      <c r="AI174" s="5"/>
      <c r="AJ174" s="5"/>
      <c r="AK174" s="5"/>
    </row>
    <row r="175" spans="1:37" s="15" customFormat="1" ht="10.5" hidden="1" customHeight="1" outlineLevel="2" x14ac:dyDescent="0.2">
      <c r="A175" s="6" t="s">
        <v>163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5">
        <v>4.4000000000000004</v>
      </c>
      <c r="P175" s="5"/>
      <c r="Q175" s="5"/>
      <c r="R175" s="5"/>
      <c r="S175" s="5"/>
      <c r="T175" s="5"/>
      <c r="U175" s="5"/>
      <c r="V175" s="5">
        <v>3.6</v>
      </c>
      <c r="W175" s="5"/>
      <c r="X175" s="5"/>
      <c r="Y175" s="5"/>
      <c r="Z175" s="5"/>
      <c r="AA175" s="5"/>
      <c r="AB175" s="5">
        <v>0.8</v>
      </c>
      <c r="AC175" s="5"/>
      <c r="AD175" s="5"/>
      <c r="AE175" s="5"/>
      <c r="AF175" s="5"/>
      <c r="AG175" s="5">
        <v>0.8</v>
      </c>
      <c r="AH175" s="5"/>
      <c r="AI175" s="5"/>
      <c r="AJ175" s="5"/>
      <c r="AK175" s="5"/>
    </row>
    <row r="176" spans="1:37" s="15" customFormat="1" ht="10.5" hidden="1" customHeight="1" outlineLevel="2" x14ac:dyDescent="0.2">
      <c r="A176" s="6" t="s">
        <v>164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2">
        <v>8</v>
      </c>
      <c r="P176" s="2"/>
      <c r="Q176" s="2"/>
      <c r="R176" s="2"/>
      <c r="S176" s="2"/>
      <c r="T176" s="2"/>
      <c r="U176" s="2"/>
      <c r="V176" s="5">
        <v>8.4</v>
      </c>
      <c r="W176" s="5"/>
      <c r="X176" s="5"/>
      <c r="Y176" s="5"/>
      <c r="Z176" s="5"/>
      <c r="AA176" s="5"/>
      <c r="AB176" s="5">
        <v>-0.4</v>
      </c>
      <c r="AC176" s="5"/>
      <c r="AD176" s="5"/>
      <c r="AE176" s="5"/>
      <c r="AF176" s="5"/>
      <c r="AG176" s="20"/>
      <c r="AH176" s="21"/>
      <c r="AI176" s="21"/>
      <c r="AJ176" s="21"/>
      <c r="AK176" s="22"/>
    </row>
    <row r="177" spans="1:37" s="15" customFormat="1" ht="10.5" hidden="1" customHeight="1" outlineLevel="2" x14ac:dyDescent="0.2">
      <c r="A177" s="6" t="s">
        <v>165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3">
        <v>22.11</v>
      </c>
      <c r="P177" s="3"/>
      <c r="Q177" s="3"/>
      <c r="R177" s="3"/>
      <c r="S177" s="3"/>
      <c r="T177" s="3"/>
      <c r="U177" s="3"/>
      <c r="V177" s="3">
        <v>24.09</v>
      </c>
      <c r="W177" s="3"/>
      <c r="X177" s="3"/>
      <c r="Y177" s="3"/>
      <c r="Z177" s="3"/>
      <c r="AA177" s="3"/>
      <c r="AB177" s="3">
        <v>-1.98</v>
      </c>
      <c r="AC177" s="3"/>
      <c r="AD177" s="3"/>
      <c r="AE177" s="3"/>
      <c r="AF177" s="3"/>
      <c r="AG177" s="3">
        <v>0.66</v>
      </c>
      <c r="AH177" s="3"/>
      <c r="AI177" s="3"/>
      <c r="AJ177" s="3"/>
      <c r="AK177" s="3"/>
    </row>
    <row r="178" spans="1:37" s="15" customFormat="1" ht="10.5" hidden="1" customHeight="1" outlineLevel="2" x14ac:dyDescent="0.2">
      <c r="A178" s="6" t="s">
        <v>166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5">
        <v>3.7</v>
      </c>
      <c r="P178" s="5"/>
      <c r="Q178" s="5"/>
      <c r="R178" s="5"/>
      <c r="S178" s="5"/>
      <c r="T178" s="5"/>
      <c r="U178" s="5"/>
      <c r="V178" s="3">
        <v>1.85</v>
      </c>
      <c r="W178" s="3"/>
      <c r="X178" s="3"/>
      <c r="Y178" s="3"/>
      <c r="Z178" s="3"/>
      <c r="AA178" s="3"/>
      <c r="AB178" s="3">
        <v>1.85</v>
      </c>
      <c r="AC178" s="3"/>
      <c r="AD178" s="3"/>
      <c r="AE178" s="3"/>
      <c r="AF178" s="3"/>
      <c r="AG178" s="3">
        <v>1.85</v>
      </c>
      <c r="AH178" s="3"/>
      <c r="AI178" s="3"/>
      <c r="AJ178" s="3"/>
      <c r="AK178" s="3"/>
    </row>
    <row r="179" spans="1:37" s="15" customFormat="1" ht="10.5" hidden="1" customHeight="1" outlineLevel="2" x14ac:dyDescent="0.2">
      <c r="A179" s="6" t="s">
        <v>167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3">
        <v>7.26</v>
      </c>
      <c r="P179" s="3"/>
      <c r="Q179" s="3"/>
      <c r="R179" s="3"/>
      <c r="S179" s="3"/>
      <c r="T179" s="3"/>
      <c r="U179" s="3"/>
      <c r="V179" s="3">
        <v>7.26</v>
      </c>
      <c r="W179" s="3"/>
      <c r="X179" s="3"/>
      <c r="Y179" s="3"/>
      <c r="Z179" s="3"/>
      <c r="AA179" s="3"/>
      <c r="AB179" s="23"/>
      <c r="AC179" s="24"/>
      <c r="AD179" s="24"/>
      <c r="AE179" s="24"/>
      <c r="AF179" s="25"/>
      <c r="AG179" s="20"/>
      <c r="AH179" s="21"/>
      <c r="AI179" s="21"/>
      <c r="AJ179" s="21"/>
      <c r="AK179" s="22"/>
    </row>
    <row r="180" spans="1:37" s="15" customFormat="1" ht="10.5" hidden="1" customHeight="1" outlineLevel="2" x14ac:dyDescent="0.2">
      <c r="A180" s="6" t="s">
        <v>168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5">
        <v>2.4</v>
      </c>
      <c r="P180" s="5"/>
      <c r="Q180" s="5"/>
      <c r="R180" s="5"/>
      <c r="S180" s="5"/>
      <c r="T180" s="5"/>
      <c r="U180" s="5"/>
      <c r="V180" s="5">
        <v>2.4</v>
      </c>
      <c r="W180" s="5"/>
      <c r="X180" s="5"/>
      <c r="Y180" s="5"/>
      <c r="Z180" s="5"/>
      <c r="AA180" s="5"/>
      <c r="AB180" s="23"/>
      <c r="AC180" s="24"/>
      <c r="AD180" s="24"/>
      <c r="AE180" s="24"/>
      <c r="AF180" s="25"/>
      <c r="AG180" s="20"/>
      <c r="AH180" s="21"/>
      <c r="AI180" s="21"/>
      <c r="AJ180" s="21"/>
      <c r="AK180" s="22"/>
    </row>
    <row r="181" spans="1:37" s="15" customFormat="1" ht="21.75" hidden="1" customHeight="1" outlineLevel="2" x14ac:dyDescent="0.2">
      <c r="A181" s="6" t="s">
        <v>169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3">
        <v>0.33</v>
      </c>
      <c r="P181" s="3"/>
      <c r="Q181" s="3"/>
      <c r="R181" s="3"/>
      <c r="S181" s="3"/>
      <c r="T181" s="3"/>
      <c r="U181" s="3"/>
      <c r="V181" s="3">
        <v>0.11</v>
      </c>
      <c r="W181" s="3"/>
      <c r="X181" s="3"/>
      <c r="Y181" s="3"/>
      <c r="Z181" s="3"/>
      <c r="AA181" s="3"/>
      <c r="AB181" s="3">
        <v>0.22</v>
      </c>
      <c r="AC181" s="3"/>
      <c r="AD181" s="3"/>
      <c r="AE181" s="3"/>
      <c r="AF181" s="3"/>
      <c r="AG181" s="3">
        <v>0.22</v>
      </c>
      <c r="AH181" s="3"/>
      <c r="AI181" s="3"/>
      <c r="AJ181" s="3"/>
      <c r="AK181" s="3"/>
    </row>
    <row r="182" spans="1:37" s="15" customFormat="1" ht="21.75" hidden="1" customHeight="1" outlineLevel="2" x14ac:dyDescent="0.2">
      <c r="A182" s="6" t="s">
        <v>170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3">
        <v>2.52</v>
      </c>
      <c r="P182" s="3"/>
      <c r="Q182" s="3"/>
      <c r="R182" s="3"/>
      <c r="S182" s="3"/>
      <c r="T182" s="3"/>
      <c r="U182" s="3"/>
      <c r="V182" s="23"/>
      <c r="W182" s="24"/>
      <c r="X182" s="24"/>
      <c r="Y182" s="24"/>
      <c r="Z182" s="24"/>
      <c r="AA182" s="25"/>
      <c r="AB182" s="3">
        <v>2.52</v>
      </c>
      <c r="AC182" s="3"/>
      <c r="AD182" s="3"/>
      <c r="AE182" s="3"/>
      <c r="AF182" s="3"/>
      <c r="AG182" s="3">
        <v>2.52</v>
      </c>
      <c r="AH182" s="3"/>
      <c r="AI182" s="3"/>
      <c r="AJ182" s="3"/>
      <c r="AK182" s="3"/>
    </row>
    <row r="183" spans="1:37" s="15" customFormat="1" ht="21.75" hidden="1" customHeight="1" outlineLevel="2" x14ac:dyDescent="0.2">
      <c r="A183" s="6" t="s">
        <v>171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5">
        <v>33.6</v>
      </c>
      <c r="P183" s="5"/>
      <c r="Q183" s="5"/>
      <c r="R183" s="5"/>
      <c r="S183" s="5"/>
      <c r="T183" s="5"/>
      <c r="U183" s="5"/>
      <c r="V183" s="3">
        <v>33.32</v>
      </c>
      <c r="W183" s="3"/>
      <c r="X183" s="3"/>
      <c r="Y183" s="3"/>
      <c r="Z183" s="3"/>
      <c r="AA183" s="3"/>
      <c r="AB183" s="3">
        <v>0.28000000000000003</v>
      </c>
      <c r="AC183" s="3"/>
      <c r="AD183" s="3"/>
      <c r="AE183" s="3"/>
      <c r="AF183" s="3"/>
      <c r="AG183" s="3">
        <v>0.56000000000000005</v>
      </c>
      <c r="AH183" s="3"/>
      <c r="AI183" s="3"/>
      <c r="AJ183" s="3"/>
      <c r="AK183" s="3"/>
    </row>
    <row r="184" spans="1:37" s="15" customFormat="1" ht="21.75" hidden="1" customHeight="1" outlineLevel="2" x14ac:dyDescent="0.2">
      <c r="A184" s="6" t="s">
        <v>172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3">
        <v>3.36</v>
      </c>
      <c r="P184" s="3"/>
      <c r="Q184" s="3"/>
      <c r="R184" s="3"/>
      <c r="S184" s="3"/>
      <c r="T184" s="3"/>
      <c r="U184" s="3"/>
      <c r="V184" s="23"/>
      <c r="W184" s="24"/>
      <c r="X184" s="24"/>
      <c r="Y184" s="24"/>
      <c r="Z184" s="24"/>
      <c r="AA184" s="25"/>
      <c r="AB184" s="3">
        <v>3.36</v>
      </c>
      <c r="AC184" s="3"/>
      <c r="AD184" s="3"/>
      <c r="AE184" s="3"/>
      <c r="AF184" s="3"/>
      <c r="AG184" s="3">
        <v>3.36</v>
      </c>
      <c r="AH184" s="3"/>
      <c r="AI184" s="3"/>
      <c r="AJ184" s="3"/>
      <c r="AK184" s="3"/>
    </row>
    <row r="185" spans="1:37" s="15" customFormat="1" ht="10.5" hidden="1" customHeight="1" outlineLevel="2" x14ac:dyDescent="0.2">
      <c r="A185" s="6" t="s">
        <v>173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5">
        <v>1.8</v>
      </c>
      <c r="P185" s="5"/>
      <c r="Q185" s="5"/>
      <c r="R185" s="5"/>
      <c r="S185" s="5"/>
      <c r="T185" s="5"/>
      <c r="U185" s="5"/>
      <c r="V185" s="5">
        <v>1.8</v>
      </c>
      <c r="W185" s="5"/>
      <c r="X185" s="5"/>
      <c r="Y185" s="5"/>
      <c r="Z185" s="5"/>
      <c r="AA185" s="5"/>
      <c r="AB185" s="23"/>
      <c r="AC185" s="24"/>
      <c r="AD185" s="24"/>
      <c r="AE185" s="24"/>
      <c r="AF185" s="25"/>
      <c r="AG185" s="20"/>
      <c r="AH185" s="21"/>
      <c r="AI185" s="21"/>
      <c r="AJ185" s="21"/>
      <c r="AK185" s="22"/>
    </row>
    <row r="186" spans="1:37" s="15" customFormat="1" ht="10.5" hidden="1" customHeight="1" outlineLevel="1" collapsed="1" x14ac:dyDescent="0.2">
      <c r="A186" s="8" t="s">
        <v>174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7">
        <v>89.6</v>
      </c>
      <c r="P186" s="7"/>
      <c r="Q186" s="7"/>
      <c r="R186" s="7"/>
      <c r="S186" s="7"/>
      <c r="T186" s="7"/>
      <c r="U186" s="7"/>
      <c r="V186" s="7">
        <v>82.5</v>
      </c>
      <c r="W186" s="7"/>
      <c r="X186" s="7"/>
      <c r="Y186" s="7"/>
      <c r="Z186" s="7"/>
      <c r="AA186" s="7"/>
      <c r="AB186" s="7">
        <v>7.1</v>
      </c>
      <c r="AC186" s="7"/>
      <c r="AD186" s="7"/>
      <c r="AE186" s="7"/>
      <c r="AF186" s="7"/>
      <c r="AG186" s="7">
        <v>14.8</v>
      </c>
      <c r="AH186" s="7"/>
      <c r="AI186" s="7"/>
      <c r="AJ186" s="7"/>
      <c r="AK186" s="7"/>
    </row>
    <row r="187" spans="1:37" s="15" customFormat="1" ht="10.5" hidden="1" customHeight="1" outlineLevel="2" x14ac:dyDescent="0.2">
      <c r="A187" s="6" t="s">
        <v>175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5">
        <v>22.2</v>
      </c>
      <c r="P187" s="5"/>
      <c r="Q187" s="5"/>
      <c r="R187" s="5"/>
      <c r="S187" s="5"/>
      <c r="T187" s="5"/>
      <c r="U187" s="5"/>
      <c r="V187" s="5">
        <v>7.4</v>
      </c>
      <c r="W187" s="5"/>
      <c r="X187" s="5"/>
      <c r="Y187" s="5"/>
      <c r="Z187" s="5"/>
      <c r="AA187" s="5"/>
      <c r="AB187" s="5">
        <v>14.8</v>
      </c>
      <c r="AC187" s="5"/>
      <c r="AD187" s="5"/>
      <c r="AE187" s="5"/>
      <c r="AF187" s="5"/>
      <c r="AG187" s="5">
        <v>14.8</v>
      </c>
      <c r="AH187" s="5"/>
      <c r="AI187" s="5"/>
      <c r="AJ187" s="5"/>
      <c r="AK187" s="5"/>
    </row>
    <row r="188" spans="1:37" s="15" customFormat="1" ht="10.5" hidden="1" customHeight="1" outlineLevel="2" x14ac:dyDescent="0.2">
      <c r="A188" s="6" t="s">
        <v>176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5">
        <v>40.4</v>
      </c>
      <c r="P188" s="5"/>
      <c r="Q188" s="5"/>
      <c r="R188" s="5"/>
      <c r="S188" s="5"/>
      <c r="T188" s="5"/>
      <c r="U188" s="5"/>
      <c r="V188" s="5">
        <v>48.1</v>
      </c>
      <c r="W188" s="5"/>
      <c r="X188" s="5"/>
      <c r="Y188" s="5"/>
      <c r="Z188" s="5"/>
      <c r="AA188" s="5"/>
      <c r="AB188" s="5">
        <v>-7.7</v>
      </c>
      <c r="AC188" s="5"/>
      <c r="AD188" s="5"/>
      <c r="AE188" s="5"/>
      <c r="AF188" s="5"/>
      <c r="AG188" s="20"/>
      <c r="AH188" s="21"/>
      <c r="AI188" s="21"/>
      <c r="AJ188" s="21"/>
      <c r="AK188" s="22"/>
    </row>
    <row r="189" spans="1:37" s="15" customFormat="1" ht="10.5" hidden="1" customHeight="1" outlineLevel="2" x14ac:dyDescent="0.2">
      <c r="A189" s="6" t="s">
        <v>177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2">
        <v>27</v>
      </c>
      <c r="P189" s="2"/>
      <c r="Q189" s="2"/>
      <c r="R189" s="2"/>
      <c r="S189" s="2"/>
      <c r="T189" s="2"/>
      <c r="U189" s="2"/>
      <c r="V189" s="2">
        <v>27</v>
      </c>
      <c r="W189" s="2"/>
      <c r="X189" s="2"/>
      <c r="Y189" s="2"/>
      <c r="Z189" s="2"/>
      <c r="AA189" s="2"/>
      <c r="AB189" s="23"/>
      <c r="AC189" s="24"/>
      <c r="AD189" s="24"/>
      <c r="AE189" s="24"/>
      <c r="AF189" s="25"/>
      <c r="AG189" s="20"/>
      <c r="AH189" s="21"/>
      <c r="AI189" s="21"/>
      <c r="AJ189" s="21"/>
      <c r="AK189" s="22"/>
    </row>
    <row r="190" spans="1:37" s="15" customFormat="1" ht="10.5" hidden="1" customHeight="1" outlineLevel="1" collapsed="1" x14ac:dyDescent="0.2">
      <c r="A190" s="8" t="s">
        <v>178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7">
        <v>34.299999999999997</v>
      </c>
      <c r="P190" s="7"/>
      <c r="Q190" s="7"/>
      <c r="R190" s="7"/>
      <c r="S190" s="7"/>
      <c r="T190" s="7"/>
      <c r="U190" s="7"/>
      <c r="V190" s="7">
        <v>37.1</v>
      </c>
      <c r="W190" s="7"/>
      <c r="X190" s="7"/>
      <c r="Y190" s="7"/>
      <c r="Z190" s="7"/>
      <c r="AA190" s="7"/>
      <c r="AB190" s="7">
        <v>-2.8</v>
      </c>
      <c r="AC190" s="7"/>
      <c r="AD190" s="7"/>
      <c r="AE190" s="7"/>
      <c r="AF190" s="7"/>
      <c r="AG190" s="29"/>
      <c r="AH190" s="30"/>
      <c r="AI190" s="30"/>
      <c r="AJ190" s="30"/>
      <c r="AK190" s="31"/>
    </row>
    <row r="191" spans="1:37" s="15" customFormat="1" ht="21.75" hidden="1" customHeight="1" outlineLevel="2" x14ac:dyDescent="0.2">
      <c r="A191" s="6" t="s">
        <v>179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5">
        <v>34.299999999999997</v>
      </c>
      <c r="P191" s="5"/>
      <c r="Q191" s="5"/>
      <c r="R191" s="5"/>
      <c r="S191" s="5"/>
      <c r="T191" s="5"/>
      <c r="U191" s="5"/>
      <c r="V191" s="5">
        <v>37.1</v>
      </c>
      <c r="W191" s="5"/>
      <c r="X191" s="5"/>
      <c r="Y191" s="5"/>
      <c r="Z191" s="5"/>
      <c r="AA191" s="5"/>
      <c r="AB191" s="5">
        <v>-2.8</v>
      </c>
      <c r="AC191" s="5"/>
      <c r="AD191" s="5"/>
      <c r="AE191" s="5"/>
      <c r="AF191" s="5"/>
      <c r="AG191" s="20"/>
      <c r="AH191" s="21"/>
      <c r="AI191" s="21"/>
      <c r="AJ191" s="21"/>
      <c r="AK191" s="22"/>
    </row>
    <row r="192" spans="1:37" s="15" customFormat="1" ht="10.5" hidden="1" customHeight="1" outlineLevel="1" collapsed="1" x14ac:dyDescent="0.2">
      <c r="A192" s="8" t="s">
        <v>180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7">
        <v>18.5</v>
      </c>
      <c r="P192" s="7"/>
      <c r="Q192" s="7"/>
      <c r="R192" s="7"/>
      <c r="S192" s="7"/>
      <c r="T192" s="7"/>
      <c r="U192" s="7"/>
      <c r="V192" s="9">
        <v>20.463999999999999</v>
      </c>
      <c r="W192" s="9"/>
      <c r="X192" s="9"/>
      <c r="Y192" s="9"/>
      <c r="Z192" s="9"/>
      <c r="AA192" s="9"/>
      <c r="AB192" s="9">
        <v>-1.964</v>
      </c>
      <c r="AC192" s="9"/>
      <c r="AD192" s="9"/>
      <c r="AE192" s="9"/>
      <c r="AF192" s="9"/>
      <c r="AG192" s="10">
        <v>1.07</v>
      </c>
      <c r="AH192" s="10"/>
      <c r="AI192" s="10"/>
      <c r="AJ192" s="10"/>
      <c r="AK192" s="10"/>
    </row>
    <row r="193" spans="1:37" s="15" customFormat="1" ht="10.5" hidden="1" customHeight="1" outlineLevel="2" x14ac:dyDescent="0.2">
      <c r="A193" s="6" t="s">
        <v>181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5">
        <v>18.5</v>
      </c>
      <c r="P193" s="5"/>
      <c r="Q193" s="5"/>
      <c r="R193" s="5"/>
      <c r="S193" s="5"/>
      <c r="T193" s="5"/>
      <c r="U193" s="5"/>
      <c r="V193" s="4">
        <v>20.463999999999999</v>
      </c>
      <c r="W193" s="4"/>
      <c r="X193" s="4"/>
      <c r="Y193" s="4"/>
      <c r="Z193" s="4"/>
      <c r="AA193" s="4"/>
      <c r="AB193" s="4">
        <v>-1.964</v>
      </c>
      <c r="AC193" s="4"/>
      <c r="AD193" s="4"/>
      <c r="AE193" s="4"/>
      <c r="AF193" s="4"/>
      <c r="AG193" s="3">
        <v>1.07</v>
      </c>
      <c r="AH193" s="3"/>
      <c r="AI193" s="3"/>
      <c r="AJ193" s="3"/>
      <c r="AK193" s="3"/>
    </row>
    <row r="194" spans="1:37" s="15" customFormat="1" ht="10.5" hidden="1" customHeight="1" outlineLevel="1" collapsed="1" x14ac:dyDescent="0.2">
      <c r="A194" s="8" t="s">
        <v>182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1">
        <v>4241.51</v>
      </c>
      <c r="P194" s="1"/>
      <c r="Q194" s="1"/>
      <c r="R194" s="1"/>
      <c r="S194" s="1"/>
      <c r="T194" s="1"/>
      <c r="U194" s="1"/>
      <c r="V194" s="11">
        <v>3844.029</v>
      </c>
      <c r="W194" s="11"/>
      <c r="X194" s="11"/>
      <c r="Y194" s="11"/>
      <c r="Z194" s="11"/>
      <c r="AA194" s="11"/>
      <c r="AB194" s="9">
        <v>397.48099999999999</v>
      </c>
      <c r="AC194" s="9"/>
      <c r="AD194" s="9"/>
      <c r="AE194" s="9"/>
      <c r="AF194" s="9"/>
      <c r="AG194" s="9">
        <v>557.72500000000002</v>
      </c>
      <c r="AH194" s="9"/>
      <c r="AI194" s="9"/>
      <c r="AJ194" s="9"/>
      <c r="AK194" s="9"/>
    </row>
    <row r="195" spans="1:37" s="15" customFormat="1" ht="10.5" hidden="1" customHeight="1" outlineLevel="2" x14ac:dyDescent="0.2">
      <c r="A195" s="6" t="s">
        <v>183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2">
        <v>108</v>
      </c>
      <c r="P195" s="2"/>
      <c r="Q195" s="2"/>
      <c r="R195" s="2"/>
      <c r="S195" s="2"/>
      <c r="T195" s="2"/>
      <c r="U195" s="2"/>
      <c r="V195" s="4">
        <v>119.337</v>
      </c>
      <c r="W195" s="4"/>
      <c r="X195" s="4"/>
      <c r="Y195" s="4"/>
      <c r="Z195" s="4"/>
      <c r="AA195" s="4"/>
      <c r="AB195" s="4">
        <v>-11.337</v>
      </c>
      <c r="AC195" s="4"/>
      <c r="AD195" s="4"/>
      <c r="AE195" s="4"/>
      <c r="AF195" s="4"/>
      <c r="AG195" s="4">
        <v>8.6999999999999994E-2</v>
      </c>
      <c r="AH195" s="4"/>
      <c r="AI195" s="4"/>
      <c r="AJ195" s="4"/>
      <c r="AK195" s="4"/>
    </row>
    <row r="196" spans="1:37" s="15" customFormat="1" ht="10.5" hidden="1" customHeight="1" outlineLevel="2" x14ac:dyDescent="0.2">
      <c r="A196" s="6" t="s">
        <v>184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5">
        <v>567.5</v>
      </c>
      <c r="P196" s="5"/>
      <c r="Q196" s="5"/>
      <c r="R196" s="5"/>
      <c r="S196" s="5"/>
      <c r="T196" s="5"/>
      <c r="U196" s="5"/>
      <c r="V196" s="3">
        <v>573.49</v>
      </c>
      <c r="W196" s="3"/>
      <c r="X196" s="3"/>
      <c r="Y196" s="3"/>
      <c r="Z196" s="3"/>
      <c r="AA196" s="3"/>
      <c r="AB196" s="3">
        <v>-5.99</v>
      </c>
      <c r="AC196" s="3"/>
      <c r="AD196" s="3"/>
      <c r="AE196" s="3"/>
      <c r="AF196" s="3"/>
      <c r="AG196" s="4">
        <v>0.13300000000000001</v>
      </c>
      <c r="AH196" s="4"/>
      <c r="AI196" s="4"/>
      <c r="AJ196" s="4"/>
      <c r="AK196" s="4"/>
    </row>
    <row r="197" spans="1:37" s="15" customFormat="1" ht="10.5" hidden="1" customHeight="1" outlineLevel="2" x14ac:dyDescent="0.2">
      <c r="A197" s="6" t="s">
        <v>185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5">
        <v>14.4</v>
      </c>
      <c r="P197" s="5"/>
      <c r="Q197" s="5"/>
      <c r="R197" s="5"/>
      <c r="S197" s="5"/>
      <c r="T197" s="5"/>
      <c r="U197" s="5"/>
      <c r="V197" s="3">
        <v>16.62</v>
      </c>
      <c r="W197" s="3"/>
      <c r="X197" s="3"/>
      <c r="Y197" s="3"/>
      <c r="Z197" s="3"/>
      <c r="AA197" s="3"/>
      <c r="AB197" s="3">
        <v>-2.2200000000000002</v>
      </c>
      <c r="AC197" s="3"/>
      <c r="AD197" s="3"/>
      <c r="AE197" s="3"/>
      <c r="AF197" s="3"/>
      <c r="AG197" s="3">
        <v>0.04</v>
      </c>
      <c r="AH197" s="3"/>
      <c r="AI197" s="3"/>
      <c r="AJ197" s="3"/>
      <c r="AK197" s="3"/>
    </row>
    <row r="198" spans="1:37" s="15" customFormat="1" ht="10.5" hidden="1" customHeight="1" outlineLevel="2" x14ac:dyDescent="0.2">
      <c r="A198" s="6" t="s">
        <v>186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5">
        <v>14.4</v>
      </c>
      <c r="P198" s="5"/>
      <c r="Q198" s="5"/>
      <c r="R198" s="5"/>
      <c r="S198" s="5"/>
      <c r="T198" s="5"/>
      <c r="U198" s="5"/>
      <c r="V198" s="4">
        <v>16.693000000000001</v>
      </c>
      <c r="W198" s="4"/>
      <c r="X198" s="4"/>
      <c r="Y198" s="4"/>
      <c r="Z198" s="4"/>
      <c r="AA198" s="4"/>
      <c r="AB198" s="4">
        <v>-2.2930000000000001</v>
      </c>
      <c r="AC198" s="4"/>
      <c r="AD198" s="4"/>
      <c r="AE198" s="4"/>
      <c r="AF198" s="4"/>
      <c r="AG198" s="4">
        <v>1.9E-2</v>
      </c>
      <c r="AH198" s="4"/>
      <c r="AI198" s="4"/>
      <c r="AJ198" s="4"/>
      <c r="AK198" s="4"/>
    </row>
    <row r="199" spans="1:37" s="15" customFormat="1" ht="21.75" hidden="1" customHeight="1" outlineLevel="2" x14ac:dyDescent="0.2">
      <c r="A199" s="6" t="s">
        <v>187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3">
        <v>3.98</v>
      </c>
      <c r="P199" s="3"/>
      <c r="Q199" s="3"/>
      <c r="R199" s="3"/>
      <c r="S199" s="3"/>
      <c r="T199" s="3"/>
      <c r="U199" s="3"/>
      <c r="V199" s="4">
        <v>3.867</v>
      </c>
      <c r="W199" s="4"/>
      <c r="X199" s="4"/>
      <c r="Y199" s="4"/>
      <c r="Z199" s="4"/>
      <c r="AA199" s="4"/>
      <c r="AB199" s="4">
        <v>0.113</v>
      </c>
      <c r="AC199" s="4"/>
      <c r="AD199" s="4"/>
      <c r="AE199" s="4"/>
      <c r="AF199" s="4"/>
      <c r="AG199" s="4">
        <v>0.28100000000000003</v>
      </c>
      <c r="AH199" s="4"/>
      <c r="AI199" s="4"/>
      <c r="AJ199" s="4"/>
      <c r="AK199" s="4"/>
    </row>
    <row r="200" spans="1:37" s="15" customFormat="1" ht="10.5" hidden="1" customHeight="1" outlineLevel="2" x14ac:dyDescent="0.2">
      <c r="A200" s="6" t="s">
        <v>188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3">
        <v>151.63999999999999</v>
      </c>
      <c r="P200" s="3"/>
      <c r="Q200" s="3"/>
      <c r="R200" s="3"/>
      <c r="S200" s="3"/>
      <c r="T200" s="3"/>
      <c r="U200" s="3"/>
      <c r="V200" s="4">
        <v>166.482</v>
      </c>
      <c r="W200" s="4"/>
      <c r="X200" s="4"/>
      <c r="Y200" s="4"/>
      <c r="Z200" s="4"/>
      <c r="AA200" s="4"/>
      <c r="AB200" s="4">
        <v>-14.842000000000001</v>
      </c>
      <c r="AC200" s="4"/>
      <c r="AD200" s="4"/>
      <c r="AE200" s="4"/>
      <c r="AF200" s="4"/>
      <c r="AG200" s="4">
        <v>2.2959999999999998</v>
      </c>
      <c r="AH200" s="4"/>
      <c r="AI200" s="4"/>
      <c r="AJ200" s="4"/>
      <c r="AK200" s="4"/>
    </row>
    <row r="201" spans="1:37" s="15" customFormat="1" ht="10.5" hidden="1" customHeight="1" outlineLevel="2" x14ac:dyDescent="0.2">
      <c r="A201" s="6" t="s">
        <v>189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5">
        <v>22.2</v>
      </c>
      <c r="P201" s="5"/>
      <c r="Q201" s="5"/>
      <c r="R201" s="5"/>
      <c r="S201" s="5"/>
      <c r="T201" s="5"/>
      <c r="U201" s="5"/>
      <c r="V201" s="4">
        <v>25.658000000000001</v>
      </c>
      <c r="W201" s="4"/>
      <c r="X201" s="4"/>
      <c r="Y201" s="4"/>
      <c r="Z201" s="4"/>
      <c r="AA201" s="4"/>
      <c r="AB201" s="4">
        <v>-3.4580000000000002</v>
      </c>
      <c r="AC201" s="4"/>
      <c r="AD201" s="4"/>
      <c r="AE201" s="4"/>
      <c r="AF201" s="4"/>
      <c r="AG201" s="4">
        <v>6.4000000000000001E-2</v>
      </c>
      <c r="AH201" s="4"/>
      <c r="AI201" s="4"/>
      <c r="AJ201" s="4"/>
      <c r="AK201" s="4"/>
    </row>
    <row r="202" spans="1:37" s="15" customFormat="1" ht="21.75" hidden="1" customHeight="1" outlineLevel="2" x14ac:dyDescent="0.2">
      <c r="A202" s="6" t="s">
        <v>190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3">
        <v>61.24</v>
      </c>
      <c r="P202" s="3"/>
      <c r="Q202" s="3"/>
      <c r="R202" s="3"/>
      <c r="S202" s="3"/>
      <c r="T202" s="3"/>
      <c r="U202" s="3"/>
      <c r="V202" s="4">
        <v>68.441000000000003</v>
      </c>
      <c r="W202" s="4"/>
      <c r="X202" s="4"/>
      <c r="Y202" s="4"/>
      <c r="Z202" s="4"/>
      <c r="AA202" s="4"/>
      <c r="AB202" s="4">
        <v>-7.2009999999999996</v>
      </c>
      <c r="AC202" s="4"/>
      <c r="AD202" s="4"/>
      <c r="AE202" s="4"/>
      <c r="AF202" s="4"/>
      <c r="AG202" s="4">
        <v>0.121</v>
      </c>
      <c r="AH202" s="4"/>
      <c r="AI202" s="4"/>
      <c r="AJ202" s="4"/>
      <c r="AK202" s="4"/>
    </row>
    <row r="203" spans="1:37" s="15" customFormat="1" ht="10.5" hidden="1" customHeight="1" outlineLevel="2" x14ac:dyDescent="0.2">
      <c r="A203" s="6" t="s">
        <v>191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3">
        <v>5.96</v>
      </c>
      <c r="P203" s="3"/>
      <c r="Q203" s="3"/>
      <c r="R203" s="3"/>
      <c r="S203" s="3"/>
      <c r="T203" s="3"/>
      <c r="U203" s="3"/>
      <c r="V203" s="4">
        <v>4.2130000000000001</v>
      </c>
      <c r="W203" s="4"/>
      <c r="X203" s="4"/>
      <c r="Y203" s="4"/>
      <c r="Z203" s="4"/>
      <c r="AA203" s="4"/>
      <c r="AB203" s="4">
        <v>1.7470000000000001</v>
      </c>
      <c r="AC203" s="4"/>
      <c r="AD203" s="4"/>
      <c r="AE203" s="4"/>
      <c r="AF203" s="4"/>
      <c r="AG203" s="4">
        <v>2.6030000000000002</v>
      </c>
      <c r="AH203" s="4"/>
      <c r="AI203" s="4"/>
      <c r="AJ203" s="4"/>
      <c r="AK203" s="4"/>
    </row>
    <row r="204" spans="1:37" s="15" customFormat="1" ht="10.5" hidden="1" customHeight="1" outlineLevel="2" x14ac:dyDescent="0.2">
      <c r="A204" s="6" t="s">
        <v>192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3">
        <v>58.96</v>
      </c>
      <c r="P204" s="3"/>
      <c r="Q204" s="3"/>
      <c r="R204" s="3"/>
      <c r="S204" s="3"/>
      <c r="T204" s="3"/>
      <c r="U204" s="3"/>
      <c r="V204" s="4">
        <v>63.183999999999997</v>
      </c>
      <c r="W204" s="4"/>
      <c r="X204" s="4"/>
      <c r="Y204" s="4"/>
      <c r="Z204" s="4"/>
      <c r="AA204" s="4"/>
      <c r="AB204" s="4">
        <v>-4.2240000000000002</v>
      </c>
      <c r="AC204" s="4"/>
      <c r="AD204" s="4"/>
      <c r="AE204" s="4"/>
      <c r="AF204" s="4"/>
      <c r="AG204" s="4">
        <v>0.219</v>
      </c>
      <c r="AH204" s="4"/>
      <c r="AI204" s="4"/>
      <c r="AJ204" s="4"/>
      <c r="AK204" s="4"/>
    </row>
    <row r="205" spans="1:37" s="15" customFormat="1" ht="10.5" hidden="1" customHeight="1" outlineLevel="2" x14ac:dyDescent="0.2">
      <c r="A205" s="6" t="s">
        <v>193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5">
        <v>16.5</v>
      </c>
      <c r="P205" s="5"/>
      <c r="Q205" s="5"/>
      <c r="R205" s="5"/>
      <c r="S205" s="5"/>
      <c r="T205" s="5"/>
      <c r="U205" s="5"/>
      <c r="V205" s="23"/>
      <c r="W205" s="24"/>
      <c r="X205" s="24"/>
      <c r="Y205" s="24"/>
      <c r="Z205" s="24"/>
      <c r="AA205" s="25"/>
      <c r="AB205" s="5">
        <v>16.5</v>
      </c>
      <c r="AC205" s="5"/>
      <c r="AD205" s="5"/>
      <c r="AE205" s="5"/>
      <c r="AF205" s="5"/>
      <c r="AG205" s="5">
        <v>16.5</v>
      </c>
      <c r="AH205" s="5"/>
      <c r="AI205" s="5"/>
      <c r="AJ205" s="5"/>
      <c r="AK205" s="5"/>
    </row>
    <row r="206" spans="1:37" s="15" customFormat="1" ht="10.5" hidden="1" customHeight="1" outlineLevel="2" x14ac:dyDescent="0.2">
      <c r="A206" s="6" t="s">
        <v>194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2">
        <v>4</v>
      </c>
      <c r="P206" s="2"/>
      <c r="Q206" s="2"/>
      <c r="R206" s="2"/>
      <c r="S206" s="2"/>
      <c r="T206" s="2"/>
      <c r="U206" s="2"/>
      <c r="V206" s="23"/>
      <c r="W206" s="24"/>
      <c r="X206" s="24"/>
      <c r="Y206" s="24"/>
      <c r="Z206" s="24"/>
      <c r="AA206" s="25"/>
      <c r="AB206" s="2">
        <v>4</v>
      </c>
      <c r="AC206" s="2"/>
      <c r="AD206" s="2"/>
      <c r="AE206" s="2"/>
      <c r="AF206" s="2"/>
      <c r="AG206" s="2">
        <v>4</v>
      </c>
      <c r="AH206" s="2"/>
      <c r="AI206" s="2"/>
      <c r="AJ206" s="2"/>
      <c r="AK206" s="2"/>
    </row>
    <row r="207" spans="1:37" s="15" customFormat="1" ht="10.5" hidden="1" customHeight="1" outlineLevel="2" x14ac:dyDescent="0.2">
      <c r="A207" s="6" t="s">
        <v>195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3">
        <v>113.35</v>
      </c>
      <c r="P207" s="3"/>
      <c r="Q207" s="3"/>
      <c r="R207" s="3"/>
      <c r="S207" s="3"/>
      <c r="T207" s="3"/>
      <c r="U207" s="3"/>
      <c r="V207" s="4">
        <v>123.154</v>
      </c>
      <c r="W207" s="4"/>
      <c r="X207" s="4"/>
      <c r="Y207" s="4"/>
      <c r="Z207" s="4"/>
      <c r="AA207" s="4"/>
      <c r="AB207" s="4">
        <v>-9.8040000000000003</v>
      </c>
      <c r="AC207" s="4"/>
      <c r="AD207" s="4"/>
      <c r="AE207" s="4"/>
      <c r="AF207" s="4"/>
      <c r="AG207" s="4">
        <v>1.673</v>
      </c>
      <c r="AH207" s="4"/>
      <c r="AI207" s="4"/>
      <c r="AJ207" s="4"/>
      <c r="AK207" s="4"/>
    </row>
    <row r="208" spans="1:37" s="15" customFormat="1" ht="21.75" hidden="1" customHeight="1" outlineLevel="2" x14ac:dyDescent="0.2">
      <c r="A208" s="6" t="s">
        <v>196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2">
        <v>175</v>
      </c>
      <c r="P208" s="2"/>
      <c r="Q208" s="2"/>
      <c r="R208" s="2"/>
      <c r="S208" s="2"/>
      <c r="T208" s="2"/>
      <c r="U208" s="2"/>
      <c r="V208" s="4">
        <v>183.976</v>
      </c>
      <c r="W208" s="4"/>
      <c r="X208" s="4"/>
      <c r="Y208" s="4"/>
      <c r="Z208" s="4"/>
      <c r="AA208" s="4"/>
      <c r="AB208" s="4">
        <v>-8.9760000000000009</v>
      </c>
      <c r="AC208" s="4"/>
      <c r="AD208" s="4"/>
      <c r="AE208" s="4"/>
      <c r="AF208" s="4"/>
      <c r="AG208" s="4">
        <v>3.0049999999999999</v>
      </c>
      <c r="AH208" s="4"/>
      <c r="AI208" s="4"/>
      <c r="AJ208" s="4"/>
      <c r="AK208" s="4"/>
    </row>
    <row r="209" spans="1:37" s="15" customFormat="1" ht="10.5" hidden="1" customHeight="1" outlineLevel="2" x14ac:dyDescent="0.2">
      <c r="A209" s="6" t="s">
        <v>197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5">
        <v>21.9</v>
      </c>
      <c r="P209" s="5"/>
      <c r="Q209" s="5"/>
      <c r="R209" s="5"/>
      <c r="S209" s="5"/>
      <c r="T209" s="5"/>
      <c r="U209" s="5"/>
      <c r="V209" s="4">
        <v>23.956</v>
      </c>
      <c r="W209" s="4"/>
      <c r="X209" s="4"/>
      <c r="Y209" s="4"/>
      <c r="Z209" s="4"/>
      <c r="AA209" s="4"/>
      <c r="AB209" s="4">
        <v>-2.056</v>
      </c>
      <c r="AC209" s="4"/>
      <c r="AD209" s="4"/>
      <c r="AE209" s="4"/>
      <c r="AF209" s="4"/>
      <c r="AG209" s="4">
        <v>0.108</v>
      </c>
      <c r="AH209" s="4"/>
      <c r="AI209" s="4"/>
      <c r="AJ209" s="4"/>
      <c r="AK209" s="4"/>
    </row>
    <row r="210" spans="1:37" s="15" customFormat="1" ht="10.5" hidden="1" customHeight="1" outlineLevel="2" x14ac:dyDescent="0.2">
      <c r="A210" s="6" t="s">
        <v>198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5">
        <v>23.8</v>
      </c>
      <c r="P210" s="5"/>
      <c r="Q210" s="5"/>
      <c r="R210" s="5"/>
      <c r="S210" s="5"/>
      <c r="T210" s="5"/>
      <c r="U210" s="5"/>
      <c r="V210" s="4">
        <v>26.295000000000002</v>
      </c>
      <c r="W210" s="4"/>
      <c r="X210" s="4"/>
      <c r="Y210" s="4"/>
      <c r="Z210" s="4"/>
      <c r="AA210" s="4"/>
      <c r="AB210" s="4">
        <v>-2.4950000000000001</v>
      </c>
      <c r="AC210" s="4"/>
      <c r="AD210" s="4"/>
      <c r="AE210" s="4"/>
      <c r="AF210" s="4"/>
      <c r="AG210" s="3">
        <v>0.27</v>
      </c>
      <c r="AH210" s="3"/>
      <c r="AI210" s="3"/>
      <c r="AJ210" s="3"/>
      <c r="AK210" s="3"/>
    </row>
    <row r="211" spans="1:37" s="15" customFormat="1" ht="21.75" hidden="1" customHeight="1" outlineLevel="2" x14ac:dyDescent="0.2">
      <c r="A211" s="6" t="s">
        <v>199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5">
        <v>11.9</v>
      </c>
      <c r="P211" s="5"/>
      <c r="Q211" s="5"/>
      <c r="R211" s="5"/>
      <c r="S211" s="5"/>
      <c r="T211" s="5"/>
      <c r="U211" s="5"/>
      <c r="V211" s="4">
        <v>13.587</v>
      </c>
      <c r="W211" s="4"/>
      <c r="X211" s="4"/>
      <c r="Y211" s="4"/>
      <c r="Z211" s="4"/>
      <c r="AA211" s="4"/>
      <c r="AB211" s="4">
        <v>-1.6870000000000001</v>
      </c>
      <c r="AC211" s="4"/>
      <c r="AD211" s="4"/>
      <c r="AE211" s="4"/>
      <c r="AF211" s="4"/>
      <c r="AG211" s="20"/>
      <c r="AH211" s="21"/>
      <c r="AI211" s="21"/>
      <c r="AJ211" s="21"/>
      <c r="AK211" s="22"/>
    </row>
    <row r="212" spans="1:37" s="15" customFormat="1" ht="10.5" hidden="1" customHeight="1" outlineLevel="2" x14ac:dyDescent="0.2">
      <c r="A212" s="6" t="s">
        <v>200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5">
        <v>4.9000000000000004</v>
      </c>
      <c r="P212" s="5"/>
      <c r="Q212" s="5"/>
      <c r="R212" s="5"/>
      <c r="S212" s="5"/>
      <c r="T212" s="5"/>
      <c r="U212" s="5"/>
      <c r="V212" s="3">
        <v>5.52</v>
      </c>
      <c r="W212" s="3"/>
      <c r="X212" s="3"/>
      <c r="Y212" s="3"/>
      <c r="Z212" s="3"/>
      <c r="AA212" s="3"/>
      <c r="AB212" s="3">
        <v>-0.62</v>
      </c>
      <c r="AC212" s="3"/>
      <c r="AD212" s="3"/>
      <c r="AE212" s="3"/>
      <c r="AF212" s="3"/>
      <c r="AG212" s="4">
        <v>1.4999999999999999E-2</v>
      </c>
      <c r="AH212" s="4"/>
      <c r="AI212" s="4"/>
      <c r="AJ212" s="4"/>
      <c r="AK212" s="4"/>
    </row>
    <row r="213" spans="1:37" s="15" customFormat="1" ht="10.5" hidden="1" customHeight="1" outlineLevel="2" x14ac:dyDescent="0.2">
      <c r="A213" s="6" t="s">
        <v>201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5">
        <v>43.1</v>
      </c>
      <c r="P213" s="5"/>
      <c r="Q213" s="5"/>
      <c r="R213" s="5"/>
      <c r="S213" s="5"/>
      <c r="T213" s="5"/>
      <c r="U213" s="5"/>
      <c r="V213" s="4">
        <v>39.298000000000002</v>
      </c>
      <c r="W213" s="4"/>
      <c r="X213" s="4"/>
      <c r="Y213" s="4"/>
      <c r="Z213" s="4"/>
      <c r="AA213" s="4"/>
      <c r="AB213" s="4">
        <v>3.802</v>
      </c>
      <c r="AC213" s="4"/>
      <c r="AD213" s="4"/>
      <c r="AE213" s="4"/>
      <c r="AF213" s="4"/>
      <c r="AG213" s="4">
        <v>4.1239999999999997</v>
      </c>
      <c r="AH213" s="4"/>
      <c r="AI213" s="4"/>
      <c r="AJ213" s="4"/>
      <c r="AK213" s="4"/>
    </row>
    <row r="214" spans="1:37" s="15" customFormat="1" ht="21.75" hidden="1" customHeight="1" outlineLevel="2" x14ac:dyDescent="0.2">
      <c r="A214" s="6" t="s">
        <v>202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2">
        <v>5</v>
      </c>
      <c r="P214" s="2"/>
      <c r="Q214" s="2"/>
      <c r="R214" s="2"/>
      <c r="S214" s="2"/>
      <c r="T214" s="2"/>
      <c r="U214" s="2"/>
      <c r="V214" s="23"/>
      <c r="W214" s="24"/>
      <c r="X214" s="24"/>
      <c r="Y214" s="24"/>
      <c r="Z214" s="24"/>
      <c r="AA214" s="25"/>
      <c r="AB214" s="2">
        <v>5</v>
      </c>
      <c r="AC214" s="2"/>
      <c r="AD214" s="2"/>
      <c r="AE214" s="2"/>
      <c r="AF214" s="2"/>
      <c r="AG214" s="2">
        <v>5</v>
      </c>
      <c r="AH214" s="2"/>
      <c r="AI214" s="2"/>
      <c r="AJ214" s="2"/>
      <c r="AK214" s="2"/>
    </row>
    <row r="215" spans="1:37" s="15" customFormat="1" ht="10.5" hidden="1" customHeight="1" outlineLevel="2" x14ac:dyDescent="0.2">
      <c r="A215" s="6" t="s">
        <v>203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3">
        <v>23.45</v>
      </c>
      <c r="P215" s="3"/>
      <c r="Q215" s="3"/>
      <c r="R215" s="3"/>
      <c r="S215" s="3"/>
      <c r="T215" s="3"/>
      <c r="U215" s="3"/>
      <c r="V215" s="4">
        <v>23.908000000000001</v>
      </c>
      <c r="W215" s="4"/>
      <c r="X215" s="4"/>
      <c r="Y215" s="4"/>
      <c r="Z215" s="4"/>
      <c r="AA215" s="4"/>
      <c r="AB215" s="4">
        <v>-0.45800000000000002</v>
      </c>
      <c r="AC215" s="4"/>
      <c r="AD215" s="4"/>
      <c r="AE215" s="4"/>
      <c r="AF215" s="4"/>
      <c r="AG215" s="4">
        <v>0.54500000000000004</v>
      </c>
      <c r="AH215" s="4"/>
      <c r="AI215" s="4"/>
      <c r="AJ215" s="4"/>
      <c r="AK215" s="4"/>
    </row>
    <row r="216" spans="1:37" s="15" customFormat="1" ht="10.5" hidden="1" customHeight="1" outlineLevel="2" x14ac:dyDescent="0.2">
      <c r="A216" s="6" t="s">
        <v>204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5">
        <v>21.8</v>
      </c>
      <c r="P216" s="5"/>
      <c r="Q216" s="5"/>
      <c r="R216" s="5"/>
      <c r="S216" s="5"/>
      <c r="T216" s="5"/>
      <c r="U216" s="5"/>
      <c r="V216" s="4">
        <v>21.722000000000001</v>
      </c>
      <c r="W216" s="4"/>
      <c r="X216" s="4"/>
      <c r="Y216" s="4"/>
      <c r="Z216" s="4"/>
      <c r="AA216" s="4"/>
      <c r="AB216" s="4">
        <v>7.8E-2</v>
      </c>
      <c r="AC216" s="4"/>
      <c r="AD216" s="4"/>
      <c r="AE216" s="4"/>
      <c r="AF216" s="4"/>
      <c r="AG216" s="4">
        <v>1.5980000000000001</v>
      </c>
      <c r="AH216" s="4"/>
      <c r="AI216" s="4"/>
      <c r="AJ216" s="4"/>
      <c r="AK216" s="4"/>
    </row>
    <row r="217" spans="1:37" s="15" customFormat="1" ht="21.75" hidden="1" customHeight="1" outlineLevel="2" x14ac:dyDescent="0.2">
      <c r="A217" s="6" t="s">
        <v>205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5">
        <v>58.3</v>
      </c>
      <c r="P217" s="5"/>
      <c r="Q217" s="5"/>
      <c r="R217" s="5"/>
      <c r="S217" s="5"/>
      <c r="T217" s="5"/>
      <c r="U217" s="5"/>
      <c r="V217" s="4">
        <v>67.076999999999998</v>
      </c>
      <c r="W217" s="4"/>
      <c r="X217" s="4"/>
      <c r="Y217" s="4"/>
      <c r="Z217" s="4"/>
      <c r="AA217" s="4"/>
      <c r="AB217" s="4">
        <v>-8.7769999999999992</v>
      </c>
      <c r="AC217" s="4"/>
      <c r="AD217" s="4"/>
      <c r="AE217" s="4"/>
      <c r="AF217" s="4"/>
      <c r="AG217" s="4">
        <v>0.188</v>
      </c>
      <c r="AH217" s="4"/>
      <c r="AI217" s="4"/>
      <c r="AJ217" s="4"/>
      <c r="AK217" s="4"/>
    </row>
    <row r="218" spans="1:37" s="15" customFormat="1" ht="10.5" hidden="1" customHeight="1" outlineLevel="2" x14ac:dyDescent="0.2">
      <c r="A218" s="6" t="s">
        <v>206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5">
        <v>66.099999999999994</v>
      </c>
      <c r="P218" s="5"/>
      <c r="Q218" s="5"/>
      <c r="R218" s="5"/>
      <c r="S218" s="5"/>
      <c r="T218" s="5"/>
      <c r="U218" s="5"/>
      <c r="V218" s="4">
        <v>78.822999999999993</v>
      </c>
      <c r="W218" s="4"/>
      <c r="X218" s="4"/>
      <c r="Y218" s="4"/>
      <c r="Z218" s="4"/>
      <c r="AA218" s="4"/>
      <c r="AB218" s="4">
        <v>-12.723000000000001</v>
      </c>
      <c r="AC218" s="4"/>
      <c r="AD218" s="4"/>
      <c r="AE218" s="4"/>
      <c r="AF218" s="4"/>
      <c r="AG218" s="4">
        <v>0.193</v>
      </c>
      <c r="AH218" s="4"/>
      <c r="AI218" s="4"/>
      <c r="AJ218" s="4"/>
      <c r="AK218" s="4"/>
    </row>
    <row r="219" spans="1:37" s="15" customFormat="1" ht="10.5" hidden="1" customHeight="1" outlineLevel="2" x14ac:dyDescent="0.2">
      <c r="A219" s="6" t="s">
        <v>207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5">
        <v>13.1</v>
      </c>
      <c r="P219" s="5"/>
      <c r="Q219" s="5"/>
      <c r="R219" s="5"/>
      <c r="S219" s="5"/>
      <c r="T219" s="5"/>
      <c r="U219" s="5"/>
      <c r="V219" s="23"/>
      <c r="W219" s="24"/>
      <c r="X219" s="24"/>
      <c r="Y219" s="24"/>
      <c r="Z219" s="24"/>
      <c r="AA219" s="25"/>
      <c r="AB219" s="5">
        <v>13.1</v>
      </c>
      <c r="AC219" s="5"/>
      <c r="AD219" s="5"/>
      <c r="AE219" s="5"/>
      <c r="AF219" s="5"/>
      <c r="AG219" s="5">
        <v>13.1</v>
      </c>
      <c r="AH219" s="5"/>
      <c r="AI219" s="5"/>
      <c r="AJ219" s="5"/>
      <c r="AK219" s="5"/>
    </row>
    <row r="220" spans="1:37" s="15" customFormat="1" ht="10.5" hidden="1" customHeight="1" outlineLevel="2" x14ac:dyDescent="0.2">
      <c r="A220" s="6" t="s">
        <v>208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2">
        <v>5</v>
      </c>
      <c r="P220" s="2"/>
      <c r="Q220" s="2"/>
      <c r="R220" s="2"/>
      <c r="S220" s="2"/>
      <c r="T220" s="2"/>
      <c r="U220" s="2"/>
      <c r="V220" s="23"/>
      <c r="W220" s="24"/>
      <c r="X220" s="24"/>
      <c r="Y220" s="24"/>
      <c r="Z220" s="24"/>
      <c r="AA220" s="25"/>
      <c r="AB220" s="2">
        <v>5</v>
      </c>
      <c r="AC220" s="2"/>
      <c r="AD220" s="2"/>
      <c r="AE220" s="2"/>
      <c r="AF220" s="2"/>
      <c r="AG220" s="2">
        <v>5</v>
      </c>
      <c r="AH220" s="2"/>
      <c r="AI220" s="2"/>
      <c r="AJ220" s="2"/>
      <c r="AK220" s="2"/>
    </row>
    <row r="221" spans="1:37" s="15" customFormat="1" ht="10.5" hidden="1" customHeight="1" outlineLevel="2" x14ac:dyDescent="0.2">
      <c r="A221" s="6" t="s">
        <v>209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5">
        <v>4.7</v>
      </c>
      <c r="P221" s="5"/>
      <c r="Q221" s="5"/>
      <c r="R221" s="5"/>
      <c r="S221" s="5"/>
      <c r="T221" s="5"/>
      <c r="U221" s="5"/>
      <c r="V221" s="4">
        <v>5.7919999999999998</v>
      </c>
      <c r="W221" s="4"/>
      <c r="X221" s="4"/>
      <c r="Y221" s="4"/>
      <c r="Z221" s="4"/>
      <c r="AA221" s="4"/>
      <c r="AB221" s="4">
        <v>-1.0920000000000001</v>
      </c>
      <c r="AC221" s="4"/>
      <c r="AD221" s="4"/>
      <c r="AE221" s="4"/>
      <c r="AF221" s="4"/>
      <c r="AG221" s="20"/>
      <c r="AH221" s="21"/>
      <c r="AI221" s="21"/>
      <c r="AJ221" s="21"/>
      <c r="AK221" s="22"/>
    </row>
    <row r="222" spans="1:37" s="15" customFormat="1" ht="10.5" hidden="1" customHeight="1" outlineLevel="2" x14ac:dyDescent="0.2">
      <c r="A222" s="6" t="s">
        <v>210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3">
        <v>54.82</v>
      </c>
      <c r="P222" s="3"/>
      <c r="Q222" s="3"/>
      <c r="R222" s="3"/>
      <c r="S222" s="3"/>
      <c r="T222" s="3"/>
      <c r="U222" s="3"/>
      <c r="V222" s="4">
        <v>59.503</v>
      </c>
      <c r="W222" s="4"/>
      <c r="X222" s="4"/>
      <c r="Y222" s="4"/>
      <c r="Z222" s="4"/>
      <c r="AA222" s="4"/>
      <c r="AB222" s="4">
        <v>-4.6829999999999998</v>
      </c>
      <c r="AC222" s="4"/>
      <c r="AD222" s="4"/>
      <c r="AE222" s="4"/>
      <c r="AF222" s="4"/>
      <c r="AG222" s="4">
        <v>0.114</v>
      </c>
      <c r="AH222" s="4"/>
      <c r="AI222" s="4"/>
      <c r="AJ222" s="4"/>
      <c r="AK222" s="4"/>
    </row>
    <row r="223" spans="1:37" s="15" customFormat="1" ht="10.5" hidden="1" customHeight="1" outlineLevel="2" x14ac:dyDescent="0.2">
      <c r="A223" s="6" t="s">
        <v>211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2">
        <v>485</v>
      </c>
      <c r="P223" s="2"/>
      <c r="Q223" s="2"/>
      <c r="R223" s="2"/>
      <c r="S223" s="2"/>
      <c r="T223" s="2"/>
      <c r="U223" s="2"/>
      <c r="V223" s="4">
        <v>228.279</v>
      </c>
      <c r="W223" s="4"/>
      <c r="X223" s="4"/>
      <c r="Y223" s="4"/>
      <c r="Z223" s="4"/>
      <c r="AA223" s="4"/>
      <c r="AB223" s="4">
        <v>256.721</v>
      </c>
      <c r="AC223" s="4"/>
      <c r="AD223" s="4"/>
      <c r="AE223" s="4"/>
      <c r="AF223" s="4"/>
      <c r="AG223" s="4">
        <v>257.63099999999997</v>
      </c>
      <c r="AH223" s="4"/>
      <c r="AI223" s="4"/>
      <c r="AJ223" s="4"/>
      <c r="AK223" s="4"/>
    </row>
    <row r="224" spans="1:37" s="15" customFormat="1" ht="10.5" hidden="1" customHeight="1" outlineLevel="2" x14ac:dyDescent="0.2">
      <c r="A224" s="6" t="s">
        <v>212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2">
        <v>560</v>
      </c>
      <c r="P224" s="2"/>
      <c r="Q224" s="2"/>
      <c r="R224" s="2"/>
      <c r="S224" s="2"/>
      <c r="T224" s="2"/>
      <c r="U224" s="2"/>
      <c r="V224" s="4">
        <v>574.03700000000003</v>
      </c>
      <c r="W224" s="4"/>
      <c r="X224" s="4"/>
      <c r="Y224" s="4"/>
      <c r="Z224" s="4"/>
      <c r="AA224" s="4"/>
      <c r="AB224" s="4">
        <v>-14.037000000000001</v>
      </c>
      <c r="AC224" s="4"/>
      <c r="AD224" s="4"/>
      <c r="AE224" s="4"/>
      <c r="AF224" s="4"/>
      <c r="AG224" s="4">
        <v>0.20899999999999999</v>
      </c>
      <c r="AH224" s="4"/>
      <c r="AI224" s="4"/>
      <c r="AJ224" s="4"/>
      <c r="AK224" s="4"/>
    </row>
    <row r="225" spans="1:37" s="15" customFormat="1" ht="10.5" hidden="1" customHeight="1" outlineLevel="2" x14ac:dyDescent="0.2">
      <c r="A225" s="6" t="s">
        <v>213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2">
        <v>865</v>
      </c>
      <c r="P225" s="2"/>
      <c r="Q225" s="2"/>
      <c r="R225" s="2"/>
      <c r="S225" s="2"/>
      <c r="T225" s="2"/>
      <c r="U225" s="2"/>
      <c r="V225" s="3">
        <v>733.99</v>
      </c>
      <c r="W225" s="3"/>
      <c r="X225" s="3"/>
      <c r="Y225" s="3"/>
      <c r="Z225" s="3"/>
      <c r="AA225" s="3"/>
      <c r="AB225" s="3">
        <v>131.01</v>
      </c>
      <c r="AC225" s="3"/>
      <c r="AD225" s="3"/>
      <c r="AE225" s="3"/>
      <c r="AF225" s="3"/>
      <c r="AG225" s="4">
        <v>141.584</v>
      </c>
      <c r="AH225" s="4"/>
      <c r="AI225" s="4"/>
      <c r="AJ225" s="4"/>
      <c r="AK225" s="4"/>
    </row>
    <row r="226" spans="1:37" s="15" customFormat="1" ht="21.75" hidden="1" customHeight="1" outlineLevel="2" x14ac:dyDescent="0.2">
      <c r="A226" s="6" t="s">
        <v>214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3">
        <v>101.76</v>
      </c>
      <c r="P226" s="3"/>
      <c r="Q226" s="3"/>
      <c r="R226" s="3"/>
      <c r="S226" s="3"/>
      <c r="T226" s="3"/>
      <c r="U226" s="3"/>
      <c r="V226" s="4">
        <v>66.602000000000004</v>
      </c>
      <c r="W226" s="4"/>
      <c r="X226" s="4"/>
      <c r="Y226" s="4"/>
      <c r="Z226" s="4"/>
      <c r="AA226" s="4"/>
      <c r="AB226" s="4">
        <v>35.158000000000001</v>
      </c>
      <c r="AC226" s="4"/>
      <c r="AD226" s="4"/>
      <c r="AE226" s="4"/>
      <c r="AF226" s="4"/>
      <c r="AG226" s="4">
        <v>43.540999999999997</v>
      </c>
      <c r="AH226" s="4"/>
      <c r="AI226" s="4"/>
      <c r="AJ226" s="4"/>
      <c r="AK226" s="4"/>
    </row>
    <row r="227" spans="1:37" s="15" customFormat="1" ht="21.75" hidden="1" customHeight="1" outlineLevel="2" x14ac:dyDescent="0.2">
      <c r="A227" s="6" t="s">
        <v>215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2">
        <v>10</v>
      </c>
      <c r="P227" s="2"/>
      <c r="Q227" s="2"/>
      <c r="R227" s="2"/>
      <c r="S227" s="2"/>
      <c r="T227" s="2"/>
      <c r="U227" s="2"/>
      <c r="V227" s="4">
        <v>9.9879999999999995</v>
      </c>
      <c r="W227" s="4"/>
      <c r="X227" s="4"/>
      <c r="Y227" s="4"/>
      <c r="Z227" s="4"/>
      <c r="AA227" s="4"/>
      <c r="AB227" s="4">
        <v>1.2E-2</v>
      </c>
      <c r="AC227" s="4"/>
      <c r="AD227" s="4"/>
      <c r="AE227" s="4"/>
      <c r="AF227" s="4"/>
      <c r="AG227" s="3">
        <v>0.02</v>
      </c>
      <c r="AH227" s="3"/>
      <c r="AI227" s="3"/>
      <c r="AJ227" s="3"/>
      <c r="AK227" s="3"/>
    </row>
    <row r="228" spans="1:37" s="15" customFormat="1" ht="21.75" hidden="1" customHeight="1" outlineLevel="2" x14ac:dyDescent="0.2">
      <c r="A228" s="6" t="s">
        <v>216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2">
        <v>5</v>
      </c>
      <c r="P228" s="2"/>
      <c r="Q228" s="2"/>
      <c r="R228" s="2"/>
      <c r="S228" s="2"/>
      <c r="T228" s="2"/>
      <c r="U228" s="2"/>
      <c r="V228" s="4">
        <v>5.024</v>
      </c>
      <c r="W228" s="4"/>
      <c r="X228" s="4"/>
      <c r="Y228" s="4"/>
      <c r="Z228" s="4"/>
      <c r="AA228" s="4"/>
      <c r="AB228" s="4">
        <v>-2.4E-2</v>
      </c>
      <c r="AC228" s="4"/>
      <c r="AD228" s="4"/>
      <c r="AE228" s="4"/>
      <c r="AF228" s="4"/>
      <c r="AG228" s="4">
        <v>1.6E-2</v>
      </c>
      <c r="AH228" s="4"/>
      <c r="AI228" s="4"/>
      <c r="AJ228" s="4"/>
      <c r="AK228" s="4"/>
    </row>
    <row r="229" spans="1:37" s="15" customFormat="1" ht="10.5" hidden="1" customHeight="1" outlineLevel="2" x14ac:dyDescent="0.2">
      <c r="A229" s="6" t="s">
        <v>217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5">
        <v>40.799999999999997</v>
      </c>
      <c r="P229" s="5"/>
      <c r="Q229" s="5"/>
      <c r="R229" s="5"/>
      <c r="S229" s="5"/>
      <c r="T229" s="5"/>
      <c r="U229" s="5"/>
      <c r="V229" s="4">
        <v>41.695</v>
      </c>
      <c r="W229" s="4"/>
      <c r="X229" s="4"/>
      <c r="Y229" s="4"/>
      <c r="Z229" s="4"/>
      <c r="AA229" s="4"/>
      <c r="AB229" s="4">
        <v>-0.89500000000000002</v>
      </c>
      <c r="AC229" s="4"/>
      <c r="AD229" s="4"/>
      <c r="AE229" s="4"/>
      <c r="AF229" s="4"/>
      <c r="AG229" s="4">
        <v>2.1960000000000002</v>
      </c>
      <c r="AH229" s="4"/>
      <c r="AI229" s="4"/>
      <c r="AJ229" s="4"/>
      <c r="AK229" s="4"/>
    </row>
    <row r="230" spans="1:37" s="15" customFormat="1" ht="10.5" hidden="1" customHeight="1" outlineLevel="2" x14ac:dyDescent="0.2">
      <c r="A230" s="6" t="s">
        <v>218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3">
        <v>59.65</v>
      </c>
      <c r="P230" s="3"/>
      <c r="Q230" s="3"/>
      <c r="R230" s="3"/>
      <c r="S230" s="3"/>
      <c r="T230" s="3"/>
      <c r="U230" s="3"/>
      <c r="V230" s="4">
        <v>62.036000000000001</v>
      </c>
      <c r="W230" s="4"/>
      <c r="X230" s="4"/>
      <c r="Y230" s="4"/>
      <c r="Z230" s="4"/>
      <c r="AA230" s="4"/>
      <c r="AB230" s="4">
        <v>-2.3860000000000001</v>
      </c>
      <c r="AC230" s="4"/>
      <c r="AD230" s="4"/>
      <c r="AE230" s="4"/>
      <c r="AF230" s="4"/>
      <c r="AG230" s="4">
        <v>0.91700000000000004</v>
      </c>
      <c r="AH230" s="4"/>
      <c r="AI230" s="4"/>
      <c r="AJ230" s="4"/>
      <c r="AK230" s="4"/>
    </row>
    <row r="231" spans="1:37" s="15" customFormat="1" ht="10.5" hidden="1" customHeight="1" outlineLevel="2" x14ac:dyDescent="0.2">
      <c r="A231" s="6" t="s">
        <v>219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5">
        <v>14.3</v>
      </c>
      <c r="P231" s="5"/>
      <c r="Q231" s="5"/>
      <c r="R231" s="5"/>
      <c r="S231" s="5"/>
      <c r="T231" s="5"/>
      <c r="U231" s="5"/>
      <c r="V231" s="4">
        <v>16.795000000000002</v>
      </c>
      <c r="W231" s="4"/>
      <c r="X231" s="4"/>
      <c r="Y231" s="4"/>
      <c r="Z231" s="4"/>
      <c r="AA231" s="4"/>
      <c r="AB231" s="4">
        <v>-2.4950000000000001</v>
      </c>
      <c r="AC231" s="4"/>
      <c r="AD231" s="4"/>
      <c r="AE231" s="4"/>
      <c r="AF231" s="4"/>
      <c r="AG231" s="20"/>
      <c r="AH231" s="21"/>
      <c r="AI231" s="21"/>
      <c r="AJ231" s="21"/>
      <c r="AK231" s="22"/>
    </row>
    <row r="232" spans="1:37" s="15" customFormat="1" ht="10.5" hidden="1" customHeight="1" outlineLevel="2" x14ac:dyDescent="0.2">
      <c r="A232" s="6" t="s">
        <v>220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2">
        <v>425</v>
      </c>
      <c r="P232" s="2"/>
      <c r="Q232" s="2"/>
      <c r="R232" s="2"/>
      <c r="S232" s="2"/>
      <c r="T232" s="2"/>
      <c r="U232" s="2"/>
      <c r="V232" s="4">
        <v>374.98700000000002</v>
      </c>
      <c r="W232" s="4"/>
      <c r="X232" s="4"/>
      <c r="Y232" s="4"/>
      <c r="Z232" s="4"/>
      <c r="AA232" s="4"/>
      <c r="AB232" s="4">
        <v>50.012999999999998</v>
      </c>
      <c r="AC232" s="4"/>
      <c r="AD232" s="4"/>
      <c r="AE232" s="4"/>
      <c r="AF232" s="4"/>
      <c r="AG232" s="4">
        <v>50.314999999999998</v>
      </c>
      <c r="AH232" s="4"/>
      <c r="AI232" s="4"/>
      <c r="AJ232" s="4"/>
      <c r="AK232" s="4"/>
    </row>
    <row r="233" spans="1:37" s="15" customFormat="1" ht="10.5" hidden="1" customHeight="1" outlineLevel="1" collapsed="1" x14ac:dyDescent="0.2">
      <c r="A233" s="8" t="s">
        <v>221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10">
        <v>272.89</v>
      </c>
      <c r="P233" s="10"/>
      <c r="Q233" s="10"/>
      <c r="R233" s="10"/>
      <c r="S233" s="10"/>
      <c r="T233" s="10"/>
      <c r="U233" s="10"/>
      <c r="V233" s="10">
        <v>233.33</v>
      </c>
      <c r="W233" s="10"/>
      <c r="X233" s="10"/>
      <c r="Y233" s="10"/>
      <c r="Z233" s="10"/>
      <c r="AA233" s="10"/>
      <c r="AB233" s="10">
        <v>39.56</v>
      </c>
      <c r="AC233" s="10"/>
      <c r="AD233" s="10"/>
      <c r="AE233" s="10"/>
      <c r="AF233" s="10"/>
      <c r="AG233" s="10">
        <v>43.96</v>
      </c>
      <c r="AH233" s="10"/>
      <c r="AI233" s="10"/>
      <c r="AJ233" s="10"/>
      <c r="AK233" s="10"/>
    </row>
    <row r="234" spans="1:37" s="15" customFormat="1" ht="10.5" hidden="1" customHeight="1" outlineLevel="2" x14ac:dyDescent="0.2">
      <c r="A234" s="6" t="s">
        <v>222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3">
        <v>3.74</v>
      </c>
      <c r="P234" s="3"/>
      <c r="Q234" s="3"/>
      <c r="R234" s="3"/>
      <c r="S234" s="3"/>
      <c r="T234" s="3"/>
      <c r="U234" s="3"/>
      <c r="V234" s="3">
        <v>3.74</v>
      </c>
      <c r="W234" s="3"/>
      <c r="X234" s="3"/>
      <c r="Y234" s="3"/>
      <c r="Z234" s="3"/>
      <c r="AA234" s="3"/>
      <c r="AB234" s="23"/>
      <c r="AC234" s="24"/>
      <c r="AD234" s="24"/>
      <c r="AE234" s="24"/>
      <c r="AF234" s="25"/>
      <c r="AG234" s="20"/>
      <c r="AH234" s="21"/>
      <c r="AI234" s="21"/>
      <c r="AJ234" s="21"/>
      <c r="AK234" s="22"/>
    </row>
    <row r="235" spans="1:37" s="15" customFormat="1" ht="10.5" hidden="1" customHeight="1" outlineLevel="2" x14ac:dyDescent="0.2">
      <c r="A235" s="6" t="s">
        <v>223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5">
        <v>72.8</v>
      </c>
      <c r="P235" s="5"/>
      <c r="Q235" s="5"/>
      <c r="R235" s="5"/>
      <c r="S235" s="5"/>
      <c r="T235" s="5"/>
      <c r="U235" s="5"/>
      <c r="V235" s="5">
        <v>50.4</v>
      </c>
      <c r="W235" s="5"/>
      <c r="X235" s="5"/>
      <c r="Y235" s="5"/>
      <c r="Z235" s="5"/>
      <c r="AA235" s="5"/>
      <c r="AB235" s="5">
        <v>22.4</v>
      </c>
      <c r="AC235" s="5"/>
      <c r="AD235" s="5"/>
      <c r="AE235" s="5"/>
      <c r="AF235" s="5"/>
      <c r="AG235" s="5">
        <v>22.4</v>
      </c>
      <c r="AH235" s="5"/>
      <c r="AI235" s="5"/>
      <c r="AJ235" s="5"/>
      <c r="AK235" s="5"/>
    </row>
    <row r="236" spans="1:37" s="15" customFormat="1" ht="10.5" hidden="1" customHeight="1" outlineLevel="2" x14ac:dyDescent="0.2">
      <c r="A236" s="6" t="s">
        <v>224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5">
        <v>2.8</v>
      </c>
      <c r="P236" s="5"/>
      <c r="Q236" s="5"/>
      <c r="R236" s="5"/>
      <c r="S236" s="5"/>
      <c r="T236" s="5"/>
      <c r="U236" s="5"/>
      <c r="V236" s="5">
        <v>2.8</v>
      </c>
      <c r="W236" s="5"/>
      <c r="X236" s="5"/>
      <c r="Y236" s="5"/>
      <c r="Z236" s="5"/>
      <c r="AA236" s="5"/>
      <c r="AB236" s="23"/>
      <c r="AC236" s="24"/>
      <c r="AD236" s="24"/>
      <c r="AE236" s="24"/>
      <c r="AF236" s="25"/>
      <c r="AG236" s="20"/>
      <c r="AH236" s="21"/>
      <c r="AI236" s="21"/>
      <c r="AJ236" s="21"/>
      <c r="AK236" s="22"/>
    </row>
    <row r="237" spans="1:37" s="15" customFormat="1" ht="10.5" hidden="1" customHeight="1" outlineLevel="2" x14ac:dyDescent="0.2">
      <c r="A237" s="6" t="s">
        <v>225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5">
        <v>2.1</v>
      </c>
      <c r="P237" s="5"/>
      <c r="Q237" s="5"/>
      <c r="R237" s="5"/>
      <c r="S237" s="5"/>
      <c r="T237" s="5"/>
      <c r="U237" s="5"/>
      <c r="V237" s="5">
        <v>0.5</v>
      </c>
      <c r="W237" s="5"/>
      <c r="X237" s="5"/>
      <c r="Y237" s="5"/>
      <c r="Z237" s="5"/>
      <c r="AA237" s="5"/>
      <c r="AB237" s="5">
        <v>1.6</v>
      </c>
      <c r="AC237" s="5"/>
      <c r="AD237" s="5"/>
      <c r="AE237" s="5"/>
      <c r="AF237" s="5"/>
      <c r="AG237" s="5">
        <v>1.6</v>
      </c>
      <c r="AH237" s="5"/>
      <c r="AI237" s="5"/>
      <c r="AJ237" s="5"/>
      <c r="AK237" s="5"/>
    </row>
    <row r="238" spans="1:37" s="15" customFormat="1" ht="21.75" hidden="1" customHeight="1" outlineLevel="2" x14ac:dyDescent="0.2">
      <c r="A238" s="6" t="s">
        <v>226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5">
        <v>32.200000000000003</v>
      </c>
      <c r="P238" s="5"/>
      <c r="Q238" s="5"/>
      <c r="R238" s="5"/>
      <c r="S238" s="5"/>
      <c r="T238" s="5"/>
      <c r="U238" s="5"/>
      <c r="V238" s="5">
        <v>25.9</v>
      </c>
      <c r="W238" s="5"/>
      <c r="X238" s="5"/>
      <c r="Y238" s="5"/>
      <c r="Z238" s="5"/>
      <c r="AA238" s="5"/>
      <c r="AB238" s="5">
        <v>6.3</v>
      </c>
      <c r="AC238" s="5"/>
      <c r="AD238" s="5"/>
      <c r="AE238" s="5"/>
      <c r="AF238" s="5"/>
      <c r="AG238" s="3">
        <v>7.35</v>
      </c>
      <c r="AH238" s="3"/>
      <c r="AI238" s="3"/>
      <c r="AJ238" s="3"/>
      <c r="AK238" s="3"/>
    </row>
    <row r="239" spans="1:37" s="15" customFormat="1" ht="10.5" hidden="1" customHeight="1" outlineLevel="2" x14ac:dyDescent="0.2">
      <c r="A239" s="6" t="s">
        <v>227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5">
        <v>9.6</v>
      </c>
      <c r="P239" s="5"/>
      <c r="Q239" s="5"/>
      <c r="R239" s="5"/>
      <c r="S239" s="5"/>
      <c r="T239" s="5"/>
      <c r="U239" s="5"/>
      <c r="V239" s="2">
        <v>10</v>
      </c>
      <c r="W239" s="2"/>
      <c r="X239" s="2"/>
      <c r="Y239" s="2"/>
      <c r="Z239" s="2"/>
      <c r="AA239" s="2"/>
      <c r="AB239" s="5">
        <v>-0.4</v>
      </c>
      <c r="AC239" s="5"/>
      <c r="AD239" s="5"/>
      <c r="AE239" s="5"/>
      <c r="AF239" s="5"/>
      <c r="AG239" s="20"/>
      <c r="AH239" s="21"/>
      <c r="AI239" s="21"/>
      <c r="AJ239" s="21"/>
      <c r="AK239" s="22"/>
    </row>
    <row r="240" spans="1:37" s="15" customFormat="1" ht="10.5" hidden="1" customHeight="1" outlineLevel="2" x14ac:dyDescent="0.2">
      <c r="A240" s="6" t="s">
        <v>228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5">
        <v>8.8000000000000007</v>
      </c>
      <c r="P240" s="5"/>
      <c r="Q240" s="5"/>
      <c r="R240" s="5"/>
      <c r="S240" s="5"/>
      <c r="T240" s="5"/>
      <c r="U240" s="5"/>
      <c r="V240" s="5">
        <v>9.1999999999999993</v>
      </c>
      <c r="W240" s="5"/>
      <c r="X240" s="5"/>
      <c r="Y240" s="5"/>
      <c r="Z240" s="5"/>
      <c r="AA240" s="5"/>
      <c r="AB240" s="5">
        <v>-0.4</v>
      </c>
      <c r="AC240" s="5"/>
      <c r="AD240" s="5"/>
      <c r="AE240" s="5"/>
      <c r="AF240" s="5"/>
      <c r="AG240" s="20"/>
      <c r="AH240" s="21"/>
      <c r="AI240" s="21"/>
      <c r="AJ240" s="21"/>
      <c r="AK240" s="22"/>
    </row>
    <row r="241" spans="1:37" s="15" customFormat="1" ht="10.5" hidden="1" customHeight="1" outlineLevel="2" x14ac:dyDescent="0.2">
      <c r="A241" s="6" t="s">
        <v>229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5">
        <v>0.8</v>
      </c>
      <c r="P241" s="5"/>
      <c r="Q241" s="5"/>
      <c r="R241" s="5"/>
      <c r="S241" s="5"/>
      <c r="T241" s="5"/>
      <c r="U241" s="5"/>
      <c r="V241" s="23"/>
      <c r="W241" s="24"/>
      <c r="X241" s="24"/>
      <c r="Y241" s="24"/>
      <c r="Z241" s="24"/>
      <c r="AA241" s="25"/>
      <c r="AB241" s="5">
        <v>0.8</v>
      </c>
      <c r="AC241" s="5"/>
      <c r="AD241" s="5"/>
      <c r="AE241" s="5"/>
      <c r="AF241" s="5"/>
      <c r="AG241" s="5">
        <v>0.8</v>
      </c>
      <c r="AH241" s="5"/>
      <c r="AI241" s="5"/>
      <c r="AJ241" s="5"/>
      <c r="AK241" s="5"/>
    </row>
    <row r="242" spans="1:37" s="15" customFormat="1" ht="10.5" hidden="1" customHeight="1" outlineLevel="2" x14ac:dyDescent="0.2">
      <c r="A242" s="6" t="s">
        <v>230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2">
        <v>2</v>
      </c>
      <c r="P242" s="2"/>
      <c r="Q242" s="2"/>
      <c r="R242" s="2"/>
      <c r="S242" s="2"/>
      <c r="T242" s="2"/>
      <c r="U242" s="2"/>
      <c r="V242" s="23"/>
      <c r="W242" s="24"/>
      <c r="X242" s="24"/>
      <c r="Y242" s="24"/>
      <c r="Z242" s="24"/>
      <c r="AA242" s="25"/>
      <c r="AB242" s="2">
        <v>2</v>
      </c>
      <c r="AC242" s="2"/>
      <c r="AD242" s="2"/>
      <c r="AE242" s="2"/>
      <c r="AF242" s="2"/>
      <c r="AG242" s="2">
        <v>2</v>
      </c>
      <c r="AH242" s="2"/>
      <c r="AI242" s="2"/>
      <c r="AJ242" s="2"/>
      <c r="AK242" s="2"/>
    </row>
    <row r="243" spans="1:37" s="15" customFormat="1" ht="10.5" hidden="1" customHeight="1" outlineLevel="2" x14ac:dyDescent="0.2">
      <c r="A243" s="6" t="s">
        <v>231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5">
        <v>4.0999999999999996</v>
      </c>
      <c r="P243" s="5"/>
      <c r="Q243" s="5"/>
      <c r="R243" s="5"/>
      <c r="S243" s="5"/>
      <c r="T243" s="5"/>
      <c r="U243" s="5"/>
      <c r="V243" s="23"/>
      <c r="W243" s="24"/>
      <c r="X243" s="24"/>
      <c r="Y243" s="24"/>
      <c r="Z243" s="24"/>
      <c r="AA243" s="25"/>
      <c r="AB243" s="5">
        <v>4.0999999999999996</v>
      </c>
      <c r="AC243" s="5"/>
      <c r="AD243" s="5"/>
      <c r="AE243" s="5"/>
      <c r="AF243" s="5"/>
      <c r="AG243" s="5">
        <v>4.0999999999999996</v>
      </c>
      <c r="AH243" s="5"/>
      <c r="AI243" s="5"/>
      <c r="AJ243" s="5"/>
      <c r="AK243" s="5"/>
    </row>
    <row r="244" spans="1:37" s="15" customFormat="1" ht="10.5" hidden="1" customHeight="1" outlineLevel="2" x14ac:dyDescent="0.2">
      <c r="A244" s="6" t="s">
        <v>232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2">
        <v>60</v>
      </c>
      <c r="P244" s="2"/>
      <c r="Q244" s="2"/>
      <c r="R244" s="2"/>
      <c r="S244" s="2"/>
      <c r="T244" s="2"/>
      <c r="U244" s="2"/>
      <c r="V244" s="5">
        <v>60.8</v>
      </c>
      <c r="W244" s="5"/>
      <c r="X244" s="5"/>
      <c r="Y244" s="5"/>
      <c r="Z244" s="5"/>
      <c r="AA244" s="5"/>
      <c r="AB244" s="5">
        <v>-0.8</v>
      </c>
      <c r="AC244" s="5"/>
      <c r="AD244" s="5"/>
      <c r="AE244" s="5"/>
      <c r="AF244" s="5"/>
      <c r="AG244" s="5">
        <v>0.4</v>
      </c>
      <c r="AH244" s="5"/>
      <c r="AI244" s="5"/>
      <c r="AJ244" s="5"/>
      <c r="AK244" s="5"/>
    </row>
    <row r="245" spans="1:37" s="15" customFormat="1" ht="10.5" hidden="1" customHeight="1" outlineLevel="2" x14ac:dyDescent="0.2">
      <c r="A245" s="6" t="s">
        <v>233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2">
        <v>30</v>
      </c>
      <c r="P245" s="2"/>
      <c r="Q245" s="2"/>
      <c r="R245" s="2"/>
      <c r="S245" s="2"/>
      <c r="T245" s="2"/>
      <c r="U245" s="2"/>
      <c r="V245" s="2">
        <v>30</v>
      </c>
      <c r="W245" s="2"/>
      <c r="X245" s="2"/>
      <c r="Y245" s="2"/>
      <c r="Z245" s="2"/>
      <c r="AA245" s="2"/>
      <c r="AB245" s="23"/>
      <c r="AC245" s="24"/>
      <c r="AD245" s="24"/>
      <c r="AE245" s="24"/>
      <c r="AF245" s="25"/>
      <c r="AG245" s="20"/>
      <c r="AH245" s="21"/>
      <c r="AI245" s="21"/>
      <c r="AJ245" s="21"/>
      <c r="AK245" s="22"/>
    </row>
    <row r="246" spans="1:37" s="15" customFormat="1" ht="21.75" hidden="1" customHeight="1" outlineLevel="2" x14ac:dyDescent="0.2">
      <c r="A246" s="6" t="s">
        <v>234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3">
        <v>10.15</v>
      </c>
      <c r="P246" s="3"/>
      <c r="Q246" s="3"/>
      <c r="R246" s="3"/>
      <c r="S246" s="3"/>
      <c r="T246" s="3"/>
      <c r="U246" s="3"/>
      <c r="V246" s="5">
        <v>11.2</v>
      </c>
      <c r="W246" s="5"/>
      <c r="X246" s="5"/>
      <c r="Y246" s="5"/>
      <c r="Z246" s="5"/>
      <c r="AA246" s="5"/>
      <c r="AB246" s="3">
        <v>-1.05</v>
      </c>
      <c r="AC246" s="3"/>
      <c r="AD246" s="3"/>
      <c r="AE246" s="3"/>
      <c r="AF246" s="3"/>
      <c r="AG246" s="20"/>
      <c r="AH246" s="21"/>
      <c r="AI246" s="21"/>
      <c r="AJ246" s="21"/>
      <c r="AK246" s="22"/>
    </row>
    <row r="247" spans="1:37" s="15" customFormat="1" ht="10.5" hidden="1" customHeight="1" outlineLevel="2" x14ac:dyDescent="0.2">
      <c r="A247" s="6" t="s">
        <v>235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5">
        <v>1.4</v>
      </c>
      <c r="P247" s="5"/>
      <c r="Q247" s="5"/>
      <c r="R247" s="5"/>
      <c r="S247" s="5"/>
      <c r="T247" s="5"/>
      <c r="U247" s="5"/>
      <c r="V247" s="5">
        <v>1.4</v>
      </c>
      <c r="W247" s="5"/>
      <c r="X247" s="5"/>
      <c r="Y247" s="5"/>
      <c r="Z247" s="5"/>
      <c r="AA247" s="5"/>
      <c r="AB247" s="23"/>
      <c r="AC247" s="24"/>
      <c r="AD247" s="24"/>
      <c r="AE247" s="24"/>
      <c r="AF247" s="25"/>
      <c r="AG247" s="20"/>
      <c r="AH247" s="21"/>
      <c r="AI247" s="21"/>
      <c r="AJ247" s="21"/>
      <c r="AK247" s="22"/>
    </row>
    <row r="248" spans="1:37" s="15" customFormat="1" ht="10.5" hidden="1" customHeight="1" outlineLevel="2" x14ac:dyDescent="0.2">
      <c r="A248" s="6" t="s">
        <v>236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5">
        <v>0.9</v>
      </c>
      <c r="P248" s="5"/>
      <c r="Q248" s="5"/>
      <c r="R248" s="5"/>
      <c r="S248" s="5"/>
      <c r="T248" s="5"/>
      <c r="U248" s="5"/>
      <c r="V248" s="23"/>
      <c r="W248" s="24"/>
      <c r="X248" s="24"/>
      <c r="Y248" s="24"/>
      <c r="Z248" s="24"/>
      <c r="AA248" s="25"/>
      <c r="AB248" s="5">
        <v>0.9</v>
      </c>
      <c r="AC248" s="5"/>
      <c r="AD248" s="5"/>
      <c r="AE248" s="5"/>
      <c r="AF248" s="5"/>
      <c r="AG248" s="5">
        <v>0.9</v>
      </c>
      <c r="AH248" s="5"/>
      <c r="AI248" s="5"/>
      <c r="AJ248" s="5"/>
      <c r="AK248" s="5"/>
    </row>
    <row r="249" spans="1:37" s="15" customFormat="1" ht="10.5" hidden="1" customHeight="1" outlineLevel="2" x14ac:dyDescent="0.2">
      <c r="A249" s="6" t="s">
        <v>237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3">
        <v>0.35</v>
      </c>
      <c r="P249" s="3"/>
      <c r="Q249" s="3"/>
      <c r="R249" s="3"/>
      <c r="S249" s="3"/>
      <c r="T249" s="3"/>
      <c r="U249" s="3"/>
      <c r="V249" s="23"/>
      <c r="W249" s="24"/>
      <c r="X249" s="24"/>
      <c r="Y249" s="24"/>
      <c r="Z249" s="24"/>
      <c r="AA249" s="25"/>
      <c r="AB249" s="3">
        <v>0.35</v>
      </c>
      <c r="AC249" s="3"/>
      <c r="AD249" s="3"/>
      <c r="AE249" s="3"/>
      <c r="AF249" s="3"/>
      <c r="AG249" s="3">
        <v>0.35</v>
      </c>
      <c r="AH249" s="3"/>
      <c r="AI249" s="3"/>
      <c r="AJ249" s="3"/>
      <c r="AK249" s="3"/>
    </row>
    <row r="250" spans="1:37" s="15" customFormat="1" ht="10.5" hidden="1" customHeight="1" outlineLevel="2" x14ac:dyDescent="0.2">
      <c r="A250" s="6" t="s">
        <v>238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5">
        <v>2.1</v>
      </c>
      <c r="P250" s="5"/>
      <c r="Q250" s="5"/>
      <c r="R250" s="5"/>
      <c r="S250" s="5"/>
      <c r="T250" s="5"/>
      <c r="U250" s="5"/>
      <c r="V250" s="5">
        <v>2.1</v>
      </c>
      <c r="W250" s="5"/>
      <c r="X250" s="5"/>
      <c r="Y250" s="5"/>
      <c r="Z250" s="5"/>
      <c r="AA250" s="5"/>
      <c r="AB250" s="23"/>
      <c r="AC250" s="24"/>
      <c r="AD250" s="24"/>
      <c r="AE250" s="24"/>
      <c r="AF250" s="25"/>
      <c r="AG250" s="20"/>
      <c r="AH250" s="21"/>
      <c r="AI250" s="21"/>
      <c r="AJ250" s="21"/>
      <c r="AK250" s="22"/>
    </row>
    <row r="251" spans="1:37" s="15" customFormat="1" ht="10.5" hidden="1" customHeight="1" outlineLevel="2" x14ac:dyDescent="0.2">
      <c r="A251" s="6" t="s">
        <v>239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5">
        <v>6.6</v>
      </c>
      <c r="P251" s="5"/>
      <c r="Q251" s="5"/>
      <c r="R251" s="5"/>
      <c r="S251" s="5"/>
      <c r="T251" s="5"/>
      <c r="U251" s="5"/>
      <c r="V251" s="5">
        <v>6.9</v>
      </c>
      <c r="W251" s="5"/>
      <c r="X251" s="5"/>
      <c r="Y251" s="5"/>
      <c r="Z251" s="5"/>
      <c r="AA251" s="5"/>
      <c r="AB251" s="5">
        <v>-0.3</v>
      </c>
      <c r="AC251" s="5"/>
      <c r="AD251" s="5"/>
      <c r="AE251" s="5"/>
      <c r="AF251" s="5"/>
      <c r="AG251" s="20"/>
      <c r="AH251" s="21"/>
      <c r="AI251" s="21"/>
      <c r="AJ251" s="21"/>
      <c r="AK251" s="22"/>
    </row>
    <row r="252" spans="1:37" s="15" customFormat="1" ht="21.75" hidden="1" customHeight="1" outlineLevel="2" x14ac:dyDescent="0.2">
      <c r="A252" s="6" t="s">
        <v>240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5">
        <v>2.4</v>
      </c>
      <c r="P252" s="5"/>
      <c r="Q252" s="5"/>
      <c r="R252" s="5"/>
      <c r="S252" s="5"/>
      <c r="T252" s="5"/>
      <c r="U252" s="5"/>
      <c r="V252" s="5">
        <v>2.4</v>
      </c>
      <c r="W252" s="5"/>
      <c r="X252" s="5"/>
      <c r="Y252" s="5"/>
      <c r="Z252" s="5"/>
      <c r="AA252" s="5"/>
      <c r="AB252" s="23"/>
      <c r="AC252" s="24"/>
      <c r="AD252" s="24"/>
      <c r="AE252" s="24"/>
      <c r="AF252" s="25"/>
      <c r="AG252" s="20"/>
      <c r="AH252" s="21"/>
      <c r="AI252" s="21"/>
      <c r="AJ252" s="21"/>
      <c r="AK252" s="22"/>
    </row>
    <row r="253" spans="1:37" s="15" customFormat="1" ht="21.75" hidden="1" customHeight="1" outlineLevel="2" x14ac:dyDescent="0.2">
      <c r="A253" s="6" t="s">
        <v>241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3">
        <v>5.12</v>
      </c>
      <c r="P253" s="3"/>
      <c r="Q253" s="3"/>
      <c r="R253" s="3"/>
      <c r="S253" s="3"/>
      <c r="T253" s="3"/>
      <c r="U253" s="3"/>
      <c r="V253" s="3">
        <v>4.96</v>
      </c>
      <c r="W253" s="3"/>
      <c r="X253" s="3"/>
      <c r="Y253" s="3"/>
      <c r="Z253" s="3"/>
      <c r="AA253" s="3"/>
      <c r="AB253" s="3">
        <v>0.16</v>
      </c>
      <c r="AC253" s="3"/>
      <c r="AD253" s="3"/>
      <c r="AE253" s="3"/>
      <c r="AF253" s="3"/>
      <c r="AG253" s="3">
        <v>0.16</v>
      </c>
      <c r="AH253" s="3"/>
      <c r="AI253" s="3"/>
      <c r="AJ253" s="3"/>
      <c r="AK253" s="3"/>
    </row>
    <row r="254" spans="1:37" s="15" customFormat="1" ht="21.75" hidden="1" customHeight="1" outlineLevel="2" x14ac:dyDescent="0.2">
      <c r="A254" s="6" t="s">
        <v>242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5">
        <v>4.5</v>
      </c>
      <c r="P254" s="5"/>
      <c r="Q254" s="5"/>
      <c r="R254" s="5"/>
      <c r="S254" s="5"/>
      <c r="T254" s="5"/>
      <c r="U254" s="5"/>
      <c r="V254" s="5">
        <v>4.5</v>
      </c>
      <c r="W254" s="5"/>
      <c r="X254" s="5"/>
      <c r="Y254" s="5"/>
      <c r="Z254" s="5"/>
      <c r="AA254" s="5"/>
      <c r="AB254" s="23"/>
      <c r="AC254" s="24"/>
      <c r="AD254" s="24"/>
      <c r="AE254" s="24"/>
      <c r="AF254" s="25"/>
      <c r="AG254" s="20"/>
      <c r="AH254" s="21"/>
      <c r="AI254" s="21"/>
      <c r="AJ254" s="21"/>
      <c r="AK254" s="22"/>
    </row>
    <row r="255" spans="1:37" s="15" customFormat="1" ht="21.75" hidden="1" customHeight="1" outlineLevel="2" x14ac:dyDescent="0.2">
      <c r="A255" s="6" t="s">
        <v>243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3">
        <v>1.25</v>
      </c>
      <c r="P255" s="3"/>
      <c r="Q255" s="3"/>
      <c r="R255" s="3"/>
      <c r="S255" s="3"/>
      <c r="T255" s="3"/>
      <c r="U255" s="3"/>
      <c r="V255" s="3">
        <v>1.25</v>
      </c>
      <c r="W255" s="3"/>
      <c r="X255" s="3"/>
      <c r="Y255" s="3"/>
      <c r="Z255" s="3"/>
      <c r="AA255" s="3"/>
      <c r="AB255" s="23"/>
      <c r="AC255" s="24"/>
      <c r="AD255" s="24"/>
      <c r="AE255" s="24"/>
      <c r="AF255" s="25"/>
      <c r="AG255" s="20"/>
      <c r="AH255" s="21"/>
      <c r="AI255" s="21"/>
      <c r="AJ255" s="21"/>
      <c r="AK255" s="22"/>
    </row>
    <row r="256" spans="1:37" s="15" customFormat="1" ht="10.5" hidden="1" customHeight="1" outlineLevel="2" x14ac:dyDescent="0.2">
      <c r="A256" s="6" t="s">
        <v>244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5">
        <v>4.5</v>
      </c>
      <c r="P256" s="5"/>
      <c r="Q256" s="5"/>
      <c r="R256" s="5"/>
      <c r="S256" s="5"/>
      <c r="T256" s="5"/>
      <c r="U256" s="5"/>
      <c r="V256" s="5">
        <v>1.2</v>
      </c>
      <c r="W256" s="5"/>
      <c r="X256" s="5"/>
      <c r="Y256" s="5"/>
      <c r="Z256" s="5"/>
      <c r="AA256" s="5"/>
      <c r="AB256" s="5">
        <v>3.3</v>
      </c>
      <c r="AC256" s="5"/>
      <c r="AD256" s="5"/>
      <c r="AE256" s="5"/>
      <c r="AF256" s="5"/>
      <c r="AG256" s="5">
        <v>3.3</v>
      </c>
      <c r="AH256" s="5"/>
      <c r="AI256" s="5"/>
      <c r="AJ256" s="5"/>
      <c r="AK256" s="5"/>
    </row>
    <row r="257" spans="1:37" s="15" customFormat="1" ht="10.5" hidden="1" customHeight="1" outlineLevel="2" x14ac:dyDescent="0.2">
      <c r="A257" s="6" t="s">
        <v>245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3">
        <v>4.08</v>
      </c>
      <c r="P257" s="3"/>
      <c r="Q257" s="3"/>
      <c r="R257" s="3"/>
      <c r="S257" s="3"/>
      <c r="T257" s="3"/>
      <c r="U257" s="3"/>
      <c r="V257" s="3">
        <v>4.08</v>
      </c>
      <c r="W257" s="3"/>
      <c r="X257" s="3"/>
      <c r="Y257" s="3"/>
      <c r="Z257" s="3"/>
      <c r="AA257" s="3"/>
      <c r="AB257" s="23"/>
      <c r="AC257" s="24"/>
      <c r="AD257" s="24"/>
      <c r="AE257" s="24"/>
      <c r="AF257" s="25"/>
      <c r="AG257" s="20"/>
      <c r="AH257" s="21"/>
      <c r="AI257" s="21"/>
      <c r="AJ257" s="21"/>
      <c r="AK257" s="22"/>
    </row>
    <row r="258" spans="1:37" s="15" customFormat="1" ht="10.5" hidden="1" customHeight="1" outlineLevel="2" x14ac:dyDescent="0.2">
      <c r="A258" s="6" t="s">
        <v>246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5">
        <v>0.6</v>
      </c>
      <c r="P258" s="5"/>
      <c r="Q258" s="5"/>
      <c r="R258" s="5"/>
      <c r="S258" s="5"/>
      <c r="T258" s="5"/>
      <c r="U258" s="5"/>
      <c r="V258" s="23"/>
      <c r="W258" s="24"/>
      <c r="X258" s="24"/>
      <c r="Y258" s="24"/>
      <c r="Z258" s="24"/>
      <c r="AA258" s="25"/>
      <c r="AB258" s="5">
        <v>0.6</v>
      </c>
      <c r="AC258" s="5"/>
      <c r="AD258" s="5"/>
      <c r="AE258" s="5"/>
      <c r="AF258" s="5"/>
      <c r="AG258" s="5">
        <v>0.6</v>
      </c>
      <c r="AH258" s="5"/>
      <c r="AI258" s="5"/>
      <c r="AJ258" s="5"/>
      <c r="AK258" s="5"/>
    </row>
    <row r="259" spans="1:37" s="15" customFormat="1" ht="10.5" hidden="1" customHeight="1" outlineLevel="1" collapsed="1" x14ac:dyDescent="0.2">
      <c r="A259" s="8" t="s">
        <v>247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10">
        <v>998.21</v>
      </c>
      <c r="P259" s="10"/>
      <c r="Q259" s="10"/>
      <c r="R259" s="10"/>
      <c r="S259" s="10"/>
      <c r="T259" s="10"/>
      <c r="U259" s="10"/>
      <c r="V259" s="10">
        <v>956.37</v>
      </c>
      <c r="W259" s="10"/>
      <c r="X259" s="10"/>
      <c r="Y259" s="10"/>
      <c r="Z259" s="10"/>
      <c r="AA259" s="10"/>
      <c r="AB259" s="10">
        <v>41.84</v>
      </c>
      <c r="AC259" s="10"/>
      <c r="AD259" s="10"/>
      <c r="AE259" s="10"/>
      <c r="AF259" s="10"/>
      <c r="AG259" s="41">
        <v>65</v>
      </c>
      <c r="AH259" s="41"/>
      <c r="AI259" s="41"/>
      <c r="AJ259" s="41"/>
      <c r="AK259" s="41"/>
    </row>
    <row r="260" spans="1:37" s="15" customFormat="1" ht="21.75" hidden="1" customHeight="1" outlineLevel="2" x14ac:dyDescent="0.2">
      <c r="A260" s="6" t="s">
        <v>248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3">
        <v>0.48</v>
      </c>
      <c r="P260" s="3"/>
      <c r="Q260" s="3"/>
      <c r="R260" s="3"/>
      <c r="S260" s="3"/>
      <c r="T260" s="3"/>
      <c r="U260" s="3"/>
      <c r="V260" s="3">
        <v>0.48</v>
      </c>
      <c r="W260" s="3"/>
      <c r="X260" s="3"/>
      <c r="Y260" s="3"/>
      <c r="Z260" s="3"/>
      <c r="AA260" s="3"/>
      <c r="AB260" s="23"/>
      <c r="AC260" s="24"/>
      <c r="AD260" s="24"/>
      <c r="AE260" s="24"/>
      <c r="AF260" s="25"/>
      <c r="AG260" s="20"/>
      <c r="AH260" s="21"/>
      <c r="AI260" s="21"/>
      <c r="AJ260" s="21"/>
      <c r="AK260" s="22"/>
    </row>
    <row r="261" spans="1:37" s="15" customFormat="1" ht="10.5" hidden="1" customHeight="1" outlineLevel="2" x14ac:dyDescent="0.2">
      <c r="A261" s="6" t="s">
        <v>249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5">
        <v>0.5</v>
      </c>
      <c r="P261" s="5"/>
      <c r="Q261" s="5"/>
      <c r="R261" s="5"/>
      <c r="S261" s="5"/>
      <c r="T261" s="5"/>
      <c r="U261" s="5"/>
      <c r="V261" s="5">
        <v>0.5</v>
      </c>
      <c r="W261" s="5"/>
      <c r="X261" s="5"/>
      <c r="Y261" s="5"/>
      <c r="Z261" s="5"/>
      <c r="AA261" s="5"/>
      <c r="AB261" s="23"/>
      <c r="AC261" s="24"/>
      <c r="AD261" s="24"/>
      <c r="AE261" s="24"/>
      <c r="AF261" s="25"/>
      <c r="AG261" s="20"/>
      <c r="AH261" s="21"/>
      <c r="AI261" s="21"/>
      <c r="AJ261" s="21"/>
      <c r="AK261" s="22"/>
    </row>
    <row r="262" spans="1:37" s="15" customFormat="1" ht="21.75" hidden="1" customHeight="1" outlineLevel="2" x14ac:dyDescent="0.2">
      <c r="A262" s="6" t="s">
        <v>250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3">
        <v>0.44</v>
      </c>
      <c r="P262" s="3"/>
      <c r="Q262" s="3"/>
      <c r="R262" s="3"/>
      <c r="S262" s="3"/>
      <c r="T262" s="3"/>
      <c r="U262" s="3"/>
      <c r="V262" s="3">
        <v>0.44</v>
      </c>
      <c r="W262" s="3"/>
      <c r="X262" s="3"/>
      <c r="Y262" s="3"/>
      <c r="Z262" s="3"/>
      <c r="AA262" s="3"/>
      <c r="AB262" s="23"/>
      <c r="AC262" s="24"/>
      <c r="AD262" s="24"/>
      <c r="AE262" s="24"/>
      <c r="AF262" s="25"/>
      <c r="AG262" s="20"/>
      <c r="AH262" s="21"/>
      <c r="AI262" s="21"/>
      <c r="AJ262" s="21"/>
      <c r="AK262" s="22"/>
    </row>
    <row r="263" spans="1:37" s="15" customFormat="1" ht="10.5" hidden="1" customHeight="1" outlineLevel="2" x14ac:dyDescent="0.2">
      <c r="A263" s="6" t="s">
        <v>251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2">
        <v>14</v>
      </c>
      <c r="P263" s="2"/>
      <c r="Q263" s="2"/>
      <c r="R263" s="2"/>
      <c r="S263" s="2"/>
      <c r="T263" s="2"/>
      <c r="U263" s="2"/>
      <c r="V263" s="2">
        <v>14</v>
      </c>
      <c r="W263" s="2"/>
      <c r="X263" s="2"/>
      <c r="Y263" s="2"/>
      <c r="Z263" s="2"/>
      <c r="AA263" s="2"/>
      <c r="AB263" s="23"/>
      <c r="AC263" s="24"/>
      <c r="AD263" s="24"/>
      <c r="AE263" s="24"/>
      <c r="AF263" s="25"/>
      <c r="AG263" s="20"/>
      <c r="AH263" s="21"/>
      <c r="AI263" s="21"/>
      <c r="AJ263" s="21"/>
      <c r="AK263" s="22"/>
    </row>
    <row r="264" spans="1:37" s="15" customFormat="1" ht="10.5" hidden="1" customHeight="1" outlineLevel="2" x14ac:dyDescent="0.2">
      <c r="A264" s="6" t="s">
        <v>252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5">
        <v>0.6</v>
      </c>
      <c r="P264" s="5"/>
      <c r="Q264" s="5"/>
      <c r="R264" s="5"/>
      <c r="S264" s="5"/>
      <c r="T264" s="5"/>
      <c r="U264" s="5"/>
      <c r="V264" s="5">
        <v>0.6</v>
      </c>
      <c r="W264" s="5"/>
      <c r="X264" s="5"/>
      <c r="Y264" s="5"/>
      <c r="Z264" s="5"/>
      <c r="AA264" s="5"/>
      <c r="AB264" s="23"/>
      <c r="AC264" s="24"/>
      <c r="AD264" s="24"/>
      <c r="AE264" s="24"/>
      <c r="AF264" s="25"/>
      <c r="AG264" s="20"/>
      <c r="AH264" s="21"/>
      <c r="AI264" s="21"/>
      <c r="AJ264" s="21"/>
      <c r="AK264" s="22"/>
    </row>
    <row r="265" spans="1:37" s="15" customFormat="1" ht="10.5" hidden="1" customHeight="1" outlineLevel="2" x14ac:dyDescent="0.2">
      <c r="A265" s="6" t="s">
        <v>253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5">
        <v>6.4</v>
      </c>
      <c r="P265" s="5"/>
      <c r="Q265" s="5"/>
      <c r="R265" s="5"/>
      <c r="S265" s="5"/>
      <c r="T265" s="5"/>
      <c r="U265" s="5"/>
      <c r="V265" s="5">
        <v>6.4</v>
      </c>
      <c r="W265" s="5"/>
      <c r="X265" s="5"/>
      <c r="Y265" s="5"/>
      <c r="Z265" s="5"/>
      <c r="AA265" s="5"/>
      <c r="AB265" s="23"/>
      <c r="AC265" s="24"/>
      <c r="AD265" s="24"/>
      <c r="AE265" s="24"/>
      <c r="AF265" s="25"/>
      <c r="AG265" s="20"/>
      <c r="AH265" s="21"/>
      <c r="AI265" s="21"/>
      <c r="AJ265" s="21"/>
      <c r="AK265" s="22"/>
    </row>
    <row r="266" spans="1:37" s="15" customFormat="1" ht="21.75" hidden="1" customHeight="1" outlineLevel="2" x14ac:dyDescent="0.2">
      <c r="A266" s="6" t="s">
        <v>254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3">
        <v>3.25</v>
      </c>
      <c r="P266" s="3"/>
      <c r="Q266" s="3"/>
      <c r="R266" s="3"/>
      <c r="S266" s="3"/>
      <c r="T266" s="3"/>
      <c r="U266" s="3"/>
      <c r="V266" s="3">
        <v>3.25</v>
      </c>
      <c r="W266" s="3"/>
      <c r="X266" s="3"/>
      <c r="Y266" s="3"/>
      <c r="Z266" s="3"/>
      <c r="AA266" s="3"/>
      <c r="AB266" s="23"/>
      <c r="AC266" s="24"/>
      <c r="AD266" s="24"/>
      <c r="AE266" s="24"/>
      <c r="AF266" s="25"/>
      <c r="AG266" s="20"/>
      <c r="AH266" s="21"/>
      <c r="AI266" s="21"/>
      <c r="AJ266" s="21"/>
      <c r="AK266" s="22"/>
    </row>
    <row r="267" spans="1:37" s="15" customFormat="1" ht="21.75" hidden="1" customHeight="1" outlineLevel="2" x14ac:dyDescent="0.2">
      <c r="A267" s="6" t="s">
        <v>255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2">
        <v>3</v>
      </c>
      <c r="P267" s="2"/>
      <c r="Q267" s="2"/>
      <c r="R267" s="2"/>
      <c r="S267" s="2"/>
      <c r="T267" s="2"/>
      <c r="U267" s="2"/>
      <c r="V267" s="2">
        <v>3</v>
      </c>
      <c r="W267" s="2"/>
      <c r="X267" s="2"/>
      <c r="Y267" s="2"/>
      <c r="Z267" s="2"/>
      <c r="AA267" s="2"/>
      <c r="AB267" s="23"/>
      <c r="AC267" s="24"/>
      <c r="AD267" s="24"/>
      <c r="AE267" s="24"/>
      <c r="AF267" s="25"/>
      <c r="AG267" s="20"/>
      <c r="AH267" s="21"/>
      <c r="AI267" s="21"/>
      <c r="AJ267" s="21"/>
      <c r="AK267" s="22"/>
    </row>
    <row r="268" spans="1:37" s="15" customFormat="1" ht="10.5" hidden="1" customHeight="1" outlineLevel="2" x14ac:dyDescent="0.2">
      <c r="A268" s="6" t="s">
        <v>256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2">
        <v>5</v>
      </c>
      <c r="P268" s="2"/>
      <c r="Q268" s="2"/>
      <c r="R268" s="2"/>
      <c r="S268" s="2"/>
      <c r="T268" s="2"/>
      <c r="U268" s="2"/>
      <c r="V268" s="2">
        <v>5</v>
      </c>
      <c r="W268" s="2"/>
      <c r="X268" s="2"/>
      <c r="Y268" s="2"/>
      <c r="Z268" s="2"/>
      <c r="AA268" s="2"/>
      <c r="AB268" s="23"/>
      <c r="AC268" s="24"/>
      <c r="AD268" s="24"/>
      <c r="AE268" s="24"/>
      <c r="AF268" s="25"/>
      <c r="AG268" s="20"/>
      <c r="AH268" s="21"/>
      <c r="AI268" s="21"/>
      <c r="AJ268" s="21"/>
      <c r="AK268" s="22"/>
    </row>
    <row r="269" spans="1:37" s="15" customFormat="1" ht="10.5" hidden="1" customHeight="1" outlineLevel="2" x14ac:dyDescent="0.2">
      <c r="A269" s="6" t="s">
        <v>257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3">
        <v>0.56000000000000005</v>
      </c>
      <c r="P269" s="3"/>
      <c r="Q269" s="3"/>
      <c r="R269" s="3"/>
      <c r="S269" s="3"/>
      <c r="T269" s="3"/>
      <c r="U269" s="3"/>
      <c r="V269" s="3">
        <v>0.56000000000000005</v>
      </c>
      <c r="W269" s="3"/>
      <c r="X269" s="3"/>
      <c r="Y269" s="3"/>
      <c r="Z269" s="3"/>
      <c r="AA269" s="3"/>
      <c r="AB269" s="23"/>
      <c r="AC269" s="24"/>
      <c r="AD269" s="24"/>
      <c r="AE269" s="24"/>
      <c r="AF269" s="25"/>
      <c r="AG269" s="20"/>
      <c r="AH269" s="21"/>
      <c r="AI269" s="21"/>
      <c r="AJ269" s="21"/>
      <c r="AK269" s="22"/>
    </row>
    <row r="270" spans="1:37" s="15" customFormat="1" ht="10.5" hidden="1" customHeight="1" outlineLevel="2" x14ac:dyDescent="0.2">
      <c r="A270" s="6" t="s">
        <v>258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3">
        <v>1.44</v>
      </c>
      <c r="P270" s="3"/>
      <c r="Q270" s="3"/>
      <c r="R270" s="3"/>
      <c r="S270" s="3"/>
      <c r="T270" s="3"/>
      <c r="U270" s="3"/>
      <c r="V270" s="3">
        <v>1.44</v>
      </c>
      <c r="W270" s="3"/>
      <c r="X270" s="3"/>
      <c r="Y270" s="3"/>
      <c r="Z270" s="3"/>
      <c r="AA270" s="3"/>
      <c r="AB270" s="23"/>
      <c r="AC270" s="24"/>
      <c r="AD270" s="24"/>
      <c r="AE270" s="24"/>
      <c r="AF270" s="25"/>
      <c r="AG270" s="20"/>
      <c r="AH270" s="21"/>
      <c r="AI270" s="21"/>
      <c r="AJ270" s="21"/>
      <c r="AK270" s="22"/>
    </row>
    <row r="271" spans="1:37" s="15" customFormat="1" ht="10.5" hidden="1" customHeight="1" outlineLevel="2" x14ac:dyDescent="0.2">
      <c r="A271" s="6" t="s">
        <v>259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3">
        <v>6.24</v>
      </c>
      <c r="P271" s="3"/>
      <c r="Q271" s="3"/>
      <c r="R271" s="3"/>
      <c r="S271" s="3"/>
      <c r="T271" s="3"/>
      <c r="U271" s="3"/>
      <c r="V271" s="3">
        <v>6.72</v>
      </c>
      <c r="W271" s="3"/>
      <c r="X271" s="3"/>
      <c r="Y271" s="3"/>
      <c r="Z271" s="3"/>
      <c r="AA271" s="3"/>
      <c r="AB271" s="3">
        <v>-0.48</v>
      </c>
      <c r="AC271" s="3"/>
      <c r="AD271" s="3"/>
      <c r="AE271" s="3"/>
      <c r="AF271" s="3"/>
      <c r="AG271" s="20"/>
      <c r="AH271" s="21"/>
      <c r="AI271" s="21"/>
      <c r="AJ271" s="21"/>
      <c r="AK271" s="22"/>
    </row>
    <row r="272" spans="1:37" s="15" customFormat="1" ht="10.5" hidden="1" customHeight="1" outlineLevel="2" x14ac:dyDescent="0.2">
      <c r="A272" s="6" t="s">
        <v>260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3">
        <v>2.16</v>
      </c>
      <c r="P272" s="3"/>
      <c r="Q272" s="3"/>
      <c r="R272" s="3"/>
      <c r="S272" s="3"/>
      <c r="T272" s="3"/>
      <c r="U272" s="3"/>
      <c r="V272" s="3">
        <v>2.16</v>
      </c>
      <c r="W272" s="3"/>
      <c r="X272" s="3"/>
      <c r="Y272" s="3"/>
      <c r="Z272" s="3"/>
      <c r="AA272" s="3"/>
      <c r="AB272" s="23"/>
      <c r="AC272" s="24"/>
      <c r="AD272" s="24"/>
      <c r="AE272" s="24"/>
      <c r="AF272" s="25"/>
      <c r="AG272" s="20"/>
      <c r="AH272" s="21"/>
      <c r="AI272" s="21"/>
      <c r="AJ272" s="21"/>
      <c r="AK272" s="22"/>
    </row>
    <row r="273" spans="1:37" s="15" customFormat="1" ht="21.75" hidden="1" customHeight="1" outlineLevel="2" x14ac:dyDescent="0.2">
      <c r="A273" s="6" t="s">
        <v>261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3">
        <v>14.64</v>
      </c>
      <c r="P273" s="3"/>
      <c r="Q273" s="3"/>
      <c r="R273" s="3"/>
      <c r="S273" s="3"/>
      <c r="T273" s="3"/>
      <c r="U273" s="3"/>
      <c r="V273" s="3">
        <v>14.64</v>
      </c>
      <c r="W273" s="3"/>
      <c r="X273" s="3"/>
      <c r="Y273" s="3"/>
      <c r="Z273" s="3"/>
      <c r="AA273" s="3"/>
      <c r="AB273" s="23"/>
      <c r="AC273" s="24"/>
      <c r="AD273" s="24"/>
      <c r="AE273" s="24"/>
      <c r="AF273" s="25"/>
      <c r="AG273" s="20"/>
      <c r="AH273" s="21"/>
      <c r="AI273" s="21"/>
      <c r="AJ273" s="21"/>
      <c r="AK273" s="22"/>
    </row>
    <row r="274" spans="1:37" s="15" customFormat="1" ht="21.75" hidden="1" customHeight="1" outlineLevel="2" x14ac:dyDescent="0.2">
      <c r="A274" s="6" t="s">
        <v>262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3">
        <v>2.88</v>
      </c>
      <c r="P274" s="3"/>
      <c r="Q274" s="3"/>
      <c r="R274" s="3"/>
      <c r="S274" s="3"/>
      <c r="T274" s="3"/>
      <c r="U274" s="3"/>
      <c r="V274" s="3">
        <v>3.84</v>
      </c>
      <c r="W274" s="3"/>
      <c r="X274" s="3"/>
      <c r="Y274" s="3"/>
      <c r="Z274" s="3"/>
      <c r="AA274" s="3"/>
      <c r="AB274" s="3">
        <v>-0.96</v>
      </c>
      <c r="AC274" s="3"/>
      <c r="AD274" s="3"/>
      <c r="AE274" s="3"/>
      <c r="AF274" s="3"/>
      <c r="AG274" s="20"/>
      <c r="AH274" s="21"/>
      <c r="AI274" s="21"/>
      <c r="AJ274" s="21"/>
      <c r="AK274" s="22"/>
    </row>
    <row r="275" spans="1:37" s="15" customFormat="1" ht="10.5" hidden="1" customHeight="1" outlineLevel="2" x14ac:dyDescent="0.2">
      <c r="A275" s="6" t="s">
        <v>263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5">
        <v>1.2</v>
      </c>
      <c r="P275" s="5"/>
      <c r="Q275" s="5"/>
      <c r="R275" s="5"/>
      <c r="S275" s="5"/>
      <c r="T275" s="5"/>
      <c r="U275" s="5"/>
      <c r="V275" s="5">
        <v>1.2</v>
      </c>
      <c r="W275" s="5"/>
      <c r="X275" s="5"/>
      <c r="Y275" s="5"/>
      <c r="Z275" s="5"/>
      <c r="AA275" s="5"/>
      <c r="AB275" s="23"/>
      <c r="AC275" s="24"/>
      <c r="AD275" s="24"/>
      <c r="AE275" s="24"/>
      <c r="AF275" s="25"/>
      <c r="AG275" s="20"/>
      <c r="AH275" s="21"/>
      <c r="AI275" s="21"/>
      <c r="AJ275" s="21"/>
      <c r="AK275" s="22"/>
    </row>
    <row r="276" spans="1:37" s="15" customFormat="1" ht="21.75" hidden="1" customHeight="1" outlineLevel="2" x14ac:dyDescent="0.2">
      <c r="A276" s="6" t="s">
        <v>264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5">
        <v>1.4</v>
      </c>
      <c r="P276" s="5"/>
      <c r="Q276" s="5"/>
      <c r="R276" s="5"/>
      <c r="S276" s="5"/>
      <c r="T276" s="5"/>
      <c r="U276" s="5"/>
      <c r="V276" s="5">
        <v>1.4</v>
      </c>
      <c r="W276" s="5"/>
      <c r="X276" s="5"/>
      <c r="Y276" s="5"/>
      <c r="Z276" s="5"/>
      <c r="AA276" s="5"/>
      <c r="AB276" s="23"/>
      <c r="AC276" s="24"/>
      <c r="AD276" s="24"/>
      <c r="AE276" s="24"/>
      <c r="AF276" s="25"/>
      <c r="AG276" s="20"/>
      <c r="AH276" s="21"/>
      <c r="AI276" s="21"/>
      <c r="AJ276" s="21"/>
      <c r="AK276" s="22"/>
    </row>
    <row r="277" spans="1:37" s="15" customFormat="1" ht="10.5" hidden="1" customHeight="1" outlineLevel="2" x14ac:dyDescent="0.2">
      <c r="A277" s="6" t="s">
        <v>265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2">
        <v>16</v>
      </c>
      <c r="P277" s="2"/>
      <c r="Q277" s="2"/>
      <c r="R277" s="2"/>
      <c r="S277" s="2"/>
      <c r="T277" s="2"/>
      <c r="U277" s="2"/>
      <c r="V277" s="5">
        <v>16.5</v>
      </c>
      <c r="W277" s="5"/>
      <c r="X277" s="5"/>
      <c r="Y277" s="5"/>
      <c r="Z277" s="5"/>
      <c r="AA277" s="5"/>
      <c r="AB277" s="5">
        <v>-0.5</v>
      </c>
      <c r="AC277" s="5"/>
      <c r="AD277" s="5"/>
      <c r="AE277" s="5"/>
      <c r="AF277" s="5"/>
      <c r="AG277" s="20"/>
      <c r="AH277" s="21"/>
      <c r="AI277" s="21"/>
      <c r="AJ277" s="21"/>
      <c r="AK277" s="22"/>
    </row>
    <row r="278" spans="1:37" s="15" customFormat="1" ht="10.5" hidden="1" customHeight="1" outlineLevel="2" x14ac:dyDescent="0.2">
      <c r="A278" s="6" t="s">
        <v>266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5">
        <v>10.5</v>
      </c>
      <c r="P278" s="5"/>
      <c r="Q278" s="5"/>
      <c r="R278" s="5"/>
      <c r="S278" s="5"/>
      <c r="T278" s="5"/>
      <c r="U278" s="5"/>
      <c r="V278" s="5">
        <v>10.5</v>
      </c>
      <c r="W278" s="5"/>
      <c r="X278" s="5"/>
      <c r="Y278" s="5"/>
      <c r="Z278" s="5"/>
      <c r="AA278" s="5"/>
      <c r="AB278" s="23"/>
      <c r="AC278" s="24"/>
      <c r="AD278" s="24"/>
      <c r="AE278" s="24"/>
      <c r="AF278" s="25"/>
      <c r="AG278" s="20"/>
      <c r="AH278" s="21"/>
      <c r="AI278" s="21"/>
      <c r="AJ278" s="21"/>
      <c r="AK278" s="22"/>
    </row>
    <row r="279" spans="1:37" s="15" customFormat="1" ht="21.75" hidden="1" customHeight="1" outlineLevel="2" x14ac:dyDescent="0.2">
      <c r="A279" s="6" t="s">
        <v>267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5">
        <v>11.5</v>
      </c>
      <c r="P279" s="5"/>
      <c r="Q279" s="5"/>
      <c r="R279" s="5"/>
      <c r="S279" s="5"/>
      <c r="T279" s="5"/>
      <c r="U279" s="5"/>
      <c r="V279" s="5">
        <v>11.5</v>
      </c>
      <c r="W279" s="5"/>
      <c r="X279" s="5"/>
      <c r="Y279" s="5"/>
      <c r="Z279" s="5"/>
      <c r="AA279" s="5"/>
      <c r="AB279" s="23"/>
      <c r="AC279" s="24"/>
      <c r="AD279" s="24"/>
      <c r="AE279" s="24"/>
      <c r="AF279" s="25"/>
      <c r="AG279" s="20"/>
      <c r="AH279" s="21"/>
      <c r="AI279" s="21"/>
      <c r="AJ279" s="21"/>
      <c r="AK279" s="22"/>
    </row>
    <row r="280" spans="1:37" s="15" customFormat="1" ht="10.5" hidden="1" customHeight="1" outlineLevel="2" x14ac:dyDescent="0.2">
      <c r="A280" s="6" t="s">
        <v>268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3">
        <v>5.75</v>
      </c>
      <c r="P280" s="3"/>
      <c r="Q280" s="3"/>
      <c r="R280" s="3"/>
      <c r="S280" s="3"/>
      <c r="T280" s="3"/>
      <c r="U280" s="3"/>
      <c r="V280" s="3">
        <v>5.75</v>
      </c>
      <c r="W280" s="3"/>
      <c r="X280" s="3"/>
      <c r="Y280" s="3"/>
      <c r="Z280" s="3"/>
      <c r="AA280" s="3"/>
      <c r="AB280" s="23"/>
      <c r="AC280" s="24"/>
      <c r="AD280" s="24"/>
      <c r="AE280" s="24"/>
      <c r="AF280" s="25"/>
      <c r="AG280" s="20"/>
      <c r="AH280" s="21"/>
      <c r="AI280" s="21"/>
      <c r="AJ280" s="21"/>
      <c r="AK280" s="22"/>
    </row>
    <row r="281" spans="1:37" s="15" customFormat="1" ht="10.5" hidden="1" customHeight="1" outlineLevel="2" x14ac:dyDescent="0.2">
      <c r="A281" s="6" t="s">
        <v>269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2">
        <v>6</v>
      </c>
      <c r="P281" s="2"/>
      <c r="Q281" s="2"/>
      <c r="R281" s="2"/>
      <c r="S281" s="2"/>
      <c r="T281" s="2"/>
      <c r="U281" s="2"/>
      <c r="V281" s="2">
        <v>6</v>
      </c>
      <c r="W281" s="2"/>
      <c r="X281" s="2"/>
      <c r="Y281" s="2"/>
      <c r="Z281" s="2"/>
      <c r="AA281" s="2"/>
      <c r="AB281" s="23"/>
      <c r="AC281" s="24"/>
      <c r="AD281" s="24"/>
      <c r="AE281" s="24"/>
      <c r="AF281" s="25"/>
      <c r="AG281" s="20"/>
      <c r="AH281" s="21"/>
      <c r="AI281" s="21"/>
      <c r="AJ281" s="21"/>
      <c r="AK281" s="22"/>
    </row>
    <row r="282" spans="1:37" s="15" customFormat="1" ht="10.5" hidden="1" customHeight="1" outlineLevel="2" x14ac:dyDescent="0.2">
      <c r="A282" s="6" t="s">
        <v>270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2">
        <v>59</v>
      </c>
      <c r="P282" s="2"/>
      <c r="Q282" s="2"/>
      <c r="R282" s="2"/>
      <c r="S282" s="2"/>
      <c r="T282" s="2"/>
      <c r="U282" s="2"/>
      <c r="V282" s="2">
        <v>60</v>
      </c>
      <c r="W282" s="2"/>
      <c r="X282" s="2"/>
      <c r="Y282" s="2"/>
      <c r="Z282" s="2"/>
      <c r="AA282" s="2"/>
      <c r="AB282" s="2">
        <v>-1</v>
      </c>
      <c r="AC282" s="2"/>
      <c r="AD282" s="2"/>
      <c r="AE282" s="2"/>
      <c r="AF282" s="2"/>
      <c r="AG282" s="20"/>
      <c r="AH282" s="21"/>
      <c r="AI282" s="21"/>
      <c r="AJ282" s="21"/>
      <c r="AK282" s="22"/>
    </row>
    <row r="283" spans="1:37" s="15" customFormat="1" ht="10.5" hidden="1" customHeight="1" outlineLevel="2" x14ac:dyDescent="0.2">
      <c r="A283" s="6" t="s">
        <v>271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3">
        <v>2.76</v>
      </c>
      <c r="P283" s="3"/>
      <c r="Q283" s="3"/>
      <c r="R283" s="3"/>
      <c r="S283" s="3"/>
      <c r="T283" s="3"/>
      <c r="U283" s="3"/>
      <c r="V283" s="3">
        <v>2.76</v>
      </c>
      <c r="W283" s="3"/>
      <c r="X283" s="3"/>
      <c r="Y283" s="3"/>
      <c r="Z283" s="3"/>
      <c r="AA283" s="3"/>
      <c r="AB283" s="23"/>
      <c r="AC283" s="24"/>
      <c r="AD283" s="24"/>
      <c r="AE283" s="24"/>
      <c r="AF283" s="25"/>
      <c r="AG283" s="20"/>
      <c r="AH283" s="21"/>
      <c r="AI283" s="21"/>
      <c r="AJ283" s="21"/>
      <c r="AK283" s="22"/>
    </row>
    <row r="284" spans="1:37" s="15" customFormat="1" ht="21.75" hidden="1" customHeight="1" outlineLevel="2" x14ac:dyDescent="0.2">
      <c r="A284" s="6" t="s">
        <v>272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2">
        <v>28</v>
      </c>
      <c r="P284" s="2"/>
      <c r="Q284" s="2"/>
      <c r="R284" s="2"/>
      <c r="S284" s="2"/>
      <c r="T284" s="2"/>
      <c r="U284" s="2"/>
      <c r="V284" s="5">
        <v>32.200000000000003</v>
      </c>
      <c r="W284" s="5"/>
      <c r="X284" s="5"/>
      <c r="Y284" s="5"/>
      <c r="Z284" s="5"/>
      <c r="AA284" s="5"/>
      <c r="AB284" s="5">
        <v>-4.2</v>
      </c>
      <c r="AC284" s="5"/>
      <c r="AD284" s="5"/>
      <c r="AE284" s="5"/>
      <c r="AF284" s="5"/>
      <c r="AG284" s="20"/>
      <c r="AH284" s="21"/>
      <c r="AI284" s="21"/>
      <c r="AJ284" s="21"/>
      <c r="AK284" s="22"/>
    </row>
    <row r="285" spans="1:37" s="15" customFormat="1" ht="10.5" hidden="1" customHeight="1" outlineLevel="2" x14ac:dyDescent="0.2">
      <c r="A285" s="6" t="s">
        <v>273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5">
        <v>5.6</v>
      </c>
      <c r="P285" s="5"/>
      <c r="Q285" s="5"/>
      <c r="R285" s="5"/>
      <c r="S285" s="5"/>
      <c r="T285" s="5"/>
      <c r="U285" s="5"/>
      <c r="V285" s="23"/>
      <c r="W285" s="24"/>
      <c r="X285" s="24"/>
      <c r="Y285" s="24"/>
      <c r="Z285" s="24"/>
      <c r="AA285" s="25"/>
      <c r="AB285" s="5">
        <v>5.6</v>
      </c>
      <c r="AC285" s="5"/>
      <c r="AD285" s="5"/>
      <c r="AE285" s="5"/>
      <c r="AF285" s="5"/>
      <c r="AG285" s="5">
        <v>5.6</v>
      </c>
      <c r="AH285" s="5"/>
      <c r="AI285" s="5"/>
      <c r="AJ285" s="5"/>
      <c r="AK285" s="5"/>
    </row>
    <row r="286" spans="1:37" s="15" customFormat="1" ht="21.75" hidden="1" customHeight="1" outlineLevel="2" x14ac:dyDescent="0.2">
      <c r="A286" s="6" t="s">
        <v>274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5">
        <v>43.4</v>
      </c>
      <c r="P286" s="5"/>
      <c r="Q286" s="5"/>
      <c r="R286" s="5"/>
      <c r="S286" s="5"/>
      <c r="T286" s="5"/>
      <c r="U286" s="5"/>
      <c r="V286" s="5">
        <v>46.2</v>
      </c>
      <c r="W286" s="5"/>
      <c r="X286" s="5"/>
      <c r="Y286" s="5"/>
      <c r="Z286" s="5"/>
      <c r="AA286" s="5"/>
      <c r="AB286" s="5">
        <v>-2.8</v>
      </c>
      <c r="AC286" s="5"/>
      <c r="AD286" s="5"/>
      <c r="AE286" s="5"/>
      <c r="AF286" s="5"/>
      <c r="AG286" s="20"/>
      <c r="AH286" s="21"/>
      <c r="AI286" s="21"/>
      <c r="AJ286" s="21"/>
      <c r="AK286" s="22"/>
    </row>
    <row r="287" spans="1:37" s="15" customFormat="1" ht="21.75" hidden="1" customHeight="1" outlineLevel="2" x14ac:dyDescent="0.2">
      <c r="A287" s="6" t="s">
        <v>275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5">
        <v>4.2</v>
      </c>
      <c r="P287" s="5"/>
      <c r="Q287" s="5"/>
      <c r="R287" s="5"/>
      <c r="S287" s="5"/>
      <c r="T287" s="5"/>
      <c r="U287" s="5"/>
      <c r="V287" s="23"/>
      <c r="W287" s="24"/>
      <c r="X287" s="24"/>
      <c r="Y287" s="24"/>
      <c r="Z287" s="24"/>
      <c r="AA287" s="25"/>
      <c r="AB287" s="5">
        <v>4.2</v>
      </c>
      <c r="AC287" s="5"/>
      <c r="AD287" s="5"/>
      <c r="AE287" s="5"/>
      <c r="AF287" s="5"/>
      <c r="AG287" s="5">
        <v>4.2</v>
      </c>
      <c r="AH287" s="5"/>
      <c r="AI287" s="5"/>
      <c r="AJ287" s="5"/>
      <c r="AK287" s="5"/>
    </row>
    <row r="288" spans="1:37" s="15" customFormat="1" ht="21.75" hidden="1" customHeight="1" outlineLevel="2" x14ac:dyDescent="0.2">
      <c r="A288" s="6" t="s">
        <v>276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2">
        <v>15</v>
      </c>
      <c r="P288" s="2"/>
      <c r="Q288" s="2"/>
      <c r="R288" s="2"/>
      <c r="S288" s="2"/>
      <c r="T288" s="2"/>
      <c r="U288" s="2"/>
      <c r="V288" s="2">
        <v>5</v>
      </c>
      <c r="W288" s="2"/>
      <c r="X288" s="2"/>
      <c r="Y288" s="2"/>
      <c r="Z288" s="2"/>
      <c r="AA288" s="2"/>
      <c r="AB288" s="2">
        <v>10</v>
      </c>
      <c r="AC288" s="2"/>
      <c r="AD288" s="2"/>
      <c r="AE288" s="2"/>
      <c r="AF288" s="2"/>
      <c r="AG288" s="2">
        <v>10</v>
      </c>
      <c r="AH288" s="2"/>
      <c r="AI288" s="2"/>
      <c r="AJ288" s="2"/>
      <c r="AK288" s="2"/>
    </row>
    <row r="289" spans="1:37" s="15" customFormat="1" ht="21.75" hidden="1" customHeight="1" outlineLevel="2" x14ac:dyDescent="0.2">
      <c r="A289" s="6" t="s">
        <v>277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2">
        <v>2</v>
      </c>
      <c r="P289" s="2"/>
      <c r="Q289" s="2"/>
      <c r="R289" s="2"/>
      <c r="S289" s="2"/>
      <c r="T289" s="2"/>
      <c r="U289" s="2"/>
      <c r="V289" s="2">
        <v>2</v>
      </c>
      <c r="W289" s="2"/>
      <c r="X289" s="2"/>
      <c r="Y289" s="2"/>
      <c r="Z289" s="2"/>
      <c r="AA289" s="2"/>
      <c r="AB289" s="23"/>
      <c r="AC289" s="24"/>
      <c r="AD289" s="24"/>
      <c r="AE289" s="24"/>
      <c r="AF289" s="25"/>
      <c r="AG289" s="20"/>
      <c r="AH289" s="21"/>
      <c r="AI289" s="21"/>
      <c r="AJ289" s="21"/>
      <c r="AK289" s="22"/>
    </row>
    <row r="290" spans="1:37" s="15" customFormat="1" ht="21.75" hidden="1" customHeight="1" outlineLevel="2" x14ac:dyDescent="0.2">
      <c r="A290" s="6" t="s">
        <v>278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5">
        <v>125.3</v>
      </c>
      <c r="P290" s="5"/>
      <c r="Q290" s="5"/>
      <c r="R290" s="5"/>
      <c r="S290" s="5"/>
      <c r="T290" s="5"/>
      <c r="U290" s="5"/>
      <c r="V290" s="5">
        <v>125.3</v>
      </c>
      <c r="W290" s="5"/>
      <c r="X290" s="5"/>
      <c r="Y290" s="5"/>
      <c r="Z290" s="5"/>
      <c r="AA290" s="5"/>
      <c r="AB290" s="23"/>
      <c r="AC290" s="24"/>
      <c r="AD290" s="24"/>
      <c r="AE290" s="24"/>
      <c r="AF290" s="25"/>
      <c r="AG290" s="20"/>
      <c r="AH290" s="21"/>
      <c r="AI290" s="21"/>
      <c r="AJ290" s="21"/>
      <c r="AK290" s="22"/>
    </row>
    <row r="291" spans="1:37" s="15" customFormat="1" ht="21.75" hidden="1" customHeight="1" outlineLevel="2" x14ac:dyDescent="0.2">
      <c r="A291" s="6" t="s">
        <v>279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5">
        <v>8.8000000000000007</v>
      </c>
      <c r="P291" s="5"/>
      <c r="Q291" s="5"/>
      <c r="R291" s="5"/>
      <c r="S291" s="5"/>
      <c r="T291" s="5"/>
      <c r="U291" s="5"/>
      <c r="V291" s="5">
        <v>8.8000000000000007</v>
      </c>
      <c r="W291" s="5"/>
      <c r="X291" s="5"/>
      <c r="Y291" s="5"/>
      <c r="Z291" s="5"/>
      <c r="AA291" s="5"/>
      <c r="AB291" s="23"/>
      <c r="AC291" s="24"/>
      <c r="AD291" s="24"/>
      <c r="AE291" s="24"/>
      <c r="AF291" s="25"/>
      <c r="AG291" s="20"/>
      <c r="AH291" s="21"/>
      <c r="AI291" s="21"/>
      <c r="AJ291" s="21"/>
      <c r="AK291" s="22"/>
    </row>
    <row r="292" spans="1:37" s="15" customFormat="1" ht="21.75" hidden="1" customHeight="1" outlineLevel="2" x14ac:dyDescent="0.2">
      <c r="A292" s="6" t="s">
        <v>280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5">
        <v>67.900000000000006</v>
      </c>
      <c r="P292" s="5"/>
      <c r="Q292" s="5"/>
      <c r="R292" s="5"/>
      <c r="S292" s="5"/>
      <c r="T292" s="5"/>
      <c r="U292" s="5"/>
      <c r="V292" s="5">
        <v>67.900000000000006</v>
      </c>
      <c r="W292" s="5"/>
      <c r="X292" s="5"/>
      <c r="Y292" s="5"/>
      <c r="Z292" s="5"/>
      <c r="AA292" s="5"/>
      <c r="AB292" s="23"/>
      <c r="AC292" s="24"/>
      <c r="AD292" s="24"/>
      <c r="AE292" s="24"/>
      <c r="AF292" s="25"/>
      <c r="AG292" s="20"/>
      <c r="AH292" s="21"/>
      <c r="AI292" s="21"/>
      <c r="AJ292" s="21"/>
      <c r="AK292" s="22"/>
    </row>
    <row r="293" spans="1:37" s="15" customFormat="1" ht="21.75" hidden="1" customHeight="1" outlineLevel="2" x14ac:dyDescent="0.2">
      <c r="A293" s="6" t="s">
        <v>281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5">
        <v>53.6</v>
      </c>
      <c r="P293" s="5"/>
      <c r="Q293" s="5"/>
      <c r="R293" s="5"/>
      <c r="S293" s="5"/>
      <c r="T293" s="5"/>
      <c r="U293" s="5"/>
      <c r="V293" s="5">
        <v>53.6</v>
      </c>
      <c r="W293" s="5"/>
      <c r="X293" s="5"/>
      <c r="Y293" s="5"/>
      <c r="Z293" s="5"/>
      <c r="AA293" s="5"/>
      <c r="AB293" s="23"/>
      <c r="AC293" s="24"/>
      <c r="AD293" s="24"/>
      <c r="AE293" s="24"/>
      <c r="AF293" s="25"/>
      <c r="AG293" s="20"/>
      <c r="AH293" s="21"/>
      <c r="AI293" s="21"/>
      <c r="AJ293" s="21"/>
      <c r="AK293" s="22"/>
    </row>
    <row r="294" spans="1:37" s="15" customFormat="1" ht="10.5" hidden="1" customHeight="1" outlineLevel="2" x14ac:dyDescent="0.2">
      <c r="A294" s="6" t="s">
        <v>282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2">
        <v>65</v>
      </c>
      <c r="P294" s="2"/>
      <c r="Q294" s="2"/>
      <c r="R294" s="2"/>
      <c r="S294" s="2"/>
      <c r="T294" s="2"/>
      <c r="U294" s="2"/>
      <c r="V294" s="2">
        <v>74</v>
      </c>
      <c r="W294" s="2"/>
      <c r="X294" s="2"/>
      <c r="Y294" s="2"/>
      <c r="Z294" s="2"/>
      <c r="AA294" s="2"/>
      <c r="AB294" s="2">
        <v>-9</v>
      </c>
      <c r="AC294" s="2"/>
      <c r="AD294" s="2"/>
      <c r="AE294" s="2"/>
      <c r="AF294" s="2"/>
      <c r="AG294" s="2">
        <v>1</v>
      </c>
      <c r="AH294" s="2"/>
      <c r="AI294" s="2"/>
      <c r="AJ294" s="2"/>
      <c r="AK294" s="2"/>
    </row>
    <row r="295" spans="1:37" s="15" customFormat="1" ht="21.75" hidden="1" customHeight="1" outlineLevel="2" x14ac:dyDescent="0.2">
      <c r="A295" s="6" t="s">
        <v>283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5">
        <v>21.6</v>
      </c>
      <c r="P295" s="5"/>
      <c r="Q295" s="5"/>
      <c r="R295" s="5"/>
      <c r="S295" s="5"/>
      <c r="T295" s="5"/>
      <c r="U295" s="5"/>
      <c r="V295" s="5">
        <v>2.7</v>
      </c>
      <c r="W295" s="5"/>
      <c r="X295" s="5"/>
      <c r="Y295" s="5"/>
      <c r="Z295" s="5"/>
      <c r="AA295" s="5"/>
      <c r="AB295" s="5">
        <v>18.899999999999999</v>
      </c>
      <c r="AC295" s="5"/>
      <c r="AD295" s="5"/>
      <c r="AE295" s="5"/>
      <c r="AF295" s="5"/>
      <c r="AG295" s="5">
        <v>18.899999999999999</v>
      </c>
      <c r="AH295" s="5"/>
      <c r="AI295" s="5"/>
      <c r="AJ295" s="5"/>
      <c r="AK295" s="5"/>
    </row>
    <row r="296" spans="1:37" s="15" customFormat="1" ht="10.5" hidden="1" customHeight="1" outlineLevel="2" x14ac:dyDescent="0.2">
      <c r="A296" s="6" t="s">
        <v>284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2">
        <v>25</v>
      </c>
      <c r="P296" s="2"/>
      <c r="Q296" s="2"/>
      <c r="R296" s="2"/>
      <c r="S296" s="2"/>
      <c r="T296" s="2"/>
      <c r="U296" s="2"/>
      <c r="V296" s="23"/>
      <c r="W296" s="24"/>
      <c r="X296" s="24"/>
      <c r="Y296" s="24"/>
      <c r="Z296" s="24"/>
      <c r="AA296" s="25"/>
      <c r="AB296" s="2">
        <v>25</v>
      </c>
      <c r="AC296" s="2"/>
      <c r="AD296" s="2"/>
      <c r="AE296" s="2"/>
      <c r="AF296" s="2"/>
      <c r="AG296" s="2">
        <v>25</v>
      </c>
      <c r="AH296" s="2"/>
      <c r="AI296" s="2"/>
      <c r="AJ296" s="2"/>
      <c r="AK296" s="2"/>
    </row>
    <row r="297" spans="1:37" s="15" customFormat="1" ht="10.5" hidden="1" customHeight="1" outlineLevel="2" x14ac:dyDescent="0.2">
      <c r="A297" s="6" t="s">
        <v>285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2">
        <v>137</v>
      </c>
      <c r="P297" s="2"/>
      <c r="Q297" s="2"/>
      <c r="R297" s="2"/>
      <c r="S297" s="2"/>
      <c r="T297" s="2"/>
      <c r="U297" s="2"/>
      <c r="V297" s="2">
        <v>140</v>
      </c>
      <c r="W297" s="2"/>
      <c r="X297" s="2"/>
      <c r="Y297" s="2"/>
      <c r="Z297" s="2"/>
      <c r="AA297" s="2"/>
      <c r="AB297" s="2">
        <v>-3</v>
      </c>
      <c r="AC297" s="2"/>
      <c r="AD297" s="2"/>
      <c r="AE297" s="2"/>
      <c r="AF297" s="2"/>
      <c r="AG297" s="20"/>
      <c r="AH297" s="21"/>
      <c r="AI297" s="21"/>
      <c r="AJ297" s="21"/>
      <c r="AK297" s="22"/>
    </row>
    <row r="298" spans="1:37" s="15" customFormat="1" ht="10.5" hidden="1" customHeight="1" outlineLevel="2" x14ac:dyDescent="0.2">
      <c r="A298" s="6" t="s">
        <v>286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5">
        <v>3.6</v>
      </c>
      <c r="P298" s="5"/>
      <c r="Q298" s="5"/>
      <c r="R298" s="5"/>
      <c r="S298" s="5"/>
      <c r="T298" s="5"/>
      <c r="U298" s="5"/>
      <c r="V298" s="5">
        <v>3.6</v>
      </c>
      <c r="W298" s="5"/>
      <c r="X298" s="5"/>
      <c r="Y298" s="5"/>
      <c r="Z298" s="5"/>
      <c r="AA298" s="5"/>
      <c r="AB298" s="23"/>
      <c r="AC298" s="24"/>
      <c r="AD298" s="24"/>
      <c r="AE298" s="24"/>
      <c r="AF298" s="25"/>
      <c r="AG298" s="20"/>
      <c r="AH298" s="21"/>
      <c r="AI298" s="21"/>
      <c r="AJ298" s="21"/>
      <c r="AK298" s="22"/>
    </row>
    <row r="299" spans="1:37" s="15" customFormat="1" ht="10.5" hidden="1" customHeight="1" outlineLevel="2" x14ac:dyDescent="0.2">
      <c r="A299" s="6" t="s">
        <v>287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3">
        <v>7.56</v>
      </c>
      <c r="P299" s="3"/>
      <c r="Q299" s="3"/>
      <c r="R299" s="3"/>
      <c r="S299" s="3"/>
      <c r="T299" s="3"/>
      <c r="U299" s="3"/>
      <c r="V299" s="3">
        <v>7.56</v>
      </c>
      <c r="W299" s="3"/>
      <c r="X299" s="3"/>
      <c r="Y299" s="3"/>
      <c r="Z299" s="3"/>
      <c r="AA299" s="3"/>
      <c r="AB299" s="23"/>
      <c r="AC299" s="24"/>
      <c r="AD299" s="24"/>
      <c r="AE299" s="24"/>
      <c r="AF299" s="25"/>
      <c r="AG299" s="20"/>
      <c r="AH299" s="21"/>
      <c r="AI299" s="21"/>
      <c r="AJ299" s="21"/>
      <c r="AK299" s="22"/>
    </row>
    <row r="300" spans="1:37" s="15" customFormat="1" ht="21.75" hidden="1" customHeight="1" outlineLevel="2" x14ac:dyDescent="0.2">
      <c r="A300" s="6" t="s">
        <v>288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5">
        <v>1.5</v>
      </c>
      <c r="P300" s="5"/>
      <c r="Q300" s="5"/>
      <c r="R300" s="5"/>
      <c r="S300" s="5"/>
      <c r="T300" s="5"/>
      <c r="U300" s="5"/>
      <c r="V300" s="5">
        <v>1.5</v>
      </c>
      <c r="W300" s="5"/>
      <c r="X300" s="5"/>
      <c r="Y300" s="5"/>
      <c r="Z300" s="5"/>
      <c r="AA300" s="5"/>
      <c r="AB300" s="23"/>
      <c r="AC300" s="24"/>
      <c r="AD300" s="24"/>
      <c r="AE300" s="24"/>
      <c r="AF300" s="25"/>
      <c r="AG300" s="20"/>
      <c r="AH300" s="21"/>
      <c r="AI300" s="21"/>
      <c r="AJ300" s="21"/>
      <c r="AK300" s="22"/>
    </row>
    <row r="301" spans="1:37" s="15" customFormat="1" ht="10.5" hidden="1" customHeight="1" outlineLevel="2" x14ac:dyDescent="0.2">
      <c r="A301" s="6" t="s">
        <v>289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2">
        <v>15</v>
      </c>
      <c r="P301" s="2"/>
      <c r="Q301" s="2"/>
      <c r="R301" s="2"/>
      <c r="S301" s="2"/>
      <c r="T301" s="2"/>
      <c r="U301" s="2"/>
      <c r="V301" s="2">
        <v>15</v>
      </c>
      <c r="W301" s="2"/>
      <c r="X301" s="2"/>
      <c r="Y301" s="2"/>
      <c r="Z301" s="2"/>
      <c r="AA301" s="2"/>
      <c r="AB301" s="23"/>
      <c r="AC301" s="24"/>
      <c r="AD301" s="24"/>
      <c r="AE301" s="24"/>
      <c r="AF301" s="25"/>
      <c r="AG301" s="20"/>
      <c r="AH301" s="21"/>
      <c r="AI301" s="21"/>
      <c r="AJ301" s="21"/>
      <c r="AK301" s="22"/>
    </row>
    <row r="302" spans="1:37" s="15" customFormat="1" ht="10.5" hidden="1" customHeight="1" outlineLevel="2" x14ac:dyDescent="0.2">
      <c r="A302" s="6" t="s">
        <v>290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5">
        <v>9.6</v>
      </c>
      <c r="P302" s="5"/>
      <c r="Q302" s="5"/>
      <c r="R302" s="5"/>
      <c r="S302" s="5"/>
      <c r="T302" s="5"/>
      <c r="U302" s="5"/>
      <c r="V302" s="5">
        <v>9.6</v>
      </c>
      <c r="W302" s="5"/>
      <c r="X302" s="5"/>
      <c r="Y302" s="5"/>
      <c r="Z302" s="5"/>
      <c r="AA302" s="5"/>
      <c r="AB302" s="23"/>
      <c r="AC302" s="24"/>
      <c r="AD302" s="24"/>
      <c r="AE302" s="24"/>
      <c r="AF302" s="25"/>
      <c r="AG302" s="20"/>
      <c r="AH302" s="21"/>
      <c r="AI302" s="21"/>
      <c r="AJ302" s="21"/>
      <c r="AK302" s="22"/>
    </row>
    <row r="303" spans="1:37" s="15" customFormat="1" ht="10.5" hidden="1" customHeight="1" outlineLevel="2" x14ac:dyDescent="0.2">
      <c r="A303" s="6" t="s">
        <v>291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5">
        <v>17.100000000000001</v>
      </c>
      <c r="P303" s="5"/>
      <c r="Q303" s="5"/>
      <c r="R303" s="5"/>
      <c r="S303" s="5"/>
      <c r="T303" s="5"/>
      <c r="U303" s="5"/>
      <c r="V303" s="5">
        <v>16.8</v>
      </c>
      <c r="W303" s="5"/>
      <c r="X303" s="5"/>
      <c r="Y303" s="5"/>
      <c r="Z303" s="5"/>
      <c r="AA303" s="5"/>
      <c r="AB303" s="5">
        <v>0.3</v>
      </c>
      <c r="AC303" s="5"/>
      <c r="AD303" s="5"/>
      <c r="AE303" s="5"/>
      <c r="AF303" s="5"/>
      <c r="AG303" s="5">
        <v>0.3</v>
      </c>
      <c r="AH303" s="5"/>
      <c r="AI303" s="5"/>
      <c r="AJ303" s="5"/>
      <c r="AK303" s="5"/>
    </row>
    <row r="304" spans="1:37" s="15" customFormat="1" ht="10.5" hidden="1" customHeight="1" outlineLevel="2" x14ac:dyDescent="0.2">
      <c r="A304" s="6" t="s">
        <v>292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3">
        <v>1.98</v>
      </c>
      <c r="P304" s="3"/>
      <c r="Q304" s="3"/>
      <c r="R304" s="3"/>
      <c r="S304" s="3"/>
      <c r="T304" s="3"/>
      <c r="U304" s="3"/>
      <c r="V304" s="5">
        <v>2.2000000000000002</v>
      </c>
      <c r="W304" s="5"/>
      <c r="X304" s="5"/>
      <c r="Y304" s="5"/>
      <c r="Z304" s="5"/>
      <c r="AA304" s="5"/>
      <c r="AB304" s="3">
        <v>-0.22</v>
      </c>
      <c r="AC304" s="3"/>
      <c r="AD304" s="3"/>
      <c r="AE304" s="3"/>
      <c r="AF304" s="3"/>
      <c r="AG304" s="20"/>
      <c r="AH304" s="21"/>
      <c r="AI304" s="21"/>
      <c r="AJ304" s="21"/>
      <c r="AK304" s="22"/>
    </row>
    <row r="305" spans="1:37" s="15" customFormat="1" ht="10.5" hidden="1" customHeight="1" outlineLevel="2" x14ac:dyDescent="0.2">
      <c r="A305" s="6" t="s">
        <v>293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3">
        <v>24.75</v>
      </c>
      <c r="P305" s="3"/>
      <c r="Q305" s="3"/>
      <c r="R305" s="3"/>
      <c r="S305" s="3"/>
      <c r="T305" s="3"/>
      <c r="U305" s="3"/>
      <c r="V305" s="3">
        <v>24.75</v>
      </c>
      <c r="W305" s="3"/>
      <c r="X305" s="3"/>
      <c r="Y305" s="3"/>
      <c r="Z305" s="3"/>
      <c r="AA305" s="3"/>
      <c r="AB305" s="23"/>
      <c r="AC305" s="24"/>
      <c r="AD305" s="24"/>
      <c r="AE305" s="24"/>
      <c r="AF305" s="25"/>
      <c r="AG305" s="20"/>
      <c r="AH305" s="21"/>
      <c r="AI305" s="21"/>
      <c r="AJ305" s="21"/>
      <c r="AK305" s="22"/>
    </row>
    <row r="306" spans="1:37" s="15" customFormat="1" ht="10.5" hidden="1" customHeight="1" outlineLevel="2" x14ac:dyDescent="0.2">
      <c r="A306" s="6" t="s">
        <v>294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5">
        <v>5.8</v>
      </c>
      <c r="P306" s="5"/>
      <c r="Q306" s="5"/>
      <c r="R306" s="5"/>
      <c r="S306" s="5"/>
      <c r="T306" s="5"/>
      <c r="U306" s="5"/>
      <c r="V306" s="5">
        <v>5.8</v>
      </c>
      <c r="W306" s="5"/>
      <c r="X306" s="5"/>
      <c r="Y306" s="5"/>
      <c r="Z306" s="5"/>
      <c r="AA306" s="5"/>
      <c r="AB306" s="23"/>
      <c r="AC306" s="24"/>
      <c r="AD306" s="24"/>
      <c r="AE306" s="24"/>
      <c r="AF306" s="25"/>
      <c r="AG306" s="20"/>
      <c r="AH306" s="21"/>
      <c r="AI306" s="21"/>
      <c r="AJ306" s="21"/>
      <c r="AK306" s="22"/>
    </row>
    <row r="307" spans="1:37" s="15" customFormat="1" ht="21.75" hidden="1" customHeight="1" outlineLevel="2" x14ac:dyDescent="0.2">
      <c r="A307" s="6" t="s">
        <v>295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3">
        <v>3.22</v>
      </c>
      <c r="P307" s="3"/>
      <c r="Q307" s="3"/>
      <c r="R307" s="3"/>
      <c r="S307" s="3"/>
      <c r="T307" s="3"/>
      <c r="U307" s="3"/>
      <c r="V307" s="3">
        <v>3.22</v>
      </c>
      <c r="W307" s="3"/>
      <c r="X307" s="3"/>
      <c r="Y307" s="3"/>
      <c r="Z307" s="3"/>
      <c r="AA307" s="3"/>
      <c r="AB307" s="23"/>
      <c r="AC307" s="24"/>
      <c r="AD307" s="24"/>
      <c r="AE307" s="24"/>
      <c r="AF307" s="25"/>
      <c r="AG307" s="20"/>
      <c r="AH307" s="21"/>
      <c r="AI307" s="21"/>
      <c r="AJ307" s="21"/>
      <c r="AK307" s="22"/>
    </row>
    <row r="308" spans="1:37" s="15" customFormat="1" ht="10.5" hidden="1" customHeight="1" outlineLevel="2" x14ac:dyDescent="0.2">
      <c r="A308" s="6" t="s">
        <v>296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2">
        <v>130</v>
      </c>
      <c r="P308" s="2"/>
      <c r="Q308" s="2"/>
      <c r="R308" s="2"/>
      <c r="S308" s="2"/>
      <c r="T308" s="2"/>
      <c r="U308" s="2"/>
      <c r="V308" s="2">
        <v>130</v>
      </c>
      <c r="W308" s="2"/>
      <c r="X308" s="2"/>
      <c r="Y308" s="2"/>
      <c r="Z308" s="2"/>
      <c r="AA308" s="2"/>
      <c r="AB308" s="23"/>
      <c r="AC308" s="24"/>
      <c r="AD308" s="24"/>
      <c r="AE308" s="24"/>
      <c r="AF308" s="25"/>
      <c r="AG308" s="20"/>
      <c r="AH308" s="21"/>
      <c r="AI308" s="21"/>
      <c r="AJ308" s="21"/>
      <c r="AK308" s="22"/>
    </row>
    <row r="309" spans="1:37" ht="12.75" customHeight="1" x14ac:dyDescent="0.2">
      <c r="A309" s="42" t="s">
        <v>297</v>
      </c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3">
        <v>8317.9439999999995</v>
      </c>
      <c r="P309" s="43"/>
      <c r="Q309" s="43"/>
      <c r="R309" s="43"/>
      <c r="S309" s="43"/>
      <c r="T309" s="43"/>
      <c r="U309" s="43"/>
      <c r="V309" s="43">
        <v>6898.7370000000001</v>
      </c>
      <c r="W309" s="43"/>
      <c r="X309" s="43"/>
      <c r="Y309" s="43"/>
      <c r="Z309" s="43"/>
      <c r="AA309" s="43"/>
      <c r="AB309" s="43">
        <v>1419.2070000000001</v>
      </c>
      <c r="AC309" s="43"/>
      <c r="AD309" s="43"/>
      <c r="AE309" s="43"/>
      <c r="AF309" s="43"/>
      <c r="AG309" s="43">
        <v>1696.588</v>
      </c>
      <c r="AH309" s="43"/>
      <c r="AI309" s="43"/>
      <c r="AJ309" s="43"/>
      <c r="AK309" s="43"/>
    </row>
    <row r="310" spans="1:37" s="15" customFormat="1" ht="9.75" customHeight="1" x14ac:dyDescent="0.2"/>
    <row r="311" spans="1:37" ht="21.75" customHeight="1" x14ac:dyDescent="0.2">
      <c r="A311" s="35" t="s">
        <v>309</v>
      </c>
      <c r="B311" s="35"/>
      <c r="C311" s="35"/>
      <c r="D311" s="35"/>
    </row>
    <row r="312" spans="1:37" ht="12.75" customHeight="1" x14ac:dyDescent="0.2">
      <c r="A312" s="34" t="s">
        <v>310</v>
      </c>
      <c r="B312" s="34"/>
      <c r="C312" s="34"/>
      <c r="D312" s="34"/>
      <c r="E312" s="34"/>
      <c r="F312" s="34"/>
      <c r="G312" s="34"/>
      <c r="H312" s="34"/>
      <c r="I312" s="34"/>
      <c r="J312" s="34"/>
      <c r="K312" s="34"/>
    </row>
    <row r="313" spans="1:37" s="15" customFormat="1" ht="9.75" customHeight="1" x14ac:dyDescent="0.2"/>
    <row r="314" spans="1:37" ht="25.5" customHeight="1" x14ac:dyDescent="0.2">
      <c r="A314" s="14" t="s">
        <v>311</v>
      </c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 t="s">
        <v>1</v>
      </c>
      <c r="N314" s="14"/>
      <c r="O314" s="14"/>
      <c r="P314" s="14"/>
      <c r="Q314" s="14"/>
      <c r="R314" s="14"/>
      <c r="S314" s="14"/>
      <c r="T314" s="14" t="s">
        <v>2</v>
      </c>
      <c r="U314" s="14"/>
      <c r="V314" s="14"/>
      <c r="W314" s="14"/>
      <c r="X314" s="14"/>
      <c r="Y314" s="14"/>
      <c r="Z314" s="14" t="s">
        <v>3</v>
      </c>
      <c r="AA314" s="14"/>
      <c r="AB314" s="14"/>
      <c r="AC314" s="14"/>
      <c r="AD314" s="14"/>
      <c r="AE314" s="14" t="s">
        <v>4</v>
      </c>
      <c r="AF314" s="14"/>
      <c r="AG314" s="14"/>
      <c r="AH314" s="14"/>
    </row>
    <row r="315" spans="1:37" ht="25.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 t="s">
        <v>5</v>
      </c>
      <c r="N315" s="14"/>
      <c r="O315" s="14"/>
      <c r="P315" s="14"/>
      <c r="Q315" s="14"/>
      <c r="R315" s="14"/>
      <c r="S315" s="14"/>
      <c r="T315" s="14" t="s">
        <v>6</v>
      </c>
      <c r="U315" s="14"/>
      <c r="V315" s="14"/>
      <c r="W315" s="14"/>
      <c r="X315" s="14"/>
      <c r="Y315" s="14"/>
      <c r="Z315" s="14" t="s">
        <v>7</v>
      </c>
      <c r="AA315" s="14"/>
      <c r="AB315" s="14"/>
      <c r="AC315" s="14"/>
      <c r="AD315" s="14"/>
      <c r="AE315" s="14"/>
      <c r="AF315" s="14"/>
      <c r="AG315" s="14"/>
      <c r="AH315" s="14"/>
    </row>
    <row r="316" spans="1:37" ht="21.75" customHeight="1" x14ac:dyDescent="0.2">
      <c r="A316" s="45" t="s">
        <v>312</v>
      </c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2">
        <v>20</v>
      </c>
      <c r="N316" s="2"/>
      <c r="O316" s="2"/>
      <c r="P316" s="2"/>
      <c r="Q316" s="2"/>
      <c r="R316" s="2"/>
      <c r="S316" s="2"/>
      <c r="T316" s="4">
        <v>18.948</v>
      </c>
      <c r="U316" s="4"/>
      <c r="V316" s="4"/>
      <c r="W316" s="4"/>
      <c r="X316" s="4"/>
      <c r="Y316" s="4"/>
      <c r="Z316" s="4">
        <v>1.052</v>
      </c>
      <c r="AA316" s="4"/>
      <c r="AB316" s="4"/>
      <c r="AC316" s="4"/>
      <c r="AD316" s="4"/>
      <c r="AE316" s="4">
        <v>1.6659999999999999</v>
      </c>
      <c r="AF316" s="4"/>
      <c r="AG316" s="4"/>
      <c r="AH316" s="4"/>
    </row>
    <row r="317" spans="1:37" ht="12.75" customHeight="1" x14ac:dyDescent="0.2">
      <c r="A317" s="42" t="s">
        <v>297</v>
      </c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7">
        <v>20</v>
      </c>
      <c r="N317" s="47"/>
      <c r="O317" s="47"/>
      <c r="P317" s="47"/>
      <c r="Q317" s="47"/>
      <c r="R317" s="47"/>
      <c r="S317" s="47"/>
      <c r="T317" s="48">
        <v>18.948</v>
      </c>
      <c r="U317" s="48"/>
      <c r="V317" s="48"/>
      <c r="W317" s="48"/>
      <c r="X317" s="48"/>
      <c r="Y317" s="48"/>
      <c r="Z317" s="48">
        <v>1.052</v>
      </c>
      <c r="AA317" s="48"/>
      <c r="AB317" s="48"/>
      <c r="AC317" s="48"/>
      <c r="AD317" s="48"/>
      <c r="AE317" s="48">
        <v>1.6659999999999999</v>
      </c>
      <c r="AF317" s="48"/>
      <c r="AG317" s="48"/>
      <c r="AH317" s="48"/>
    </row>
    <row r="318" spans="1:37" s="15" customFormat="1" ht="9.75" customHeight="1" x14ac:dyDescent="0.2"/>
    <row r="319" spans="1:37" ht="21.75" customHeight="1" x14ac:dyDescent="0.2">
      <c r="A319" s="35" t="s">
        <v>313</v>
      </c>
      <c r="B319" s="35"/>
      <c r="C319" s="35"/>
      <c r="D319" s="35"/>
      <c r="E319" s="35"/>
      <c r="F319" s="35"/>
      <c r="G319" s="35"/>
      <c r="H319" s="35"/>
    </row>
    <row r="320" spans="1:37" s="15" customFormat="1" ht="9.75" customHeight="1" x14ac:dyDescent="0.2"/>
    <row r="321" spans="1:39" ht="12.75" customHeight="1" x14ac:dyDescent="0.2">
      <c r="A321" s="14" t="s">
        <v>314</v>
      </c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 t="s">
        <v>1</v>
      </c>
      <c r="T321" s="14"/>
      <c r="U321" s="14"/>
      <c r="V321" s="14"/>
      <c r="W321" s="14"/>
      <c r="X321" s="14"/>
      <c r="Y321" s="14" t="s">
        <v>2</v>
      </c>
      <c r="Z321" s="14"/>
      <c r="AA321" s="14"/>
      <c r="AB321" s="14"/>
      <c r="AC321" s="14"/>
      <c r="AD321" s="14" t="s">
        <v>3</v>
      </c>
      <c r="AE321" s="14"/>
      <c r="AF321" s="14"/>
      <c r="AG321" s="14"/>
      <c r="AH321" s="14"/>
      <c r="AI321" s="14"/>
      <c r="AJ321" s="14" t="s">
        <v>4</v>
      </c>
      <c r="AK321" s="14"/>
      <c r="AL321" s="14"/>
      <c r="AM321" s="14"/>
    </row>
    <row r="322" spans="1:39" ht="25.5" customHeight="1" x14ac:dyDescent="0.2">
      <c r="A322" s="16" t="s">
        <v>315</v>
      </c>
      <c r="B322" s="14" t="s">
        <v>311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 t="s">
        <v>5</v>
      </c>
      <c r="T322" s="14"/>
      <c r="U322" s="14"/>
      <c r="V322" s="14"/>
      <c r="W322" s="14"/>
      <c r="X322" s="14"/>
      <c r="Y322" s="14" t="s">
        <v>6</v>
      </c>
      <c r="Z322" s="14"/>
      <c r="AA322" s="14"/>
      <c r="AB322" s="14"/>
      <c r="AC322" s="14"/>
      <c r="AD322" s="14" t="s">
        <v>7</v>
      </c>
      <c r="AE322" s="14"/>
      <c r="AF322" s="14"/>
      <c r="AG322" s="14"/>
      <c r="AH322" s="14"/>
      <c r="AI322" s="14"/>
      <c r="AJ322" s="14"/>
      <c r="AK322" s="14"/>
      <c r="AL322" s="14"/>
      <c r="AM322" s="14"/>
    </row>
    <row r="323" spans="1:39" ht="10.5" customHeight="1" x14ac:dyDescent="0.2">
      <c r="A323" s="12" t="s">
        <v>316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0">
        <v>796.75</v>
      </c>
      <c r="T323" s="10"/>
      <c r="U323" s="10"/>
      <c r="V323" s="10"/>
      <c r="W323" s="10"/>
      <c r="X323" s="10"/>
      <c r="Y323" s="9">
        <v>760.18100000000004</v>
      </c>
      <c r="Z323" s="9"/>
      <c r="AA323" s="9"/>
      <c r="AB323" s="9"/>
      <c r="AC323" s="9"/>
      <c r="AD323" s="9">
        <v>36.569000000000003</v>
      </c>
      <c r="AE323" s="9"/>
      <c r="AF323" s="9"/>
      <c r="AG323" s="9"/>
      <c r="AH323" s="9"/>
      <c r="AI323" s="9"/>
      <c r="AJ323" s="9">
        <v>66.581000000000003</v>
      </c>
      <c r="AK323" s="9"/>
      <c r="AL323" s="9"/>
      <c r="AM323" s="9"/>
    </row>
    <row r="324" spans="1:39" s="15" customFormat="1" ht="10.5" hidden="1" customHeight="1" outlineLevel="1" x14ac:dyDescent="0.2">
      <c r="A324" s="37">
        <v>1</v>
      </c>
      <c r="B324" s="49" t="s">
        <v>317</v>
      </c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3">
        <v>26.72</v>
      </c>
      <c r="T324" s="3"/>
      <c r="U324" s="3"/>
      <c r="V324" s="3"/>
      <c r="W324" s="3"/>
      <c r="X324" s="3"/>
      <c r="Y324" s="3">
        <v>17.190000000000001</v>
      </c>
      <c r="Z324" s="3"/>
      <c r="AA324" s="3"/>
      <c r="AB324" s="3"/>
      <c r="AC324" s="3"/>
      <c r="AD324" s="3">
        <v>9.5299999999999994</v>
      </c>
      <c r="AE324" s="3"/>
      <c r="AF324" s="3"/>
      <c r="AG324" s="3"/>
      <c r="AH324" s="3"/>
      <c r="AI324" s="3"/>
      <c r="AJ324" s="20"/>
      <c r="AK324" s="21"/>
      <c r="AL324" s="21"/>
      <c r="AM324" s="22"/>
    </row>
    <row r="325" spans="1:39" s="15" customFormat="1" ht="10.5" hidden="1" customHeight="1" outlineLevel="1" x14ac:dyDescent="0.2">
      <c r="A325" s="37">
        <v>2</v>
      </c>
      <c r="B325" s="49" t="s">
        <v>318</v>
      </c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3">
        <v>71.86</v>
      </c>
      <c r="T325" s="3"/>
      <c r="U325" s="3"/>
      <c r="V325" s="3"/>
      <c r="W325" s="3"/>
      <c r="X325" s="3"/>
      <c r="Y325" s="3">
        <v>74.459999999999994</v>
      </c>
      <c r="Z325" s="3"/>
      <c r="AA325" s="3"/>
      <c r="AB325" s="3"/>
      <c r="AC325" s="3"/>
      <c r="AD325" s="5">
        <v>-2.6</v>
      </c>
      <c r="AE325" s="5"/>
      <c r="AF325" s="5"/>
      <c r="AG325" s="5"/>
      <c r="AH325" s="5"/>
      <c r="AI325" s="5"/>
      <c r="AJ325" s="20"/>
      <c r="AK325" s="21"/>
      <c r="AL325" s="21"/>
      <c r="AM325" s="22"/>
    </row>
    <row r="326" spans="1:39" s="15" customFormat="1" ht="10.5" hidden="1" customHeight="1" outlineLevel="1" x14ac:dyDescent="0.2">
      <c r="A326" s="37">
        <v>3</v>
      </c>
      <c r="B326" s="49" t="s">
        <v>319</v>
      </c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3">
        <v>28.06</v>
      </c>
      <c r="T326" s="3"/>
      <c r="U326" s="3"/>
      <c r="V326" s="3"/>
      <c r="W326" s="3"/>
      <c r="X326" s="3"/>
      <c r="Y326" s="4">
        <v>20.690999999999999</v>
      </c>
      <c r="Z326" s="4"/>
      <c r="AA326" s="4"/>
      <c r="AB326" s="4"/>
      <c r="AC326" s="4"/>
      <c r="AD326" s="4">
        <v>7.3689999999999998</v>
      </c>
      <c r="AE326" s="4"/>
      <c r="AF326" s="4"/>
      <c r="AG326" s="4"/>
      <c r="AH326" s="4"/>
      <c r="AI326" s="4"/>
      <c r="AJ326" s="20"/>
      <c r="AK326" s="21"/>
      <c r="AL326" s="21"/>
      <c r="AM326" s="22"/>
    </row>
    <row r="327" spans="1:39" s="15" customFormat="1" ht="21.75" hidden="1" customHeight="1" outlineLevel="1" x14ac:dyDescent="0.2">
      <c r="A327" s="37">
        <v>4</v>
      </c>
      <c r="B327" s="49" t="s">
        <v>320</v>
      </c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5">
        <v>38.200000000000003</v>
      </c>
      <c r="T327" s="5"/>
      <c r="U327" s="5"/>
      <c r="V327" s="5"/>
      <c r="W327" s="5"/>
      <c r="X327" s="5"/>
      <c r="Y327" s="4">
        <v>31.265999999999998</v>
      </c>
      <c r="Z327" s="4"/>
      <c r="AA327" s="4"/>
      <c r="AB327" s="4"/>
      <c r="AC327" s="4"/>
      <c r="AD327" s="4">
        <v>6.9340000000000002</v>
      </c>
      <c r="AE327" s="4"/>
      <c r="AF327" s="4"/>
      <c r="AG327" s="4"/>
      <c r="AH327" s="4"/>
      <c r="AI327" s="4"/>
      <c r="AJ327" s="20"/>
      <c r="AK327" s="21"/>
      <c r="AL327" s="21"/>
      <c r="AM327" s="22"/>
    </row>
    <row r="328" spans="1:39" s="15" customFormat="1" ht="21.75" hidden="1" customHeight="1" outlineLevel="1" x14ac:dyDescent="0.2">
      <c r="A328" s="37">
        <v>5</v>
      </c>
      <c r="B328" s="49" t="s">
        <v>321</v>
      </c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3">
        <v>19.32</v>
      </c>
      <c r="T328" s="3"/>
      <c r="U328" s="3"/>
      <c r="V328" s="3"/>
      <c r="W328" s="3"/>
      <c r="X328" s="3"/>
      <c r="Y328" s="4">
        <v>13.587</v>
      </c>
      <c r="Z328" s="4"/>
      <c r="AA328" s="4"/>
      <c r="AB328" s="4"/>
      <c r="AC328" s="4"/>
      <c r="AD328" s="4">
        <v>5.7329999999999997</v>
      </c>
      <c r="AE328" s="4"/>
      <c r="AF328" s="4"/>
      <c r="AG328" s="4"/>
      <c r="AH328" s="4"/>
      <c r="AI328" s="4"/>
      <c r="AJ328" s="20"/>
      <c r="AK328" s="21"/>
      <c r="AL328" s="21"/>
      <c r="AM328" s="22"/>
    </row>
    <row r="329" spans="1:39" s="15" customFormat="1" ht="21.75" hidden="1" customHeight="1" outlineLevel="1" x14ac:dyDescent="0.2">
      <c r="A329" s="37">
        <v>6</v>
      </c>
      <c r="B329" s="49" t="s">
        <v>322</v>
      </c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5">
        <v>30.4</v>
      </c>
      <c r="T329" s="5"/>
      <c r="U329" s="5"/>
      <c r="V329" s="5"/>
      <c r="W329" s="5"/>
      <c r="X329" s="5"/>
      <c r="Y329" s="4">
        <v>27.731000000000002</v>
      </c>
      <c r="Z329" s="4"/>
      <c r="AA329" s="4"/>
      <c r="AB329" s="4"/>
      <c r="AC329" s="4"/>
      <c r="AD329" s="4">
        <v>2.669</v>
      </c>
      <c r="AE329" s="4"/>
      <c r="AF329" s="4"/>
      <c r="AG329" s="4"/>
      <c r="AH329" s="4"/>
      <c r="AI329" s="4"/>
      <c r="AJ329" s="20"/>
      <c r="AK329" s="21"/>
      <c r="AL329" s="21"/>
      <c r="AM329" s="22"/>
    </row>
    <row r="330" spans="1:39" s="15" customFormat="1" ht="10.5" hidden="1" customHeight="1" outlineLevel="1" x14ac:dyDescent="0.2">
      <c r="A330" s="37">
        <v>7</v>
      </c>
      <c r="B330" s="49" t="s">
        <v>323</v>
      </c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5">
        <v>40.299999999999997</v>
      </c>
      <c r="T330" s="5"/>
      <c r="U330" s="5"/>
      <c r="V330" s="5"/>
      <c r="W330" s="5"/>
      <c r="X330" s="5"/>
      <c r="Y330" s="4">
        <v>39.578000000000003</v>
      </c>
      <c r="Z330" s="4"/>
      <c r="AA330" s="4"/>
      <c r="AB330" s="4"/>
      <c r="AC330" s="4"/>
      <c r="AD330" s="4">
        <v>0.72199999999999998</v>
      </c>
      <c r="AE330" s="4"/>
      <c r="AF330" s="4"/>
      <c r="AG330" s="4"/>
      <c r="AH330" s="4"/>
      <c r="AI330" s="4"/>
      <c r="AJ330" s="20"/>
      <c r="AK330" s="21"/>
      <c r="AL330" s="21"/>
      <c r="AM330" s="22"/>
    </row>
    <row r="331" spans="1:39" s="15" customFormat="1" ht="21.75" hidden="1" customHeight="1" outlineLevel="1" x14ac:dyDescent="0.2">
      <c r="A331" s="37">
        <v>8</v>
      </c>
      <c r="B331" s="49" t="s">
        <v>324</v>
      </c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3">
        <v>13.16</v>
      </c>
      <c r="T331" s="3"/>
      <c r="U331" s="3"/>
      <c r="V331" s="3"/>
      <c r="W331" s="3"/>
      <c r="X331" s="3"/>
      <c r="Y331" s="4">
        <v>10.617000000000001</v>
      </c>
      <c r="Z331" s="4"/>
      <c r="AA331" s="4"/>
      <c r="AB331" s="4"/>
      <c r="AC331" s="4"/>
      <c r="AD331" s="4">
        <v>2.5430000000000001</v>
      </c>
      <c r="AE331" s="4"/>
      <c r="AF331" s="4"/>
      <c r="AG331" s="4"/>
      <c r="AH331" s="4"/>
      <c r="AI331" s="4"/>
      <c r="AJ331" s="20"/>
      <c r="AK331" s="21"/>
      <c r="AL331" s="21"/>
      <c r="AM331" s="22"/>
    </row>
    <row r="332" spans="1:39" s="15" customFormat="1" ht="21.75" hidden="1" customHeight="1" outlineLevel="1" x14ac:dyDescent="0.2">
      <c r="A332" s="37">
        <v>9</v>
      </c>
      <c r="B332" s="49" t="s">
        <v>325</v>
      </c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3">
        <v>31.76</v>
      </c>
      <c r="T332" s="3"/>
      <c r="U332" s="3"/>
      <c r="V332" s="3"/>
      <c r="W332" s="3"/>
      <c r="X332" s="3"/>
      <c r="Y332" s="4">
        <v>31.202000000000002</v>
      </c>
      <c r="Z332" s="4"/>
      <c r="AA332" s="4"/>
      <c r="AB332" s="4"/>
      <c r="AC332" s="4"/>
      <c r="AD332" s="4">
        <v>0.55800000000000005</v>
      </c>
      <c r="AE332" s="4"/>
      <c r="AF332" s="4"/>
      <c r="AG332" s="4"/>
      <c r="AH332" s="4"/>
      <c r="AI332" s="4"/>
      <c r="AJ332" s="20"/>
      <c r="AK332" s="21"/>
      <c r="AL332" s="21"/>
      <c r="AM332" s="22"/>
    </row>
    <row r="333" spans="1:39" s="15" customFormat="1" ht="21.75" hidden="1" customHeight="1" outlineLevel="1" x14ac:dyDescent="0.2">
      <c r="A333" s="37">
        <v>10</v>
      </c>
      <c r="B333" s="49" t="s">
        <v>326</v>
      </c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3">
        <v>45.69</v>
      </c>
      <c r="T333" s="3"/>
      <c r="U333" s="3"/>
      <c r="V333" s="3"/>
      <c r="W333" s="3"/>
      <c r="X333" s="3"/>
      <c r="Y333" s="4">
        <v>44.372999999999998</v>
      </c>
      <c r="Z333" s="4"/>
      <c r="AA333" s="4"/>
      <c r="AB333" s="4"/>
      <c r="AC333" s="4"/>
      <c r="AD333" s="4">
        <v>1.3169999999999999</v>
      </c>
      <c r="AE333" s="4"/>
      <c r="AF333" s="4"/>
      <c r="AG333" s="4"/>
      <c r="AH333" s="4"/>
      <c r="AI333" s="4"/>
      <c r="AJ333" s="20"/>
      <c r="AK333" s="21"/>
      <c r="AL333" s="21"/>
      <c r="AM333" s="22"/>
    </row>
    <row r="334" spans="1:39" s="15" customFormat="1" ht="10.5" hidden="1" customHeight="1" outlineLevel="1" x14ac:dyDescent="0.2">
      <c r="A334" s="37">
        <v>11</v>
      </c>
      <c r="B334" s="49" t="s">
        <v>327</v>
      </c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3">
        <v>56.46</v>
      </c>
      <c r="T334" s="3"/>
      <c r="U334" s="3"/>
      <c r="V334" s="3"/>
      <c r="W334" s="3"/>
      <c r="X334" s="3"/>
      <c r="Y334" s="4">
        <v>56.430999999999997</v>
      </c>
      <c r="Z334" s="4"/>
      <c r="AA334" s="4"/>
      <c r="AB334" s="4"/>
      <c r="AC334" s="4"/>
      <c r="AD334" s="4">
        <v>2.9000000000000001E-2</v>
      </c>
      <c r="AE334" s="4"/>
      <c r="AF334" s="4"/>
      <c r="AG334" s="4"/>
      <c r="AH334" s="4"/>
      <c r="AI334" s="4"/>
      <c r="AJ334" s="20"/>
      <c r="AK334" s="21"/>
      <c r="AL334" s="21"/>
      <c r="AM334" s="22"/>
    </row>
    <row r="335" spans="1:39" s="15" customFormat="1" ht="10.5" hidden="1" customHeight="1" outlineLevel="1" x14ac:dyDescent="0.2">
      <c r="A335" s="37">
        <v>12</v>
      </c>
      <c r="B335" s="49" t="s">
        <v>328</v>
      </c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5">
        <v>18.5</v>
      </c>
      <c r="T335" s="5"/>
      <c r="U335" s="5"/>
      <c r="V335" s="5"/>
      <c r="W335" s="5"/>
      <c r="X335" s="5"/>
      <c r="Y335" s="4">
        <v>17.111000000000001</v>
      </c>
      <c r="Z335" s="4"/>
      <c r="AA335" s="4"/>
      <c r="AB335" s="4"/>
      <c r="AC335" s="4"/>
      <c r="AD335" s="4">
        <v>1.389</v>
      </c>
      <c r="AE335" s="4"/>
      <c r="AF335" s="4"/>
      <c r="AG335" s="4"/>
      <c r="AH335" s="4"/>
      <c r="AI335" s="4"/>
      <c r="AJ335" s="20"/>
      <c r="AK335" s="21"/>
      <c r="AL335" s="21"/>
      <c r="AM335" s="22"/>
    </row>
    <row r="336" spans="1:39" s="15" customFormat="1" ht="21.75" hidden="1" customHeight="1" outlineLevel="1" x14ac:dyDescent="0.2">
      <c r="A336" s="37">
        <v>13</v>
      </c>
      <c r="B336" s="49" t="s">
        <v>329</v>
      </c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2">
        <v>35</v>
      </c>
      <c r="T336" s="2"/>
      <c r="U336" s="2"/>
      <c r="V336" s="2"/>
      <c r="W336" s="2"/>
      <c r="X336" s="2"/>
      <c r="Y336" s="4">
        <v>36.396999999999998</v>
      </c>
      <c r="Z336" s="4"/>
      <c r="AA336" s="4"/>
      <c r="AB336" s="4"/>
      <c r="AC336" s="4"/>
      <c r="AD336" s="4">
        <v>-1.397</v>
      </c>
      <c r="AE336" s="4"/>
      <c r="AF336" s="4"/>
      <c r="AG336" s="4"/>
      <c r="AH336" s="4"/>
      <c r="AI336" s="4"/>
      <c r="AJ336" s="20"/>
      <c r="AK336" s="21"/>
      <c r="AL336" s="21"/>
      <c r="AM336" s="22"/>
    </row>
    <row r="337" spans="1:39" s="15" customFormat="1" ht="21.75" hidden="1" customHeight="1" outlineLevel="1" x14ac:dyDescent="0.2">
      <c r="A337" s="37">
        <v>14</v>
      </c>
      <c r="B337" s="49" t="s">
        <v>330</v>
      </c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3">
        <v>13.42</v>
      </c>
      <c r="T337" s="3"/>
      <c r="U337" s="3"/>
      <c r="V337" s="3"/>
      <c r="W337" s="3"/>
      <c r="X337" s="3"/>
      <c r="Y337" s="4">
        <v>11.968999999999999</v>
      </c>
      <c r="Z337" s="4"/>
      <c r="AA337" s="4"/>
      <c r="AB337" s="4"/>
      <c r="AC337" s="4"/>
      <c r="AD337" s="4">
        <v>1.4510000000000001</v>
      </c>
      <c r="AE337" s="4"/>
      <c r="AF337" s="4"/>
      <c r="AG337" s="4"/>
      <c r="AH337" s="4"/>
      <c r="AI337" s="4"/>
      <c r="AJ337" s="20"/>
      <c r="AK337" s="21"/>
      <c r="AL337" s="21"/>
      <c r="AM337" s="22"/>
    </row>
    <row r="338" spans="1:39" s="15" customFormat="1" ht="10.5" hidden="1" customHeight="1" outlineLevel="1" x14ac:dyDescent="0.2">
      <c r="A338" s="37">
        <v>15</v>
      </c>
      <c r="B338" s="49" t="s">
        <v>331</v>
      </c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3">
        <v>24.11</v>
      </c>
      <c r="T338" s="3"/>
      <c r="U338" s="3"/>
      <c r="V338" s="3"/>
      <c r="W338" s="3"/>
      <c r="X338" s="3"/>
      <c r="Y338" s="4">
        <v>23.545000000000002</v>
      </c>
      <c r="Z338" s="4"/>
      <c r="AA338" s="4"/>
      <c r="AB338" s="4"/>
      <c r="AC338" s="4"/>
      <c r="AD338" s="4">
        <v>0.56499999999999995</v>
      </c>
      <c r="AE338" s="4"/>
      <c r="AF338" s="4"/>
      <c r="AG338" s="4"/>
      <c r="AH338" s="4"/>
      <c r="AI338" s="4"/>
      <c r="AJ338" s="20"/>
      <c r="AK338" s="21"/>
      <c r="AL338" s="21"/>
      <c r="AM338" s="22"/>
    </row>
    <row r="339" spans="1:39" s="15" customFormat="1" ht="10.5" hidden="1" customHeight="1" outlineLevel="1" x14ac:dyDescent="0.2">
      <c r="A339" s="37">
        <v>16</v>
      </c>
      <c r="B339" s="49" t="s">
        <v>332</v>
      </c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5">
        <v>81.3</v>
      </c>
      <c r="T339" s="5"/>
      <c r="U339" s="5"/>
      <c r="V339" s="5"/>
      <c r="W339" s="5"/>
      <c r="X339" s="5"/>
      <c r="Y339" s="4">
        <v>80.790999999999997</v>
      </c>
      <c r="Z339" s="4"/>
      <c r="AA339" s="4"/>
      <c r="AB339" s="4"/>
      <c r="AC339" s="4"/>
      <c r="AD339" s="4">
        <v>0.50900000000000001</v>
      </c>
      <c r="AE339" s="4"/>
      <c r="AF339" s="4"/>
      <c r="AG339" s="4"/>
      <c r="AH339" s="4"/>
      <c r="AI339" s="4"/>
      <c r="AJ339" s="20"/>
      <c r="AK339" s="21"/>
      <c r="AL339" s="21"/>
      <c r="AM339" s="22"/>
    </row>
    <row r="340" spans="1:39" s="15" customFormat="1" ht="10.5" hidden="1" customHeight="1" outlineLevel="1" x14ac:dyDescent="0.2">
      <c r="A340" s="37">
        <v>17</v>
      </c>
      <c r="B340" s="49" t="s">
        <v>333</v>
      </c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3">
        <v>22.24</v>
      </c>
      <c r="T340" s="3"/>
      <c r="U340" s="3"/>
      <c r="V340" s="3"/>
      <c r="W340" s="3"/>
      <c r="X340" s="3"/>
      <c r="Y340" s="4">
        <v>21.257999999999999</v>
      </c>
      <c r="Z340" s="4"/>
      <c r="AA340" s="4"/>
      <c r="AB340" s="4"/>
      <c r="AC340" s="4"/>
      <c r="AD340" s="4">
        <v>0.98199999999999998</v>
      </c>
      <c r="AE340" s="4"/>
      <c r="AF340" s="4"/>
      <c r="AG340" s="4"/>
      <c r="AH340" s="4"/>
      <c r="AI340" s="4"/>
      <c r="AJ340" s="20"/>
      <c r="AK340" s="21"/>
      <c r="AL340" s="21"/>
      <c r="AM340" s="22"/>
    </row>
    <row r="341" spans="1:39" s="15" customFormat="1" ht="21.75" hidden="1" customHeight="1" outlineLevel="1" x14ac:dyDescent="0.2">
      <c r="A341" s="37">
        <v>18</v>
      </c>
      <c r="B341" s="49" t="s">
        <v>334</v>
      </c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3">
        <v>17.36</v>
      </c>
      <c r="T341" s="3"/>
      <c r="U341" s="3"/>
      <c r="V341" s="3"/>
      <c r="W341" s="3"/>
      <c r="X341" s="3"/>
      <c r="Y341" s="4">
        <v>16.983000000000001</v>
      </c>
      <c r="Z341" s="4"/>
      <c r="AA341" s="4"/>
      <c r="AB341" s="4"/>
      <c r="AC341" s="4"/>
      <c r="AD341" s="4">
        <v>0.377</v>
      </c>
      <c r="AE341" s="4"/>
      <c r="AF341" s="4"/>
      <c r="AG341" s="4"/>
      <c r="AH341" s="4"/>
      <c r="AI341" s="4"/>
      <c r="AJ341" s="20"/>
      <c r="AK341" s="21"/>
      <c r="AL341" s="21"/>
      <c r="AM341" s="22"/>
    </row>
    <row r="342" spans="1:39" s="15" customFormat="1" ht="10.5" hidden="1" customHeight="1" outlineLevel="1" x14ac:dyDescent="0.2">
      <c r="A342" s="37">
        <v>19</v>
      </c>
      <c r="B342" s="49" t="s">
        <v>335</v>
      </c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3">
        <v>45.52</v>
      </c>
      <c r="T342" s="3"/>
      <c r="U342" s="3"/>
      <c r="V342" s="3"/>
      <c r="W342" s="3"/>
      <c r="X342" s="3"/>
      <c r="Y342" s="4">
        <v>46.097999999999999</v>
      </c>
      <c r="Z342" s="4"/>
      <c r="AA342" s="4"/>
      <c r="AB342" s="4"/>
      <c r="AC342" s="4"/>
      <c r="AD342" s="4">
        <v>-0.57799999999999996</v>
      </c>
      <c r="AE342" s="4"/>
      <c r="AF342" s="4"/>
      <c r="AG342" s="4"/>
      <c r="AH342" s="4"/>
      <c r="AI342" s="4"/>
      <c r="AJ342" s="20"/>
      <c r="AK342" s="21"/>
      <c r="AL342" s="21"/>
      <c r="AM342" s="22"/>
    </row>
    <row r="343" spans="1:39" s="15" customFormat="1" ht="10.5" hidden="1" customHeight="1" outlineLevel="1" x14ac:dyDescent="0.2">
      <c r="A343" s="37">
        <v>20</v>
      </c>
      <c r="B343" s="49" t="s">
        <v>336</v>
      </c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3">
        <v>9.52</v>
      </c>
      <c r="T343" s="3"/>
      <c r="U343" s="3"/>
      <c r="V343" s="3"/>
      <c r="W343" s="3"/>
      <c r="X343" s="3"/>
      <c r="Y343" s="4">
        <v>8.875</v>
      </c>
      <c r="Z343" s="4"/>
      <c r="AA343" s="4"/>
      <c r="AB343" s="4"/>
      <c r="AC343" s="4"/>
      <c r="AD343" s="4">
        <v>0.64500000000000002</v>
      </c>
      <c r="AE343" s="4"/>
      <c r="AF343" s="4"/>
      <c r="AG343" s="4"/>
      <c r="AH343" s="4"/>
      <c r="AI343" s="4"/>
      <c r="AJ343" s="20"/>
      <c r="AK343" s="21"/>
      <c r="AL343" s="21"/>
      <c r="AM343" s="22"/>
    </row>
    <row r="344" spans="1:39" s="15" customFormat="1" ht="21.75" hidden="1" customHeight="1" outlineLevel="1" x14ac:dyDescent="0.2">
      <c r="A344" s="37">
        <v>21</v>
      </c>
      <c r="B344" s="49" t="s">
        <v>337</v>
      </c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3">
        <v>11.04</v>
      </c>
      <c r="T344" s="3"/>
      <c r="U344" s="3"/>
      <c r="V344" s="3"/>
      <c r="W344" s="3"/>
      <c r="X344" s="3"/>
      <c r="Y344" s="4">
        <v>10.688000000000001</v>
      </c>
      <c r="Z344" s="4"/>
      <c r="AA344" s="4"/>
      <c r="AB344" s="4"/>
      <c r="AC344" s="4"/>
      <c r="AD344" s="4">
        <v>0.35199999999999998</v>
      </c>
      <c r="AE344" s="4"/>
      <c r="AF344" s="4"/>
      <c r="AG344" s="4"/>
      <c r="AH344" s="4"/>
      <c r="AI344" s="4"/>
      <c r="AJ344" s="20"/>
      <c r="AK344" s="21"/>
      <c r="AL344" s="21"/>
      <c r="AM344" s="22"/>
    </row>
    <row r="345" spans="1:39" s="15" customFormat="1" ht="21.75" hidden="1" customHeight="1" outlineLevel="1" x14ac:dyDescent="0.2">
      <c r="A345" s="37">
        <v>22</v>
      </c>
      <c r="B345" s="49" t="s">
        <v>338</v>
      </c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3">
        <v>40.090000000000003</v>
      </c>
      <c r="T345" s="3"/>
      <c r="U345" s="3"/>
      <c r="V345" s="3"/>
      <c r="W345" s="3"/>
      <c r="X345" s="3"/>
      <c r="Y345" s="4">
        <v>40.167999999999999</v>
      </c>
      <c r="Z345" s="4"/>
      <c r="AA345" s="4"/>
      <c r="AB345" s="4"/>
      <c r="AC345" s="4"/>
      <c r="AD345" s="4">
        <v>-7.8E-2</v>
      </c>
      <c r="AE345" s="4"/>
      <c r="AF345" s="4"/>
      <c r="AG345" s="4"/>
      <c r="AH345" s="4"/>
      <c r="AI345" s="4"/>
      <c r="AJ345" s="20"/>
      <c r="AK345" s="21"/>
      <c r="AL345" s="21"/>
      <c r="AM345" s="22"/>
    </row>
    <row r="346" spans="1:39" s="15" customFormat="1" ht="21.75" hidden="1" customHeight="1" outlineLevel="1" x14ac:dyDescent="0.2">
      <c r="A346" s="37">
        <v>23</v>
      </c>
      <c r="B346" s="49" t="s">
        <v>339</v>
      </c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3">
        <v>44.38</v>
      </c>
      <c r="T346" s="3"/>
      <c r="U346" s="3"/>
      <c r="V346" s="3"/>
      <c r="W346" s="3"/>
      <c r="X346" s="3"/>
      <c r="Y346" s="4">
        <v>44.338999999999999</v>
      </c>
      <c r="Z346" s="4"/>
      <c r="AA346" s="4"/>
      <c r="AB346" s="4"/>
      <c r="AC346" s="4"/>
      <c r="AD346" s="4">
        <v>4.1000000000000002E-2</v>
      </c>
      <c r="AE346" s="4"/>
      <c r="AF346" s="4"/>
      <c r="AG346" s="4"/>
      <c r="AH346" s="4"/>
      <c r="AI346" s="4"/>
      <c r="AJ346" s="20"/>
      <c r="AK346" s="21"/>
      <c r="AL346" s="21"/>
      <c r="AM346" s="22"/>
    </row>
    <row r="347" spans="1:39" s="15" customFormat="1" ht="10.5" hidden="1" customHeight="1" outlineLevel="1" x14ac:dyDescent="0.2">
      <c r="A347" s="37">
        <v>24</v>
      </c>
      <c r="B347" s="49" t="s">
        <v>340</v>
      </c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3">
        <v>6.06</v>
      </c>
      <c r="T347" s="3"/>
      <c r="U347" s="3"/>
      <c r="V347" s="3"/>
      <c r="W347" s="3"/>
      <c r="X347" s="3"/>
      <c r="Y347" s="4">
        <v>6.3559999999999999</v>
      </c>
      <c r="Z347" s="4"/>
      <c r="AA347" s="4"/>
      <c r="AB347" s="4"/>
      <c r="AC347" s="4"/>
      <c r="AD347" s="4">
        <v>-0.29599999999999999</v>
      </c>
      <c r="AE347" s="4"/>
      <c r="AF347" s="4"/>
      <c r="AG347" s="4"/>
      <c r="AH347" s="4"/>
      <c r="AI347" s="4"/>
      <c r="AJ347" s="20"/>
      <c r="AK347" s="21"/>
      <c r="AL347" s="21"/>
      <c r="AM347" s="22"/>
    </row>
    <row r="348" spans="1:39" s="15" customFormat="1" ht="10.5" hidden="1" customHeight="1" outlineLevel="1" x14ac:dyDescent="0.2">
      <c r="A348" s="37">
        <v>25</v>
      </c>
      <c r="B348" s="49" t="s">
        <v>341</v>
      </c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3">
        <v>26.28</v>
      </c>
      <c r="T348" s="3"/>
      <c r="U348" s="3"/>
      <c r="V348" s="3"/>
      <c r="W348" s="3"/>
      <c r="X348" s="3"/>
      <c r="Y348" s="4">
        <v>28.477</v>
      </c>
      <c r="Z348" s="4"/>
      <c r="AA348" s="4"/>
      <c r="AB348" s="4"/>
      <c r="AC348" s="4"/>
      <c r="AD348" s="4">
        <v>-2.1970000000000001</v>
      </c>
      <c r="AE348" s="4"/>
      <c r="AF348" s="4"/>
      <c r="AG348" s="4"/>
      <c r="AH348" s="4"/>
      <c r="AI348" s="4"/>
      <c r="AJ348" s="20"/>
      <c r="AK348" s="21"/>
      <c r="AL348" s="21"/>
      <c r="AM348" s="22"/>
    </row>
    <row r="349" spans="1:39" ht="10.5" customHeight="1" x14ac:dyDescent="0.2">
      <c r="A349" s="12" t="s">
        <v>342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0">
        <v>912.17</v>
      </c>
      <c r="T349" s="10"/>
      <c r="U349" s="10"/>
      <c r="V349" s="10"/>
      <c r="W349" s="10"/>
      <c r="X349" s="10"/>
      <c r="Y349" s="9">
        <v>785.44200000000001</v>
      </c>
      <c r="Z349" s="9"/>
      <c r="AA349" s="9"/>
      <c r="AB349" s="9"/>
      <c r="AC349" s="9"/>
      <c r="AD349" s="9">
        <v>126.72799999999999</v>
      </c>
      <c r="AE349" s="9"/>
      <c r="AF349" s="9"/>
      <c r="AG349" s="9"/>
      <c r="AH349" s="9"/>
      <c r="AI349" s="9"/>
      <c r="AJ349" s="9">
        <v>179.52799999999999</v>
      </c>
      <c r="AK349" s="9"/>
      <c r="AL349" s="9"/>
      <c r="AM349" s="9"/>
    </row>
    <row r="350" spans="1:39" s="15" customFormat="1" ht="21.75" hidden="1" customHeight="1" outlineLevel="1" x14ac:dyDescent="0.2">
      <c r="A350" s="37">
        <v>1</v>
      </c>
      <c r="B350" s="49" t="s">
        <v>343</v>
      </c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3">
        <v>281.73</v>
      </c>
      <c r="T350" s="3"/>
      <c r="U350" s="3"/>
      <c r="V350" s="3"/>
      <c r="W350" s="3"/>
      <c r="X350" s="3"/>
      <c r="Y350" s="4">
        <v>222.881</v>
      </c>
      <c r="Z350" s="4"/>
      <c r="AA350" s="4"/>
      <c r="AB350" s="4"/>
      <c r="AC350" s="4"/>
      <c r="AD350" s="4">
        <v>58.848999999999997</v>
      </c>
      <c r="AE350" s="4"/>
      <c r="AF350" s="4"/>
      <c r="AG350" s="4"/>
      <c r="AH350" s="4"/>
      <c r="AI350" s="4"/>
      <c r="AJ350" s="20"/>
      <c r="AK350" s="21"/>
      <c r="AL350" s="21"/>
      <c r="AM350" s="22"/>
    </row>
    <row r="351" spans="1:39" s="15" customFormat="1" ht="10.5" hidden="1" customHeight="1" outlineLevel="1" x14ac:dyDescent="0.2">
      <c r="A351" s="37">
        <v>2</v>
      </c>
      <c r="B351" s="49" t="s">
        <v>344</v>
      </c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3">
        <v>85.38</v>
      </c>
      <c r="T351" s="3"/>
      <c r="U351" s="3"/>
      <c r="V351" s="3"/>
      <c r="W351" s="3"/>
      <c r="X351" s="3"/>
      <c r="Y351" s="4">
        <v>55.917000000000002</v>
      </c>
      <c r="Z351" s="4"/>
      <c r="AA351" s="4"/>
      <c r="AB351" s="4"/>
      <c r="AC351" s="4"/>
      <c r="AD351" s="4">
        <v>29.463000000000001</v>
      </c>
      <c r="AE351" s="4"/>
      <c r="AF351" s="4"/>
      <c r="AG351" s="4"/>
      <c r="AH351" s="4"/>
      <c r="AI351" s="4"/>
      <c r="AJ351" s="20"/>
      <c r="AK351" s="21"/>
      <c r="AL351" s="21"/>
      <c r="AM351" s="22"/>
    </row>
    <row r="352" spans="1:39" s="15" customFormat="1" ht="21.75" hidden="1" customHeight="1" outlineLevel="1" x14ac:dyDescent="0.2">
      <c r="A352" s="37">
        <v>3</v>
      </c>
      <c r="B352" s="49" t="s">
        <v>345</v>
      </c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3">
        <v>65.22</v>
      </c>
      <c r="T352" s="3"/>
      <c r="U352" s="3"/>
      <c r="V352" s="3"/>
      <c r="W352" s="3"/>
      <c r="X352" s="3"/>
      <c r="Y352" s="4">
        <v>57.395000000000003</v>
      </c>
      <c r="Z352" s="4"/>
      <c r="AA352" s="4"/>
      <c r="AB352" s="4"/>
      <c r="AC352" s="4"/>
      <c r="AD352" s="4">
        <v>7.8250000000000002</v>
      </c>
      <c r="AE352" s="4"/>
      <c r="AF352" s="4"/>
      <c r="AG352" s="4"/>
      <c r="AH352" s="4"/>
      <c r="AI352" s="4"/>
      <c r="AJ352" s="20"/>
      <c r="AK352" s="21"/>
      <c r="AL352" s="21"/>
      <c r="AM352" s="22"/>
    </row>
    <row r="353" spans="1:39" s="15" customFormat="1" ht="21.75" hidden="1" customHeight="1" outlineLevel="1" x14ac:dyDescent="0.2">
      <c r="A353" s="37">
        <v>4</v>
      </c>
      <c r="B353" s="49" t="s">
        <v>346</v>
      </c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3">
        <v>46.88</v>
      </c>
      <c r="T353" s="3"/>
      <c r="U353" s="3"/>
      <c r="V353" s="3"/>
      <c r="W353" s="3"/>
      <c r="X353" s="3"/>
      <c r="Y353" s="4">
        <v>38.433</v>
      </c>
      <c r="Z353" s="4"/>
      <c r="AA353" s="4"/>
      <c r="AB353" s="4"/>
      <c r="AC353" s="4"/>
      <c r="AD353" s="4">
        <v>8.4469999999999992</v>
      </c>
      <c r="AE353" s="4"/>
      <c r="AF353" s="4"/>
      <c r="AG353" s="4"/>
      <c r="AH353" s="4"/>
      <c r="AI353" s="4"/>
      <c r="AJ353" s="20"/>
      <c r="AK353" s="21"/>
      <c r="AL353" s="21"/>
      <c r="AM353" s="22"/>
    </row>
    <row r="354" spans="1:39" s="15" customFormat="1" ht="21.75" hidden="1" customHeight="1" outlineLevel="1" x14ac:dyDescent="0.2">
      <c r="A354" s="37">
        <v>5</v>
      </c>
      <c r="B354" s="49" t="s">
        <v>347</v>
      </c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5">
        <v>29.5</v>
      </c>
      <c r="T354" s="5"/>
      <c r="U354" s="5"/>
      <c r="V354" s="5"/>
      <c r="W354" s="5"/>
      <c r="X354" s="5"/>
      <c r="Y354" s="4">
        <v>21.696000000000002</v>
      </c>
      <c r="Z354" s="4"/>
      <c r="AA354" s="4"/>
      <c r="AB354" s="4"/>
      <c r="AC354" s="4"/>
      <c r="AD354" s="4">
        <v>7.8040000000000003</v>
      </c>
      <c r="AE354" s="4"/>
      <c r="AF354" s="4"/>
      <c r="AG354" s="4"/>
      <c r="AH354" s="4"/>
      <c r="AI354" s="4"/>
      <c r="AJ354" s="20"/>
      <c r="AK354" s="21"/>
      <c r="AL354" s="21"/>
      <c r="AM354" s="22"/>
    </row>
    <row r="355" spans="1:39" s="15" customFormat="1" ht="21.75" hidden="1" customHeight="1" outlineLevel="1" x14ac:dyDescent="0.2">
      <c r="A355" s="37">
        <v>6</v>
      </c>
      <c r="B355" s="49" t="s">
        <v>348</v>
      </c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2">
        <v>133</v>
      </c>
      <c r="T355" s="2"/>
      <c r="U355" s="2"/>
      <c r="V355" s="2"/>
      <c r="W355" s="2"/>
      <c r="X355" s="2"/>
      <c r="Y355" s="3">
        <v>135.56</v>
      </c>
      <c r="Z355" s="3"/>
      <c r="AA355" s="3"/>
      <c r="AB355" s="3"/>
      <c r="AC355" s="3"/>
      <c r="AD355" s="3">
        <v>-2.56</v>
      </c>
      <c r="AE355" s="3"/>
      <c r="AF355" s="3"/>
      <c r="AG355" s="3"/>
      <c r="AH355" s="3"/>
      <c r="AI355" s="3"/>
      <c r="AJ355" s="20"/>
      <c r="AK355" s="21"/>
      <c r="AL355" s="21"/>
      <c r="AM355" s="22"/>
    </row>
    <row r="356" spans="1:39" s="15" customFormat="1" ht="10.5" hidden="1" customHeight="1" outlineLevel="1" x14ac:dyDescent="0.2">
      <c r="A356" s="37">
        <v>7</v>
      </c>
      <c r="B356" s="49" t="s">
        <v>349</v>
      </c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3">
        <v>44.28</v>
      </c>
      <c r="T356" s="3"/>
      <c r="U356" s="3"/>
      <c r="V356" s="3"/>
      <c r="W356" s="3"/>
      <c r="X356" s="3"/>
      <c r="Y356" s="4">
        <v>39.005000000000003</v>
      </c>
      <c r="Z356" s="4"/>
      <c r="AA356" s="4"/>
      <c r="AB356" s="4"/>
      <c r="AC356" s="4"/>
      <c r="AD356" s="4">
        <v>5.2750000000000004</v>
      </c>
      <c r="AE356" s="4"/>
      <c r="AF356" s="4"/>
      <c r="AG356" s="4"/>
      <c r="AH356" s="4"/>
      <c r="AI356" s="4"/>
      <c r="AJ356" s="20"/>
      <c r="AK356" s="21"/>
      <c r="AL356" s="21"/>
      <c r="AM356" s="22"/>
    </row>
    <row r="357" spans="1:39" s="15" customFormat="1" ht="10.5" hidden="1" customHeight="1" outlineLevel="1" x14ac:dyDescent="0.2">
      <c r="A357" s="37">
        <v>8</v>
      </c>
      <c r="B357" s="49" t="s">
        <v>350</v>
      </c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5">
        <v>25.9</v>
      </c>
      <c r="T357" s="5"/>
      <c r="U357" s="5"/>
      <c r="V357" s="5"/>
      <c r="W357" s="5"/>
      <c r="X357" s="5"/>
      <c r="Y357" s="4">
        <v>22.373000000000001</v>
      </c>
      <c r="Z357" s="4"/>
      <c r="AA357" s="4"/>
      <c r="AB357" s="4"/>
      <c r="AC357" s="4"/>
      <c r="AD357" s="4">
        <v>3.5270000000000001</v>
      </c>
      <c r="AE357" s="4"/>
      <c r="AF357" s="4"/>
      <c r="AG357" s="4"/>
      <c r="AH357" s="4"/>
      <c r="AI357" s="4"/>
      <c r="AJ357" s="20"/>
      <c r="AK357" s="21"/>
      <c r="AL357" s="21"/>
      <c r="AM357" s="22"/>
    </row>
    <row r="358" spans="1:39" s="15" customFormat="1" ht="10.5" hidden="1" customHeight="1" outlineLevel="1" x14ac:dyDescent="0.2">
      <c r="A358" s="37">
        <v>9</v>
      </c>
      <c r="B358" s="49" t="s">
        <v>351</v>
      </c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3">
        <v>17.149999999999999</v>
      </c>
      <c r="T358" s="3"/>
      <c r="U358" s="3"/>
      <c r="V358" s="3"/>
      <c r="W358" s="3"/>
      <c r="X358" s="3"/>
      <c r="Y358" s="4">
        <v>12.831</v>
      </c>
      <c r="Z358" s="4"/>
      <c r="AA358" s="4"/>
      <c r="AB358" s="4"/>
      <c r="AC358" s="4"/>
      <c r="AD358" s="4">
        <v>4.319</v>
      </c>
      <c r="AE358" s="4"/>
      <c r="AF358" s="4"/>
      <c r="AG358" s="4"/>
      <c r="AH358" s="4"/>
      <c r="AI358" s="4"/>
      <c r="AJ358" s="20"/>
      <c r="AK358" s="21"/>
      <c r="AL358" s="21"/>
      <c r="AM358" s="22"/>
    </row>
    <row r="359" spans="1:39" s="15" customFormat="1" ht="21.75" hidden="1" customHeight="1" outlineLevel="1" x14ac:dyDescent="0.2">
      <c r="A359" s="37">
        <v>10</v>
      </c>
      <c r="B359" s="49" t="s">
        <v>352</v>
      </c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3">
        <v>11.48</v>
      </c>
      <c r="T359" s="3"/>
      <c r="U359" s="3"/>
      <c r="V359" s="3"/>
      <c r="W359" s="3"/>
      <c r="X359" s="3"/>
      <c r="Y359" s="4">
        <v>8.7509999999999994</v>
      </c>
      <c r="Z359" s="4"/>
      <c r="AA359" s="4"/>
      <c r="AB359" s="4"/>
      <c r="AC359" s="4"/>
      <c r="AD359" s="4">
        <v>2.7290000000000001</v>
      </c>
      <c r="AE359" s="4"/>
      <c r="AF359" s="4"/>
      <c r="AG359" s="4"/>
      <c r="AH359" s="4"/>
      <c r="AI359" s="4"/>
      <c r="AJ359" s="20"/>
      <c r="AK359" s="21"/>
      <c r="AL359" s="21"/>
      <c r="AM359" s="22"/>
    </row>
    <row r="360" spans="1:39" s="15" customFormat="1" ht="10.5" hidden="1" customHeight="1" outlineLevel="1" x14ac:dyDescent="0.2">
      <c r="A360" s="37">
        <v>11</v>
      </c>
      <c r="B360" s="49" t="s">
        <v>353</v>
      </c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5">
        <v>63.3</v>
      </c>
      <c r="T360" s="5"/>
      <c r="U360" s="5"/>
      <c r="V360" s="5"/>
      <c r="W360" s="5"/>
      <c r="X360" s="5"/>
      <c r="Y360" s="4">
        <v>61.908000000000001</v>
      </c>
      <c r="Z360" s="4"/>
      <c r="AA360" s="4"/>
      <c r="AB360" s="4"/>
      <c r="AC360" s="4"/>
      <c r="AD360" s="4">
        <v>1.3919999999999999</v>
      </c>
      <c r="AE360" s="4"/>
      <c r="AF360" s="4"/>
      <c r="AG360" s="4"/>
      <c r="AH360" s="4"/>
      <c r="AI360" s="4"/>
      <c r="AJ360" s="20"/>
      <c r="AK360" s="21"/>
      <c r="AL360" s="21"/>
      <c r="AM360" s="22"/>
    </row>
    <row r="361" spans="1:39" s="15" customFormat="1" ht="21.75" hidden="1" customHeight="1" outlineLevel="1" x14ac:dyDescent="0.2">
      <c r="A361" s="37">
        <v>12</v>
      </c>
      <c r="B361" s="49" t="s">
        <v>354</v>
      </c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3">
        <v>35.71</v>
      </c>
      <c r="T361" s="3"/>
      <c r="U361" s="3"/>
      <c r="V361" s="3"/>
      <c r="W361" s="3"/>
      <c r="X361" s="3"/>
      <c r="Y361" s="4">
        <v>37.628</v>
      </c>
      <c r="Z361" s="4"/>
      <c r="AA361" s="4"/>
      <c r="AB361" s="4"/>
      <c r="AC361" s="4"/>
      <c r="AD361" s="4">
        <v>-1.9179999999999999</v>
      </c>
      <c r="AE361" s="4"/>
      <c r="AF361" s="4"/>
      <c r="AG361" s="4"/>
      <c r="AH361" s="4"/>
      <c r="AI361" s="4"/>
      <c r="AJ361" s="20"/>
      <c r="AK361" s="21"/>
      <c r="AL361" s="21"/>
      <c r="AM361" s="22"/>
    </row>
    <row r="362" spans="1:39" s="15" customFormat="1" ht="21.75" hidden="1" customHeight="1" outlineLevel="1" x14ac:dyDescent="0.2">
      <c r="A362" s="37">
        <v>13</v>
      </c>
      <c r="B362" s="49" t="s">
        <v>355</v>
      </c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3">
        <v>51.03</v>
      </c>
      <c r="T362" s="3"/>
      <c r="U362" s="3"/>
      <c r="V362" s="3"/>
      <c r="W362" s="3"/>
      <c r="X362" s="3"/>
      <c r="Y362" s="4">
        <v>50.408000000000001</v>
      </c>
      <c r="Z362" s="4"/>
      <c r="AA362" s="4"/>
      <c r="AB362" s="4"/>
      <c r="AC362" s="4"/>
      <c r="AD362" s="4">
        <v>0.622</v>
      </c>
      <c r="AE362" s="4"/>
      <c r="AF362" s="4"/>
      <c r="AG362" s="4"/>
      <c r="AH362" s="4"/>
      <c r="AI362" s="4"/>
      <c r="AJ362" s="20"/>
      <c r="AK362" s="21"/>
      <c r="AL362" s="21"/>
      <c r="AM362" s="22"/>
    </row>
    <row r="363" spans="1:39" s="15" customFormat="1" ht="21.75" hidden="1" customHeight="1" outlineLevel="1" x14ac:dyDescent="0.2">
      <c r="A363" s="37">
        <v>14</v>
      </c>
      <c r="B363" s="49" t="s">
        <v>356</v>
      </c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3">
        <v>10.16</v>
      </c>
      <c r="T363" s="3"/>
      <c r="U363" s="3"/>
      <c r="V363" s="3"/>
      <c r="W363" s="3"/>
      <c r="X363" s="3"/>
      <c r="Y363" s="3">
        <v>9.4600000000000009</v>
      </c>
      <c r="Z363" s="3"/>
      <c r="AA363" s="3"/>
      <c r="AB363" s="3"/>
      <c r="AC363" s="3"/>
      <c r="AD363" s="5">
        <v>0.7</v>
      </c>
      <c r="AE363" s="5"/>
      <c r="AF363" s="5"/>
      <c r="AG363" s="5"/>
      <c r="AH363" s="5"/>
      <c r="AI363" s="5"/>
      <c r="AJ363" s="20"/>
      <c r="AK363" s="21"/>
      <c r="AL363" s="21"/>
      <c r="AM363" s="22"/>
    </row>
    <row r="364" spans="1:39" s="15" customFormat="1" ht="21.75" hidden="1" customHeight="1" outlineLevel="1" x14ac:dyDescent="0.2">
      <c r="A364" s="37">
        <v>15</v>
      </c>
      <c r="B364" s="49" t="s">
        <v>357</v>
      </c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3">
        <v>11.45</v>
      </c>
      <c r="T364" s="3"/>
      <c r="U364" s="3"/>
      <c r="V364" s="3"/>
      <c r="W364" s="3"/>
      <c r="X364" s="3"/>
      <c r="Y364" s="4">
        <v>11.196</v>
      </c>
      <c r="Z364" s="4"/>
      <c r="AA364" s="4"/>
      <c r="AB364" s="4"/>
      <c r="AC364" s="4"/>
      <c r="AD364" s="4">
        <v>0.254</v>
      </c>
      <c r="AE364" s="4"/>
      <c r="AF364" s="4"/>
      <c r="AG364" s="4"/>
      <c r="AH364" s="4"/>
      <c r="AI364" s="4"/>
      <c r="AJ364" s="20"/>
      <c r="AK364" s="21"/>
      <c r="AL364" s="21"/>
      <c r="AM364" s="22"/>
    </row>
    <row r="365" spans="1:39" ht="10.5" customHeight="1" x14ac:dyDescent="0.2">
      <c r="A365" s="12" t="s">
        <v>358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0">
        <v>991.92</v>
      </c>
      <c r="T365" s="10"/>
      <c r="U365" s="10"/>
      <c r="V365" s="10"/>
      <c r="W365" s="10"/>
      <c r="X365" s="10"/>
      <c r="Y365" s="9">
        <v>891.279</v>
      </c>
      <c r="Z365" s="9"/>
      <c r="AA365" s="9"/>
      <c r="AB365" s="9"/>
      <c r="AC365" s="9"/>
      <c r="AD365" s="9">
        <v>100.64100000000001</v>
      </c>
      <c r="AE365" s="9"/>
      <c r="AF365" s="9"/>
      <c r="AG365" s="9"/>
      <c r="AH365" s="9"/>
      <c r="AI365" s="9"/>
      <c r="AJ365" s="9">
        <v>138.60400000000001</v>
      </c>
      <c r="AK365" s="9"/>
      <c r="AL365" s="9"/>
      <c r="AM365" s="9"/>
    </row>
    <row r="366" spans="1:39" s="15" customFormat="1" ht="21.75" hidden="1" customHeight="1" outlineLevel="1" x14ac:dyDescent="0.2">
      <c r="A366" s="37">
        <v>1</v>
      </c>
      <c r="B366" s="49" t="s">
        <v>359</v>
      </c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3">
        <v>64.06</v>
      </c>
      <c r="T366" s="3"/>
      <c r="U366" s="3"/>
      <c r="V366" s="3"/>
      <c r="W366" s="3"/>
      <c r="X366" s="3"/>
      <c r="Y366" s="4">
        <v>41.878999999999998</v>
      </c>
      <c r="Z366" s="4"/>
      <c r="AA366" s="4"/>
      <c r="AB366" s="4"/>
      <c r="AC366" s="4"/>
      <c r="AD366" s="4">
        <v>22.181000000000001</v>
      </c>
      <c r="AE366" s="4"/>
      <c r="AF366" s="4"/>
      <c r="AG366" s="4"/>
      <c r="AH366" s="4"/>
      <c r="AI366" s="4"/>
      <c r="AJ366" s="20"/>
      <c r="AK366" s="21"/>
      <c r="AL366" s="21"/>
      <c r="AM366" s="22"/>
    </row>
    <row r="367" spans="1:39" s="15" customFormat="1" ht="10.5" hidden="1" customHeight="1" outlineLevel="1" x14ac:dyDescent="0.2">
      <c r="A367" s="37">
        <v>2</v>
      </c>
      <c r="B367" s="49" t="s">
        <v>360</v>
      </c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5">
        <v>64.599999999999994</v>
      </c>
      <c r="T367" s="5"/>
      <c r="U367" s="5"/>
      <c r="V367" s="5"/>
      <c r="W367" s="5"/>
      <c r="X367" s="5"/>
      <c r="Y367" s="4">
        <v>46.896000000000001</v>
      </c>
      <c r="Z367" s="4"/>
      <c r="AA367" s="4"/>
      <c r="AB367" s="4"/>
      <c r="AC367" s="4"/>
      <c r="AD367" s="4">
        <v>17.704000000000001</v>
      </c>
      <c r="AE367" s="4"/>
      <c r="AF367" s="4"/>
      <c r="AG367" s="4"/>
      <c r="AH367" s="4"/>
      <c r="AI367" s="4"/>
      <c r="AJ367" s="20"/>
      <c r="AK367" s="21"/>
      <c r="AL367" s="21"/>
      <c r="AM367" s="22"/>
    </row>
    <row r="368" spans="1:39" s="15" customFormat="1" ht="21.75" hidden="1" customHeight="1" outlineLevel="1" x14ac:dyDescent="0.2">
      <c r="A368" s="37">
        <v>3</v>
      </c>
      <c r="B368" s="49" t="s">
        <v>361</v>
      </c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3">
        <v>48.14</v>
      </c>
      <c r="T368" s="3"/>
      <c r="U368" s="3"/>
      <c r="V368" s="3"/>
      <c r="W368" s="3"/>
      <c r="X368" s="3"/>
      <c r="Y368" s="4">
        <v>34.072000000000003</v>
      </c>
      <c r="Z368" s="4"/>
      <c r="AA368" s="4"/>
      <c r="AB368" s="4"/>
      <c r="AC368" s="4"/>
      <c r="AD368" s="4">
        <v>14.068</v>
      </c>
      <c r="AE368" s="4"/>
      <c r="AF368" s="4"/>
      <c r="AG368" s="4"/>
      <c r="AH368" s="4"/>
      <c r="AI368" s="4"/>
      <c r="AJ368" s="20"/>
      <c r="AK368" s="21"/>
      <c r="AL368" s="21"/>
      <c r="AM368" s="22"/>
    </row>
    <row r="369" spans="1:39" s="15" customFormat="1" ht="10.5" hidden="1" customHeight="1" outlineLevel="1" x14ac:dyDescent="0.2">
      <c r="A369" s="37">
        <v>4</v>
      </c>
      <c r="B369" s="49" t="s">
        <v>362</v>
      </c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3">
        <v>116.72</v>
      </c>
      <c r="T369" s="3"/>
      <c r="U369" s="3"/>
      <c r="V369" s="3"/>
      <c r="W369" s="3"/>
      <c r="X369" s="3"/>
      <c r="Y369" s="4">
        <v>105.196</v>
      </c>
      <c r="Z369" s="4"/>
      <c r="AA369" s="4"/>
      <c r="AB369" s="4"/>
      <c r="AC369" s="4"/>
      <c r="AD369" s="4">
        <v>11.523999999999999</v>
      </c>
      <c r="AE369" s="4"/>
      <c r="AF369" s="4"/>
      <c r="AG369" s="4"/>
      <c r="AH369" s="4"/>
      <c r="AI369" s="4"/>
      <c r="AJ369" s="20"/>
      <c r="AK369" s="21"/>
      <c r="AL369" s="21"/>
      <c r="AM369" s="22"/>
    </row>
    <row r="370" spans="1:39" s="15" customFormat="1" ht="10.5" hidden="1" customHeight="1" outlineLevel="1" x14ac:dyDescent="0.2">
      <c r="A370" s="37">
        <v>5</v>
      </c>
      <c r="B370" s="49" t="s">
        <v>363</v>
      </c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3">
        <v>109.96</v>
      </c>
      <c r="T370" s="3"/>
      <c r="U370" s="3"/>
      <c r="V370" s="3"/>
      <c r="W370" s="3"/>
      <c r="X370" s="3"/>
      <c r="Y370" s="4">
        <v>104.964</v>
      </c>
      <c r="Z370" s="4"/>
      <c r="AA370" s="4"/>
      <c r="AB370" s="4"/>
      <c r="AC370" s="4"/>
      <c r="AD370" s="4">
        <v>4.9960000000000004</v>
      </c>
      <c r="AE370" s="4"/>
      <c r="AF370" s="4"/>
      <c r="AG370" s="4"/>
      <c r="AH370" s="4"/>
      <c r="AI370" s="4"/>
      <c r="AJ370" s="20"/>
      <c r="AK370" s="21"/>
      <c r="AL370" s="21"/>
      <c r="AM370" s="22"/>
    </row>
    <row r="371" spans="1:39" s="15" customFormat="1" ht="21.75" hidden="1" customHeight="1" outlineLevel="1" x14ac:dyDescent="0.2">
      <c r="A371" s="37">
        <v>6</v>
      </c>
      <c r="B371" s="49" t="s">
        <v>364</v>
      </c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3">
        <v>75.92</v>
      </c>
      <c r="T371" s="3"/>
      <c r="U371" s="3"/>
      <c r="V371" s="3"/>
      <c r="W371" s="3"/>
      <c r="X371" s="3"/>
      <c r="Y371" s="4">
        <v>71.426000000000002</v>
      </c>
      <c r="Z371" s="4"/>
      <c r="AA371" s="4"/>
      <c r="AB371" s="4"/>
      <c r="AC371" s="4"/>
      <c r="AD371" s="4">
        <v>4.4939999999999998</v>
      </c>
      <c r="AE371" s="4"/>
      <c r="AF371" s="4"/>
      <c r="AG371" s="4"/>
      <c r="AH371" s="4"/>
      <c r="AI371" s="4"/>
      <c r="AJ371" s="20"/>
      <c r="AK371" s="21"/>
      <c r="AL371" s="21"/>
      <c r="AM371" s="22"/>
    </row>
    <row r="372" spans="1:39" s="15" customFormat="1" ht="21.75" hidden="1" customHeight="1" outlineLevel="1" x14ac:dyDescent="0.2">
      <c r="A372" s="37">
        <v>7</v>
      </c>
      <c r="B372" s="49" t="s">
        <v>365</v>
      </c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3">
        <v>29.98</v>
      </c>
      <c r="T372" s="3"/>
      <c r="U372" s="3"/>
      <c r="V372" s="3"/>
      <c r="W372" s="3"/>
      <c r="X372" s="3"/>
      <c r="Y372" s="4">
        <v>23.516999999999999</v>
      </c>
      <c r="Z372" s="4"/>
      <c r="AA372" s="4"/>
      <c r="AB372" s="4"/>
      <c r="AC372" s="4"/>
      <c r="AD372" s="4">
        <v>6.4630000000000001</v>
      </c>
      <c r="AE372" s="4"/>
      <c r="AF372" s="4"/>
      <c r="AG372" s="4"/>
      <c r="AH372" s="4"/>
      <c r="AI372" s="4"/>
      <c r="AJ372" s="20"/>
      <c r="AK372" s="21"/>
      <c r="AL372" s="21"/>
      <c r="AM372" s="22"/>
    </row>
    <row r="373" spans="1:39" s="15" customFormat="1" ht="10.5" hidden="1" customHeight="1" outlineLevel="1" x14ac:dyDescent="0.2">
      <c r="A373" s="37">
        <v>8</v>
      </c>
      <c r="B373" s="49" t="s">
        <v>366</v>
      </c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5">
        <v>25.4</v>
      </c>
      <c r="T373" s="5"/>
      <c r="U373" s="5"/>
      <c r="V373" s="5"/>
      <c r="W373" s="5"/>
      <c r="X373" s="5"/>
      <c r="Y373" s="4">
        <v>17.817</v>
      </c>
      <c r="Z373" s="4"/>
      <c r="AA373" s="4"/>
      <c r="AB373" s="4"/>
      <c r="AC373" s="4"/>
      <c r="AD373" s="4">
        <v>7.5830000000000002</v>
      </c>
      <c r="AE373" s="4"/>
      <c r="AF373" s="4"/>
      <c r="AG373" s="4"/>
      <c r="AH373" s="4"/>
      <c r="AI373" s="4"/>
      <c r="AJ373" s="20"/>
      <c r="AK373" s="21"/>
      <c r="AL373" s="21"/>
      <c r="AM373" s="22"/>
    </row>
    <row r="374" spans="1:39" s="15" customFormat="1" ht="10.5" hidden="1" customHeight="1" outlineLevel="1" x14ac:dyDescent="0.2">
      <c r="A374" s="37">
        <v>9</v>
      </c>
      <c r="B374" s="49" t="s">
        <v>367</v>
      </c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5">
        <v>41.6</v>
      </c>
      <c r="T374" s="5"/>
      <c r="U374" s="5"/>
      <c r="V374" s="5"/>
      <c r="W374" s="5"/>
      <c r="X374" s="5"/>
      <c r="Y374" s="5">
        <v>36.4</v>
      </c>
      <c r="Z374" s="5"/>
      <c r="AA374" s="5"/>
      <c r="AB374" s="5"/>
      <c r="AC374" s="5"/>
      <c r="AD374" s="5">
        <v>5.2</v>
      </c>
      <c r="AE374" s="5"/>
      <c r="AF374" s="5"/>
      <c r="AG374" s="5"/>
      <c r="AH374" s="5"/>
      <c r="AI374" s="5"/>
      <c r="AJ374" s="20"/>
      <c r="AK374" s="21"/>
      <c r="AL374" s="21"/>
      <c r="AM374" s="22"/>
    </row>
    <row r="375" spans="1:39" s="15" customFormat="1" ht="10.5" hidden="1" customHeight="1" outlineLevel="1" x14ac:dyDescent="0.2">
      <c r="A375" s="37">
        <v>10</v>
      </c>
      <c r="B375" s="49" t="s">
        <v>368</v>
      </c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3">
        <v>46.98</v>
      </c>
      <c r="T375" s="3"/>
      <c r="U375" s="3"/>
      <c r="V375" s="3"/>
      <c r="W375" s="3"/>
      <c r="X375" s="3"/>
      <c r="Y375" s="4">
        <v>40.265000000000001</v>
      </c>
      <c r="Z375" s="4"/>
      <c r="AA375" s="4"/>
      <c r="AB375" s="4"/>
      <c r="AC375" s="4"/>
      <c r="AD375" s="4">
        <v>6.7149999999999999</v>
      </c>
      <c r="AE375" s="4"/>
      <c r="AF375" s="4"/>
      <c r="AG375" s="4"/>
      <c r="AH375" s="4"/>
      <c r="AI375" s="4"/>
      <c r="AJ375" s="20"/>
      <c r="AK375" s="21"/>
      <c r="AL375" s="21"/>
      <c r="AM375" s="22"/>
    </row>
    <row r="376" spans="1:39" s="15" customFormat="1" ht="10.5" hidden="1" customHeight="1" outlineLevel="1" x14ac:dyDescent="0.2">
      <c r="A376" s="37">
        <v>11</v>
      </c>
      <c r="B376" s="49" t="s">
        <v>369</v>
      </c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5">
        <v>20.3</v>
      </c>
      <c r="T376" s="5"/>
      <c r="U376" s="5"/>
      <c r="V376" s="5"/>
      <c r="W376" s="5"/>
      <c r="X376" s="5"/>
      <c r="Y376" s="3">
        <v>14.14</v>
      </c>
      <c r="Z376" s="3"/>
      <c r="AA376" s="3"/>
      <c r="AB376" s="3"/>
      <c r="AC376" s="3"/>
      <c r="AD376" s="3">
        <v>6.16</v>
      </c>
      <c r="AE376" s="3"/>
      <c r="AF376" s="3"/>
      <c r="AG376" s="3"/>
      <c r="AH376" s="3"/>
      <c r="AI376" s="3"/>
      <c r="AJ376" s="20"/>
      <c r="AK376" s="21"/>
      <c r="AL376" s="21"/>
      <c r="AM376" s="22"/>
    </row>
    <row r="377" spans="1:39" s="15" customFormat="1" ht="21.75" hidden="1" customHeight="1" outlineLevel="1" x14ac:dyDescent="0.2">
      <c r="A377" s="37">
        <v>12</v>
      </c>
      <c r="B377" s="49" t="s">
        <v>370</v>
      </c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3">
        <v>21.76</v>
      </c>
      <c r="T377" s="3"/>
      <c r="U377" s="3"/>
      <c r="V377" s="3"/>
      <c r="W377" s="3"/>
      <c r="X377" s="3"/>
      <c r="Y377" s="4">
        <v>20.440999999999999</v>
      </c>
      <c r="Z377" s="4"/>
      <c r="AA377" s="4"/>
      <c r="AB377" s="4"/>
      <c r="AC377" s="4"/>
      <c r="AD377" s="4">
        <v>1.319</v>
      </c>
      <c r="AE377" s="4"/>
      <c r="AF377" s="4"/>
      <c r="AG377" s="4"/>
      <c r="AH377" s="4"/>
      <c r="AI377" s="4"/>
      <c r="AJ377" s="20"/>
      <c r="AK377" s="21"/>
      <c r="AL377" s="21"/>
      <c r="AM377" s="22"/>
    </row>
    <row r="378" spans="1:39" s="15" customFormat="1" ht="21.75" hidden="1" customHeight="1" outlineLevel="1" x14ac:dyDescent="0.2">
      <c r="A378" s="37">
        <v>13</v>
      </c>
      <c r="B378" s="49" t="s">
        <v>371</v>
      </c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3">
        <v>52.35</v>
      </c>
      <c r="T378" s="3"/>
      <c r="U378" s="3"/>
      <c r="V378" s="3"/>
      <c r="W378" s="3"/>
      <c r="X378" s="3"/>
      <c r="Y378" s="4">
        <v>52.506999999999998</v>
      </c>
      <c r="Z378" s="4"/>
      <c r="AA378" s="4"/>
      <c r="AB378" s="4"/>
      <c r="AC378" s="4"/>
      <c r="AD378" s="4">
        <v>-0.157</v>
      </c>
      <c r="AE378" s="4"/>
      <c r="AF378" s="4"/>
      <c r="AG378" s="4"/>
      <c r="AH378" s="4"/>
      <c r="AI378" s="4"/>
      <c r="AJ378" s="20"/>
      <c r="AK378" s="21"/>
      <c r="AL378" s="21"/>
      <c r="AM378" s="22"/>
    </row>
    <row r="379" spans="1:39" s="15" customFormat="1" ht="21.75" hidden="1" customHeight="1" outlineLevel="1" x14ac:dyDescent="0.2">
      <c r="A379" s="37">
        <v>14</v>
      </c>
      <c r="B379" s="49" t="s">
        <v>372</v>
      </c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5">
        <v>36.6</v>
      </c>
      <c r="T379" s="5"/>
      <c r="U379" s="5"/>
      <c r="V379" s="5"/>
      <c r="W379" s="5"/>
      <c r="X379" s="5"/>
      <c r="Y379" s="4">
        <v>40.344999999999999</v>
      </c>
      <c r="Z379" s="4"/>
      <c r="AA379" s="4"/>
      <c r="AB379" s="4"/>
      <c r="AC379" s="4"/>
      <c r="AD379" s="4">
        <v>-3.7450000000000001</v>
      </c>
      <c r="AE379" s="4"/>
      <c r="AF379" s="4"/>
      <c r="AG379" s="4"/>
      <c r="AH379" s="4"/>
      <c r="AI379" s="4"/>
      <c r="AJ379" s="20"/>
      <c r="AK379" s="21"/>
      <c r="AL379" s="21"/>
      <c r="AM379" s="22"/>
    </row>
    <row r="380" spans="1:39" s="15" customFormat="1" ht="10.5" hidden="1" customHeight="1" outlineLevel="1" x14ac:dyDescent="0.2">
      <c r="A380" s="37">
        <v>15</v>
      </c>
      <c r="B380" s="49" t="s">
        <v>373</v>
      </c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3">
        <v>76.02</v>
      </c>
      <c r="T380" s="3"/>
      <c r="U380" s="3"/>
      <c r="V380" s="3"/>
      <c r="W380" s="3"/>
      <c r="X380" s="3"/>
      <c r="Y380" s="4">
        <v>76.305999999999997</v>
      </c>
      <c r="Z380" s="4"/>
      <c r="AA380" s="4"/>
      <c r="AB380" s="4"/>
      <c r="AC380" s="4"/>
      <c r="AD380" s="4">
        <v>-0.28599999999999998</v>
      </c>
      <c r="AE380" s="4"/>
      <c r="AF380" s="4"/>
      <c r="AG380" s="4"/>
      <c r="AH380" s="4"/>
      <c r="AI380" s="4"/>
      <c r="AJ380" s="20"/>
      <c r="AK380" s="21"/>
      <c r="AL380" s="21"/>
      <c r="AM380" s="22"/>
    </row>
    <row r="381" spans="1:39" s="15" customFormat="1" ht="10.5" hidden="1" customHeight="1" outlineLevel="1" x14ac:dyDescent="0.2">
      <c r="A381" s="37">
        <v>16</v>
      </c>
      <c r="B381" s="49" t="s">
        <v>374</v>
      </c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3">
        <v>18.48</v>
      </c>
      <c r="T381" s="3"/>
      <c r="U381" s="3"/>
      <c r="V381" s="3"/>
      <c r="W381" s="3"/>
      <c r="X381" s="3"/>
      <c r="Y381" s="4">
        <v>22.314</v>
      </c>
      <c r="Z381" s="4"/>
      <c r="AA381" s="4"/>
      <c r="AB381" s="4"/>
      <c r="AC381" s="4"/>
      <c r="AD381" s="4">
        <v>-3.8340000000000001</v>
      </c>
      <c r="AE381" s="4"/>
      <c r="AF381" s="4"/>
      <c r="AG381" s="4"/>
      <c r="AH381" s="4"/>
      <c r="AI381" s="4"/>
      <c r="AJ381" s="20"/>
      <c r="AK381" s="21"/>
      <c r="AL381" s="21"/>
      <c r="AM381" s="22"/>
    </row>
    <row r="382" spans="1:39" s="15" customFormat="1" ht="10.5" hidden="1" customHeight="1" outlineLevel="1" x14ac:dyDescent="0.2">
      <c r="A382" s="37">
        <v>17</v>
      </c>
      <c r="B382" s="49" t="s">
        <v>375</v>
      </c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3">
        <v>51.23</v>
      </c>
      <c r="T382" s="3"/>
      <c r="U382" s="3"/>
      <c r="V382" s="3"/>
      <c r="W382" s="3"/>
      <c r="X382" s="3"/>
      <c r="Y382" s="4">
        <v>51.009</v>
      </c>
      <c r="Z382" s="4"/>
      <c r="AA382" s="4"/>
      <c r="AB382" s="4"/>
      <c r="AC382" s="4"/>
      <c r="AD382" s="4">
        <v>0.221</v>
      </c>
      <c r="AE382" s="4"/>
      <c r="AF382" s="4"/>
      <c r="AG382" s="4"/>
      <c r="AH382" s="4"/>
      <c r="AI382" s="4"/>
      <c r="AJ382" s="20"/>
      <c r="AK382" s="21"/>
      <c r="AL382" s="21"/>
      <c r="AM382" s="22"/>
    </row>
    <row r="383" spans="1:39" s="15" customFormat="1" ht="21.75" hidden="1" customHeight="1" outlineLevel="1" x14ac:dyDescent="0.2">
      <c r="A383" s="37">
        <v>18</v>
      </c>
      <c r="B383" s="49" t="s">
        <v>376</v>
      </c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3">
        <v>18.46</v>
      </c>
      <c r="T383" s="3"/>
      <c r="U383" s="3"/>
      <c r="V383" s="3"/>
      <c r="W383" s="3"/>
      <c r="X383" s="3"/>
      <c r="Y383" s="4">
        <v>18.134</v>
      </c>
      <c r="Z383" s="4"/>
      <c r="AA383" s="4"/>
      <c r="AB383" s="4"/>
      <c r="AC383" s="4"/>
      <c r="AD383" s="4">
        <v>0.32600000000000001</v>
      </c>
      <c r="AE383" s="4"/>
      <c r="AF383" s="4"/>
      <c r="AG383" s="4"/>
      <c r="AH383" s="4"/>
      <c r="AI383" s="4"/>
      <c r="AJ383" s="20"/>
      <c r="AK383" s="21"/>
      <c r="AL383" s="21"/>
      <c r="AM383" s="22"/>
    </row>
    <row r="384" spans="1:39" s="15" customFormat="1" ht="10.5" hidden="1" customHeight="1" outlineLevel="1" x14ac:dyDescent="0.2">
      <c r="A384" s="37">
        <v>19</v>
      </c>
      <c r="B384" s="49" t="s">
        <v>377</v>
      </c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2">
        <v>33</v>
      </c>
      <c r="T384" s="2"/>
      <c r="U384" s="2"/>
      <c r="V384" s="2"/>
      <c r="W384" s="2"/>
      <c r="X384" s="2"/>
      <c r="Y384" s="4">
        <v>32.750999999999998</v>
      </c>
      <c r="Z384" s="4"/>
      <c r="AA384" s="4"/>
      <c r="AB384" s="4"/>
      <c r="AC384" s="4"/>
      <c r="AD384" s="4">
        <v>0.249</v>
      </c>
      <c r="AE384" s="4"/>
      <c r="AF384" s="4"/>
      <c r="AG384" s="4"/>
      <c r="AH384" s="4"/>
      <c r="AI384" s="4"/>
      <c r="AJ384" s="20"/>
      <c r="AK384" s="21"/>
      <c r="AL384" s="21"/>
      <c r="AM384" s="22"/>
    </row>
    <row r="385" spans="1:39" s="15" customFormat="1" ht="10.5" hidden="1" customHeight="1" outlineLevel="1" x14ac:dyDescent="0.2">
      <c r="A385" s="37">
        <v>20</v>
      </c>
      <c r="B385" s="49" t="s">
        <v>378</v>
      </c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3">
        <v>19.559999999999999</v>
      </c>
      <c r="T385" s="3"/>
      <c r="U385" s="3"/>
      <c r="V385" s="3"/>
      <c r="W385" s="3"/>
      <c r="X385" s="3"/>
      <c r="Y385" s="5">
        <v>20.100000000000001</v>
      </c>
      <c r="Z385" s="5"/>
      <c r="AA385" s="5"/>
      <c r="AB385" s="5"/>
      <c r="AC385" s="5"/>
      <c r="AD385" s="3">
        <v>-0.54</v>
      </c>
      <c r="AE385" s="3"/>
      <c r="AF385" s="3"/>
      <c r="AG385" s="3"/>
      <c r="AH385" s="3"/>
      <c r="AI385" s="3"/>
      <c r="AJ385" s="20"/>
      <c r="AK385" s="21"/>
      <c r="AL385" s="21"/>
      <c r="AM385" s="22"/>
    </row>
    <row r="386" spans="1:39" s="15" customFormat="1" ht="10.5" hidden="1" customHeight="1" outlineLevel="1" x14ac:dyDescent="0.2">
      <c r="A386" s="37">
        <v>21</v>
      </c>
      <c r="B386" s="49" t="s">
        <v>379</v>
      </c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5">
        <v>1.8</v>
      </c>
      <c r="T386" s="5"/>
      <c r="U386" s="5"/>
      <c r="V386" s="5"/>
      <c r="W386" s="5"/>
      <c r="X386" s="5"/>
      <c r="Y386" s="5">
        <v>1.8</v>
      </c>
      <c r="Z386" s="5"/>
      <c r="AA386" s="5"/>
      <c r="AB386" s="5"/>
      <c r="AC386" s="5"/>
      <c r="AD386" s="23"/>
      <c r="AE386" s="24"/>
      <c r="AF386" s="24"/>
      <c r="AG386" s="24"/>
      <c r="AH386" s="24"/>
      <c r="AI386" s="25"/>
      <c r="AJ386" s="20"/>
      <c r="AK386" s="21"/>
      <c r="AL386" s="21"/>
      <c r="AM386" s="22"/>
    </row>
    <row r="387" spans="1:39" s="15" customFormat="1" ht="10.5" hidden="1" customHeight="1" outlineLevel="1" x14ac:dyDescent="0.2">
      <c r="A387" s="37">
        <v>22</v>
      </c>
      <c r="B387" s="49" t="s">
        <v>380</v>
      </c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2">
        <v>19</v>
      </c>
      <c r="T387" s="2"/>
      <c r="U387" s="2"/>
      <c r="V387" s="2"/>
      <c r="W387" s="2"/>
      <c r="X387" s="2"/>
      <c r="Y387" s="2">
        <v>19</v>
      </c>
      <c r="Z387" s="2"/>
      <c r="AA387" s="2"/>
      <c r="AB387" s="2"/>
      <c r="AC387" s="2"/>
      <c r="AD387" s="23"/>
      <c r="AE387" s="24"/>
      <c r="AF387" s="24"/>
      <c r="AG387" s="24"/>
      <c r="AH387" s="24"/>
      <c r="AI387" s="25"/>
      <c r="AJ387" s="20"/>
      <c r="AK387" s="21"/>
      <c r="AL387" s="21"/>
      <c r="AM387" s="22"/>
    </row>
    <row r="388" spans="1:39" ht="10.5" customHeight="1" x14ac:dyDescent="0.2">
      <c r="A388" s="12" t="s">
        <v>381</v>
      </c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1">
        <v>1214.2239999999999</v>
      </c>
      <c r="T388" s="11"/>
      <c r="U388" s="11"/>
      <c r="V388" s="11"/>
      <c r="W388" s="11"/>
      <c r="X388" s="11"/>
      <c r="Y388" s="9">
        <v>432.13099999999997</v>
      </c>
      <c r="Z388" s="9"/>
      <c r="AA388" s="9"/>
      <c r="AB388" s="9"/>
      <c r="AC388" s="9"/>
      <c r="AD388" s="9">
        <v>782.09299999999996</v>
      </c>
      <c r="AE388" s="9"/>
      <c r="AF388" s="9"/>
      <c r="AG388" s="9"/>
      <c r="AH388" s="9"/>
      <c r="AI388" s="9"/>
      <c r="AJ388" s="9">
        <v>789.68499999999995</v>
      </c>
      <c r="AK388" s="9"/>
      <c r="AL388" s="9"/>
      <c r="AM388" s="9"/>
    </row>
    <row r="389" spans="1:39" s="15" customFormat="1" ht="10.5" hidden="1" customHeight="1" outlineLevel="1" x14ac:dyDescent="0.2">
      <c r="A389" s="37">
        <v>1</v>
      </c>
      <c r="B389" s="49" t="s">
        <v>382</v>
      </c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">
        <v>197.744</v>
      </c>
      <c r="T389" s="4"/>
      <c r="U389" s="4"/>
      <c r="V389" s="4"/>
      <c r="W389" s="4"/>
      <c r="X389" s="4"/>
      <c r="Y389" s="5">
        <v>17.899999999999999</v>
      </c>
      <c r="Z389" s="5"/>
      <c r="AA389" s="5"/>
      <c r="AB389" s="5"/>
      <c r="AC389" s="5"/>
      <c r="AD389" s="4">
        <v>179.84399999999999</v>
      </c>
      <c r="AE389" s="4"/>
      <c r="AF389" s="4"/>
      <c r="AG389" s="4"/>
      <c r="AH389" s="4"/>
      <c r="AI389" s="4"/>
      <c r="AJ389" s="20"/>
      <c r="AK389" s="21"/>
      <c r="AL389" s="21"/>
      <c r="AM389" s="22"/>
    </row>
    <row r="390" spans="1:39" s="15" customFormat="1" ht="10.5" hidden="1" customHeight="1" outlineLevel="1" x14ac:dyDescent="0.2">
      <c r="A390" s="37">
        <v>2</v>
      </c>
      <c r="B390" s="49" t="s">
        <v>383</v>
      </c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">
        <v>164.244</v>
      </c>
      <c r="T390" s="4"/>
      <c r="U390" s="4"/>
      <c r="V390" s="4"/>
      <c r="W390" s="4"/>
      <c r="X390" s="4"/>
      <c r="Y390" s="2">
        <v>11</v>
      </c>
      <c r="Z390" s="2"/>
      <c r="AA390" s="2"/>
      <c r="AB390" s="2"/>
      <c r="AC390" s="2"/>
      <c r="AD390" s="4">
        <v>153.244</v>
      </c>
      <c r="AE390" s="4"/>
      <c r="AF390" s="4"/>
      <c r="AG390" s="4"/>
      <c r="AH390" s="4"/>
      <c r="AI390" s="4"/>
      <c r="AJ390" s="20"/>
      <c r="AK390" s="21"/>
      <c r="AL390" s="21"/>
      <c r="AM390" s="22"/>
    </row>
    <row r="391" spans="1:39" s="15" customFormat="1" ht="10.5" hidden="1" customHeight="1" outlineLevel="1" x14ac:dyDescent="0.2">
      <c r="A391" s="37">
        <v>3</v>
      </c>
      <c r="B391" s="49" t="s">
        <v>384</v>
      </c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">
        <v>142.26400000000001</v>
      </c>
      <c r="T391" s="4"/>
      <c r="U391" s="4"/>
      <c r="V391" s="4"/>
      <c r="W391" s="4"/>
      <c r="X391" s="4"/>
      <c r="Y391" s="5">
        <v>17.899999999999999</v>
      </c>
      <c r="Z391" s="5"/>
      <c r="AA391" s="5"/>
      <c r="AB391" s="5"/>
      <c r="AC391" s="5"/>
      <c r="AD391" s="4">
        <v>124.364</v>
      </c>
      <c r="AE391" s="4"/>
      <c r="AF391" s="4"/>
      <c r="AG391" s="4"/>
      <c r="AH391" s="4"/>
      <c r="AI391" s="4"/>
      <c r="AJ391" s="20"/>
      <c r="AK391" s="21"/>
      <c r="AL391" s="21"/>
      <c r="AM391" s="22"/>
    </row>
    <row r="392" spans="1:39" s="15" customFormat="1" ht="10.5" hidden="1" customHeight="1" outlineLevel="1" x14ac:dyDescent="0.2">
      <c r="A392" s="37">
        <v>4</v>
      </c>
      <c r="B392" s="49" t="s">
        <v>385</v>
      </c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">
        <v>151.54400000000001</v>
      </c>
      <c r="T392" s="4"/>
      <c r="U392" s="4"/>
      <c r="V392" s="4"/>
      <c r="W392" s="4"/>
      <c r="X392" s="4"/>
      <c r="Y392" s="5">
        <v>32.700000000000003</v>
      </c>
      <c r="Z392" s="5"/>
      <c r="AA392" s="5"/>
      <c r="AB392" s="5"/>
      <c r="AC392" s="5"/>
      <c r="AD392" s="4">
        <v>118.84399999999999</v>
      </c>
      <c r="AE392" s="4"/>
      <c r="AF392" s="4"/>
      <c r="AG392" s="4"/>
      <c r="AH392" s="4"/>
      <c r="AI392" s="4"/>
      <c r="AJ392" s="20"/>
      <c r="AK392" s="21"/>
      <c r="AL392" s="21"/>
      <c r="AM392" s="22"/>
    </row>
    <row r="393" spans="1:39" s="15" customFormat="1" ht="10.5" hidden="1" customHeight="1" outlineLevel="1" x14ac:dyDescent="0.2">
      <c r="A393" s="37">
        <v>5</v>
      </c>
      <c r="B393" s="49" t="s">
        <v>386</v>
      </c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">
        <v>116.20399999999999</v>
      </c>
      <c r="T393" s="4"/>
      <c r="U393" s="4"/>
      <c r="V393" s="4"/>
      <c r="W393" s="4"/>
      <c r="X393" s="4"/>
      <c r="Y393" s="5">
        <v>10.5</v>
      </c>
      <c r="Z393" s="5"/>
      <c r="AA393" s="5"/>
      <c r="AB393" s="5"/>
      <c r="AC393" s="5"/>
      <c r="AD393" s="4">
        <v>105.70399999999999</v>
      </c>
      <c r="AE393" s="4"/>
      <c r="AF393" s="4"/>
      <c r="AG393" s="4"/>
      <c r="AH393" s="4"/>
      <c r="AI393" s="4"/>
      <c r="AJ393" s="20"/>
      <c r="AK393" s="21"/>
      <c r="AL393" s="21"/>
      <c r="AM393" s="22"/>
    </row>
    <row r="394" spans="1:39" s="15" customFormat="1" ht="10.5" hidden="1" customHeight="1" outlineLevel="1" x14ac:dyDescent="0.2">
      <c r="A394" s="37">
        <v>6</v>
      </c>
      <c r="B394" s="49" t="s">
        <v>387</v>
      </c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">
        <v>81.284000000000006</v>
      </c>
      <c r="T394" s="4"/>
      <c r="U394" s="4"/>
      <c r="V394" s="4"/>
      <c r="W394" s="4"/>
      <c r="X394" s="4"/>
      <c r="Y394" s="5">
        <v>7.8</v>
      </c>
      <c r="Z394" s="5"/>
      <c r="AA394" s="5"/>
      <c r="AB394" s="5"/>
      <c r="AC394" s="5"/>
      <c r="AD394" s="4">
        <v>73.483999999999995</v>
      </c>
      <c r="AE394" s="4"/>
      <c r="AF394" s="4"/>
      <c r="AG394" s="4"/>
      <c r="AH394" s="4"/>
      <c r="AI394" s="4"/>
      <c r="AJ394" s="20"/>
      <c r="AK394" s="21"/>
      <c r="AL394" s="21"/>
      <c r="AM394" s="22"/>
    </row>
    <row r="395" spans="1:39" s="15" customFormat="1" ht="10.5" hidden="1" customHeight="1" outlineLevel="1" x14ac:dyDescent="0.2">
      <c r="A395" s="37">
        <v>7</v>
      </c>
      <c r="B395" s="49" t="s">
        <v>388</v>
      </c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5">
        <v>35.799999999999997</v>
      </c>
      <c r="T395" s="5"/>
      <c r="U395" s="5"/>
      <c r="V395" s="5"/>
      <c r="W395" s="5"/>
      <c r="X395" s="5"/>
      <c r="Y395" s="4">
        <v>25.562999999999999</v>
      </c>
      <c r="Z395" s="4"/>
      <c r="AA395" s="4"/>
      <c r="AB395" s="4"/>
      <c r="AC395" s="4"/>
      <c r="AD395" s="4">
        <v>10.237</v>
      </c>
      <c r="AE395" s="4"/>
      <c r="AF395" s="4"/>
      <c r="AG395" s="4"/>
      <c r="AH395" s="4"/>
      <c r="AI395" s="4"/>
      <c r="AJ395" s="20"/>
      <c r="AK395" s="21"/>
      <c r="AL395" s="21"/>
      <c r="AM395" s="22"/>
    </row>
    <row r="396" spans="1:39" s="15" customFormat="1" ht="21.75" hidden="1" customHeight="1" outlineLevel="1" x14ac:dyDescent="0.2">
      <c r="A396" s="37">
        <v>8</v>
      </c>
      <c r="B396" s="49" t="s">
        <v>389</v>
      </c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5">
        <v>67.599999999999994</v>
      </c>
      <c r="T396" s="5"/>
      <c r="U396" s="5"/>
      <c r="V396" s="5"/>
      <c r="W396" s="5"/>
      <c r="X396" s="5"/>
      <c r="Y396" s="4">
        <v>61.076000000000001</v>
      </c>
      <c r="Z396" s="4"/>
      <c r="AA396" s="4"/>
      <c r="AB396" s="4"/>
      <c r="AC396" s="4"/>
      <c r="AD396" s="4">
        <v>6.524</v>
      </c>
      <c r="AE396" s="4"/>
      <c r="AF396" s="4"/>
      <c r="AG396" s="4"/>
      <c r="AH396" s="4"/>
      <c r="AI396" s="4"/>
      <c r="AJ396" s="20"/>
      <c r="AK396" s="21"/>
      <c r="AL396" s="21"/>
      <c r="AM396" s="22"/>
    </row>
    <row r="397" spans="1:39" s="15" customFormat="1" ht="21.75" hidden="1" customHeight="1" outlineLevel="1" x14ac:dyDescent="0.2">
      <c r="A397" s="37">
        <v>9</v>
      </c>
      <c r="B397" s="49" t="s">
        <v>390</v>
      </c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5">
        <v>73.900000000000006</v>
      </c>
      <c r="T397" s="5"/>
      <c r="U397" s="5"/>
      <c r="V397" s="5"/>
      <c r="W397" s="5"/>
      <c r="X397" s="5"/>
      <c r="Y397" s="4">
        <v>67.475999999999999</v>
      </c>
      <c r="Z397" s="4"/>
      <c r="AA397" s="4"/>
      <c r="AB397" s="4"/>
      <c r="AC397" s="4"/>
      <c r="AD397" s="4">
        <v>6.4240000000000004</v>
      </c>
      <c r="AE397" s="4"/>
      <c r="AF397" s="4"/>
      <c r="AG397" s="4"/>
      <c r="AH397" s="4"/>
      <c r="AI397" s="4"/>
      <c r="AJ397" s="20"/>
      <c r="AK397" s="21"/>
      <c r="AL397" s="21"/>
      <c r="AM397" s="22"/>
    </row>
    <row r="398" spans="1:39" s="15" customFormat="1" ht="21.75" hidden="1" customHeight="1" outlineLevel="1" x14ac:dyDescent="0.2">
      <c r="A398" s="37">
        <v>10</v>
      </c>
      <c r="B398" s="49" t="s">
        <v>391</v>
      </c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3">
        <v>82.66</v>
      </c>
      <c r="T398" s="3"/>
      <c r="U398" s="3"/>
      <c r="V398" s="3"/>
      <c r="W398" s="3"/>
      <c r="X398" s="3"/>
      <c r="Y398" s="4">
        <v>79.040999999999997</v>
      </c>
      <c r="Z398" s="4"/>
      <c r="AA398" s="4"/>
      <c r="AB398" s="4"/>
      <c r="AC398" s="4"/>
      <c r="AD398" s="4">
        <v>3.6190000000000002</v>
      </c>
      <c r="AE398" s="4"/>
      <c r="AF398" s="4"/>
      <c r="AG398" s="4"/>
      <c r="AH398" s="4"/>
      <c r="AI398" s="4"/>
      <c r="AJ398" s="20"/>
      <c r="AK398" s="21"/>
      <c r="AL398" s="21"/>
      <c r="AM398" s="22"/>
    </row>
    <row r="399" spans="1:39" s="15" customFormat="1" ht="10.5" hidden="1" customHeight="1" outlineLevel="1" x14ac:dyDescent="0.2">
      <c r="A399" s="37">
        <v>11</v>
      </c>
      <c r="B399" s="49" t="s">
        <v>392</v>
      </c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5">
        <v>55.6</v>
      </c>
      <c r="T399" s="5"/>
      <c r="U399" s="5"/>
      <c r="V399" s="5"/>
      <c r="W399" s="5"/>
      <c r="X399" s="5"/>
      <c r="Y399" s="3">
        <v>55.23</v>
      </c>
      <c r="Z399" s="3"/>
      <c r="AA399" s="3"/>
      <c r="AB399" s="3"/>
      <c r="AC399" s="3"/>
      <c r="AD399" s="3">
        <v>0.37</v>
      </c>
      <c r="AE399" s="3"/>
      <c r="AF399" s="3"/>
      <c r="AG399" s="3"/>
      <c r="AH399" s="3"/>
      <c r="AI399" s="3"/>
      <c r="AJ399" s="20"/>
      <c r="AK399" s="21"/>
      <c r="AL399" s="21"/>
      <c r="AM399" s="22"/>
    </row>
    <row r="400" spans="1:39" s="15" customFormat="1" ht="10.5" hidden="1" customHeight="1" outlineLevel="1" x14ac:dyDescent="0.2">
      <c r="A400" s="37">
        <v>12</v>
      </c>
      <c r="B400" s="49" t="s">
        <v>393</v>
      </c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3">
        <v>5.09</v>
      </c>
      <c r="T400" s="3"/>
      <c r="U400" s="3"/>
      <c r="V400" s="3"/>
      <c r="W400" s="3"/>
      <c r="X400" s="3"/>
      <c r="Y400" s="3">
        <v>5.18</v>
      </c>
      <c r="Z400" s="3"/>
      <c r="AA400" s="3"/>
      <c r="AB400" s="3"/>
      <c r="AC400" s="3"/>
      <c r="AD400" s="3">
        <v>-0.09</v>
      </c>
      <c r="AE400" s="3"/>
      <c r="AF400" s="3"/>
      <c r="AG400" s="3"/>
      <c r="AH400" s="3"/>
      <c r="AI400" s="3"/>
      <c r="AJ400" s="20"/>
      <c r="AK400" s="21"/>
      <c r="AL400" s="21"/>
      <c r="AM400" s="22"/>
    </row>
    <row r="401" spans="1:39" s="15" customFormat="1" ht="21.75" hidden="1" customHeight="1" outlineLevel="1" x14ac:dyDescent="0.2">
      <c r="A401" s="37">
        <v>13</v>
      </c>
      <c r="B401" s="49" t="s">
        <v>394</v>
      </c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3">
        <v>9.2899999999999991</v>
      </c>
      <c r="T401" s="3"/>
      <c r="U401" s="3"/>
      <c r="V401" s="3"/>
      <c r="W401" s="3"/>
      <c r="X401" s="3"/>
      <c r="Y401" s="4">
        <v>9.7650000000000006</v>
      </c>
      <c r="Z401" s="4"/>
      <c r="AA401" s="4"/>
      <c r="AB401" s="4"/>
      <c r="AC401" s="4"/>
      <c r="AD401" s="4">
        <v>-0.47499999999999998</v>
      </c>
      <c r="AE401" s="4"/>
      <c r="AF401" s="4"/>
      <c r="AG401" s="4"/>
      <c r="AH401" s="4"/>
      <c r="AI401" s="4"/>
      <c r="AJ401" s="20"/>
      <c r="AK401" s="21"/>
      <c r="AL401" s="21"/>
      <c r="AM401" s="22"/>
    </row>
    <row r="402" spans="1:39" s="15" customFormat="1" ht="10.5" hidden="1" customHeight="1" outlineLevel="1" x14ac:dyDescent="0.2">
      <c r="A402" s="37">
        <v>14</v>
      </c>
      <c r="B402" s="49" t="s">
        <v>395</v>
      </c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2">
        <v>20</v>
      </c>
      <c r="T402" s="2"/>
      <c r="U402" s="2"/>
      <c r="V402" s="2"/>
      <c r="W402" s="2"/>
      <c r="X402" s="2"/>
      <c r="Y402" s="2">
        <v>20</v>
      </c>
      <c r="Z402" s="2"/>
      <c r="AA402" s="2"/>
      <c r="AB402" s="2"/>
      <c r="AC402" s="2"/>
      <c r="AD402" s="23"/>
      <c r="AE402" s="24"/>
      <c r="AF402" s="24"/>
      <c r="AG402" s="24"/>
      <c r="AH402" s="24"/>
      <c r="AI402" s="25"/>
      <c r="AJ402" s="20"/>
      <c r="AK402" s="21"/>
      <c r="AL402" s="21"/>
      <c r="AM402" s="22"/>
    </row>
    <row r="403" spans="1:39" s="15" customFormat="1" ht="10.5" hidden="1" customHeight="1" outlineLevel="1" x14ac:dyDescent="0.2">
      <c r="A403" s="37">
        <v>15</v>
      </c>
      <c r="B403" s="49" t="s">
        <v>396</v>
      </c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2">
        <v>11</v>
      </c>
      <c r="T403" s="2"/>
      <c r="U403" s="2"/>
      <c r="V403" s="2"/>
      <c r="W403" s="2"/>
      <c r="X403" s="2"/>
      <c r="Y403" s="2">
        <v>11</v>
      </c>
      <c r="Z403" s="2"/>
      <c r="AA403" s="2"/>
      <c r="AB403" s="2"/>
      <c r="AC403" s="2"/>
      <c r="AD403" s="23"/>
      <c r="AE403" s="24"/>
      <c r="AF403" s="24"/>
      <c r="AG403" s="24"/>
      <c r="AH403" s="24"/>
      <c r="AI403" s="25"/>
      <c r="AJ403" s="20"/>
      <c r="AK403" s="21"/>
      <c r="AL403" s="21"/>
      <c r="AM403" s="22"/>
    </row>
    <row r="404" spans="1:39" ht="10.5" customHeight="1" x14ac:dyDescent="0.2">
      <c r="A404" s="12" t="s">
        <v>397</v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">
        <v>1494.32</v>
      </c>
      <c r="T404" s="1"/>
      <c r="U404" s="1"/>
      <c r="V404" s="1"/>
      <c r="W404" s="1"/>
      <c r="X404" s="1"/>
      <c r="Y404" s="11">
        <v>1260.758</v>
      </c>
      <c r="Z404" s="11"/>
      <c r="AA404" s="11"/>
      <c r="AB404" s="11"/>
      <c r="AC404" s="11"/>
      <c r="AD404" s="9">
        <v>233.56200000000001</v>
      </c>
      <c r="AE404" s="9"/>
      <c r="AF404" s="9"/>
      <c r="AG404" s="9"/>
      <c r="AH404" s="9"/>
      <c r="AI404" s="9"/>
      <c r="AJ404" s="9">
        <v>287.74900000000002</v>
      </c>
      <c r="AK404" s="9"/>
      <c r="AL404" s="9"/>
      <c r="AM404" s="9"/>
    </row>
    <row r="405" spans="1:39" s="15" customFormat="1" ht="21.75" hidden="1" customHeight="1" outlineLevel="1" x14ac:dyDescent="0.2">
      <c r="A405" s="37">
        <v>1</v>
      </c>
      <c r="B405" s="49" t="s">
        <v>398</v>
      </c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2">
        <v>210</v>
      </c>
      <c r="T405" s="2"/>
      <c r="U405" s="2"/>
      <c r="V405" s="2"/>
      <c r="W405" s="2"/>
      <c r="X405" s="2"/>
      <c r="Y405" s="4">
        <v>165.43799999999999</v>
      </c>
      <c r="Z405" s="4"/>
      <c r="AA405" s="4"/>
      <c r="AB405" s="4"/>
      <c r="AC405" s="4"/>
      <c r="AD405" s="4">
        <v>44.561999999999998</v>
      </c>
      <c r="AE405" s="4"/>
      <c r="AF405" s="4"/>
      <c r="AG405" s="4"/>
      <c r="AH405" s="4"/>
      <c r="AI405" s="4"/>
      <c r="AJ405" s="20"/>
      <c r="AK405" s="21"/>
      <c r="AL405" s="21"/>
      <c r="AM405" s="22"/>
    </row>
    <row r="406" spans="1:39" s="15" customFormat="1" ht="21.75" hidden="1" customHeight="1" outlineLevel="1" x14ac:dyDescent="0.2">
      <c r="A406" s="37">
        <v>2</v>
      </c>
      <c r="B406" s="49" t="s">
        <v>399</v>
      </c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3">
        <v>109.12</v>
      </c>
      <c r="T406" s="3"/>
      <c r="U406" s="3"/>
      <c r="V406" s="3"/>
      <c r="W406" s="3"/>
      <c r="X406" s="3"/>
      <c r="Y406" s="4">
        <v>73.491</v>
      </c>
      <c r="Z406" s="4"/>
      <c r="AA406" s="4"/>
      <c r="AB406" s="4"/>
      <c r="AC406" s="4"/>
      <c r="AD406" s="4">
        <v>35.628999999999998</v>
      </c>
      <c r="AE406" s="4"/>
      <c r="AF406" s="4"/>
      <c r="AG406" s="4"/>
      <c r="AH406" s="4"/>
      <c r="AI406" s="4"/>
      <c r="AJ406" s="20"/>
      <c r="AK406" s="21"/>
      <c r="AL406" s="21"/>
      <c r="AM406" s="22"/>
    </row>
    <row r="407" spans="1:39" s="15" customFormat="1" ht="21.75" hidden="1" customHeight="1" outlineLevel="1" x14ac:dyDescent="0.2">
      <c r="A407" s="37">
        <v>3</v>
      </c>
      <c r="B407" s="49" t="s">
        <v>400</v>
      </c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3">
        <v>52.68</v>
      </c>
      <c r="T407" s="3"/>
      <c r="U407" s="3"/>
      <c r="V407" s="3"/>
      <c r="W407" s="3"/>
      <c r="X407" s="3"/>
      <c r="Y407" s="4">
        <v>19.177</v>
      </c>
      <c r="Z407" s="4"/>
      <c r="AA407" s="4"/>
      <c r="AB407" s="4"/>
      <c r="AC407" s="4"/>
      <c r="AD407" s="4">
        <v>33.503</v>
      </c>
      <c r="AE407" s="4"/>
      <c r="AF407" s="4"/>
      <c r="AG407" s="4"/>
      <c r="AH407" s="4"/>
      <c r="AI407" s="4"/>
      <c r="AJ407" s="20"/>
      <c r="AK407" s="21"/>
      <c r="AL407" s="21"/>
      <c r="AM407" s="22"/>
    </row>
    <row r="408" spans="1:39" s="15" customFormat="1" ht="10.5" hidden="1" customHeight="1" outlineLevel="1" x14ac:dyDescent="0.2">
      <c r="A408" s="37">
        <v>4</v>
      </c>
      <c r="B408" s="49" t="s">
        <v>401</v>
      </c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3">
        <v>102.29</v>
      </c>
      <c r="T408" s="3"/>
      <c r="U408" s="3"/>
      <c r="V408" s="3"/>
      <c r="W408" s="3"/>
      <c r="X408" s="3"/>
      <c r="Y408" s="4">
        <v>79.337000000000003</v>
      </c>
      <c r="Z408" s="4"/>
      <c r="AA408" s="4"/>
      <c r="AB408" s="4"/>
      <c r="AC408" s="4"/>
      <c r="AD408" s="4">
        <v>22.952999999999999</v>
      </c>
      <c r="AE408" s="4"/>
      <c r="AF408" s="4"/>
      <c r="AG408" s="4"/>
      <c r="AH408" s="4"/>
      <c r="AI408" s="4"/>
      <c r="AJ408" s="20"/>
      <c r="AK408" s="21"/>
      <c r="AL408" s="21"/>
      <c r="AM408" s="22"/>
    </row>
    <row r="409" spans="1:39" s="15" customFormat="1" ht="21.75" hidden="1" customHeight="1" outlineLevel="1" x14ac:dyDescent="0.2">
      <c r="A409" s="37">
        <v>5</v>
      </c>
      <c r="B409" s="49" t="s">
        <v>402</v>
      </c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3">
        <v>65.91</v>
      </c>
      <c r="T409" s="3"/>
      <c r="U409" s="3"/>
      <c r="V409" s="3"/>
      <c r="W409" s="3"/>
      <c r="X409" s="3"/>
      <c r="Y409" s="4">
        <v>47.378</v>
      </c>
      <c r="Z409" s="4"/>
      <c r="AA409" s="4"/>
      <c r="AB409" s="4"/>
      <c r="AC409" s="4"/>
      <c r="AD409" s="4">
        <v>18.532</v>
      </c>
      <c r="AE409" s="4"/>
      <c r="AF409" s="4"/>
      <c r="AG409" s="4"/>
      <c r="AH409" s="4"/>
      <c r="AI409" s="4"/>
      <c r="AJ409" s="20"/>
      <c r="AK409" s="21"/>
      <c r="AL409" s="21"/>
      <c r="AM409" s="22"/>
    </row>
    <row r="410" spans="1:39" s="15" customFormat="1" ht="10.5" hidden="1" customHeight="1" outlineLevel="1" x14ac:dyDescent="0.2">
      <c r="A410" s="37">
        <v>6</v>
      </c>
      <c r="B410" s="49" t="s">
        <v>403</v>
      </c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3">
        <v>70.56</v>
      </c>
      <c r="T410" s="3"/>
      <c r="U410" s="3"/>
      <c r="V410" s="3"/>
      <c r="W410" s="3"/>
      <c r="X410" s="3"/>
      <c r="Y410" s="4">
        <v>64.802999999999997</v>
      </c>
      <c r="Z410" s="4"/>
      <c r="AA410" s="4"/>
      <c r="AB410" s="4"/>
      <c r="AC410" s="4"/>
      <c r="AD410" s="4">
        <v>5.7569999999999997</v>
      </c>
      <c r="AE410" s="4"/>
      <c r="AF410" s="4"/>
      <c r="AG410" s="4"/>
      <c r="AH410" s="4"/>
      <c r="AI410" s="4"/>
      <c r="AJ410" s="20"/>
      <c r="AK410" s="21"/>
      <c r="AL410" s="21"/>
      <c r="AM410" s="22"/>
    </row>
    <row r="411" spans="1:39" s="15" customFormat="1" ht="10.5" hidden="1" customHeight="1" outlineLevel="1" x14ac:dyDescent="0.2">
      <c r="A411" s="37">
        <v>7</v>
      </c>
      <c r="B411" s="49" t="s">
        <v>404</v>
      </c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3">
        <v>24.59</v>
      </c>
      <c r="T411" s="3"/>
      <c r="U411" s="3"/>
      <c r="V411" s="3"/>
      <c r="W411" s="3"/>
      <c r="X411" s="3"/>
      <c r="Y411" s="3">
        <v>11.08</v>
      </c>
      <c r="Z411" s="3"/>
      <c r="AA411" s="3"/>
      <c r="AB411" s="3"/>
      <c r="AC411" s="3"/>
      <c r="AD411" s="3">
        <v>13.51</v>
      </c>
      <c r="AE411" s="3"/>
      <c r="AF411" s="3"/>
      <c r="AG411" s="3"/>
      <c r="AH411" s="3"/>
      <c r="AI411" s="3"/>
      <c r="AJ411" s="20"/>
      <c r="AK411" s="21"/>
      <c r="AL411" s="21"/>
      <c r="AM411" s="22"/>
    </row>
    <row r="412" spans="1:39" s="15" customFormat="1" ht="10.5" hidden="1" customHeight="1" outlineLevel="1" x14ac:dyDescent="0.2">
      <c r="A412" s="37">
        <v>8</v>
      </c>
      <c r="B412" s="49" t="s">
        <v>405</v>
      </c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3">
        <v>76.319999999999993</v>
      </c>
      <c r="T412" s="3"/>
      <c r="U412" s="3"/>
      <c r="V412" s="3"/>
      <c r="W412" s="3"/>
      <c r="X412" s="3"/>
      <c r="Y412" s="4">
        <v>68.093000000000004</v>
      </c>
      <c r="Z412" s="4"/>
      <c r="AA412" s="4"/>
      <c r="AB412" s="4"/>
      <c r="AC412" s="4"/>
      <c r="AD412" s="4">
        <v>8.2270000000000003</v>
      </c>
      <c r="AE412" s="4"/>
      <c r="AF412" s="4"/>
      <c r="AG412" s="4"/>
      <c r="AH412" s="4"/>
      <c r="AI412" s="4"/>
      <c r="AJ412" s="20"/>
      <c r="AK412" s="21"/>
      <c r="AL412" s="21"/>
      <c r="AM412" s="22"/>
    </row>
    <row r="413" spans="1:39" s="15" customFormat="1" ht="21.75" hidden="1" customHeight="1" outlineLevel="1" x14ac:dyDescent="0.2">
      <c r="A413" s="37">
        <v>9</v>
      </c>
      <c r="B413" s="49" t="s">
        <v>406</v>
      </c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3">
        <v>42.33</v>
      </c>
      <c r="T413" s="3"/>
      <c r="U413" s="3"/>
      <c r="V413" s="3"/>
      <c r="W413" s="3"/>
      <c r="X413" s="3"/>
      <c r="Y413" s="4">
        <v>32.168999999999997</v>
      </c>
      <c r="Z413" s="4"/>
      <c r="AA413" s="4"/>
      <c r="AB413" s="4"/>
      <c r="AC413" s="4"/>
      <c r="AD413" s="4">
        <v>10.161</v>
      </c>
      <c r="AE413" s="4"/>
      <c r="AF413" s="4"/>
      <c r="AG413" s="4"/>
      <c r="AH413" s="4"/>
      <c r="AI413" s="4"/>
      <c r="AJ413" s="20"/>
      <c r="AK413" s="21"/>
      <c r="AL413" s="21"/>
      <c r="AM413" s="22"/>
    </row>
    <row r="414" spans="1:39" s="15" customFormat="1" ht="10.5" hidden="1" customHeight="1" outlineLevel="1" x14ac:dyDescent="0.2">
      <c r="A414" s="37">
        <v>10</v>
      </c>
      <c r="B414" s="49" t="s">
        <v>407</v>
      </c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3">
        <v>103.36</v>
      </c>
      <c r="T414" s="3"/>
      <c r="U414" s="3"/>
      <c r="V414" s="3"/>
      <c r="W414" s="3"/>
      <c r="X414" s="3"/>
      <c r="Y414" s="3">
        <v>100.45</v>
      </c>
      <c r="Z414" s="3"/>
      <c r="AA414" s="3"/>
      <c r="AB414" s="3"/>
      <c r="AC414" s="3"/>
      <c r="AD414" s="3">
        <v>2.91</v>
      </c>
      <c r="AE414" s="3"/>
      <c r="AF414" s="3"/>
      <c r="AG414" s="3"/>
      <c r="AH414" s="3"/>
      <c r="AI414" s="3"/>
      <c r="AJ414" s="20"/>
      <c r="AK414" s="21"/>
      <c r="AL414" s="21"/>
      <c r="AM414" s="22"/>
    </row>
    <row r="415" spans="1:39" s="15" customFormat="1" ht="10.5" hidden="1" customHeight="1" outlineLevel="1" x14ac:dyDescent="0.2">
      <c r="A415" s="37">
        <v>11</v>
      </c>
      <c r="B415" s="49" t="s">
        <v>408</v>
      </c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3">
        <v>175.16</v>
      </c>
      <c r="T415" s="3"/>
      <c r="U415" s="3"/>
      <c r="V415" s="3"/>
      <c r="W415" s="3"/>
      <c r="X415" s="3"/>
      <c r="Y415" s="4">
        <v>175.58799999999999</v>
      </c>
      <c r="Z415" s="4"/>
      <c r="AA415" s="4"/>
      <c r="AB415" s="4"/>
      <c r="AC415" s="4"/>
      <c r="AD415" s="4">
        <v>-0.42799999999999999</v>
      </c>
      <c r="AE415" s="4"/>
      <c r="AF415" s="4"/>
      <c r="AG415" s="4"/>
      <c r="AH415" s="4"/>
      <c r="AI415" s="4"/>
      <c r="AJ415" s="20"/>
      <c r="AK415" s="21"/>
      <c r="AL415" s="21"/>
      <c r="AM415" s="22"/>
    </row>
    <row r="416" spans="1:39" s="15" customFormat="1" ht="10.5" hidden="1" customHeight="1" outlineLevel="1" x14ac:dyDescent="0.2">
      <c r="A416" s="37">
        <v>12</v>
      </c>
      <c r="B416" s="49" t="s">
        <v>409</v>
      </c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5">
        <v>10.4</v>
      </c>
      <c r="T416" s="5"/>
      <c r="U416" s="5"/>
      <c r="V416" s="5"/>
      <c r="W416" s="5"/>
      <c r="X416" s="5"/>
      <c r="Y416" s="4">
        <v>2.871</v>
      </c>
      <c r="Z416" s="4"/>
      <c r="AA416" s="4"/>
      <c r="AB416" s="4"/>
      <c r="AC416" s="4"/>
      <c r="AD416" s="4">
        <v>7.5289999999999999</v>
      </c>
      <c r="AE416" s="4"/>
      <c r="AF416" s="4"/>
      <c r="AG416" s="4"/>
      <c r="AH416" s="4"/>
      <c r="AI416" s="4"/>
      <c r="AJ416" s="20"/>
      <c r="AK416" s="21"/>
      <c r="AL416" s="21"/>
      <c r="AM416" s="22"/>
    </row>
    <row r="417" spans="1:39" s="15" customFormat="1" ht="10.5" hidden="1" customHeight="1" outlineLevel="1" x14ac:dyDescent="0.2">
      <c r="A417" s="37">
        <v>13</v>
      </c>
      <c r="B417" s="49" t="s">
        <v>410</v>
      </c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3">
        <v>59.49</v>
      </c>
      <c r="T417" s="3"/>
      <c r="U417" s="3"/>
      <c r="V417" s="3"/>
      <c r="W417" s="3"/>
      <c r="X417" s="3"/>
      <c r="Y417" s="4">
        <v>55.957000000000001</v>
      </c>
      <c r="Z417" s="4"/>
      <c r="AA417" s="4"/>
      <c r="AB417" s="4"/>
      <c r="AC417" s="4"/>
      <c r="AD417" s="4">
        <v>3.5329999999999999</v>
      </c>
      <c r="AE417" s="4"/>
      <c r="AF417" s="4"/>
      <c r="AG417" s="4"/>
      <c r="AH417" s="4"/>
      <c r="AI417" s="4"/>
      <c r="AJ417" s="20"/>
      <c r="AK417" s="21"/>
      <c r="AL417" s="21"/>
      <c r="AM417" s="22"/>
    </row>
    <row r="418" spans="1:39" s="15" customFormat="1" ht="21.75" hidden="1" customHeight="1" outlineLevel="1" x14ac:dyDescent="0.2">
      <c r="A418" s="37">
        <v>14</v>
      </c>
      <c r="B418" s="49" t="s">
        <v>411</v>
      </c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3">
        <v>27.33</v>
      </c>
      <c r="T418" s="3"/>
      <c r="U418" s="3"/>
      <c r="V418" s="3"/>
      <c r="W418" s="3"/>
      <c r="X418" s="3"/>
      <c r="Y418" s="4">
        <v>23.933</v>
      </c>
      <c r="Z418" s="4"/>
      <c r="AA418" s="4"/>
      <c r="AB418" s="4"/>
      <c r="AC418" s="4"/>
      <c r="AD418" s="4">
        <v>3.3969999999999998</v>
      </c>
      <c r="AE418" s="4"/>
      <c r="AF418" s="4"/>
      <c r="AG418" s="4"/>
      <c r="AH418" s="4"/>
      <c r="AI418" s="4"/>
      <c r="AJ418" s="20"/>
      <c r="AK418" s="21"/>
      <c r="AL418" s="21"/>
      <c r="AM418" s="22"/>
    </row>
    <row r="419" spans="1:39" s="15" customFormat="1" ht="10.5" hidden="1" customHeight="1" outlineLevel="1" x14ac:dyDescent="0.2">
      <c r="A419" s="37">
        <v>15</v>
      </c>
      <c r="B419" s="49" t="s">
        <v>412</v>
      </c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3">
        <v>60.88</v>
      </c>
      <c r="T419" s="3"/>
      <c r="U419" s="3"/>
      <c r="V419" s="3"/>
      <c r="W419" s="3"/>
      <c r="X419" s="3"/>
      <c r="Y419" s="3">
        <v>60.02</v>
      </c>
      <c r="Z419" s="3"/>
      <c r="AA419" s="3"/>
      <c r="AB419" s="3"/>
      <c r="AC419" s="3"/>
      <c r="AD419" s="3">
        <v>0.86</v>
      </c>
      <c r="AE419" s="3"/>
      <c r="AF419" s="3"/>
      <c r="AG419" s="3"/>
      <c r="AH419" s="3"/>
      <c r="AI419" s="3"/>
      <c r="AJ419" s="20"/>
      <c r="AK419" s="21"/>
      <c r="AL419" s="21"/>
      <c r="AM419" s="22"/>
    </row>
    <row r="420" spans="1:39" s="15" customFormat="1" ht="21.75" hidden="1" customHeight="1" outlineLevel="1" x14ac:dyDescent="0.2">
      <c r="A420" s="37">
        <v>16</v>
      </c>
      <c r="B420" s="49" t="s">
        <v>413</v>
      </c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3">
        <v>15.08</v>
      </c>
      <c r="T420" s="3"/>
      <c r="U420" s="3"/>
      <c r="V420" s="3"/>
      <c r="W420" s="3"/>
      <c r="X420" s="3"/>
      <c r="Y420" s="4">
        <v>9.6219999999999999</v>
      </c>
      <c r="Z420" s="4"/>
      <c r="AA420" s="4"/>
      <c r="AB420" s="4"/>
      <c r="AC420" s="4"/>
      <c r="AD420" s="4">
        <v>5.4580000000000002</v>
      </c>
      <c r="AE420" s="4"/>
      <c r="AF420" s="4"/>
      <c r="AG420" s="4"/>
      <c r="AH420" s="4"/>
      <c r="AI420" s="4"/>
      <c r="AJ420" s="20"/>
      <c r="AK420" s="21"/>
      <c r="AL420" s="21"/>
      <c r="AM420" s="22"/>
    </row>
    <row r="421" spans="1:39" s="15" customFormat="1" ht="21.75" hidden="1" customHeight="1" outlineLevel="1" x14ac:dyDescent="0.2">
      <c r="A421" s="37">
        <v>17</v>
      </c>
      <c r="B421" s="49" t="s">
        <v>414</v>
      </c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2">
        <v>10</v>
      </c>
      <c r="T421" s="2"/>
      <c r="U421" s="2"/>
      <c r="V421" s="2"/>
      <c r="W421" s="2"/>
      <c r="X421" s="2"/>
      <c r="Y421" s="4">
        <v>5.0410000000000004</v>
      </c>
      <c r="Z421" s="4"/>
      <c r="AA421" s="4"/>
      <c r="AB421" s="4"/>
      <c r="AC421" s="4"/>
      <c r="AD421" s="4">
        <v>4.9589999999999996</v>
      </c>
      <c r="AE421" s="4"/>
      <c r="AF421" s="4"/>
      <c r="AG421" s="4"/>
      <c r="AH421" s="4"/>
      <c r="AI421" s="4"/>
      <c r="AJ421" s="20"/>
      <c r="AK421" s="21"/>
      <c r="AL421" s="21"/>
      <c r="AM421" s="22"/>
    </row>
    <row r="422" spans="1:39" s="15" customFormat="1" ht="10.5" hidden="1" customHeight="1" outlineLevel="1" x14ac:dyDescent="0.2">
      <c r="A422" s="37">
        <v>18</v>
      </c>
      <c r="B422" s="49" t="s">
        <v>415</v>
      </c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3">
        <v>45.38</v>
      </c>
      <c r="T422" s="3"/>
      <c r="U422" s="3"/>
      <c r="V422" s="3"/>
      <c r="W422" s="3"/>
      <c r="X422" s="3"/>
      <c r="Y422" s="4">
        <v>41.231000000000002</v>
      </c>
      <c r="Z422" s="4"/>
      <c r="AA422" s="4"/>
      <c r="AB422" s="4"/>
      <c r="AC422" s="4"/>
      <c r="AD422" s="4">
        <v>4.149</v>
      </c>
      <c r="AE422" s="4"/>
      <c r="AF422" s="4"/>
      <c r="AG422" s="4"/>
      <c r="AH422" s="4"/>
      <c r="AI422" s="4"/>
      <c r="AJ422" s="20"/>
      <c r="AK422" s="21"/>
      <c r="AL422" s="21"/>
      <c r="AM422" s="22"/>
    </row>
    <row r="423" spans="1:39" s="15" customFormat="1" ht="10.5" hidden="1" customHeight="1" outlineLevel="1" x14ac:dyDescent="0.2">
      <c r="A423" s="37">
        <v>19</v>
      </c>
      <c r="B423" s="49" t="s">
        <v>416</v>
      </c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3">
        <v>12.84</v>
      </c>
      <c r="T423" s="3"/>
      <c r="U423" s="3"/>
      <c r="V423" s="3"/>
      <c r="W423" s="3"/>
      <c r="X423" s="3"/>
      <c r="Y423" s="3">
        <v>9.42</v>
      </c>
      <c r="Z423" s="3"/>
      <c r="AA423" s="3"/>
      <c r="AB423" s="3"/>
      <c r="AC423" s="3"/>
      <c r="AD423" s="3">
        <v>3.42</v>
      </c>
      <c r="AE423" s="3"/>
      <c r="AF423" s="3"/>
      <c r="AG423" s="3"/>
      <c r="AH423" s="3"/>
      <c r="AI423" s="3"/>
      <c r="AJ423" s="20"/>
      <c r="AK423" s="21"/>
      <c r="AL423" s="21"/>
      <c r="AM423" s="22"/>
    </row>
    <row r="424" spans="1:39" s="15" customFormat="1" ht="10.5" hidden="1" customHeight="1" outlineLevel="1" x14ac:dyDescent="0.2">
      <c r="A424" s="37">
        <v>20</v>
      </c>
      <c r="B424" s="49" t="s">
        <v>417</v>
      </c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5">
        <v>6.6</v>
      </c>
      <c r="T424" s="5"/>
      <c r="U424" s="5"/>
      <c r="V424" s="5"/>
      <c r="W424" s="5"/>
      <c r="X424" s="5"/>
      <c r="Y424" s="4">
        <v>4.1050000000000004</v>
      </c>
      <c r="Z424" s="4"/>
      <c r="AA424" s="4"/>
      <c r="AB424" s="4"/>
      <c r="AC424" s="4"/>
      <c r="AD424" s="4">
        <v>2.4950000000000001</v>
      </c>
      <c r="AE424" s="4"/>
      <c r="AF424" s="4"/>
      <c r="AG424" s="4"/>
      <c r="AH424" s="4"/>
      <c r="AI424" s="4"/>
      <c r="AJ424" s="20"/>
      <c r="AK424" s="21"/>
      <c r="AL424" s="21"/>
      <c r="AM424" s="22"/>
    </row>
    <row r="425" spans="1:39" s="15" customFormat="1" ht="10.5" hidden="1" customHeight="1" outlineLevel="1" x14ac:dyDescent="0.2">
      <c r="A425" s="37">
        <v>21</v>
      </c>
      <c r="B425" s="49" t="s">
        <v>418</v>
      </c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5">
        <v>26.7</v>
      </c>
      <c r="T425" s="5"/>
      <c r="U425" s="5"/>
      <c r="V425" s="5"/>
      <c r="W425" s="5"/>
      <c r="X425" s="5"/>
      <c r="Y425" s="4">
        <v>25.056000000000001</v>
      </c>
      <c r="Z425" s="4"/>
      <c r="AA425" s="4"/>
      <c r="AB425" s="4"/>
      <c r="AC425" s="4"/>
      <c r="AD425" s="4">
        <v>1.6439999999999999</v>
      </c>
      <c r="AE425" s="4"/>
      <c r="AF425" s="4"/>
      <c r="AG425" s="4"/>
      <c r="AH425" s="4"/>
      <c r="AI425" s="4"/>
      <c r="AJ425" s="20"/>
      <c r="AK425" s="21"/>
      <c r="AL425" s="21"/>
      <c r="AM425" s="22"/>
    </row>
    <row r="426" spans="1:39" s="15" customFormat="1" ht="21.75" hidden="1" customHeight="1" outlineLevel="1" x14ac:dyDescent="0.2">
      <c r="A426" s="37">
        <v>22</v>
      </c>
      <c r="B426" s="49" t="s">
        <v>419</v>
      </c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3">
        <v>21.46</v>
      </c>
      <c r="T426" s="3"/>
      <c r="U426" s="3"/>
      <c r="V426" s="3"/>
      <c r="W426" s="3"/>
      <c r="X426" s="3"/>
      <c r="Y426" s="4">
        <v>20.713999999999999</v>
      </c>
      <c r="Z426" s="4"/>
      <c r="AA426" s="4"/>
      <c r="AB426" s="4"/>
      <c r="AC426" s="4"/>
      <c r="AD426" s="4">
        <v>0.746</v>
      </c>
      <c r="AE426" s="4"/>
      <c r="AF426" s="4"/>
      <c r="AG426" s="4"/>
      <c r="AH426" s="4"/>
      <c r="AI426" s="4"/>
      <c r="AJ426" s="20"/>
      <c r="AK426" s="21"/>
      <c r="AL426" s="21"/>
      <c r="AM426" s="22"/>
    </row>
    <row r="427" spans="1:39" s="15" customFormat="1" ht="10.5" hidden="1" customHeight="1" outlineLevel="1" x14ac:dyDescent="0.2">
      <c r="A427" s="37">
        <v>23</v>
      </c>
      <c r="B427" s="49" t="s">
        <v>420</v>
      </c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5">
        <v>4.2</v>
      </c>
      <c r="T427" s="5"/>
      <c r="U427" s="5"/>
      <c r="V427" s="5"/>
      <c r="W427" s="5"/>
      <c r="X427" s="5"/>
      <c r="Y427" s="3">
        <v>2.95</v>
      </c>
      <c r="Z427" s="3"/>
      <c r="AA427" s="3"/>
      <c r="AB427" s="3"/>
      <c r="AC427" s="3"/>
      <c r="AD427" s="3">
        <v>1.25</v>
      </c>
      <c r="AE427" s="3"/>
      <c r="AF427" s="3"/>
      <c r="AG427" s="3"/>
      <c r="AH427" s="3"/>
      <c r="AI427" s="3"/>
      <c r="AJ427" s="20"/>
      <c r="AK427" s="21"/>
      <c r="AL427" s="21"/>
      <c r="AM427" s="22"/>
    </row>
    <row r="428" spans="1:39" s="15" customFormat="1" ht="10.5" hidden="1" customHeight="1" outlineLevel="1" x14ac:dyDescent="0.2">
      <c r="A428" s="37">
        <v>24</v>
      </c>
      <c r="B428" s="49" t="s">
        <v>421</v>
      </c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3">
        <v>28.14</v>
      </c>
      <c r="T428" s="3"/>
      <c r="U428" s="3"/>
      <c r="V428" s="3"/>
      <c r="W428" s="3"/>
      <c r="X428" s="3"/>
      <c r="Y428" s="4">
        <v>27.783000000000001</v>
      </c>
      <c r="Z428" s="4"/>
      <c r="AA428" s="4"/>
      <c r="AB428" s="4"/>
      <c r="AC428" s="4"/>
      <c r="AD428" s="4">
        <v>0.35699999999999998</v>
      </c>
      <c r="AE428" s="4"/>
      <c r="AF428" s="4"/>
      <c r="AG428" s="4"/>
      <c r="AH428" s="4"/>
      <c r="AI428" s="4"/>
      <c r="AJ428" s="20"/>
      <c r="AK428" s="21"/>
      <c r="AL428" s="21"/>
      <c r="AM428" s="22"/>
    </row>
    <row r="429" spans="1:39" s="15" customFormat="1" ht="10.5" hidden="1" customHeight="1" outlineLevel="1" x14ac:dyDescent="0.2">
      <c r="A429" s="37">
        <v>25</v>
      </c>
      <c r="B429" s="49" t="s">
        <v>422</v>
      </c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5">
        <v>71.2</v>
      </c>
      <c r="T429" s="5"/>
      <c r="U429" s="5"/>
      <c r="V429" s="5"/>
      <c r="W429" s="5"/>
      <c r="X429" s="5"/>
      <c r="Y429" s="3">
        <v>70.989999999999995</v>
      </c>
      <c r="Z429" s="3"/>
      <c r="AA429" s="3"/>
      <c r="AB429" s="3"/>
      <c r="AC429" s="3"/>
      <c r="AD429" s="3">
        <v>0.21</v>
      </c>
      <c r="AE429" s="3"/>
      <c r="AF429" s="3"/>
      <c r="AG429" s="3"/>
      <c r="AH429" s="3"/>
      <c r="AI429" s="3"/>
      <c r="AJ429" s="20"/>
      <c r="AK429" s="21"/>
      <c r="AL429" s="21"/>
      <c r="AM429" s="22"/>
    </row>
    <row r="430" spans="1:39" s="15" customFormat="1" ht="10.5" hidden="1" customHeight="1" outlineLevel="1" x14ac:dyDescent="0.2">
      <c r="A430" s="37">
        <v>26</v>
      </c>
      <c r="B430" s="49" t="s">
        <v>423</v>
      </c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2">
        <v>15</v>
      </c>
      <c r="T430" s="2"/>
      <c r="U430" s="2"/>
      <c r="V430" s="2"/>
      <c r="W430" s="2"/>
      <c r="X430" s="2"/>
      <c r="Y430" s="4">
        <v>15.055</v>
      </c>
      <c r="Z430" s="4"/>
      <c r="AA430" s="4"/>
      <c r="AB430" s="4"/>
      <c r="AC430" s="4"/>
      <c r="AD430" s="4">
        <v>-5.5E-2</v>
      </c>
      <c r="AE430" s="4"/>
      <c r="AF430" s="4"/>
      <c r="AG430" s="4"/>
      <c r="AH430" s="4"/>
      <c r="AI430" s="4"/>
      <c r="AJ430" s="20"/>
      <c r="AK430" s="21"/>
      <c r="AL430" s="21"/>
      <c r="AM430" s="22"/>
    </row>
    <row r="431" spans="1:39" s="15" customFormat="1" ht="21.75" hidden="1" customHeight="1" outlineLevel="1" x14ac:dyDescent="0.2">
      <c r="A431" s="37">
        <v>27</v>
      </c>
      <c r="B431" s="49" t="s">
        <v>424</v>
      </c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2">
        <v>5</v>
      </c>
      <c r="T431" s="2"/>
      <c r="U431" s="2"/>
      <c r="V431" s="2"/>
      <c r="W431" s="2"/>
      <c r="X431" s="2"/>
      <c r="Y431" s="4">
        <v>5.0060000000000002</v>
      </c>
      <c r="Z431" s="4"/>
      <c r="AA431" s="4"/>
      <c r="AB431" s="4"/>
      <c r="AC431" s="4"/>
      <c r="AD431" s="4">
        <v>-6.0000000000000001E-3</v>
      </c>
      <c r="AE431" s="4"/>
      <c r="AF431" s="4"/>
      <c r="AG431" s="4"/>
      <c r="AH431" s="4"/>
      <c r="AI431" s="4"/>
      <c r="AJ431" s="20"/>
      <c r="AK431" s="21"/>
      <c r="AL431" s="21"/>
      <c r="AM431" s="22"/>
    </row>
    <row r="432" spans="1:39" s="15" customFormat="1" ht="10.5" hidden="1" customHeight="1" outlineLevel="1" x14ac:dyDescent="0.2">
      <c r="A432" s="37">
        <v>28</v>
      </c>
      <c r="B432" s="49" t="s">
        <v>425</v>
      </c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5">
        <v>36.9</v>
      </c>
      <c r="T432" s="5"/>
      <c r="U432" s="5"/>
      <c r="V432" s="5"/>
      <c r="W432" s="5"/>
      <c r="X432" s="5"/>
      <c r="Y432" s="5">
        <v>38.6</v>
      </c>
      <c r="Z432" s="5"/>
      <c r="AA432" s="5"/>
      <c r="AB432" s="5"/>
      <c r="AC432" s="5"/>
      <c r="AD432" s="5">
        <v>-1.7</v>
      </c>
      <c r="AE432" s="5"/>
      <c r="AF432" s="5"/>
      <c r="AG432" s="5"/>
      <c r="AH432" s="5"/>
      <c r="AI432" s="5"/>
      <c r="AJ432" s="20"/>
      <c r="AK432" s="21"/>
      <c r="AL432" s="21"/>
      <c r="AM432" s="22"/>
    </row>
    <row r="433" spans="1:39" s="15" customFormat="1" ht="21.75" hidden="1" customHeight="1" outlineLevel="1" x14ac:dyDescent="0.2">
      <c r="A433" s="37">
        <v>29</v>
      </c>
      <c r="B433" s="49" t="s">
        <v>426</v>
      </c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5">
        <v>1.8</v>
      </c>
      <c r="T433" s="5"/>
      <c r="U433" s="5"/>
      <c r="V433" s="5"/>
      <c r="W433" s="5"/>
      <c r="X433" s="5"/>
      <c r="Y433" s="5">
        <v>1.8</v>
      </c>
      <c r="Z433" s="5"/>
      <c r="AA433" s="5"/>
      <c r="AB433" s="5"/>
      <c r="AC433" s="5"/>
      <c r="AD433" s="23"/>
      <c r="AE433" s="24"/>
      <c r="AF433" s="24"/>
      <c r="AG433" s="24"/>
      <c r="AH433" s="24"/>
      <c r="AI433" s="25"/>
      <c r="AJ433" s="20"/>
      <c r="AK433" s="21"/>
      <c r="AL433" s="21"/>
      <c r="AM433" s="22"/>
    </row>
    <row r="434" spans="1:39" s="15" customFormat="1" ht="10.5" hidden="1" customHeight="1" outlineLevel="1" x14ac:dyDescent="0.2">
      <c r="A434" s="37">
        <v>30</v>
      </c>
      <c r="B434" s="49" t="s">
        <v>427</v>
      </c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5">
        <v>3.6</v>
      </c>
      <c r="T434" s="5"/>
      <c r="U434" s="5"/>
      <c r="V434" s="5"/>
      <c r="W434" s="5"/>
      <c r="X434" s="5"/>
      <c r="Y434" s="5">
        <v>3.6</v>
      </c>
      <c r="Z434" s="5"/>
      <c r="AA434" s="5"/>
      <c r="AB434" s="5"/>
      <c r="AC434" s="5"/>
      <c r="AD434" s="23"/>
      <c r="AE434" s="24"/>
      <c r="AF434" s="24"/>
      <c r="AG434" s="24"/>
      <c r="AH434" s="24"/>
      <c r="AI434" s="25"/>
      <c r="AJ434" s="20"/>
      <c r="AK434" s="21"/>
      <c r="AL434" s="21"/>
      <c r="AM434" s="22"/>
    </row>
    <row r="435" spans="1:39" ht="10.5" customHeight="1" x14ac:dyDescent="0.2">
      <c r="A435" s="12" t="s">
        <v>428</v>
      </c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0">
        <v>276.11</v>
      </c>
      <c r="T435" s="10"/>
      <c r="U435" s="10"/>
      <c r="V435" s="10"/>
      <c r="W435" s="10"/>
      <c r="X435" s="10"/>
      <c r="Y435" s="9">
        <v>213.35599999999999</v>
      </c>
      <c r="Z435" s="9"/>
      <c r="AA435" s="9"/>
      <c r="AB435" s="9"/>
      <c r="AC435" s="9"/>
      <c r="AD435" s="9">
        <v>62.753999999999998</v>
      </c>
      <c r="AE435" s="9"/>
      <c r="AF435" s="9"/>
      <c r="AG435" s="9"/>
      <c r="AH435" s="9"/>
      <c r="AI435" s="9"/>
      <c r="AJ435" s="9">
        <v>74.573999999999998</v>
      </c>
      <c r="AK435" s="9"/>
      <c r="AL435" s="9"/>
      <c r="AM435" s="9"/>
    </row>
    <row r="436" spans="1:39" s="15" customFormat="1" ht="21.75" hidden="1" customHeight="1" outlineLevel="1" x14ac:dyDescent="0.2">
      <c r="A436" s="37">
        <v>1</v>
      </c>
      <c r="B436" s="49" t="s">
        <v>429</v>
      </c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2">
        <v>38</v>
      </c>
      <c r="T436" s="2"/>
      <c r="U436" s="2"/>
      <c r="V436" s="2"/>
      <c r="W436" s="2"/>
      <c r="X436" s="2"/>
      <c r="Y436" s="23"/>
      <c r="Z436" s="24"/>
      <c r="AA436" s="24"/>
      <c r="AB436" s="24"/>
      <c r="AC436" s="25"/>
      <c r="AD436" s="2">
        <v>38</v>
      </c>
      <c r="AE436" s="2"/>
      <c r="AF436" s="2"/>
      <c r="AG436" s="2"/>
      <c r="AH436" s="2"/>
      <c r="AI436" s="2"/>
      <c r="AJ436" s="20"/>
      <c r="AK436" s="21"/>
      <c r="AL436" s="21"/>
      <c r="AM436" s="22"/>
    </row>
    <row r="437" spans="1:39" s="15" customFormat="1" ht="21.75" hidden="1" customHeight="1" outlineLevel="1" x14ac:dyDescent="0.2">
      <c r="A437" s="37">
        <v>2</v>
      </c>
      <c r="B437" s="49" t="s">
        <v>430</v>
      </c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5">
        <v>60.9</v>
      </c>
      <c r="T437" s="5"/>
      <c r="U437" s="5"/>
      <c r="V437" s="5"/>
      <c r="W437" s="5"/>
      <c r="X437" s="5"/>
      <c r="Y437" s="4">
        <v>33.311</v>
      </c>
      <c r="Z437" s="4"/>
      <c r="AA437" s="4"/>
      <c r="AB437" s="4"/>
      <c r="AC437" s="4"/>
      <c r="AD437" s="4">
        <v>27.588999999999999</v>
      </c>
      <c r="AE437" s="4"/>
      <c r="AF437" s="4"/>
      <c r="AG437" s="4"/>
      <c r="AH437" s="4"/>
      <c r="AI437" s="4"/>
      <c r="AJ437" s="20"/>
      <c r="AK437" s="21"/>
      <c r="AL437" s="21"/>
      <c r="AM437" s="22"/>
    </row>
    <row r="438" spans="1:39" s="15" customFormat="1" ht="10.5" hidden="1" customHeight="1" outlineLevel="1" x14ac:dyDescent="0.2">
      <c r="A438" s="37">
        <v>3</v>
      </c>
      <c r="B438" s="49" t="s">
        <v>431</v>
      </c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5">
        <v>51.8</v>
      </c>
      <c r="T438" s="5"/>
      <c r="U438" s="5"/>
      <c r="V438" s="5"/>
      <c r="W438" s="5"/>
      <c r="X438" s="5"/>
      <c r="Y438" s="4">
        <v>49.337000000000003</v>
      </c>
      <c r="Z438" s="4"/>
      <c r="AA438" s="4"/>
      <c r="AB438" s="4"/>
      <c r="AC438" s="4"/>
      <c r="AD438" s="4">
        <v>2.4630000000000001</v>
      </c>
      <c r="AE438" s="4"/>
      <c r="AF438" s="4"/>
      <c r="AG438" s="4"/>
      <c r="AH438" s="4"/>
      <c r="AI438" s="4"/>
      <c r="AJ438" s="20"/>
      <c r="AK438" s="21"/>
      <c r="AL438" s="21"/>
      <c r="AM438" s="22"/>
    </row>
    <row r="439" spans="1:39" s="15" customFormat="1" ht="21.75" hidden="1" customHeight="1" outlineLevel="1" x14ac:dyDescent="0.2">
      <c r="A439" s="37">
        <v>4</v>
      </c>
      <c r="B439" s="49" t="s">
        <v>432</v>
      </c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3">
        <v>105.05</v>
      </c>
      <c r="T439" s="3"/>
      <c r="U439" s="3"/>
      <c r="V439" s="3"/>
      <c r="W439" s="3"/>
      <c r="X439" s="3"/>
      <c r="Y439" s="4">
        <v>109.791</v>
      </c>
      <c r="Z439" s="4"/>
      <c r="AA439" s="4"/>
      <c r="AB439" s="4"/>
      <c r="AC439" s="4"/>
      <c r="AD439" s="4">
        <v>-4.7409999999999997</v>
      </c>
      <c r="AE439" s="4"/>
      <c r="AF439" s="4"/>
      <c r="AG439" s="4"/>
      <c r="AH439" s="4"/>
      <c r="AI439" s="4"/>
      <c r="AJ439" s="20"/>
      <c r="AK439" s="21"/>
      <c r="AL439" s="21"/>
      <c r="AM439" s="22"/>
    </row>
    <row r="440" spans="1:39" s="15" customFormat="1" ht="10.5" hidden="1" customHeight="1" outlineLevel="1" x14ac:dyDescent="0.2">
      <c r="A440" s="37">
        <v>5</v>
      </c>
      <c r="B440" s="49" t="s">
        <v>433</v>
      </c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3">
        <v>20.36</v>
      </c>
      <c r="T440" s="3"/>
      <c r="U440" s="3"/>
      <c r="V440" s="3"/>
      <c r="W440" s="3"/>
      <c r="X440" s="3"/>
      <c r="Y440" s="4">
        <v>20.917000000000002</v>
      </c>
      <c r="Z440" s="4"/>
      <c r="AA440" s="4"/>
      <c r="AB440" s="4"/>
      <c r="AC440" s="4"/>
      <c r="AD440" s="4">
        <v>-0.55700000000000005</v>
      </c>
      <c r="AE440" s="4"/>
      <c r="AF440" s="4"/>
      <c r="AG440" s="4"/>
      <c r="AH440" s="4"/>
      <c r="AI440" s="4"/>
      <c r="AJ440" s="20"/>
      <c r="AK440" s="21"/>
      <c r="AL440" s="21"/>
      <c r="AM440" s="22"/>
    </row>
    <row r="441" spans="1:39" ht="10.5" customHeight="1" x14ac:dyDescent="0.2">
      <c r="A441" s="12" t="s">
        <v>434</v>
      </c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50">
        <v>1479</v>
      </c>
      <c r="T441" s="50"/>
      <c r="U441" s="50"/>
      <c r="V441" s="50"/>
      <c r="W441" s="50"/>
      <c r="X441" s="50"/>
      <c r="Y441" s="11">
        <v>1470.528</v>
      </c>
      <c r="Z441" s="11"/>
      <c r="AA441" s="11"/>
      <c r="AB441" s="11"/>
      <c r="AC441" s="11"/>
      <c r="AD441" s="9">
        <v>8.4719999999999995</v>
      </c>
      <c r="AE441" s="9"/>
      <c r="AF441" s="9"/>
      <c r="AG441" s="9"/>
      <c r="AH441" s="9"/>
      <c r="AI441" s="9"/>
      <c r="AJ441" s="9">
        <v>65.278000000000006</v>
      </c>
      <c r="AK441" s="9"/>
      <c r="AL441" s="9"/>
      <c r="AM441" s="9"/>
    </row>
    <row r="442" spans="1:39" s="15" customFormat="1" ht="10.5" hidden="1" customHeight="1" outlineLevel="1" x14ac:dyDescent="0.2">
      <c r="A442" s="37">
        <v>1</v>
      </c>
      <c r="B442" s="49" t="s">
        <v>435</v>
      </c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5">
        <v>109.1</v>
      </c>
      <c r="T442" s="5"/>
      <c r="U442" s="5"/>
      <c r="V442" s="5"/>
      <c r="W442" s="5"/>
      <c r="X442" s="5"/>
      <c r="Y442" s="4">
        <v>87.210999999999999</v>
      </c>
      <c r="Z442" s="4"/>
      <c r="AA442" s="4"/>
      <c r="AB442" s="4"/>
      <c r="AC442" s="4"/>
      <c r="AD442" s="4">
        <v>21.888999999999999</v>
      </c>
      <c r="AE442" s="4"/>
      <c r="AF442" s="4"/>
      <c r="AG442" s="4"/>
      <c r="AH442" s="4"/>
      <c r="AI442" s="4"/>
      <c r="AJ442" s="20"/>
      <c r="AK442" s="21"/>
      <c r="AL442" s="21"/>
      <c r="AM442" s="22"/>
    </row>
    <row r="443" spans="1:39" s="15" customFormat="1" ht="21.75" hidden="1" customHeight="1" outlineLevel="1" x14ac:dyDescent="0.2">
      <c r="A443" s="37">
        <v>2</v>
      </c>
      <c r="B443" s="49" t="s">
        <v>436</v>
      </c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5">
        <v>90.2</v>
      </c>
      <c r="T443" s="5"/>
      <c r="U443" s="5"/>
      <c r="V443" s="5"/>
      <c r="W443" s="5"/>
      <c r="X443" s="5"/>
      <c r="Y443" s="4">
        <v>79.875</v>
      </c>
      <c r="Z443" s="4"/>
      <c r="AA443" s="4"/>
      <c r="AB443" s="4"/>
      <c r="AC443" s="4"/>
      <c r="AD443" s="4">
        <v>10.324999999999999</v>
      </c>
      <c r="AE443" s="4"/>
      <c r="AF443" s="4"/>
      <c r="AG443" s="4"/>
      <c r="AH443" s="4"/>
      <c r="AI443" s="4"/>
      <c r="AJ443" s="20"/>
      <c r="AK443" s="21"/>
      <c r="AL443" s="21"/>
      <c r="AM443" s="22"/>
    </row>
    <row r="444" spans="1:39" s="15" customFormat="1" ht="10.5" hidden="1" customHeight="1" outlineLevel="1" x14ac:dyDescent="0.2">
      <c r="A444" s="37">
        <v>3</v>
      </c>
      <c r="B444" s="49" t="s">
        <v>437</v>
      </c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3">
        <v>54.56</v>
      </c>
      <c r="T444" s="3"/>
      <c r="U444" s="3"/>
      <c r="V444" s="3"/>
      <c r="W444" s="3"/>
      <c r="X444" s="3"/>
      <c r="Y444" s="4">
        <v>57.146999999999998</v>
      </c>
      <c r="Z444" s="4"/>
      <c r="AA444" s="4"/>
      <c r="AB444" s="4"/>
      <c r="AC444" s="4"/>
      <c r="AD444" s="4">
        <v>-2.5870000000000002</v>
      </c>
      <c r="AE444" s="4"/>
      <c r="AF444" s="4"/>
      <c r="AG444" s="4"/>
      <c r="AH444" s="4"/>
      <c r="AI444" s="4"/>
      <c r="AJ444" s="20"/>
      <c r="AK444" s="21"/>
      <c r="AL444" s="21"/>
      <c r="AM444" s="22"/>
    </row>
    <row r="445" spans="1:39" s="15" customFormat="1" ht="10.5" hidden="1" customHeight="1" outlineLevel="1" x14ac:dyDescent="0.2">
      <c r="A445" s="37">
        <v>4</v>
      </c>
      <c r="B445" s="49" t="s">
        <v>438</v>
      </c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2">
        <v>88</v>
      </c>
      <c r="T445" s="2"/>
      <c r="U445" s="2"/>
      <c r="V445" s="2"/>
      <c r="W445" s="2"/>
      <c r="X445" s="2"/>
      <c r="Y445" s="4">
        <v>84.941999999999993</v>
      </c>
      <c r="Z445" s="4"/>
      <c r="AA445" s="4"/>
      <c r="AB445" s="4"/>
      <c r="AC445" s="4"/>
      <c r="AD445" s="4">
        <v>3.0579999999999998</v>
      </c>
      <c r="AE445" s="4"/>
      <c r="AF445" s="4"/>
      <c r="AG445" s="4"/>
      <c r="AH445" s="4"/>
      <c r="AI445" s="4"/>
      <c r="AJ445" s="20"/>
      <c r="AK445" s="21"/>
      <c r="AL445" s="21"/>
      <c r="AM445" s="22"/>
    </row>
    <row r="446" spans="1:39" s="15" customFormat="1" ht="21.75" hidden="1" customHeight="1" outlineLevel="1" x14ac:dyDescent="0.2">
      <c r="A446" s="37">
        <v>5</v>
      </c>
      <c r="B446" s="49" t="s">
        <v>439</v>
      </c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3">
        <v>31.63</v>
      </c>
      <c r="T446" s="3"/>
      <c r="U446" s="3"/>
      <c r="V446" s="3"/>
      <c r="W446" s="3"/>
      <c r="X446" s="3"/>
      <c r="Y446" s="4">
        <v>28.103000000000002</v>
      </c>
      <c r="Z446" s="4"/>
      <c r="AA446" s="4"/>
      <c r="AB446" s="4"/>
      <c r="AC446" s="4"/>
      <c r="AD446" s="4">
        <v>3.5270000000000001</v>
      </c>
      <c r="AE446" s="4"/>
      <c r="AF446" s="4"/>
      <c r="AG446" s="4"/>
      <c r="AH446" s="4"/>
      <c r="AI446" s="4"/>
      <c r="AJ446" s="20"/>
      <c r="AK446" s="21"/>
      <c r="AL446" s="21"/>
      <c r="AM446" s="22"/>
    </row>
    <row r="447" spans="1:39" s="15" customFormat="1" ht="10.5" hidden="1" customHeight="1" outlineLevel="1" x14ac:dyDescent="0.2">
      <c r="A447" s="37">
        <v>6</v>
      </c>
      <c r="B447" s="49" t="s">
        <v>440</v>
      </c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3">
        <v>79.83</v>
      </c>
      <c r="T447" s="3"/>
      <c r="U447" s="3"/>
      <c r="V447" s="3"/>
      <c r="W447" s="3"/>
      <c r="X447" s="3"/>
      <c r="Y447" s="3">
        <v>86.83</v>
      </c>
      <c r="Z447" s="3"/>
      <c r="AA447" s="3"/>
      <c r="AB447" s="3"/>
      <c r="AC447" s="3"/>
      <c r="AD447" s="2">
        <v>-7</v>
      </c>
      <c r="AE447" s="2"/>
      <c r="AF447" s="2"/>
      <c r="AG447" s="2"/>
      <c r="AH447" s="2"/>
      <c r="AI447" s="2"/>
      <c r="AJ447" s="20"/>
      <c r="AK447" s="21"/>
      <c r="AL447" s="21"/>
      <c r="AM447" s="22"/>
    </row>
    <row r="448" spans="1:39" s="15" customFormat="1" ht="10.5" hidden="1" customHeight="1" outlineLevel="1" x14ac:dyDescent="0.2">
      <c r="A448" s="37">
        <v>7</v>
      </c>
      <c r="B448" s="49" t="s">
        <v>441</v>
      </c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2">
        <v>9</v>
      </c>
      <c r="T448" s="2"/>
      <c r="U448" s="2"/>
      <c r="V448" s="2"/>
      <c r="W448" s="2"/>
      <c r="X448" s="2"/>
      <c r="Y448" s="4">
        <v>8.3520000000000003</v>
      </c>
      <c r="Z448" s="4"/>
      <c r="AA448" s="4"/>
      <c r="AB448" s="4"/>
      <c r="AC448" s="4"/>
      <c r="AD448" s="4">
        <v>0.64800000000000002</v>
      </c>
      <c r="AE448" s="4"/>
      <c r="AF448" s="4"/>
      <c r="AG448" s="4"/>
      <c r="AH448" s="4"/>
      <c r="AI448" s="4"/>
      <c r="AJ448" s="20"/>
      <c r="AK448" s="21"/>
      <c r="AL448" s="21"/>
      <c r="AM448" s="22"/>
    </row>
    <row r="449" spans="1:39" s="15" customFormat="1" ht="21.75" hidden="1" customHeight="1" outlineLevel="1" x14ac:dyDescent="0.2">
      <c r="A449" s="37">
        <v>8</v>
      </c>
      <c r="B449" s="49" t="s">
        <v>442</v>
      </c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2">
        <v>937</v>
      </c>
      <c r="T449" s="2"/>
      <c r="U449" s="2"/>
      <c r="V449" s="2"/>
      <c r="W449" s="2"/>
      <c r="X449" s="2"/>
      <c r="Y449" s="4">
        <v>955.02800000000002</v>
      </c>
      <c r="Z449" s="4"/>
      <c r="AA449" s="4"/>
      <c r="AB449" s="4"/>
      <c r="AC449" s="4"/>
      <c r="AD449" s="4">
        <v>-18.027999999999999</v>
      </c>
      <c r="AE449" s="4"/>
      <c r="AF449" s="4"/>
      <c r="AG449" s="4"/>
      <c r="AH449" s="4"/>
      <c r="AI449" s="4"/>
      <c r="AJ449" s="20"/>
      <c r="AK449" s="21"/>
      <c r="AL449" s="21"/>
      <c r="AM449" s="22"/>
    </row>
    <row r="450" spans="1:39" s="15" customFormat="1" ht="10.5" hidden="1" customHeight="1" outlineLevel="1" x14ac:dyDescent="0.2">
      <c r="A450" s="37">
        <v>9</v>
      </c>
      <c r="B450" s="49" t="s">
        <v>443</v>
      </c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3">
        <v>26.18</v>
      </c>
      <c r="T450" s="3"/>
      <c r="U450" s="3"/>
      <c r="V450" s="3"/>
      <c r="W450" s="3"/>
      <c r="X450" s="3"/>
      <c r="Y450" s="3">
        <v>25.13</v>
      </c>
      <c r="Z450" s="3"/>
      <c r="AA450" s="3"/>
      <c r="AB450" s="3"/>
      <c r="AC450" s="3"/>
      <c r="AD450" s="3">
        <v>1.05</v>
      </c>
      <c r="AE450" s="3"/>
      <c r="AF450" s="3"/>
      <c r="AG450" s="3"/>
      <c r="AH450" s="3"/>
      <c r="AI450" s="3"/>
      <c r="AJ450" s="20"/>
      <c r="AK450" s="21"/>
      <c r="AL450" s="21"/>
      <c r="AM450" s="22"/>
    </row>
    <row r="451" spans="1:39" s="15" customFormat="1" ht="10.5" hidden="1" customHeight="1" outlineLevel="1" x14ac:dyDescent="0.2">
      <c r="A451" s="37">
        <v>10</v>
      </c>
      <c r="B451" s="49" t="s">
        <v>444</v>
      </c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2">
        <v>15</v>
      </c>
      <c r="T451" s="2"/>
      <c r="U451" s="2"/>
      <c r="V451" s="2"/>
      <c r="W451" s="2"/>
      <c r="X451" s="2"/>
      <c r="Y451" s="4">
        <v>14.869</v>
      </c>
      <c r="Z451" s="4"/>
      <c r="AA451" s="4"/>
      <c r="AB451" s="4"/>
      <c r="AC451" s="4"/>
      <c r="AD451" s="4">
        <v>0.13100000000000001</v>
      </c>
      <c r="AE451" s="4"/>
      <c r="AF451" s="4"/>
      <c r="AG451" s="4"/>
      <c r="AH451" s="4"/>
      <c r="AI451" s="4"/>
      <c r="AJ451" s="20"/>
      <c r="AK451" s="21"/>
      <c r="AL451" s="21"/>
      <c r="AM451" s="22"/>
    </row>
    <row r="452" spans="1:39" s="15" customFormat="1" ht="21.75" hidden="1" customHeight="1" outlineLevel="1" x14ac:dyDescent="0.2">
      <c r="A452" s="37">
        <v>11</v>
      </c>
      <c r="B452" s="49" t="s">
        <v>445</v>
      </c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5">
        <v>32.5</v>
      </c>
      <c r="T452" s="5"/>
      <c r="U452" s="5"/>
      <c r="V452" s="5"/>
      <c r="W452" s="5"/>
      <c r="X452" s="5"/>
      <c r="Y452" s="4">
        <v>34.860999999999997</v>
      </c>
      <c r="Z452" s="4"/>
      <c r="AA452" s="4"/>
      <c r="AB452" s="4"/>
      <c r="AC452" s="4"/>
      <c r="AD452" s="4">
        <v>-2.3610000000000002</v>
      </c>
      <c r="AE452" s="4"/>
      <c r="AF452" s="4"/>
      <c r="AG452" s="4"/>
      <c r="AH452" s="4"/>
      <c r="AI452" s="4"/>
      <c r="AJ452" s="20"/>
      <c r="AK452" s="21"/>
      <c r="AL452" s="21"/>
      <c r="AM452" s="22"/>
    </row>
    <row r="453" spans="1:39" s="15" customFormat="1" ht="10.5" hidden="1" customHeight="1" outlineLevel="1" x14ac:dyDescent="0.2">
      <c r="A453" s="37">
        <v>12</v>
      </c>
      <c r="B453" s="49" t="s">
        <v>446</v>
      </c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2">
        <v>6</v>
      </c>
      <c r="T453" s="2"/>
      <c r="U453" s="2"/>
      <c r="V453" s="2"/>
      <c r="W453" s="2"/>
      <c r="X453" s="2"/>
      <c r="Y453" s="3">
        <v>8.18</v>
      </c>
      <c r="Z453" s="3"/>
      <c r="AA453" s="3"/>
      <c r="AB453" s="3"/>
      <c r="AC453" s="3"/>
      <c r="AD453" s="3">
        <v>-2.1800000000000002</v>
      </c>
      <c r="AE453" s="3"/>
      <c r="AF453" s="3"/>
      <c r="AG453" s="3"/>
      <c r="AH453" s="3"/>
      <c r="AI453" s="3"/>
      <c r="AJ453" s="20"/>
      <c r="AK453" s="21"/>
      <c r="AL453" s="21"/>
      <c r="AM453" s="22"/>
    </row>
    <row r="454" spans="1:39" ht="10.5" customHeight="1" x14ac:dyDescent="0.2">
      <c r="A454" s="12" t="s">
        <v>447</v>
      </c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">
        <v>1153.45</v>
      </c>
      <c r="T454" s="1"/>
      <c r="U454" s="1"/>
      <c r="V454" s="1"/>
      <c r="W454" s="1"/>
      <c r="X454" s="1"/>
      <c r="Y454" s="11">
        <v>1085.0619999999999</v>
      </c>
      <c r="Z454" s="11"/>
      <c r="AA454" s="11"/>
      <c r="AB454" s="11"/>
      <c r="AC454" s="11"/>
      <c r="AD454" s="9">
        <v>68.388000000000005</v>
      </c>
      <c r="AE454" s="9"/>
      <c r="AF454" s="9"/>
      <c r="AG454" s="9"/>
      <c r="AH454" s="9"/>
      <c r="AI454" s="9"/>
      <c r="AJ454" s="9">
        <v>94.588999999999999</v>
      </c>
      <c r="AK454" s="9"/>
      <c r="AL454" s="9"/>
      <c r="AM454" s="9"/>
    </row>
    <row r="455" spans="1:39" s="15" customFormat="1" ht="10.5" hidden="1" customHeight="1" outlineLevel="1" x14ac:dyDescent="0.2">
      <c r="A455" s="37">
        <v>1</v>
      </c>
      <c r="B455" s="49" t="s">
        <v>448</v>
      </c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5">
        <v>75.900000000000006</v>
      </c>
      <c r="T455" s="5"/>
      <c r="U455" s="5"/>
      <c r="V455" s="5"/>
      <c r="W455" s="5"/>
      <c r="X455" s="5"/>
      <c r="Y455" s="5">
        <v>44.9</v>
      </c>
      <c r="Z455" s="5"/>
      <c r="AA455" s="5"/>
      <c r="AB455" s="5"/>
      <c r="AC455" s="5"/>
      <c r="AD455" s="2">
        <v>31</v>
      </c>
      <c r="AE455" s="2"/>
      <c r="AF455" s="2"/>
      <c r="AG455" s="2"/>
      <c r="AH455" s="2"/>
      <c r="AI455" s="2"/>
      <c r="AJ455" s="20"/>
      <c r="AK455" s="21"/>
      <c r="AL455" s="21"/>
      <c r="AM455" s="22"/>
    </row>
    <row r="456" spans="1:39" s="15" customFormat="1" ht="21.75" hidden="1" customHeight="1" outlineLevel="1" x14ac:dyDescent="0.2">
      <c r="A456" s="37">
        <v>2</v>
      </c>
      <c r="B456" s="49" t="s">
        <v>449</v>
      </c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5">
        <v>32.9</v>
      </c>
      <c r="T456" s="5"/>
      <c r="U456" s="5"/>
      <c r="V456" s="5"/>
      <c r="W456" s="5"/>
      <c r="X456" s="5"/>
      <c r="Y456" s="5">
        <v>26.1</v>
      </c>
      <c r="Z456" s="5"/>
      <c r="AA456" s="5"/>
      <c r="AB456" s="5"/>
      <c r="AC456" s="5"/>
      <c r="AD456" s="5">
        <v>6.8</v>
      </c>
      <c r="AE456" s="5"/>
      <c r="AF456" s="5"/>
      <c r="AG456" s="5"/>
      <c r="AH456" s="5"/>
      <c r="AI456" s="5"/>
      <c r="AJ456" s="20"/>
      <c r="AK456" s="21"/>
      <c r="AL456" s="21"/>
      <c r="AM456" s="22"/>
    </row>
    <row r="457" spans="1:39" s="15" customFormat="1" ht="10.5" hidden="1" customHeight="1" outlineLevel="1" x14ac:dyDescent="0.2">
      <c r="A457" s="37">
        <v>3</v>
      </c>
      <c r="B457" s="49" t="s">
        <v>450</v>
      </c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5">
        <v>13.2</v>
      </c>
      <c r="T457" s="5"/>
      <c r="U457" s="5"/>
      <c r="V457" s="5"/>
      <c r="W457" s="5"/>
      <c r="X457" s="5"/>
      <c r="Y457" s="4">
        <v>6.3810000000000002</v>
      </c>
      <c r="Z457" s="4"/>
      <c r="AA457" s="4"/>
      <c r="AB457" s="4"/>
      <c r="AC457" s="4"/>
      <c r="AD457" s="4">
        <v>6.819</v>
      </c>
      <c r="AE457" s="4"/>
      <c r="AF457" s="4"/>
      <c r="AG457" s="4"/>
      <c r="AH457" s="4"/>
      <c r="AI457" s="4"/>
      <c r="AJ457" s="20"/>
      <c r="AK457" s="21"/>
      <c r="AL457" s="21"/>
      <c r="AM457" s="22"/>
    </row>
    <row r="458" spans="1:39" s="15" customFormat="1" ht="10.5" hidden="1" customHeight="1" outlineLevel="1" x14ac:dyDescent="0.2">
      <c r="A458" s="37">
        <v>4</v>
      </c>
      <c r="B458" s="49" t="s">
        <v>451</v>
      </c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5">
        <v>41.2</v>
      </c>
      <c r="T458" s="5"/>
      <c r="U458" s="5"/>
      <c r="V458" s="5"/>
      <c r="W458" s="5"/>
      <c r="X458" s="5"/>
      <c r="Y458" s="3">
        <v>40.79</v>
      </c>
      <c r="Z458" s="3"/>
      <c r="AA458" s="3"/>
      <c r="AB458" s="3"/>
      <c r="AC458" s="3"/>
      <c r="AD458" s="3">
        <v>0.41</v>
      </c>
      <c r="AE458" s="3"/>
      <c r="AF458" s="3"/>
      <c r="AG458" s="3"/>
      <c r="AH458" s="3"/>
      <c r="AI458" s="3"/>
      <c r="AJ458" s="20"/>
      <c r="AK458" s="21"/>
      <c r="AL458" s="21"/>
      <c r="AM458" s="22"/>
    </row>
    <row r="459" spans="1:39" s="15" customFormat="1" ht="10.5" hidden="1" customHeight="1" outlineLevel="1" x14ac:dyDescent="0.2">
      <c r="A459" s="37">
        <v>5</v>
      </c>
      <c r="B459" s="49" t="s">
        <v>452</v>
      </c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3">
        <v>20.76</v>
      </c>
      <c r="T459" s="3"/>
      <c r="U459" s="3"/>
      <c r="V459" s="3"/>
      <c r="W459" s="3"/>
      <c r="X459" s="3"/>
      <c r="Y459" s="4">
        <v>16.512</v>
      </c>
      <c r="Z459" s="4"/>
      <c r="AA459" s="4"/>
      <c r="AB459" s="4"/>
      <c r="AC459" s="4"/>
      <c r="AD459" s="4">
        <v>4.2480000000000002</v>
      </c>
      <c r="AE459" s="4"/>
      <c r="AF459" s="4"/>
      <c r="AG459" s="4"/>
      <c r="AH459" s="4"/>
      <c r="AI459" s="4"/>
      <c r="AJ459" s="20"/>
      <c r="AK459" s="21"/>
      <c r="AL459" s="21"/>
      <c r="AM459" s="22"/>
    </row>
    <row r="460" spans="1:39" s="15" customFormat="1" ht="21.75" hidden="1" customHeight="1" outlineLevel="1" x14ac:dyDescent="0.2">
      <c r="A460" s="37">
        <v>6</v>
      </c>
      <c r="B460" s="49" t="s">
        <v>453</v>
      </c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5">
        <v>45.9</v>
      </c>
      <c r="T460" s="5"/>
      <c r="U460" s="5"/>
      <c r="V460" s="5"/>
      <c r="W460" s="5"/>
      <c r="X460" s="5"/>
      <c r="Y460" s="5">
        <v>42.2</v>
      </c>
      <c r="Z460" s="5"/>
      <c r="AA460" s="5"/>
      <c r="AB460" s="5"/>
      <c r="AC460" s="5"/>
      <c r="AD460" s="5">
        <v>3.7</v>
      </c>
      <c r="AE460" s="5"/>
      <c r="AF460" s="5"/>
      <c r="AG460" s="5"/>
      <c r="AH460" s="5"/>
      <c r="AI460" s="5"/>
      <c r="AJ460" s="20"/>
      <c r="AK460" s="21"/>
      <c r="AL460" s="21"/>
      <c r="AM460" s="22"/>
    </row>
    <row r="461" spans="1:39" s="15" customFormat="1" ht="21.75" hidden="1" customHeight="1" outlineLevel="1" x14ac:dyDescent="0.2">
      <c r="A461" s="37">
        <v>7</v>
      </c>
      <c r="B461" s="49" t="s">
        <v>454</v>
      </c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5">
        <v>31.3</v>
      </c>
      <c r="T461" s="5"/>
      <c r="U461" s="5"/>
      <c r="V461" s="5"/>
      <c r="W461" s="5"/>
      <c r="X461" s="5"/>
      <c r="Y461" s="5">
        <v>27.6</v>
      </c>
      <c r="Z461" s="5"/>
      <c r="AA461" s="5"/>
      <c r="AB461" s="5"/>
      <c r="AC461" s="5"/>
      <c r="AD461" s="5">
        <v>3.7</v>
      </c>
      <c r="AE461" s="5"/>
      <c r="AF461" s="5"/>
      <c r="AG461" s="5"/>
      <c r="AH461" s="5"/>
      <c r="AI461" s="5"/>
      <c r="AJ461" s="20"/>
      <c r="AK461" s="21"/>
      <c r="AL461" s="21"/>
      <c r="AM461" s="22"/>
    </row>
    <row r="462" spans="1:39" s="15" customFormat="1" ht="10.5" hidden="1" customHeight="1" outlineLevel="1" x14ac:dyDescent="0.2">
      <c r="A462" s="37">
        <v>8</v>
      </c>
      <c r="B462" s="49" t="s">
        <v>455</v>
      </c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2">
        <v>11</v>
      </c>
      <c r="T462" s="2"/>
      <c r="U462" s="2"/>
      <c r="V462" s="2"/>
      <c r="W462" s="2"/>
      <c r="X462" s="2"/>
      <c r="Y462" s="4">
        <v>8.3740000000000006</v>
      </c>
      <c r="Z462" s="4"/>
      <c r="AA462" s="4"/>
      <c r="AB462" s="4"/>
      <c r="AC462" s="4"/>
      <c r="AD462" s="4">
        <v>2.6259999999999999</v>
      </c>
      <c r="AE462" s="4"/>
      <c r="AF462" s="4"/>
      <c r="AG462" s="4"/>
      <c r="AH462" s="4"/>
      <c r="AI462" s="4"/>
      <c r="AJ462" s="20"/>
      <c r="AK462" s="21"/>
      <c r="AL462" s="21"/>
      <c r="AM462" s="22"/>
    </row>
    <row r="463" spans="1:39" s="15" customFormat="1" ht="21.75" hidden="1" customHeight="1" outlineLevel="1" x14ac:dyDescent="0.2">
      <c r="A463" s="37">
        <v>9</v>
      </c>
      <c r="B463" s="49" t="s">
        <v>456</v>
      </c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3">
        <v>14.56</v>
      </c>
      <c r="T463" s="3"/>
      <c r="U463" s="3"/>
      <c r="V463" s="3"/>
      <c r="W463" s="3"/>
      <c r="X463" s="3"/>
      <c r="Y463" s="4">
        <v>11.686</v>
      </c>
      <c r="Z463" s="4"/>
      <c r="AA463" s="4"/>
      <c r="AB463" s="4"/>
      <c r="AC463" s="4"/>
      <c r="AD463" s="4">
        <v>2.8740000000000001</v>
      </c>
      <c r="AE463" s="4"/>
      <c r="AF463" s="4"/>
      <c r="AG463" s="4"/>
      <c r="AH463" s="4"/>
      <c r="AI463" s="4"/>
      <c r="AJ463" s="20"/>
      <c r="AK463" s="21"/>
      <c r="AL463" s="21"/>
      <c r="AM463" s="22"/>
    </row>
    <row r="464" spans="1:39" s="15" customFormat="1" ht="10.5" hidden="1" customHeight="1" outlineLevel="1" x14ac:dyDescent="0.2">
      <c r="A464" s="37">
        <v>10</v>
      </c>
      <c r="B464" s="49" t="s">
        <v>457</v>
      </c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3">
        <v>14.96</v>
      </c>
      <c r="T464" s="3"/>
      <c r="U464" s="3"/>
      <c r="V464" s="3"/>
      <c r="W464" s="3"/>
      <c r="X464" s="3"/>
      <c r="Y464" s="4">
        <v>12.321999999999999</v>
      </c>
      <c r="Z464" s="4"/>
      <c r="AA464" s="4"/>
      <c r="AB464" s="4"/>
      <c r="AC464" s="4"/>
      <c r="AD464" s="4">
        <v>2.6379999999999999</v>
      </c>
      <c r="AE464" s="4"/>
      <c r="AF464" s="4"/>
      <c r="AG464" s="4"/>
      <c r="AH464" s="4"/>
      <c r="AI464" s="4"/>
      <c r="AJ464" s="20"/>
      <c r="AK464" s="21"/>
      <c r="AL464" s="21"/>
      <c r="AM464" s="22"/>
    </row>
    <row r="465" spans="1:39" s="15" customFormat="1" ht="10.5" hidden="1" customHeight="1" outlineLevel="1" x14ac:dyDescent="0.2">
      <c r="A465" s="37">
        <v>11</v>
      </c>
      <c r="B465" s="49" t="s">
        <v>458</v>
      </c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5">
        <v>22.3</v>
      </c>
      <c r="T465" s="5"/>
      <c r="U465" s="5"/>
      <c r="V465" s="5"/>
      <c r="W465" s="5"/>
      <c r="X465" s="5"/>
      <c r="Y465" s="4">
        <v>20.395</v>
      </c>
      <c r="Z465" s="4"/>
      <c r="AA465" s="4"/>
      <c r="AB465" s="4"/>
      <c r="AC465" s="4"/>
      <c r="AD465" s="4">
        <v>1.905</v>
      </c>
      <c r="AE465" s="4"/>
      <c r="AF465" s="4"/>
      <c r="AG465" s="4"/>
      <c r="AH465" s="4"/>
      <c r="AI465" s="4"/>
      <c r="AJ465" s="20"/>
      <c r="AK465" s="21"/>
      <c r="AL465" s="21"/>
      <c r="AM465" s="22"/>
    </row>
    <row r="466" spans="1:39" s="15" customFormat="1" ht="21.75" hidden="1" customHeight="1" outlineLevel="1" x14ac:dyDescent="0.2">
      <c r="A466" s="37">
        <v>12</v>
      </c>
      <c r="B466" s="49" t="s">
        <v>459</v>
      </c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5">
        <v>19.899999999999999</v>
      </c>
      <c r="T466" s="5"/>
      <c r="U466" s="5"/>
      <c r="V466" s="5"/>
      <c r="W466" s="5"/>
      <c r="X466" s="5"/>
      <c r="Y466" s="4">
        <v>18.068999999999999</v>
      </c>
      <c r="Z466" s="4"/>
      <c r="AA466" s="4"/>
      <c r="AB466" s="4"/>
      <c r="AC466" s="4"/>
      <c r="AD466" s="4">
        <v>1.831</v>
      </c>
      <c r="AE466" s="4"/>
      <c r="AF466" s="4"/>
      <c r="AG466" s="4"/>
      <c r="AH466" s="4"/>
      <c r="AI466" s="4"/>
      <c r="AJ466" s="20"/>
      <c r="AK466" s="21"/>
      <c r="AL466" s="21"/>
      <c r="AM466" s="22"/>
    </row>
    <row r="467" spans="1:39" s="15" customFormat="1" ht="10.5" hidden="1" customHeight="1" outlineLevel="1" x14ac:dyDescent="0.2">
      <c r="A467" s="37">
        <v>13</v>
      </c>
      <c r="B467" s="49" t="s">
        <v>460</v>
      </c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5">
        <v>8.3000000000000007</v>
      </c>
      <c r="T467" s="5"/>
      <c r="U467" s="5"/>
      <c r="V467" s="5"/>
      <c r="W467" s="5"/>
      <c r="X467" s="5"/>
      <c r="Y467" s="5">
        <v>6.5</v>
      </c>
      <c r="Z467" s="5"/>
      <c r="AA467" s="5"/>
      <c r="AB467" s="5"/>
      <c r="AC467" s="5"/>
      <c r="AD467" s="5">
        <v>1.8</v>
      </c>
      <c r="AE467" s="5"/>
      <c r="AF467" s="5"/>
      <c r="AG467" s="5"/>
      <c r="AH467" s="5"/>
      <c r="AI467" s="5"/>
      <c r="AJ467" s="20"/>
      <c r="AK467" s="21"/>
      <c r="AL467" s="21"/>
      <c r="AM467" s="22"/>
    </row>
    <row r="468" spans="1:39" s="15" customFormat="1" ht="21.75" hidden="1" customHeight="1" outlineLevel="1" x14ac:dyDescent="0.2">
      <c r="A468" s="37">
        <v>14</v>
      </c>
      <c r="B468" s="49" t="s">
        <v>312</v>
      </c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2">
        <v>20</v>
      </c>
      <c r="T468" s="2"/>
      <c r="U468" s="2"/>
      <c r="V468" s="2"/>
      <c r="W468" s="2"/>
      <c r="X468" s="2"/>
      <c r="Y468" s="4">
        <v>18.948</v>
      </c>
      <c r="Z468" s="4"/>
      <c r="AA468" s="4"/>
      <c r="AB468" s="4"/>
      <c r="AC468" s="4"/>
      <c r="AD468" s="4">
        <v>1.052</v>
      </c>
      <c r="AE468" s="4"/>
      <c r="AF468" s="4"/>
      <c r="AG468" s="4"/>
      <c r="AH468" s="4"/>
      <c r="AI468" s="4"/>
      <c r="AJ468" s="20"/>
      <c r="AK468" s="21"/>
      <c r="AL468" s="21"/>
      <c r="AM468" s="22"/>
    </row>
    <row r="469" spans="1:39" s="15" customFormat="1" ht="10.5" hidden="1" customHeight="1" outlineLevel="1" x14ac:dyDescent="0.2">
      <c r="A469" s="37">
        <v>15</v>
      </c>
      <c r="B469" s="49" t="s">
        <v>461</v>
      </c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3">
        <v>7.58</v>
      </c>
      <c r="T469" s="3"/>
      <c r="U469" s="3"/>
      <c r="V469" s="3"/>
      <c r="W469" s="3"/>
      <c r="X469" s="3"/>
      <c r="Y469" s="3">
        <v>6.79</v>
      </c>
      <c r="Z469" s="3"/>
      <c r="AA469" s="3"/>
      <c r="AB469" s="3"/>
      <c r="AC469" s="3"/>
      <c r="AD469" s="3">
        <v>0.79</v>
      </c>
      <c r="AE469" s="3"/>
      <c r="AF469" s="3"/>
      <c r="AG469" s="3"/>
      <c r="AH469" s="3"/>
      <c r="AI469" s="3"/>
      <c r="AJ469" s="20"/>
      <c r="AK469" s="21"/>
      <c r="AL469" s="21"/>
      <c r="AM469" s="22"/>
    </row>
    <row r="470" spans="1:39" s="15" customFormat="1" ht="10.5" hidden="1" customHeight="1" outlineLevel="1" x14ac:dyDescent="0.2">
      <c r="A470" s="37">
        <v>16</v>
      </c>
      <c r="B470" s="49" t="s">
        <v>462</v>
      </c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5">
        <v>5.9</v>
      </c>
      <c r="T470" s="5"/>
      <c r="U470" s="5"/>
      <c r="V470" s="5"/>
      <c r="W470" s="5"/>
      <c r="X470" s="5"/>
      <c r="Y470" s="3">
        <v>4.32</v>
      </c>
      <c r="Z470" s="3"/>
      <c r="AA470" s="3"/>
      <c r="AB470" s="3"/>
      <c r="AC470" s="3"/>
      <c r="AD470" s="3">
        <v>1.58</v>
      </c>
      <c r="AE470" s="3"/>
      <c r="AF470" s="3"/>
      <c r="AG470" s="3"/>
      <c r="AH470" s="3"/>
      <c r="AI470" s="3"/>
      <c r="AJ470" s="20"/>
      <c r="AK470" s="21"/>
      <c r="AL470" s="21"/>
      <c r="AM470" s="22"/>
    </row>
    <row r="471" spans="1:39" s="15" customFormat="1" ht="10.5" hidden="1" customHeight="1" outlineLevel="1" x14ac:dyDescent="0.2">
      <c r="A471" s="37">
        <v>17</v>
      </c>
      <c r="B471" s="49" t="s">
        <v>463</v>
      </c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3">
        <v>3.64</v>
      </c>
      <c r="T471" s="3"/>
      <c r="U471" s="3"/>
      <c r="V471" s="3"/>
      <c r="W471" s="3"/>
      <c r="X471" s="3"/>
      <c r="Y471" s="4">
        <v>2.4079999999999999</v>
      </c>
      <c r="Z471" s="4"/>
      <c r="AA471" s="4"/>
      <c r="AB471" s="4"/>
      <c r="AC471" s="4"/>
      <c r="AD471" s="4">
        <v>1.232</v>
      </c>
      <c r="AE471" s="4"/>
      <c r="AF471" s="4"/>
      <c r="AG471" s="4"/>
      <c r="AH471" s="4"/>
      <c r="AI471" s="4"/>
      <c r="AJ471" s="20"/>
      <c r="AK471" s="21"/>
      <c r="AL471" s="21"/>
      <c r="AM471" s="22"/>
    </row>
    <row r="472" spans="1:39" s="15" customFormat="1" ht="10.5" hidden="1" customHeight="1" outlineLevel="1" x14ac:dyDescent="0.2">
      <c r="A472" s="37">
        <v>18</v>
      </c>
      <c r="B472" s="49" t="s">
        <v>464</v>
      </c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3">
        <v>15.06</v>
      </c>
      <c r="T472" s="3"/>
      <c r="U472" s="3"/>
      <c r="V472" s="3"/>
      <c r="W472" s="3"/>
      <c r="X472" s="3"/>
      <c r="Y472" s="3">
        <v>16.86</v>
      </c>
      <c r="Z472" s="3"/>
      <c r="AA472" s="3"/>
      <c r="AB472" s="3"/>
      <c r="AC472" s="3"/>
      <c r="AD472" s="5">
        <v>-1.8</v>
      </c>
      <c r="AE472" s="5"/>
      <c r="AF472" s="5"/>
      <c r="AG472" s="5"/>
      <c r="AH472" s="5"/>
      <c r="AI472" s="5"/>
      <c r="AJ472" s="20"/>
      <c r="AK472" s="21"/>
      <c r="AL472" s="21"/>
      <c r="AM472" s="22"/>
    </row>
    <row r="473" spans="1:39" s="15" customFormat="1" ht="10.5" hidden="1" customHeight="1" outlineLevel="1" x14ac:dyDescent="0.2">
      <c r="A473" s="37">
        <v>19</v>
      </c>
      <c r="B473" s="49" t="s">
        <v>465</v>
      </c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2">
        <v>11</v>
      </c>
      <c r="T473" s="2"/>
      <c r="U473" s="2"/>
      <c r="V473" s="2"/>
      <c r="W473" s="2"/>
      <c r="X473" s="2"/>
      <c r="Y473" s="4">
        <v>10.154</v>
      </c>
      <c r="Z473" s="4"/>
      <c r="AA473" s="4"/>
      <c r="AB473" s="4"/>
      <c r="AC473" s="4"/>
      <c r="AD473" s="4">
        <v>0.84599999999999997</v>
      </c>
      <c r="AE473" s="4"/>
      <c r="AF473" s="4"/>
      <c r="AG473" s="4"/>
      <c r="AH473" s="4"/>
      <c r="AI473" s="4"/>
      <c r="AJ473" s="20"/>
      <c r="AK473" s="21"/>
      <c r="AL473" s="21"/>
      <c r="AM473" s="22"/>
    </row>
    <row r="474" spans="1:39" s="15" customFormat="1" ht="10.5" hidden="1" customHeight="1" outlineLevel="1" x14ac:dyDescent="0.2">
      <c r="A474" s="37">
        <v>20</v>
      </c>
      <c r="B474" s="49" t="s">
        <v>466</v>
      </c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5">
        <v>11.1</v>
      </c>
      <c r="T474" s="5"/>
      <c r="U474" s="5"/>
      <c r="V474" s="5"/>
      <c r="W474" s="5"/>
      <c r="X474" s="5"/>
      <c r="Y474" s="4">
        <v>10.367000000000001</v>
      </c>
      <c r="Z474" s="4"/>
      <c r="AA474" s="4"/>
      <c r="AB474" s="4"/>
      <c r="AC474" s="4"/>
      <c r="AD474" s="4">
        <v>0.73299999999999998</v>
      </c>
      <c r="AE474" s="4"/>
      <c r="AF474" s="4"/>
      <c r="AG474" s="4"/>
      <c r="AH474" s="4"/>
      <c r="AI474" s="4"/>
      <c r="AJ474" s="20"/>
      <c r="AK474" s="21"/>
      <c r="AL474" s="21"/>
      <c r="AM474" s="22"/>
    </row>
    <row r="475" spans="1:39" s="15" customFormat="1" ht="10.5" hidden="1" customHeight="1" outlineLevel="1" x14ac:dyDescent="0.2">
      <c r="A475" s="37">
        <v>21</v>
      </c>
      <c r="B475" s="49" t="s">
        <v>467</v>
      </c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3">
        <v>12.26</v>
      </c>
      <c r="T475" s="3"/>
      <c r="U475" s="3"/>
      <c r="V475" s="3"/>
      <c r="W475" s="3"/>
      <c r="X475" s="3"/>
      <c r="Y475" s="3">
        <v>11.46</v>
      </c>
      <c r="Z475" s="3"/>
      <c r="AA475" s="3"/>
      <c r="AB475" s="3"/>
      <c r="AC475" s="3"/>
      <c r="AD475" s="5">
        <v>0.8</v>
      </c>
      <c r="AE475" s="5"/>
      <c r="AF475" s="5"/>
      <c r="AG475" s="5"/>
      <c r="AH475" s="5"/>
      <c r="AI475" s="5"/>
      <c r="AJ475" s="20"/>
      <c r="AK475" s="21"/>
      <c r="AL475" s="21"/>
      <c r="AM475" s="22"/>
    </row>
    <row r="476" spans="1:39" s="15" customFormat="1" ht="21.75" hidden="1" customHeight="1" outlineLevel="1" x14ac:dyDescent="0.2">
      <c r="A476" s="37">
        <v>22</v>
      </c>
      <c r="B476" s="49" t="s">
        <v>468</v>
      </c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3">
        <v>12.72</v>
      </c>
      <c r="T476" s="3"/>
      <c r="U476" s="3"/>
      <c r="V476" s="3"/>
      <c r="W476" s="3"/>
      <c r="X476" s="3"/>
      <c r="Y476" s="4">
        <v>12.063000000000001</v>
      </c>
      <c r="Z476" s="4"/>
      <c r="AA476" s="4"/>
      <c r="AB476" s="4"/>
      <c r="AC476" s="4"/>
      <c r="AD476" s="4">
        <v>0.65700000000000003</v>
      </c>
      <c r="AE476" s="4"/>
      <c r="AF476" s="4"/>
      <c r="AG476" s="4"/>
      <c r="AH476" s="4"/>
      <c r="AI476" s="4"/>
      <c r="AJ476" s="20"/>
      <c r="AK476" s="21"/>
      <c r="AL476" s="21"/>
      <c r="AM476" s="22"/>
    </row>
    <row r="477" spans="1:39" s="15" customFormat="1" ht="21.75" hidden="1" customHeight="1" outlineLevel="1" x14ac:dyDescent="0.2">
      <c r="A477" s="37">
        <v>23</v>
      </c>
      <c r="B477" s="49" t="s">
        <v>469</v>
      </c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3">
        <v>7.32</v>
      </c>
      <c r="T477" s="3"/>
      <c r="U477" s="3"/>
      <c r="V477" s="3"/>
      <c r="W477" s="3"/>
      <c r="X477" s="3"/>
      <c r="Y477" s="4">
        <v>6.6120000000000001</v>
      </c>
      <c r="Z477" s="4"/>
      <c r="AA477" s="4"/>
      <c r="AB477" s="4"/>
      <c r="AC477" s="4"/>
      <c r="AD477" s="4">
        <v>0.70799999999999996</v>
      </c>
      <c r="AE477" s="4"/>
      <c r="AF477" s="4"/>
      <c r="AG477" s="4"/>
      <c r="AH477" s="4"/>
      <c r="AI477" s="4"/>
      <c r="AJ477" s="20"/>
      <c r="AK477" s="21"/>
      <c r="AL477" s="21"/>
      <c r="AM477" s="22"/>
    </row>
    <row r="478" spans="1:39" s="15" customFormat="1" ht="21.75" hidden="1" customHeight="1" outlineLevel="1" x14ac:dyDescent="0.2">
      <c r="A478" s="37">
        <v>24</v>
      </c>
      <c r="B478" s="49" t="s">
        <v>470</v>
      </c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3">
        <v>20.64</v>
      </c>
      <c r="T478" s="3"/>
      <c r="U478" s="3"/>
      <c r="V478" s="3"/>
      <c r="W478" s="3"/>
      <c r="X478" s="3"/>
      <c r="Y478" s="4">
        <v>20.093</v>
      </c>
      <c r="Z478" s="4"/>
      <c r="AA478" s="4"/>
      <c r="AB478" s="4"/>
      <c r="AC478" s="4"/>
      <c r="AD478" s="4">
        <v>0.54700000000000004</v>
      </c>
      <c r="AE478" s="4"/>
      <c r="AF478" s="4"/>
      <c r="AG478" s="4"/>
      <c r="AH478" s="4"/>
      <c r="AI478" s="4"/>
      <c r="AJ478" s="20"/>
      <c r="AK478" s="21"/>
      <c r="AL478" s="21"/>
      <c r="AM478" s="22"/>
    </row>
    <row r="479" spans="1:39" s="15" customFormat="1" ht="21.75" hidden="1" customHeight="1" outlineLevel="1" x14ac:dyDescent="0.2">
      <c r="A479" s="37">
        <v>25</v>
      </c>
      <c r="B479" s="49" t="s">
        <v>471</v>
      </c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5">
        <v>16.7</v>
      </c>
      <c r="T479" s="5"/>
      <c r="U479" s="5"/>
      <c r="V479" s="5"/>
      <c r="W479" s="5"/>
      <c r="X479" s="5"/>
      <c r="Y479" s="4">
        <v>16.045999999999999</v>
      </c>
      <c r="Z479" s="4"/>
      <c r="AA479" s="4"/>
      <c r="AB479" s="4"/>
      <c r="AC479" s="4"/>
      <c r="AD479" s="4">
        <v>0.65400000000000003</v>
      </c>
      <c r="AE479" s="4"/>
      <c r="AF479" s="4"/>
      <c r="AG479" s="4"/>
      <c r="AH479" s="4"/>
      <c r="AI479" s="4"/>
      <c r="AJ479" s="20"/>
      <c r="AK479" s="21"/>
      <c r="AL479" s="21"/>
      <c r="AM479" s="22"/>
    </row>
    <row r="480" spans="1:39" s="15" customFormat="1" ht="10.5" hidden="1" customHeight="1" outlineLevel="1" x14ac:dyDescent="0.2">
      <c r="A480" s="37">
        <v>26</v>
      </c>
      <c r="B480" s="49" t="s">
        <v>472</v>
      </c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3">
        <v>8.81</v>
      </c>
      <c r="T480" s="3"/>
      <c r="U480" s="3"/>
      <c r="V480" s="3"/>
      <c r="W480" s="3"/>
      <c r="X480" s="3"/>
      <c r="Y480" s="4">
        <v>9.6989999999999998</v>
      </c>
      <c r="Z480" s="4"/>
      <c r="AA480" s="4"/>
      <c r="AB480" s="4"/>
      <c r="AC480" s="4"/>
      <c r="AD480" s="4">
        <v>-0.88900000000000001</v>
      </c>
      <c r="AE480" s="4"/>
      <c r="AF480" s="4"/>
      <c r="AG480" s="4"/>
      <c r="AH480" s="4"/>
      <c r="AI480" s="4"/>
      <c r="AJ480" s="20"/>
      <c r="AK480" s="21"/>
      <c r="AL480" s="21"/>
      <c r="AM480" s="22"/>
    </row>
    <row r="481" spans="1:39" s="15" customFormat="1" ht="10.5" hidden="1" customHeight="1" outlineLevel="1" x14ac:dyDescent="0.2">
      <c r="A481" s="37">
        <v>27</v>
      </c>
      <c r="B481" s="49" t="s">
        <v>473</v>
      </c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5">
        <v>51.9</v>
      </c>
      <c r="T481" s="5"/>
      <c r="U481" s="5"/>
      <c r="V481" s="5"/>
      <c r="W481" s="5"/>
      <c r="X481" s="5"/>
      <c r="Y481" s="4">
        <v>56.338999999999999</v>
      </c>
      <c r="Z481" s="4"/>
      <c r="AA481" s="4"/>
      <c r="AB481" s="4"/>
      <c r="AC481" s="4"/>
      <c r="AD481" s="4">
        <v>-4.4390000000000001</v>
      </c>
      <c r="AE481" s="4"/>
      <c r="AF481" s="4"/>
      <c r="AG481" s="4"/>
      <c r="AH481" s="4"/>
      <c r="AI481" s="4"/>
      <c r="AJ481" s="20"/>
      <c r="AK481" s="21"/>
      <c r="AL481" s="21"/>
      <c r="AM481" s="22"/>
    </row>
    <row r="482" spans="1:39" s="15" customFormat="1" ht="10.5" hidden="1" customHeight="1" outlineLevel="1" x14ac:dyDescent="0.2">
      <c r="A482" s="37">
        <v>28</v>
      </c>
      <c r="B482" s="49" t="s">
        <v>474</v>
      </c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3">
        <v>14.23</v>
      </c>
      <c r="T482" s="3"/>
      <c r="U482" s="3"/>
      <c r="V482" s="3"/>
      <c r="W482" s="3"/>
      <c r="X482" s="3"/>
      <c r="Y482" s="4">
        <v>14.231999999999999</v>
      </c>
      <c r="Z482" s="4"/>
      <c r="AA482" s="4"/>
      <c r="AB482" s="4"/>
      <c r="AC482" s="4"/>
      <c r="AD482" s="4">
        <v>-2E-3</v>
      </c>
      <c r="AE482" s="4"/>
      <c r="AF482" s="4"/>
      <c r="AG482" s="4"/>
      <c r="AH482" s="4"/>
      <c r="AI482" s="4"/>
      <c r="AJ482" s="20"/>
      <c r="AK482" s="21"/>
      <c r="AL482" s="21"/>
      <c r="AM482" s="22"/>
    </row>
    <row r="483" spans="1:39" s="15" customFormat="1" ht="10.5" hidden="1" customHeight="1" outlineLevel="1" x14ac:dyDescent="0.2">
      <c r="A483" s="37">
        <v>29</v>
      </c>
      <c r="B483" s="49" t="s">
        <v>475</v>
      </c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3">
        <v>31.31</v>
      </c>
      <c r="T483" s="3"/>
      <c r="U483" s="3"/>
      <c r="V483" s="3"/>
      <c r="W483" s="3"/>
      <c r="X483" s="3"/>
      <c r="Y483" s="4">
        <v>31.442</v>
      </c>
      <c r="Z483" s="4"/>
      <c r="AA483" s="4"/>
      <c r="AB483" s="4"/>
      <c r="AC483" s="4"/>
      <c r="AD483" s="4">
        <v>-0.13200000000000001</v>
      </c>
      <c r="AE483" s="4"/>
      <c r="AF483" s="4"/>
      <c r="AG483" s="4"/>
      <c r="AH483" s="4"/>
      <c r="AI483" s="4"/>
      <c r="AJ483" s="20"/>
      <c r="AK483" s="21"/>
      <c r="AL483" s="21"/>
      <c r="AM483" s="22"/>
    </row>
    <row r="484" spans="1:39" s="15" customFormat="1" ht="10.5" hidden="1" customHeight="1" outlineLevel="1" x14ac:dyDescent="0.2">
      <c r="A484" s="37">
        <v>30</v>
      </c>
      <c r="B484" s="49" t="s">
        <v>476</v>
      </c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5">
        <v>4.7</v>
      </c>
      <c r="T484" s="5"/>
      <c r="U484" s="5"/>
      <c r="V484" s="5"/>
      <c r="W484" s="5"/>
      <c r="X484" s="5"/>
      <c r="Y484" s="4">
        <v>4.2709999999999999</v>
      </c>
      <c r="Z484" s="4"/>
      <c r="AA484" s="4"/>
      <c r="AB484" s="4"/>
      <c r="AC484" s="4"/>
      <c r="AD484" s="4">
        <v>0.42899999999999999</v>
      </c>
      <c r="AE484" s="4"/>
      <c r="AF484" s="4"/>
      <c r="AG484" s="4"/>
      <c r="AH484" s="4"/>
      <c r="AI484" s="4"/>
      <c r="AJ484" s="20"/>
      <c r="AK484" s="21"/>
      <c r="AL484" s="21"/>
      <c r="AM484" s="22"/>
    </row>
    <row r="485" spans="1:39" s="15" customFormat="1" ht="21.75" hidden="1" customHeight="1" outlineLevel="1" x14ac:dyDescent="0.2">
      <c r="A485" s="37">
        <v>31</v>
      </c>
      <c r="B485" s="49" t="s">
        <v>477</v>
      </c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3">
        <v>9.33</v>
      </c>
      <c r="T485" s="3"/>
      <c r="U485" s="3"/>
      <c r="V485" s="3"/>
      <c r="W485" s="3"/>
      <c r="X485" s="3"/>
      <c r="Y485" s="4">
        <v>8.9030000000000005</v>
      </c>
      <c r="Z485" s="4"/>
      <c r="AA485" s="4"/>
      <c r="AB485" s="4"/>
      <c r="AC485" s="4"/>
      <c r="AD485" s="4">
        <v>0.42699999999999999</v>
      </c>
      <c r="AE485" s="4"/>
      <c r="AF485" s="4"/>
      <c r="AG485" s="4"/>
      <c r="AH485" s="4"/>
      <c r="AI485" s="4"/>
      <c r="AJ485" s="20"/>
      <c r="AK485" s="21"/>
      <c r="AL485" s="21"/>
      <c r="AM485" s="22"/>
    </row>
    <row r="486" spans="1:39" s="15" customFormat="1" ht="10.5" hidden="1" customHeight="1" outlineLevel="1" x14ac:dyDescent="0.2">
      <c r="A486" s="37">
        <v>32</v>
      </c>
      <c r="B486" s="49" t="s">
        <v>478</v>
      </c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3">
        <v>19.78</v>
      </c>
      <c r="T486" s="3"/>
      <c r="U486" s="3"/>
      <c r="V486" s="3"/>
      <c r="W486" s="3"/>
      <c r="X486" s="3"/>
      <c r="Y486" s="4">
        <v>19.826000000000001</v>
      </c>
      <c r="Z486" s="4"/>
      <c r="AA486" s="4"/>
      <c r="AB486" s="4"/>
      <c r="AC486" s="4"/>
      <c r="AD486" s="4">
        <v>-4.5999999999999999E-2</v>
      </c>
      <c r="AE486" s="4"/>
      <c r="AF486" s="4"/>
      <c r="AG486" s="4"/>
      <c r="AH486" s="4"/>
      <c r="AI486" s="4"/>
      <c r="AJ486" s="20"/>
      <c r="AK486" s="21"/>
      <c r="AL486" s="21"/>
      <c r="AM486" s="22"/>
    </row>
    <row r="487" spans="1:39" s="15" customFormat="1" ht="10.5" hidden="1" customHeight="1" outlineLevel="1" x14ac:dyDescent="0.2">
      <c r="A487" s="37">
        <v>33</v>
      </c>
      <c r="B487" s="49" t="s">
        <v>479</v>
      </c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5">
        <v>7.8</v>
      </c>
      <c r="T487" s="5"/>
      <c r="U487" s="5"/>
      <c r="V487" s="5"/>
      <c r="W487" s="5"/>
      <c r="X487" s="5"/>
      <c r="Y487" s="4">
        <v>7.5880000000000001</v>
      </c>
      <c r="Z487" s="4"/>
      <c r="AA487" s="4"/>
      <c r="AB487" s="4"/>
      <c r="AC487" s="4"/>
      <c r="AD487" s="4">
        <v>0.21199999999999999</v>
      </c>
      <c r="AE487" s="4"/>
      <c r="AF487" s="4"/>
      <c r="AG487" s="4"/>
      <c r="AH487" s="4"/>
      <c r="AI487" s="4"/>
      <c r="AJ487" s="20"/>
      <c r="AK487" s="21"/>
      <c r="AL487" s="21"/>
      <c r="AM487" s="22"/>
    </row>
    <row r="488" spans="1:39" s="15" customFormat="1" ht="10.5" hidden="1" customHeight="1" outlineLevel="1" x14ac:dyDescent="0.2">
      <c r="A488" s="37">
        <v>34</v>
      </c>
      <c r="B488" s="49" t="s">
        <v>480</v>
      </c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5">
        <v>20.100000000000001</v>
      </c>
      <c r="T488" s="5"/>
      <c r="U488" s="5"/>
      <c r="V488" s="5"/>
      <c r="W488" s="5"/>
      <c r="X488" s="5"/>
      <c r="Y488" s="4">
        <v>20.253</v>
      </c>
      <c r="Z488" s="4"/>
      <c r="AA488" s="4"/>
      <c r="AB488" s="4"/>
      <c r="AC488" s="4"/>
      <c r="AD488" s="4">
        <v>-0.153</v>
      </c>
      <c r="AE488" s="4"/>
      <c r="AF488" s="4"/>
      <c r="AG488" s="4"/>
      <c r="AH488" s="4"/>
      <c r="AI488" s="4"/>
      <c r="AJ488" s="20"/>
      <c r="AK488" s="21"/>
      <c r="AL488" s="21"/>
      <c r="AM488" s="22"/>
    </row>
    <row r="489" spans="1:39" s="15" customFormat="1" ht="10.5" hidden="1" customHeight="1" outlineLevel="1" x14ac:dyDescent="0.2">
      <c r="A489" s="37">
        <v>35</v>
      </c>
      <c r="B489" s="49" t="s">
        <v>481</v>
      </c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5">
        <v>15.8</v>
      </c>
      <c r="T489" s="5"/>
      <c r="U489" s="5"/>
      <c r="V489" s="5"/>
      <c r="W489" s="5"/>
      <c r="X489" s="5"/>
      <c r="Y489" s="4">
        <v>16.177</v>
      </c>
      <c r="Z489" s="4"/>
      <c r="AA489" s="4"/>
      <c r="AB489" s="4"/>
      <c r="AC489" s="4"/>
      <c r="AD489" s="4">
        <v>-0.377</v>
      </c>
      <c r="AE489" s="4"/>
      <c r="AF489" s="4"/>
      <c r="AG489" s="4"/>
      <c r="AH489" s="4"/>
      <c r="AI489" s="4"/>
      <c r="AJ489" s="20"/>
      <c r="AK489" s="21"/>
      <c r="AL489" s="21"/>
      <c r="AM489" s="22"/>
    </row>
    <row r="490" spans="1:39" s="15" customFormat="1" ht="10.5" hidden="1" customHeight="1" outlineLevel="1" x14ac:dyDescent="0.2">
      <c r="A490" s="37">
        <v>36</v>
      </c>
      <c r="B490" s="49" t="s">
        <v>482</v>
      </c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3">
        <v>18.95</v>
      </c>
      <c r="T490" s="3"/>
      <c r="U490" s="3"/>
      <c r="V490" s="3"/>
      <c r="W490" s="3"/>
      <c r="X490" s="3"/>
      <c r="Y490" s="4">
        <v>18.939</v>
      </c>
      <c r="Z490" s="4"/>
      <c r="AA490" s="4"/>
      <c r="AB490" s="4"/>
      <c r="AC490" s="4"/>
      <c r="AD490" s="4">
        <v>1.0999999999999999E-2</v>
      </c>
      <c r="AE490" s="4"/>
      <c r="AF490" s="4"/>
      <c r="AG490" s="4"/>
      <c r="AH490" s="4"/>
      <c r="AI490" s="4"/>
      <c r="AJ490" s="20"/>
      <c r="AK490" s="21"/>
      <c r="AL490" s="21"/>
      <c r="AM490" s="22"/>
    </row>
    <row r="491" spans="1:39" s="15" customFormat="1" ht="21.75" hidden="1" customHeight="1" outlineLevel="1" x14ac:dyDescent="0.2">
      <c r="A491" s="37">
        <v>37</v>
      </c>
      <c r="B491" s="49" t="s">
        <v>483</v>
      </c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3">
        <v>38.54</v>
      </c>
      <c r="T491" s="3"/>
      <c r="U491" s="3"/>
      <c r="V491" s="3"/>
      <c r="W491" s="3"/>
      <c r="X491" s="3"/>
      <c r="Y491" s="4">
        <v>38.959000000000003</v>
      </c>
      <c r="Z491" s="4"/>
      <c r="AA491" s="4"/>
      <c r="AB491" s="4"/>
      <c r="AC491" s="4"/>
      <c r="AD491" s="4">
        <v>-0.41899999999999998</v>
      </c>
      <c r="AE491" s="4"/>
      <c r="AF491" s="4"/>
      <c r="AG491" s="4"/>
      <c r="AH491" s="4"/>
      <c r="AI491" s="4"/>
      <c r="AJ491" s="20"/>
      <c r="AK491" s="21"/>
      <c r="AL491" s="21"/>
      <c r="AM491" s="22"/>
    </row>
    <row r="492" spans="1:39" s="15" customFormat="1" ht="10.5" hidden="1" customHeight="1" outlineLevel="1" x14ac:dyDescent="0.2">
      <c r="A492" s="37">
        <v>38</v>
      </c>
      <c r="B492" s="49" t="s">
        <v>484</v>
      </c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3">
        <v>5.28</v>
      </c>
      <c r="T492" s="3"/>
      <c r="U492" s="3"/>
      <c r="V492" s="3"/>
      <c r="W492" s="3"/>
      <c r="X492" s="3"/>
      <c r="Y492" s="4">
        <v>5.2649999999999997</v>
      </c>
      <c r="Z492" s="4"/>
      <c r="AA492" s="4"/>
      <c r="AB492" s="4"/>
      <c r="AC492" s="4"/>
      <c r="AD492" s="4">
        <v>1.4999999999999999E-2</v>
      </c>
      <c r="AE492" s="4"/>
      <c r="AF492" s="4"/>
      <c r="AG492" s="4"/>
      <c r="AH492" s="4"/>
      <c r="AI492" s="4"/>
      <c r="AJ492" s="20"/>
      <c r="AK492" s="21"/>
      <c r="AL492" s="21"/>
      <c r="AM492" s="22"/>
    </row>
    <row r="493" spans="1:39" s="15" customFormat="1" ht="10.5" hidden="1" customHeight="1" outlineLevel="1" x14ac:dyDescent="0.2">
      <c r="A493" s="37">
        <v>39</v>
      </c>
      <c r="B493" s="49" t="s">
        <v>485</v>
      </c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5">
        <v>9.1999999999999993</v>
      </c>
      <c r="T493" s="5"/>
      <c r="U493" s="5"/>
      <c r="V493" s="5"/>
      <c r="W493" s="5"/>
      <c r="X493" s="5"/>
      <c r="Y493" s="4">
        <v>9.3770000000000007</v>
      </c>
      <c r="Z493" s="4"/>
      <c r="AA493" s="4"/>
      <c r="AB493" s="4"/>
      <c r="AC493" s="4"/>
      <c r="AD493" s="4">
        <v>-0.17699999999999999</v>
      </c>
      <c r="AE493" s="4"/>
      <c r="AF493" s="4"/>
      <c r="AG493" s="4"/>
      <c r="AH493" s="4"/>
      <c r="AI493" s="4"/>
      <c r="AJ493" s="20"/>
      <c r="AK493" s="21"/>
      <c r="AL493" s="21"/>
      <c r="AM493" s="22"/>
    </row>
    <row r="494" spans="1:39" s="15" customFormat="1" ht="10.5" hidden="1" customHeight="1" outlineLevel="1" x14ac:dyDescent="0.2">
      <c r="A494" s="37">
        <v>40</v>
      </c>
      <c r="B494" s="49" t="s">
        <v>486</v>
      </c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2">
        <v>15</v>
      </c>
      <c r="T494" s="2"/>
      <c r="U494" s="2"/>
      <c r="V494" s="2"/>
      <c r="W494" s="2"/>
      <c r="X494" s="2"/>
      <c r="Y494" s="4">
        <v>15.038</v>
      </c>
      <c r="Z494" s="4"/>
      <c r="AA494" s="4"/>
      <c r="AB494" s="4"/>
      <c r="AC494" s="4"/>
      <c r="AD494" s="4">
        <v>-3.7999999999999999E-2</v>
      </c>
      <c r="AE494" s="4"/>
      <c r="AF494" s="4"/>
      <c r="AG494" s="4"/>
      <c r="AH494" s="4"/>
      <c r="AI494" s="4"/>
      <c r="AJ494" s="20"/>
      <c r="AK494" s="21"/>
      <c r="AL494" s="21"/>
      <c r="AM494" s="22"/>
    </row>
    <row r="495" spans="1:39" s="15" customFormat="1" ht="10.5" hidden="1" customHeight="1" outlineLevel="1" x14ac:dyDescent="0.2">
      <c r="A495" s="37">
        <v>41</v>
      </c>
      <c r="B495" s="49" t="s">
        <v>487</v>
      </c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3">
        <v>13.26</v>
      </c>
      <c r="T495" s="3"/>
      <c r="U495" s="3"/>
      <c r="V495" s="3"/>
      <c r="W495" s="3"/>
      <c r="X495" s="3"/>
      <c r="Y495" s="4">
        <v>13.561</v>
      </c>
      <c r="Z495" s="4"/>
      <c r="AA495" s="4"/>
      <c r="AB495" s="4"/>
      <c r="AC495" s="4"/>
      <c r="AD495" s="4">
        <v>-0.30099999999999999</v>
      </c>
      <c r="AE495" s="4"/>
      <c r="AF495" s="4"/>
      <c r="AG495" s="4"/>
      <c r="AH495" s="4"/>
      <c r="AI495" s="4"/>
      <c r="AJ495" s="20"/>
      <c r="AK495" s="21"/>
      <c r="AL495" s="21"/>
      <c r="AM495" s="22"/>
    </row>
    <row r="496" spans="1:39" s="15" customFormat="1" ht="21.75" hidden="1" customHeight="1" outlineLevel="1" x14ac:dyDescent="0.2">
      <c r="A496" s="37">
        <v>42</v>
      </c>
      <c r="B496" s="49" t="s">
        <v>488</v>
      </c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3">
        <v>12.44</v>
      </c>
      <c r="T496" s="3"/>
      <c r="U496" s="3"/>
      <c r="V496" s="3"/>
      <c r="W496" s="3"/>
      <c r="X496" s="3"/>
      <c r="Y496" s="3">
        <v>12.62</v>
      </c>
      <c r="Z496" s="3"/>
      <c r="AA496" s="3"/>
      <c r="AB496" s="3"/>
      <c r="AC496" s="3"/>
      <c r="AD496" s="3">
        <v>-0.18</v>
      </c>
      <c r="AE496" s="3"/>
      <c r="AF496" s="3"/>
      <c r="AG496" s="3"/>
      <c r="AH496" s="3"/>
      <c r="AI496" s="3"/>
      <c r="AJ496" s="20"/>
      <c r="AK496" s="21"/>
      <c r="AL496" s="21"/>
      <c r="AM496" s="22"/>
    </row>
    <row r="497" spans="1:39" s="15" customFormat="1" ht="10.5" hidden="1" customHeight="1" outlineLevel="1" x14ac:dyDescent="0.2">
      <c r="A497" s="37">
        <v>43</v>
      </c>
      <c r="B497" s="49" t="s">
        <v>489</v>
      </c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5">
        <v>27.6</v>
      </c>
      <c r="T497" s="5"/>
      <c r="U497" s="5"/>
      <c r="V497" s="5"/>
      <c r="W497" s="5"/>
      <c r="X497" s="5"/>
      <c r="Y497" s="4">
        <v>27.780999999999999</v>
      </c>
      <c r="Z497" s="4"/>
      <c r="AA497" s="4"/>
      <c r="AB497" s="4"/>
      <c r="AC497" s="4"/>
      <c r="AD497" s="4">
        <v>-0.18099999999999999</v>
      </c>
      <c r="AE497" s="4"/>
      <c r="AF497" s="4"/>
      <c r="AG497" s="4"/>
      <c r="AH497" s="4"/>
      <c r="AI497" s="4"/>
      <c r="AJ497" s="20"/>
      <c r="AK497" s="21"/>
      <c r="AL497" s="21"/>
      <c r="AM497" s="22"/>
    </row>
    <row r="498" spans="1:39" s="15" customFormat="1" ht="10.5" hidden="1" customHeight="1" outlineLevel="1" x14ac:dyDescent="0.2">
      <c r="A498" s="37">
        <v>44</v>
      </c>
      <c r="B498" s="49" t="s">
        <v>490</v>
      </c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3">
        <v>4.17</v>
      </c>
      <c r="T498" s="3"/>
      <c r="U498" s="3"/>
      <c r="V498" s="3"/>
      <c r="W498" s="3"/>
      <c r="X498" s="3"/>
      <c r="Y498" s="3">
        <v>4.17</v>
      </c>
      <c r="Z498" s="3"/>
      <c r="AA498" s="3"/>
      <c r="AB498" s="3"/>
      <c r="AC498" s="3"/>
      <c r="AD498" s="23"/>
      <c r="AE498" s="24"/>
      <c r="AF498" s="24"/>
      <c r="AG498" s="24"/>
      <c r="AH498" s="24"/>
      <c r="AI498" s="25"/>
      <c r="AJ498" s="20"/>
      <c r="AK498" s="21"/>
      <c r="AL498" s="21"/>
      <c r="AM498" s="22"/>
    </row>
    <row r="499" spans="1:39" s="15" customFormat="1" ht="21.75" hidden="1" customHeight="1" outlineLevel="1" x14ac:dyDescent="0.2">
      <c r="A499" s="37">
        <v>45</v>
      </c>
      <c r="B499" s="49" t="s">
        <v>491</v>
      </c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3">
        <v>4.71</v>
      </c>
      <c r="T499" s="3"/>
      <c r="U499" s="3"/>
      <c r="V499" s="3"/>
      <c r="W499" s="3"/>
      <c r="X499" s="3"/>
      <c r="Y499" s="4">
        <v>4.8090000000000002</v>
      </c>
      <c r="Z499" s="4"/>
      <c r="AA499" s="4"/>
      <c r="AB499" s="4"/>
      <c r="AC499" s="4"/>
      <c r="AD499" s="4">
        <v>-9.9000000000000005E-2</v>
      </c>
      <c r="AE499" s="4"/>
      <c r="AF499" s="4"/>
      <c r="AG499" s="4"/>
      <c r="AH499" s="4"/>
      <c r="AI499" s="4"/>
      <c r="AJ499" s="20"/>
      <c r="AK499" s="21"/>
      <c r="AL499" s="21"/>
      <c r="AM499" s="22"/>
    </row>
    <row r="500" spans="1:39" s="15" customFormat="1" ht="10.5" hidden="1" customHeight="1" outlineLevel="1" x14ac:dyDescent="0.2">
      <c r="A500" s="37">
        <v>46</v>
      </c>
      <c r="B500" s="49" t="s">
        <v>492</v>
      </c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3">
        <v>3.69</v>
      </c>
      <c r="T500" s="3"/>
      <c r="U500" s="3"/>
      <c r="V500" s="3"/>
      <c r="W500" s="3"/>
      <c r="X500" s="3"/>
      <c r="Y500" s="3">
        <v>3.69</v>
      </c>
      <c r="Z500" s="3"/>
      <c r="AA500" s="3"/>
      <c r="AB500" s="3"/>
      <c r="AC500" s="3"/>
      <c r="AD500" s="23"/>
      <c r="AE500" s="24"/>
      <c r="AF500" s="24"/>
      <c r="AG500" s="24"/>
      <c r="AH500" s="24"/>
      <c r="AI500" s="25"/>
      <c r="AJ500" s="20"/>
      <c r="AK500" s="21"/>
      <c r="AL500" s="21"/>
      <c r="AM500" s="22"/>
    </row>
    <row r="501" spans="1:39" s="15" customFormat="1" ht="21.75" hidden="1" customHeight="1" outlineLevel="1" x14ac:dyDescent="0.2">
      <c r="A501" s="37">
        <v>47</v>
      </c>
      <c r="B501" s="49" t="s">
        <v>493</v>
      </c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3">
        <v>7.29</v>
      </c>
      <c r="T501" s="3"/>
      <c r="U501" s="3"/>
      <c r="V501" s="3"/>
      <c r="W501" s="3"/>
      <c r="X501" s="3"/>
      <c r="Y501" s="3">
        <v>7.29</v>
      </c>
      <c r="Z501" s="3"/>
      <c r="AA501" s="3"/>
      <c r="AB501" s="3"/>
      <c r="AC501" s="3"/>
      <c r="AD501" s="23"/>
      <c r="AE501" s="24"/>
      <c r="AF501" s="24"/>
      <c r="AG501" s="24"/>
      <c r="AH501" s="24"/>
      <c r="AI501" s="25"/>
      <c r="AJ501" s="20"/>
      <c r="AK501" s="21"/>
      <c r="AL501" s="21"/>
      <c r="AM501" s="22"/>
    </row>
    <row r="502" spans="1:39" s="15" customFormat="1" ht="21.75" hidden="1" customHeight="1" outlineLevel="1" x14ac:dyDescent="0.2">
      <c r="A502" s="37">
        <v>48</v>
      </c>
      <c r="B502" s="49" t="s">
        <v>494</v>
      </c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3">
        <v>8.49</v>
      </c>
      <c r="T502" s="3"/>
      <c r="U502" s="3"/>
      <c r="V502" s="3"/>
      <c r="W502" s="3"/>
      <c r="X502" s="3"/>
      <c r="Y502" s="4">
        <v>8.6669999999999998</v>
      </c>
      <c r="Z502" s="4"/>
      <c r="AA502" s="4"/>
      <c r="AB502" s="4"/>
      <c r="AC502" s="4"/>
      <c r="AD502" s="4">
        <v>-0.17699999999999999</v>
      </c>
      <c r="AE502" s="4"/>
      <c r="AF502" s="4"/>
      <c r="AG502" s="4"/>
      <c r="AH502" s="4"/>
      <c r="AI502" s="4"/>
      <c r="AJ502" s="20"/>
      <c r="AK502" s="21"/>
      <c r="AL502" s="21"/>
      <c r="AM502" s="22"/>
    </row>
    <row r="503" spans="1:39" s="15" customFormat="1" ht="10.5" hidden="1" customHeight="1" outlineLevel="1" x14ac:dyDescent="0.2">
      <c r="A503" s="37">
        <v>49</v>
      </c>
      <c r="B503" s="49" t="s">
        <v>495</v>
      </c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5">
        <v>7.5</v>
      </c>
      <c r="T503" s="5"/>
      <c r="U503" s="5"/>
      <c r="V503" s="5"/>
      <c r="W503" s="5"/>
      <c r="X503" s="5"/>
      <c r="Y503" s="5">
        <v>7.5</v>
      </c>
      <c r="Z503" s="5"/>
      <c r="AA503" s="5"/>
      <c r="AB503" s="5"/>
      <c r="AC503" s="5"/>
      <c r="AD503" s="23"/>
      <c r="AE503" s="24"/>
      <c r="AF503" s="24"/>
      <c r="AG503" s="24"/>
      <c r="AH503" s="24"/>
      <c r="AI503" s="25"/>
      <c r="AJ503" s="20"/>
      <c r="AK503" s="21"/>
      <c r="AL503" s="21"/>
      <c r="AM503" s="22"/>
    </row>
    <row r="504" spans="1:39" s="15" customFormat="1" ht="10.5" hidden="1" customHeight="1" outlineLevel="1" x14ac:dyDescent="0.2">
      <c r="A504" s="37">
        <v>50</v>
      </c>
      <c r="B504" s="49" t="s">
        <v>496</v>
      </c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5">
        <v>3.7</v>
      </c>
      <c r="T504" s="5"/>
      <c r="U504" s="5"/>
      <c r="V504" s="5"/>
      <c r="W504" s="5"/>
      <c r="X504" s="5"/>
      <c r="Y504" s="5">
        <v>3.7</v>
      </c>
      <c r="Z504" s="5"/>
      <c r="AA504" s="5"/>
      <c r="AB504" s="5"/>
      <c r="AC504" s="5"/>
      <c r="AD504" s="23"/>
      <c r="AE504" s="24"/>
      <c r="AF504" s="24"/>
      <c r="AG504" s="24"/>
      <c r="AH504" s="24"/>
      <c r="AI504" s="25"/>
      <c r="AJ504" s="20"/>
      <c r="AK504" s="21"/>
      <c r="AL504" s="21"/>
      <c r="AM504" s="22"/>
    </row>
    <row r="505" spans="1:39" s="15" customFormat="1" ht="10.5" hidden="1" customHeight="1" outlineLevel="1" x14ac:dyDescent="0.2">
      <c r="A505" s="37">
        <v>51</v>
      </c>
      <c r="B505" s="49" t="s">
        <v>497</v>
      </c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3">
        <v>20.46</v>
      </c>
      <c r="T505" s="3"/>
      <c r="U505" s="3"/>
      <c r="V505" s="3"/>
      <c r="W505" s="3"/>
      <c r="X505" s="3"/>
      <c r="Y505" s="4">
        <v>20.956</v>
      </c>
      <c r="Z505" s="4"/>
      <c r="AA505" s="4"/>
      <c r="AB505" s="4"/>
      <c r="AC505" s="4"/>
      <c r="AD505" s="4">
        <v>-0.496</v>
      </c>
      <c r="AE505" s="4"/>
      <c r="AF505" s="4"/>
      <c r="AG505" s="4"/>
      <c r="AH505" s="4"/>
      <c r="AI505" s="4"/>
      <c r="AJ505" s="20"/>
      <c r="AK505" s="21"/>
      <c r="AL505" s="21"/>
      <c r="AM505" s="22"/>
    </row>
    <row r="506" spans="1:39" s="15" customFormat="1" ht="10.5" hidden="1" customHeight="1" outlineLevel="1" x14ac:dyDescent="0.2">
      <c r="A506" s="37">
        <v>52</v>
      </c>
      <c r="B506" s="49" t="s">
        <v>498</v>
      </c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3">
        <v>24.65</v>
      </c>
      <c r="T506" s="3"/>
      <c r="U506" s="3"/>
      <c r="V506" s="3"/>
      <c r="W506" s="3"/>
      <c r="X506" s="3"/>
      <c r="Y506" s="4">
        <v>25.030999999999999</v>
      </c>
      <c r="Z506" s="4"/>
      <c r="AA506" s="4"/>
      <c r="AB506" s="4"/>
      <c r="AC506" s="4"/>
      <c r="AD506" s="4">
        <v>-0.38100000000000001</v>
      </c>
      <c r="AE506" s="4"/>
      <c r="AF506" s="4"/>
      <c r="AG506" s="4"/>
      <c r="AH506" s="4"/>
      <c r="AI506" s="4"/>
      <c r="AJ506" s="20"/>
      <c r="AK506" s="21"/>
      <c r="AL506" s="21"/>
      <c r="AM506" s="22"/>
    </row>
    <row r="507" spans="1:39" s="15" customFormat="1" ht="10.5" hidden="1" customHeight="1" outlineLevel="1" x14ac:dyDescent="0.2">
      <c r="A507" s="37">
        <v>53</v>
      </c>
      <c r="B507" s="49" t="s">
        <v>499</v>
      </c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3">
        <v>33.96</v>
      </c>
      <c r="T507" s="3"/>
      <c r="U507" s="3"/>
      <c r="V507" s="3"/>
      <c r="W507" s="3"/>
      <c r="X507" s="3"/>
      <c r="Y507" s="3">
        <v>33.96</v>
      </c>
      <c r="Z507" s="3"/>
      <c r="AA507" s="3"/>
      <c r="AB507" s="3"/>
      <c r="AC507" s="3"/>
      <c r="AD507" s="23"/>
      <c r="AE507" s="24"/>
      <c r="AF507" s="24"/>
      <c r="AG507" s="24"/>
      <c r="AH507" s="24"/>
      <c r="AI507" s="25"/>
      <c r="AJ507" s="20"/>
      <c r="AK507" s="21"/>
      <c r="AL507" s="21"/>
      <c r="AM507" s="22"/>
    </row>
    <row r="508" spans="1:39" s="15" customFormat="1" ht="10.5" hidden="1" customHeight="1" outlineLevel="1" x14ac:dyDescent="0.2">
      <c r="A508" s="37">
        <v>54</v>
      </c>
      <c r="B508" s="49" t="s">
        <v>500</v>
      </c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5">
        <v>3.3</v>
      </c>
      <c r="T508" s="5"/>
      <c r="U508" s="5"/>
      <c r="V508" s="5"/>
      <c r="W508" s="5"/>
      <c r="X508" s="5"/>
      <c r="Y508" s="4">
        <v>3.3559999999999999</v>
      </c>
      <c r="Z508" s="4"/>
      <c r="AA508" s="4"/>
      <c r="AB508" s="4"/>
      <c r="AC508" s="4"/>
      <c r="AD508" s="4">
        <v>-5.6000000000000001E-2</v>
      </c>
      <c r="AE508" s="4"/>
      <c r="AF508" s="4"/>
      <c r="AG508" s="4"/>
      <c r="AH508" s="4"/>
      <c r="AI508" s="4"/>
      <c r="AJ508" s="20"/>
      <c r="AK508" s="21"/>
      <c r="AL508" s="21"/>
      <c r="AM508" s="22"/>
    </row>
    <row r="509" spans="1:39" s="15" customFormat="1" ht="10.5" hidden="1" customHeight="1" outlineLevel="1" x14ac:dyDescent="0.2">
      <c r="A509" s="37">
        <v>55</v>
      </c>
      <c r="B509" s="49" t="s">
        <v>501</v>
      </c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2">
        <v>90</v>
      </c>
      <c r="T509" s="2"/>
      <c r="U509" s="2"/>
      <c r="V509" s="2"/>
      <c r="W509" s="2"/>
      <c r="X509" s="2"/>
      <c r="Y509" s="4">
        <v>91.010999999999996</v>
      </c>
      <c r="Z509" s="4"/>
      <c r="AA509" s="4"/>
      <c r="AB509" s="4"/>
      <c r="AC509" s="4"/>
      <c r="AD509" s="4">
        <v>-1.0109999999999999</v>
      </c>
      <c r="AE509" s="4"/>
      <c r="AF509" s="4"/>
      <c r="AG509" s="4"/>
      <c r="AH509" s="4"/>
      <c r="AI509" s="4"/>
      <c r="AJ509" s="20"/>
      <c r="AK509" s="21"/>
      <c r="AL509" s="21"/>
      <c r="AM509" s="22"/>
    </row>
    <row r="510" spans="1:39" s="15" customFormat="1" ht="21.75" hidden="1" customHeight="1" outlineLevel="1" x14ac:dyDescent="0.2">
      <c r="A510" s="37">
        <v>56</v>
      </c>
      <c r="B510" s="49" t="s">
        <v>502</v>
      </c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2">
        <v>70</v>
      </c>
      <c r="T510" s="2"/>
      <c r="U510" s="2"/>
      <c r="V510" s="2"/>
      <c r="W510" s="2"/>
      <c r="X510" s="2"/>
      <c r="Y510" s="2">
        <v>70</v>
      </c>
      <c r="Z510" s="2"/>
      <c r="AA510" s="2"/>
      <c r="AB510" s="2"/>
      <c r="AC510" s="2"/>
      <c r="AD510" s="23"/>
      <c r="AE510" s="24"/>
      <c r="AF510" s="24"/>
      <c r="AG510" s="24"/>
      <c r="AH510" s="24"/>
      <c r="AI510" s="25"/>
      <c r="AJ510" s="20"/>
      <c r="AK510" s="21"/>
      <c r="AL510" s="21"/>
      <c r="AM510" s="22"/>
    </row>
    <row r="511" spans="1:39" s="15" customFormat="1" ht="10.5" hidden="1" customHeight="1" outlineLevel="1" x14ac:dyDescent="0.2">
      <c r="A511" s="37">
        <v>57</v>
      </c>
      <c r="B511" s="49" t="s">
        <v>503</v>
      </c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2">
        <v>9</v>
      </c>
      <c r="T511" s="2"/>
      <c r="U511" s="2"/>
      <c r="V511" s="2"/>
      <c r="W511" s="2"/>
      <c r="X511" s="2"/>
      <c r="Y511" s="4">
        <v>9.202</v>
      </c>
      <c r="Z511" s="4"/>
      <c r="AA511" s="4"/>
      <c r="AB511" s="4"/>
      <c r="AC511" s="4"/>
      <c r="AD511" s="4">
        <v>-0.20200000000000001</v>
      </c>
      <c r="AE511" s="4"/>
      <c r="AF511" s="4"/>
      <c r="AG511" s="4"/>
      <c r="AH511" s="4"/>
      <c r="AI511" s="4"/>
      <c r="AJ511" s="20"/>
      <c r="AK511" s="21"/>
      <c r="AL511" s="21"/>
      <c r="AM511" s="22"/>
    </row>
    <row r="512" spans="1:39" s="15" customFormat="1" ht="10.5" hidden="1" customHeight="1" outlineLevel="1" x14ac:dyDescent="0.2">
      <c r="A512" s="37">
        <v>58</v>
      </c>
      <c r="B512" s="49" t="s">
        <v>504</v>
      </c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5">
        <v>32.4</v>
      </c>
      <c r="T512" s="5"/>
      <c r="U512" s="5"/>
      <c r="V512" s="5"/>
      <c r="W512" s="5"/>
      <c r="X512" s="5"/>
      <c r="Y512" s="5">
        <v>33.5</v>
      </c>
      <c r="Z512" s="5"/>
      <c r="AA512" s="5"/>
      <c r="AB512" s="5"/>
      <c r="AC512" s="5"/>
      <c r="AD512" s="5">
        <v>-1.1000000000000001</v>
      </c>
      <c r="AE512" s="5"/>
      <c r="AF512" s="5"/>
      <c r="AG512" s="5"/>
      <c r="AH512" s="5"/>
      <c r="AI512" s="5"/>
      <c r="AJ512" s="20"/>
      <c r="AK512" s="21"/>
      <c r="AL512" s="21"/>
      <c r="AM512" s="22"/>
    </row>
    <row r="513" spans="1:39" s="15" customFormat="1" ht="21.75" hidden="1" customHeight="1" outlineLevel="1" x14ac:dyDescent="0.2">
      <c r="A513" s="37">
        <v>59</v>
      </c>
      <c r="B513" s="49" t="s">
        <v>505</v>
      </c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2">
        <v>10</v>
      </c>
      <c r="T513" s="2"/>
      <c r="U513" s="2"/>
      <c r="V513" s="2"/>
      <c r="W513" s="2"/>
      <c r="X513" s="2"/>
      <c r="Y513" s="2">
        <v>10</v>
      </c>
      <c r="Z513" s="2"/>
      <c r="AA513" s="2"/>
      <c r="AB513" s="2"/>
      <c r="AC513" s="2"/>
      <c r="AD513" s="23"/>
      <c r="AE513" s="24"/>
      <c r="AF513" s="24"/>
      <c r="AG513" s="24"/>
      <c r="AH513" s="24"/>
      <c r="AI513" s="25"/>
      <c r="AJ513" s="20"/>
      <c r="AK513" s="21"/>
      <c r="AL513" s="21"/>
      <c r="AM513" s="22"/>
    </row>
    <row r="514" spans="1:39" ht="12.75" customHeight="1" x14ac:dyDescent="0.2">
      <c r="A514" s="42" t="s">
        <v>297</v>
      </c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3">
        <v>8317.9439999999995</v>
      </c>
      <c r="T514" s="43"/>
      <c r="U514" s="43"/>
      <c r="V514" s="43"/>
      <c r="W514" s="43"/>
      <c r="X514" s="43"/>
      <c r="Y514" s="43">
        <v>6898.7370000000001</v>
      </c>
      <c r="Z514" s="43"/>
      <c r="AA514" s="43"/>
      <c r="AB514" s="43"/>
      <c r="AC514" s="43"/>
      <c r="AD514" s="43">
        <v>1419.2070000000001</v>
      </c>
      <c r="AE514" s="43"/>
      <c r="AF514" s="43"/>
      <c r="AG514" s="43"/>
      <c r="AH514" s="43"/>
      <c r="AI514" s="43"/>
      <c r="AJ514" s="43">
        <v>1696.588</v>
      </c>
      <c r="AK514" s="43"/>
      <c r="AL514" s="43"/>
      <c r="AM514" s="43"/>
    </row>
    <row r="515" spans="1:39" s="15" customFormat="1" ht="9.75" customHeight="1" x14ac:dyDescent="0.2"/>
    <row r="516" spans="1:39" ht="12.75" customHeight="1" x14ac:dyDescent="0.2">
      <c r="A516" s="14" t="s">
        <v>314</v>
      </c>
      <c r="B516" s="14"/>
      <c r="C516" s="14"/>
      <c r="D516" s="14"/>
      <c r="E516" s="14"/>
      <c r="F516" s="14"/>
      <c r="G516" s="14" t="s">
        <v>506</v>
      </c>
      <c r="H516" s="14"/>
      <c r="I516" s="14"/>
      <c r="J516" s="14"/>
      <c r="K516" s="14"/>
      <c r="L516" s="14"/>
      <c r="M516" s="14"/>
      <c r="N516" s="14" t="s">
        <v>1</v>
      </c>
      <c r="O516" s="14"/>
      <c r="P516" s="14"/>
      <c r="Q516" s="14"/>
      <c r="R516" s="14"/>
      <c r="S516" s="14"/>
      <c r="T516" s="14"/>
      <c r="U516" s="14" t="s">
        <v>2</v>
      </c>
      <c r="V516" s="14"/>
      <c r="W516" s="14"/>
      <c r="X516" s="14"/>
      <c r="Y516" s="14"/>
      <c r="Z516" s="14"/>
      <c r="AA516" s="14" t="s">
        <v>3</v>
      </c>
      <c r="AB516" s="14"/>
      <c r="AC516" s="14"/>
      <c r="AD516" s="14"/>
      <c r="AE516" s="14"/>
      <c r="AF516" s="14" t="s">
        <v>4</v>
      </c>
      <c r="AG516" s="14"/>
      <c r="AH516" s="14"/>
      <c r="AI516" s="14"/>
      <c r="AJ516" s="14"/>
    </row>
    <row r="517" spans="1:39" ht="25.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 t="s">
        <v>5</v>
      </c>
      <c r="O517" s="14"/>
      <c r="P517" s="14"/>
      <c r="Q517" s="14"/>
      <c r="R517" s="14"/>
      <c r="S517" s="14"/>
      <c r="T517" s="14"/>
      <c r="U517" s="14" t="s">
        <v>6</v>
      </c>
      <c r="V517" s="14"/>
      <c r="W517" s="14"/>
      <c r="X517" s="14"/>
      <c r="Y517" s="14"/>
      <c r="Z517" s="14"/>
      <c r="AA517" s="14" t="s">
        <v>7</v>
      </c>
      <c r="AB517" s="14"/>
      <c r="AC517" s="14"/>
      <c r="AD517" s="14"/>
      <c r="AE517" s="14"/>
      <c r="AF517" s="14"/>
      <c r="AG517" s="14"/>
      <c r="AH517" s="14"/>
      <c r="AI517" s="14"/>
      <c r="AJ517" s="14"/>
    </row>
    <row r="518" spans="1:39" ht="10.5" customHeight="1" x14ac:dyDescent="0.2">
      <c r="A518" s="45" t="s">
        <v>316</v>
      </c>
      <c r="B518" s="45"/>
      <c r="C518" s="45"/>
      <c r="D518" s="45"/>
      <c r="E518" s="45"/>
      <c r="F518" s="45"/>
      <c r="G518" s="45" t="s">
        <v>507</v>
      </c>
      <c r="H518" s="45"/>
      <c r="I518" s="45"/>
      <c r="J518" s="45"/>
      <c r="K518" s="45"/>
      <c r="L518" s="45"/>
      <c r="M518" s="45"/>
      <c r="N518" s="3">
        <v>796.75</v>
      </c>
      <c r="O518" s="3"/>
      <c r="P518" s="3"/>
      <c r="Q518" s="3"/>
      <c r="R518" s="3"/>
      <c r="S518" s="3"/>
      <c r="T518" s="3"/>
      <c r="U518" s="4">
        <v>760.18100000000004</v>
      </c>
      <c r="V518" s="4"/>
      <c r="W518" s="4"/>
      <c r="X518" s="4"/>
      <c r="Y518" s="4"/>
      <c r="Z518" s="4"/>
      <c r="AA518" s="4">
        <v>36.569000000000003</v>
      </c>
      <c r="AB518" s="4"/>
      <c r="AC518" s="4"/>
      <c r="AD518" s="4"/>
      <c r="AE518" s="4"/>
      <c r="AF518" s="4">
        <v>66.581000000000003</v>
      </c>
      <c r="AG518" s="4"/>
      <c r="AH518" s="4"/>
      <c r="AI518" s="4"/>
      <c r="AJ518" s="4"/>
    </row>
    <row r="519" spans="1:39" ht="10.5" customHeight="1" x14ac:dyDescent="0.2">
      <c r="A519" s="45" t="s">
        <v>342</v>
      </c>
      <c r="B519" s="45"/>
      <c r="C519" s="45"/>
      <c r="D519" s="45"/>
      <c r="E519" s="45"/>
      <c r="F519" s="45"/>
      <c r="G519" s="45" t="s">
        <v>508</v>
      </c>
      <c r="H519" s="45"/>
      <c r="I519" s="45"/>
      <c r="J519" s="45"/>
      <c r="K519" s="45"/>
      <c r="L519" s="45"/>
      <c r="M519" s="45"/>
      <c r="N519" s="3">
        <v>912.17</v>
      </c>
      <c r="O519" s="3"/>
      <c r="P519" s="3"/>
      <c r="Q519" s="3"/>
      <c r="R519" s="3"/>
      <c r="S519" s="3"/>
      <c r="T519" s="3"/>
      <c r="U519" s="4">
        <v>785.44200000000001</v>
      </c>
      <c r="V519" s="4"/>
      <c r="W519" s="4"/>
      <c r="X519" s="4"/>
      <c r="Y519" s="4"/>
      <c r="Z519" s="4"/>
      <c r="AA519" s="4">
        <v>126.72799999999999</v>
      </c>
      <c r="AB519" s="4"/>
      <c r="AC519" s="4"/>
      <c r="AD519" s="4"/>
      <c r="AE519" s="4"/>
      <c r="AF519" s="4">
        <v>179.52799999999999</v>
      </c>
      <c r="AG519" s="4"/>
      <c r="AH519" s="4"/>
      <c r="AI519" s="4"/>
      <c r="AJ519" s="4"/>
    </row>
    <row r="520" spans="1:39" ht="10.5" customHeight="1" x14ac:dyDescent="0.2">
      <c r="A520" s="45" t="s">
        <v>358</v>
      </c>
      <c r="B520" s="45"/>
      <c r="C520" s="45"/>
      <c r="D520" s="45"/>
      <c r="E520" s="45"/>
      <c r="F520" s="45"/>
      <c r="G520" s="45" t="s">
        <v>509</v>
      </c>
      <c r="H520" s="45"/>
      <c r="I520" s="45"/>
      <c r="J520" s="45"/>
      <c r="K520" s="45"/>
      <c r="L520" s="45"/>
      <c r="M520" s="45"/>
      <c r="N520" s="3">
        <v>991.92</v>
      </c>
      <c r="O520" s="3"/>
      <c r="P520" s="3"/>
      <c r="Q520" s="3"/>
      <c r="R520" s="3"/>
      <c r="S520" s="3"/>
      <c r="T520" s="3"/>
      <c r="U520" s="4">
        <v>891.279</v>
      </c>
      <c r="V520" s="4"/>
      <c r="W520" s="4"/>
      <c r="X520" s="4"/>
      <c r="Y520" s="4"/>
      <c r="Z520" s="4"/>
      <c r="AA520" s="4">
        <v>100.64100000000001</v>
      </c>
      <c r="AB520" s="4"/>
      <c r="AC520" s="4"/>
      <c r="AD520" s="4"/>
      <c r="AE520" s="4"/>
      <c r="AF520" s="4">
        <v>138.60400000000001</v>
      </c>
      <c r="AG520" s="4"/>
      <c r="AH520" s="4"/>
      <c r="AI520" s="4"/>
      <c r="AJ520" s="4"/>
    </row>
    <row r="521" spans="1:39" ht="10.5" customHeight="1" x14ac:dyDescent="0.2">
      <c r="A521" s="45" t="s">
        <v>381</v>
      </c>
      <c r="B521" s="45"/>
      <c r="C521" s="45"/>
      <c r="D521" s="45"/>
      <c r="E521" s="45"/>
      <c r="F521" s="45"/>
      <c r="G521" s="45" t="s">
        <v>510</v>
      </c>
      <c r="H521" s="45"/>
      <c r="I521" s="45"/>
      <c r="J521" s="45"/>
      <c r="K521" s="45"/>
      <c r="L521" s="45"/>
      <c r="M521" s="45"/>
      <c r="N521" s="51">
        <v>1214.2239999999999</v>
      </c>
      <c r="O521" s="51"/>
      <c r="P521" s="51"/>
      <c r="Q521" s="51"/>
      <c r="R521" s="51"/>
      <c r="S521" s="51"/>
      <c r="T521" s="51"/>
      <c r="U521" s="4">
        <v>432.13099999999997</v>
      </c>
      <c r="V521" s="4"/>
      <c r="W521" s="4"/>
      <c r="X521" s="4"/>
      <c r="Y521" s="4"/>
      <c r="Z521" s="4"/>
      <c r="AA521" s="4">
        <v>782.09299999999996</v>
      </c>
      <c r="AB521" s="4"/>
      <c r="AC521" s="4"/>
      <c r="AD521" s="4"/>
      <c r="AE521" s="4"/>
      <c r="AF521" s="4">
        <v>789.68499999999995</v>
      </c>
      <c r="AG521" s="4"/>
      <c r="AH521" s="4"/>
      <c r="AI521" s="4"/>
      <c r="AJ521" s="4"/>
    </row>
    <row r="522" spans="1:39" ht="10.5" customHeight="1" x14ac:dyDescent="0.2">
      <c r="A522" s="45" t="s">
        <v>397</v>
      </c>
      <c r="B522" s="45"/>
      <c r="C522" s="45"/>
      <c r="D522" s="45"/>
      <c r="E522" s="45"/>
      <c r="F522" s="45"/>
      <c r="G522" s="45" t="s">
        <v>511</v>
      </c>
      <c r="H522" s="45"/>
      <c r="I522" s="45"/>
      <c r="J522" s="45"/>
      <c r="K522" s="45"/>
      <c r="L522" s="45"/>
      <c r="M522" s="45"/>
      <c r="N522" s="46">
        <v>1494.32</v>
      </c>
      <c r="O522" s="46"/>
      <c r="P522" s="46"/>
      <c r="Q522" s="46"/>
      <c r="R522" s="46"/>
      <c r="S522" s="46"/>
      <c r="T522" s="46"/>
      <c r="U522" s="51">
        <v>1260.758</v>
      </c>
      <c r="V522" s="51"/>
      <c r="W522" s="51"/>
      <c r="X522" s="51"/>
      <c r="Y522" s="51"/>
      <c r="Z522" s="51"/>
      <c r="AA522" s="4">
        <v>233.56200000000001</v>
      </c>
      <c r="AB522" s="4"/>
      <c r="AC522" s="4"/>
      <c r="AD522" s="4"/>
      <c r="AE522" s="4"/>
      <c r="AF522" s="4">
        <v>287.74900000000002</v>
      </c>
      <c r="AG522" s="4"/>
      <c r="AH522" s="4"/>
      <c r="AI522" s="4"/>
      <c r="AJ522" s="4"/>
    </row>
    <row r="523" spans="1:39" ht="10.5" customHeight="1" x14ac:dyDescent="0.2">
      <c r="A523" s="45" t="s">
        <v>428</v>
      </c>
      <c r="B523" s="45"/>
      <c r="C523" s="45"/>
      <c r="D523" s="45"/>
      <c r="E523" s="45"/>
      <c r="F523" s="45"/>
      <c r="G523" s="45" t="s">
        <v>512</v>
      </c>
      <c r="H523" s="45"/>
      <c r="I523" s="45"/>
      <c r="J523" s="45"/>
      <c r="K523" s="45"/>
      <c r="L523" s="45"/>
      <c r="M523" s="45"/>
      <c r="N523" s="3">
        <v>276.11</v>
      </c>
      <c r="O523" s="3"/>
      <c r="P523" s="3"/>
      <c r="Q523" s="3"/>
      <c r="R523" s="3"/>
      <c r="S523" s="3"/>
      <c r="T523" s="3"/>
      <c r="U523" s="4">
        <v>213.35599999999999</v>
      </c>
      <c r="V523" s="4"/>
      <c r="W523" s="4"/>
      <c r="X523" s="4"/>
      <c r="Y523" s="4"/>
      <c r="Z523" s="4"/>
      <c r="AA523" s="4">
        <v>62.753999999999998</v>
      </c>
      <c r="AB523" s="4"/>
      <c r="AC523" s="4"/>
      <c r="AD523" s="4"/>
      <c r="AE523" s="4"/>
      <c r="AF523" s="4">
        <v>74.573999999999998</v>
      </c>
      <c r="AG523" s="4"/>
      <c r="AH523" s="4"/>
      <c r="AI523" s="4"/>
      <c r="AJ523" s="4"/>
    </row>
    <row r="524" spans="1:39" ht="10.5" customHeight="1" x14ac:dyDescent="0.2">
      <c r="A524" s="45" t="s">
        <v>434</v>
      </c>
      <c r="B524" s="45"/>
      <c r="C524" s="45"/>
      <c r="D524" s="45"/>
      <c r="E524" s="45"/>
      <c r="F524" s="45"/>
      <c r="G524" s="45" t="s">
        <v>513</v>
      </c>
      <c r="H524" s="45"/>
      <c r="I524" s="45"/>
      <c r="J524" s="45"/>
      <c r="K524" s="45"/>
      <c r="L524" s="45"/>
      <c r="M524" s="45"/>
      <c r="N524" s="52">
        <v>1479</v>
      </c>
      <c r="O524" s="52"/>
      <c r="P524" s="52"/>
      <c r="Q524" s="52"/>
      <c r="R524" s="52"/>
      <c r="S524" s="52"/>
      <c r="T524" s="52"/>
      <c r="U524" s="51">
        <v>1470.528</v>
      </c>
      <c r="V524" s="51"/>
      <c r="W524" s="51"/>
      <c r="X524" s="51"/>
      <c r="Y524" s="51"/>
      <c r="Z524" s="51"/>
      <c r="AA524" s="4">
        <v>8.4719999999999995</v>
      </c>
      <c r="AB524" s="4"/>
      <c r="AC524" s="4"/>
      <c r="AD524" s="4"/>
      <c r="AE524" s="4"/>
      <c r="AF524" s="4">
        <v>65.278000000000006</v>
      </c>
      <c r="AG524" s="4"/>
      <c r="AH524" s="4"/>
      <c r="AI524" s="4"/>
      <c r="AJ524" s="4"/>
    </row>
    <row r="525" spans="1:39" ht="10.5" customHeight="1" x14ac:dyDescent="0.2">
      <c r="A525" s="45" t="s">
        <v>447</v>
      </c>
      <c r="B525" s="45"/>
      <c r="C525" s="45"/>
      <c r="D525" s="45"/>
      <c r="E525" s="45"/>
      <c r="F525" s="45"/>
      <c r="G525" s="45" t="s">
        <v>514</v>
      </c>
      <c r="H525" s="45"/>
      <c r="I525" s="45"/>
      <c r="J525" s="45"/>
      <c r="K525" s="45"/>
      <c r="L525" s="45"/>
      <c r="M525" s="45"/>
      <c r="N525" s="46">
        <v>1153.45</v>
      </c>
      <c r="O525" s="46"/>
      <c r="P525" s="46"/>
      <c r="Q525" s="46"/>
      <c r="R525" s="46"/>
      <c r="S525" s="46"/>
      <c r="T525" s="46"/>
      <c r="U525" s="51">
        <v>1085.0619999999999</v>
      </c>
      <c r="V525" s="51"/>
      <c r="W525" s="51"/>
      <c r="X525" s="51"/>
      <c r="Y525" s="51"/>
      <c r="Z525" s="51"/>
      <c r="AA525" s="4">
        <v>68.388000000000005</v>
      </c>
      <c r="AB525" s="4"/>
      <c r="AC525" s="4"/>
      <c r="AD525" s="4"/>
      <c r="AE525" s="4"/>
      <c r="AF525" s="4">
        <v>94.588999999999999</v>
      </c>
      <c r="AG525" s="4"/>
      <c r="AH525" s="4"/>
      <c r="AI525" s="4"/>
      <c r="AJ525" s="4"/>
    </row>
    <row r="526" spans="1:39" ht="12.75" customHeight="1" x14ac:dyDescent="0.2">
      <c r="A526" s="42" t="s">
        <v>297</v>
      </c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3">
        <v>8317.9439999999995</v>
      </c>
      <c r="O526" s="43"/>
      <c r="P526" s="43"/>
      <c r="Q526" s="43"/>
      <c r="R526" s="43"/>
      <c r="S526" s="43"/>
      <c r="T526" s="43"/>
      <c r="U526" s="43">
        <v>6898.7370000000001</v>
      </c>
      <c r="V526" s="43"/>
      <c r="W526" s="43"/>
      <c r="X526" s="43"/>
      <c r="Y526" s="43"/>
      <c r="Z526" s="43"/>
      <c r="AA526" s="43">
        <v>1419.2070000000001</v>
      </c>
      <c r="AB526" s="43"/>
      <c r="AC526" s="43"/>
      <c r="AD526" s="43"/>
      <c r="AE526" s="43"/>
      <c r="AF526" s="43">
        <v>1696.588</v>
      </c>
      <c r="AG526" s="43"/>
      <c r="AH526" s="43"/>
      <c r="AI526" s="43"/>
      <c r="AJ526" s="43"/>
    </row>
    <row r="527" spans="1:39" s="15" customFormat="1" ht="9.75" customHeight="1" x14ac:dyDescent="0.2"/>
    <row r="528" spans="1:39" ht="12.75" customHeight="1" x14ac:dyDescent="0.2">
      <c r="A528" s="14" t="s">
        <v>315</v>
      </c>
      <c r="B528" s="14" t="s">
        <v>311</v>
      </c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 t="s">
        <v>4</v>
      </c>
      <c r="R528" s="14"/>
      <c r="S528" s="14"/>
      <c r="T528" s="14"/>
      <c r="U528" s="14"/>
      <c r="V528" s="14"/>
      <c r="W528" s="14"/>
      <c r="X528" s="14" t="s">
        <v>1</v>
      </c>
      <c r="Y528" s="14"/>
      <c r="Z528" s="14"/>
      <c r="AA528" s="14"/>
      <c r="AB528" s="14"/>
      <c r="AC528" s="14" t="s">
        <v>2</v>
      </c>
      <c r="AD528" s="14"/>
      <c r="AE528" s="14"/>
      <c r="AF528" s="14"/>
      <c r="AG528" s="14"/>
      <c r="AH528" s="14" t="s">
        <v>3</v>
      </c>
      <c r="AI528" s="14"/>
      <c r="AJ528" s="14"/>
      <c r="AK528" s="14"/>
      <c r="AL528" s="14"/>
    </row>
    <row r="529" spans="1:38" ht="25.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 t="s">
        <v>5</v>
      </c>
      <c r="Y529" s="14"/>
      <c r="Z529" s="14"/>
      <c r="AA529" s="14"/>
      <c r="AB529" s="14"/>
      <c r="AC529" s="14" t="s">
        <v>6</v>
      </c>
      <c r="AD529" s="14"/>
      <c r="AE529" s="14"/>
      <c r="AF529" s="14"/>
      <c r="AG529" s="14"/>
      <c r="AH529" s="14" t="s">
        <v>7</v>
      </c>
      <c r="AI529" s="14"/>
      <c r="AJ529" s="14"/>
      <c r="AK529" s="14"/>
      <c r="AL529" s="14"/>
    </row>
    <row r="530" spans="1:38" ht="10.5" customHeight="1" x14ac:dyDescent="0.2">
      <c r="A530" s="37">
        <v>1</v>
      </c>
      <c r="B530" s="45" t="s">
        <v>382</v>
      </c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">
        <v>179.84399999999999</v>
      </c>
      <c r="R530" s="4"/>
      <c r="S530" s="4"/>
      <c r="T530" s="4"/>
      <c r="U530" s="4"/>
      <c r="V530" s="4"/>
      <c r="W530" s="4"/>
      <c r="X530" s="4">
        <v>197.744</v>
      </c>
      <c r="Y530" s="4"/>
      <c r="Z530" s="4"/>
      <c r="AA530" s="4"/>
      <c r="AB530" s="4"/>
      <c r="AC530" s="5">
        <v>17.899999999999999</v>
      </c>
      <c r="AD530" s="5"/>
      <c r="AE530" s="5"/>
      <c r="AF530" s="5"/>
      <c r="AG530" s="5"/>
      <c r="AH530" s="4">
        <v>179.84399999999999</v>
      </c>
      <c r="AI530" s="4"/>
      <c r="AJ530" s="4"/>
      <c r="AK530" s="4"/>
      <c r="AL530" s="4"/>
    </row>
    <row r="531" spans="1:38" ht="10.5" customHeight="1" x14ac:dyDescent="0.2">
      <c r="A531" s="37">
        <v>2</v>
      </c>
      <c r="B531" s="45" t="s">
        <v>383</v>
      </c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">
        <v>153.244</v>
      </c>
      <c r="R531" s="4"/>
      <c r="S531" s="4"/>
      <c r="T531" s="4"/>
      <c r="U531" s="4"/>
      <c r="V531" s="4"/>
      <c r="W531" s="4"/>
      <c r="X531" s="4">
        <v>164.244</v>
      </c>
      <c r="Y531" s="4"/>
      <c r="Z531" s="4"/>
      <c r="AA531" s="4"/>
      <c r="AB531" s="4"/>
      <c r="AC531" s="2">
        <v>11</v>
      </c>
      <c r="AD531" s="2"/>
      <c r="AE531" s="2"/>
      <c r="AF531" s="2"/>
      <c r="AG531" s="2"/>
      <c r="AH531" s="4">
        <v>153.244</v>
      </c>
      <c r="AI531" s="4"/>
      <c r="AJ531" s="4"/>
      <c r="AK531" s="4"/>
      <c r="AL531" s="4"/>
    </row>
    <row r="532" spans="1:38" ht="10.5" customHeight="1" x14ac:dyDescent="0.2">
      <c r="A532" s="37">
        <v>3</v>
      </c>
      <c r="B532" s="45" t="s">
        <v>384</v>
      </c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">
        <v>124.364</v>
      </c>
      <c r="R532" s="4"/>
      <c r="S532" s="4"/>
      <c r="T532" s="4"/>
      <c r="U532" s="4"/>
      <c r="V532" s="4"/>
      <c r="W532" s="4"/>
      <c r="X532" s="4">
        <v>142.26400000000001</v>
      </c>
      <c r="Y532" s="4"/>
      <c r="Z532" s="4"/>
      <c r="AA532" s="4"/>
      <c r="AB532" s="4"/>
      <c r="AC532" s="5">
        <v>17.899999999999999</v>
      </c>
      <c r="AD532" s="5"/>
      <c r="AE532" s="5"/>
      <c r="AF532" s="5"/>
      <c r="AG532" s="5"/>
      <c r="AH532" s="4">
        <v>124.364</v>
      </c>
      <c r="AI532" s="4"/>
      <c r="AJ532" s="4"/>
      <c r="AK532" s="4"/>
      <c r="AL532" s="4"/>
    </row>
    <row r="533" spans="1:38" ht="10.5" customHeight="1" x14ac:dyDescent="0.2">
      <c r="A533" s="37">
        <v>4</v>
      </c>
      <c r="B533" s="45" t="s">
        <v>385</v>
      </c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">
        <v>118.84399999999999</v>
      </c>
      <c r="R533" s="4"/>
      <c r="S533" s="4"/>
      <c r="T533" s="4"/>
      <c r="U533" s="4"/>
      <c r="V533" s="4"/>
      <c r="W533" s="4"/>
      <c r="X533" s="4">
        <v>151.54400000000001</v>
      </c>
      <c r="Y533" s="4"/>
      <c r="Z533" s="4"/>
      <c r="AA533" s="4"/>
      <c r="AB533" s="4"/>
      <c r="AC533" s="5">
        <v>32.700000000000003</v>
      </c>
      <c r="AD533" s="5"/>
      <c r="AE533" s="5"/>
      <c r="AF533" s="5"/>
      <c r="AG533" s="5"/>
      <c r="AH533" s="4">
        <v>118.84399999999999</v>
      </c>
      <c r="AI533" s="4"/>
      <c r="AJ533" s="4"/>
      <c r="AK533" s="4"/>
      <c r="AL533" s="4"/>
    </row>
    <row r="534" spans="1:38" ht="10.5" customHeight="1" x14ac:dyDescent="0.2">
      <c r="A534" s="37">
        <v>5</v>
      </c>
      <c r="B534" s="45" t="s">
        <v>386</v>
      </c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">
        <v>105.70399999999999</v>
      </c>
      <c r="R534" s="4"/>
      <c r="S534" s="4"/>
      <c r="T534" s="4"/>
      <c r="U534" s="4"/>
      <c r="V534" s="4"/>
      <c r="W534" s="4"/>
      <c r="X534" s="4">
        <v>116.20399999999999</v>
      </c>
      <c r="Y534" s="4"/>
      <c r="Z534" s="4"/>
      <c r="AA534" s="4"/>
      <c r="AB534" s="4"/>
      <c r="AC534" s="5">
        <v>10.5</v>
      </c>
      <c r="AD534" s="5"/>
      <c r="AE534" s="5"/>
      <c r="AF534" s="5"/>
      <c r="AG534" s="5"/>
      <c r="AH534" s="4">
        <v>105.70399999999999</v>
      </c>
      <c r="AI534" s="4"/>
      <c r="AJ534" s="4"/>
      <c r="AK534" s="4"/>
      <c r="AL534" s="4"/>
    </row>
    <row r="535" spans="1:38" ht="21.75" customHeight="1" x14ac:dyDescent="0.2">
      <c r="A535" s="37">
        <v>6</v>
      </c>
      <c r="B535" s="45" t="s">
        <v>343</v>
      </c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3">
        <v>75.83</v>
      </c>
      <c r="R535" s="3"/>
      <c r="S535" s="3"/>
      <c r="T535" s="3"/>
      <c r="U535" s="3"/>
      <c r="V535" s="3"/>
      <c r="W535" s="3"/>
      <c r="X535" s="3">
        <v>281.73</v>
      </c>
      <c r="Y535" s="3"/>
      <c r="Z535" s="3"/>
      <c r="AA535" s="3"/>
      <c r="AB535" s="3"/>
      <c r="AC535" s="4">
        <v>222.881</v>
      </c>
      <c r="AD535" s="4"/>
      <c r="AE535" s="4"/>
      <c r="AF535" s="4"/>
      <c r="AG535" s="4"/>
      <c r="AH535" s="4">
        <v>58.848999999999997</v>
      </c>
      <c r="AI535" s="4"/>
      <c r="AJ535" s="4"/>
      <c r="AK535" s="4"/>
      <c r="AL535" s="4"/>
    </row>
    <row r="536" spans="1:38" ht="10.5" customHeight="1" x14ac:dyDescent="0.2">
      <c r="A536" s="37">
        <v>7</v>
      </c>
      <c r="B536" s="45" t="s">
        <v>387</v>
      </c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">
        <v>73.483999999999995</v>
      </c>
      <c r="R536" s="4"/>
      <c r="S536" s="4"/>
      <c r="T536" s="4"/>
      <c r="U536" s="4"/>
      <c r="V536" s="4"/>
      <c r="W536" s="4"/>
      <c r="X536" s="4">
        <v>81.284000000000006</v>
      </c>
      <c r="Y536" s="4"/>
      <c r="Z536" s="4"/>
      <c r="AA536" s="4"/>
      <c r="AB536" s="4"/>
      <c r="AC536" s="5">
        <v>7.8</v>
      </c>
      <c r="AD536" s="5"/>
      <c r="AE536" s="5"/>
      <c r="AF536" s="5"/>
      <c r="AG536" s="5"/>
      <c r="AH536" s="4">
        <v>73.483999999999995</v>
      </c>
      <c r="AI536" s="4"/>
      <c r="AJ536" s="4"/>
      <c r="AK536" s="4"/>
      <c r="AL536" s="4"/>
    </row>
    <row r="537" spans="1:38" ht="21.75" customHeight="1" x14ac:dyDescent="0.2">
      <c r="A537" s="37">
        <v>8</v>
      </c>
      <c r="B537" s="45" t="s">
        <v>398</v>
      </c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">
        <v>44.792999999999999</v>
      </c>
      <c r="R537" s="4"/>
      <c r="S537" s="4"/>
      <c r="T537" s="4"/>
      <c r="U537" s="4"/>
      <c r="V537" s="4"/>
      <c r="W537" s="4"/>
      <c r="X537" s="2">
        <v>210</v>
      </c>
      <c r="Y537" s="2"/>
      <c r="Z537" s="2"/>
      <c r="AA537" s="2"/>
      <c r="AB537" s="2"/>
      <c r="AC537" s="4">
        <v>165.43799999999999</v>
      </c>
      <c r="AD537" s="4"/>
      <c r="AE537" s="4"/>
      <c r="AF537" s="4"/>
      <c r="AG537" s="4"/>
      <c r="AH537" s="4">
        <v>44.561999999999998</v>
      </c>
      <c r="AI537" s="4"/>
      <c r="AJ537" s="4"/>
      <c r="AK537" s="4"/>
      <c r="AL537" s="4"/>
    </row>
    <row r="538" spans="1:38" ht="21.75" customHeight="1" x14ac:dyDescent="0.2">
      <c r="A538" s="37">
        <v>9</v>
      </c>
      <c r="B538" s="45" t="s">
        <v>429</v>
      </c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2">
        <v>38</v>
      </c>
      <c r="R538" s="2"/>
      <c r="S538" s="2"/>
      <c r="T538" s="2"/>
      <c r="U538" s="2"/>
      <c r="V538" s="2"/>
      <c r="W538" s="2"/>
      <c r="X538" s="2">
        <v>38</v>
      </c>
      <c r="Y538" s="2"/>
      <c r="Z538" s="2"/>
      <c r="AA538" s="2"/>
      <c r="AB538" s="2"/>
      <c r="AC538" s="38"/>
      <c r="AD538" s="39"/>
      <c r="AE538" s="39"/>
      <c r="AF538" s="39"/>
      <c r="AG538" s="40"/>
      <c r="AH538" s="2">
        <v>38</v>
      </c>
      <c r="AI538" s="2"/>
      <c r="AJ538" s="2"/>
      <c r="AK538" s="2"/>
      <c r="AL538" s="2"/>
    </row>
    <row r="539" spans="1:38" ht="21.75" customHeight="1" x14ac:dyDescent="0.2">
      <c r="A539" s="37">
        <v>10</v>
      </c>
      <c r="B539" s="45" t="s">
        <v>399</v>
      </c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">
        <v>37.264000000000003</v>
      </c>
      <c r="R539" s="4"/>
      <c r="S539" s="4"/>
      <c r="T539" s="4"/>
      <c r="U539" s="4"/>
      <c r="V539" s="4"/>
      <c r="W539" s="4"/>
      <c r="X539" s="3">
        <v>109.12</v>
      </c>
      <c r="Y539" s="3"/>
      <c r="Z539" s="3"/>
      <c r="AA539" s="3"/>
      <c r="AB539" s="3"/>
      <c r="AC539" s="4">
        <v>73.491</v>
      </c>
      <c r="AD539" s="4"/>
      <c r="AE539" s="4"/>
      <c r="AF539" s="4"/>
      <c r="AG539" s="4"/>
      <c r="AH539" s="4">
        <v>35.628999999999998</v>
      </c>
      <c r="AI539" s="4"/>
      <c r="AJ539" s="4"/>
      <c r="AK539" s="4"/>
      <c r="AL539" s="4"/>
    </row>
    <row r="540" spans="1:38" ht="21.75" customHeight="1" x14ac:dyDescent="0.2">
      <c r="A540" s="37">
        <v>11</v>
      </c>
      <c r="B540" s="45" t="s">
        <v>400</v>
      </c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">
        <v>33.701999999999998</v>
      </c>
      <c r="R540" s="4"/>
      <c r="S540" s="4"/>
      <c r="T540" s="4"/>
      <c r="U540" s="4"/>
      <c r="V540" s="4"/>
      <c r="W540" s="4"/>
      <c r="X540" s="3">
        <v>52.68</v>
      </c>
      <c r="Y540" s="3"/>
      <c r="Z540" s="3"/>
      <c r="AA540" s="3"/>
      <c r="AB540" s="3"/>
      <c r="AC540" s="4">
        <v>19.177</v>
      </c>
      <c r="AD540" s="4"/>
      <c r="AE540" s="4"/>
      <c r="AF540" s="4"/>
      <c r="AG540" s="4"/>
      <c r="AH540" s="4">
        <v>33.503</v>
      </c>
      <c r="AI540" s="4"/>
      <c r="AJ540" s="4"/>
      <c r="AK540" s="4"/>
      <c r="AL540" s="4"/>
    </row>
    <row r="541" spans="1:38" ht="10.5" customHeight="1" x14ac:dyDescent="0.2">
      <c r="A541" s="37">
        <v>12</v>
      </c>
      <c r="B541" s="45" t="s">
        <v>344</v>
      </c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">
        <v>32.877000000000002</v>
      </c>
      <c r="R541" s="4"/>
      <c r="S541" s="4"/>
      <c r="T541" s="4"/>
      <c r="U541" s="4"/>
      <c r="V541" s="4"/>
      <c r="W541" s="4"/>
      <c r="X541" s="3">
        <v>85.38</v>
      </c>
      <c r="Y541" s="3"/>
      <c r="Z541" s="3"/>
      <c r="AA541" s="3"/>
      <c r="AB541" s="3"/>
      <c r="AC541" s="4">
        <v>55.917000000000002</v>
      </c>
      <c r="AD541" s="4"/>
      <c r="AE541" s="4"/>
      <c r="AF541" s="4"/>
      <c r="AG541" s="4"/>
      <c r="AH541" s="4">
        <v>29.463000000000001</v>
      </c>
      <c r="AI541" s="4"/>
      <c r="AJ541" s="4"/>
      <c r="AK541" s="4"/>
      <c r="AL541" s="4"/>
    </row>
    <row r="542" spans="1:38" ht="21.75" customHeight="1" x14ac:dyDescent="0.2">
      <c r="A542" s="37">
        <v>13</v>
      </c>
      <c r="B542" s="45" t="s">
        <v>430</v>
      </c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5">
        <v>32.5</v>
      </c>
      <c r="R542" s="5"/>
      <c r="S542" s="5"/>
      <c r="T542" s="5"/>
      <c r="U542" s="5"/>
      <c r="V542" s="5"/>
      <c r="W542" s="5"/>
      <c r="X542" s="5">
        <v>60.9</v>
      </c>
      <c r="Y542" s="5"/>
      <c r="Z542" s="5"/>
      <c r="AA542" s="5"/>
      <c r="AB542" s="5"/>
      <c r="AC542" s="4">
        <v>33.311</v>
      </c>
      <c r="AD542" s="4"/>
      <c r="AE542" s="4"/>
      <c r="AF542" s="4"/>
      <c r="AG542" s="4"/>
      <c r="AH542" s="4">
        <v>27.588999999999999</v>
      </c>
      <c r="AI542" s="4"/>
      <c r="AJ542" s="4"/>
      <c r="AK542" s="4"/>
      <c r="AL542" s="4"/>
    </row>
    <row r="543" spans="1:38" ht="10.5" customHeight="1" x14ac:dyDescent="0.2">
      <c r="A543" s="37">
        <v>14</v>
      </c>
      <c r="B543" s="45" t="s">
        <v>448</v>
      </c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5">
        <v>32.4</v>
      </c>
      <c r="R543" s="5"/>
      <c r="S543" s="5"/>
      <c r="T543" s="5"/>
      <c r="U543" s="5"/>
      <c r="V543" s="5"/>
      <c r="W543" s="5"/>
      <c r="X543" s="5">
        <v>75.900000000000006</v>
      </c>
      <c r="Y543" s="5"/>
      <c r="Z543" s="5"/>
      <c r="AA543" s="5"/>
      <c r="AB543" s="5"/>
      <c r="AC543" s="5">
        <v>44.9</v>
      </c>
      <c r="AD543" s="5"/>
      <c r="AE543" s="5"/>
      <c r="AF543" s="5"/>
      <c r="AG543" s="5"/>
      <c r="AH543" s="2">
        <v>31</v>
      </c>
      <c r="AI543" s="2"/>
      <c r="AJ543" s="2"/>
      <c r="AK543" s="2"/>
      <c r="AL543" s="2"/>
    </row>
    <row r="544" spans="1:38" ht="10.5" customHeight="1" x14ac:dyDescent="0.2">
      <c r="A544" s="37">
        <v>15</v>
      </c>
      <c r="B544" s="45" t="s">
        <v>401</v>
      </c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">
        <v>26.661999999999999</v>
      </c>
      <c r="R544" s="4"/>
      <c r="S544" s="4"/>
      <c r="T544" s="4"/>
      <c r="U544" s="4"/>
      <c r="V544" s="4"/>
      <c r="W544" s="4"/>
      <c r="X544" s="3">
        <v>102.29</v>
      </c>
      <c r="Y544" s="3"/>
      <c r="Z544" s="3"/>
      <c r="AA544" s="3"/>
      <c r="AB544" s="3"/>
      <c r="AC544" s="4">
        <v>79.337000000000003</v>
      </c>
      <c r="AD544" s="4"/>
      <c r="AE544" s="4"/>
      <c r="AF544" s="4"/>
      <c r="AG544" s="4"/>
      <c r="AH544" s="4">
        <v>22.952999999999999</v>
      </c>
      <c r="AI544" s="4"/>
      <c r="AJ544" s="4"/>
      <c r="AK544" s="4"/>
      <c r="AL544" s="4"/>
    </row>
    <row r="545" spans="1:38" ht="10.5" customHeight="1" x14ac:dyDescent="0.2">
      <c r="A545" s="37">
        <v>16</v>
      </c>
      <c r="B545" s="45" t="s">
        <v>435</v>
      </c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3">
        <v>23.81</v>
      </c>
      <c r="R545" s="3"/>
      <c r="S545" s="3"/>
      <c r="T545" s="3"/>
      <c r="U545" s="3"/>
      <c r="V545" s="3"/>
      <c r="W545" s="3"/>
      <c r="X545" s="5">
        <v>109.1</v>
      </c>
      <c r="Y545" s="5"/>
      <c r="Z545" s="5"/>
      <c r="AA545" s="5"/>
      <c r="AB545" s="5"/>
      <c r="AC545" s="4">
        <v>87.210999999999999</v>
      </c>
      <c r="AD545" s="4"/>
      <c r="AE545" s="4"/>
      <c r="AF545" s="4"/>
      <c r="AG545" s="4"/>
      <c r="AH545" s="4">
        <v>21.888999999999999</v>
      </c>
      <c r="AI545" s="4"/>
      <c r="AJ545" s="4"/>
      <c r="AK545" s="4"/>
      <c r="AL545" s="4"/>
    </row>
    <row r="546" spans="1:38" ht="21.75" customHeight="1" x14ac:dyDescent="0.2">
      <c r="A546" s="37">
        <v>17</v>
      </c>
      <c r="B546" s="45" t="s">
        <v>359</v>
      </c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3">
        <v>23.02</v>
      </c>
      <c r="R546" s="3"/>
      <c r="S546" s="3"/>
      <c r="T546" s="3"/>
      <c r="U546" s="3"/>
      <c r="V546" s="3"/>
      <c r="W546" s="3"/>
      <c r="X546" s="3">
        <v>64.06</v>
      </c>
      <c r="Y546" s="3"/>
      <c r="Z546" s="3"/>
      <c r="AA546" s="3"/>
      <c r="AB546" s="3"/>
      <c r="AC546" s="4">
        <v>41.878999999999998</v>
      </c>
      <c r="AD546" s="4"/>
      <c r="AE546" s="4"/>
      <c r="AF546" s="4"/>
      <c r="AG546" s="4"/>
      <c r="AH546" s="4">
        <v>22.181000000000001</v>
      </c>
      <c r="AI546" s="4"/>
      <c r="AJ546" s="4"/>
      <c r="AK546" s="4"/>
      <c r="AL546" s="4"/>
    </row>
    <row r="547" spans="1:38" ht="21.75" customHeight="1" x14ac:dyDescent="0.2">
      <c r="A547" s="37">
        <v>18</v>
      </c>
      <c r="B547" s="45" t="s">
        <v>402</v>
      </c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">
        <v>19.413</v>
      </c>
      <c r="R547" s="4"/>
      <c r="S547" s="4"/>
      <c r="T547" s="4"/>
      <c r="U547" s="4"/>
      <c r="V547" s="4"/>
      <c r="W547" s="4"/>
      <c r="X547" s="3">
        <v>65.91</v>
      </c>
      <c r="Y547" s="3"/>
      <c r="Z547" s="3"/>
      <c r="AA547" s="3"/>
      <c r="AB547" s="3"/>
      <c r="AC547" s="4">
        <v>47.378</v>
      </c>
      <c r="AD547" s="4"/>
      <c r="AE547" s="4"/>
      <c r="AF547" s="4"/>
      <c r="AG547" s="4"/>
      <c r="AH547" s="4">
        <v>18.532</v>
      </c>
      <c r="AI547" s="4"/>
      <c r="AJ547" s="4"/>
      <c r="AK547" s="4"/>
      <c r="AL547" s="4"/>
    </row>
    <row r="548" spans="1:38" ht="10.5" customHeight="1" x14ac:dyDescent="0.2">
      <c r="A548" s="37">
        <v>19</v>
      </c>
      <c r="B548" s="45" t="s">
        <v>360</v>
      </c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">
        <v>17.850999999999999</v>
      </c>
      <c r="R548" s="4"/>
      <c r="S548" s="4"/>
      <c r="T548" s="4"/>
      <c r="U548" s="4"/>
      <c r="V548" s="4"/>
      <c r="W548" s="4"/>
      <c r="X548" s="5">
        <v>64.599999999999994</v>
      </c>
      <c r="Y548" s="5"/>
      <c r="Z548" s="5"/>
      <c r="AA548" s="5"/>
      <c r="AB548" s="5"/>
      <c r="AC548" s="4">
        <v>46.896000000000001</v>
      </c>
      <c r="AD548" s="4"/>
      <c r="AE548" s="4"/>
      <c r="AF548" s="4"/>
      <c r="AG548" s="4"/>
      <c r="AH548" s="4">
        <v>17.704000000000001</v>
      </c>
      <c r="AI548" s="4"/>
      <c r="AJ548" s="4"/>
      <c r="AK548" s="4"/>
      <c r="AL548" s="4"/>
    </row>
    <row r="549" spans="1:38" ht="10.5" customHeight="1" x14ac:dyDescent="0.2">
      <c r="A549" s="37">
        <v>20</v>
      </c>
      <c r="B549" s="45" t="s">
        <v>403</v>
      </c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">
        <v>15.214</v>
      </c>
      <c r="R549" s="4"/>
      <c r="S549" s="4"/>
      <c r="T549" s="4"/>
      <c r="U549" s="4"/>
      <c r="V549" s="4"/>
      <c r="W549" s="4"/>
      <c r="X549" s="3">
        <v>70.56</v>
      </c>
      <c r="Y549" s="3"/>
      <c r="Z549" s="3"/>
      <c r="AA549" s="3"/>
      <c r="AB549" s="3"/>
      <c r="AC549" s="4">
        <v>64.802999999999997</v>
      </c>
      <c r="AD549" s="4"/>
      <c r="AE549" s="4"/>
      <c r="AF549" s="4"/>
      <c r="AG549" s="4"/>
      <c r="AH549" s="4">
        <v>5.7569999999999997</v>
      </c>
      <c r="AI549" s="4"/>
      <c r="AJ549" s="4"/>
      <c r="AK549" s="4"/>
      <c r="AL549" s="4"/>
    </row>
    <row r="550" spans="1:38" ht="10.5" customHeight="1" x14ac:dyDescent="0.2">
      <c r="A550" s="37">
        <v>21</v>
      </c>
      <c r="B550" s="45" t="s">
        <v>404</v>
      </c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3">
        <v>14.76</v>
      </c>
      <c r="R550" s="3"/>
      <c r="S550" s="3"/>
      <c r="T550" s="3"/>
      <c r="U550" s="3"/>
      <c r="V550" s="3"/>
      <c r="W550" s="3"/>
      <c r="X550" s="3">
        <v>24.59</v>
      </c>
      <c r="Y550" s="3"/>
      <c r="Z550" s="3"/>
      <c r="AA550" s="3"/>
      <c r="AB550" s="3"/>
      <c r="AC550" s="3">
        <v>11.08</v>
      </c>
      <c r="AD550" s="3"/>
      <c r="AE550" s="3"/>
      <c r="AF550" s="3"/>
      <c r="AG550" s="3"/>
      <c r="AH550" s="3">
        <v>13.51</v>
      </c>
      <c r="AI550" s="3"/>
      <c r="AJ550" s="3"/>
      <c r="AK550" s="3"/>
      <c r="AL550" s="3"/>
    </row>
    <row r="551" spans="1:38" ht="21.75" customHeight="1" x14ac:dyDescent="0.2">
      <c r="A551" s="37">
        <v>22</v>
      </c>
      <c r="B551" s="45" t="s">
        <v>361</v>
      </c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">
        <v>14.612</v>
      </c>
      <c r="R551" s="4"/>
      <c r="S551" s="4"/>
      <c r="T551" s="4"/>
      <c r="U551" s="4"/>
      <c r="V551" s="4"/>
      <c r="W551" s="4"/>
      <c r="X551" s="3">
        <v>48.14</v>
      </c>
      <c r="Y551" s="3"/>
      <c r="Z551" s="3"/>
      <c r="AA551" s="3"/>
      <c r="AB551" s="3"/>
      <c r="AC551" s="4">
        <v>34.072000000000003</v>
      </c>
      <c r="AD551" s="4"/>
      <c r="AE551" s="4"/>
      <c r="AF551" s="4"/>
      <c r="AG551" s="4"/>
      <c r="AH551" s="4">
        <v>14.068</v>
      </c>
      <c r="AI551" s="4"/>
      <c r="AJ551" s="4"/>
      <c r="AK551" s="4"/>
      <c r="AL551" s="4"/>
    </row>
    <row r="552" spans="1:38" ht="21.75" customHeight="1" x14ac:dyDescent="0.2">
      <c r="A552" s="37">
        <v>23</v>
      </c>
      <c r="B552" s="45" t="s">
        <v>436</v>
      </c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">
        <v>14.409000000000001</v>
      </c>
      <c r="R552" s="4"/>
      <c r="S552" s="4"/>
      <c r="T552" s="4"/>
      <c r="U552" s="4"/>
      <c r="V552" s="4"/>
      <c r="W552" s="4"/>
      <c r="X552" s="5">
        <v>90.2</v>
      </c>
      <c r="Y552" s="5"/>
      <c r="Z552" s="5"/>
      <c r="AA552" s="5"/>
      <c r="AB552" s="5"/>
      <c r="AC552" s="4">
        <v>79.875</v>
      </c>
      <c r="AD552" s="4"/>
      <c r="AE552" s="4"/>
      <c r="AF552" s="4"/>
      <c r="AG552" s="4"/>
      <c r="AH552" s="4">
        <v>10.324999999999999</v>
      </c>
      <c r="AI552" s="4"/>
      <c r="AJ552" s="4"/>
      <c r="AK552" s="4"/>
      <c r="AL552" s="4"/>
    </row>
    <row r="553" spans="1:38" ht="10.5" customHeight="1" x14ac:dyDescent="0.2">
      <c r="A553" s="37">
        <v>24</v>
      </c>
      <c r="B553" s="45" t="s">
        <v>362</v>
      </c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">
        <v>13.945</v>
      </c>
      <c r="R553" s="4"/>
      <c r="S553" s="4"/>
      <c r="T553" s="4"/>
      <c r="U553" s="4"/>
      <c r="V553" s="4"/>
      <c r="W553" s="4"/>
      <c r="X553" s="3">
        <v>116.72</v>
      </c>
      <c r="Y553" s="3"/>
      <c r="Z553" s="3"/>
      <c r="AA553" s="3"/>
      <c r="AB553" s="3"/>
      <c r="AC553" s="4">
        <v>105.196</v>
      </c>
      <c r="AD553" s="4"/>
      <c r="AE553" s="4"/>
      <c r="AF553" s="4"/>
      <c r="AG553" s="4"/>
      <c r="AH553" s="4">
        <v>11.523999999999999</v>
      </c>
      <c r="AI553" s="4"/>
      <c r="AJ553" s="4"/>
      <c r="AK553" s="4"/>
      <c r="AL553" s="4"/>
    </row>
    <row r="554" spans="1:38" ht="21.75" customHeight="1" x14ac:dyDescent="0.2">
      <c r="A554" s="37">
        <v>25</v>
      </c>
      <c r="B554" s="45" t="s">
        <v>345</v>
      </c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">
        <v>12.874000000000001</v>
      </c>
      <c r="R554" s="4"/>
      <c r="S554" s="4"/>
      <c r="T554" s="4"/>
      <c r="U554" s="4"/>
      <c r="V554" s="4"/>
      <c r="W554" s="4"/>
      <c r="X554" s="3">
        <v>65.22</v>
      </c>
      <c r="Y554" s="3"/>
      <c r="Z554" s="3"/>
      <c r="AA554" s="3"/>
      <c r="AB554" s="3"/>
      <c r="AC554" s="4">
        <v>57.395000000000003</v>
      </c>
      <c r="AD554" s="4"/>
      <c r="AE554" s="4"/>
      <c r="AF554" s="4"/>
      <c r="AG554" s="4"/>
      <c r="AH554" s="4">
        <v>7.8250000000000002</v>
      </c>
      <c r="AI554" s="4"/>
      <c r="AJ554" s="4"/>
      <c r="AK554" s="4"/>
      <c r="AL554" s="4"/>
    </row>
    <row r="555" spans="1:38" ht="10.5" customHeight="1" x14ac:dyDescent="0.2">
      <c r="A555" s="37">
        <v>26</v>
      </c>
      <c r="B555" s="45" t="s">
        <v>405</v>
      </c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">
        <v>12.263999999999999</v>
      </c>
      <c r="R555" s="4"/>
      <c r="S555" s="4"/>
      <c r="T555" s="4"/>
      <c r="U555" s="4"/>
      <c r="V555" s="4"/>
      <c r="W555" s="4"/>
      <c r="X555" s="3">
        <v>76.319999999999993</v>
      </c>
      <c r="Y555" s="3"/>
      <c r="Z555" s="3"/>
      <c r="AA555" s="3"/>
      <c r="AB555" s="3"/>
      <c r="AC555" s="4">
        <v>68.093000000000004</v>
      </c>
      <c r="AD555" s="4"/>
      <c r="AE555" s="4"/>
      <c r="AF555" s="4"/>
      <c r="AG555" s="4"/>
      <c r="AH555" s="4">
        <v>8.2270000000000003</v>
      </c>
      <c r="AI555" s="4"/>
      <c r="AJ555" s="4"/>
      <c r="AK555" s="4"/>
      <c r="AL555" s="4"/>
    </row>
    <row r="556" spans="1:38" ht="21.75" customHeight="1" x14ac:dyDescent="0.2">
      <c r="A556" s="37">
        <v>27</v>
      </c>
      <c r="B556" s="45" t="s">
        <v>406</v>
      </c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">
        <v>11.582000000000001</v>
      </c>
      <c r="R556" s="4"/>
      <c r="S556" s="4"/>
      <c r="T556" s="4"/>
      <c r="U556" s="4"/>
      <c r="V556" s="4"/>
      <c r="W556" s="4"/>
      <c r="X556" s="3">
        <v>42.33</v>
      </c>
      <c r="Y556" s="3"/>
      <c r="Z556" s="3"/>
      <c r="AA556" s="3"/>
      <c r="AB556" s="3"/>
      <c r="AC556" s="4">
        <v>32.168999999999997</v>
      </c>
      <c r="AD556" s="4"/>
      <c r="AE556" s="4"/>
      <c r="AF556" s="4"/>
      <c r="AG556" s="4"/>
      <c r="AH556" s="4">
        <v>10.161</v>
      </c>
      <c r="AI556" s="4"/>
      <c r="AJ556" s="4"/>
      <c r="AK556" s="4"/>
      <c r="AL556" s="4"/>
    </row>
    <row r="557" spans="1:38" ht="10.5" customHeight="1" x14ac:dyDescent="0.2">
      <c r="A557" s="37">
        <v>28</v>
      </c>
      <c r="B557" s="45" t="s">
        <v>407</v>
      </c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">
        <v>11.552</v>
      </c>
      <c r="R557" s="4"/>
      <c r="S557" s="4"/>
      <c r="T557" s="4"/>
      <c r="U557" s="4"/>
      <c r="V557" s="4"/>
      <c r="W557" s="4"/>
      <c r="X557" s="3">
        <v>103.36</v>
      </c>
      <c r="Y557" s="3"/>
      <c r="Z557" s="3"/>
      <c r="AA557" s="3"/>
      <c r="AB557" s="3"/>
      <c r="AC557" s="3">
        <v>100.45</v>
      </c>
      <c r="AD557" s="3"/>
      <c r="AE557" s="3"/>
      <c r="AF557" s="3"/>
      <c r="AG557" s="3"/>
      <c r="AH557" s="3">
        <v>2.91</v>
      </c>
      <c r="AI557" s="3"/>
      <c r="AJ557" s="3"/>
      <c r="AK557" s="3"/>
      <c r="AL557" s="3"/>
    </row>
    <row r="558" spans="1:38" ht="10.5" customHeight="1" x14ac:dyDescent="0.2">
      <c r="A558" s="37">
        <v>29</v>
      </c>
      <c r="B558" s="45" t="s">
        <v>363</v>
      </c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">
        <v>11.467000000000001</v>
      </c>
      <c r="R558" s="4"/>
      <c r="S558" s="4"/>
      <c r="T558" s="4"/>
      <c r="U558" s="4"/>
      <c r="V558" s="4"/>
      <c r="W558" s="4"/>
      <c r="X558" s="3">
        <v>109.96</v>
      </c>
      <c r="Y558" s="3"/>
      <c r="Z558" s="3"/>
      <c r="AA558" s="3"/>
      <c r="AB558" s="3"/>
      <c r="AC558" s="4">
        <v>104.964</v>
      </c>
      <c r="AD558" s="4"/>
      <c r="AE558" s="4"/>
      <c r="AF558" s="4"/>
      <c r="AG558" s="4"/>
      <c r="AH558" s="4">
        <v>4.9960000000000004</v>
      </c>
      <c r="AI558" s="4"/>
      <c r="AJ558" s="4"/>
      <c r="AK558" s="4"/>
      <c r="AL558" s="4"/>
    </row>
    <row r="559" spans="1:38" ht="10.5" customHeight="1" x14ac:dyDescent="0.2">
      <c r="A559" s="37">
        <v>30</v>
      </c>
      <c r="B559" s="45" t="s">
        <v>388</v>
      </c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">
        <v>11.183999999999999</v>
      </c>
      <c r="R559" s="4"/>
      <c r="S559" s="4"/>
      <c r="T559" s="4"/>
      <c r="U559" s="4"/>
      <c r="V559" s="4"/>
      <c r="W559" s="4"/>
      <c r="X559" s="5">
        <v>35.799999999999997</v>
      </c>
      <c r="Y559" s="5"/>
      <c r="Z559" s="5"/>
      <c r="AA559" s="5"/>
      <c r="AB559" s="5"/>
      <c r="AC559" s="4">
        <v>25.562999999999999</v>
      </c>
      <c r="AD559" s="4"/>
      <c r="AE559" s="4"/>
      <c r="AF559" s="4"/>
      <c r="AG559" s="4"/>
      <c r="AH559" s="4">
        <v>10.237</v>
      </c>
      <c r="AI559" s="4"/>
      <c r="AJ559" s="4"/>
      <c r="AK559" s="4"/>
      <c r="AL559" s="4"/>
    </row>
    <row r="560" spans="1:38" ht="21.75" customHeight="1" x14ac:dyDescent="0.2">
      <c r="A560" s="37">
        <v>31</v>
      </c>
      <c r="B560" s="45" t="s">
        <v>346</v>
      </c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">
        <v>10.532</v>
      </c>
      <c r="R560" s="4"/>
      <c r="S560" s="4"/>
      <c r="T560" s="4"/>
      <c r="U560" s="4"/>
      <c r="V560" s="4"/>
      <c r="W560" s="4"/>
      <c r="X560" s="3">
        <v>46.88</v>
      </c>
      <c r="Y560" s="3"/>
      <c r="Z560" s="3"/>
      <c r="AA560" s="3"/>
      <c r="AB560" s="3"/>
      <c r="AC560" s="4">
        <v>38.433</v>
      </c>
      <c r="AD560" s="4"/>
      <c r="AE560" s="4"/>
      <c r="AF560" s="4"/>
      <c r="AG560" s="4"/>
      <c r="AH560" s="4">
        <v>8.4469999999999992</v>
      </c>
      <c r="AI560" s="4"/>
      <c r="AJ560" s="4"/>
      <c r="AK560" s="4"/>
      <c r="AL560" s="4"/>
    </row>
    <row r="561" spans="1:38" ht="10.5" customHeight="1" x14ac:dyDescent="0.2">
      <c r="A561" s="37">
        <v>32</v>
      </c>
      <c r="B561" s="45" t="s">
        <v>317</v>
      </c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">
        <v>9.9009999999999998</v>
      </c>
      <c r="R561" s="4"/>
      <c r="S561" s="4"/>
      <c r="T561" s="4"/>
      <c r="U561" s="4"/>
      <c r="V561" s="4"/>
      <c r="W561" s="4"/>
      <c r="X561" s="3">
        <v>26.72</v>
      </c>
      <c r="Y561" s="3"/>
      <c r="Z561" s="3"/>
      <c r="AA561" s="3"/>
      <c r="AB561" s="3"/>
      <c r="AC561" s="3">
        <v>17.190000000000001</v>
      </c>
      <c r="AD561" s="3"/>
      <c r="AE561" s="3"/>
      <c r="AF561" s="3"/>
      <c r="AG561" s="3"/>
      <c r="AH561" s="3">
        <v>9.5299999999999994</v>
      </c>
      <c r="AI561" s="3"/>
      <c r="AJ561" s="3"/>
      <c r="AK561" s="3"/>
      <c r="AL561" s="3"/>
    </row>
    <row r="562" spans="1:38" ht="21.75" customHeight="1" x14ac:dyDescent="0.2">
      <c r="A562" s="37">
        <v>33</v>
      </c>
      <c r="B562" s="45" t="s">
        <v>389</v>
      </c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5">
        <v>9.6999999999999993</v>
      </c>
      <c r="R562" s="5"/>
      <c r="S562" s="5"/>
      <c r="T562" s="5"/>
      <c r="U562" s="5"/>
      <c r="V562" s="5"/>
      <c r="W562" s="5"/>
      <c r="X562" s="5">
        <v>67.599999999999994</v>
      </c>
      <c r="Y562" s="5"/>
      <c r="Z562" s="5"/>
      <c r="AA562" s="5"/>
      <c r="AB562" s="5"/>
      <c r="AC562" s="4">
        <v>61.076000000000001</v>
      </c>
      <c r="AD562" s="4"/>
      <c r="AE562" s="4"/>
      <c r="AF562" s="4"/>
      <c r="AG562" s="4"/>
      <c r="AH562" s="4">
        <v>6.524</v>
      </c>
      <c r="AI562" s="4"/>
      <c r="AJ562" s="4"/>
      <c r="AK562" s="4"/>
      <c r="AL562" s="4"/>
    </row>
    <row r="563" spans="1:38" ht="21.75" customHeight="1" x14ac:dyDescent="0.2">
      <c r="A563" s="37">
        <v>34</v>
      </c>
      <c r="B563" s="45" t="s">
        <v>347</v>
      </c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">
        <v>8.9139999999999997</v>
      </c>
      <c r="R563" s="4"/>
      <c r="S563" s="4"/>
      <c r="T563" s="4"/>
      <c r="U563" s="4"/>
      <c r="V563" s="4"/>
      <c r="W563" s="4"/>
      <c r="X563" s="5">
        <v>29.5</v>
      </c>
      <c r="Y563" s="5"/>
      <c r="Z563" s="5"/>
      <c r="AA563" s="5"/>
      <c r="AB563" s="5"/>
      <c r="AC563" s="4">
        <v>21.696000000000002</v>
      </c>
      <c r="AD563" s="4"/>
      <c r="AE563" s="4"/>
      <c r="AF563" s="4"/>
      <c r="AG563" s="4"/>
      <c r="AH563" s="4">
        <v>7.8040000000000003</v>
      </c>
      <c r="AI563" s="4"/>
      <c r="AJ563" s="4"/>
      <c r="AK563" s="4"/>
      <c r="AL563" s="4"/>
    </row>
    <row r="564" spans="1:38" ht="21.75" customHeight="1" x14ac:dyDescent="0.2">
      <c r="A564" s="37">
        <v>35</v>
      </c>
      <c r="B564" s="45" t="s">
        <v>364</v>
      </c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">
        <v>8.6880000000000006</v>
      </c>
      <c r="R564" s="4"/>
      <c r="S564" s="4"/>
      <c r="T564" s="4"/>
      <c r="U564" s="4"/>
      <c r="V564" s="4"/>
      <c r="W564" s="4"/>
      <c r="X564" s="3">
        <v>75.92</v>
      </c>
      <c r="Y564" s="3"/>
      <c r="Z564" s="3"/>
      <c r="AA564" s="3"/>
      <c r="AB564" s="3"/>
      <c r="AC564" s="4">
        <v>71.426000000000002</v>
      </c>
      <c r="AD564" s="4"/>
      <c r="AE564" s="4"/>
      <c r="AF564" s="4"/>
      <c r="AG564" s="4"/>
      <c r="AH564" s="4">
        <v>4.4939999999999998</v>
      </c>
      <c r="AI564" s="4"/>
      <c r="AJ564" s="4"/>
      <c r="AK564" s="4"/>
      <c r="AL564" s="4"/>
    </row>
    <row r="565" spans="1:38" ht="10.5" customHeight="1" x14ac:dyDescent="0.2">
      <c r="A565" s="37">
        <v>36</v>
      </c>
      <c r="B565" s="45" t="s">
        <v>408</v>
      </c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3">
        <v>8.52</v>
      </c>
      <c r="R565" s="3"/>
      <c r="S565" s="3"/>
      <c r="T565" s="3"/>
      <c r="U565" s="3"/>
      <c r="V565" s="3"/>
      <c r="W565" s="3"/>
      <c r="X565" s="3">
        <v>175.16</v>
      </c>
      <c r="Y565" s="3"/>
      <c r="Z565" s="3"/>
      <c r="AA565" s="3"/>
      <c r="AB565" s="3"/>
      <c r="AC565" s="4">
        <v>175.58799999999999</v>
      </c>
      <c r="AD565" s="4"/>
      <c r="AE565" s="4"/>
      <c r="AF565" s="4"/>
      <c r="AG565" s="4"/>
      <c r="AH565" s="4">
        <v>-0.42799999999999999</v>
      </c>
      <c r="AI565" s="4"/>
      <c r="AJ565" s="4"/>
      <c r="AK565" s="4"/>
      <c r="AL565" s="4"/>
    </row>
    <row r="566" spans="1:38" ht="10.5" customHeight="1" x14ac:dyDescent="0.2">
      <c r="A566" s="37">
        <v>37</v>
      </c>
      <c r="B566" s="45" t="s">
        <v>437</v>
      </c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">
        <v>8.2919999999999998</v>
      </c>
      <c r="R566" s="4"/>
      <c r="S566" s="4"/>
      <c r="T566" s="4"/>
      <c r="U566" s="4"/>
      <c r="V566" s="4"/>
      <c r="W566" s="4"/>
      <c r="X566" s="3">
        <v>54.56</v>
      </c>
      <c r="Y566" s="3"/>
      <c r="Z566" s="3"/>
      <c r="AA566" s="3"/>
      <c r="AB566" s="3"/>
      <c r="AC566" s="4">
        <v>57.146999999999998</v>
      </c>
      <c r="AD566" s="4"/>
      <c r="AE566" s="4"/>
      <c r="AF566" s="4"/>
      <c r="AG566" s="4"/>
      <c r="AH566" s="4">
        <v>-2.5870000000000002</v>
      </c>
      <c r="AI566" s="4"/>
      <c r="AJ566" s="4"/>
      <c r="AK566" s="4"/>
      <c r="AL566" s="4"/>
    </row>
    <row r="567" spans="1:38" ht="21.75" customHeight="1" x14ac:dyDescent="0.2">
      <c r="A567" s="37">
        <v>38</v>
      </c>
      <c r="B567" s="45" t="s">
        <v>348</v>
      </c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">
        <v>8.2520000000000007</v>
      </c>
      <c r="R567" s="4"/>
      <c r="S567" s="4"/>
      <c r="T567" s="4"/>
      <c r="U567" s="4"/>
      <c r="V567" s="4"/>
      <c r="W567" s="4"/>
      <c r="X567" s="2">
        <v>133</v>
      </c>
      <c r="Y567" s="2"/>
      <c r="Z567" s="2"/>
      <c r="AA567" s="2"/>
      <c r="AB567" s="2"/>
      <c r="AC567" s="3">
        <v>135.56</v>
      </c>
      <c r="AD567" s="3"/>
      <c r="AE567" s="3"/>
      <c r="AF567" s="3"/>
      <c r="AG567" s="3"/>
      <c r="AH567" s="3">
        <v>-2.56</v>
      </c>
      <c r="AI567" s="3"/>
      <c r="AJ567" s="3"/>
      <c r="AK567" s="3"/>
      <c r="AL567" s="3"/>
    </row>
    <row r="568" spans="1:38" ht="21.75" customHeight="1" x14ac:dyDescent="0.2">
      <c r="A568" s="37">
        <v>39</v>
      </c>
      <c r="B568" s="45" t="s">
        <v>390</v>
      </c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">
        <v>8.2070000000000007</v>
      </c>
      <c r="R568" s="4"/>
      <c r="S568" s="4"/>
      <c r="T568" s="4"/>
      <c r="U568" s="4"/>
      <c r="V568" s="4"/>
      <c r="W568" s="4"/>
      <c r="X568" s="5">
        <v>73.900000000000006</v>
      </c>
      <c r="Y568" s="5"/>
      <c r="Z568" s="5"/>
      <c r="AA568" s="5"/>
      <c r="AB568" s="5"/>
      <c r="AC568" s="4">
        <v>67.475999999999999</v>
      </c>
      <c r="AD568" s="4"/>
      <c r="AE568" s="4"/>
      <c r="AF568" s="4"/>
      <c r="AG568" s="4"/>
      <c r="AH568" s="4">
        <v>6.4240000000000004</v>
      </c>
      <c r="AI568" s="4"/>
      <c r="AJ568" s="4"/>
      <c r="AK568" s="4"/>
      <c r="AL568" s="4"/>
    </row>
    <row r="569" spans="1:38" ht="10.5" customHeight="1" x14ac:dyDescent="0.2">
      <c r="A569" s="37">
        <v>40</v>
      </c>
      <c r="B569" s="45" t="s">
        <v>438</v>
      </c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3">
        <v>8.16</v>
      </c>
      <c r="R569" s="3"/>
      <c r="S569" s="3"/>
      <c r="T569" s="3"/>
      <c r="U569" s="3"/>
      <c r="V569" s="3"/>
      <c r="W569" s="3"/>
      <c r="X569" s="2">
        <v>88</v>
      </c>
      <c r="Y569" s="2"/>
      <c r="Z569" s="2"/>
      <c r="AA569" s="2"/>
      <c r="AB569" s="2"/>
      <c r="AC569" s="4">
        <v>84.941999999999993</v>
      </c>
      <c r="AD569" s="4"/>
      <c r="AE569" s="4"/>
      <c r="AF569" s="4"/>
      <c r="AG569" s="4"/>
      <c r="AH569" s="4">
        <v>3.0579999999999998</v>
      </c>
      <c r="AI569" s="4"/>
      <c r="AJ569" s="4"/>
      <c r="AK569" s="4"/>
      <c r="AL569" s="4"/>
    </row>
    <row r="570" spans="1:38" ht="21.75" customHeight="1" x14ac:dyDescent="0.2">
      <c r="A570" s="37">
        <v>41</v>
      </c>
      <c r="B570" s="45" t="s">
        <v>365</v>
      </c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">
        <v>8.0229999999999997</v>
      </c>
      <c r="R570" s="4"/>
      <c r="S570" s="4"/>
      <c r="T570" s="4"/>
      <c r="U570" s="4"/>
      <c r="V570" s="4"/>
      <c r="W570" s="4"/>
      <c r="X570" s="3">
        <v>29.98</v>
      </c>
      <c r="Y570" s="3"/>
      <c r="Z570" s="3"/>
      <c r="AA570" s="3"/>
      <c r="AB570" s="3"/>
      <c r="AC570" s="4">
        <v>23.516999999999999</v>
      </c>
      <c r="AD570" s="4"/>
      <c r="AE570" s="4"/>
      <c r="AF570" s="4"/>
      <c r="AG570" s="4"/>
      <c r="AH570" s="4">
        <v>6.4630000000000001</v>
      </c>
      <c r="AI570" s="4"/>
      <c r="AJ570" s="4"/>
      <c r="AK570" s="4"/>
      <c r="AL570" s="4"/>
    </row>
    <row r="571" spans="1:38" ht="10.5" customHeight="1" x14ac:dyDescent="0.2">
      <c r="A571" s="37">
        <v>42</v>
      </c>
      <c r="B571" s="45" t="s">
        <v>349</v>
      </c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">
        <v>7.9379999999999997</v>
      </c>
      <c r="R571" s="4"/>
      <c r="S571" s="4"/>
      <c r="T571" s="4"/>
      <c r="U571" s="4"/>
      <c r="V571" s="4"/>
      <c r="W571" s="4"/>
      <c r="X571" s="3">
        <v>44.28</v>
      </c>
      <c r="Y571" s="3"/>
      <c r="Z571" s="3"/>
      <c r="AA571" s="3"/>
      <c r="AB571" s="3"/>
      <c r="AC571" s="4">
        <v>39.005000000000003</v>
      </c>
      <c r="AD571" s="4"/>
      <c r="AE571" s="4"/>
      <c r="AF571" s="4"/>
      <c r="AG571" s="4"/>
      <c r="AH571" s="4">
        <v>5.2750000000000004</v>
      </c>
      <c r="AI571" s="4"/>
      <c r="AJ571" s="4"/>
      <c r="AK571" s="4"/>
      <c r="AL571" s="4"/>
    </row>
    <row r="572" spans="1:38" ht="10.5" customHeight="1" x14ac:dyDescent="0.2">
      <c r="A572" s="37">
        <v>43</v>
      </c>
      <c r="B572" s="45" t="s">
        <v>366</v>
      </c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">
        <v>7.7080000000000002</v>
      </c>
      <c r="R572" s="4"/>
      <c r="S572" s="4"/>
      <c r="T572" s="4"/>
      <c r="U572" s="4"/>
      <c r="V572" s="4"/>
      <c r="W572" s="4"/>
      <c r="X572" s="5">
        <v>25.4</v>
      </c>
      <c r="Y572" s="5"/>
      <c r="Z572" s="5"/>
      <c r="AA572" s="5"/>
      <c r="AB572" s="5"/>
      <c r="AC572" s="4">
        <v>17.817</v>
      </c>
      <c r="AD572" s="4"/>
      <c r="AE572" s="4"/>
      <c r="AF572" s="4"/>
      <c r="AG572" s="4"/>
      <c r="AH572" s="4">
        <v>7.5830000000000002</v>
      </c>
      <c r="AI572" s="4"/>
      <c r="AJ572" s="4"/>
      <c r="AK572" s="4"/>
      <c r="AL572" s="4"/>
    </row>
    <row r="573" spans="1:38" ht="10.5" customHeight="1" x14ac:dyDescent="0.2">
      <c r="A573" s="37">
        <v>44</v>
      </c>
      <c r="B573" s="45" t="s">
        <v>318</v>
      </c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">
        <v>7.6989999999999998</v>
      </c>
      <c r="R573" s="4"/>
      <c r="S573" s="4"/>
      <c r="T573" s="4"/>
      <c r="U573" s="4"/>
      <c r="V573" s="4"/>
      <c r="W573" s="4"/>
      <c r="X573" s="3">
        <v>71.86</v>
      </c>
      <c r="Y573" s="3"/>
      <c r="Z573" s="3"/>
      <c r="AA573" s="3"/>
      <c r="AB573" s="3"/>
      <c r="AC573" s="3">
        <v>74.459999999999994</v>
      </c>
      <c r="AD573" s="3"/>
      <c r="AE573" s="3"/>
      <c r="AF573" s="3"/>
      <c r="AG573" s="3"/>
      <c r="AH573" s="5">
        <v>-2.6</v>
      </c>
      <c r="AI573" s="5"/>
      <c r="AJ573" s="5"/>
      <c r="AK573" s="5"/>
      <c r="AL573" s="5"/>
    </row>
    <row r="574" spans="1:38" ht="10.5" customHeight="1" x14ac:dyDescent="0.2">
      <c r="A574" s="37">
        <v>45</v>
      </c>
      <c r="B574" s="45" t="s">
        <v>409</v>
      </c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">
        <v>7.5289999999999999</v>
      </c>
      <c r="R574" s="4"/>
      <c r="S574" s="4"/>
      <c r="T574" s="4"/>
      <c r="U574" s="4"/>
      <c r="V574" s="4"/>
      <c r="W574" s="4"/>
      <c r="X574" s="5">
        <v>10.4</v>
      </c>
      <c r="Y574" s="5"/>
      <c r="Z574" s="5"/>
      <c r="AA574" s="5"/>
      <c r="AB574" s="5"/>
      <c r="AC574" s="4">
        <v>2.871</v>
      </c>
      <c r="AD574" s="4"/>
      <c r="AE574" s="4"/>
      <c r="AF574" s="4"/>
      <c r="AG574" s="4"/>
      <c r="AH574" s="4">
        <v>7.5289999999999999</v>
      </c>
      <c r="AI574" s="4"/>
      <c r="AJ574" s="4"/>
      <c r="AK574" s="4"/>
      <c r="AL574" s="4"/>
    </row>
    <row r="575" spans="1:38" ht="10.5" customHeight="1" x14ac:dyDescent="0.2">
      <c r="A575" s="37">
        <v>46</v>
      </c>
      <c r="B575" s="45" t="s">
        <v>319</v>
      </c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">
        <v>7.5190000000000001</v>
      </c>
      <c r="R575" s="4"/>
      <c r="S575" s="4"/>
      <c r="T575" s="4"/>
      <c r="U575" s="4"/>
      <c r="V575" s="4"/>
      <c r="W575" s="4"/>
      <c r="X575" s="3">
        <v>28.06</v>
      </c>
      <c r="Y575" s="3"/>
      <c r="Z575" s="3"/>
      <c r="AA575" s="3"/>
      <c r="AB575" s="3"/>
      <c r="AC575" s="4">
        <v>20.690999999999999</v>
      </c>
      <c r="AD575" s="4"/>
      <c r="AE575" s="4"/>
      <c r="AF575" s="4"/>
      <c r="AG575" s="4"/>
      <c r="AH575" s="4">
        <v>7.3689999999999998</v>
      </c>
      <c r="AI575" s="4"/>
      <c r="AJ575" s="4"/>
      <c r="AK575" s="4"/>
      <c r="AL575" s="4"/>
    </row>
    <row r="576" spans="1:38" ht="21.75" customHeight="1" x14ac:dyDescent="0.2">
      <c r="A576" s="37">
        <v>47</v>
      </c>
      <c r="B576" s="45" t="s">
        <v>320</v>
      </c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3">
        <v>7.45</v>
      </c>
      <c r="R576" s="3"/>
      <c r="S576" s="3"/>
      <c r="T576" s="3"/>
      <c r="U576" s="3"/>
      <c r="V576" s="3"/>
      <c r="W576" s="3"/>
      <c r="X576" s="5">
        <v>38.200000000000003</v>
      </c>
      <c r="Y576" s="5"/>
      <c r="Z576" s="5"/>
      <c r="AA576" s="5"/>
      <c r="AB576" s="5"/>
      <c r="AC576" s="4">
        <v>31.265999999999998</v>
      </c>
      <c r="AD576" s="4"/>
      <c r="AE576" s="4"/>
      <c r="AF576" s="4"/>
      <c r="AG576" s="4"/>
      <c r="AH576" s="4">
        <v>6.9340000000000002</v>
      </c>
      <c r="AI576" s="4"/>
      <c r="AJ576" s="4"/>
      <c r="AK576" s="4"/>
      <c r="AL576" s="4"/>
    </row>
    <row r="577" spans="1:38" ht="21.75" customHeight="1" x14ac:dyDescent="0.2">
      <c r="A577" s="37">
        <v>48</v>
      </c>
      <c r="B577" s="45" t="s">
        <v>449</v>
      </c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">
        <v>7.2160000000000002</v>
      </c>
      <c r="R577" s="4"/>
      <c r="S577" s="4"/>
      <c r="T577" s="4"/>
      <c r="U577" s="4"/>
      <c r="V577" s="4"/>
      <c r="W577" s="4"/>
      <c r="X577" s="5">
        <v>32.9</v>
      </c>
      <c r="Y577" s="5"/>
      <c r="Z577" s="5"/>
      <c r="AA577" s="5"/>
      <c r="AB577" s="5"/>
      <c r="AC577" s="5">
        <v>26.1</v>
      </c>
      <c r="AD577" s="5"/>
      <c r="AE577" s="5"/>
      <c r="AF577" s="5"/>
      <c r="AG577" s="5"/>
      <c r="AH577" s="5">
        <v>6.8</v>
      </c>
      <c r="AI577" s="5"/>
      <c r="AJ577" s="5"/>
      <c r="AK577" s="5"/>
      <c r="AL577" s="5"/>
    </row>
    <row r="578" spans="1:38" ht="10.5" customHeight="1" x14ac:dyDescent="0.2">
      <c r="A578" s="37">
        <v>49</v>
      </c>
      <c r="B578" s="45" t="s">
        <v>367</v>
      </c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5">
        <v>7.2</v>
      </c>
      <c r="R578" s="5"/>
      <c r="S578" s="5"/>
      <c r="T578" s="5"/>
      <c r="U578" s="5"/>
      <c r="V578" s="5"/>
      <c r="W578" s="5"/>
      <c r="X578" s="5">
        <v>41.6</v>
      </c>
      <c r="Y578" s="5"/>
      <c r="Z578" s="5"/>
      <c r="AA578" s="5"/>
      <c r="AB578" s="5"/>
      <c r="AC578" s="5">
        <v>36.4</v>
      </c>
      <c r="AD578" s="5"/>
      <c r="AE578" s="5"/>
      <c r="AF578" s="5"/>
      <c r="AG578" s="5"/>
      <c r="AH578" s="5">
        <v>5.2</v>
      </c>
      <c r="AI578" s="5"/>
      <c r="AJ578" s="5"/>
      <c r="AK578" s="5"/>
      <c r="AL578" s="5"/>
    </row>
    <row r="579" spans="1:38" ht="10.5" customHeight="1" x14ac:dyDescent="0.2">
      <c r="A579" s="37">
        <v>50</v>
      </c>
      <c r="B579" s="45" t="s">
        <v>450</v>
      </c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">
        <v>7.0270000000000001</v>
      </c>
      <c r="R579" s="4"/>
      <c r="S579" s="4"/>
      <c r="T579" s="4"/>
      <c r="U579" s="4"/>
      <c r="V579" s="4"/>
      <c r="W579" s="4"/>
      <c r="X579" s="5">
        <v>13.2</v>
      </c>
      <c r="Y579" s="5"/>
      <c r="Z579" s="5"/>
      <c r="AA579" s="5"/>
      <c r="AB579" s="5"/>
      <c r="AC579" s="4">
        <v>6.3810000000000002</v>
      </c>
      <c r="AD579" s="4"/>
      <c r="AE579" s="4"/>
      <c r="AF579" s="4"/>
      <c r="AG579" s="4"/>
      <c r="AH579" s="4">
        <v>6.819</v>
      </c>
      <c r="AI579" s="4"/>
      <c r="AJ579" s="4"/>
      <c r="AK579" s="4"/>
      <c r="AL579" s="4"/>
    </row>
    <row r="580" spans="1:38" ht="10.5" customHeight="1" x14ac:dyDescent="0.2">
      <c r="A580" s="37">
        <v>51</v>
      </c>
      <c r="B580" s="45" t="s">
        <v>368</v>
      </c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">
        <v>7.0030000000000001</v>
      </c>
      <c r="R580" s="4"/>
      <c r="S580" s="4"/>
      <c r="T580" s="4"/>
      <c r="U580" s="4"/>
      <c r="V580" s="4"/>
      <c r="W580" s="4"/>
      <c r="X580" s="3">
        <v>46.98</v>
      </c>
      <c r="Y580" s="3"/>
      <c r="Z580" s="3"/>
      <c r="AA580" s="3"/>
      <c r="AB580" s="3"/>
      <c r="AC580" s="4">
        <v>40.265000000000001</v>
      </c>
      <c r="AD580" s="4"/>
      <c r="AE580" s="4"/>
      <c r="AF580" s="4"/>
      <c r="AG580" s="4"/>
      <c r="AH580" s="4">
        <v>6.7149999999999999</v>
      </c>
      <c r="AI580" s="4"/>
      <c r="AJ580" s="4"/>
      <c r="AK580" s="4"/>
      <c r="AL580" s="4"/>
    </row>
    <row r="581" spans="1:38" ht="10.5" customHeight="1" x14ac:dyDescent="0.2">
      <c r="A581" s="37">
        <v>52</v>
      </c>
      <c r="B581" s="45" t="s">
        <v>369</v>
      </c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">
        <v>6.5629999999999997</v>
      </c>
      <c r="R581" s="4"/>
      <c r="S581" s="4"/>
      <c r="T581" s="4"/>
      <c r="U581" s="4"/>
      <c r="V581" s="4"/>
      <c r="W581" s="4"/>
      <c r="X581" s="5">
        <v>20.3</v>
      </c>
      <c r="Y581" s="5"/>
      <c r="Z581" s="5"/>
      <c r="AA581" s="5"/>
      <c r="AB581" s="5"/>
      <c r="AC581" s="3">
        <v>14.14</v>
      </c>
      <c r="AD581" s="3"/>
      <c r="AE581" s="3"/>
      <c r="AF581" s="3"/>
      <c r="AG581" s="3"/>
      <c r="AH581" s="3">
        <v>6.16</v>
      </c>
      <c r="AI581" s="3"/>
      <c r="AJ581" s="3"/>
      <c r="AK581" s="3"/>
      <c r="AL581" s="3"/>
    </row>
    <row r="582" spans="1:38" ht="10.5" customHeight="1" x14ac:dyDescent="0.2">
      <c r="A582" s="37">
        <v>53</v>
      </c>
      <c r="B582" s="45" t="s">
        <v>410</v>
      </c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">
        <v>6.0309999999999997</v>
      </c>
      <c r="R582" s="4"/>
      <c r="S582" s="4"/>
      <c r="T582" s="4"/>
      <c r="U582" s="4"/>
      <c r="V582" s="4"/>
      <c r="W582" s="4"/>
      <c r="X582" s="3">
        <v>59.49</v>
      </c>
      <c r="Y582" s="3"/>
      <c r="Z582" s="3"/>
      <c r="AA582" s="3"/>
      <c r="AB582" s="3"/>
      <c r="AC582" s="4">
        <v>55.957000000000001</v>
      </c>
      <c r="AD582" s="4"/>
      <c r="AE582" s="4"/>
      <c r="AF582" s="4"/>
      <c r="AG582" s="4"/>
      <c r="AH582" s="4">
        <v>3.5329999999999999</v>
      </c>
      <c r="AI582" s="4"/>
      <c r="AJ582" s="4"/>
      <c r="AK582" s="4"/>
      <c r="AL582" s="4"/>
    </row>
    <row r="583" spans="1:38" ht="21.75" customHeight="1" x14ac:dyDescent="0.2">
      <c r="A583" s="37">
        <v>54</v>
      </c>
      <c r="B583" s="45" t="s">
        <v>321</v>
      </c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">
        <v>5.9009999999999998</v>
      </c>
      <c r="R583" s="4"/>
      <c r="S583" s="4"/>
      <c r="T583" s="4"/>
      <c r="U583" s="4"/>
      <c r="V583" s="4"/>
      <c r="W583" s="4"/>
      <c r="X583" s="3">
        <v>19.32</v>
      </c>
      <c r="Y583" s="3"/>
      <c r="Z583" s="3"/>
      <c r="AA583" s="3"/>
      <c r="AB583" s="3"/>
      <c r="AC583" s="4">
        <v>13.587</v>
      </c>
      <c r="AD583" s="4"/>
      <c r="AE583" s="4"/>
      <c r="AF583" s="4"/>
      <c r="AG583" s="4"/>
      <c r="AH583" s="4">
        <v>5.7329999999999997</v>
      </c>
      <c r="AI583" s="4"/>
      <c r="AJ583" s="4"/>
      <c r="AK583" s="4"/>
      <c r="AL583" s="4"/>
    </row>
    <row r="584" spans="1:38" ht="10.5" customHeight="1" x14ac:dyDescent="0.2">
      <c r="A584" s="37">
        <v>55</v>
      </c>
      <c r="B584" s="45" t="s">
        <v>350</v>
      </c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">
        <v>5.6479999999999997</v>
      </c>
      <c r="R584" s="4"/>
      <c r="S584" s="4"/>
      <c r="T584" s="4"/>
      <c r="U584" s="4"/>
      <c r="V584" s="4"/>
      <c r="W584" s="4"/>
      <c r="X584" s="5">
        <v>25.9</v>
      </c>
      <c r="Y584" s="5"/>
      <c r="Z584" s="5"/>
      <c r="AA584" s="5"/>
      <c r="AB584" s="5"/>
      <c r="AC584" s="4">
        <v>22.373000000000001</v>
      </c>
      <c r="AD584" s="4"/>
      <c r="AE584" s="4"/>
      <c r="AF584" s="4"/>
      <c r="AG584" s="4"/>
      <c r="AH584" s="4">
        <v>3.5270000000000001</v>
      </c>
      <c r="AI584" s="4"/>
      <c r="AJ584" s="4"/>
      <c r="AK584" s="4"/>
      <c r="AL584" s="4"/>
    </row>
    <row r="585" spans="1:38" ht="21.75" customHeight="1" x14ac:dyDescent="0.2">
      <c r="A585" s="37">
        <v>56</v>
      </c>
      <c r="B585" s="45" t="s">
        <v>411</v>
      </c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">
        <v>5.5570000000000004</v>
      </c>
      <c r="R585" s="4"/>
      <c r="S585" s="4"/>
      <c r="T585" s="4"/>
      <c r="U585" s="4"/>
      <c r="V585" s="4"/>
      <c r="W585" s="4"/>
      <c r="X585" s="3">
        <v>27.33</v>
      </c>
      <c r="Y585" s="3"/>
      <c r="Z585" s="3"/>
      <c r="AA585" s="3"/>
      <c r="AB585" s="3"/>
      <c r="AC585" s="4">
        <v>23.933</v>
      </c>
      <c r="AD585" s="4"/>
      <c r="AE585" s="4"/>
      <c r="AF585" s="4"/>
      <c r="AG585" s="4"/>
      <c r="AH585" s="4">
        <v>3.3969999999999998</v>
      </c>
      <c r="AI585" s="4"/>
      <c r="AJ585" s="4"/>
      <c r="AK585" s="4"/>
      <c r="AL585" s="4"/>
    </row>
    <row r="586" spans="1:38" ht="10.5" customHeight="1" x14ac:dyDescent="0.2">
      <c r="A586" s="37">
        <v>57</v>
      </c>
      <c r="B586" s="45" t="s">
        <v>412</v>
      </c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">
        <v>5.516</v>
      </c>
      <c r="R586" s="4"/>
      <c r="S586" s="4"/>
      <c r="T586" s="4"/>
      <c r="U586" s="4"/>
      <c r="V586" s="4"/>
      <c r="W586" s="4"/>
      <c r="X586" s="3">
        <v>60.88</v>
      </c>
      <c r="Y586" s="3"/>
      <c r="Z586" s="3"/>
      <c r="AA586" s="3"/>
      <c r="AB586" s="3"/>
      <c r="AC586" s="3">
        <v>60.02</v>
      </c>
      <c r="AD586" s="3"/>
      <c r="AE586" s="3"/>
      <c r="AF586" s="3"/>
      <c r="AG586" s="3"/>
      <c r="AH586" s="3">
        <v>0.86</v>
      </c>
      <c r="AI586" s="3"/>
      <c r="AJ586" s="3"/>
      <c r="AK586" s="3"/>
      <c r="AL586" s="3"/>
    </row>
    <row r="587" spans="1:38" ht="21.75" customHeight="1" x14ac:dyDescent="0.2">
      <c r="A587" s="37">
        <v>58</v>
      </c>
      <c r="B587" s="45" t="s">
        <v>413</v>
      </c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3">
        <v>5.49</v>
      </c>
      <c r="R587" s="3"/>
      <c r="S587" s="3"/>
      <c r="T587" s="3"/>
      <c r="U587" s="3"/>
      <c r="V587" s="3"/>
      <c r="W587" s="3"/>
      <c r="X587" s="3">
        <v>15.08</v>
      </c>
      <c r="Y587" s="3"/>
      <c r="Z587" s="3"/>
      <c r="AA587" s="3"/>
      <c r="AB587" s="3"/>
      <c r="AC587" s="4">
        <v>9.6219999999999999</v>
      </c>
      <c r="AD587" s="4"/>
      <c r="AE587" s="4"/>
      <c r="AF587" s="4"/>
      <c r="AG587" s="4"/>
      <c r="AH587" s="4">
        <v>5.4580000000000002</v>
      </c>
      <c r="AI587" s="4"/>
      <c r="AJ587" s="4"/>
      <c r="AK587" s="4"/>
      <c r="AL587" s="4"/>
    </row>
    <row r="588" spans="1:38" ht="10.5" customHeight="1" x14ac:dyDescent="0.2">
      <c r="A588" s="37">
        <v>59</v>
      </c>
      <c r="B588" s="45" t="s">
        <v>451</v>
      </c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">
        <v>5.1859999999999999</v>
      </c>
      <c r="R588" s="4"/>
      <c r="S588" s="4"/>
      <c r="T588" s="4"/>
      <c r="U588" s="4"/>
      <c r="V588" s="4"/>
      <c r="W588" s="4"/>
      <c r="X588" s="5">
        <v>41.2</v>
      </c>
      <c r="Y588" s="5"/>
      <c r="Z588" s="5"/>
      <c r="AA588" s="5"/>
      <c r="AB588" s="5"/>
      <c r="AC588" s="3">
        <v>40.79</v>
      </c>
      <c r="AD588" s="3"/>
      <c r="AE588" s="3"/>
      <c r="AF588" s="3"/>
      <c r="AG588" s="3"/>
      <c r="AH588" s="3">
        <v>0.41</v>
      </c>
      <c r="AI588" s="3"/>
      <c r="AJ588" s="3"/>
      <c r="AK588" s="3"/>
      <c r="AL588" s="3"/>
    </row>
    <row r="589" spans="1:38" ht="10.5" customHeight="1" x14ac:dyDescent="0.2">
      <c r="A589" s="37">
        <v>60</v>
      </c>
      <c r="B589" s="45" t="s">
        <v>351</v>
      </c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3">
        <v>5.15</v>
      </c>
      <c r="R589" s="3"/>
      <c r="S589" s="3"/>
      <c r="T589" s="3"/>
      <c r="U589" s="3"/>
      <c r="V589" s="3"/>
      <c r="W589" s="3"/>
      <c r="X589" s="3">
        <v>17.149999999999999</v>
      </c>
      <c r="Y589" s="3"/>
      <c r="Z589" s="3"/>
      <c r="AA589" s="3"/>
      <c r="AB589" s="3"/>
      <c r="AC589" s="4">
        <v>12.831</v>
      </c>
      <c r="AD589" s="4"/>
      <c r="AE589" s="4"/>
      <c r="AF589" s="4"/>
      <c r="AG589" s="4"/>
      <c r="AH589" s="4">
        <v>4.319</v>
      </c>
      <c r="AI589" s="4"/>
      <c r="AJ589" s="4"/>
      <c r="AK589" s="4"/>
      <c r="AL589" s="4"/>
    </row>
    <row r="590" spans="1:38" ht="21.75" customHeight="1" x14ac:dyDescent="0.2">
      <c r="A590" s="37">
        <v>61</v>
      </c>
      <c r="B590" s="45" t="s">
        <v>414</v>
      </c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2">
        <v>5</v>
      </c>
      <c r="R590" s="2"/>
      <c r="S590" s="2"/>
      <c r="T590" s="2"/>
      <c r="U590" s="2"/>
      <c r="V590" s="2"/>
      <c r="W590" s="2"/>
      <c r="X590" s="2">
        <v>10</v>
      </c>
      <c r="Y590" s="2"/>
      <c r="Z590" s="2"/>
      <c r="AA590" s="2"/>
      <c r="AB590" s="2"/>
      <c r="AC590" s="4">
        <v>5.0410000000000004</v>
      </c>
      <c r="AD590" s="4"/>
      <c r="AE590" s="4"/>
      <c r="AF590" s="4"/>
      <c r="AG590" s="4"/>
      <c r="AH590" s="4">
        <v>4.9589999999999996</v>
      </c>
      <c r="AI590" s="4"/>
      <c r="AJ590" s="4"/>
      <c r="AK590" s="4"/>
      <c r="AL590" s="4"/>
    </row>
    <row r="591" spans="1:38" ht="21.75" customHeight="1" x14ac:dyDescent="0.2">
      <c r="A591" s="37">
        <v>62</v>
      </c>
      <c r="B591" s="45" t="s">
        <v>391</v>
      </c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">
        <v>4.6230000000000002</v>
      </c>
      <c r="R591" s="4"/>
      <c r="S591" s="4"/>
      <c r="T591" s="4"/>
      <c r="U591" s="4"/>
      <c r="V591" s="4"/>
      <c r="W591" s="4"/>
      <c r="X591" s="3">
        <v>82.66</v>
      </c>
      <c r="Y591" s="3"/>
      <c r="Z591" s="3"/>
      <c r="AA591" s="3"/>
      <c r="AB591" s="3"/>
      <c r="AC591" s="4">
        <v>79.040999999999997</v>
      </c>
      <c r="AD591" s="4"/>
      <c r="AE591" s="4"/>
      <c r="AF591" s="4"/>
      <c r="AG591" s="4"/>
      <c r="AH591" s="4">
        <v>3.6190000000000002</v>
      </c>
      <c r="AI591" s="4"/>
      <c r="AJ591" s="4"/>
      <c r="AK591" s="4"/>
      <c r="AL591" s="4"/>
    </row>
    <row r="592" spans="1:38" ht="10.5" customHeight="1" x14ac:dyDescent="0.2">
      <c r="A592" s="37">
        <v>63</v>
      </c>
      <c r="B592" s="45" t="s">
        <v>415</v>
      </c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">
        <v>4.577</v>
      </c>
      <c r="R592" s="4"/>
      <c r="S592" s="4"/>
      <c r="T592" s="4"/>
      <c r="U592" s="4"/>
      <c r="V592" s="4"/>
      <c r="W592" s="4"/>
      <c r="X592" s="3">
        <v>45.38</v>
      </c>
      <c r="Y592" s="3"/>
      <c r="Z592" s="3"/>
      <c r="AA592" s="3"/>
      <c r="AB592" s="3"/>
      <c r="AC592" s="4">
        <v>41.231000000000002</v>
      </c>
      <c r="AD592" s="4"/>
      <c r="AE592" s="4"/>
      <c r="AF592" s="4"/>
      <c r="AG592" s="4"/>
      <c r="AH592" s="4">
        <v>4.149</v>
      </c>
      <c r="AI592" s="4"/>
      <c r="AJ592" s="4"/>
      <c r="AK592" s="4"/>
      <c r="AL592" s="4"/>
    </row>
    <row r="593" spans="1:38" ht="21.75" customHeight="1" x14ac:dyDescent="0.2">
      <c r="A593" s="37">
        <v>64</v>
      </c>
      <c r="B593" s="45" t="s">
        <v>439</v>
      </c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">
        <v>4.4550000000000001</v>
      </c>
      <c r="R593" s="4"/>
      <c r="S593" s="4"/>
      <c r="T593" s="4"/>
      <c r="U593" s="4"/>
      <c r="V593" s="4"/>
      <c r="W593" s="4"/>
      <c r="X593" s="3">
        <v>31.63</v>
      </c>
      <c r="Y593" s="3"/>
      <c r="Z593" s="3"/>
      <c r="AA593" s="3"/>
      <c r="AB593" s="3"/>
      <c r="AC593" s="4">
        <v>28.103000000000002</v>
      </c>
      <c r="AD593" s="4"/>
      <c r="AE593" s="4"/>
      <c r="AF593" s="4"/>
      <c r="AG593" s="4"/>
      <c r="AH593" s="4">
        <v>3.5270000000000001</v>
      </c>
      <c r="AI593" s="4"/>
      <c r="AJ593" s="4"/>
      <c r="AK593" s="4"/>
      <c r="AL593" s="4"/>
    </row>
    <row r="594" spans="1:38" ht="10.5" customHeight="1" x14ac:dyDescent="0.2">
      <c r="A594" s="37">
        <v>65</v>
      </c>
      <c r="B594" s="45" t="s">
        <v>452</v>
      </c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3">
        <v>4.2699999999999996</v>
      </c>
      <c r="R594" s="3"/>
      <c r="S594" s="3"/>
      <c r="T594" s="3"/>
      <c r="U594" s="3"/>
      <c r="V594" s="3"/>
      <c r="W594" s="3"/>
      <c r="X594" s="3">
        <v>20.76</v>
      </c>
      <c r="Y594" s="3"/>
      <c r="Z594" s="3"/>
      <c r="AA594" s="3"/>
      <c r="AB594" s="3"/>
      <c r="AC594" s="4">
        <v>16.512</v>
      </c>
      <c r="AD594" s="4"/>
      <c r="AE594" s="4"/>
      <c r="AF594" s="4"/>
      <c r="AG594" s="4"/>
      <c r="AH594" s="4">
        <v>4.2480000000000002</v>
      </c>
      <c r="AI594" s="4"/>
      <c r="AJ594" s="4"/>
      <c r="AK594" s="4"/>
      <c r="AL594" s="4"/>
    </row>
    <row r="595" spans="1:38" ht="21.75" customHeight="1" x14ac:dyDescent="0.2">
      <c r="A595" s="37">
        <v>66</v>
      </c>
      <c r="B595" s="45" t="s">
        <v>322</v>
      </c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3">
        <v>4.18</v>
      </c>
      <c r="R595" s="3"/>
      <c r="S595" s="3"/>
      <c r="T595" s="3"/>
      <c r="U595" s="3"/>
      <c r="V595" s="3"/>
      <c r="W595" s="3"/>
      <c r="X595" s="5">
        <v>30.4</v>
      </c>
      <c r="Y595" s="5"/>
      <c r="Z595" s="5"/>
      <c r="AA595" s="5"/>
      <c r="AB595" s="5"/>
      <c r="AC595" s="4">
        <v>27.731000000000002</v>
      </c>
      <c r="AD595" s="4"/>
      <c r="AE595" s="4"/>
      <c r="AF595" s="4"/>
      <c r="AG595" s="4"/>
      <c r="AH595" s="4">
        <v>2.669</v>
      </c>
      <c r="AI595" s="4"/>
      <c r="AJ595" s="4"/>
      <c r="AK595" s="4"/>
      <c r="AL595" s="4"/>
    </row>
    <row r="596" spans="1:38" ht="21.75" customHeight="1" x14ac:dyDescent="0.2">
      <c r="A596" s="37">
        <v>67</v>
      </c>
      <c r="B596" s="45" t="s">
        <v>370</v>
      </c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3">
        <v>4.1100000000000003</v>
      </c>
      <c r="R596" s="3"/>
      <c r="S596" s="3"/>
      <c r="T596" s="3"/>
      <c r="U596" s="3"/>
      <c r="V596" s="3"/>
      <c r="W596" s="3"/>
      <c r="X596" s="3">
        <v>21.76</v>
      </c>
      <c r="Y596" s="3"/>
      <c r="Z596" s="3"/>
      <c r="AA596" s="3"/>
      <c r="AB596" s="3"/>
      <c r="AC596" s="4">
        <v>20.440999999999999</v>
      </c>
      <c r="AD596" s="4"/>
      <c r="AE596" s="4"/>
      <c r="AF596" s="4"/>
      <c r="AG596" s="4"/>
      <c r="AH596" s="4">
        <v>1.319</v>
      </c>
      <c r="AI596" s="4"/>
      <c r="AJ596" s="4"/>
      <c r="AK596" s="4"/>
      <c r="AL596" s="4"/>
    </row>
    <row r="597" spans="1:38" ht="21.75" customHeight="1" x14ac:dyDescent="0.2">
      <c r="A597" s="37">
        <v>68</v>
      </c>
      <c r="B597" s="45" t="s">
        <v>453</v>
      </c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5">
        <v>3.7</v>
      </c>
      <c r="R597" s="5"/>
      <c r="S597" s="5"/>
      <c r="T597" s="5"/>
      <c r="U597" s="5"/>
      <c r="V597" s="5"/>
      <c r="W597" s="5"/>
      <c r="X597" s="5">
        <v>45.9</v>
      </c>
      <c r="Y597" s="5"/>
      <c r="Z597" s="5"/>
      <c r="AA597" s="5"/>
      <c r="AB597" s="5"/>
      <c r="AC597" s="5">
        <v>42.2</v>
      </c>
      <c r="AD597" s="5"/>
      <c r="AE597" s="5"/>
      <c r="AF597" s="5"/>
      <c r="AG597" s="5"/>
      <c r="AH597" s="5">
        <v>3.7</v>
      </c>
      <c r="AI597" s="5"/>
      <c r="AJ597" s="5"/>
      <c r="AK597" s="5"/>
      <c r="AL597" s="5"/>
    </row>
    <row r="598" spans="1:38" ht="21.75" customHeight="1" x14ac:dyDescent="0.2">
      <c r="A598" s="37">
        <v>69</v>
      </c>
      <c r="B598" s="45" t="s">
        <v>454</v>
      </c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5">
        <v>3.7</v>
      </c>
      <c r="R598" s="5"/>
      <c r="S598" s="5"/>
      <c r="T598" s="5"/>
      <c r="U598" s="5"/>
      <c r="V598" s="5"/>
      <c r="W598" s="5"/>
      <c r="X598" s="5">
        <v>31.3</v>
      </c>
      <c r="Y598" s="5"/>
      <c r="Z598" s="5"/>
      <c r="AA598" s="5"/>
      <c r="AB598" s="5"/>
      <c r="AC598" s="5">
        <v>27.6</v>
      </c>
      <c r="AD598" s="5"/>
      <c r="AE598" s="5"/>
      <c r="AF598" s="5"/>
      <c r="AG598" s="5"/>
      <c r="AH598" s="5">
        <v>3.7</v>
      </c>
      <c r="AI598" s="5"/>
      <c r="AJ598" s="5"/>
      <c r="AK598" s="5"/>
      <c r="AL598" s="5"/>
    </row>
    <row r="599" spans="1:38" ht="10.5" customHeight="1" x14ac:dyDescent="0.2">
      <c r="A599" s="37">
        <v>70</v>
      </c>
      <c r="B599" s="45" t="s">
        <v>431</v>
      </c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">
        <v>3.6680000000000001</v>
      </c>
      <c r="R599" s="4"/>
      <c r="S599" s="4"/>
      <c r="T599" s="4"/>
      <c r="U599" s="4"/>
      <c r="V599" s="4"/>
      <c r="W599" s="4"/>
      <c r="X599" s="5">
        <v>51.8</v>
      </c>
      <c r="Y599" s="5"/>
      <c r="Z599" s="5"/>
      <c r="AA599" s="5"/>
      <c r="AB599" s="5"/>
      <c r="AC599" s="4">
        <v>49.337000000000003</v>
      </c>
      <c r="AD599" s="4"/>
      <c r="AE599" s="4"/>
      <c r="AF599" s="4"/>
      <c r="AG599" s="4"/>
      <c r="AH599" s="4">
        <v>2.4630000000000001</v>
      </c>
      <c r="AI599" s="4"/>
      <c r="AJ599" s="4"/>
      <c r="AK599" s="4"/>
      <c r="AL599" s="4"/>
    </row>
    <row r="600" spans="1:38" ht="21.75" customHeight="1" x14ac:dyDescent="0.2">
      <c r="A600" s="37">
        <v>71</v>
      </c>
      <c r="B600" s="45" t="s">
        <v>371</v>
      </c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">
        <v>3.5110000000000001</v>
      </c>
      <c r="R600" s="4"/>
      <c r="S600" s="4"/>
      <c r="T600" s="4"/>
      <c r="U600" s="4"/>
      <c r="V600" s="4"/>
      <c r="W600" s="4"/>
      <c r="X600" s="3">
        <v>52.35</v>
      </c>
      <c r="Y600" s="3"/>
      <c r="Z600" s="3"/>
      <c r="AA600" s="3"/>
      <c r="AB600" s="3"/>
      <c r="AC600" s="4">
        <v>52.506999999999998</v>
      </c>
      <c r="AD600" s="4"/>
      <c r="AE600" s="4"/>
      <c r="AF600" s="4"/>
      <c r="AG600" s="4"/>
      <c r="AH600" s="4">
        <v>-0.157</v>
      </c>
      <c r="AI600" s="4"/>
      <c r="AJ600" s="4"/>
      <c r="AK600" s="4"/>
      <c r="AL600" s="4"/>
    </row>
    <row r="601" spans="1:38" ht="10.5" customHeight="1" x14ac:dyDescent="0.2">
      <c r="A601" s="37">
        <v>72</v>
      </c>
      <c r="B601" s="45" t="s">
        <v>323</v>
      </c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">
        <v>3.4279999999999999</v>
      </c>
      <c r="R601" s="4"/>
      <c r="S601" s="4"/>
      <c r="T601" s="4"/>
      <c r="U601" s="4"/>
      <c r="V601" s="4"/>
      <c r="W601" s="4"/>
      <c r="X601" s="5">
        <v>40.299999999999997</v>
      </c>
      <c r="Y601" s="5"/>
      <c r="Z601" s="5"/>
      <c r="AA601" s="5"/>
      <c r="AB601" s="5"/>
      <c r="AC601" s="4">
        <v>39.578000000000003</v>
      </c>
      <c r="AD601" s="4"/>
      <c r="AE601" s="4"/>
      <c r="AF601" s="4"/>
      <c r="AG601" s="4"/>
      <c r="AH601" s="4">
        <v>0.72199999999999998</v>
      </c>
      <c r="AI601" s="4"/>
      <c r="AJ601" s="4"/>
      <c r="AK601" s="4"/>
      <c r="AL601" s="4"/>
    </row>
    <row r="602" spans="1:38" ht="10.5" customHeight="1" x14ac:dyDescent="0.2">
      <c r="A602" s="37">
        <v>73</v>
      </c>
      <c r="B602" s="45" t="s">
        <v>416</v>
      </c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3">
        <v>3.42</v>
      </c>
      <c r="R602" s="3"/>
      <c r="S602" s="3"/>
      <c r="T602" s="3"/>
      <c r="U602" s="3"/>
      <c r="V602" s="3"/>
      <c r="W602" s="3"/>
      <c r="X602" s="3">
        <v>12.84</v>
      </c>
      <c r="Y602" s="3"/>
      <c r="Z602" s="3"/>
      <c r="AA602" s="3"/>
      <c r="AB602" s="3"/>
      <c r="AC602" s="3">
        <v>9.42</v>
      </c>
      <c r="AD602" s="3"/>
      <c r="AE602" s="3"/>
      <c r="AF602" s="3"/>
      <c r="AG602" s="3"/>
      <c r="AH602" s="3">
        <v>3.42</v>
      </c>
      <c r="AI602" s="3"/>
      <c r="AJ602" s="3"/>
      <c r="AK602" s="3"/>
      <c r="AL602" s="3"/>
    </row>
    <row r="603" spans="1:38" ht="21.75" customHeight="1" x14ac:dyDescent="0.2">
      <c r="A603" s="37">
        <v>74</v>
      </c>
      <c r="B603" s="45" t="s">
        <v>352</v>
      </c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2">
        <v>3</v>
      </c>
      <c r="R603" s="2"/>
      <c r="S603" s="2"/>
      <c r="T603" s="2"/>
      <c r="U603" s="2"/>
      <c r="V603" s="2"/>
      <c r="W603" s="2"/>
      <c r="X603" s="3">
        <v>11.48</v>
      </c>
      <c r="Y603" s="3"/>
      <c r="Z603" s="3"/>
      <c r="AA603" s="3"/>
      <c r="AB603" s="3"/>
      <c r="AC603" s="4">
        <v>8.7509999999999994</v>
      </c>
      <c r="AD603" s="4"/>
      <c r="AE603" s="4"/>
      <c r="AF603" s="4"/>
      <c r="AG603" s="4"/>
      <c r="AH603" s="4">
        <v>2.7290000000000001</v>
      </c>
      <c r="AI603" s="4"/>
      <c r="AJ603" s="4"/>
      <c r="AK603" s="4"/>
      <c r="AL603" s="4"/>
    </row>
    <row r="604" spans="1:38" ht="10.5" customHeight="1" x14ac:dyDescent="0.2">
      <c r="A604" s="37">
        <v>75</v>
      </c>
      <c r="B604" s="45" t="s">
        <v>455</v>
      </c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">
        <v>2.952</v>
      </c>
      <c r="R604" s="4"/>
      <c r="S604" s="4"/>
      <c r="T604" s="4"/>
      <c r="U604" s="4"/>
      <c r="V604" s="4"/>
      <c r="W604" s="4"/>
      <c r="X604" s="2">
        <v>11</v>
      </c>
      <c r="Y604" s="2"/>
      <c r="Z604" s="2"/>
      <c r="AA604" s="2"/>
      <c r="AB604" s="2"/>
      <c r="AC604" s="4">
        <v>8.3740000000000006</v>
      </c>
      <c r="AD604" s="4"/>
      <c r="AE604" s="4"/>
      <c r="AF604" s="4"/>
      <c r="AG604" s="4"/>
      <c r="AH604" s="4">
        <v>2.6259999999999999</v>
      </c>
      <c r="AI604" s="4"/>
      <c r="AJ604" s="4"/>
      <c r="AK604" s="4"/>
      <c r="AL604" s="4"/>
    </row>
    <row r="605" spans="1:38" ht="21.75" customHeight="1" x14ac:dyDescent="0.2">
      <c r="A605" s="37">
        <v>76</v>
      </c>
      <c r="B605" s="45" t="s">
        <v>456</v>
      </c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">
        <v>2.903</v>
      </c>
      <c r="R605" s="4"/>
      <c r="S605" s="4"/>
      <c r="T605" s="4"/>
      <c r="U605" s="4"/>
      <c r="V605" s="4"/>
      <c r="W605" s="4"/>
      <c r="X605" s="3">
        <v>14.56</v>
      </c>
      <c r="Y605" s="3"/>
      <c r="Z605" s="3"/>
      <c r="AA605" s="3"/>
      <c r="AB605" s="3"/>
      <c r="AC605" s="4">
        <v>11.686</v>
      </c>
      <c r="AD605" s="4"/>
      <c r="AE605" s="4"/>
      <c r="AF605" s="4"/>
      <c r="AG605" s="4"/>
      <c r="AH605" s="4">
        <v>2.8740000000000001</v>
      </c>
      <c r="AI605" s="4"/>
      <c r="AJ605" s="4"/>
      <c r="AK605" s="4"/>
      <c r="AL605" s="4"/>
    </row>
    <row r="606" spans="1:38" ht="10.5" customHeight="1" x14ac:dyDescent="0.2">
      <c r="A606" s="37">
        <v>77</v>
      </c>
      <c r="B606" s="45" t="s">
        <v>457</v>
      </c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">
        <v>2.798</v>
      </c>
      <c r="R606" s="4"/>
      <c r="S606" s="4"/>
      <c r="T606" s="4"/>
      <c r="U606" s="4"/>
      <c r="V606" s="4"/>
      <c r="W606" s="4"/>
      <c r="X606" s="3">
        <v>14.96</v>
      </c>
      <c r="Y606" s="3"/>
      <c r="Z606" s="3"/>
      <c r="AA606" s="3"/>
      <c r="AB606" s="3"/>
      <c r="AC606" s="4">
        <v>12.321999999999999</v>
      </c>
      <c r="AD606" s="4"/>
      <c r="AE606" s="4"/>
      <c r="AF606" s="4"/>
      <c r="AG606" s="4"/>
      <c r="AH606" s="4">
        <v>2.6379999999999999</v>
      </c>
      <c r="AI606" s="4"/>
      <c r="AJ606" s="4"/>
      <c r="AK606" s="4"/>
      <c r="AL606" s="4"/>
    </row>
    <row r="607" spans="1:38" ht="21.75" customHeight="1" x14ac:dyDescent="0.2">
      <c r="A607" s="37">
        <v>78</v>
      </c>
      <c r="B607" s="45" t="s">
        <v>324</v>
      </c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">
        <v>2.6440000000000001</v>
      </c>
      <c r="R607" s="4"/>
      <c r="S607" s="4"/>
      <c r="T607" s="4"/>
      <c r="U607" s="4"/>
      <c r="V607" s="4"/>
      <c r="W607" s="4"/>
      <c r="X607" s="3">
        <v>13.16</v>
      </c>
      <c r="Y607" s="3"/>
      <c r="Z607" s="3"/>
      <c r="AA607" s="3"/>
      <c r="AB607" s="3"/>
      <c r="AC607" s="4">
        <v>10.617000000000001</v>
      </c>
      <c r="AD607" s="4"/>
      <c r="AE607" s="4"/>
      <c r="AF607" s="4"/>
      <c r="AG607" s="4"/>
      <c r="AH607" s="4">
        <v>2.5430000000000001</v>
      </c>
      <c r="AI607" s="4"/>
      <c r="AJ607" s="4"/>
      <c r="AK607" s="4"/>
      <c r="AL607" s="4"/>
    </row>
    <row r="608" spans="1:38" ht="10.5" customHeight="1" x14ac:dyDescent="0.2">
      <c r="A608" s="37">
        <v>79</v>
      </c>
      <c r="B608" s="45" t="s">
        <v>417</v>
      </c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">
        <v>2.5459999999999998</v>
      </c>
      <c r="R608" s="4"/>
      <c r="S608" s="4"/>
      <c r="T608" s="4"/>
      <c r="U608" s="4"/>
      <c r="V608" s="4"/>
      <c r="W608" s="4"/>
      <c r="X608" s="5">
        <v>6.6</v>
      </c>
      <c r="Y608" s="5"/>
      <c r="Z608" s="5"/>
      <c r="AA608" s="5"/>
      <c r="AB608" s="5"/>
      <c r="AC608" s="4">
        <v>4.1050000000000004</v>
      </c>
      <c r="AD608" s="4"/>
      <c r="AE608" s="4"/>
      <c r="AF608" s="4"/>
      <c r="AG608" s="4"/>
      <c r="AH608" s="4">
        <v>2.4950000000000001</v>
      </c>
      <c r="AI608" s="4"/>
      <c r="AJ608" s="4"/>
      <c r="AK608" s="4"/>
      <c r="AL608" s="4"/>
    </row>
    <row r="609" spans="1:38" ht="10.5" customHeight="1" x14ac:dyDescent="0.2">
      <c r="A609" s="37">
        <v>80</v>
      </c>
      <c r="B609" s="45" t="s">
        <v>418</v>
      </c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3">
        <v>2.23</v>
      </c>
      <c r="R609" s="3"/>
      <c r="S609" s="3"/>
      <c r="T609" s="3"/>
      <c r="U609" s="3"/>
      <c r="V609" s="3"/>
      <c r="W609" s="3"/>
      <c r="X609" s="5">
        <v>26.7</v>
      </c>
      <c r="Y609" s="5"/>
      <c r="Z609" s="5"/>
      <c r="AA609" s="5"/>
      <c r="AB609" s="5"/>
      <c r="AC609" s="4">
        <v>25.056000000000001</v>
      </c>
      <c r="AD609" s="4"/>
      <c r="AE609" s="4"/>
      <c r="AF609" s="4"/>
      <c r="AG609" s="4"/>
      <c r="AH609" s="4">
        <v>1.6439999999999999</v>
      </c>
      <c r="AI609" s="4"/>
      <c r="AJ609" s="4"/>
      <c r="AK609" s="4"/>
      <c r="AL609" s="4"/>
    </row>
    <row r="610" spans="1:38" ht="10.5" customHeight="1" x14ac:dyDescent="0.2">
      <c r="A610" s="37">
        <v>81</v>
      </c>
      <c r="B610" s="45" t="s">
        <v>458</v>
      </c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">
        <v>2.1360000000000001</v>
      </c>
      <c r="R610" s="4"/>
      <c r="S610" s="4"/>
      <c r="T610" s="4"/>
      <c r="U610" s="4"/>
      <c r="V610" s="4"/>
      <c r="W610" s="4"/>
      <c r="X610" s="5">
        <v>22.3</v>
      </c>
      <c r="Y610" s="5"/>
      <c r="Z610" s="5"/>
      <c r="AA610" s="5"/>
      <c r="AB610" s="5"/>
      <c r="AC610" s="4">
        <v>20.395</v>
      </c>
      <c r="AD610" s="4"/>
      <c r="AE610" s="4"/>
      <c r="AF610" s="4"/>
      <c r="AG610" s="4"/>
      <c r="AH610" s="4">
        <v>1.905</v>
      </c>
      <c r="AI610" s="4"/>
      <c r="AJ610" s="4"/>
      <c r="AK610" s="4"/>
      <c r="AL610" s="4"/>
    </row>
    <row r="611" spans="1:38" ht="10.5" customHeight="1" x14ac:dyDescent="0.2">
      <c r="A611" s="37">
        <v>82</v>
      </c>
      <c r="B611" s="45" t="s">
        <v>353</v>
      </c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">
        <v>2.133</v>
      </c>
      <c r="R611" s="4"/>
      <c r="S611" s="4"/>
      <c r="T611" s="4"/>
      <c r="U611" s="4"/>
      <c r="V611" s="4"/>
      <c r="W611" s="4"/>
      <c r="X611" s="5">
        <v>63.3</v>
      </c>
      <c r="Y611" s="5"/>
      <c r="Z611" s="5"/>
      <c r="AA611" s="5"/>
      <c r="AB611" s="5"/>
      <c r="AC611" s="4">
        <v>61.908000000000001</v>
      </c>
      <c r="AD611" s="4"/>
      <c r="AE611" s="4"/>
      <c r="AF611" s="4"/>
      <c r="AG611" s="4"/>
      <c r="AH611" s="4">
        <v>1.3919999999999999</v>
      </c>
      <c r="AI611" s="4"/>
      <c r="AJ611" s="4"/>
      <c r="AK611" s="4"/>
      <c r="AL611" s="4"/>
    </row>
    <row r="612" spans="1:38" ht="21.75" customHeight="1" x14ac:dyDescent="0.2">
      <c r="A612" s="37">
        <v>83</v>
      </c>
      <c r="B612" s="45" t="s">
        <v>354</v>
      </c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">
        <v>2.117</v>
      </c>
      <c r="R612" s="4"/>
      <c r="S612" s="4"/>
      <c r="T612" s="4"/>
      <c r="U612" s="4"/>
      <c r="V612" s="4"/>
      <c r="W612" s="4"/>
      <c r="X612" s="3">
        <v>35.71</v>
      </c>
      <c r="Y612" s="3"/>
      <c r="Z612" s="3"/>
      <c r="AA612" s="3"/>
      <c r="AB612" s="3"/>
      <c r="AC612" s="4">
        <v>37.628</v>
      </c>
      <c r="AD612" s="4"/>
      <c r="AE612" s="4"/>
      <c r="AF612" s="4"/>
      <c r="AG612" s="4"/>
      <c r="AH612" s="4">
        <v>-1.9179999999999999</v>
      </c>
      <c r="AI612" s="4"/>
      <c r="AJ612" s="4"/>
      <c r="AK612" s="4"/>
      <c r="AL612" s="4"/>
    </row>
    <row r="613" spans="1:38" ht="21.75" customHeight="1" x14ac:dyDescent="0.2">
      <c r="A613" s="37">
        <v>84</v>
      </c>
      <c r="B613" s="45" t="s">
        <v>459</v>
      </c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">
        <v>2.0680000000000001</v>
      </c>
      <c r="R613" s="4"/>
      <c r="S613" s="4"/>
      <c r="T613" s="4"/>
      <c r="U613" s="4"/>
      <c r="V613" s="4"/>
      <c r="W613" s="4"/>
      <c r="X613" s="5">
        <v>19.899999999999999</v>
      </c>
      <c r="Y613" s="5"/>
      <c r="Z613" s="5"/>
      <c r="AA613" s="5"/>
      <c r="AB613" s="5"/>
      <c r="AC613" s="4">
        <v>18.068999999999999</v>
      </c>
      <c r="AD613" s="4"/>
      <c r="AE613" s="4"/>
      <c r="AF613" s="4"/>
      <c r="AG613" s="4"/>
      <c r="AH613" s="4">
        <v>1.831</v>
      </c>
      <c r="AI613" s="4"/>
      <c r="AJ613" s="4"/>
      <c r="AK613" s="4"/>
      <c r="AL613" s="4"/>
    </row>
    <row r="614" spans="1:38" ht="21.75" customHeight="1" x14ac:dyDescent="0.2">
      <c r="A614" s="37">
        <v>85</v>
      </c>
      <c r="B614" s="45" t="s">
        <v>419</v>
      </c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">
        <v>1.9810000000000001</v>
      </c>
      <c r="R614" s="4"/>
      <c r="S614" s="4"/>
      <c r="T614" s="4"/>
      <c r="U614" s="4"/>
      <c r="V614" s="4"/>
      <c r="W614" s="4"/>
      <c r="X614" s="3">
        <v>21.46</v>
      </c>
      <c r="Y614" s="3"/>
      <c r="Z614" s="3"/>
      <c r="AA614" s="3"/>
      <c r="AB614" s="3"/>
      <c r="AC614" s="4">
        <v>20.713999999999999</v>
      </c>
      <c r="AD614" s="4"/>
      <c r="AE614" s="4"/>
      <c r="AF614" s="4"/>
      <c r="AG614" s="4"/>
      <c r="AH614" s="4">
        <v>0.746</v>
      </c>
      <c r="AI614" s="4"/>
      <c r="AJ614" s="4"/>
      <c r="AK614" s="4"/>
      <c r="AL614" s="4"/>
    </row>
    <row r="615" spans="1:38" ht="21.75" customHeight="1" x14ac:dyDescent="0.2">
      <c r="A615" s="37">
        <v>86</v>
      </c>
      <c r="B615" s="45" t="s">
        <v>325</v>
      </c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">
        <v>1.9510000000000001</v>
      </c>
      <c r="R615" s="4"/>
      <c r="S615" s="4"/>
      <c r="T615" s="4"/>
      <c r="U615" s="4"/>
      <c r="V615" s="4"/>
      <c r="W615" s="4"/>
      <c r="X615" s="3">
        <v>31.76</v>
      </c>
      <c r="Y615" s="3"/>
      <c r="Z615" s="3"/>
      <c r="AA615" s="3"/>
      <c r="AB615" s="3"/>
      <c r="AC615" s="4">
        <v>31.202000000000002</v>
      </c>
      <c r="AD615" s="4"/>
      <c r="AE615" s="4"/>
      <c r="AF615" s="4"/>
      <c r="AG615" s="4"/>
      <c r="AH615" s="4">
        <v>0.55800000000000005</v>
      </c>
      <c r="AI615" s="4"/>
      <c r="AJ615" s="4"/>
      <c r="AK615" s="4"/>
      <c r="AL615" s="4"/>
    </row>
    <row r="616" spans="1:38" ht="10.5" customHeight="1" x14ac:dyDescent="0.2">
      <c r="A616" s="37">
        <v>87</v>
      </c>
      <c r="B616" s="45" t="s">
        <v>440</v>
      </c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">
        <v>1.915</v>
      </c>
      <c r="R616" s="4"/>
      <c r="S616" s="4"/>
      <c r="T616" s="4"/>
      <c r="U616" s="4"/>
      <c r="V616" s="4"/>
      <c r="W616" s="4"/>
      <c r="X616" s="3">
        <v>79.83</v>
      </c>
      <c r="Y616" s="3"/>
      <c r="Z616" s="3"/>
      <c r="AA616" s="3"/>
      <c r="AB616" s="3"/>
      <c r="AC616" s="3">
        <v>86.83</v>
      </c>
      <c r="AD616" s="3"/>
      <c r="AE616" s="3"/>
      <c r="AF616" s="3"/>
      <c r="AG616" s="3"/>
      <c r="AH616" s="2">
        <v>-7</v>
      </c>
      <c r="AI616" s="2"/>
      <c r="AJ616" s="2"/>
      <c r="AK616" s="2"/>
      <c r="AL616" s="2"/>
    </row>
    <row r="617" spans="1:38" ht="10.5" customHeight="1" x14ac:dyDescent="0.2">
      <c r="A617" s="37">
        <v>88</v>
      </c>
      <c r="B617" s="45" t="s">
        <v>460</v>
      </c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5">
        <v>1.8</v>
      </c>
      <c r="R617" s="5"/>
      <c r="S617" s="5"/>
      <c r="T617" s="5"/>
      <c r="U617" s="5"/>
      <c r="V617" s="5"/>
      <c r="W617" s="5"/>
      <c r="X617" s="5">
        <v>8.3000000000000007</v>
      </c>
      <c r="Y617" s="5"/>
      <c r="Z617" s="5"/>
      <c r="AA617" s="5"/>
      <c r="AB617" s="5"/>
      <c r="AC617" s="5">
        <v>6.5</v>
      </c>
      <c r="AD617" s="5"/>
      <c r="AE617" s="5"/>
      <c r="AF617" s="5"/>
      <c r="AG617" s="5"/>
      <c r="AH617" s="5">
        <v>1.8</v>
      </c>
      <c r="AI617" s="5"/>
      <c r="AJ617" s="5"/>
      <c r="AK617" s="5"/>
      <c r="AL617" s="5"/>
    </row>
    <row r="618" spans="1:38" ht="21.75" customHeight="1" x14ac:dyDescent="0.2">
      <c r="A618" s="37">
        <v>89</v>
      </c>
      <c r="B618" s="45" t="s">
        <v>326</v>
      </c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">
        <v>1.7709999999999999</v>
      </c>
      <c r="R618" s="4"/>
      <c r="S618" s="4"/>
      <c r="T618" s="4"/>
      <c r="U618" s="4"/>
      <c r="V618" s="4"/>
      <c r="W618" s="4"/>
      <c r="X618" s="3">
        <v>45.69</v>
      </c>
      <c r="Y618" s="3"/>
      <c r="Z618" s="3"/>
      <c r="AA618" s="3"/>
      <c r="AB618" s="3"/>
      <c r="AC618" s="4">
        <v>44.372999999999998</v>
      </c>
      <c r="AD618" s="4"/>
      <c r="AE618" s="4"/>
      <c r="AF618" s="4"/>
      <c r="AG618" s="4"/>
      <c r="AH618" s="4">
        <v>1.3169999999999999</v>
      </c>
      <c r="AI618" s="4"/>
      <c r="AJ618" s="4"/>
      <c r="AK618" s="4"/>
      <c r="AL618" s="4"/>
    </row>
    <row r="619" spans="1:38" ht="10.5" customHeight="1" x14ac:dyDescent="0.2">
      <c r="A619" s="37">
        <v>90</v>
      </c>
      <c r="B619" s="45" t="s">
        <v>327</v>
      </c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">
        <v>1.748</v>
      </c>
      <c r="R619" s="4"/>
      <c r="S619" s="4"/>
      <c r="T619" s="4"/>
      <c r="U619" s="4"/>
      <c r="V619" s="4"/>
      <c r="W619" s="4"/>
      <c r="X619" s="3">
        <v>56.46</v>
      </c>
      <c r="Y619" s="3"/>
      <c r="Z619" s="3"/>
      <c r="AA619" s="3"/>
      <c r="AB619" s="3"/>
      <c r="AC619" s="4">
        <v>56.430999999999997</v>
      </c>
      <c r="AD619" s="4"/>
      <c r="AE619" s="4"/>
      <c r="AF619" s="4"/>
      <c r="AG619" s="4"/>
      <c r="AH619" s="4">
        <v>2.9000000000000001E-2</v>
      </c>
      <c r="AI619" s="4"/>
      <c r="AJ619" s="4"/>
      <c r="AK619" s="4"/>
      <c r="AL619" s="4"/>
    </row>
    <row r="620" spans="1:38" ht="21.75" customHeight="1" x14ac:dyDescent="0.2">
      <c r="A620" s="37">
        <v>91</v>
      </c>
      <c r="B620" s="45" t="s">
        <v>312</v>
      </c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">
        <v>1.6659999999999999</v>
      </c>
      <c r="R620" s="4"/>
      <c r="S620" s="4"/>
      <c r="T620" s="4"/>
      <c r="U620" s="4"/>
      <c r="V620" s="4"/>
      <c r="W620" s="4"/>
      <c r="X620" s="2">
        <v>20</v>
      </c>
      <c r="Y620" s="2"/>
      <c r="Z620" s="2"/>
      <c r="AA620" s="2"/>
      <c r="AB620" s="2"/>
      <c r="AC620" s="4">
        <v>18.948</v>
      </c>
      <c r="AD620" s="4"/>
      <c r="AE620" s="4"/>
      <c r="AF620" s="4"/>
      <c r="AG620" s="4"/>
      <c r="AH620" s="4">
        <v>1.052</v>
      </c>
      <c r="AI620" s="4"/>
      <c r="AJ620" s="4"/>
      <c r="AK620" s="4"/>
      <c r="AL620" s="4"/>
    </row>
    <row r="621" spans="1:38" ht="10.5" customHeight="1" x14ac:dyDescent="0.2">
      <c r="A621" s="37">
        <v>92</v>
      </c>
      <c r="B621" s="45" t="s">
        <v>328</v>
      </c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">
        <v>1.663</v>
      </c>
      <c r="R621" s="4"/>
      <c r="S621" s="4"/>
      <c r="T621" s="4"/>
      <c r="U621" s="4"/>
      <c r="V621" s="4"/>
      <c r="W621" s="4"/>
      <c r="X621" s="5">
        <v>18.5</v>
      </c>
      <c r="Y621" s="5"/>
      <c r="Z621" s="5"/>
      <c r="AA621" s="5"/>
      <c r="AB621" s="5"/>
      <c r="AC621" s="4">
        <v>17.111000000000001</v>
      </c>
      <c r="AD621" s="4"/>
      <c r="AE621" s="4"/>
      <c r="AF621" s="4"/>
      <c r="AG621" s="4"/>
      <c r="AH621" s="4">
        <v>1.389</v>
      </c>
      <c r="AI621" s="4"/>
      <c r="AJ621" s="4"/>
      <c r="AK621" s="4"/>
      <c r="AL621" s="4"/>
    </row>
    <row r="622" spans="1:38" ht="21.75" customHeight="1" x14ac:dyDescent="0.2">
      <c r="A622" s="37">
        <v>93</v>
      </c>
      <c r="B622" s="45" t="s">
        <v>355</v>
      </c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">
        <v>1.613</v>
      </c>
      <c r="R622" s="4"/>
      <c r="S622" s="4"/>
      <c r="T622" s="4"/>
      <c r="U622" s="4"/>
      <c r="V622" s="4"/>
      <c r="W622" s="4"/>
      <c r="X622" s="3">
        <v>51.03</v>
      </c>
      <c r="Y622" s="3"/>
      <c r="Z622" s="3"/>
      <c r="AA622" s="3"/>
      <c r="AB622" s="3"/>
      <c r="AC622" s="4">
        <v>50.408000000000001</v>
      </c>
      <c r="AD622" s="4"/>
      <c r="AE622" s="4"/>
      <c r="AF622" s="4"/>
      <c r="AG622" s="4"/>
      <c r="AH622" s="4">
        <v>0.622</v>
      </c>
      <c r="AI622" s="4"/>
      <c r="AJ622" s="4"/>
      <c r="AK622" s="4"/>
      <c r="AL622" s="4"/>
    </row>
    <row r="623" spans="1:38" ht="10.5" customHeight="1" x14ac:dyDescent="0.2">
      <c r="A623" s="37">
        <v>94</v>
      </c>
      <c r="B623" s="45" t="s">
        <v>461</v>
      </c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3">
        <v>1.61</v>
      </c>
      <c r="R623" s="3"/>
      <c r="S623" s="3"/>
      <c r="T623" s="3"/>
      <c r="U623" s="3"/>
      <c r="V623" s="3"/>
      <c r="W623" s="3"/>
      <c r="X623" s="3">
        <v>7.58</v>
      </c>
      <c r="Y623" s="3"/>
      <c r="Z623" s="3"/>
      <c r="AA623" s="3"/>
      <c r="AB623" s="3"/>
      <c r="AC623" s="3">
        <v>6.79</v>
      </c>
      <c r="AD623" s="3"/>
      <c r="AE623" s="3"/>
      <c r="AF623" s="3"/>
      <c r="AG623" s="3"/>
      <c r="AH623" s="3">
        <v>0.79</v>
      </c>
      <c r="AI623" s="3"/>
      <c r="AJ623" s="3"/>
      <c r="AK623" s="3"/>
      <c r="AL623" s="3"/>
    </row>
    <row r="624" spans="1:38" ht="21.75" customHeight="1" x14ac:dyDescent="0.2">
      <c r="A624" s="37">
        <v>95</v>
      </c>
      <c r="B624" s="45" t="s">
        <v>356</v>
      </c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5">
        <v>1.6</v>
      </c>
      <c r="R624" s="5"/>
      <c r="S624" s="5"/>
      <c r="T624" s="5"/>
      <c r="U624" s="5"/>
      <c r="V624" s="5"/>
      <c r="W624" s="5"/>
      <c r="X624" s="3">
        <v>10.16</v>
      </c>
      <c r="Y624" s="3"/>
      <c r="Z624" s="3"/>
      <c r="AA624" s="3"/>
      <c r="AB624" s="3"/>
      <c r="AC624" s="3">
        <v>9.4600000000000009</v>
      </c>
      <c r="AD624" s="3"/>
      <c r="AE624" s="3"/>
      <c r="AF624" s="3"/>
      <c r="AG624" s="3"/>
      <c r="AH624" s="5">
        <v>0.7</v>
      </c>
      <c r="AI624" s="5"/>
      <c r="AJ624" s="5"/>
      <c r="AK624" s="5"/>
      <c r="AL624" s="5"/>
    </row>
    <row r="625" spans="1:38" ht="10.5" customHeight="1" x14ac:dyDescent="0.2">
      <c r="A625" s="37">
        <v>96</v>
      </c>
      <c r="B625" s="45" t="s">
        <v>441</v>
      </c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5">
        <v>1.6</v>
      </c>
      <c r="R625" s="5"/>
      <c r="S625" s="5"/>
      <c r="T625" s="5"/>
      <c r="U625" s="5"/>
      <c r="V625" s="5"/>
      <c r="W625" s="5"/>
      <c r="X625" s="2">
        <v>9</v>
      </c>
      <c r="Y625" s="2"/>
      <c r="Z625" s="2"/>
      <c r="AA625" s="2"/>
      <c r="AB625" s="2"/>
      <c r="AC625" s="4">
        <v>8.3520000000000003</v>
      </c>
      <c r="AD625" s="4"/>
      <c r="AE625" s="4"/>
      <c r="AF625" s="4"/>
      <c r="AG625" s="4"/>
      <c r="AH625" s="4">
        <v>0.64800000000000002</v>
      </c>
      <c r="AI625" s="4"/>
      <c r="AJ625" s="4"/>
      <c r="AK625" s="4"/>
      <c r="AL625" s="4"/>
    </row>
    <row r="626" spans="1:38" ht="21.75" customHeight="1" x14ac:dyDescent="0.2">
      <c r="A626" s="37">
        <v>97</v>
      </c>
      <c r="B626" s="45" t="s">
        <v>329</v>
      </c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3">
        <v>1.59</v>
      </c>
      <c r="R626" s="3"/>
      <c r="S626" s="3"/>
      <c r="T626" s="3"/>
      <c r="U626" s="3"/>
      <c r="V626" s="3"/>
      <c r="W626" s="3"/>
      <c r="X626" s="2">
        <v>35</v>
      </c>
      <c r="Y626" s="2"/>
      <c r="Z626" s="2"/>
      <c r="AA626" s="2"/>
      <c r="AB626" s="2"/>
      <c r="AC626" s="4">
        <v>36.396999999999998</v>
      </c>
      <c r="AD626" s="4"/>
      <c r="AE626" s="4"/>
      <c r="AF626" s="4"/>
      <c r="AG626" s="4"/>
      <c r="AH626" s="4">
        <v>-1.397</v>
      </c>
      <c r="AI626" s="4"/>
      <c r="AJ626" s="4"/>
      <c r="AK626" s="4"/>
      <c r="AL626" s="4"/>
    </row>
    <row r="627" spans="1:38" ht="10.5" customHeight="1" x14ac:dyDescent="0.2">
      <c r="A627" s="37">
        <v>98</v>
      </c>
      <c r="B627" s="45" t="s">
        <v>462</v>
      </c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3">
        <v>1.58</v>
      </c>
      <c r="R627" s="3"/>
      <c r="S627" s="3"/>
      <c r="T627" s="3"/>
      <c r="U627" s="3"/>
      <c r="V627" s="3"/>
      <c r="W627" s="3"/>
      <c r="X627" s="5">
        <v>5.9</v>
      </c>
      <c r="Y627" s="5"/>
      <c r="Z627" s="5"/>
      <c r="AA627" s="5"/>
      <c r="AB627" s="5"/>
      <c r="AC627" s="3">
        <v>4.32</v>
      </c>
      <c r="AD627" s="3"/>
      <c r="AE627" s="3"/>
      <c r="AF627" s="3"/>
      <c r="AG627" s="3"/>
      <c r="AH627" s="3">
        <v>1.58</v>
      </c>
      <c r="AI627" s="3"/>
      <c r="AJ627" s="3"/>
      <c r="AK627" s="3"/>
      <c r="AL627" s="3"/>
    </row>
    <row r="628" spans="1:38" ht="21.75" customHeight="1" x14ac:dyDescent="0.2">
      <c r="A628" s="37">
        <v>99</v>
      </c>
      <c r="B628" s="45" t="s">
        <v>372</v>
      </c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">
        <v>1.524</v>
      </c>
      <c r="R628" s="4"/>
      <c r="S628" s="4"/>
      <c r="T628" s="4"/>
      <c r="U628" s="4"/>
      <c r="V628" s="4"/>
      <c r="W628" s="4"/>
      <c r="X628" s="5">
        <v>36.6</v>
      </c>
      <c r="Y628" s="5"/>
      <c r="Z628" s="5"/>
      <c r="AA628" s="5"/>
      <c r="AB628" s="5"/>
      <c r="AC628" s="4">
        <v>40.344999999999999</v>
      </c>
      <c r="AD628" s="4"/>
      <c r="AE628" s="4"/>
      <c r="AF628" s="4"/>
      <c r="AG628" s="4"/>
      <c r="AH628" s="4">
        <v>-3.7450000000000001</v>
      </c>
      <c r="AI628" s="4"/>
      <c r="AJ628" s="4"/>
      <c r="AK628" s="4"/>
      <c r="AL628" s="4"/>
    </row>
    <row r="629" spans="1:38" ht="10.5" customHeight="1" x14ac:dyDescent="0.2">
      <c r="A629" s="37">
        <v>100</v>
      </c>
      <c r="B629" s="45" t="s">
        <v>373</v>
      </c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">
        <v>1.5149999999999999</v>
      </c>
      <c r="R629" s="4"/>
      <c r="S629" s="4"/>
      <c r="T629" s="4"/>
      <c r="U629" s="4"/>
      <c r="V629" s="4"/>
      <c r="W629" s="4"/>
      <c r="X629" s="3">
        <v>76.02</v>
      </c>
      <c r="Y629" s="3"/>
      <c r="Z629" s="3"/>
      <c r="AA629" s="3"/>
      <c r="AB629" s="3"/>
      <c r="AC629" s="4">
        <v>76.305999999999997</v>
      </c>
      <c r="AD629" s="4"/>
      <c r="AE629" s="4"/>
      <c r="AF629" s="4"/>
      <c r="AG629" s="4"/>
      <c r="AH629" s="4">
        <v>-0.28599999999999998</v>
      </c>
      <c r="AI629" s="4"/>
      <c r="AJ629" s="4"/>
      <c r="AK629" s="4"/>
      <c r="AL629" s="4"/>
    </row>
    <row r="630" spans="1:38" ht="21.75" customHeight="1" x14ac:dyDescent="0.2">
      <c r="A630" s="37">
        <v>101</v>
      </c>
      <c r="B630" s="45" t="s">
        <v>330</v>
      </c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">
        <v>1.5009999999999999</v>
      </c>
      <c r="R630" s="4"/>
      <c r="S630" s="4"/>
      <c r="T630" s="4"/>
      <c r="U630" s="4"/>
      <c r="V630" s="4"/>
      <c r="W630" s="4"/>
      <c r="X630" s="3">
        <v>13.42</v>
      </c>
      <c r="Y630" s="3"/>
      <c r="Z630" s="3"/>
      <c r="AA630" s="3"/>
      <c r="AB630" s="3"/>
      <c r="AC630" s="4">
        <v>11.968999999999999</v>
      </c>
      <c r="AD630" s="4"/>
      <c r="AE630" s="4"/>
      <c r="AF630" s="4"/>
      <c r="AG630" s="4"/>
      <c r="AH630" s="4">
        <v>1.4510000000000001</v>
      </c>
      <c r="AI630" s="4"/>
      <c r="AJ630" s="4"/>
      <c r="AK630" s="4"/>
      <c r="AL630" s="4"/>
    </row>
    <row r="631" spans="1:38" ht="10.5" customHeight="1" x14ac:dyDescent="0.2">
      <c r="A631" s="37">
        <v>102</v>
      </c>
      <c r="B631" s="45" t="s">
        <v>331</v>
      </c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">
        <v>1.3819999999999999</v>
      </c>
      <c r="R631" s="4"/>
      <c r="S631" s="4"/>
      <c r="T631" s="4"/>
      <c r="U631" s="4"/>
      <c r="V631" s="4"/>
      <c r="W631" s="4"/>
      <c r="X631" s="3">
        <v>24.11</v>
      </c>
      <c r="Y631" s="3"/>
      <c r="Z631" s="3"/>
      <c r="AA631" s="3"/>
      <c r="AB631" s="3"/>
      <c r="AC631" s="4">
        <v>23.545000000000002</v>
      </c>
      <c r="AD631" s="4"/>
      <c r="AE631" s="4"/>
      <c r="AF631" s="4"/>
      <c r="AG631" s="4"/>
      <c r="AH631" s="4">
        <v>0.56499999999999995</v>
      </c>
      <c r="AI631" s="4"/>
      <c r="AJ631" s="4"/>
      <c r="AK631" s="4"/>
      <c r="AL631" s="4"/>
    </row>
    <row r="632" spans="1:38" ht="10.5" customHeight="1" x14ac:dyDescent="0.2">
      <c r="A632" s="37">
        <v>103</v>
      </c>
      <c r="B632" s="45" t="s">
        <v>332</v>
      </c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">
        <v>1.3480000000000001</v>
      </c>
      <c r="R632" s="4"/>
      <c r="S632" s="4"/>
      <c r="T632" s="4"/>
      <c r="U632" s="4"/>
      <c r="V632" s="4"/>
      <c r="W632" s="4"/>
      <c r="X632" s="5">
        <v>81.3</v>
      </c>
      <c r="Y632" s="5"/>
      <c r="Z632" s="5"/>
      <c r="AA632" s="5"/>
      <c r="AB632" s="5"/>
      <c r="AC632" s="4">
        <v>80.790999999999997</v>
      </c>
      <c r="AD632" s="4"/>
      <c r="AE632" s="4"/>
      <c r="AF632" s="4"/>
      <c r="AG632" s="4"/>
      <c r="AH632" s="4">
        <v>0.50900000000000001</v>
      </c>
      <c r="AI632" s="4"/>
      <c r="AJ632" s="4"/>
      <c r="AK632" s="4"/>
      <c r="AL632" s="4"/>
    </row>
    <row r="633" spans="1:38" ht="10.5" customHeight="1" x14ac:dyDescent="0.2">
      <c r="A633" s="37">
        <v>104</v>
      </c>
      <c r="B633" s="45" t="s">
        <v>333</v>
      </c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">
        <v>1.3089999999999999</v>
      </c>
      <c r="R633" s="4"/>
      <c r="S633" s="4"/>
      <c r="T633" s="4"/>
      <c r="U633" s="4"/>
      <c r="V633" s="4"/>
      <c r="W633" s="4"/>
      <c r="X633" s="3">
        <v>22.24</v>
      </c>
      <c r="Y633" s="3"/>
      <c r="Z633" s="3"/>
      <c r="AA633" s="3"/>
      <c r="AB633" s="3"/>
      <c r="AC633" s="4">
        <v>21.257999999999999</v>
      </c>
      <c r="AD633" s="4"/>
      <c r="AE633" s="4"/>
      <c r="AF633" s="4"/>
      <c r="AG633" s="4"/>
      <c r="AH633" s="4">
        <v>0.98199999999999998</v>
      </c>
      <c r="AI633" s="4"/>
      <c r="AJ633" s="4"/>
      <c r="AK633" s="4"/>
      <c r="AL633" s="4"/>
    </row>
    <row r="634" spans="1:38" ht="10.5" customHeight="1" x14ac:dyDescent="0.2">
      <c r="A634" s="37">
        <v>105</v>
      </c>
      <c r="B634" s="45" t="s">
        <v>420</v>
      </c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5">
        <v>1.3</v>
      </c>
      <c r="R634" s="5"/>
      <c r="S634" s="5"/>
      <c r="T634" s="5"/>
      <c r="U634" s="5"/>
      <c r="V634" s="5"/>
      <c r="W634" s="5"/>
      <c r="X634" s="5">
        <v>4.2</v>
      </c>
      <c r="Y634" s="5"/>
      <c r="Z634" s="5"/>
      <c r="AA634" s="5"/>
      <c r="AB634" s="5"/>
      <c r="AC634" s="3">
        <v>2.95</v>
      </c>
      <c r="AD634" s="3"/>
      <c r="AE634" s="3"/>
      <c r="AF634" s="3"/>
      <c r="AG634" s="3"/>
      <c r="AH634" s="3">
        <v>1.25</v>
      </c>
      <c r="AI634" s="3"/>
      <c r="AJ634" s="3"/>
      <c r="AK634" s="3"/>
      <c r="AL634" s="3"/>
    </row>
    <row r="635" spans="1:38" ht="21.75" customHeight="1" x14ac:dyDescent="0.2">
      <c r="A635" s="37">
        <v>106</v>
      </c>
      <c r="B635" s="45" t="s">
        <v>442</v>
      </c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">
        <v>1.2490000000000001</v>
      </c>
      <c r="R635" s="4"/>
      <c r="S635" s="4"/>
      <c r="T635" s="4"/>
      <c r="U635" s="4"/>
      <c r="V635" s="4"/>
      <c r="W635" s="4"/>
      <c r="X635" s="2">
        <v>937</v>
      </c>
      <c r="Y635" s="2"/>
      <c r="Z635" s="2"/>
      <c r="AA635" s="2"/>
      <c r="AB635" s="2"/>
      <c r="AC635" s="4">
        <v>955.02800000000002</v>
      </c>
      <c r="AD635" s="4"/>
      <c r="AE635" s="4"/>
      <c r="AF635" s="4"/>
      <c r="AG635" s="4"/>
      <c r="AH635" s="4">
        <v>-18.027999999999999</v>
      </c>
      <c r="AI635" s="4"/>
      <c r="AJ635" s="4"/>
      <c r="AK635" s="4"/>
      <c r="AL635" s="4"/>
    </row>
    <row r="636" spans="1:38" ht="10.5" customHeight="1" x14ac:dyDescent="0.2">
      <c r="A636" s="37">
        <v>107</v>
      </c>
      <c r="B636" s="45" t="s">
        <v>463</v>
      </c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">
        <v>1.232</v>
      </c>
      <c r="R636" s="4"/>
      <c r="S636" s="4"/>
      <c r="T636" s="4"/>
      <c r="U636" s="4"/>
      <c r="V636" s="4"/>
      <c r="W636" s="4"/>
      <c r="X636" s="3">
        <v>3.64</v>
      </c>
      <c r="Y636" s="3"/>
      <c r="Z636" s="3"/>
      <c r="AA636" s="3"/>
      <c r="AB636" s="3"/>
      <c r="AC636" s="4">
        <v>2.4079999999999999</v>
      </c>
      <c r="AD636" s="4"/>
      <c r="AE636" s="4"/>
      <c r="AF636" s="4"/>
      <c r="AG636" s="4"/>
      <c r="AH636" s="4">
        <v>1.232</v>
      </c>
      <c r="AI636" s="4"/>
      <c r="AJ636" s="4"/>
      <c r="AK636" s="4"/>
      <c r="AL636" s="4"/>
    </row>
    <row r="637" spans="1:38" ht="10.5" customHeight="1" x14ac:dyDescent="0.2">
      <c r="A637" s="37">
        <v>108</v>
      </c>
      <c r="B637" s="45" t="s">
        <v>443</v>
      </c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">
        <v>1.228</v>
      </c>
      <c r="R637" s="4"/>
      <c r="S637" s="4"/>
      <c r="T637" s="4"/>
      <c r="U637" s="4"/>
      <c r="V637" s="4"/>
      <c r="W637" s="4"/>
      <c r="X637" s="3">
        <v>26.18</v>
      </c>
      <c r="Y637" s="3"/>
      <c r="Z637" s="3"/>
      <c r="AA637" s="3"/>
      <c r="AB637" s="3"/>
      <c r="AC637" s="3">
        <v>25.13</v>
      </c>
      <c r="AD637" s="3"/>
      <c r="AE637" s="3"/>
      <c r="AF637" s="3"/>
      <c r="AG637" s="3"/>
      <c r="AH637" s="3">
        <v>1.05</v>
      </c>
      <c r="AI637" s="3"/>
      <c r="AJ637" s="3"/>
      <c r="AK637" s="3"/>
      <c r="AL637" s="3"/>
    </row>
    <row r="638" spans="1:38" ht="21.75" customHeight="1" x14ac:dyDescent="0.2">
      <c r="A638" s="37">
        <v>109</v>
      </c>
      <c r="B638" s="45" t="s">
        <v>334</v>
      </c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">
        <v>1.1180000000000001</v>
      </c>
      <c r="R638" s="4"/>
      <c r="S638" s="4"/>
      <c r="T638" s="4"/>
      <c r="U638" s="4"/>
      <c r="V638" s="4"/>
      <c r="W638" s="4"/>
      <c r="X638" s="3">
        <v>17.36</v>
      </c>
      <c r="Y638" s="3"/>
      <c r="Z638" s="3"/>
      <c r="AA638" s="3"/>
      <c r="AB638" s="3"/>
      <c r="AC638" s="4">
        <v>16.983000000000001</v>
      </c>
      <c r="AD638" s="4"/>
      <c r="AE638" s="4"/>
      <c r="AF638" s="4"/>
      <c r="AG638" s="4"/>
      <c r="AH638" s="4">
        <v>0.377</v>
      </c>
      <c r="AI638" s="4"/>
      <c r="AJ638" s="4"/>
      <c r="AK638" s="4"/>
      <c r="AL638" s="4"/>
    </row>
    <row r="639" spans="1:38" ht="21.75" customHeight="1" x14ac:dyDescent="0.2">
      <c r="A639" s="37">
        <v>110</v>
      </c>
      <c r="B639" s="45" t="s">
        <v>357</v>
      </c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3">
        <v>1.05</v>
      </c>
      <c r="R639" s="3"/>
      <c r="S639" s="3"/>
      <c r="T639" s="3"/>
      <c r="U639" s="3"/>
      <c r="V639" s="3"/>
      <c r="W639" s="3"/>
      <c r="X639" s="3">
        <v>11.45</v>
      </c>
      <c r="Y639" s="3"/>
      <c r="Z639" s="3"/>
      <c r="AA639" s="3"/>
      <c r="AB639" s="3"/>
      <c r="AC639" s="4">
        <v>11.196</v>
      </c>
      <c r="AD639" s="4"/>
      <c r="AE639" s="4"/>
      <c r="AF639" s="4"/>
      <c r="AG639" s="4"/>
      <c r="AH639" s="4">
        <v>0.254</v>
      </c>
      <c r="AI639" s="4"/>
      <c r="AJ639" s="4"/>
      <c r="AK639" s="4"/>
      <c r="AL639" s="4"/>
    </row>
    <row r="640" spans="1:38" ht="10.5" customHeight="1" x14ac:dyDescent="0.2">
      <c r="A640" s="37">
        <v>111</v>
      </c>
      <c r="B640" s="45" t="s">
        <v>464</v>
      </c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2">
        <v>1</v>
      </c>
      <c r="R640" s="2"/>
      <c r="S640" s="2"/>
      <c r="T640" s="2"/>
      <c r="U640" s="2"/>
      <c r="V640" s="2"/>
      <c r="W640" s="2"/>
      <c r="X640" s="3">
        <v>15.06</v>
      </c>
      <c r="Y640" s="3"/>
      <c r="Z640" s="3"/>
      <c r="AA640" s="3"/>
      <c r="AB640" s="3"/>
      <c r="AC640" s="3">
        <v>16.86</v>
      </c>
      <c r="AD640" s="3"/>
      <c r="AE640" s="3"/>
      <c r="AF640" s="3"/>
      <c r="AG640" s="3"/>
      <c r="AH640" s="5">
        <v>-1.8</v>
      </c>
      <c r="AI640" s="5"/>
      <c r="AJ640" s="5"/>
      <c r="AK640" s="5"/>
      <c r="AL640" s="5"/>
    </row>
    <row r="641" spans="1:38" ht="10.5" customHeight="1" x14ac:dyDescent="0.2">
      <c r="A641" s="37">
        <v>112</v>
      </c>
      <c r="B641" s="45" t="s">
        <v>465</v>
      </c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">
        <v>0.90200000000000002</v>
      </c>
      <c r="R641" s="4"/>
      <c r="S641" s="4"/>
      <c r="T641" s="4"/>
      <c r="U641" s="4"/>
      <c r="V641" s="4"/>
      <c r="W641" s="4"/>
      <c r="X641" s="2">
        <v>11</v>
      </c>
      <c r="Y641" s="2"/>
      <c r="Z641" s="2"/>
      <c r="AA641" s="2"/>
      <c r="AB641" s="2"/>
      <c r="AC641" s="4">
        <v>10.154</v>
      </c>
      <c r="AD641" s="4"/>
      <c r="AE641" s="4"/>
      <c r="AF641" s="4"/>
      <c r="AG641" s="4"/>
      <c r="AH641" s="4">
        <v>0.84599999999999997</v>
      </c>
      <c r="AI641" s="4"/>
      <c r="AJ641" s="4"/>
      <c r="AK641" s="4"/>
      <c r="AL641" s="4"/>
    </row>
    <row r="642" spans="1:38" ht="10.5" customHeight="1" x14ac:dyDescent="0.2">
      <c r="A642" s="37">
        <v>113</v>
      </c>
      <c r="B642" s="45" t="s">
        <v>466</v>
      </c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3">
        <v>0.83</v>
      </c>
      <c r="R642" s="3"/>
      <c r="S642" s="3"/>
      <c r="T642" s="3"/>
      <c r="U642" s="3"/>
      <c r="V642" s="3"/>
      <c r="W642" s="3"/>
      <c r="X642" s="5">
        <v>11.1</v>
      </c>
      <c r="Y642" s="5"/>
      <c r="Z642" s="5"/>
      <c r="AA642" s="5"/>
      <c r="AB642" s="5"/>
      <c r="AC642" s="4">
        <v>10.367000000000001</v>
      </c>
      <c r="AD642" s="4"/>
      <c r="AE642" s="4"/>
      <c r="AF642" s="4"/>
      <c r="AG642" s="4"/>
      <c r="AH642" s="4">
        <v>0.73299999999999998</v>
      </c>
      <c r="AI642" s="4"/>
      <c r="AJ642" s="4"/>
      <c r="AK642" s="4"/>
      <c r="AL642" s="4"/>
    </row>
    <row r="643" spans="1:38" ht="10.5" customHeight="1" x14ac:dyDescent="0.2">
      <c r="A643" s="37">
        <v>114</v>
      </c>
      <c r="B643" s="45" t="s">
        <v>467</v>
      </c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5">
        <v>0.8</v>
      </c>
      <c r="R643" s="5"/>
      <c r="S643" s="5"/>
      <c r="T643" s="5"/>
      <c r="U643" s="5"/>
      <c r="V643" s="5"/>
      <c r="W643" s="5"/>
      <c r="X643" s="3">
        <v>12.26</v>
      </c>
      <c r="Y643" s="3"/>
      <c r="Z643" s="3"/>
      <c r="AA643" s="3"/>
      <c r="AB643" s="3"/>
      <c r="AC643" s="3">
        <v>11.46</v>
      </c>
      <c r="AD643" s="3"/>
      <c r="AE643" s="3"/>
      <c r="AF643" s="3"/>
      <c r="AG643" s="3"/>
      <c r="AH643" s="5">
        <v>0.8</v>
      </c>
      <c r="AI643" s="5"/>
      <c r="AJ643" s="5"/>
      <c r="AK643" s="5"/>
      <c r="AL643" s="5"/>
    </row>
    <row r="644" spans="1:38" ht="21.75" customHeight="1" x14ac:dyDescent="0.2">
      <c r="A644" s="37">
        <v>115</v>
      </c>
      <c r="B644" s="45" t="s">
        <v>468</v>
      </c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">
        <v>0.75700000000000001</v>
      </c>
      <c r="R644" s="4"/>
      <c r="S644" s="4"/>
      <c r="T644" s="4"/>
      <c r="U644" s="4"/>
      <c r="V644" s="4"/>
      <c r="W644" s="4"/>
      <c r="X644" s="3">
        <v>12.72</v>
      </c>
      <c r="Y644" s="3"/>
      <c r="Z644" s="3"/>
      <c r="AA644" s="3"/>
      <c r="AB644" s="3"/>
      <c r="AC644" s="4">
        <v>12.063000000000001</v>
      </c>
      <c r="AD644" s="4"/>
      <c r="AE644" s="4"/>
      <c r="AF644" s="4"/>
      <c r="AG644" s="4"/>
      <c r="AH644" s="4">
        <v>0.65700000000000003</v>
      </c>
      <c r="AI644" s="4"/>
      <c r="AJ644" s="4"/>
      <c r="AK644" s="4"/>
      <c r="AL644" s="4"/>
    </row>
    <row r="645" spans="1:38" ht="21.75" customHeight="1" x14ac:dyDescent="0.2">
      <c r="A645" s="37">
        <v>116</v>
      </c>
      <c r="B645" s="45" t="s">
        <v>469</v>
      </c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">
        <v>0.72899999999999998</v>
      </c>
      <c r="R645" s="4"/>
      <c r="S645" s="4"/>
      <c r="T645" s="4"/>
      <c r="U645" s="4"/>
      <c r="V645" s="4"/>
      <c r="W645" s="4"/>
      <c r="X645" s="3">
        <v>7.32</v>
      </c>
      <c r="Y645" s="3"/>
      <c r="Z645" s="3"/>
      <c r="AA645" s="3"/>
      <c r="AB645" s="3"/>
      <c r="AC645" s="4">
        <v>6.6120000000000001</v>
      </c>
      <c r="AD645" s="4"/>
      <c r="AE645" s="4"/>
      <c r="AF645" s="4"/>
      <c r="AG645" s="4"/>
      <c r="AH645" s="4">
        <v>0.70799999999999996</v>
      </c>
      <c r="AI645" s="4"/>
      <c r="AJ645" s="4"/>
      <c r="AK645" s="4"/>
      <c r="AL645" s="4"/>
    </row>
    <row r="646" spans="1:38" ht="21.75" customHeight="1" x14ac:dyDescent="0.2">
      <c r="A646" s="37">
        <v>117</v>
      </c>
      <c r="B646" s="45" t="s">
        <v>470</v>
      </c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">
        <v>0.69899999999999995</v>
      </c>
      <c r="R646" s="4"/>
      <c r="S646" s="4"/>
      <c r="T646" s="4"/>
      <c r="U646" s="4"/>
      <c r="V646" s="4"/>
      <c r="W646" s="4"/>
      <c r="X646" s="3">
        <v>20.64</v>
      </c>
      <c r="Y646" s="3"/>
      <c r="Z646" s="3"/>
      <c r="AA646" s="3"/>
      <c r="AB646" s="3"/>
      <c r="AC646" s="4">
        <v>20.093</v>
      </c>
      <c r="AD646" s="4"/>
      <c r="AE646" s="4"/>
      <c r="AF646" s="4"/>
      <c r="AG646" s="4"/>
      <c r="AH646" s="4">
        <v>0.54700000000000004</v>
      </c>
      <c r="AI646" s="4"/>
      <c r="AJ646" s="4"/>
      <c r="AK646" s="4"/>
      <c r="AL646" s="4"/>
    </row>
    <row r="647" spans="1:38" ht="10.5" customHeight="1" x14ac:dyDescent="0.2">
      <c r="A647" s="37">
        <v>118</v>
      </c>
      <c r="B647" s="45" t="s">
        <v>335</v>
      </c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">
        <v>0.69199999999999995</v>
      </c>
      <c r="R647" s="4"/>
      <c r="S647" s="4"/>
      <c r="T647" s="4"/>
      <c r="U647" s="4"/>
      <c r="V647" s="4"/>
      <c r="W647" s="4"/>
      <c r="X647" s="3">
        <v>45.52</v>
      </c>
      <c r="Y647" s="3"/>
      <c r="Z647" s="3"/>
      <c r="AA647" s="3"/>
      <c r="AB647" s="3"/>
      <c r="AC647" s="4">
        <v>46.097999999999999</v>
      </c>
      <c r="AD647" s="4"/>
      <c r="AE647" s="4"/>
      <c r="AF647" s="4"/>
      <c r="AG647" s="4"/>
      <c r="AH647" s="4">
        <v>-0.57799999999999996</v>
      </c>
      <c r="AI647" s="4"/>
      <c r="AJ647" s="4"/>
      <c r="AK647" s="4"/>
      <c r="AL647" s="4"/>
    </row>
    <row r="648" spans="1:38" ht="21.75" customHeight="1" x14ac:dyDescent="0.2">
      <c r="A648" s="37">
        <v>119</v>
      </c>
      <c r="B648" s="45" t="s">
        <v>471</v>
      </c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3">
        <v>0.66</v>
      </c>
      <c r="R648" s="3"/>
      <c r="S648" s="3"/>
      <c r="T648" s="3"/>
      <c r="U648" s="3"/>
      <c r="V648" s="3"/>
      <c r="W648" s="3"/>
      <c r="X648" s="5">
        <v>16.7</v>
      </c>
      <c r="Y648" s="5"/>
      <c r="Z648" s="5"/>
      <c r="AA648" s="5"/>
      <c r="AB648" s="5"/>
      <c r="AC648" s="4">
        <v>16.045999999999999</v>
      </c>
      <c r="AD648" s="4"/>
      <c r="AE648" s="4"/>
      <c r="AF648" s="4"/>
      <c r="AG648" s="4"/>
      <c r="AH648" s="4">
        <v>0.65400000000000003</v>
      </c>
      <c r="AI648" s="4"/>
      <c r="AJ648" s="4"/>
      <c r="AK648" s="4"/>
      <c r="AL648" s="4"/>
    </row>
    <row r="649" spans="1:38" ht="10.5" customHeight="1" x14ac:dyDescent="0.2">
      <c r="A649" s="37">
        <v>120</v>
      </c>
      <c r="B649" s="45" t="s">
        <v>336</v>
      </c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">
        <v>0.64500000000000002</v>
      </c>
      <c r="R649" s="4"/>
      <c r="S649" s="4"/>
      <c r="T649" s="4"/>
      <c r="U649" s="4"/>
      <c r="V649" s="4"/>
      <c r="W649" s="4"/>
      <c r="X649" s="3">
        <v>9.52</v>
      </c>
      <c r="Y649" s="3"/>
      <c r="Z649" s="3"/>
      <c r="AA649" s="3"/>
      <c r="AB649" s="3"/>
      <c r="AC649" s="4">
        <v>8.875</v>
      </c>
      <c r="AD649" s="4"/>
      <c r="AE649" s="4"/>
      <c r="AF649" s="4"/>
      <c r="AG649" s="4"/>
      <c r="AH649" s="4">
        <v>0.64500000000000002</v>
      </c>
      <c r="AI649" s="4"/>
      <c r="AJ649" s="4"/>
      <c r="AK649" s="4"/>
      <c r="AL649" s="4"/>
    </row>
    <row r="650" spans="1:38" ht="10.5" customHeight="1" x14ac:dyDescent="0.2">
      <c r="A650" s="37">
        <v>121</v>
      </c>
      <c r="B650" s="45" t="s">
        <v>472</v>
      </c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3">
        <v>0.64</v>
      </c>
      <c r="R650" s="3"/>
      <c r="S650" s="3"/>
      <c r="T650" s="3"/>
      <c r="U650" s="3"/>
      <c r="V650" s="3"/>
      <c r="W650" s="3"/>
      <c r="X650" s="3">
        <v>8.81</v>
      </c>
      <c r="Y650" s="3"/>
      <c r="Z650" s="3"/>
      <c r="AA650" s="3"/>
      <c r="AB650" s="3"/>
      <c r="AC650" s="4">
        <v>9.6989999999999998</v>
      </c>
      <c r="AD650" s="4"/>
      <c r="AE650" s="4"/>
      <c r="AF650" s="4"/>
      <c r="AG650" s="4"/>
      <c r="AH650" s="4">
        <v>-0.88900000000000001</v>
      </c>
      <c r="AI650" s="4"/>
      <c r="AJ650" s="4"/>
      <c r="AK650" s="4"/>
      <c r="AL650" s="4"/>
    </row>
    <row r="651" spans="1:38" ht="10.5" customHeight="1" x14ac:dyDescent="0.2">
      <c r="A651" s="37">
        <v>122</v>
      </c>
      <c r="B651" s="45" t="s">
        <v>421</v>
      </c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">
        <v>0.61599999999999999</v>
      </c>
      <c r="R651" s="4"/>
      <c r="S651" s="4"/>
      <c r="T651" s="4"/>
      <c r="U651" s="4"/>
      <c r="V651" s="4"/>
      <c r="W651" s="4"/>
      <c r="X651" s="3">
        <v>28.14</v>
      </c>
      <c r="Y651" s="3"/>
      <c r="Z651" s="3"/>
      <c r="AA651" s="3"/>
      <c r="AB651" s="3"/>
      <c r="AC651" s="4">
        <v>27.783000000000001</v>
      </c>
      <c r="AD651" s="4"/>
      <c r="AE651" s="4"/>
      <c r="AF651" s="4"/>
      <c r="AG651" s="4"/>
      <c r="AH651" s="4">
        <v>0.35699999999999998</v>
      </c>
      <c r="AI651" s="4"/>
      <c r="AJ651" s="4"/>
      <c r="AK651" s="4"/>
      <c r="AL651" s="4"/>
    </row>
    <row r="652" spans="1:38" ht="10.5" customHeight="1" x14ac:dyDescent="0.2">
      <c r="A652" s="37">
        <v>123</v>
      </c>
      <c r="B652" s="45" t="s">
        <v>473</v>
      </c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">
        <v>0.59399999999999997</v>
      </c>
      <c r="R652" s="4"/>
      <c r="S652" s="4"/>
      <c r="T652" s="4"/>
      <c r="U652" s="4"/>
      <c r="V652" s="4"/>
      <c r="W652" s="4"/>
      <c r="X652" s="5">
        <v>51.9</v>
      </c>
      <c r="Y652" s="5"/>
      <c r="Z652" s="5"/>
      <c r="AA652" s="5"/>
      <c r="AB652" s="5"/>
      <c r="AC652" s="4">
        <v>56.338999999999999</v>
      </c>
      <c r="AD652" s="4"/>
      <c r="AE652" s="4"/>
      <c r="AF652" s="4"/>
      <c r="AG652" s="4"/>
      <c r="AH652" s="4">
        <v>-4.4390000000000001</v>
      </c>
      <c r="AI652" s="4"/>
      <c r="AJ652" s="4"/>
      <c r="AK652" s="4"/>
      <c r="AL652" s="4"/>
    </row>
    <row r="653" spans="1:38" ht="10.5" customHeight="1" x14ac:dyDescent="0.2">
      <c r="A653" s="37">
        <v>124</v>
      </c>
      <c r="B653" s="45" t="s">
        <v>374</v>
      </c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3">
        <v>0.56000000000000005</v>
      </c>
      <c r="R653" s="3"/>
      <c r="S653" s="3"/>
      <c r="T653" s="3"/>
      <c r="U653" s="3"/>
      <c r="V653" s="3"/>
      <c r="W653" s="3"/>
      <c r="X653" s="3">
        <v>18.48</v>
      </c>
      <c r="Y653" s="3"/>
      <c r="Z653" s="3"/>
      <c r="AA653" s="3"/>
      <c r="AB653" s="3"/>
      <c r="AC653" s="4">
        <v>22.314</v>
      </c>
      <c r="AD653" s="4"/>
      <c r="AE653" s="4"/>
      <c r="AF653" s="4"/>
      <c r="AG653" s="4"/>
      <c r="AH653" s="4">
        <v>-3.8340000000000001</v>
      </c>
      <c r="AI653" s="4"/>
      <c r="AJ653" s="4"/>
      <c r="AK653" s="4"/>
      <c r="AL653" s="4"/>
    </row>
    <row r="654" spans="1:38" ht="10.5" customHeight="1" x14ac:dyDescent="0.2">
      <c r="A654" s="37">
        <v>125</v>
      </c>
      <c r="B654" s="45" t="s">
        <v>474</v>
      </c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">
        <v>0.55700000000000005</v>
      </c>
      <c r="R654" s="4"/>
      <c r="S654" s="4"/>
      <c r="T654" s="4"/>
      <c r="U654" s="4"/>
      <c r="V654" s="4"/>
      <c r="W654" s="4"/>
      <c r="X654" s="3">
        <v>14.23</v>
      </c>
      <c r="Y654" s="3"/>
      <c r="Z654" s="3"/>
      <c r="AA654" s="3"/>
      <c r="AB654" s="3"/>
      <c r="AC654" s="4">
        <v>14.231999999999999</v>
      </c>
      <c r="AD654" s="4"/>
      <c r="AE654" s="4"/>
      <c r="AF654" s="4"/>
      <c r="AG654" s="4"/>
      <c r="AH654" s="4">
        <v>-2E-3</v>
      </c>
      <c r="AI654" s="4"/>
      <c r="AJ654" s="4"/>
      <c r="AK654" s="4"/>
      <c r="AL654" s="4"/>
    </row>
    <row r="655" spans="1:38" ht="10.5" customHeight="1" x14ac:dyDescent="0.2">
      <c r="A655" s="37">
        <v>126</v>
      </c>
      <c r="B655" s="45" t="s">
        <v>375</v>
      </c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">
        <v>0.54600000000000004</v>
      </c>
      <c r="R655" s="4"/>
      <c r="S655" s="4"/>
      <c r="T655" s="4"/>
      <c r="U655" s="4"/>
      <c r="V655" s="4"/>
      <c r="W655" s="4"/>
      <c r="X655" s="3">
        <v>51.23</v>
      </c>
      <c r="Y655" s="3"/>
      <c r="Z655" s="3"/>
      <c r="AA655" s="3"/>
      <c r="AB655" s="3"/>
      <c r="AC655" s="4">
        <v>51.009</v>
      </c>
      <c r="AD655" s="4"/>
      <c r="AE655" s="4"/>
      <c r="AF655" s="4"/>
      <c r="AG655" s="4"/>
      <c r="AH655" s="4">
        <v>0.221</v>
      </c>
      <c r="AI655" s="4"/>
      <c r="AJ655" s="4"/>
      <c r="AK655" s="4"/>
      <c r="AL655" s="4"/>
    </row>
    <row r="656" spans="1:38" ht="10.5" customHeight="1" x14ac:dyDescent="0.2">
      <c r="A656" s="37">
        <v>127</v>
      </c>
      <c r="B656" s="45" t="s">
        <v>475</v>
      </c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3">
        <v>0.51</v>
      </c>
      <c r="R656" s="3"/>
      <c r="S656" s="3"/>
      <c r="T656" s="3"/>
      <c r="U656" s="3"/>
      <c r="V656" s="3"/>
      <c r="W656" s="3"/>
      <c r="X656" s="3">
        <v>31.31</v>
      </c>
      <c r="Y656" s="3"/>
      <c r="Z656" s="3"/>
      <c r="AA656" s="3"/>
      <c r="AB656" s="3"/>
      <c r="AC656" s="4">
        <v>31.442</v>
      </c>
      <c r="AD656" s="4"/>
      <c r="AE656" s="4"/>
      <c r="AF656" s="4"/>
      <c r="AG656" s="4"/>
      <c r="AH656" s="4">
        <v>-0.13200000000000001</v>
      </c>
      <c r="AI656" s="4"/>
      <c r="AJ656" s="4"/>
      <c r="AK656" s="4"/>
      <c r="AL656" s="4"/>
    </row>
    <row r="657" spans="1:38" ht="10.5" customHeight="1" x14ac:dyDescent="0.2">
      <c r="A657" s="37">
        <v>128</v>
      </c>
      <c r="B657" s="45" t="s">
        <v>476</v>
      </c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5">
        <v>0.5</v>
      </c>
      <c r="R657" s="5"/>
      <c r="S657" s="5"/>
      <c r="T657" s="5"/>
      <c r="U657" s="5"/>
      <c r="V657" s="5"/>
      <c r="W657" s="5"/>
      <c r="X657" s="5">
        <v>4.7</v>
      </c>
      <c r="Y657" s="5"/>
      <c r="Z657" s="5"/>
      <c r="AA657" s="5"/>
      <c r="AB657" s="5"/>
      <c r="AC657" s="4">
        <v>4.2709999999999999</v>
      </c>
      <c r="AD657" s="4"/>
      <c r="AE657" s="4"/>
      <c r="AF657" s="4"/>
      <c r="AG657" s="4"/>
      <c r="AH657" s="4">
        <v>0.42899999999999999</v>
      </c>
      <c r="AI657" s="4"/>
      <c r="AJ657" s="4"/>
      <c r="AK657" s="4"/>
      <c r="AL657" s="4"/>
    </row>
    <row r="658" spans="1:38" ht="21.75" customHeight="1" x14ac:dyDescent="0.2">
      <c r="A658" s="37">
        <v>129</v>
      </c>
      <c r="B658" s="45" t="s">
        <v>477</v>
      </c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3">
        <v>0.43</v>
      </c>
      <c r="R658" s="3"/>
      <c r="S658" s="3"/>
      <c r="T658" s="3"/>
      <c r="U658" s="3"/>
      <c r="V658" s="3"/>
      <c r="W658" s="3"/>
      <c r="X658" s="3">
        <v>9.33</v>
      </c>
      <c r="Y658" s="3"/>
      <c r="Z658" s="3"/>
      <c r="AA658" s="3"/>
      <c r="AB658" s="3"/>
      <c r="AC658" s="4">
        <v>8.9030000000000005</v>
      </c>
      <c r="AD658" s="4"/>
      <c r="AE658" s="4"/>
      <c r="AF658" s="4"/>
      <c r="AG658" s="4"/>
      <c r="AH658" s="4">
        <v>0.42699999999999999</v>
      </c>
      <c r="AI658" s="4"/>
      <c r="AJ658" s="4"/>
      <c r="AK658" s="4"/>
      <c r="AL658" s="4"/>
    </row>
    <row r="659" spans="1:38" ht="10.5" customHeight="1" x14ac:dyDescent="0.2">
      <c r="A659" s="37">
        <v>130</v>
      </c>
      <c r="B659" s="45" t="s">
        <v>392</v>
      </c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">
        <v>0.42599999999999999</v>
      </c>
      <c r="R659" s="4"/>
      <c r="S659" s="4"/>
      <c r="T659" s="4"/>
      <c r="U659" s="4"/>
      <c r="V659" s="4"/>
      <c r="W659" s="4"/>
      <c r="X659" s="5">
        <v>55.6</v>
      </c>
      <c r="Y659" s="5"/>
      <c r="Z659" s="5"/>
      <c r="AA659" s="5"/>
      <c r="AB659" s="5"/>
      <c r="AC659" s="3">
        <v>55.23</v>
      </c>
      <c r="AD659" s="3"/>
      <c r="AE659" s="3"/>
      <c r="AF659" s="3"/>
      <c r="AG659" s="3"/>
      <c r="AH659" s="3">
        <v>0.37</v>
      </c>
      <c r="AI659" s="3"/>
      <c r="AJ659" s="3"/>
      <c r="AK659" s="3"/>
      <c r="AL659" s="3"/>
    </row>
    <row r="660" spans="1:38" ht="21.75" customHeight="1" x14ac:dyDescent="0.2">
      <c r="A660" s="37">
        <v>131</v>
      </c>
      <c r="B660" s="45" t="s">
        <v>337</v>
      </c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">
        <v>0.40300000000000002</v>
      </c>
      <c r="R660" s="4"/>
      <c r="S660" s="4"/>
      <c r="T660" s="4"/>
      <c r="U660" s="4"/>
      <c r="V660" s="4"/>
      <c r="W660" s="4"/>
      <c r="X660" s="3">
        <v>11.04</v>
      </c>
      <c r="Y660" s="3"/>
      <c r="Z660" s="3"/>
      <c r="AA660" s="3"/>
      <c r="AB660" s="3"/>
      <c r="AC660" s="4">
        <v>10.688000000000001</v>
      </c>
      <c r="AD660" s="4"/>
      <c r="AE660" s="4"/>
      <c r="AF660" s="4"/>
      <c r="AG660" s="4"/>
      <c r="AH660" s="4">
        <v>0.35199999999999998</v>
      </c>
      <c r="AI660" s="4"/>
      <c r="AJ660" s="4"/>
      <c r="AK660" s="4"/>
      <c r="AL660" s="4"/>
    </row>
    <row r="661" spans="1:38" ht="21.75" customHeight="1" x14ac:dyDescent="0.2">
      <c r="A661" s="37">
        <v>132</v>
      </c>
      <c r="B661" s="45" t="s">
        <v>432</v>
      </c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">
        <v>0.39400000000000002</v>
      </c>
      <c r="R661" s="4"/>
      <c r="S661" s="4"/>
      <c r="T661" s="4"/>
      <c r="U661" s="4"/>
      <c r="V661" s="4"/>
      <c r="W661" s="4"/>
      <c r="X661" s="3">
        <v>105.05</v>
      </c>
      <c r="Y661" s="3"/>
      <c r="Z661" s="3"/>
      <c r="AA661" s="3"/>
      <c r="AB661" s="3"/>
      <c r="AC661" s="4">
        <v>109.791</v>
      </c>
      <c r="AD661" s="4"/>
      <c r="AE661" s="4"/>
      <c r="AF661" s="4"/>
      <c r="AG661" s="4"/>
      <c r="AH661" s="4">
        <v>-4.7409999999999997</v>
      </c>
      <c r="AI661" s="4"/>
      <c r="AJ661" s="4"/>
      <c r="AK661" s="4"/>
      <c r="AL661" s="4"/>
    </row>
    <row r="662" spans="1:38" ht="21.75" customHeight="1" x14ac:dyDescent="0.2">
      <c r="A662" s="37">
        <v>133</v>
      </c>
      <c r="B662" s="45" t="s">
        <v>338</v>
      </c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">
        <v>0.373</v>
      </c>
      <c r="R662" s="4"/>
      <c r="S662" s="4"/>
      <c r="T662" s="4"/>
      <c r="U662" s="4"/>
      <c r="V662" s="4"/>
      <c r="W662" s="4"/>
      <c r="X662" s="3">
        <v>40.090000000000003</v>
      </c>
      <c r="Y662" s="3"/>
      <c r="Z662" s="3"/>
      <c r="AA662" s="3"/>
      <c r="AB662" s="3"/>
      <c r="AC662" s="4">
        <v>40.167999999999999</v>
      </c>
      <c r="AD662" s="4"/>
      <c r="AE662" s="4"/>
      <c r="AF662" s="4"/>
      <c r="AG662" s="4"/>
      <c r="AH662" s="4">
        <v>-7.8E-2</v>
      </c>
      <c r="AI662" s="4"/>
      <c r="AJ662" s="4"/>
      <c r="AK662" s="4"/>
      <c r="AL662" s="4"/>
    </row>
    <row r="663" spans="1:38" ht="21.75" customHeight="1" x14ac:dyDescent="0.2">
      <c r="A663" s="37">
        <v>134</v>
      </c>
      <c r="B663" s="45" t="s">
        <v>376</v>
      </c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">
        <v>0.34100000000000003</v>
      </c>
      <c r="R663" s="4"/>
      <c r="S663" s="4"/>
      <c r="T663" s="4"/>
      <c r="U663" s="4"/>
      <c r="V663" s="4"/>
      <c r="W663" s="4"/>
      <c r="X663" s="3">
        <v>18.46</v>
      </c>
      <c r="Y663" s="3"/>
      <c r="Z663" s="3"/>
      <c r="AA663" s="3"/>
      <c r="AB663" s="3"/>
      <c r="AC663" s="4">
        <v>18.134</v>
      </c>
      <c r="AD663" s="4"/>
      <c r="AE663" s="4"/>
      <c r="AF663" s="4"/>
      <c r="AG663" s="4"/>
      <c r="AH663" s="4">
        <v>0.32600000000000001</v>
      </c>
      <c r="AI663" s="4"/>
      <c r="AJ663" s="4"/>
      <c r="AK663" s="4"/>
      <c r="AL663" s="4"/>
    </row>
    <row r="664" spans="1:38" ht="10.5" customHeight="1" x14ac:dyDescent="0.2">
      <c r="A664" s="37">
        <v>135</v>
      </c>
      <c r="B664" s="45" t="s">
        <v>478</v>
      </c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">
        <v>0.255</v>
      </c>
      <c r="R664" s="4"/>
      <c r="S664" s="4"/>
      <c r="T664" s="4"/>
      <c r="U664" s="4"/>
      <c r="V664" s="4"/>
      <c r="W664" s="4"/>
      <c r="X664" s="3">
        <v>19.78</v>
      </c>
      <c r="Y664" s="3"/>
      <c r="Z664" s="3"/>
      <c r="AA664" s="3"/>
      <c r="AB664" s="3"/>
      <c r="AC664" s="4">
        <v>19.826000000000001</v>
      </c>
      <c r="AD664" s="4"/>
      <c r="AE664" s="4"/>
      <c r="AF664" s="4"/>
      <c r="AG664" s="4"/>
      <c r="AH664" s="4">
        <v>-4.5999999999999999E-2</v>
      </c>
      <c r="AI664" s="4"/>
      <c r="AJ664" s="4"/>
      <c r="AK664" s="4"/>
      <c r="AL664" s="4"/>
    </row>
    <row r="665" spans="1:38" ht="10.5" customHeight="1" x14ac:dyDescent="0.2">
      <c r="A665" s="37">
        <v>136</v>
      </c>
      <c r="B665" s="45" t="s">
        <v>377</v>
      </c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">
        <v>0.251</v>
      </c>
      <c r="R665" s="4"/>
      <c r="S665" s="4"/>
      <c r="T665" s="4"/>
      <c r="U665" s="4"/>
      <c r="V665" s="4"/>
      <c r="W665" s="4"/>
      <c r="X665" s="2">
        <v>33</v>
      </c>
      <c r="Y665" s="2"/>
      <c r="Z665" s="2"/>
      <c r="AA665" s="2"/>
      <c r="AB665" s="2"/>
      <c r="AC665" s="4">
        <v>32.750999999999998</v>
      </c>
      <c r="AD665" s="4"/>
      <c r="AE665" s="4"/>
      <c r="AF665" s="4"/>
      <c r="AG665" s="4"/>
      <c r="AH665" s="4">
        <v>0.249</v>
      </c>
      <c r="AI665" s="4"/>
      <c r="AJ665" s="4"/>
      <c r="AK665" s="4"/>
      <c r="AL665" s="4"/>
    </row>
    <row r="666" spans="1:38" ht="10.5" customHeight="1" x14ac:dyDescent="0.2">
      <c r="A666" s="37">
        <v>137</v>
      </c>
      <c r="B666" s="45" t="s">
        <v>422</v>
      </c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">
        <v>0.223</v>
      </c>
      <c r="R666" s="4"/>
      <c r="S666" s="4"/>
      <c r="T666" s="4"/>
      <c r="U666" s="4"/>
      <c r="V666" s="4"/>
      <c r="W666" s="4"/>
      <c r="X666" s="5">
        <v>71.2</v>
      </c>
      <c r="Y666" s="5"/>
      <c r="Z666" s="5"/>
      <c r="AA666" s="5"/>
      <c r="AB666" s="5"/>
      <c r="AC666" s="3">
        <v>70.989999999999995</v>
      </c>
      <c r="AD666" s="3"/>
      <c r="AE666" s="3"/>
      <c r="AF666" s="3"/>
      <c r="AG666" s="3"/>
      <c r="AH666" s="3">
        <v>0.21</v>
      </c>
      <c r="AI666" s="3"/>
      <c r="AJ666" s="3"/>
      <c r="AK666" s="3"/>
      <c r="AL666" s="3"/>
    </row>
    <row r="667" spans="1:38" ht="10.5" customHeight="1" x14ac:dyDescent="0.2">
      <c r="A667" s="37">
        <v>138</v>
      </c>
      <c r="B667" s="45" t="s">
        <v>479</v>
      </c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3">
        <v>0.22</v>
      </c>
      <c r="R667" s="3"/>
      <c r="S667" s="3"/>
      <c r="T667" s="3"/>
      <c r="U667" s="3"/>
      <c r="V667" s="3"/>
      <c r="W667" s="3"/>
      <c r="X667" s="5">
        <v>7.8</v>
      </c>
      <c r="Y667" s="5"/>
      <c r="Z667" s="5"/>
      <c r="AA667" s="5"/>
      <c r="AB667" s="5"/>
      <c r="AC667" s="4">
        <v>7.5880000000000001</v>
      </c>
      <c r="AD667" s="4"/>
      <c r="AE667" s="4"/>
      <c r="AF667" s="4"/>
      <c r="AG667" s="4"/>
      <c r="AH667" s="4">
        <v>0.21199999999999999</v>
      </c>
      <c r="AI667" s="4"/>
      <c r="AJ667" s="4"/>
      <c r="AK667" s="4"/>
      <c r="AL667" s="4"/>
    </row>
    <row r="668" spans="1:38" ht="21.75" customHeight="1" x14ac:dyDescent="0.2">
      <c r="A668" s="37">
        <v>139</v>
      </c>
      <c r="B668" s="45" t="s">
        <v>339</v>
      </c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">
        <v>0.214</v>
      </c>
      <c r="R668" s="4"/>
      <c r="S668" s="4"/>
      <c r="T668" s="4"/>
      <c r="U668" s="4"/>
      <c r="V668" s="4"/>
      <c r="W668" s="4"/>
      <c r="X668" s="3">
        <v>44.38</v>
      </c>
      <c r="Y668" s="3"/>
      <c r="Z668" s="3"/>
      <c r="AA668" s="3"/>
      <c r="AB668" s="3"/>
      <c r="AC668" s="4">
        <v>44.338999999999999</v>
      </c>
      <c r="AD668" s="4"/>
      <c r="AE668" s="4"/>
      <c r="AF668" s="4"/>
      <c r="AG668" s="4"/>
      <c r="AH668" s="4">
        <v>4.1000000000000002E-2</v>
      </c>
      <c r="AI668" s="4"/>
      <c r="AJ668" s="4"/>
      <c r="AK668" s="4"/>
      <c r="AL668" s="4"/>
    </row>
    <row r="669" spans="1:38" ht="10.5" customHeight="1" x14ac:dyDescent="0.2">
      <c r="A669" s="37">
        <v>140</v>
      </c>
      <c r="B669" s="45" t="s">
        <v>378</v>
      </c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">
        <v>0.16600000000000001</v>
      </c>
      <c r="R669" s="4"/>
      <c r="S669" s="4"/>
      <c r="T669" s="4"/>
      <c r="U669" s="4"/>
      <c r="V669" s="4"/>
      <c r="W669" s="4"/>
      <c r="X669" s="3">
        <v>19.559999999999999</v>
      </c>
      <c r="Y669" s="3"/>
      <c r="Z669" s="3"/>
      <c r="AA669" s="3"/>
      <c r="AB669" s="3"/>
      <c r="AC669" s="5">
        <v>20.100000000000001</v>
      </c>
      <c r="AD669" s="5"/>
      <c r="AE669" s="5"/>
      <c r="AF669" s="5"/>
      <c r="AG669" s="5"/>
      <c r="AH669" s="3">
        <v>-0.54</v>
      </c>
      <c r="AI669" s="3"/>
      <c r="AJ669" s="3"/>
      <c r="AK669" s="3"/>
      <c r="AL669" s="3"/>
    </row>
    <row r="670" spans="1:38" ht="10.5" customHeight="1" x14ac:dyDescent="0.2">
      <c r="A670" s="37">
        <v>141</v>
      </c>
      <c r="B670" s="45" t="s">
        <v>340</v>
      </c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">
        <v>0.151</v>
      </c>
      <c r="R670" s="4"/>
      <c r="S670" s="4"/>
      <c r="T670" s="4"/>
      <c r="U670" s="4"/>
      <c r="V670" s="4"/>
      <c r="W670" s="4"/>
      <c r="X670" s="3">
        <v>6.06</v>
      </c>
      <c r="Y670" s="3"/>
      <c r="Z670" s="3"/>
      <c r="AA670" s="3"/>
      <c r="AB670" s="3"/>
      <c r="AC670" s="4">
        <v>6.3559999999999999</v>
      </c>
      <c r="AD670" s="4"/>
      <c r="AE670" s="4"/>
      <c r="AF670" s="4"/>
      <c r="AG670" s="4"/>
      <c r="AH670" s="4">
        <v>-0.29599999999999999</v>
      </c>
      <c r="AI670" s="4"/>
      <c r="AJ670" s="4"/>
      <c r="AK670" s="4"/>
      <c r="AL670" s="4"/>
    </row>
    <row r="671" spans="1:38" ht="10.5" customHeight="1" x14ac:dyDescent="0.2">
      <c r="A671" s="37">
        <v>142</v>
      </c>
      <c r="B671" s="45" t="s">
        <v>444</v>
      </c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">
        <v>0.13100000000000001</v>
      </c>
      <c r="R671" s="4"/>
      <c r="S671" s="4"/>
      <c r="T671" s="4"/>
      <c r="U671" s="4"/>
      <c r="V671" s="4"/>
      <c r="W671" s="4"/>
      <c r="X671" s="2">
        <v>15</v>
      </c>
      <c r="Y671" s="2"/>
      <c r="Z671" s="2"/>
      <c r="AA671" s="2"/>
      <c r="AB671" s="2"/>
      <c r="AC671" s="4">
        <v>14.869</v>
      </c>
      <c r="AD671" s="4"/>
      <c r="AE671" s="4"/>
      <c r="AF671" s="4"/>
      <c r="AG671" s="4"/>
      <c r="AH671" s="4">
        <v>0.13100000000000001</v>
      </c>
      <c r="AI671" s="4"/>
      <c r="AJ671" s="4"/>
      <c r="AK671" s="4"/>
      <c r="AL671" s="4"/>
    </row>
    <row r="672" spans="1:38" ht="10.5" customHeight="1" x14ac:dyDescent="0.2">
      <c r="A672" s="37">
        <v>143</v>
      </c>
      <c r="B672" s="45" t="s">
        <v>480</v>
      </c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">
        <v>0.10199999999999999</v>
      </c>
      <c r="R672" s="4"/>
      <c r="S672" s="4"/>
      <c r="T672" s="4"/>
      <c r="U672" s="4"/>
      <c r="V672" s="4"/>
      <c r="W672" s="4"/>
      <c r="X672" s="5">
        <v>20.100000000000001</v>
      </c>
      <c r="Y672" s="5"/>
      <c r="Z672" s="5"/>
      <c r="AA672" s="5"/>
      <c r="AB672" s="5"/>
      <c r="AC672" s="4">
        <v>20.253</v>
      </c>
      <c r="AD672" s="4"/>
      <c r="AE672" s="4"/>
      <c r="AF672" s="4"/>
      <c r="AG672" s="4"/>
      <c r="AH672" s="4">
        <v>-0.153</v>
      </c>
      <c r="AI672" s="4"/>
      <c r="AJ672" s="4"/>
      <c r="AK672" s="4"/>
      <c r="AL672" s="4"/>
    </row>
    <row r="673" spans="1:38" ht="10.5" customHeight="1" x14ac:dyDescent="0.2">
      <c r="A673" s="37">
        <v>144</v>
      </c>
      <c r="B673" s="45" t="s">
        <v>393</v>
      </c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">
        <v>6.0999999999999999E-2</v>
      </c>
      <c r="R673" s="4"/>
      <c r="S673" s="4"/>
      <c r="T673" s="4"/>
      <c r="U673" s="4"/>
      <c r="V673" s="4"/>
      <c r="W673" s="4"/>
      <c r="X673" s="3">
        <v>5.09</v>
      </c>
      <c r="Y673" s="3"/>
      <c r="Z673" s="3"/>
      <c r="AA673" s="3"/>
      <c r="AB673" s="3"/>
      <c r="AC673" s="3">
        <v>5.18</v>
      </c>
      <c r="AD673" s="3"/>
      <c r="AE673" s="3"/>
      <c r="AF673" s="3"/>
      <c r="AG673" s="3"/>
      <c r="AH673" s="3">
        <v>-0.09</v>
      </c>
      <c r="AI673" s="3"/>
      <c r="AJ673" s="3"/>
      <c r="AK673" s="3"/>
      <c r="AL673" s="3"/>
    </row>
    <row r="674" spans="1:38" ht="10.5" customHeight="1" x14ac:dyDescent="0.2">
      <c r="A674" s="37">
        <v>145</v>
      </c>
      <c r="B674" s="45" t="s">
        <v>481</v>
      </c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">
        <v>4.3999999999999997E-2</v>
      </c>
      <c r="R674" s="4"/>
      <c r="S674" s="4"/>
      <c r="T674" s="4"/>
      <c r="U674" s="4"/>
      <c r="V674" s="4"/>
      <c r="W674" s="4"/>
      <c r="X674" s="5">
        <v>15.8</v>
      </c>
      <c r="Y674" s="5"/>
      <c r="Z674" s="5"/>
      <c r="AA674" s="5"/>
      <c r="AB674" s="5"/>
      <c r="AC674" s="4">
        <v>16.177</v>
      </c>
      <c r="AD674" s="4"/>
      <c r="AE674" s="4"/>
      <c r="AF674" s="4"/>
      <c r="AG674" s="4"/>
      <c r="AH674" s="4">
        <v>-0.377</v>
      </c>
      <c r="AI674" s="4"/>
      <c r="AJ674" s="4"/>
      <c r="AK674" s="4"/>
      <c r="AL674" s="4"/>
    </row>
    <row r="675" spans="1:38" ht="10.5" customHeight="1" x14ac:dyDescent="0.2">
      <c r="A675" s="37">
        <v>146</v>
      </c>
      <c r="B675" s="45" t="s">
        <v>482</v>
      </c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">
        <v>3.5000000000000003E-2</v>
      </c>
      <c r="R675" s="4"/>
      <c r="S675" s="4"/>
      <c r="T675" s="4"/>
      <c r="U675" s="4"/>
      <c r="V675" s="4"/>
      <c r="W675" s="4"/>
      <c r="X675" s="3">
        <v>18.95</v>
      </c>
      <c r="Y675" s="3"/>
      <c r="Z675" s="3"/>
      <c r="AA675" s="3"/>
      <c r="AB675" s="3"/>
      <c r="AC675" s="4">
        <v>18.939</v>
      </c>
      <c r="AD675" s="4"/>
      <c r="AE675" s="4"/>
      <c r="AF675" s="4"/>
      <c r="AG675" s="4"/>
      <c r="AH675" s="4">
        <v>1.0999999999999999E-2</v>
      </c>
      <c r="AI675" s="4"/>
      <c r="AJ675" s="4"/>
      <c r="AK675" s="4"/>
      <c r="AL675" s="4"/>
    </row>
    <row r="676" spans="1:38" ht="21.75" customHeight="1" x14ac:dyDescent="0.2">
      <c r="A676" s="37">
        <v>147</v>
      </c>
      <c r="B676" s="45" t="s">
        <v>445</v>
      </c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">
        <v>2.9000000000000001E-2</v>
      </c>
      <c r="R676" s="4"/>
      <c r="S676" s="4"/>
      <c r="T676" s="4"/>
      <c r="U676" s="4"/>
      <c r="V676" s="4"/>
      <c r="W676" s="4"/>
      <c r="X676" s="5">
        <v>32.5</v>
      </c>
      <c r="Y676" s="5"/>
      <c r="Z676" s="5"/>
      <c r="AA676" s="5"/>
      <c r="AB676" s="5"/>
      <c r="AC676" s="4">
        <v>34.860999999999997</v>
      </c>
      <c r="AD676" s="4"/>
      <c r="AE676" s="4"/>
      <c r="AF676" s="4"/>
      <c r="AG676" s="4"/>
      <c r="AH676" s="4">
        <v>-2.3610000000000002</v>
      </c>
      <c r="AI676" s="4"/>
      <c r="AJ676" s="4"/>
      <c r="AK676" s="4"/>
      <c r="AL676" s="4"/>
    </row>
    <row r="677" spans="1:38" ht="21.75" customHeight="1" x14ac:dyDescent="0.2">
      <c r="A677" s="37">
        <v>148</v>
      </c>
      <c r="B677" s="45" t="s">
        <v>483</v>
      </c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">
        <v>2.5000000000000001E-2</v>
      </c>
      <c r="R677" s="4"/>
      <c r="S677" s="4"/>
      <c r="T677" s="4"/>
      <c r="U677" s="4"/>
      <c r="V677" s="4"/>
      <c r="W677" s="4"/>
      <c r="X677" s="3">
        <v>38.54</v>
      </c>
      <c r="Y677" s="3"/>
      <c r="Z677" s="3"/>
      <c r="AA677" s="3"/>
      <c r="AB677" s="3"/>
      <c r="AC677" s="4">
        <v>38.959000000000003</v>
      </c>
      <c r="AD677" s="4"/>
      <c r="AE677" s="4"/>
      <c r="AF677" s="4"/>
      <c r="AG677" s="4"/>
      <c r="AH677" s="4">
        <v>-0.41899999999999998</v>
      </c>
      <c r="AI677" s="4"/>
      <c r="AJ677" s="4"/>
      <c r="AK677" s="4"/>
      <c r="AL677" s="4"/>
    </row>
    <row r="678" spans="1:38" ht="10.5" customHeight="1" x14ac:dyDescent="0.2">
      <c r="A678" s="37">
        <v>149</v>
      </c>
      <c r="B678" s="45" t="s">
        <v>484</v>
      </c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">
        <v>1.7999999999999999E-2</v>
      </c>
      <c r="R678" s="4"/>
      <c r="S678" s="4"/>
      <c r="T678" s="4"/>
      <c r="U678" s="4"/>
      <c r="V678" s="4"/>
      <c r="W678" s="4"/>
      <c r="X678" s="3">
        <v>5.28</v>
      </c>
      <c r="Y678" s="3"/>
      <c r="Z678" s="3"/>
      <c r="AA678" s="3"/>
      <c r="AB678" s="3"/>
      <c r="AC678" s="4">
        <v>5.2649999999999997</v>
      </c>
      <c r="AD678" s="4"/>
      <c r="AE678" s="4"/>
      <c r="AF678" s="4"/>
      <c r="AG678" s="4"/>
      <c r="AH678" s="4">
        <v>1.4999999999999999E-2</v>
      </c>
      <c r="AI678" s="4"/>
      <c r="AJ678" s="4"/>
      <c r="AK678" s="4"/>
      <c r="AL678" s="4"/>
    </row>
    <row r="679" spans="1:38" ht="10.5" customHeight="1" x14ac:dyDescent="0.2">
      <c r="A679" s="37">
        <v>150</v>
      </c>
      <c r="B679" s="45" t="s">
        <v>485</v>
      </c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">
        <v>1.4999999999999999E-2</v>
      </c>
      <c r="R679" s="4"/>
      <c r="S679" s="4"/>
      <c r="T679" s="4"/>
      <c r="U679" s="4"/>
      <c r="V679" s="4"/>
      <c r="W679" s="4"/>
      <c r="X679" s="5">
        <v>9.1999999999999993</v>
      </c>
      <c r="Y679" s="5"/>
      <c r="Z679" s="5"/>
      <c r="AA679" s="5"/>
      <c r="AB679" s="5"/>
      <c r="AC679" s="4">
        <v>9.3770000000000007</v>
      </c>
      <c r="AD679" s="4"/>
      <c r="AE679" s="4"/>
      <c r="AF679" s="4"/>
      <c r="AG679" s="4"/>
      <c r="AH679" s="4">
        <v>-0.17699999999999999</v>
      </c>
      <c r="AI679" s="4"/>
      <c r="AJ679" s="4"/>
      <c r="AK679" s="4"/>
      <c r="AL679" s="4"/>
    </row>
    <row r="680" spans="1:38" ht="10.5" customHeight="1" x14ac:dyDescent="0.2">
      <c r="A680" s="37">
        <v>151</v>
      </c>
      <c r="B680" s="45" t="s">
        <v>486</v>
      </c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">
        <v>1.4999999999999999E-2</v>
      </c>
      <c r="R680" s="4"/>
      <c r="S680" s="4"/>
      <c r="T680" s="4"/>
      <c r="U680" s="4"/>
      <c r="V680" s="4"/>
      <c r="W680" s="4"/>
      <c r="X680" s="2">
        <v>15</v>
      </c>
      <c r="Y680" s="2"/>
      <c r="Z680" s="2"/>
      <c r="AA680" s="2"/>
      <c r="AB680" s="2"/>
      <c r="AC680" s="4">
        <v>15.038</v>
      </c>
      <c r="AD680" s="4"/>
      <c r="AE680" s="4"/>
      <c r="AF680" s="4"/>
      <c r="AG680" s="4"/>
      <c r="AH680" s="4">
        <v>-3.7999999999999999E-2</v>
      </c>
      <c r="AI680" s="4"/>
      <c r="AJ680" s="4"/>
      <c r="AK680" s="4"/>
      <c r="AL680" s="4"/>
    </row>
    <row r="681" spans="1:38" ht="10.5" customHeight="1" x14ac:dyDescent="0.2">
      <c r="A681" s="37">
        <v>152</v>
      </c>
      <c r="B681" s="45" t="s">
        <v>433</v>
      </c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">
        <v>1.2E-2</v>
      </c>
      <c r="R681" s="4"/>
      <c r="S681" s="4"/>
      <c r="T681" s="4"/>
      <c r="U681" s="4"/>
      <c r="V681" s="4"/>
      <c r="W681" s="4"/>
      <c r="X681" s="3">
        <v>20.36</v>
      </c>
      <c r="Y681" s="3"/>
      <c r="Z681" s="3"/>
      <c r="AA681" s="3"/>
      <c r="AB681" s="3"/>
      <c r="AC681" s="4">
        <v>20.917000000000002</v>
      </c>
      <c r="AD681" s="4"/>
      <c r="AE681" s="4"/>
      <c r="AF681" s="4"/>
      <c r="AG681" s="4"/>
      <c r="AH681" s="4">
        <v>-0.55700000000000005</v>
      </c>
      <c r="AI681" s="4"/>
      <c r="AJ681" s="4"/>
      <c r="AK681" s="4"/>
      <c r="AL681" s="4"/>
    </row>
    <row r="682" spans="1:38" ht="10.5" customHeight="1" x14ac:dyDescent="0.2">
      <c r="A682" s="37">
        <v>153</v>
      </c>
      <c r="B682" s="45" t="s">
        <v>423</v>
      </c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">
        <v>7.0000000000000001E-3</v>
      </c>
      <c r="R682" s="4"/>
      <c r="S682" s="4"/>
      <c r="T682" s="4"/>
      <c r="U682" s="4"/>
      <c r="V682" s="4"/>
      <c r="W682" s="4"/>
      <c r="X682" s="2">
        <v>15</v>
      </c>
      <c r="Y682" s="2"/>
      <c r="Z682" s="2"/>
      <c r="AA682" s="2"/>
      <c r="AB682" s="2"/>
      <c r="AC682" s="4">
        <v>15.055</v>
      </c>
      <c r="AD682" s="4"/>
      <c r="AE682" s="4"/>
      <c r="AF682" s="4"/>
      <c r="AG682" s="4"/>
      <c r="AH682" s="4">
        <v>-5.5E-2</v>
      </c>
      <c r="AI682" s="4"/>
      <c r="AJ682" s="4"/>
      <c r="AK682" s="4"/>
      <c r="AL682" s="4"/>
    </row>
    <row r="683" spans="1:38" ht="21.75" customHeight="1" x14ac:dyDescent="0.2">
      <c r="A683" s="37">
        <v>154</v>
      </c>
      <c r="B683" s="45" t="s">
        <v>488</v>
      </c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">
        <v>4.0000000000000001E-3</v>
      </c>
      <c r="R683" s="4"/>
      <c r="S683" s="4"/>
      <c r="T683" s="4"/>
      <c r="U683" s="4"/>
      <c r="V683" s="4"/>
      <c r="W683" s="4"/>
      <c r="X683" s="3">
        <v>12.44</v>
      </c>
      <c r="Y683" s="3"/>
      <c r="Z683" s="3"/>
      <c r="AA683" s="3"/>
      <c r="AB683" s="3"/>
      <c r="AC683" s="3">
        <v>12.62</v>
      </c>
      <c r="AD683" s="3"/>
      <c r="AE683" s="3"/>
      <c r="AF683" s="3"/>
      <c r="AG683" s="3"/>
      <c r="AH683" s="3">
        <v>-0.18</v>
      </c>
      <c r="AI683" s="3"/>
      <c r="AJ683" s="3"/>
      <c r="AK683" s="3"/>
      <c r="AL683" s="3"/>
    </row>
    <row r="684" spans="1:38" ht="10.5" customHeight="1" x14ac:dyDescent="0.2">
      <c r="A684" s="37">
        <v>155</v>
      </c>
      <c r="B684" s="45" t="s">
        <v>487</v>
      </c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">
        <v>4.0000000000000001E-3</v>
      </c>
      <c r="R684" s="4"/>
      <c r="S684" s="4"/>
      <c r="T684" s="4"/>
      <c r="U684" s="4"/>
      <c r="V684" s="4"/>
      <c r="W684" s="4"/>
      <c r="X684" s="3">
        <v>13.26</v>
      </c>
      <c r="Y684" s="3"/>
      <c r="Z684" s="3"/>
      <c r="AA684" s="3"/>
      <c r="AB684" s="3"/>
      <c r="AC684" s="4">
        <v>13.561</v>
      </c>
      <c r="AD684" s="4"/>
      <c r="AE684" s="4"/>
      <c r="AF684" s="4"/>
      <c r="AG684" s="4"/>
      <c r="AH684" s="4">
        <v>-0.30099999999999999</v>
      </c>
      <c r="AI684" s="4"/>
      <c r="AJ684" s="4"/>
      <c r="AK684" s="4"/>
      <c r="AL684" s="4"/>
    </row>
    <row r="685" spans="1:38" ht="21.75" customHeight="1" x14ac:dyDescent="0.2">
      <c r="A685" s="37">
        <v>156</v>
      </c>
      <c r="B685" s="45" t="s">
        <v>424</v>
      </c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20"/>
      <c r="R685" s="21"/>
      <c r="S685" s="21"/>
      <c r="T685" s="21"/>
      <c r="U685" s="21"/>
      <c r="V685" s="21"/>
      <c r="W685" s="22"/>
      <c r="X685" s="2">
        <v>5</v>
      </c>
      <c r="Y685" s="2"/>
      <c r="Z685" s="2"/>
      <c r="AA685" s="2"/>
      <c r="AB685" s="2"/>
      <c r="AC685" s="4">
        <v>5.0060000000000002</v>
      </c>
      <c r="AD685" s="4"/>
      <c r="AE685" s="4"/>
      <c r="AF685" s="4"/>
      <c r="AG685" s="4"/>
      <c r="AH685" s="4">
        <v>-6.0000000000000001E-3</v>
      </c>
      <c r="AI685" s="4"/>
      <c r="AJ685" s="4"/>
      <c r="AK685" s="4"/>
      <c r="AL685" s="4"/>
    </row>
    <row r="686" spans="1:38" ht="21.75" customHeight="1" x14ac:dyDescent="0.2">
      <c r="A686" s="37">
        <v>157</v>
      </c>
      <c r="B686" s="45" t="s">
        <v>426</v>
      </c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20"/>
      <c r="R686" s="21"/>
      <c r="S686" s="21"/>
      <c r="T686" s="21"/>
      <c r="U686" s="21"/>
      <c r="V686" s="21"/>
      <c r="W686" s="22"/>
      <c r="X686" s="5">
        <v>1.8</v>
      </c>
      <c r="Y686" s="5"/>
      <c r="Z686" s="5"/>
      <c r="AA686" s="5"/>
      <c r="AB686" s="5"/>
      <c r="AC686" s="5">
        <v>1.8</v>
      </c>
      <c r="AD686" s="5"/>
      <c r="AE686" s="5"/>
      <c r="AF686" s="5"/>
      <c r="AG686" s="5"/>
      <c r="AH686" s="23"/>
      <c r="AI686" s="24"/>
      <c r="AJ686" s="24"/>
      <c r="AK686" s="24"/>
      <c r="AL686" s="25"/>
    </row>
    <row r="687" spans="1:38" ht="10.5" customHeight="1" x14ac:dyDescent="0.2">
      <c r="A687" s="37">
        <v>158</v>
      </c>
      <c r="B687" s="45" t="s">
        <v>395</v>
      </c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20"/>
      <c r="R687" s="21"/>
      <c r="S687" s="21"/>
      <c r="T687" s="21"/>
      <c r="U687" s="21"/>
      <c r="V687" s="21"/>
      <c r="W687" s="22"/>
      <c r="X687" s="2">
        <v>20</v>
      </c>
      <c r="Y687" s="2"/>
      <c r="Z687" s="2"/>
      <c r="AA687" s="2"/>
      <c r="AB687" s="2"/>
      <c r="AC687" s="2">
        <v>20</v>
      </c>
      <c r="AD687" s="2"/>
      <c r="AE687" s="2"/>
      <c r="AF687" s="2"/>
      <c r="AG687" s="2"/>
      <c r="AH687" s="23"/>
      <c r="AI687" s="24"/>
      <c r="AJ687" s="24"/>
      <c r="AK687" s="24"/>
      <c r="AL687" s="25"/>
    </row>
    <row r="688" spans="1:38" ht="10.5" customHeight="1" x14ac:dyDescent="0.2">
      <c r="A688" s="37">
        <v>159</v>
      </c>
      <c r="B688" s="45" t="s">
        <v>489</v>
      </c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20"/>
      <c r="R688" s="21"/>
      <c r="S688" s="21"/>
      <c r="T688" s="21"/>
      <c r="U688" s="21"/>
      <c r="V688" s="21"/>
      <c r="W688" s="22"/>
      <c r="X688" s="5">
        <v>27.6</v>
      </c>
      <c r="Y688" s="5"/>
      <c r="Z688" s="5"/>
      <c r="AA688" s="5"/>
      <c r="AB688" s="5"/>
      <c r="AC688" s="4">
        <v>27.780999999999999</v>
      </c>
      <c r="AD688" s="4"/>
      <c r="AE688" s="4"/>
      <c r="AF688" s="4"/>
      <c r="AG688" s="4"/>
      <c r="AH688" s="4">
        <v>-0.18099999999999999</v>
      </c>
      <c r="AI688" s="4"/>
      <c r="AJ688" s="4"/>
      <c r="AK688" s="4"/>
      <c r="AL688" s="4"/>
    </row>
    <row r="689" spans="1:38" ht="10.5" customHeight="1" x14ac:dyDescent="0.2">
      <c r="A689" s="37">
        <v>160</v>
      </c>
      <c r="B689" s="45" t="s">
        <v>499</v>
      </c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20"/>
      <c r="R689" s="21"/>
      <c r="S689" s="21"/>
      <c r="T689" s="21"/>
      <c r="U689" s="21"/>
      <c r="V689" s="21"/>
      <c r="W689" s="22"/>
      <c r="X689" s="3">
        <v>33.96</v>
      </c>
      <c r="Y689" s="3"/>
      <c r="Z689" s="3"/>
      <c r="AA689" s="3"/>
      <c r="AB689" s="3"/>
      <c r="AC689" s="3">
        <v>33.96</v>
      </c>
      <c r="AD689" s="3"/>
      <c r="AE689" s="3"/>
      <c r="AF689" s="3"/>
      <c r="AG689" s="3"/>
      <c r="AH689" s="23"/>
      <c r="AI689" s="24"/>
      <c r="AJ689" s="24"/>
      <c r="AK689" s="24"/>
      <c r="AL689" s="25"/>
    </row>
    <row r="690" spans="1:38" ht="10.5" customHeight="1" x14ac:dyDescent="0.2">
      <c r="A690" s="37">
        <v>161</v>
      </c>
      <c r="B690" s="45" t="s">
        <v>504</v>
      </c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20"/>
      <c r="R690" s="21"/>
      <c r="S690" s="21"/>
      <c r="T690" s="21"/>
      <c r="U690" s="21"/>
      <c r="V690" s="21"/>
      <c r="W690" s="22"/>
      <c r="X690" s="5">
        <v>32.4</v>
      </c>
      <c r="Y690" s="5"/>
      <c r="Z690" s="5"/>
      <c r="AA690" s="5"/>
      <c r="AB690" s="5"/>
      <c r="AC690" s="5">
        <v>33.5</v>
      </c>
      <c r="AD690" s="5"/>
      <c r="AE690" s="5"/>
      <c r="AF690" s="5"/>
      <c r="AG690" s="5"/>
      <c r="AH690" s="5">
        <v>-1.1000000000000001</v>
      </c>
      <c r="AI690" s="5"/>
      <c r="AJ690" s="5"/>
      <c r="AK690" s="5"/>
      <c r="AL690" s="5"/>
    </row>
    <row r="691" spans="1:38" ht="10.5" customHeight="1" x14ac:dyDescent="0.2">
      <c r="A691" s="37">
        <v>162</v>
      </c>
      <c r="B691" s="45" t="s">
        <v>341</v>
      </c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20"/>
      <c r="R691" s="21"/>
      <c r="S691" s="21"/>
      <c r="T691" s="21"/>
      <c r="U691" s="21"/>
      <c r="V691" s="21"/>
      <c r="W691" s="22"/>
      <c r="X691" s="3">
        <v>26.28</v>
      </c>
      <c r="Y691" s="3"/>
      <c r="Z691" s="3"/>
      <c r="AA691" s="3"/>
      <c r="AB691" s="3"/>
      <c r="AC691" s="4">
        <v>28.477</v>
      </c>
      <c r="AD691" s="4"/>
      <c r="AE691" s="4"/>
      <c r="AF691" s="4"/>
      <c r="AG691" s="4"/>
      <c r="AH691" s="4">
        <v>-2.1970000000000001</v>
      </c>
      <c r="AI691" s="4"/>
      <c r="AJ691" s="4"/>
      <c r="AK691" s="4"/>
      <c r="AL691" s="4"/>
    </row>
    <row r="692" spans="1:38" ht="21.75" customHeight="1" x14ac:dyDescent="0.2">
      <c r="A692" s="37">
        <v>163</v>
      </c>
      <c r="B692" s="45" t="s">
        <v>505</v>
      </c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20"/>
      <c r="R692" s="21"/>
      <c r="S692" s="21"/>
      <c r="T692" s="21"/>
      <c r="U692" s="21"/>
      <c r="V692" s="21"/>
      <c r="W692" s="22"/>
      <c r="X692" s="2">
        <v>10</v>
      </c>
      <c r="Y692" s="2"/>
      <c r="Z692" s="2"/>
      <c r="AA692" s="2"/>
      <c r="AB692" s="2"/>
      <c r="AC692" s="2">
        <v>10</v>
      </c>
      <c r="AD692" s="2"/>
      <c r="AE692" s="2"/>
      <c r="AF692" s="2"/>
      <c r="AG692" s="2"/>
      <c r="AH692" s="23"/>
      <c r="AI692" s="24"/>
      <c r="AJ692" s="24"/>
      <c r="AK692" s="24"/>
      <c r="AL692" s="25"/>
    </row>
    <row r="693" spans="1:38" ht="21.75" customHeight="1" x14ac:dyDescent="0.2">
      <c r="A693" s="37">
        <v>164</v>
      </c>
      <c r="B693" s="45" t="s">
        <v>394</v>
      </c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20"/>
      <c r="R693" s="21"/>
      <c r="S693" s="21"/>
      <c r="T693" s="21"/>
      <c r="U693" s="21"/>
      <c r="V693" s="21"/>
      <c r="W693" s="22"/>
      <c r="X693" s="3">
        <v>9.2899999999999991</v>
      </c>
      <c r="Y693" s="3"/>
      <c r="Z693" s="3"/>
      <c r="AA693" s="3"/>
      <c r="AB693" s="3"/>
      <c r="AC693" s="4">
        <v>9.7650000000000006</v>
      </c>
      <c r="AD693" s="4"/>
      <c r="AE693" s="4"/>
      <c r="AF693" s="4"/>
      <c r="AG693" s="4"/>
      <c r="AH693" s="4">
        <v>-0.47499999999999998</v>
      </c>
      <c r="AI693" s="4"/>
      <c r="AJ693" s="4"/>
      <c r="AK693" s="4"/>
      <c r="AL693" s="4"/>
    </row>
    <row r="694" spans="1:38" ht="10.5" customHeight="1" x14ac:dyDescent="0.2">
      <c r="A694" s="37">
        <v>165</v>
      </c>
      <c r="B694" s="45" t="s">
        <v>379</v>
      </c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20"/>
      <c r="R694" s="21"/>
      <c r="S694" s="21"/>
      <c r="T694" s="21"/>
      <c r="U694" s="21"/>
      <c r="V694" s="21"/>
      <c r="W694" s="22"/>
      <c r="X694" s="5">
        <v>1.8</v>
      </c>
      <c r="Y694" s="5"/>
      <c r="Z694" s="5"/>
      <c r="AA694" s="5"/>
      <c r="AB694" s="5"/>
      <c r="AC694" s="5">
        <v>1.8</v>
      </c>
      <c r="AD694" s="5"/>
      <c r="AE694" s="5"/>
      <c r="AF694" s="5"/>
      <c r="AG694" s="5"/>
      <c r="AH694" s="23"/>
      <c r="AI694" s="24"/>
      <c r="AJ694" s="24"/>
      <c r="AK694" s="24"/>
      <c r="AL694" s="25"/>
    </row>
    <row r="695" spans="1:38" ht="21.75" customHeight="1" x14ac:dyDescent="0.2">
      <c r="A695" s="37">
        <v>166</v>
      </c>
      <c r="B695" s="45" t="s">
        <v>491</v>
      </c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20"/>
      <c r="R695" s="21"/>
      <c r="S695" s="21"/>
      <c r="T695" s="21"/>
      <c r="U695" s="21"/>
      <c r="V695" s="21"/>
      <c r="W695" s="22"/>
      <c r="X695" s="3">
        <v>4.71</v>
      </c>
      <c r="Y695" s="3"/>
      <c r="Z695" s="3"/>
      <c r="AA695" s="3"/>
      <c r="AB695" s="3"/>
      <c r="AC695" s="4">
        <v>4.8090000000000002</v>
      </c>
      <c r="AD695" s="4"/>
      <c r="AE695" s="4"/>
      <c r="AF695" s="4"/>
      <c r="AG695" s="4"/>
      <c r="AH695" s="4">
        <v>-9.9000000000000005E-2</v>
      </c>
      <c r="AI695" s="4"/>
      <c r="AJ695" s="4"/>
      <c r="AK695" s="4"/>
      <c r="AL695" s="4"/>
    </row>
    <row r="696" spans="1:38" ht="10.5" customHeight="1" x14ac:dyDescent="0.2">
      <c r="A696" s="37">
        <v>167</v>
      </c>
      <c r="B696" s="45" t="s">
        <v>396</v>
      </c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20"/>
      <c r="R696" s="21"/>
      <c r="S696" s="21"/>
      <c r="T696" s="21"/>
      <c r="U696" s="21"/>
      <c r="V696" s="21"/>
      <c r="W696" s="22"/>
      <c r="X696" s="2">
        <v>11</v>
      </c>
      <c r="Y696" s="2"/>
      <c r="Z696" s="2"/>
      <c r="AA696" s="2"/>
      <c r="AB696" s="2"/>
      <c r="AC696" s="2">
        <v>11</v>
      </c>
      <c r="AD696" s="2"/>
      <c r="AE696" s="2"/>
      <c r="AF696" s="2"/>
      <c r="AG696" s="2"/>
      <c r="AH696" s="23"/>
      <c r="AI696" s="24"/>
      <c r="AJ696" s="24"/>
      <c r="AK696" s="24"/>
      <c r="AL696" s="25"/>
    </row>
    <row r="697" spans="1:38" ht="10.5" customHeight="1" x14ac:dyDescent="0.2">
      <c r="A697" s="37">
        <v>168</v>
      </c>
      <c r="B697" s="45" t="s">
        <v>446</v>
      </c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20"/>
      <c r="R697" s="21"/>
      <c r="S697" s="21"/>
      <c r="T697" s="21"/>
      <c r="U697" s="21"/>
      <c r="V697" s="21"/>
      <c r="W697" s="22"/>
      <c r="X697" s="2">
        <v>6</v>
      </c>
      <c r="Y697" s="2"/>
      <c r="Z697" s="2"/>
      <c r="AA697" s="2"/>
      <c r="AB697" s="2"/>
      <c r="AC697" s="3">
        <v>8.18</v>
      </c>
      <c r="AD697" s="3"/>
      <c r="AE697" s="3"/>
      <c r="AF697" s="3"/>
      <c r="AG697" s="3"/>
      <c r="AH697" s="3">
        <v>-2.1800000000000002</v>
      </c>
      <c r="AI697" s="3"/>
      <c r="AJ697" s="3"/>
      <c r="AK697" s="3"/>
      <c r="AL697" s="3"/>
    </row>
    <row r="698" spans="1:38" ht="10.5" customHeight="1" x14ac:dyDescent="0.2">
      <c r="A698" s="37">
        <v>169</v>
      </c>
      <c r="B698" s="45" t="s">
        <v>492</v>
      </c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20"/>
      <c r="R698" s="21"/>
      <c r="S698" s="21"/>
      <c r="T698" s="21"/>
      <c r="U698" s="21"/>
      <c r="V698" s="21"/>
      <c r="W698" s="22"/>
      <c r="X698" s="3">
        <v>3.69</v>
      </c>
      <c r="Y698" s="3"/>
      <c r="Z698" s="3"/>
      <c r="AA698" s="3"/>
      <c r="AB698" s="3"/>
      <c r="AC698" s="3">
        <v>3.69</v>
      </c>
      <c r="AD698" s="3"/>
      <c r="AE698" s="3"/>
      <c r="AF698" s="3"/>
      <c r="AG698" s="3"/>
      <c r="AH698" s="23"/>
      <c r="AI698" s="24"/>
      <c r="AJ698" s="24"/>
      <c r="AK698" s="24"/>
      <c r="AL698" s="25"/>
    </row>
    <row r="699" spans="1:38" ht="10.5" customHeight="1" x14ac:dyDescent="0.2">
      <c r="A699" s="37">
        <v>170</v>
      </c>
      <c r="B699" s="45" t="s">
        <v>490</v>
      </c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20"/>
      <c r="R699" s="21"/>
      <c r="S699" s="21"/>
      <c r="T699" s="21"/>
      <c r="U699" s="21"/>
      <c r="V699" s="21"/>
      <c r="W699" s="22"/>
      <c r="X699" s="3">
        <v>4.17</v>
      </c>
      <c r="Y699" s="3"/>
      <c r="Z699" s="3"/>
      <c r="AA699" s="3"/>
      <c r="AB699" s="3"/>
      <c r="AC699" s="3">
        <v>4.17</v>
      </c>
      <c r="AD699" s="3"/>
      <c r="AE699" s="3"/>
      <c r="AF699" s="3"/>
      <c r="AG699" s="3"/>
      <c r="AH699" s="23"/>
      <c r="AI699" s="24"/>
      <c r="AJ699" s="24"/>
      <c r="AK699" s="24"/>
      <c r="AL699" s="25"/>
    </row>
    <row r="700" spans="1:38" ht="10.5" customHeight="1" x14ac:dyDescent="0.2">
      <c r="A700" s="37">
        <v>171</v>
      </c>
      <c r="B700" s="45" t="s">
        <v>496</v>
      </c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20"/>
      <c r="R700" s="21"/>
      <c r="S700" s="21"/>
      <c r="T700" s="21"/>
      <c r="U700" s="21"/>
      <c r="V700" s="21"/>
      <c r="W700" s="22"/>
      <c r="X700" s="5">
        <v>3.7</v>
      </c>
      <c r="Y700" s="5"/>
      <c r="Z700" s="5"/>
      <c r="AA700" s="5"/>
      <c r="AB700" s="5"/>
      <c r="AC700" s="5">
        <v>3.7</v>
      </c>
      <c r="AD700" s="5"/>
      <c r="AE700" s="5"/>
      <c r="AF700" s="5"/>
      <c r="AG700" s="5"/>
      <c r="AH700" s="23"/>
      <c r="AI700" s="24"/>
      <c r="AJ700" s="24"/>
      <c r="AK700" s="24"/>
      <c r="AL700" s="25"/>
    </row>
    <row r="701" spans="1:38" ht="10.5" customHeight="1" x14ac:dyDescent="0.2">
      <c r="A701" s="37">
        <v>172</v>
      </c>
      <c r="B701" s="45" t="s">
        <v>501</v>
      </c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20"/>
      <c r="R701" s="21"/>
      <c r="S701" s="21"/>
      <c r="T701" s="21"/>
      <c r="U701" s="21"/>
      <c r="V701" s="21"/>
      <c r="W701" s="22"/>
      <c r="X701" s="2">
        <v>90</v>
      </c>
      <c r="Y701" s="2"/>
      <c r="Z701" s="2"/>
      <c r="AA701" s="2"/>
      <c r="AB701" s="2"/>
      <c r="AC701" s="4">
        <v>91.010999999999996</v>
      </c>
      <c r="AD701" s="4"/>
      <c r="AE701" s="4"/>
      <c r="AF701" s="4"/>
      <c r="AG701" s="4"/>
      <c r="AH701" s="4">
        <v>-1.0109999999999999</v>
      </c>
      <c r="AI701" s="4"/>
      <c r="AJ701" s="4"/>
      <c r="AK701" s="4"/>
      <c r="AL701" s="4"/>
    </row>
    <row r="702" spans="1:38" ht="21.75" customHeight="1" x14ac:dyDescent="0.2">
      <c r="A702" s="37">
        <v>173</v>
      </c>
      <c r="B702" s="45" t="s">
        <v>494</v>
      </c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20"/>
      <c r="R702" s="21"/>
      <c r="S702" s="21"/>
      <c r="T702" s="21"/>
      <c r="U702" s="21"/>
      <c r="V702" s="21"/>
      <c r="W702" s="22"/>
      <c r="X702" s="3">
        <v>8.49</v>
      </c>
      <c r="Y702" s="3"/>
      <c r="Z702" s="3"/>
      <c r="AA702" s="3"/>
      <c r="AB702" s="3"/>
      <c r="AC702" s="4">
        <v>8.6669999999999998</v>
      </c>
      <c r="AD702" s="4"/>
      <c r="AE702" s="4"/>
      <c r="AF702" s="4"/>
      <c r="AG702" s="4"/>
      <c r="AH702" s="4">
        <v>-0.17699999999999999</v>
      </c>
      <c r="AI702" s="4"/>
      <c r="AJ702" s="4"/>
      <c r="AK702" s="4"/>
      <c r="AL702" s="4"/>
    </row>
    <row r="703" spans="1:38" ht="10.5" customHeight="1" x14ac:dyDescent="0.2">
      <c r="A703" s="37">
        <v>174</v>
      </c>
      <c r="B703" s="45" t="s">
        <v>500</v>
      </c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20"/>
      <c r="R703" s="21"/>
      <c r="S703" s="21"/>
      <c r="T703" s="21"/>
      <c r="U703" s="21"/>
      <c r="V703" s="21"/>
      <c r="W703" s="22"/>
      <c r="X703" s="5">
        <v>3.3</v>
      </c>
      <c r="Y703" s="5"/>
      <c r="Z703" s="5"/>
      <c r="AA703" s="5"/>
      <c r="AB703" s="5"/>
      <c r="AC703" s="4">
        <v>3.3559999999999999</v>
      </c>
      <c r="AD703" s="4"/>
      <c r="AE703" s="4"/>
      <c r="AF703" s="4"/>
      <c r="AG703" s="4"/>
      <c r="AH703" s="4">
        <v>-5.6000000000000001E-2</v>
      </c>
      <c r="AI703" s="4"/>
      <c r="AJ703" s="4"/>
      <c r="AK703" s="4"/>
      <c r="AL703" s="4"/>
    </row>
    <row r="704" spans="1:38" ht="21.75" customHeight="1" x14ac:dyDescent="0.2">
      <c r="A704" s="37">
        <v>175</v>
      </c>
      <c r="B704" s="45" t="s">
        <v>502</v>
      </c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20"/>
      <c r="R704" s="21"/>
      <c r="S704" s="21"/>
      <c r="T704" s="21"/>
      <c r="U704" s="21"/>
      <c r="V704" s="21"/>
      <c r="W704" s="22"/>
      <c r="X704" s="2">
        <v>70</v>
      </c>
      <c r="Y704" s="2"/>
      <c r="Z704" s="2"/>
      <c r="AA704" s="2"/>
      <c r="AB704" s="2"/>
      <c r="AC704" s="2">
        <v>70</v>
      </c>
      <c r="AD704" s="2"/>
      <c r="AE704" s="2"/>
      <c r="AF704" s="2"/>
      <c r="AG704" s="2"/>
      <c r="AH704" s="23"/>
      <c r="AI704" s="24"/>
      <c r="AJ704" s="24"/>
      <c r="AK704" s="24"/>
      <c r="AL704" s="25"/>
    </row>
    <row r="705" spans="1:38" ht="10.5" customHeight="1" x14ac:dyDescent="0.2">
      <c r="A705" s="37">
        <v>176</v>
      </c>
      <c r="B705" s="45" t="s">
        <v>503</v>
      </c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20"/>
      <c r="R705" s="21"/>
      <c r="S705" s="21"/>
      <c r="T705" s="21"/>
      <c r="U705" s="21"/>
      <c r="V705" s="21"/>
      <c r="W705" s="22"/>
      <c r="X705" s="2">
        <v>9</v>
      </c>
      <c r="Y705" s="2"/>
      <c r="Z705" s="2"/>
      <c r="AA705" s="2"/>
      <c r="AB705" s="2"/>
      <c r="AC705" s="4">
        <v>9.202</v>
      </c>
      <c r="AD705" s="4"/>
      <c r="AE705" s="4"/>
      <c r="AF705" s="4"/>
      <c r="AG705" s="4"/>
      <c r="AH705" s="4">
        <v>-0.20200000000000001</v>
      </c>
      <c r="AI705" s="4"/>
      <c r="AJ705" s="4"/>
      <c r="AK705" s="4"/>
      <c r="AL705" s="4"/>
    </row>
    <row r="706" spans="1:38" ht="10.5" customHeight="1" x14ac:dyDescent="0.2">
      <c r="A706" s="37">
        <v>177</v>
      </c>
      <c r="B706" s="45" t="s">
        <v>425</v>
      </c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20"/>
      <c r="R706" s="21"/>
      <c r="S706" s="21"/>
      <c r="T706" s="21"/>
      <c r="U706" s="21"/>
      <c r="V706" s="21"/>
      <c r="W706" s="22"/>
      <c r="X706" s="5">
        <v>36.9</v>
      </c>
      <c r="Y706" s="5"/>
      <c r="Z706" s="5"/>
      <c r="AA706" s="5"/>
      <c r="AB706" s="5"/>
      <c r="AC706" s="5">
        <v>38.6</v>
      </c>
      <c r="AD706" s="5"/>
      <c r="AE706" s="5"/>
      <c r="AF706" s="5"/>
      <c r="AG706" s="5"/>
      <c r="AH706" s="5">
        <v>-1.7</v>
      </c>
      <c r="AI706" s="5"/>
      <c r="AJ706" s="5"/>
      <c r="AK706" s="5"/>
      <c r="AL706" s="5"/>
    </row>
    <row r="707" spans="1:38" ht="10.5" customHeight="1" x14ac:dyDescent="0.2">
      <c r="A707" s="37">
        <v>178</v>
      </c>
      <c r="B707" s="45" t="s">
        <v>498</v>
      </c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20"/>
      <c r="R707" s="21"/>
      <c r="S707" s="21"/>
      <c r="T707" s="21"/>
      <c r="U707" s="21"/>
      <c r="V707" s="21"/>
      <c r="W707" s="22"/>
      <c r="X707" s="3">
        <v>24.65</v>
      </c>
      <c r="Y707" s="3"/>
      <c r="Z707" s="3"/>
      <c r="AA707" s="3"/>
      <c r="AB707" s="3"/>
      <c r="AC707" s="4">
        <v>25.030999999999999</v>
      </c>
      <c r="AD707" s="4"/>
      <c r="AE707" s="4"/>
      <c r="AF707" s="4"/>
      <c r="AG707" s="4"/>
      <c r="AH707" s="4">
        <v>-0.38100000000000001</v>
      </c>
      <c r="AI707" s="4"/>
      <c r="AJ707" s="4"/>
      <c r="AK707" s="4"/>
      <c r="AL707" s="4"/>
    </row>
    <row r="708" spans="1:38" ht="10.5" customHeight="1" x14ac:dyDescent="0.2">
      <c r="A708" s="37">
        <v>179</v>
      </c>
      <c r="B708" s="45" t="s">
        <v>495</v>
      </c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20"/>
      <c r="R708" s="21"/>
      <c r="S708" s="21"/>
      <c r="T708" s="21"/>
      <c r="U708" s="21"/>
      <c r="V708" s="21"/>
      <c r="W708" s="22"/>
      <c r="X708" s="5">
        <v>7.5</v>
      </c>
      <c r="Y708" s="5"/>
      <c r="Z708" s="5"/>
      <c r="AA708" s="5"/>
      <c r="AB708" s="5"/>
      <c r="AC708" s="5">
        <v>7.5</v>
      </c>
      <c r="AD708" s="5"/>
      <c r="AE708" s="5"/>
      <c r="AF708" s="5"/>
      <c r="AG708" s="5"/>
      <c r="AH708" s="23"/>
      <c r="AI708" s="24"/>
      <c r="AJ708" s="24"/>
      <c r="AK708" s="24"/>
      <c r="AL708" s="25"/>
    </row>
    <row r="709" spans="1:38" ht="21.75" customHeight="1" x14ac:dyDescent="0.2">
      <c r="A709" s="37">
        <v>180</v>
      </c>
      <c r="B709" s="45" t="s">
        <v>493</v>
      </c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20"/>
      <c r="R709" s="21"/>
      <c r="S709" s="21"/>
      <c r="T709" s="21"/>
      <c r="U709" s="21"/>
      <c r="V709" s="21"/>
      <c r="W709" s="22"/>
      <c r="X709" s="3">
        <v>7.29</v>
      </c>
      <c r="Y709" s="3"/>
      <c r="Z709" s="3"/>
      <c r="AA709" s="3"/>
      <c r="AB709" s="3"/>
      <c r="AC709" s="3">
        <v>7.29</v>
      </c>
      <c r="AD709" s="3"/>
      <c r="AE709" s="3"/>
      <c r="AF709" s="3"/>
      <c r="AG709" s="3"/>
      <c r="AH709" s="23"/>
      <c r="AI709" s="24"/>
      <c r="AJ709" s="24"/>
      <c r="AK709" s="24"/>
      <c r="AL709" s="25"/>
    </row>
    <row r="710" spans="1:38" ht="10.5" customHeight="1" x14ac:dyDescent="0.2">
      <c r="A710" s="37">
        <v>181</v>
      </c>
      <c r="B710" s="45" t="s">
        <v>380</v>
      </c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20"/>
      <c r="R710" s="21"/>
      <c r="S710" s="21"/>
      <c r="T710" s="21"/>
      <c r="U710" s="21"/>
      <c r="V710" s="21"/>
      <c r="W710" s="22"/>
      <c r="X710" s="2">
        <v>19</v>
      </c>
      <c r="Y710" s="2"/>
      <c r="Z710" s="2"/>
      <c r="AA710" s="2"/>
      <c r="AB710" s="2"/>
      <c r="AC710" s="2">
        <v>19</v>
      </c>
      <c r="AD710" s="2"/>
      <c r="AE710" s="2"/>
      <c r="AF710" s="2"/>
      <c r="AG710" s="2"/>
      <c r="AH710" s="23"/>
      <c r="AI710" s="24"/>
      <c r="AJ710" s="24"/>
      <c r="AK710" s="24"/>
      <c r="AL710" s="25"/>
    </row>
    <row r="711" spans="1:38" ht="10.5" customHeight="1" x14ac:dyDescent="0.2">
      <c r="A711" s="37">
        <v>182</v>
      </c>
      <c r="B711" s="45" t="s">
        <v>427</v>
      </c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20"/>
      <c r="R711" s="21"/>
      <c r="S711" s="21"/>
      <c r="T711" s="21"/>
      <c r="U711" s="21"/>
      <c r="V711" s="21"/>
      <c r="W711" s="22"/>
      <c r="X711" s="5">
        <v>3.6</v>
      </c>
      <c r="Y711" s="5"/>
      <c r="Z711" s="5"/>
      <c r="AA711" s="5"/>
      <c r="AB711" s="5"/>
      <c r="AC711" s="5">
        <v>3.6</v>
      </c>
      <c r="AD711" s="5"/>
      <c r="AE711" s="5"/>
      <c r="AF711" s="5"/>
      <c r="AG711" s="5"/>
      <c r="AH711" s="23"/>
      <c r="AI711" s="24"/>
      <c r="AJ711" s="24"/>
      <c r="AK711" s="24"/>
      <c r="AL711" s="25"/>
    </row>
    <row r="712" spans="1:38" ht="10.5" customHeight="1" x14ac:dyDescent="0.2">
      <c r="A712" s="37">
        <v>183</v>
      </c>
      <c r="B712" s="45" t="s">
        <v>497</v>
      </c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20"/>
      <c r="R712" s="21"/>
      <c r="S712" s="21"/>
      <c r="T712" s="21"/>
      <c r="U712" s="21"/>
      <c r="V712" s="21"/>
      <c r="W712" s="22"/>
      <c r="X712" s="3">
        <v>20.46</v>
      </c>
      <c r="Y712" s="3"/>
      <c r="Z712" s="3"/>
      <c r="AA712" s="3"/>
      <c r="AB712" s="3"/>
      <c r="AC712" s="4">
        <v>20.956</v>
      </c>
      <c r="AD712" s="4"/>
      <c r="AE712" s="4"/>
      <c r="AF712" s="4"/>
      <c r="AG712" s="4"/>
      <c r="AH712" s="4">
        <v>-0.496</v>
      </c>
      <c r="AI712" s="4"/>
      <c r="AJ712" s="4"/>
      <c r="AK712" s="4"/>
      <c r="AL712" s="4"/>
    </row>
    <row r="713" spans="1:38" ht="12.75" customHeight="1" x14ac:dyDescent="0.2">
      <c r="A713" s="42" t="s">
        <v>297</v>
      </c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3">
        <v>1696.588</v>
      </c>
      <c r="R713" s="43"/>
      <c r="S713" s="43"/>
      <c r="T713" s="43"/>
      <c r="U713" s="43"/>
      <c r="V713" s="43"/>
      <c r="W713" s="43"/>
      <c r="X713" s="43">
        <v>8317.9439999999995</v>
      </c>
      <c r="Y713" s="43"/>
      <c r="Z713" s="43"/>
      <c r="AA713" s="43"/>
      <c r="AB713" s="43"/>
      <c r="AC713" s="43">
        <v>6898.7370000000001</v>
      </c>
      <c r="AD713" s="43"/>
      <c r="AE713" s="43"/>
      <c r="AF713" s="43"/>
      <c r="AG713" s="43"/>
      <c r="AH713" s="43">
        <v>1419.2070000000001</v>
      </c>
      <c r="AI713" s="43"/>
      <c r="AJ713" s="43"/>
      <c r="AK713" s="43"/>
      <c r="AL713" s="43"/>
    </row>
  </sheetData>
  <mergeCells count="2929">
    <mergeCell ref="B709:P709"/>
    <mergeCell ref="X709:AB709"/>
    <mergeCell ref="AC709:AG709"/>
    <mergeCell ref="B710:P710"/>
    <mergeCell ref="X710:AB710"/>
    <mergeCell ref="AC710:AG710"/>
    <mergeCell ref="B711:P711"/>
    <mergeCell ref="X711:AB711"/>
    <mergeCell ref="AC711:AG711"/>
    <mergeCell ref="B712:P712"/>
    <mergeCell ref="X712:AB712"/>
    <mergeCell ref="AC712:AG712"/>
    <mergeCell ref="AH712:AL712"/>
    <mergeCell ref="A713:P713"/>
    <mergeCell ref="Q713:W713"/>
    <mergeCell ref="X713:AB713"/>
    <mergeCell ref="AC713:AG713"/>
    <mergeCell ref="AH713:AL713"/>
    <mergeCell ref="B704:P704"/>
    <mergeCell ref="X704:AB704"/>
    <mergeCell ref="AC704:AG704"/>
    <mergeCell ref="B705:P705"/>
    <mergeCell ref="X705:AB705"/>
    <mergeCell ref="AC705:AG705"/>
    <mergeCell ref="AH705:AL705"/>
    <mergeCell ref="B706:P706"/>
    <mergeCell ref="X706:AB706"/>
    <mergeCell ref="AC706:AG706"/>
    <mergeCell ref="AH706:AL706"/>
    <mergeCell ref="B707:P707"/>
    <mergeCell ref="X707:AB707"/>
    <mergeCell ref="AC707:AG707"/>
    <mergeCell ref="AH707:AL707"/>
    <mergeCell ref="B708:P708"/>
    <mergeCell ref="X708:AB708"/>
    <mergeCell ref="AC708:AG708"/>
    <mergeCell ref="B699:P699"/>
    <mergeCell ref="X699:AB699"/>
    <mergeCell ref="AC699:AG699"/>
    <mergeCell ref="B700:P700"/>
    <mergeCell ref="X700:AB700"/>
    <mergeCell ref="AC700:AG700"/>
    <mergeCell ref="B701:P701"/>
    <mergeCell ref="X701:AB701"/>
    <mergeCell ref="AC701:AG701"/>
    <mergeCell ref="AH701:AL701"/>
    <mergeCell ref="B702:P702"/>
    <mergeCell ref="X702:AB702"/>
    <mergeCell ref="AC702:AG702"/>
    <mergeCell ref="AH702:AL702"/>
    <mergeCell ref="B703:P703"/>
    <mergeCell ref="X703:AB703"/>
    <mergeCell ref="AC703:AG703"/>
    <mergeCell ref="AH703:AL703"/>
    <mergeCell ref="B694:P694"/>
    <mergeCell ref="X694:AB694"/>
    <mergeCell ref="AC694:AG694"/>
    <mergeCell ref="B695:P695"/>
    <mergeCell ref="X695:AB695"/>
    <mergeCell ref="AC695:AG695"/>
    <mergeCell ref="AH695:AL695"/>
    <mergeCell ref="B696:P696"/>
    <mergeCell ref="X696:AB696"/>
    <mergeCell ref="AC696:AG696"/>
    <mergeCell ref="B697:P697"/>
    <mergeCell ref="X697:AB697"/>
    <mergeCell ref="AC697:AG697"/>
    <mergeCell ref="AH697:AL697"/>
    <mergeCell ref="B698:P698"/>
    <mergeCell ref="X698:AB698"/>
    <mergeCell ref="AC698:AG698"/>
    <mergeCell ref="B689:P689"/>
    <mergeCell ref="X689:AB689"/>
    <mergeCell ref="AC689:AG689"/>
    <mergeCell ref="B690:P690"/>
    <mergeCell ref="X690:AB690"/>
    <mergeCell ref="AC690:AG690"/>
    <mergeCell ref="AH690:AL690"/>
    <mergeCell ref="B691:P691"/>
    <mergeCell ref="X691:AB691"/>
    <mergeCell ref="AC691:AG691"/>
    <mergeCell ref="AH691:AL691"/>
    <mergeCell ref="B692:P692"/>
    <mergeCell ref="X692:AB692"/>
    <mergeCell ref="AC692:AG692"/>
    <mergeCell ref="B693:P693"/>
    <mergeCell ref="X693:AB693"/>
    <mergeCell ref="AC693:AG693"/>
    <mergeCell ref="AH693:AL693"/>
    <mergeCell ref="B684:P684"/>
    <mergeCell ref="Q684:W684"/>
    <mergeCell ref="X684:AB684"/>
    <mergeCell ref="AC684:AG684"/>
    <mergeCell ref="AH684:AL684"/>
    <mergeCell ref="B685:P685"/>
    <mergeCell ref="X685:AB685"/>
    <mergeCell ref="AC685:AG685"/>
    <mergeCell ref="AH685:AL685"/>
    <mergeCell ref="B686:P686"/>
    <mergeCell ref="X686:AB686"/>
    <mergeCell ref="AC686:AG686"/>
    <mergeCell ref="B687:P687"/>
    <mergeCell ref="X687:AB687"/>
    <mergeCell ref="AC687:AG687"/>
    <mergeCell ref="B688:P688"/>
    <mergeCell ref="X688:AB688"/>
    <mergeCell ref="AC688:AG688"/>
    <mergeCell ref="AH688:AL688"/>
    <mergeCell ref="B680:P680"/>
    <mergeCell ref="Q680:W680"/>
    <mergeCell ref="X680:AB680"/>
    <mergeCell ref="AC680:AG680"/>
    <mergeCell ref="AH680:AL680"/>
    <mergeCell ref="B681:P681"/>
    <mergeCell ref="Q681:W681"/>
    <mergeCell ref="X681:AB681"/>
    <mergeCell ref="AC681:AG681"/>
    <mergeCell ref="AH681:AL681"/>
    <mergeCell ref="B682:P682"/>
    <mergeCell ref="Q682:W682"/>
    <mergeCell ref="X682:AB682"/>
    <mergeCell ref="AC682:AG682"/>
    <mergeCell ref="AH682:AL682"/>
    <mergeCell ref="B683:P683"/>
    <mergeCell ref="Q683:W683"/>
    <mergeCell ref="X683:AB683"/>
    <mergeCell ref="AC683:AG683"/>
    <mergeCell ref="AH683:AL683"/>
    <mergeCell ref="B676:P676"/>
    <mergeCell ref="Q676:W676"/>
    <mergeCell ref="X676:AB676"/>
    <mergeCell ref="AC676:AG676"/>
    <mergeCell ref="AH676:AL676"/>
    <mergeCell ref="B677:P677"/>
    <mergeCell ref="Q677:W677"/>
    <mergeCell ref="X677:AB677"/>
    <mergeCell ref="AC677:AG677"/>
    <mergeCell ref="AH677:AL677"/>
    <mergeCell ref="B678:P678"/>
    <mergeCell ref="Q678:W678"/>
    <mergeCell ref="X678:AB678"/>
    <mergeCell ref="AC678:AG678"/>
    <mergeCell ref="AH678:AL678"/>
    <mergeCell ref="B679:P679"/>
    <mergeCell ref="Q679:W679"/>
    <mergeCell ref="X679:AB679"/>
    <mergeCell ref="AC679:AG679"/>
    <mergeCell ref="AH679:AL679"/>
    <mergeCell ref="B672:P672"/>
    <mergeCell ref="Q672:W672"/>
    <mergeCell ref="X672:AB672"/>
    <mergeCell ref="AC672:AG672"/>
    <mergeCell ref="AH672:AL672"/>
    <mergeCell ref="B673:P673"/>
    <mergeCell ref="Q673:W673"/>
    <mergeCell ref="X673:AB673"/>
    <mergeCell ref="AC673:AG673"/>
    <mergeCell ref="AH673:AL673"/>
    <mergeCell ref="B674:P674"/>
    <mergeCell ref="Q674:W674"/>
    <mergeCell ref="X674:AB674"/>
    <mergeCell ref="AC674:AG674"/>
    <mergeCell ref="AH674:AL674"/>
    <mergeCell ref="B675:P675"/>
    <mergeCell ref="Q675:W675"/>
    <mergeCell ref="X675:AB675"/>
    <mergeCell ref="AC675:AG675"/>
    <mergeCell ref="AH675:AL675"/>
    <mergeCell ref="B668:P668"/>
    <mergeCell ref="Q668:W668"/>
    <mergeCell ref="X668:AB668"/>
    <mergeCell ref="AC668:AG668"/>
    <mergeCell ref="AH668:AL668"/>
    <mergeCell ref="B669:P669"/>
    <mergeCell ref="Q669:W669"/>
    <mergeCell ref="X669:AB669"/>
    <mergeCell ref="AC669:AG669"/>
    <mergeCell ref="AH669:AL669"/>
    <mergeCell ref="B670:P670"/>
    <mergeCell ref="Q670:W670"/>
    <mergeCell ref="X670:AB670"/>
    <mergeCell ref="AC670:AG670"/>
    <mergeCell ref="AH670:AL670"/>
    <mergeCell ref="B671:P671"/>
    <mergeCell ref="Q671:W671"/>
    <mergeCell ref="X671:AB671"/>
    <mergeCell ref="AC671:AG671"/>
    <mergeCell ref="AH671:AL671"/>
    <mergeCell ref="B664:P664"/>
    <mergeCell ref="Q664:W664"/>
    <mergeCell ref="X664:AB664"/>
    <mergeCell ref="AC664:AG664"/>
    <mergeCell ref="AH664:AL664"/>
    <mergeCell ref="B665:P665"/>
    <mergeCell ref="Q665:W665"/>
    <mergeCell ref="X665:AB665"/>
    <mergeCell ref="AC665:AG665"/>
    <mergeCell ref="AH665:AL665"/>
    <mergeCell ref="B666:P666"/>
    <mergeCell ref="Q666:W666"/>
    <mergeCell ref="X666:AB666"/>
    <mergeCell ref="AC666:AG666"/>
    <mergeCell ref="AH666:AL666"/>
    <mergeCell ref="B667:P667"/>
    <mergeCell ref="Q667:W667"/>
    <mergeCell ref="X667:AB667"/>
    <mergeCell ref="AC667:AG667"/>
    <mergeCell ref="AH667:AL667"/>
    <mergeCell ref="B660:P660"/>
    <mergeCell ref="Q660:W660"/>
    <mergeCell ref="X660:AB660"/>
    <mergeCell ref="AC660:AG660"/>
    <mergeCell ref="AH660:AL660"/>
    <mergeCell ref="B661:P661"/>
    <mergeCell ref="Q661:W661"/>
    <mergeCell ref="X661:AB661"/>
    <mergeCell ref="AC661:AG661"/>
    <mergeCell ref="AH661:AL661"/>
    <mergeCell ref="B662:P662"/>
    <mergeCell ref="Q662:W662"/>
    <mergeCell ref="X662:AB662"/>
    <mergeCell ref="AC662:AG662"/>
    <mergeCell ref="AH662:AL662"/>
    <mergeCell ref="B663:P663"/>
    <mergeCell ref="Q663:W663"/>
    <mergeCell ref="X663:AB663"/>
    <mergeCell ref="AC663:AG663"/>
    <mergeCell ref="AH663:AL663"/>
    <mergeCell ref="B656:P656"/>
    <mergeCell ref="Q656:W656"/>
    <mergeCell ref="X656:AB656"/>
    <mergeCell ref="AC656:AG656"/>
    <mergeCell ref="AH656:AL656"/>
    <mergeCell ref="B657:P657"/>
    <mergeCell ref="Q657:W657"/>
    <mergeCell ref="X657:AB657"/>
    <mergeCell ref="AC657:AG657"/>
    <mergeCell ref="AH657:AL657"/>
    <mergeCell ref="B658:P658"/>
    <mergeCell ref="Q658:W658"/>
    <mergeCell ref="X658:AB658"/>
    <mergeCell ref="AC658:AG658"/>
    <mergeCell ref="AH658:AL658"/>
    <mergeCell ref="B659:P659"/>
    <mergeCell ref="Q659:W659"/>
    <mergeCell ref="X659:AB659"/>
    <mergeCell ref="AC659:AG659"/>
    <mergeCell ref="AH659:AL659"/>
    <mergeCell ref="B652:P652"/>
    <mergeCell ref="Q652:W652"/>
    <mergeCell ref="X652:AB652"/>
    <mergeCell ref="AC652:AG652"/>
    <mergeCell ref="AH652:AL652"/>
    <mergeCell ref="B653:P653"/>
    <mergeCell ref="Q653:W653"/>
    <mergeCell ref="X653:AB653"/>
    <mergeCell ref="AC653:AG653"/>
    <mergeCell ref="AH653:AL653"/>
    <mergeCell ref="B654:P654"/>
    <mergeCell ref="Q654:W654"/>
    <mergeCell ref="X654:AB654"/>
    <mergeCell ref="AC654:AG654"/>
    <mergeCell ref="AH654:AL654"/>
    <mergeCell ref="B655:P655"/>
    <mergeCell ref="Q655:W655"/>
    <mergeCell ref="X655:AB655"/>
    <mergeCell ref="AC655:AG655"/>
    <mergeCell ref="AH655:AL655"/>
    <mergeCell ref="B648:P648"/>
    <mergeCell ref="Q648:W648"/>
    <mergeCell ref="X648:AB648"/>
    <mergeCell ref="AC648:AG648"/>
    <mergeCell ref="AH648:AL648"/>
    <mergeCell ref="B649:P649"/>
    <mergeCell ref="Q649:W649"/>
    <mergeCell ref="X649:AB649"/>
    <mergeCell ref="AC649:AG649"/>
    <mergeCell ref="AH649:AL649"/>
    <mergeCell ref="B650:P650"/>
    <mergeCell ref="Q650:W650"/>
    <mergeCell ref="X650:AB650"/>
    <mergeCell ref="AC650:AG650"/>
    <mergeCell ref="AH650:AL650"/>
    <mergeCell ref="B651:P651"/>
    <mergeCell ref="Q651:W651"/>
    <mergeCell ref="X651:AB651"/>
    <mergeCell ref="AC651:AG651"/>
    <mergeCell ref="AH651:AL651"/>
    <mergeCell ref="B644:P644"/>
    <mergeCell ref="Q644:W644"/>
    <mergeCell ref="X644:AB644"/>
    <mergeCell ref="AC644:AG644"/>
    <mergeCell ref="AH644:AL644"/>
    <mergeCell ref="B645:P645"/>
    <mergeCell ref="Q645:W645"/>
    <mergeCell ref="X645:AB645"/>
    <mergeCell ref="AC645:AG645"/>
    <mergeCell ref="AH645:AL645"/>
    <mergeCell ref="B646:P646"/>
    <mergeCell ref="Q646:W646"/>
    <mergeCell ref="X646:AB646"/>
    <mergeCell ref="AC646:AG646"/>
    <mergeCell ref="AH646:AL646"/>
    <mergeCell ref="B647:P647"/>
    <mergeCell ref="Q647:W647"/>
    <mergeCell ref="X647:AB647"/>
    <mergeCell ref="AC647:AG647"/>
    <mergeCell ref="AH647:AL647"/>
    <mergeCell ref="B640:P640"/>
    <mergeCell ref="Q640:W640"/>
    <mergeCell ref="X640:AB640"/>
    <mergeCell ref="AC640:AG640"/>
    <mergeCell ref="AH640:AL640"/>
    <mergeCell ref="B641:P641"/>
    <mergeCell ref="Q641:W641"/>
    <mergeCell ref="X641:AB641"/>
    <mergeCell ref="AC641:AG641"/>
    <mergeCell ref="AH641:AL641"/>
    <mergeCell ref="B642:P642"/>
    <mergeCell ref="Q642:W642"/>
    <mergeCell ref="X642:AB642"/>
    <mergeCell ref="AC642:AG642"/>
    <mergeCell ref="AH642:AL642"/>
    <mergeCell ref="B643:P643"/>
    <mergeCell ref="Q643:W643"/>
    <mergeCell ref="X643:AB643"/>
    <mergeCell ref="AC643:AG643"/>
    <mergeCell ref="AH643:AL643"/>
    <mergeCell ref="B636:P636"/>
    <mergeCell ref="Q636:W636"/>
    <mergeCell ref="X636:AB636"/>
    <mergeCell ref="AC636:AG636"/>
    <mergeCell ref="AH636:AL636"/>
    <mergeCell ref="B637:P637"/>
    <mergeCell ref="Q637:W637"/>
    <mergeCell ref="X637:AB637"/>
    <mergeCell ref="AC637:AG637"/>
    <mergeCell ref="AH637:AL637"/>
    <mergeCell ref="B638:P638"/>
    <mergeCell ref="Q638:W638"/>
    <mergeCell ref="X638:AB638"/>
    <mergeCell ref="AC638:AG638"/>
    <mergeCell ref="AH638:AL638"/>
    <mergeCell ref="B639:P639"/>
    <mergeCell ref="Q639:W639"/>
    <mergeCell ref="X639:AB639"/>
    <mergeCell ref="AC639:AG639"/>
    <mergeCell ref="AH639:AL639"/>
    <mergeCell ref="B632:P632"/>
    <mergeCell ref="Q632:W632"/>
    <mergeCell ref="X632:AB632"/>
    <mergeCell ref="AC632:AG632"/>
    <mergeCell ref="AH632:AL632"/>
    <mergeCell ref="B633:P633"/>
    <mergeCell ref="Q633:W633"/>
    <mergeCell ref="X633:AB633"/>
    <mergeCell ref="AC633:AG633"/>
    <mergeCell ref="AH633:AL633"/>
    <mergeCell ref="B634:P634"/>
    <mergeCell ref="Q634:W634"/>
    <mergeCell ref="X634:AB634"/>
    <mergeCell ref="AC634:AG634"/>
    <mergeCell ref="AH634:AL634"/>
    <mergeCell ref="B635:P635"/>
    <mergeCell ref="Q635:W635"/>
    <mergeCell ref="X635:AB635"/>
    <mergeCell ref="AC635:AG635"/>
    <mergeCell ref="AH635:AL635"/>
    <mergeCell ref="B628:P628"/>
    <mergeCell ref="Q628:W628"/>
    <mergeCell ref="X628:AB628"/>
    <mergeCell ref="AC628:AG628"/>
    <mergeCell ref="AH628:AL628"/>
    <mergeCell ref="B629:P629"/>
    <mergeCell ref="Q629:W629"/>
    <mergeCell ref="X629:AB629"/>
    <mergeCell ref="AC629:AG629"/>
    <mergeCell ref="AH629:AL629"/>
    <mergeCell ref="B630:P630"/>
    <mergeCell ref="Q630:W630"/>
    <mergeCell ref="X630:AB630"/>
    <mergeCell ref="AC630:AG630"/>
    <mergeCell ref="AH630:AL630"/>
    <mergeCell ref="B631:P631"/>
    <mergeCell ref="Q631:W631"/>
    <mergeCell ref="X631:AB631"/>
    <mergeCell ref="AC631:AG631"/>
    <mergeCell ref="AH631:AL631"/>
    <mergeCell ref="B624:P624"/>
    <mergeCell ref="Q624:W624"/>
    <mergeCell ref="X624:AB624"/>
    <mergeCell ref="AC624:AG624"/>
    <mergeCell ref="AH624:AL624"/>
    <mergeCell ref="B625:P625"/>
    <mergeCell ref="Q625:W625"/>
    <mergeCell ref="X625:AB625"/>
    <mergeCell ref="AC625:AG625"/>
    <mergeCell ref="AH625:AL625"/>
    <mergeCell ref="B626:P626"/>
    <mergeCell ref="Q626:W626"/>
    <mergeCell ref="X626:AB626"/>
    <mergeCell ref="AC626:AG626"/>
    <mergeCell ref="AH626:AL626"/>
    <mergeCell ref="B627:P627"/>
    <mergeCell ref="Q627:W627"/>
    <mergeCell ref="X627:AB627"/>
    <mergeCell ref="AC627:AG627"/>
    <mergeCell ref="AH627:AL627"/>
    <mergeCell ref="B620:P620"/>
    <mergeCell ref="Q620:W620"/>
    <mergeCell ref="X620:AB620"/>
    <mergeCell ref="AC620:AG620"/>
    <mergeCell ref="AH620:AL620"/>
    <mergeCell ref="B621:P621"/>
    <mergeCell ref="Q621:W621"/>
    <mergeCell ref="X621:AB621"/>
    <mergeCell ref="AC621:AG621"/>
    <mergeCell ref="AH621:AL621"/>
    <mergeCell ref="B622:P622"/>
    <mergeCell ref="Q622:W622"/>
    <mergeCell ref="X622:AB622"/>
    <mergeCell ref="AC622:AG622"/>
    <mergeCell ref="AH622:AL622"/>
    <mergeCell ref="B623:P623"/>
    <mergeCell ref="Q623:W623"/>
    <mergeCell ref="X623:AB623"/>
    <mergeCell ref="AC623:AG623"/>
    <mergeCell ref="AH623:AL623"/>
    <mergeCell ref="B616:P616"/>
    <mergeCell ref="Q616:W616"/>
    <mergeCell ref="X616:AB616"/>
    <mergeCell ref="AC616:AG616"/>
    <mergeCell ref="AH616:AL616"/>
    <mergeCell ref="B617:P617"/>
    <mergeCell ref="Q617:W617"/>
    <mergeCell ref="X617:AB617"/>
    <mergeCell ref="AC617:AG617"/>
    <mergeCell ref="AH617:AL617"/>
    <mergeCell ref="B618:P618"/>
    <mergeCell ref="Q618:W618"/>
    <mergeCell ref="X618:AB618"/>
    <mergeCell ref="AC618:AG618"/>
    <mergeCell ref="AH618:AL618"/>
    <mergeCell ref="B619:P619"/>
    <mergeCell ref="Q619:W619"/>
    <mergeCell ref="X619:AB619"/>
    <mergeCell ref="AC619:AG619"/>
    <mergeCell ref="AH619:AL619"/>
    <mergeCell ref="B612:P612"/>
    <mergeCell ref="Q612:W612"/>
    <mergeCell ref="X612:AB612"/>
    <mergeCell ref="AC612:AG612"/>
    <mergeCell ref="AH612:AL612"/>
    <mergeCell ref="B613:P613"/>
    <mergeCell ref="Q613:W613"/>
    <mergeCell ref="X613:AB613"/>
    <mergeCell ref="AC613:AG613"/>
    <mergeCell ref="AH613:AL613"/>
    <mergeCell ref="B614:P614"/>
    <mergeCell ref="Q614:W614"/>
    <mergeCell ref="X614:AB614"/>
    <mergeCell ref="AC614:AG614"/>
    <mergeCell ref="AH614:AL614"/>
    <mergeCell ref="B615:P615"/>
    <mergeCell ref="Q615:W615"/>
    <mergeCell ref="X615:AB615"/>
    <mergeCell ref="AC615:AG615"/>
    <mergeCell ref="AH615:AL615"/>
    <mergeCell ref="B608:P608"/>
    <mergeCell ref="Q608:W608"/>
    <mergeCell ref="X608:AB608"/>
    <mergeCell ref="AC608:AG608"/>
    <mergeCell ref="AH608:AL608"/>
    <mergeCell ref="B609:P609"/>
    <mergeCell ref="Q609:W609"/>
    <mergeCell ref="X609:AB609"/>
    <mergeCell ref="AC609:AG609"/>
    <mergeCell ref="AH609:AL609"/>
    <mergeCell ref="B610:P610"/>
    <mergeCell ref="Q610:W610"/>
    <mergeCell ref="X610:AB610"/>
    <mergeCell ref="AC610:AG610"/>
    <mergeCell ref="AH610:AL610"/>
    <mergeCell ref="B611:P611"/>
    <mergeCell ref="Q611:W611"/>
    <mergeCell ref="X611:AB611"/>
    <mergeCell ref="AC611:AG611"/>
    <mergeCell ref="AH611:AL611"/>
    <mergeCell ref="B604:P604"/>
    <mergeCell ref="Q604:W604"/>
    <mergeCell ref="X604:AB604"/>
    <mergeCell ref="AC604:AG604"/>
    <mergeCell ref="AH604:AL604"/>
    <mergeCell ref="B605:P605"/>
    <mergeCell ref="Q605:W605"/>
    <mergeCell ref="X605:AB605"/>
    <mergeCell ref="AC605:AG605"/>
    <mergeCell ref="AH605:AL605"/>
    <mergeCell ref="B606:P606"/>
    <mergeCell ref="Q606:W606"/>
    <mergeCell ref="X606:AB606"/>
    <mergeCell ref="AC606:AG606"/>
    <mergeCell ref="AH606:AL606"/>
    <mergeCell ref="B607:P607"/>
    <mergeCell ref="Q607:W607"/>
    <mergeCell ref="X607:AB607"/>
    <mergeCell ref="AC607:AG607"/>
    <mergeCell ref="AH607:AL607"/>
    <mergeCell ref="B600:P600"/>
    <mergeCell ref="Q600:W600"/>
    <mergeCell ref="X600:AB600"/>
    <mergeCell ref="AC600:AG600"/>
    <mergeCell ref="AH600:AL600"/>
    <mergeCell ref="B601:P601"/>
    <mergeCell ref="Q601:W601"/>
    <mergeCell ref="X601:AB601"/>
    <mergeCell ref="AC601:AG601"/>
    <mergeCell ref="AH601:AL601"/>
    <mergeCell ref="B602:P602"/>
    <mergeCell ref="Q602:W602"/>
    <mergeCell ref="X602:AB602"/>
    <mergeCell ref="AC602:AG602"/>
    <mergeCell ref="AH602:AL602"/>
    <mergeCell ref="B603:P603"/>
    <mergeCell ref="Q603:W603"/>
    <mergeCell ref="X603:AB603"/>
    <mergeCell ref="AC603:AG603"/>
    <mergeCell ref="AH603:AL603"/>
    <mergeCell ref="B596:P596"/>
    <mergeCell ref="Q596:W596"/>
    <mergeCell ref="X596:AB596"/>
    <mergeCell ref="AC596:AG596"/>
    <mergeCell ref="AH596:AL596"/>
    <mergeCell ref="B597:P597"/>
    <mergeCell ref="Q597:W597"/>
    <mergeCell ref="X597:AB597"/>
    <mergeCell ref="AC597:AG597"/>
    <mergeCell ref="AH597:AL597"/>
    <mergeCell ref="B598:P598"/>
    <mergeCell ref="Q598:W598"/>
    <mergeCell ref="X598:AB598"/>
    <mergeCell ref="AC598:AG598"/>
    <mergeCell ref="AH598:AL598"/>
    <mergeCell ref="B599:P599"/>
    <mergeCell ref="Q599:W599"/>
    <mergeCell ref="X599:AB599"/>
    <mergeCell ref="AC599:AG599"/>
    <mergeCell ref="AH599:AL599"/>
    <mergeCell ref="B592:P592"/>
    <mergeCell ref="Q592:W592"/>
    <mergeCell ref="X592:AB592"/>
    <mergeCell ref="AC592:AG592"/>
    <mergeCell ref="AH592:AL592"/>
    <mergeCell ref="B593:P593"/>
    <mergeCell ref="Q593:W593"/>
    <mergeCell ref="X593:AB593"/>
    <mergeCell ref="AC593:AG593"/>
    <mergeCell ref="AH593:AL593"/>
    <mergeCell ref="B594:P594"/>
    <mergeCell ref="Q594:W594"/>
    <mergeCell ref="X594:AB594"/>
    <mergeCell ref="AC594:AG594"/>
    <mergeCell ref="AH594:AL594"/>
    <mergeCell ref="B595:P595"/>
    <mergeCell ref="Q595:W595"/>
    <mergeCell ref="X595:AB595"/>
    <mergeCell ref="AC595:AG595"/>
    <mergeCell ref="AH595:AL595"/>
    <mergeCell ref="B588:P588"/>
    <mergeCell ref="Q588:W588"/>
    <mergeCell ref="X588:AB588"/>
    <mergeCell ref="AC588:AG588"/>
    <mergeCell ref="AH588:AL588"/>
    <mergeCell ref="B589:P589"/>
    <mergeCell ref="Q589:W589"/>
    <mergeCell ref="X589:AB589"/>
    <mergeCell ref="AC589:AG589"/>
    <mergeCell ref="AH589:AL589"/>
    <mergeCell ref="B590:P590"/>
    <mergeCell ref="Q590:W590"/>
    <mergeCell ref="X590:AB590"/>
    <mergeCell ref="AC590:AG590"/>
    <mergeCell ref="AH590:AL590"/>
    <mergeCell ref="B591:P591"/>
    <mergeCell ref="Q591:W591"/>
    <mergeCell ref="X591:AB591"/>
    <mergeCell ref="AC591:AG591"/>
    <mergeCell ref="AH591:AL591"/>
    <mergeCell ref="B584:P584"/>
    <mergeCell ref="Q584:W584"/>
    <mergeCell ref="X584:AB584"/>
    <mergeCell ref="AC584:AG584"/>
    <mergeCell ref="AH584:AL584"/>
    <mergeCell ref="B585:P585"/>
    <mergeCell ref="Q585:W585"/>
    <mergeCell ref="X585:AB585"/>
    <mergeCell ref="AC585:AG585"/>
    <mergeCell ref="AH585:AL585"/>
    <mergeCell ref="B586:P586"/>
    <mergeCell ref="Q586:W586"/>
    <mergeCell ref="X586:AB586"/>
    <mergeCell ref="AC586:AG586"/>
    <mergeCell ref="AH586:AL586"/>
    <mergeCell ref="B587:P587"/>
    <mergeCell ref="Q587:W587"/>
    <mergeCell ref="X587:AB587"/>
    <mergeCell ref="AC587:AG587"/>
    <mergeCell ref="AH587:AL587"/>
    <mergeCell ref="B580:P580"/>
    <mergeCell ref="Q580:W580"/>
    <mergeCell ref="X580:AB580"/>
    <mergeCell ref="AC580:AG580"/>
    <mergeCell ref="AH580:AL580"/>
    <mergeCell ref="B581:P581"/>
    <mergeCell ref="Q581:W581"/>
    <mergeCell ref="X581:AB581"/>
    <mergeCell ref="AC581:AG581"/>
    <mergeCell ref="AH581:AL581"/>
    <mergeCell ref="B582:P582"/>
    <mergeCell ref="Q582:W582"/>
    <mergeCell ref="X582:AB582"/>
    <mergeCell ref="AC582:AG582"/>
    <mergeCell ref="AH582:AL582"/>
    <mergeCell ref="B583:P583"/>
    <mergeCell ref="Q583:W583"/>
    <mergeCell ref="X583:AB583"/>
    <mergeCell ref="AC583:AG583"/>
    <mergeCell ref="AH583:AL583"/>
    <mergeCell ref="B576:P576"/>
    <mergeCell ref="Q576:W576"/>
    <mergeCell ref="X576:AB576"/>
    <mergeCell ref="AC576:AG576"/>
    <mergeCell ref="AH576:AL576"/>
    <mergeCell ref="B577:P577"/>
    <mergeCell ref="Q577:W577"/>
    <mergeCell ref="X577:AB577"/>
    <mergeCell ref="AC577:AG577"/>
    <mergeCell ref="AH577:AL577"/>
    <mergeCell ref="B578:P578"/>
    <mergeCell ref="Q578:W578"/>
    <mergeCell ref="X578:AB578"/>
    <mergeCell ref="AC578:AG578"/>
    <mergeCell ref="AH578:AL578"/>
    <mergeCell ref="B579:P579"/>
    <mergeCell ref="Q579:W579"/>
    <mergeCell ref="X579:AB579"/>
    <mergeCell ref="AC579:AG579"/>
    <mergeCell ref="AH579:AL579"/>
    <mergeCell ref="B572:P572"/>
    <mergeCell ref="Q572:W572"/>
    <mergeCell ref="X572:AB572"/>
    <mergeCell ref="AC572:AG572"/>
    <mergeCell ref="AH572:AL572"/>
    <mergeCell ref="B573:P573"/>
    <mergeCell ref="Q573:W573"/>
    <mergeCell ref="X573:AB573"/>
    <mergeCell ref="AC573:AG573"/>
    <mergeCell ref="AH573:AL573"/>
    <mergeCell ref="B574:P574"/>
    <mergeCell ref="Q574:W574"/>
    <mergeCell ref="X574:AB574"/>
    <mergeCell ref="AC574:AG574"/>
    <mergeCell ref="AH574:AL574"/>
    <mergeCell ref="B575:P575"/>
    <mergeCell ref="Q575:W575"/>
    <mergeCell ref="X575:AB575"/>
    <mergeCell ref="AC575:AG575"/>
    <mergeCell ref="AH575:AL575"/>
    <mergeCell ref="B568:P568"/>
    <mergeCell ref="Q568:W568"/>
    <mergeCell ref="X568:AB568"/>
    <mergeCell ref="AC568:AG568"/>
    <mergeCell ref="AH568:AL568"/>
    <mergeCell ref="B569:P569"/>
    <mergeCell ref="Q569:W569"/>
    <mergeCell ref="X569:AB569"/>
    <mergeCell ref="AC569:AG569"/>
    <mergeCell ref="AH569:AL569"/>
    <mergeCell ref="B570:P570"/>
    <mergeCell ref="Q570:W570"/>
    <mergeCell ref="X570:AB570"/>
    <mergeCell ref="AC570:AG570"/>
    <mergeCell ref="AH570:AL570"/>
    <mergeCell ref="B571:P571"/>
    <mergeCell ref="Q571:W571"/>
    <mergeCell ref="X571:AB571"/>
    <mergeCell ref="AC571:AG571"/>
    <mergeCell ref="AH571:AL571"/>
    <mergeCell ref="B564:P564"/>
    <mergeCell ref="Q564:W564"/>
    <mergeCell ref="X564:AB564"/>
    <mergeCell ref="AC564:AG564"/>
    <mergeCell ref="AH564:AL564"/>
    <mergeCell ref="B565:P565"/>
    <mergeCell ref="Q565:W565"/>
    <mergeCell ref="X565:AB565"/>
    <mergeCell ref="AC565:AG565"/>
    <mergeCell ref="AH565:AL565"/>
    <mergeCell ref="B566:P566"/>
    <mergeCell ref="Q566:W566"/>
    <mergeCell ref="X566:AB566"/>
    <mergeCell ref="AC566:AG566"/>
    <mergeCell ref="AH566:AL566"/>
    <mergeCell ref="B567:P567"/>
    <mergeCell ref="Q567:W567"/>
    <mergeCell ref="X567:AB567"/>
    <mergeCell ref="AC567:AG567"/>
    <mergeCell ref="AH567:AL567"/>
    <mergeCell ref="B560:P560"/>
    <mergeCell ref="Q560:W560"/>
    <mergeCell ref="X560:AB560"/>
    <mergeCell ref="AC560:AG560"/>
    <mergeCell ref="AH560:AL560"/>
    <mergeCell ref="B561:P561"/>
    <mergeCell ref="Q561:W561"/>
    <mergeCell ref="X561:AB561"/>
    <mergeCell ref="AC561:AG561"/>
    <mergeCell ref="AH561:AL561"/>
    <mergeCell ref="B562:P562"/>
    <mergeCell ref="Q562:W562"/>
    <mergeCell ref="X562:AB562"/>
    <mergeCell ref="AC562:AG562"/>
    <mergeCell ref="AH562:AL562"/>
    <mergeCell ref="B563:P563"/>
    <mergeCell ref="Q563:W563"/>
    <mergeCell ref="X563:AB563"/>
    <mergeCell ref="AC563:AG563"/>
    <mergeCell ref="AH563:AL563"/>
    <mergeCell ref="B556:P556"/>
    <mergeCell ref="Q556:W556"/>
    <mergeCell ref="X556:AB556"/>
    <mergeCell ref="AC556:AG556"/>
    <mergeCell ref="AH556:AL556"/>
    <mergeCell ref="B557:P557"/>
    <mergeCell ref="Q557:W557"/>
    <mergeCell ref="X557:AB557"/>
    <mergeCell ref="AC557:AG557"/>
    <mergeCell ref="AH557:AL557"/>
    <mergeCell ref="B558:P558"/>
    <mergeCell ref="Q558:W558"/>
    <mergeCell ref="X558:AB558"/>
    <mergeCell ref="AC558:AG558"/>
    <mergeCell ref="AH558:AL558"/>
    <mergeCell ref="B559:P559"/>
    <mergeCell ref="Q559:W559"/>
    <mergeCell ref="X559:AB559"/>
    <mergeCell ref="AC559:AG559"/>
    <mergeCell ref="AH559:AL559"/>
    <mergeCell ref="B552:P552"/>
    <mergeCell ref="Q552:W552"/>
    <mergeCell ref="X552:AB552"/>
    <mergeCell ref="AC552:AG552"/>
    <mergeCell ref="AH552:AL552"/>
    <mergeCell ref="B553:P553"/>
    <mergeCell ref="Q553:W553"/>
    <mergeCell ref="X553:AB553"/>
    <mergeCell ref="AC553:AG553"/>
    <mergeCell ref="AH553:AL553"/>
    <mergeCell ref="B554:P554"/>
    <mergeCell ref="Q554:W554"/>
    <mergeCell ref="X554:AB554"/>
    <mergeCell ref="AC554:AG554"/>
    <mergeCell ref="AH554:AL554"/>
    <mergeCell ref="B555:P555"/>
    <mergeCell ref="Q555:W555"/>
    <mergeCell ref="X555:AB555"/>
    <mergeCell ref="AC555:AG555"/>
    <mergeCell ref="AH555:AL555"/>
    <mergeCell ref="B548:P548"/>
    <mergeCell ref="Q548:W548"/>
    <mergeCell ref="X548:AB548"/>
    <mergeCell ref="AC548:AG548"/>
    <mergeCell ref="AH548:AL548"/>
    <mergeCell ref="B549:P549"/>
    <mergeCell ref="Q549:W549"/>
    <mergeCell ref="X549:AB549"/>
    <mergeCell ref="AC549:AG549"/>
    <mergeCell ref="AH549:AL549"/>
    <mergeCell ref="B550:P550"/>
    <mergeCell ref="Q550:W550"/>
    <mergeCell ref="X550:AB550"/>
    <mergeCell ref="AC550:AG550"/>
    <mergeCell ref="AH550:AL550"/>
    <mergeCell ref="B551:P551"/>
    <mergeCell ref="Q551:W551"/>
    <mergeCell ref="X551:AB551"/>
    <mergeCell ref="AC551:AG551"/>
    <mergeCell ref="AH551:AL551"/>
    <mergeCell ref="B544:P544"/>
    <mergeCell ref="Q544:W544"/>
    <mergeCell ref="X544:AB544"/>
    <mergeCell ref="AC544:AG544"/>
    <mergeCell ref="AH544:AL544"/>
    <mergeCell ref="B545:P545"/>
    <mergeCell ref="Q545:W545"/>
    <mergeCell ref="X545:AB545"/>
    <mergeCell ref="AC545:AG545"/>
    <mergeCell ref="AH545:AL545"/>
    <mergeCell ref="B546:P546"/>
    <mergeCell ref="Q546:W546"/>
    <mergeCell ref="X546:AB546"/>
    <mergeCell ref="AC546:AG546"/>
    <mergeCell ref="AH546:AL546"/>
    <mergeCell ref="B547:P547"/>
    <mergeCell ref="Q547:W547"/>
    <mergeCell ref="X547:AB547"/>
    <mergeCell ref="AC547:AG547"/>
    <mergeCell ref="AH547:AL547"/>
    <mergeCell ref="B540:P540"/>
    <mergeCell ref="Q540:W540"/>
    <mergeCell ref="X540:AB540"/>
    <mergeCell ref="AC540:AG540"/>
    <mergeCell ref="AH540:AL540"/>
    <mergeCell ref="B541:P541"/>
    <mergeCell ref="Q541:W541"/>
    <mergeCell ref="X541:AB541"/>
    <mergeCell ref="AC541:AG541"/>
    <mergeCell ref="AH541:AL541"/>
    <mergeCell ref="B542:P542"/>
    <mergeCell ref="Q542:W542"/>
    <mergeCell ref="X542:AB542"/>
    <mergeCell ref="AC542:AG542"/>
    <mergeCell ref="AH542:AL542"/>
    <mergeCell ref="B543:P543"/>
    <mergeCell ref="Q543:W543"/>
    <mergeCell ref="X543:AB543"/>
    <mergeCell ref="AC543:AG543"/>
    <mergeCell ref="AH543:AL543"/>
    <mergeCell ref="B536:P536"/>
    <mergeCell ref="Q536:W536"/>
    <mergeCell ref="X536:AB536"/>
    <mergeCell ref="AC536:AG536"/>
    <mergeCell ref="AH536:AL536"/>
    <mergeCell ref="B537:P537"/>
    <mergeCell ref="Q537:W537"/>
    <mergeCell ref="X537:AB537"/>
    <mergeCell ref="AC537:AG537"/>
    <mergeCell ref="AH537:AL537"/>
    <mergeCell ref="B538:P538"/>
    <mergeCell ref="Q538:W538"/>
    <mergeCell ref="X538:AB538"/>
    <mergeCell ref="AH538:AL538"/>
    <mergeCell ref="B539:P539"/>
    <mergeCell ref="Q539:W539"/>
    <mergeCell ref="X539:AB539"/>
    <mergeCell ref="AC539:AG539"/>
    <mergeCell ref="AH539:AL539"/>
    <mergeCell ref="B532:P532"/>
    <mergeCell ref="Q532:W532"/>
    <mergeCell ref="X532:AB532"/>
    <mergeCell ref="AC532:AG532"/>
    <mergeCell ref="AH532:AL532"/>
    <mergeCell ref="B533:P533"/>
    <mergeCell ref="Q533:W533"/>
    <mergeCell ref="X533:AB533"/>
    <mergeCell ref="AC533:AG533"/>
    <mergeCell ref="AH533:AL533"/>
    <mergeCell ref="B534:P534"/>
    <mergeCell ref="Q534:W534"/>
    <mergeCell ref="X534:AB534"/>
    <mergeCell ref="AC534:AG534"/>
    <mergeCell ref="AH534:AL534"/>
    <mergeCell ref="B535:P535"/>
    <mergeCell ref="Q535:W535"/>
    <mergeCell ref="X535:AB535"/>
    <mergeCell ref="AC535:AG535"/>
    <mergeCell ref="AH535:AL535"/>
    <mergeCell ref="A528:A529"/>
    <mergeCell ref="B528:P529"/>
    <mergeCell ref="Q528:W529"/>
    <mergeCell ref="X528:AB528"/>
    <mergeCell ref="AC528:AG528"/>
    <mergeCell ref="AH528:AL528"/>
    <mergeCell ref="X529:AB529"/>
    <mergeCell ref="AC529:AG529"/>
    <mergeCell ref="AH529:AL529"/>
    <mergeCell ref="B530:P530"/>
    <mergeCell ref="Q530:W530"/>
    <mergeCell ref="X530:AB530"/>
    <mergeCell ref="AC530:AG530"/>
    <mergeCell ref="AH530:AL530"/>
    <mergeCell ref="B531:P531"/>
    <mergeCell ref="Q531:W531"/>
    <mergeCell ref="X531:AB531"/>
    <mergeCell ref="AC531:AG531"/>
    <mergeCell ref="AH531:AL531"/>
    <mergeCell ref="A524:F524"/>
    <mergeCell ref="G524:M524"/>
    <mergeCell ref="N524:T524"/>
    <mergeCell ref="U524:Z524"/>
    <mergeCell ref="AA524:AE524"/>
    <mergeCell ref="AF524:AJ524"/>
    <mergeCell ref="A525:F525"/>
    <mergeCell ref="G525:M525"/>
    <mergeCell ref="N525:T525"/>
    <mergeCell ref="U525:Z525"/>
    <mergeCell ref="AA525:AE525"/>
    <mergeCell ref="AF525:AJ525"/>
    <mergeCell ref="A526:M526"/>
    <mergeCell ref="N526:T526"/>
    <mergeCell ref="U526:Z526"/>
    <mergeCell ref="AA526:AE526"/>
    <mergeCell ref="AF526:AJ526"/>
    <mergeCell ref="A521:F521"/>
    <mergeCell ref="G521:M521"/>
    <mergeCell ref="N521:T521"/>
    <mergeCell ref="U521:Z521"/>
    <mergeCell ref="AA521:AE521"/>
    <mergeCell ref="AF521:AJ521"/>
    <mergeCell ref="A522:F522"/>
    <mergeCell ref="G522:M522"/>
    <mergeCell ref="N522:T522"/>
    <mergeCell ref="U522:Z522"/>
    <mergeCell ref="AA522:AE522"/>
    <mergeCell ref="AF522:AJ522"/>
    <mergeCell ref="A523:F523"/>
    <mergeCell ref="G523:M523"/>
    <mergeCell ref="N523:T523"/>
    <mergeCell ref="U523:Z523"/>
    <mergeCell ref="AA523:AE523"/>
    <mergeCell ref="AF523:AJ523"/>
    <mergeCell ref="A518:F518"/>
    <mergeCell ref="G518:M518"/>
    <mergeCell ref="N518:T518"/>
    <mergeCell ref="U518:Z518"/>
    <mergeCell ref="AA518:AE518"/>
    <mergeCell ref="AF518:AJ518"/>
    <mergeCell ref="A519:F519"/>
    <mergeCell ref="G519:M519"/>
    <mergeCell ref="N519:T519"/>
    <mergeCell ref="U519:Z519"/>
    <mergeCell ref="AA519:AE519"/>
    <mergeCell ref="AF519:AJ519"/>
    <mergeCell ref="A520:F520"/>
    <mergeCell ref="G520:M520"/>
    <mergeCell ref="N520:T520"/>
    <mergeCell ref="U520:Z520"/>
    <mergeCell ref="AA520:AE520"/>
    <mergeCell ref="AF520:AJ520"/>
    <mergeCell ref="B511:R511"/>
    <mergeCell ref="S511:X511"/>
    <mergeCell ref="Y511:AC511"/>
    <mergeCell ref="AD511:AI511"/>
    <mergeCell ref="B512:R512"/>
    <mergeCell ref="S512:X512"/>
    <mergeCell ref="Y512:AC512"/>
    <mergeCell ref="AD512:AI512"/>
    <mergeCell ref="B513:R513"/>
    <mergeCell ref="S513:X513"/>
    <mergeCell ref="Y513:AC513"/>
    <mergeCell ref="A514:R514"/>
    <mergeCell ref="S514:X514"/>
    <mergeCell ref="Y514:AC514"/>
    <mergeCell ref="AD514:AI514"/>
    <mergeCell ref="AJ514:AM514"/>
    <mergeCell ref="A516:F517"/>
    <mergeCell ref="G516:M517"/>
    <mergeCell ref="N516:T516"/>
    <mergeCell ref="U516:Z516"/>
    <mergeCell ref="AA516:AE516"/>
    <mergeCell ref="AF516:AJ517"/>
    <mergeCell ref="N517:T517"/>
    <mergeCell ref="U517:Z517"/>
    <mergeCell ref="AA517:AE517"/>
    <mergeCell ref="B506:R506"/>
    <mergeCell ref="S506:X506"/>
    <mergeCell ref="Y506:AC506"/>
    <mergeCell ref="AD506:AI506"/>
    <mergeCell ref="B507:R507"/>
    <mergeCell ref="S507:X507"/>
    <mergeCell ref="Y507:AC507"/>
    <mergeCell ref="B508:R508"/>
    <mergeCell ref="S508:X508"/>
    <mergeCell ref="Y508:AC508"/>
    <mergeCell ref="AD508:AI508"/>
    <mergeCell ref="B509:R509"/>
    <mergeCell ref="S509:X509"/>
    <mergeCell ref="Y509:AC509"/>
    <mergeCell ref="AD509:AI509"/>
    <mergeCell ref="B510:R510"/>
    <mergeCell ref="S510:X510"/>
    <mergeCell ref="Y510:AC510"/>
    <mergeCell ref="B500:R500"/>
    <mergeCell ref="S500:X500"/>
    <mergeCell ref="Y500:AC500"/>
    <mergeCell ref="B501:R501"/>
    <mergeCell ref="S501:X501"/>
    <mergeCell ref="Y501:AC501"/>
    <mergeCell ref="B502:R502"/>
    <mergeCell ref="S502:X502"/>
    <mergeCell ref="Y502:AC502"/>
    <mergeCell ref="AD502:AI502"/>
    <mergeCell ref="B503:R503"/>
    <mergeCell ref="S503:X503"/>
    <mergeCell ref="Y503:AC503"/>
    <mergeCell ref="B504:R504"/>
    <mergeCell ref="S504:X504"/>
    <mergeCell ref="Y504:AC504"/>
    <mergeCell ref="B505:R505"/>
    <mergeCell ref="S505:X505"/>
    <mergeCell ref="Y505:AC505"/>
    <mergeCell ref="AD505:AI505"/>
    <mergeCell ref="B495:R495"/>
    <mergeCell ref="S495:X495"/>
    <mergeCell ref="Y495:AC495"/>
    <mergeCell ref="AD495:AI495"/>
    <mergeCell ref="B496:R496"/>
    <mergeCell ref="S496:X496"/>
    <mergeCell ref="Y496:AC496"/>
    <mergeCell ref="AD496:AI496"/>
    <mergeCell ref="B497:R497"/>
    <mergeCell ref="S497:X497"/>
    <mergeCell ref="Y497:AC497"/>
    <mergeCell ref="AD497:AI497"/>
    <mergeCell ref="B498:R498"/>
    <mergeCell ref="S498:X498"/>
    <mergeCell ref="Y498:AC498"/>
    <mergeCell ref="B499:R499"/>
    <mergeCell ref="S499:X499"/>
    <mergeCell ref="Y499:AC499"/>
    <mergeCell ref="AD499:AI499"/>
    <mergeCell ref="B490:R490"/>
    <mergeCell ref="S490:X490"/>
    <mergeCell ref="Y490:AC490"/>
    <mergeCell ref="AD490:AI490"/>
    <mergeCell ref="B491:R491"/>
    <mergeCell ref="S491:X491"/>
    <mergeCell ref="Y491:AC491"/>
    <mergeCell ref="AD491:AI491"/>
    <mergeCell ref="B492:R492"/>
    <mergeCell ref="S492:X492"/>
    <mergeCell ref="Y492:AC492"/>
    <mergeCell ref="AD492:AI492"/>
    <mergeCell ref="B493:R493"/>
    <mergeCell ref="S493:X493"/>
    <mergeCell ref="Y493:AC493"/>
    <mergeCell ref="AD493:AI493"/>
    <mergeCell ref="B494:R494"/>
    <mergeCell ref="S494:X494"/>
    <mergeCell ref="Y494:AC494"/>
    <mergeCell ref="AD494:AI494"/>
    <mergeCell ref="B485:R485"/>
    <mergeCell ref="S485:X485"/>
    <mergeCell ref="Y485:AC485"/>
    <mergeCell ref="AD485:AI485"/>
    <mergeCell ref="B486:R486"/>
    <mergeCell ref="S486:X486"/>
    <mergeCell ref="Y486:AC486"/>
    <mergeCell ref="AD486:AI486"/>
    <mergeCell ref="B487:R487"/>
    <mergeCell ref="S487:X487"/>
    <mergeCell ref="Y487:AC487"/>
    <mergeCell ref="AD487:AI487"/>
    <mergeCell ref="B488:R488"/>
    <mergeCell ref="S488:X488"/>
    <mergeCell ref="Y488:AC488"/>
    <mergeCell ref="AD488:AI488"/>
    <mergeCell ref="B489:R489"/>
    <mergeCell ref="S489:X489"/>
    <mergeCell ref="Y489:AC489"/>
    <mergeCell ref="AD489:AI489"/>
    <mergeCell ref="B480:R480"/>
    <mergeCell ref="S480:X480"/>
    <mergeCell ref="Y480:AC480"/>
    <mergeCell ref="AD480:AI480"/>
    <mergeCell ref="B481:R481"/>
    <mergeCell ref="S481:X481"/>
    <mergeCell ref="Y481:AC481"/>
    <mergeCell ref="AD481:AI481"/>
    <mergeCell ref="B482:R482"/>
    <mergeCell ref="S482:X482"/>
    <mergeCell ref="Y482:AC482"/>
    <mergeCell ref="AD482:AI482"/>
    <mergeCell ref="B483:R483"/>
    <mergeCell ref="S483:X483"/>
    <mergeCell ref="Y483:AC483"/>
    <mergeCell ref="AD483:AI483"/>
    <mergeCell ref="B484:R484"/>
    <mergeCell ref="S484:X484"/>
    <mergeCell ref="Y484:AC484"/>
    <mergeCell ref="AD484:AI484"/>
    <mergeCell ref="B475:R475"/>
    <mergeCell ref="S475:X475"/>
    <mergeCell ref="Y475:AC475"/>
    <mergeCell ref="AD475:AI475"/>
    <mergeCell ref="B476:R476"/>
    <mergeCell ref="S476:X476"/>
    <mergeCell ref="Y476:AC476"/>
    <mergeCell ref="AD476:AI476"/>
    <mergeCell ref="B477:R477"/>
    <mergeCell ref="S477:X477"/>
    <mergeCell ref="Y477:AC477"/>
    <mergeCell ref="AD477:AI477"/>
    <mergeCell ref="B478:R478"/>
    <mergeCell ref="S478:X478"/>
    <mergeCell ref="Y478:AC478"/>
    <mergeCell ref="AD478:AI478"/>
    <mergeCell ref="B479:R479"/>
    <mergeCell ref="S479:X479"/>
    <mergeCell ref="Y479:AC479"/>
    <mergeCell ref="AD479:AI479"/>
    <mergeCell ref="B470:R470"/>
    <mergeCell ref="S470:X470"/>
    <mergeCell ref="Y470:AC470"/>
    <mergeCell ref="AD470:AI470"/>
    <mergeCell ref="B471:R471"/>
    <mergeCell ref="S471:X471"/>
    <mergeCell ref="Y471:AC471"/>
    <mergeCell ref="AD471:AI471"/>
    <mergeCell ref="B472:R472"/>
    <mergeCell ref="S472:X472"/>
    <mergeCell ref="Y472:AC472"/>
    <mergeCell ref="AD472:AI472"/>
    <mergeCell ref="B473:R473"/>
    <mergeCell ref="S473:X473"/>
    <mergeCell ref="Y473:AC473"/>
    <mergeCell ref="AD473:AI473"/>
    <mergeCell ref="B474:R474"/>
    <mergeCell ref="S474:X474"/>
    <mergeCell ref="Y474:AC474"/>
    <mergeCell ref="AD474:AI474"/>
    <mergeCell ref="B465:R465"/>
    <mergeCell ref="S465:X465"/>
    <mergeCell ref="Y465:AC465"/>
    <mergeCell ref="AD465:AI465"/>
    <mergeCell ref="B466:R466"/>
    <mergeCell ref="S466:X466"/>
    <mergeCell ref="Y466:AC466"/>
    <mergeCell ref="AD466:AI466"/>
    <mergeCell ref="B467:R467"/>
    <mergeCell ref="S467:X467"/>
    <mergeCell ref="Y467:AC467"/>
    <mergeCell ref="AD467:AI467"/>
    <mergeCell ref="B468:R468"/>
    <mergeCell ref="S468:X468"/>
    <mergeCell ref="Y468:AC468"/>
    <mergeCell ref="AD468:AI468"/>
    <mergeCell ref="B469:R469"/>
    <mergeCell ref="S469:X469"/>
    <mergeCell ref="Y469:AC469"/>
    <mergeCell ref="AD469:AI469"/>
    <mergeCell ref="B460:R460"/>
    <mergeCell ref="S460:X460"/>
    <mergeCell ref="Y460:AC460"/>
    <mergeCell ref="AD460:AI460"/>
    <mergeCell ref="B461:R461"/>
    <mergeCell ref="S461:X461"/>
    <mergeCell ref="Y461:AC461"/>
    <mergeCell ref="AD461:AI461"/>
    <mergeCell ref="B462:R462"/>
    <mergeCell ref="S462:X462"/>
    <mergeCell ref="Y462:AC462"/>
    <mergeCell ref="AD462:AI462"/>
    <mergeCell ref="B463:R463"/>
    <mergeCell ref="S463:X463"/>
    <mergeCell ref="Y463:AC463"/>
    <mergeCell ref="AD463:AI463"/>
    <mergeCell ref="B464:R464"/>
    <mergeCell ref="S464:X464"/>
    <mergeCell ref="Y464:AC464"/>
    <mergeCell ref="AD464:AI464"/>
    <mergeCell ref="B455:R455"/>
    <mergeCell ref="S455:X455"/>
    <mergeCell ref="Y455:AC455"/>
    <mergeCell ref="AD455:AI455"/>
    <mergeCell ref="B456:R456"/>
    <mergeCell ref="S456:X456"/>
    <mergeCell ref="Y456:AC456"/>
    <mergeCell ref="AD456:AI456"/>
    <mergeCell ref="B457:R457"/>
    <mergeCell ref="S457:X457"/>
    <mergeCell ref="Y457:AC457"/>
    <mergeCell ref="AD457:AI457"/>
    <mergeCell ref="B458:R458"/>
    <mergeCell ref="S458:X458"/>
    <mergeCell ref="Y458:AC458"/>
    <mergeCell ref="AD458:AI458"/>
    <mergeCell ref="B459:R459"/>
    <mergeCell ref="S459:X459"/>
    <mergeCell ref="Y459:AC459"/>
    <mergeCell ref="AD459:AI459"/>
    <mergeCell ref="B451:R451"/>
    <mergeCell ref="S451:X451"/>
    <mergeCell ref="Y451:AC451"/>
    <mergeCell ref="AD451:AI451"/>
    <mergeCell ref="B452:R452"/>
    <mergeCell ref="S452:X452"/>
    <mergeCell ref="Y452:AC452"/>
    <mergeCell ref="AD452:AI452"/>
    <mergeCell ref="B453:R453"/>
    <mergeCell ref="S453:X453"/>
    <mergeCell ref="Y453:AC453"/>
    <mergeCell ref="AD453:AI453"/>
    <mergeCell ref="A454:R454"/>
    <mergeCell ref="S454:X454"/>
    <mergeCell ref="Y454:AC454"/>
    <mergeCell ref="AD454:AI454"/>
    <mergeCell ref="AJ454:AM454"/>
    <mergeCell ref="B446:R446"/>
    <mergeCell ref="S446:X446"/>
    <mergeCell ref="Y446:AC446"/>
    <mergeCell ref="AD446:AI446"/>
    <mergeCell ref="B447:R447"/>
    <mergeCell ref="S447:X447"/>
    <mergeCell ref="Y447:AC447"/>
    <mergeCell ref="AD447:AI447"/>
    <mergeCell ref="B448:R448"/>
    <mergeCell ref="S448:X448"/>
    <mergeCell ref="Y448:AC448"/>
    <mergeCell ref="AD448:AI448"/>
    <mergeCell ref="B449:R449"/>
    <mergeCell ref="S449:X449"/>
    <mergeCell ref="Y449:AC449"/>
    <mergeCell ref="AD449:AI449"/>
    <mergeCell ref="B450:R450"/>
    <mergeCell ref="S450:X450"/>
    <mergeCell ref="Y450:AC450"/>
    <mergeCell ref="AD450:AI450"/>
    <mergeCell ref="AJ441:AM441"/>
    <mergeCell ref="B442:R442"/>
    <mergeCell ref="S442:X442"/>
    <mergeCell ref="Y442:AC442"/>
    <mergeCell ref="AD442:AI442"/>
    <mergeCell ref="B443:R443"/>
    <mergeCell ref="S443:X443"/>
    <mergeCell ref="Y443:AC443"/>
    <mergeCell ref="AD443:AI443"/>
    <mergeCell ref="B444:R444"/>
    <mergeCell ref="S444:X444"/>
    <mergeCell ref="Y444:AC444"/>
    <mergeCell ref="AD444:AI444"/>
    <mergeCell ref="B445:R445"/>
    <mergeCell ref="S445:X445"/>
    <mergeCell ref="Y445:AC445"/>
    <mergeCell ref="AD445:AI445"/>
    <mergeCell ref="B437:R437"/>
    <mergeCell ref="S437:X437"/>
    <mergeCell ref="Y437:AC437"/>
    <mergeCell ref="AD437:AI437"/>
    <mergeCell ref="B438:R438"/>
    <mergeCell ref="S438:X438"/>
    <mergeCell ref="Y438:AC438"/>
    <mergeCell ref="AD438:AI438"/>
    <mergeCell ref="B439:R439"/>
    <mergeCell ref="S439:X439"/>
    <mergeCell ref="Y439:AC439"/>
    <mergeCell ref="AD439:AI439"/>
    <mergeCell ref="B440:R440"/>
    <mergeCell ref="S440:X440"/>
    <mergeCell ref="Y440:AC440"/>
    <mergeCell ref="AD440:AI440"/>
    <mergeCell ref="A441:R441"/>
    <mergeCell ref="S441:X441"/>
    <mergeCell ref="Y441:AC441"/>
    <mergeCell ref="AD441:AI441"/>
    <mergeCell ref="B432:R432"/>
    <mergeCell ref="S432:X432"/>
    <mergeCell ref="Y432:AC432"/>
    <mergeCell ref="AD432:AI432"/>
    <mergeCell ref="B433:R433"/>
    <mergeCell ref="S433:X433"/>
    <mergeCell ref="Y433:AC433"/>
    <mergeCell ref="B434:R434"/>
    <mergeCell ref="S434:X434"/>
    <mergeCell ref="Y434:AC434"/>
    <mergeCell ref="A435:R435"/>
    <mergeCell ref="S435:X435"/>
    <mergeCell ref="Y435:AC435"/>
    <mergeCell ref="AD435:AI435"/>
    <mergeCell ref="AJ435:AM435"/>
    <mergeCell ref="B436:R436"/>
    <mergeCell ref="S436:X436"/>
    <mergeCell ref="AD436:AI436"/>
    <mergeCell ref="B427:R427"/>
    <mergeCell ref="S427:X427"/>
    <mergeCell ref="Y427:AC427"/>
    <mergeCell ref="AD427:AI427"/>
    <mergeCell ref="B428:R428"/>
    <mergeCell ref="S428:X428"/>
    <mergeCell ref="Y428:AC428"/>
    <mergeCell ref="AD428:AI428"/>
    <mergeCell ref="B429:R429"/>
    <mergeCell ref="S429:X429"/>
    <mergeCell ref="Y429:AC429"/>
    <mergeCell ref="AD429:AI429"/>
    <mergeCell ref="B430:R430"/>
    <mergeCell ref="S430:X430"/>
    <mergeCell ref="Y430:AC430"/>
    <mergeCell ref="AD430:AI430"/>
    <mergeCell ref="B431:R431"/>
    <mergeCell ref="S431:X431"/>
    <mergeCell ref="Y431:AC431"/>
    <mergeCell ref="AD431:AI431"/>
    <mergeCell ref="B422:R422"/>
    <mergeCell ref="S422:X422"/>
    <mergeCell ref="Y422:AC422"/>
    <mergeCell ref="AD422:AI422"/>
    <mergeCell ref="B423:R423"/>
    <mergeCell ref="S423:X423"/>
    <mergeCell ref="Y423:AC423"/>
    <mergeCell ref="AD423:AI423"/>
    <mergeCell ref="B424:R424"/>
    <mergeCell ref="S424:X424"/>
    <mergeCell ref="Y424:AC424"/>
    <mergeCell ref="AD424:AI424"/>
    <mergeCell ref="B425:R425"/>
    <mergeCell ref="S425:X425"/>
    <mergeCell ref="Y425:AC425"/>
    <mergeCell ref="AD425:AI425"/>
    <mergeCell ref="B426:R426"/>
    <mergeCell ref="S426:X426"/>
    <mergeCell ref="Y426:AC426"/>
    <mergeCell ref="AD426:AI426"/>
    <mergeCell ref="B417:R417"/>
    <mergeCell ref="S417:X417"/>
    <mergeCell ref="Y417:AC417"/>
    <mergeCell ref="AD417:AI417"/>
    <mergeCell ref="B418:R418"/>
    <mergeCell ref="S418:X418"/>
    <mergeCell ref="Y418:AC418"/>
    <mergeCell ref="AD418:AI418"/>
    <mergeCell ref="B419:R419"/>
    <mergeCell ref="S419:X419"/>
    <mergeCell ref="Y419:AC419"/>
    <mergeCell ref="AD419:AI419"/>
    <mergeCell ref="B420:R420"/>
    <mergeCell ref="S420:X420"/>
    <mergeCell ref="Y420:AC420"/>
    <mergeCell ref="AD420:AI420"/>
    <mergeCell ref="B421:R421"/>
    <mergeCell ref="S421:X421"/>
    <mergeCell ref="Y421:AC421"/>
    <mergeCell ref="AD421:AI421"/>
    <mergeCell ref="B412:R412"/>
    <mergeCell ref="S412:X412"/>
    <mergeCell ref="Y412:AC412"/>
    <mergeCell ref="AD412:AI412"/>
    <mergeCell ref="B413:R413"/>
    <mergeCell ref="S413:X413"/>
    <mergeCell ref="Y413:AC413"/>
    <mergeCell ref="AD413:AI413"/>
    <mergeCell ref="B414:R414"/>
    <mergeCell ref="S414:X414"/>
    <mergeCell ref="Y414:AC414"/>
    <mergeCell ref="AD414:AI414"/>
    <mergeCell ref="B415:R415"/>
    <mergeCell ref="S415:X415"/>
    <mergeCell ref="Y415:AC415"/>
    <mergeCell ref="AD415:AI415"/>
    <mergeCell ref="B416:R416"/>
    <mergeCell ref="S416:X416"/>
    <mergeCell ref="Y416:AC416"/>
    <mergeCell ref="AD416:AI416"/>
    <mergeCell ref="B407:R407"/>
    <mergeCell ref="S407:X407"/>
    <mergeCell ref="Y407:AC407"/>
    <mergeCell ref="AD407:AI407"/>
    <mergeCell ref="B408:R408"/>
    <mergeCell ref="S408:X408"/>
    <mergeCell ref="Y408:AC408"/>
    <mergeCell ref="AD408:AI408"/>
    <mergeCell ref="B409:R409"/>
    <mergeCell ref="S409:X409"/>
    <mergeCell ref="Y409:AC409"/>
    <mergeCell ref="AD409:AI409"/>
    <mergeCell ref="B410:R410"/>
    <mergeCell ref="S410:X410"/>
    <mergeCell ref="Y410:AC410"/>
    <mergeCell ref="AD410:AI410"/>
    <mergeCell ref="B411:R411"/>
    <mergeCell ref="S411:X411"/>
    <mergeCell ref="Y411:AC411"/>
    <mergeCell ref="AD411:AI411"/>
    <mergeCell ref="B402:R402"/>
    <mergeCell ref="S402:X402"/>
    <mergeCell ref="Y402:AC402"/>
    <mergeCell ref="B403:R403"/>
    <mergeCell ref="S403:X403"/>
    <mergeCell ref="Y403:AC403"/>
    <mergeCell ref="A404:R404"/>
    <mergeCell ref="S404:X404"/>
    <mergeCell ref="Y404:AC404"/>
    <mergeCell ref="AD404:AI404"/>
    <mergeCell ref="AJ404:AM404"/>
    <mergeCell ref="B405:R405"/>
    <mergeCell ref="S405:X405"/>
    <mergeCell ref="Y405:AC405"/>
    <mergeCell ref="AD405:AI405"/>
    <mergeCell ref="B406:R406"/>
    <mergeCell ref="S406:X406"/>
    <mergeCell ref="Y406:AC406"/>
    <mergeCell ref="AD406:AI406"/>
    <mergeCell ref="B397:R397"/>
    <mergeCell ref="S397:X397"/>
    <mergeCell ref="Y397:AC397"/>
    <mergeCell ref="AD397:AI397"/>
    <mergeCell ref="B398:R398"/>
    <mergeCell ref="S398:X398"/>
    <mergeCell ref="Y398:AC398"/>
    <mergeCell ref="AD398:AI398"/>
    <mergeCell ref="B399:R399"/>
    <mergeCell ref="S399:X399"/>
    <mergeCell ref="Y399:AC399"/>
    <mergeCell ref="AD399:AI399"/>
    <mergeCell ref="B400:R400"/>
    <mergeCell ref="S400:X400"/>
    <mergeCell ref="Y400:AC400"/>
    <mergeCell ref="AD400:AI400"/>
    <mergeCell ref="B401:R401"/>
    <mergeCell ref="S401:X401"/>
    <mergeCell ref="Y401:AC401"/>
    <mergeCell ref="AD401:AI401"/>
    <mergeCell ref="B392:R392"/>
    <mergeCell ref="S392:X392"/>
    <mergeCell ref="Y392:AC392"/>
    <mergeCell ref="AD392:AI392"/>
    <mergeCell ref="B393:R393"/>
    <mergeCell ref="S393:X393"/>
    <mergeCell ref="Y393:AC393"/>
    <mergeCell ref="AD393:AI393"/>
    <mergeCell ref="B394:R394"/>
    <mergeCell ref="S394:X394"/>
    <mergeCell ref="Y394:AC394"/>
    <mergeCell ref="AD394:AI394"/>
    <mergeCell ref="B395:R395"/>
    <mergeCell ref="S395:X395"/>
    <mergeCell ref="Y395:AC395"/>
    <mergeCell ref="AD395:AI395"/>
    <mergeCell ref="B396:R396"/>
    <mergeCell ref="S396:X396"/>
    <mergeCell ref="Y396:AC396"/>
    <mergeCell ref="AD396:AI396"/>
    <mergeCell ref="A388:R388"/>
    <mergeCell ref="S388:X388"/>
    <mergeCell ref="Y388:AC388"/>
    <mergeCell ref="AD388:AI388"/>
    <mergeCell ref="AJ388:AM388"/>
    <mergeCell ref="B389:R389"/>
    <mergeCell ref="S389:X389"/>
    <mergeCell ref="Y389:AC389"/>
    <mergeCell ref="AD389:AI389"/>
    <mergeCell ref="B390:R390"/>
    <mergeCell ref="S390:X390"/>
    <mergeCell ref="Y390:AC390"/>
    <mergeCell ref="AD390:AI390"/>
    <mergeCell ref="B391:R391"/>
    <mergeCell ref="S391:X391"/>
    <mergeCell ref="Y391:AC391"/>
    <mergeCell ref="AD391:AI391"/>
    <mergeCell ref="B383:R383"/>
    <mergeCell ref="S383:X383"/>
    <mergeCell ref="Y383:AC383"/>
    <mergeCell ref="AD383:AI383"/>
    <mergeCell ref="B384:R384"/>
    <mergeCell ref="S384:X384"/>
    <mergeCell ref="Y384:AC384"/>
    <mergeCell ref="AD384:AI384"/>
    <mergeCell ref="B385:R385"/>
    <mergeCell ref="S385:X385"/>
    <mergeCell ref="Y385:AC385"/>
    <mergeCell ref="AD385:AI385"/>
    <mergeCell ref="B386:R386"/>
    <mergeCell ref="S386:X386"/>
    <mergeCell ref="Y386:AC386"/>
    <mergeCell ref="B387:R387"/>
    <mergeCell ref="S387:X387"/>
    <mergeCell ref="Y387:AC387"/>
    <mergeCell ref="B378:R378"/>
    <mergeCell ref="S378:X378"/>
    <mergeCell ref="Y378:AC378"/>
    <mergeCell ref="AD378:AI378"/>
    <mergeCell ref="B379:R379"/>
    <mergeCell ref="S379:X379"/>
    <mergeCell ref="Y379:AC379"/>
    <mergeCell ref="AD379:AI379"/>
    <mergeCell ref="B380:R380"/>
    <mergeCell ref="S380:X380"/>
    <mergeCell ref="Y380:AC380"/>
    <mergeCell ref="AD380:AI380"/>
    <mergeCell ref="B381:R381"/>
    <mergeCell ref="S381:X381"/>
    <mergeCell ref="Y381:AC381"/>
    <mergeCell ref="AD381:AI381"/>
    <mergeCell ref="B382:R382"/>
    <mergeCell ref="S382:X382"/>
    <mergeCell ref="Y382:AC382"/>
    <mergeCell ref="AD382:AI382"/>
    <mergeCell ref="B373:R373"/>
    <mergeCell ref="S373:X373"/>
    <mergeCell ref="Y373:AC373"/>
    <mergeCell ref="AD373:AI373"/>
    <mergeCell ref="B374:R374"/>
    <mergeCell ref="S374:X374"/>
    <mergeCell ref="Y374:AC374"/>
    <mergeCell ref="AD374:AI374"/>
    <mergeCell ref="B375:R375"/>
    <mergeCell ref="S375:X375"/>
    <mergeCell ref="Y375:AC375"/>
    <mergeCell ref="AD375:AI375"/>
    <mergeCell ref="B376:R376"/>
    <mergeCell ref="S376:X376"/>
    <mergeCell ref="Y376:AC376"/>
    <mergeCell ref="AD376:AI376"/>
    <mergeCell ref="B377:R377"/>
    <mergeCell ref="S377:X377"/>
    <mergeCell ref="Y377:AC377"/>
    <mergeCell ref="AD377:AI377"/>
    <mergeCell ref="B368:R368"/>
    <mergeCell ref="S368:X368"/>
    <mergeCell ref="Y368:AC368"/>
    <mergeCell ref="AD368:AI368"/>
    <mergeCell ref="B369:R369"/>
    <mergeCell ref="S369:X369"/>
    <mergeCell ref="Y369:AC369"/>
    <mergeCell ref="AD369:AI369"/>
    <mergeCell ref="B370:R370"/>
    <mergeCell ref="S370:X370"/>
    <mergeCell ref="Y370:AC370"/>
    <mergeCell ref="AD370:AI370"/>
    <mergeCell ref="B371:R371"/>
    <mergeCell ref="S371:X371"/>
    <mergeCell ref="Y371:AC371"/>
    <mergeCell ref="AD371:AI371"/>
    <mergeCell ref="B372:R372"/>
    <mergeCell ref="S372:X372"/>
    <mergeCell ref="Y372:AC372"/>
    <mergeCell ref="AD372:AI372"/>
    <mergeCell ref="B364:R364"/>
    <mergeCell ref="S364:X364"/>
    <mergeCell ref="Y364:AC364"/>
    <mergeCell ref="AD364:AI364"/>
    <mergeCell ref="A365:R365"/>
    <mergeCell ref="S365:X365"/>
    <mergeCell ref="Y365:AC365"/>
    <mergeCell ref="AD365:AI365"/>
    <mergeCell ref="AJ365:AM365"/>
    <mergeCell ref="B366:R366"/>
    <mergeCell ref="S366:X366"/>
    <mergeCell ref="Y366:AC366"/>
    <mergeCell ref="AD366:AI366"/>
    <mergeCell ref="B367:R367"/>
    <mergeCell ref="S367:X367"/>
    <mergeCell ref="Y367:AC367"/>
    <mergeCell ref="AD367:AI367"/>
    <mergeCell ref="B359:R359"/>
    <mergeCell ref="S359:X359"/>
    <mergeCell ref="Y359:AC359"/>
    <mergeCell ref="AD359:AI359"/>
    <mergeCell ref="B360:R360"/>
    <mergeCell ref="S360:X360"/>
    <mergeCell ref="Y360:AC360"/>
    <mergeCell ref="AD360:AI360"/>
    <mergeCell ref="B361:R361"/>
    <mergeCell ref="S361:X361"/>
    <mergeCell ref="Y361:AC361"/>
    <mergeCell ref="AD361:AI361"/>
    <mergeCell ref="B362:R362"/>
    <mergeCell ref="S362:X362"/>
    <mergeCell ref="Y362:AC362"/>
    <mergeCell ref="AD362:AI362"/>
    <mergeCell ref="B363:R363"/>
    <mergeCell ref="S363:X363"/>
    <mergeCell ref="Y363:AC363"/>
    <mergeCell ref="AD363:AI363"/>
    <mergeCell ref="B354:R354"/>
    <mergeCell ref="S354:X354"/>
    <mergeCell ref="Y354:AC354"/>
    <mergeCell ref="AD354:AI354"/>
    <mergeCell ref="B355:R355"/>
    <mergeCell ref="S355:X355"/>
    <mergeCell ref="Y355:AC355"/>
    <mergeCell ref="AD355:AI355"/>
    <mergeCell ref="B356:R356"/>
    <mergeCell ref="S356:X356"/>
    <mergeCell ref="Y356:AC356"/>
    <mergeCell ref="AD356:AI356"/>
    <mergeCell ref="B357:R357"/>
    <mergeCell ref="S357:X357"/>
    <mergeCell ref="Y357:AC357"/>
    <mergeCell ref="AD357:AI357"/>
    <mergeCell ref="B358:R358"/>
    <mergeCell ref="S358:X358"/>
    <mergeCell ref="Y358:AC358"/>
    <mergeCell ref="AD358:AI358"/>
    <mergeCell ref="AJ349:AM349"/>
    <mergeCell ref="B350:R350"/>
    <mergeCell ref="S350:X350"/>
    <mergeCell ref="Y350:AC350"/>
    <mergeCell ref="AD350:AI350"/>
    <mergeCell ref="B351:R351"/>
    <mergeCell ref="S351:X351"/>
    <mergeCell ref="Y351:AC351"/>
    <mergeCell ref="AD351:AI351"/>
    <mergeCell ref="B352:R352"/>
    <mergeCell ref="S352:X352"/>
    <mergeCell ref="Y352:AC352"/>
    <mergeCell ref="AD352:AI352"/>
    <mergeCell ref="B353:R353"/>
    <mergeCell ref="S353:X353"/>
    <mergeCell ref="Y353:AC353"/>
    <mergeCell ref="AD353:AI353"/>
    <mergeCell ref="B345:R345"/>
    <mergeCell ref="S345:X345"/>
    <mergeCell ref="Y345:AC345"/>
    <mergeCell ref="AD345:AI345"/>
    <mergeCell ref="B346:R346"/>
    <mergeCell ref="S346:X346"/>
    <mergeCell ref="Y346:AC346"/>
    <mergeCell ref="AD346:AI346"/>
    <mergeCell ref="B347:R347"/>
    <mergeCell ref="S347:X347"/>
    <mergeCell ref="Y347:AC347"/>
    <mergeCell ref="AD347:AI347"/>
    <mergeCell ref="B348:R348"/>
    <mergeCell ref="S348:X348"/>
    <mergeCell ref="Y348:AC348"/>
    <mergeCell ref="AD348:AI348"/>
    <mergeCell ref="A349:R349"/>
    <mergeCell ref="S349:X349"/>
    <mergeCell ref="Y349:AC349"/>
    <mergeCell ref="AD349:AI349"/>
    <mergeCell ref="B340:R340"/>
    <mergeCell ref="S340:X340"/>
    <mergeCell ref="Y340:AC340"/>
    <mergeCell ref="AD340:AI340"/>
    <mergeCell ref="B341:R341"/>
    <mergeCell ref="S341:X341"/>
    <mergeCell ref="Y341:AC341"/>
    <mergeCell ref="AD341:AI341"/>
    <mergeCell ref="B342:R342"/>
    <mergeCell ref="S342:X342"/>
    <mergeCell ref="Y342:AC342"/>
    <mergeCell ref="AD342:AI342"/>
    <mergeCell ref="B343:R343"/>
    <mergeCell ref="S343:X343"/>
    <mergeCell ref="Y343:AC343"/>
    <mergeCell ref="AD343:AI343"/>
    <mergeCell ref="B344:R344"/>
    <mergeCell ref="S344:X344"/>
    <mergeCell ref="Y344:AC344"/>
    <mergeCell ref="AD344:AI344"/>
    <mergeCell ref="B335:R335"/>
    <mergeCell ref="S335:X335"/>
    <mergeCell ref="Y335:AC335"/>
    <mergeCell ref="AD335:AI335"/>
    <mergeCell ref="B336:R336"/>
    <mergeCell ref="S336:X336"/>
    <mergeCell ref="Y336:AC336"/>
    <mergeCell ref="AD336:AI336"/>
    <mergeCell ref="B337:R337"/>
    <mergeCell ref="S337:X337"/>
    <mergeCell ref="Y337:AC337"/>
    <mergeCell ref="AD337:AI337"/>
    <mergeCell ref="B338:R338"/>
    <mergeCell ref="S338:X338"/>
    <mergeCell ref="Y338:AC338"/>
    <mergeCell ref="AD338:AI338"/>
    <mergeCell ref="B339:R339"/>
    <mergeCell ref="S339:X339"/>
    <mergeCell ref="Y339:AC339"/>
    <mergeCell ref="AD339:AI339"/>
    <mergeCell ref="B330:R330"/>
    <mergeCell ref="S330:X330"/>
    <mergeCell ref="Y330:AC330"/>
    <mergeCell ref="AD330:AI330"/>
    <mergeCell ref="B331:R331"/>
    <mergeCell ref="S331:X331"/>
    <mergeCell ref="Y331:AC331"/>
    <mergeCell ref="AD331:AI331"/>
    <mergeCell ref="B332:R332"/>
    <mergeCell ref="S332:X332"/>
    <mergeCell ref="Y332:AC332"/>
    <mergeCell ref="AD332:AI332"/>
    <mergeCell ref="B333:R333"/>
    <mergeCell ref="S333:X333"/>
    <mergeCell ref="Y333:AC333"/>
    <mergeCell ref="AD333:AI333"/>
    <mergeCell ref="B334:R334"/>
    <mergeCell ref="S334:X334"/>
    <mergeCell ref="Y334:AC334"/>
    <mergeCell ref="AD334:AI334"/>
    <mergeCell ref="B325:R325"/>
    <mergeCell ref="S325:X325"/>
    <mergeCell ref="Y325:AC325"/>
    <mergeCell ref="AD325:AI325"/>
    <mergeCell ref="B326:R326"/>
    <mergeCell ref="S326:X326"/>
    <mergeCell ref="Y326:AC326"/>
    <mergeCell ref="AD326:AI326"/>
    <mergeCell ref="B327:R327"/>
    <mergeCell ref="S327:X327"/>
    <mergeCell ref="Y327:AC327"/>
    <mergeCell ref="AD327:AI327"/>
    <mergeCell ref="B328:R328"/>
    <mergeCell ref="S328:X328"/>
    <mergeCell ref="Y328:AC328"/>
    <mergeCell ref="AD328:AI328"/>
    <mergeCell ref="B329:R329"/>
    <mergeCell ref="S329:X329"/>
    <mergeCell ref="Y329:AC329"/>
    <mergeCell ref="AD329:AI329"/>
    <mergeCell ref="A321:R321"/>
    <mergeCell ref="S321:X321"/>
    <mergeCell ref="Y321:AC321"/>
    <mergeCell ref="AD321:AI321"/>
    <mergeCell ref="AJ321:AM322"/>
    <mergeCell ref="B322:R322"/>
    <mergeCell ref="S322:X322"/>
    <mergeCell ref="Y322:AC322"/>
    <mergeCell ref="AD322:AI322"/>
    <mergeCell ref="A323:R323"/>
    <mergeCell ref="S323:X323"/>
    <mergeCell ref="Y323:AC323"/>
    <mergeCell ref="AD323:AI323"/>
    <mergeCell ref="AJ323:AM323"/>
    <mergeCell ref="B324:R324"/>
    <mergeCell ref="S324:X324"/>
    <mergeCell ref="Y324:AC324"/>
    <mergeCell ref="AD324:AI324"/>
    <mergeCell ref="AG309:AK309"/>
    <mergeCell ref="A314:L315"/>
    <mergeCell ref="M314:S314"/>
    <mergeCell ref="T314:Y314"/>
    <mergeCell ref="Z314:AD314"/>
    <mergeCell ref="AE314:AH315"/>
    <mergeCell ref="M315:S315"/>
    <mergeCell ref="T315:Y315"/>
    <mergeCell ref="Z315:AD315"/>
    <mergeCell ref="A316:L316"/>
    <mergeCell ref="M316:S316"/>
    <mergeCell ref="T316:Y316"/>
    <mergeCell ref="Z316:AD316"/>
    <mergeCell ref="AE316:AH316"/>
    <mergeCell ref="A317:L317"/>
    <mergeCell ref="M317:S317"/>
    <mergeCell ref="T317:Y317"/>
    <mergeCell ref="Z317:AD317"/>
    <mergeCell ref="AE317:AH317"/>
    <mergeCell ref="A304:N304"/>
    <mergeCell ref="O304:U304"/>
    <mergeCell ref="V304:AA304"/>
    <mergeCell ref="AB304:AF304"/>
    <mergeCell ref="A305:N305"/>
    <mergeCell ref="O305:U305"/>
    <mergeCell ref="V305:AA305"/>
    <mergeCell ref="A306:N306"/>
    <mergeCell ref="O306:U306"/>
    <mergeCell ref="V306:AA306"/>
    <mergeCell ref="A307:N307"/>
    <mergeCell ref="O307:U307"/>
    <mergeCell ref="V307:AA307"/>
    <mergeCell ref="A308:N308"/>
    <mergeCell ref="O308:U308"/>
    <mergeCell ref="V308:AA308"/>
    <mergeCell ref="A309:N309"/>
    <mergeCell ref="O309:U309"/>
    <mergeCell ref="V309:AA309"/>
    <mergeCell ref="AB309:AF309"/>
    <mergeCell ref="A299:N299"/>
    <mergeCell ref="O299:U299"/>
    <mergeCell ref="V299:AA299"/>
    <mergeCell ref="A300:N300"/>
    <mergeCell ref="O300:U300"/>
    <mergeCell ref="V300:AA300"/>
    <mergeCell ref="A301:N301"/>
    <mergeCell ref="O301:U301"/>
    <mergeCell ref="V301:AA301"/>
    <mergeCell ref="A302:N302"/>
    <mergeCell ref="O302:U302"/>
    <mergeCell ref="V302:AA302"/>
    <mergeCell ref="A303:N303"/>
    <mergeCell ref="O303:U303"/>
    <mergeCell ref="V303:AA303"/>
    <mergeCell ref="AB303:AF303"/>
    <mergeCell ref="AG303:AK303"/>
    <mergeCell ref="AB294:AF294"/>
    <mergeCell ref="AG294:AK294"/>
    <mergeCell ref="A295:N295"/>
    <mergeCell ref="O295:U295"/>
    <mergeCell ref="V295:AA295"/>
    <mergeCell ref="AB295:AF295"/>
    <mergeCell ref="AG295:AK295"/>
    <mergeCell ref="A296:N296"/>
    <mergeCell ref="O296:U296"/>
    <mergeCell ref="AB296:AF296"/>
    <mergeCell ref="AG296:AK296"/>
    <mergeCell ref="A297:N297"/>
    <mergeCell ref="O297:U297"/>
    <mergeCell ref="V297:AA297"/>
    <mergeCell ref="AB297:AF297"/>
    <mergeCell ref="A298:N298"/>
    <mergeCell ref="O298:U298"/>
    <mergeCell ref="V298:AA298"/>
    <mergeCell ref="A289:N289"/>
    <mergeCell ref="O289:U289"/>
    <mergeCell ref="V289:AA289"/>
    <mergeCell ref="A290:N290"/>
    <mergeCell ref="O290:U290"/>
    <mergeCell ref="V290:AA290"/>
    <mergeCell ref="A291:N291"/>
    <mergeCell ref="O291:U291"/>
    <mergeCell ref="V291:AA291"/>
    <mergeCell ref="A292:N292"/>
    <mergeCell ref="O292:U292"/>
    <mergeCell ref="V292:AA292"/>
    <mergeCell ref="A293:N293"/>
    <mergeCell ref="O293:U293"/>
    <mergeCell ref="V293:AA293"/>
    <mergeCell ref="A294:N294"/>
    <mergeCell ref="O294:U294"/>
    <mergeCell ref="V294:AA294"/>
    <mergeCell ref="A285:N285"/>
    <mergeCell ref="O285:U285"/>
    <mergeCell ref="AB285:AF285"/>
    <mergeCell ref="AG285:AK285"/>
    <mergeCell ref="A286:N286"/>
    <mergeCell ref="O286:U286"/>
    <mergeCell ref="V286:AA286"/>
    <mergeCell ref="AB286:AF286"/>
    <mergeCell ref="A287:N287"/>
    <mergeCell ref="O287:U287"/>
    <mergeCell ref="AB287:AF287"/>
    <mergeCell ref="AG287:AK287"/>
    <mergeCell ref="A288:N288"/>
    <mergeCell ref="O288:U288"/>
    <mergeCell ref="V288:AA288"/>
    <mergeCell ref="AB288:AF288"/>
    <mergeCell ref="AG288:AK288"/>
    <mergeCell ref="A279:N279"/>
    <mergeCell ref="O279:U279"/>
    <mergeCell ref="V279:AA279"/>
    <mergeCell ref="A280:N280"/>
    <mergeCell ref="O280:U280"/>
    <mergeCell ref="V280:AA280"/>
    <mergeCell ref="A281:N281"/>
    <mergeCell ref="O281:U281"/>
    <mergeCell ref="V281:AA281"/>
    <mergeCell ref="A282:N282"/>
    <mergeCell ref="O282:U282"/>
    <mergeCell ref="V282:AA282"/>
    <mergeCell ref="AB282:AF282"/>
    <mergeCell ref="A283:N283"/>
    <mergeCell ref="O283:U283"/>
    <mergeCell ref="V283:AA283"/>
    <mergeCell ref="A284:N284"/>
    <mergeCell ref="O284:U284"/>
    <mergeCell ref="V284:AA284"/>
    <mergeCell ref="AB284:AF284"/>
    <mergeCell ref="A274:N274"/>
    <mergeCell ref="O274:U274"/>
    <mergeCell ref="V274:AA274"/>
    <mergeCell ref="AB274:AF274"/>
    <mergeCell ref="A275:N275"/>
    <mergeCell ref="O275:U275"/>
    <mergeCell ref="V275:AA275"/>
    <mergeCell ref="A276:N276"/>
    <mergeCell ref="O276:U276"/>
    <mergeCell ref="V276:AA276"/>
    <mergeCell ref="A277:N277"/>
    <mergeCell ref="O277:U277"/>
    <mergeCell ref="V277:AA277"/>
    <mergeCell ref="AB277:AF277"/>
    <mergeCell ref="A278:N278"/>
    <mergeCell ref="O278:U278"/>
    <mergeCell ref="V278:AA278"/>
    <mergeCell ref="A268:N268"/>
    <mergeCell ref="O268:U268"/>
    <mergeCell ref="V268:AA268"/>
    <mergeCell ref="A269:N269"/>
    <mergeCell ref="O269:U269"/>
    <mergeCell ref="V269:AA269"/>
    <mergeCell ref="A270:N270"/>
    <mergeCell ref="O270:U270"/>
    <mergeCell ref="V270:AA270"/>
    <mergeCell ref="A271:N271"/>
    <mergeCell ref="O271:U271"/>
    <mergeCell ref="V271:AA271"/>
    <mergeCell ref="AB271:AF271"/>
    <mergeCell ref="A272:N272"/>
    <mergeCell ref="O272:U272"/>
    <mergeCell ref="V272:AA272"/>
    <mergeCell ref="A273:N273"/>
    <mergeCell ref="O273:U273"/>
    <mergeCell ref="V273:AA273"/>
    <mergeCell ref="A262:N262"/>
    <mergeCell ref="O262:U262"/>
    <mergeCell ref="V262:AA262"/>
    <mergeCell ref="A263:N263"/>
    <mergeCell ref="O263:U263"/>
    <mergeCell ref="V263:AA263"/>
    <mergeCell ref="A264:N264"/>
    <mergeCell ref="O264:U264"/>
    <mergeCell ref="V264:AA264"/>
    <mergeCell ref="A265:N265"/>
    <mergeCell ref="O265:U265"/>
    <mergeCell ref="V265:AA265"/>
    <mergeCell ref="A266:N266"/>
    <mergeCell ref="O266:U266"/>
    <mergeCell ref="V266:AA266"/>
    <mergeCell ref="A267:N267"/>
    <mergeCell ref="O267:U267"/>
    <mergeCell ref="V267:AA267"/>
    <mergeCell ref="A257:N257"/>
    <mergeCell ref="O257:U257"/>
    <mergeCell ref="V257:AA257"/>
    <mergeCell ref="A258:N258"/>
    <mergeCell ref="O258:U258"/>
    <mergeCell ref="AB258:AF258"/>
    <mergeCell ref="AG258:AK258"/>
    <mergeCell ref="A259:N259"/>
    <mergeCell ref="O259:U259"/>
    <mergeCell ref="V259:AA259"/>
    <mergeCell ref="AB259:AF259"/>
    <mergeCell ref="AG259:AK259"/>
    <mergeCell ref="A260:N260"/>
    <mergeCell ref="O260:U260"/>
    <mergeCell ref="V260:AA260"/>
    <mergeCell ref="A261:N261"/>
    <mergeCell ref="O261:U261"/>
    <mergeCell ref="V261:AA261"/>
    <mergeCell ref="A252:N252"/>
    <mergeCell ref="O252:U252"/>
    <mergeCell ref="V252:AA252"/>
    <mergeCell ref="A253:N253"/>
    <mergeCell ref="O253:U253"/>
    <mergeCell ref="V253:AA253"/>
    <mergeCell ref="AB253:AF253"/>
    <mergeCell ref="AG253:AK253"/>
    <mergeCell ref="A254:N254"/>
    <mergeCell ref="O254:U254"/>
    <mergeCell ref="V254:AA254"/>
    <mergeCell ref="A255:N255"/>
    <mergeCell ref="O255:U255"/>
    <mergeCell ref="V255:AA255"/>
    <mergeCell ref="A256:N256"/>
    <mergeCell ref="O256:U256"/>
    <mergeCell ref="V256:AA256"/>
    <mergeCell ref="AB256:AF256"/>
    <mergeCell ref="AG256:AK256"/>
    <mergeCell ref="A247:N247"/>
    <mergeCell ref="O247:U247"/>
    <mergeCell ref="V247:AA247"/>
    <mergeCell ref="A248:N248"/>
    <mergeCell ref="O248:U248"/>
    <mergeCell ref="AB248:AF248"/>
    <mergeCell ref="AG248:AK248"/>
    <mergeCell ref="A249:N249"/>
    <mergeCell ref="O249:U249"/>
    <mergeCell ref="AB249:AF249"/>
    <mergeCell ref="AG249:AK249"/>
    <mergeCell ref="A250:N250"/>
    <mergeCell ref="O250:U250"/>
    <mergeCell ref="V250:AA250"/>
    <mergeCell ref="A251:N251"/>
    <mergeCell ref="O251:U251"/>
    <mergeCell ref="V251:AA251"/>
    <mergeCell ref="AB251:AF251"/>
    <mergeCell ref="A242:N242"/>
    <mergeCell ref="O242:U242"/>
    <mergeCell ref="AB242:AF242"/>
    <mergeCell ref="AG242:AK242"/>
    <mergeCell ref="A243:N243"/>
    <mergeCell ref="O243:U243"/>
    <mergeCell ref="AB243:AF243"/>
    <mergeCell ref="AG243:AK243"/>
    <mergeCell ref="A244:N244"/>
    <mergeCell ref="O244:U244"/>
    <mergeCell ref="V244:AA244"/>
    <mergeCell ref="AB244:AF244"/>
    <mergeCell ref="AG244:AK244"/>
    <mergeCell ref="A245:N245"/>
    <mergeCell ref="O245:U245"/>
    <mergeCell ref="V245:AA245"/>
    <mergeCell ref="A246:N246"/>
    <mergeCell ref="O246:U246"/>
    <mergeCell ref="V246:AA246"/>
    <mergeCell ref="AB246:AF246"/>
    <mergeCell ref="A238:N238"/>
    <mergeCell ref="O238:U238"/>
    <mergeCell ref="V238:AA238"/>
    <mergeCell ref="AB238:AF238"/>
    <mergeCell ref="AG238:AK238"/>
    <mergeCell ref="A239:N239"/>
    <mergeCell ref="O239:U239"/>
    <mergeCell ref="V239:AA239"/>
    <mergeCell ref="AB239:AF239"/>
    <mergeCell ref="A240:N240"/>
    <mergeCell ref="O240:U240"/>
    <mergeCell ref="V240:AA240"/>
    <mergeCell ref="AB240:AF240"/>
    <mergeCell ref="A241:N241"/>
    <mergeCell ref="O241:U241"/>
    <mergeCell ref="AB241:AF241"/>
    <mergeCell ref="AG241:AK241"/>
    <mergeCell ref="A233:N233"/>
    <mergeCell ref="O233:U233"/>
    <mergeCell ref="V233:AA233"/>
    <mergeCell ref="AB233:AF233"/>
    <mergeCell ref="AG233:AK233"/>
    <mergeCell ref="A234:N234"/>
    <mergeCell ref="O234:U234"/>
    <mergeCell ref="V234:AA234"/>
    <mergeCell ref="A235:N235"/>
    <mergeCell ref="O235:U235"/>
    <mergeCell ref="V235:AA235"/>
    <mergeCell ref="AB235:AF235"/>
    <mergeCell ref="AG235:AK235"/>
    <mergeCell ref="A236:N236"/>
    <mergeCell ref="O236:U236"/>
    <mergeCell ref="V236:AA236"/>
    <mergeCell ref="A237:N237"/>
    <mergeCell ref="O237:U237"/>
    <mergeCell ref="V237:AA237"/>
    <mergeCell ref="AB237:AF237"/>
    <mergeCell ref="AG237:AK237"/>
    <mergeCell ref="A229:N229"/>
    <mergeCell ref="O229:U229"/>
    <mergeCell ref="V229:AA229"/>
    <mergeCell ref="AB229:AF229"/>
    <mergeCell ref="AG229:AK229"/>
    <mergeCell ref="A230:N230"/>
    <mergeCell ref="O230:U230"/>
    <mergeCell ref="V230:AA230"/>
    <mergeCell ref="AB230:AF230"/>
    <mergeCell ref="AG230:AK230"/>
    <mergeCell ref="A231:N231"/>
    <mergeCell ref="O231:U231"/>
    <mergeCell ref="V231:AA231"/>
    <mergeCell ref="AB231:AF231"/>
    <mergeCell ref="A232:N232"/>
    <mergeCell ref="O232:U232"/>
    <mergeCell ref="V232:AA232"/>
    <mergeCell ref="AB232:AF232"/>
    <mergeCell ref="AG232:AK232"/>
    <mergeCell ref="A225:N225"/>
    <mergeCell ref="O225:U225"/>
    <mergeCell ref="V225:AA225"/>
    <mergeCell ref="AB225:AF225"/>
    <mergeCell ref="AG225:AK225"/>
    <mergeCell ref="A226:N226"/>
    <mergeCell ref="O226:U226"/>
    <mergeCell ref="V226:AA226"/>
    <mergeCell ref="AB226:AF226"/>
    <mergeCell ref="AG226:AK226"/>
    <mergeCell ref="A227:N227"/>
    <mergeCell ref="O227:U227"/>
    <mergeCell ref="V227:AA227"/>
    <mergeCell ref="AB227:AF227"/>
    <mergeCell ref="AG227:AK227"/>
    <mergeCell ref="A228:N228"/>
    <mergeCell ref="O228:U228"/>
    <mergeCell ref="V228:AA228"/>
    <mergeCell ref="AB228:AF228"/>
    <mergeCell ref="AG228:AK228"/>
    <mergeCell ref="A221:N221"/>
    <mergeCell ref="O221:U221"/>
    <mergeCell ref="V221:AA221"/>
    <mergeCell ref="AB221:AF221"/>
    <mergeCell ref="A222:N222"/>
    <mergeCell ref="O222:U222"/>
    <mergeCell ref="V222:AA222"/>
    <mergeCell ref="AB222:AF222"/>
    <mergeCell ref="AG222:AK222"/>
    <mergeCell ref="A223:N223"/>
    <mergeCell ref="O223:U223"/>
    <mergeCell ref="V223:AA223"/>
    <mergeCell ref="AB223:AF223"/>
    <mergeCell ref="AG223:AK223"/>
    <mergeCell ref="A224:N224"/>
    <mergeCell ref="O224:U224"/>
    <mergeCell ref="V224:AA224"/>
    <mergeCell ref="AB224:AF224"/>
    <mergeCell ref="AG224:AK224"/>
    <mergeCell ref="A217:N217"/>
    <mergeCell ref="O217:U217"/>
    <mergeCell ref="V217:AA217"/>
    <mergeCell ref="AB217:AF217"/>
    <mergeCell ref="AG217:AK217"/>
    <mergeCell ref="A218:N218"/>
    <mergeCell ref="O218:U218"/>
    <mergeCell ref="V218:AA218"/>
    <mergeCell ref="AB218:AF218"/>
    <mergeCell ref="AG218:AK218"/>
    <mergeCell ref="A219:N219"/>
    <mergeCell ref="O219:U219"/>
    <mergeCell ref="AB219:AF219"/>
    <mergeCell ref="AG219:AK219"/>
    <mergeCell ref="A220:N220"/>
    <mergeCell ref="O220:U220"/>
    <mergeCell ref="AB220:AF220"/>
    <mergeCell ref="AG220:AK220"/>
    <mergeCell ref="A213:N213"/>
    <mergeCell ref="O213:U213"/>
    <mergeCell ref="V213:AA213"/>
    <mergeCell ref="AB213:AF213"/>
    <mergeCell ref="AG213:AK213"/>
    <mergeCell ref="A214:N214"/>
    <mergeCell ref="O214:U214"/>
    <mergeCell ref="AB214:AF214"/>
    <mergeCell ref="AG214:AK214"/>
    <mergeCell ref="A215:N215"/>
    <mergeCell ref="O215:U215"/>
    <mergeCell ref="V215:AA215"/>
    <mergeCell ref="AB215:AF215"/>
    <mergeCell ref="AG215:AK215"/>
    <mergeCell ref="A216:N216"/>
    <mergeCell ref="O216:U216"/>
    <mergeCell ref="V216:AA216"/>
    <mergeCell ref="AB216:AF216"/>
    <mergeCell ref="AG216:AK216"/>
    <mergeCell ref="A209:N209"/>
    <mergeCell ref="O209:U209"/>
    <mergeCell ref="V209:AA209"/>
    <mergeCell ref="AB209:AF209"/>
    <mergeCell ref="AG209:AK209"/>
    <mergeCell ref="A210:N210"/>
    <mergeCell ref="O210:U210"/>
    <mergeCell ref="V210:AA210"/>
    <mergeCell ref="AB210:AF210"/>
    <mergeCell ref="AG210:AK210"/>
    <mergeCell ref="A211:N211"/>
    <mergeCell ref="O211:U211"/>
    <mergeCell ref="V211:AA211"/>
    <mergeCell ref="AB211:AF211"/>
    <mergeCell ref="A212:N212"/>
    <mergeCell ref="O212:U212"/>
    <mergeCell ref="V212:AA212"/>
    <mergeCell ref="AB212:AF212"/>
    <mergeCell ref="AG212:AK212"/>
    <mergeCell ref="A205:N205"/>
    <mergeCell ref="O205:U205"/>
    <mergeCell ref="AB205:AF205"/>
    <mergeCell ref="AG205:AK205"/>
    <mergeCell ref="A206:N206"/>
    <mergeCell ref="O206:U206"/>
    <mergeCell ref="AB206:AF206"/>
    <mergeCell ref="AG206:AK206"/>
    <mergeCell ref="A207:N207"/>
    <mergeCell ref="O207:U207"/>
    <mergeCell ref="V207:AA207"/>
    <mergeCell ref="AB207:AF207"/>
    <mergeCell ref="AG207:AK207"/>
    <mergeCell ref="A208:N208"/>
    <mergeCell ref="O208:U208"/>
    <mergeCell ref="V208:AA208"/>
    <mergeCell ref="AB208:AF208"/>
    <mergeCell ref="AG208:AK208"/>
    <mergeCell ref="A201:N201"/>
    <mergeCell ref="O201:U201"/>
    <mergeCell ref="V201:AA201"/>
    <mergeCell ref="AB201:AF201"/>
    <mergeCell ref="AG201:AK201"/>
    <mergeCell ref="A202:N202"/>
    <mergeCell ref="O202:U202"/>
    <mergeCell ref="V202:AA202"/>
    <mergeCell ref="AB202:AF202"/>
    <mergeCell ref="AG202:AK202"/>
    <mergeCell ref="A203:N203"/>
    <mergeCell ref="O203:U203"/>
    <mergeCell ref="V203:AA203"/>
    <mergeCell ref="AB203:AF203"/>
    <mergeCell ref="AG203:AK203"/>
    <mergeCell ref="A204:N204"/>
    <mergeCell ref="O204:U204"/>
    <mergeCell ref="V204:AA204"/>
    <mergeCell ref="AB204:AF204"/>
    <mergeCell ref="AG204:AK204"/>
    <mergeCell ref="A197:N197"/>
    <mergeCell ref="O197:U197"/>
    <mergeCell ref="V197:AA197"/>
    <mergeCell ref="AB197:AF197"/>
    <mergeCell ref="AG197:AK197"/>
    <mergeCell ref="A198:N198"/>
    <mergeCell ref="O198:U198"/>
    <mergeCell ref="V198:AA198"/>
    <mergeCell ref="AB198:AF198"/>
    <mergeCell ref="AG198:AK198"/>
    <mergeCell ref="A199:N199"/>
    <mergeCell ref="O199:U199"/>
    <mergeCell ref="V199:AA199"/>
    <mergeCell ref="AB199:AF199"/>
    <mergeCell ref="AG199:AK199"/>
    <mergeCell ref="A200:N200"/>
    <mergeCell ref="O200:U200"/>
    <mergeCell ref="V200:AA200"/>
    <mergeCell ref="AB200:AF200"/>
    <mergeCell ref="AG200:AK200"/>
    <mergeCell ref="AG192:AK192"/>
    <mergeCell ref="A193:N193"/>
    <mergeCell ref="O193:U193"/>
    <mergeCell ref="V193:AA193"/>
    <mergeCell ref="AB193:AF193"/>
    <mergeCell ref="AG193:AK193"/>
    <mergeCell ref="A194:N194"/>
    <mergeCell ref="O194:U194"/>
    <mergeCell ref="V194:AA194"/>
    <mergeCell ref="AB194:AF194"/>
    <mergeCell ref="AG194:AK194"/>
    <mergeCell ref="A195:N195"/>
    <mergeCell ref="O195:U195"/>
    <mergeCell ref="V195:AA195"/>
    <mergeCell ref="AB195:AF195"/>
    <mergeCell ref="AG195:AK195"/>
    <mergeCell ref="A196:N196"/>
    <mergeCell ref="O196:U196"/>
    <mergeCell ref="V196:AA196"/>
    <mergeCell ref="AB196:AF196"/>
    <mergeCell ref="AG196:AK196"/>
    <mergeCell ref="A188:N188"/>
    <mergeCell ref="O188:U188"/>
    <mergeCell ref="V188:AA188"/>
    <mergeCell ref="AB188:AF188"/>
    <mergeCell ref="A189:N189"/>
    <mergeCell ref="O189:U189"/>
    <mergeCell ref="V189:AA189"/>
    <mergeCell ref="A190:N190"/>
    <mergeCell ref="O190:U190"/>
    <mergeCell ref="V190:AA190"/>
    <mergeCell ref="AB190:AF190"/>
    <mergeCell ref="A191:N191"/>
    <mergeCell ref="O191:U191"/>
    <mergeCell ref="V191:AA191"/>
    <mergeCell ref="AB191:AF191"/>
    <mergeCell ref="A192:N192"/>
    <mergeCell ref="O192:U192"/>
    <mergeCell ref="V192:AA192"/>
    <mergeCell ref="AB192:AF192"/>
    <mergeCell ref="A184:N184"/>
    <mergeCell ref="O184:U184"/>
    <mergeCell ref="AB184:AF184"/>
    <mergeCell ref="AG184:AK184"/>
    <mergeCell ref="A185:N185"/>
    <mergeCell ref="O185:U185"/>
    <mergeCell ref="V185:AA185"/>
    <mergeCell ref="A186:N186"/>
    <mergeCell ref="O186:U186"/>
    <mergeCell ref="V186:AA186"/>
    <mergeCell ref="AB186:AF186"/>
    <mergeCell ref="AG186:AK186"/>
    <mergeCell ref="A187:N187"/>
    <mergeCell ref="O187:U187"/>
    <mergeCell ref="V187:AA187"/>
    <mergeCell ref="AB187:AF187"/>
    <mergeCell ref="AG187:AK187"/>
    <mergeCell ref="A179:N179"/>
    <mergeCell ref="O179:U179"/>
    <mergeCell ref="V179:AA179"/>
    <mergeCell ref="A180:N180"/>
    <mergeCell ref="O180:U180"/>
    <mergeCell ref="V180:AA180"/>
    <mergeCell ref="A181:N181"/>
    <mergeCell ref="O181:U181"/>
    <mergeCell ref="V181:AA181"/>
    <mergeCell ref="AB181:AF181"/>
    <mergeCell ref="AG181:AK181"/>
    <mergeCell ref="A182:N182"/>
    <mergeCell ref="O182:U182"/>
    <mergeCell ref="AB182:AF182"/>
    <mergeCell ref="AG182:AK182"/>
    <mergeCell ref="A183:N183"/>
    <mergeCell ref="O183:U183"/>
    <mergeCell ref="V183:AA183"/>
    <mergeCell ref="AB183:AF183"/>
    <mergeCell ref="AG183:AK183"/>
    <mergeCell ref="A175:N175"/>
    <mergeCell ref="O175:U175"/>
    <mergeCell ref="V175:AA175"/>
    <mergeCell ref="AB175:AF175"/>
    <mergeCell ref="AG175:AK175"/>
    <mergeCell ref="A176:N176"/>
    <mergeCell ref="O176:U176"/>
    <mergeCell ref="V176:AA176"/>
    <mergeCell ref="AB176:AF176"/>
    <mergeCell ref="A177:N177"/>
    <mergeCell ref="O177:U177"/>
    <mergeCell ref="V177:AA177"/>
    <mergeCell ref="AB177:AF177"/>
    <mergeCell ref="AG177:AK177"/>
    <mergeCell ref="A178:N178"/>
    <mergeCell ref="O178:U178"/>
    <mergeCell ref="V178:AA178"/>
    <mergeCell ref="AB178:AF178"/>
    <mergeCell ref="AG178:AK178"/>
    <mergeCell ref="A170:N170"/>
    <mergeCell ref="O170:U170"/>
    <mergeCell ref="V170:AA170"/>
    <mergeCell ref="AB170:AF170"/>
    <mergeCell ref="AG170:AK170"/>
    <mergeCell ref="A171:N171"/>
    <mergeCell ref="O171:U171"/>
    <mergeCell ref="V171:AA171"/>
    <mergeCell ref="A172:N172"/>
    <mergeCell ref="O172:U172"/>
    <mergeCell ref="V172:AA172"/>
    <mergeCell ref="A173:N173"/>
    <mergeCell ref="O173:U173"/>
    <mergeCell ref="V173:AA173"/>
    <mergeCell ref="AB173:AF173"/>
    <mergeCell ref="A174:N174"/>
    <mergeCell ref="O174:U174"/>
    <mergeCell ref="AB174:AF174"/>
    <mergeCell ref="AG174:AK174"/>
    <mergeCell ref="A166:N166"/>
    <mergeCell ref="O166:U166"/>
    <mergeCell ref="V166:AA166"/>
    <mergeCell ref="AB166:AF166"/>
    <mergeCell ref="A167:N167"/>
    <mergeCell ref="O167:U167"/>
    <mergeCell ref="V167:AA167"/>
    <mergeCell ref="AB167:AF167"/>
    <mergeCell ref="AG167:AK167"/>
    <mergeCell ref="A168:N168"/>
    <mergeCell ref="O168:U168"/>
    <mergeCell ref="V168:AA168"/>
    <mergeCell ref="AB168:AF168"/>
    <mergeCell ref="AG168:AK168"/>
    <mergeCell ref="A169:N169"/>
    <mergeCell ref="O169:U169"/>
    <mergeCell ref="V169:AA169"/>
    <mergeCell ref="AB169:AF169"/>
    <mergeCell ref="A162:N162"/>
    <mergeCell ref="O162:U162"/>
    <mergeCell ref="V162:AA162"/>
    <mergeCell ref="AB162:AF162"/>
    <mergeCell ref="AG162:AK162"/>
    <mergeCell ref="A163:N163"/>
    <mergeCell ref="O163:U163"/>
    <mergeCell ref="V163:AA163"/>
    <mergeCell ref="AB163:AF163"/>
    <mergeCell ref="A164:N164"/>
    <mergeCell ref="O164:U164"/>
    <mergeCell ref="V164:AA164"/>
    <mergeCell ref="AB164:AF164"/>
    <mergeCell ref="A165:N165"/>
    <mergeCell ref="O165:U165"/>
    <mergeCell ref="V165:AA165"/>
    <mergeCell ref="AB165:AF165"/>
    <mergeCell ref="A158:N158"/>
    <mergeCell ref="O158:U158"/>
    <mergeCell ref="V158:AA158"/>
    <mergeCell ref="AB158:AF158"/>
    <mergeCell ref="AG158:AK158"/>
    <mergeCell ref="A159:N159"/>
    <mergeCell ref="O159:U159"/>
    <mergeCell ref="V159:AA159"/>
    <mergeCell ref="AB159:AF159"/>
    <mergeCell ref="AG159:AK159"/>
    <mergeCell ref="A160:N160"/>
    <mergeCell ref="O160:U160"/>
    <mergeCell ref="AB160:AF160"/>
    <mergeCell ref="AG160:AK160"/>
    <mergeCell ref="A161:N161"/>
    <mergeCell ref="O161:U161"/>
    <mergeCell ref="V161:AA161"/>
    <mergeCell ref="AB161:AF161"/>
    <mergeCell ref="AG161:AK161"/>
    <mergeCell ref="A152:N152"/>
    <mergeCell ref="O152:U152"/>
    <mergeCell ref="V152:AA152"/>
    <mergeCell ref="AB152:AF152"/>
    <mergeCell ref="A153:N153"/>
    <mergeCell ref="O153:U153"/>
    <mergeCell ref="V153:AA153"/>
    <mergeCell ref="A154:N154"/>
    <mergeCell ref="O154:U154"/>
    <mergeCell ref="V154:AA154"/>
    <mergeCell ref="A155:N155"/>
    <mergeCell ref="O155:U155"/>
    <mergeCell ref="V155:AA155"/>
    <mergeCell ref="A156:N156"/>
    <mergeCell ref="O156:U156"/>
    <mergeCell ref="V156:AA156"/>
    <mergeCell ref="A157:N157"/>
    <mergeCell ref="O157:U157"/>
    <mergeCell ref="V157:AA157"/>
    <mergeCell ref="A147:N147"/>
    <mergeCell ref="O147:U147"/>
    <mergeCell ref="V147:AA147"/>
    <mergeCell ref="AB147:AF147"/>
    <mergeCell ref="AG147:AK147"/>
    <mergeCell ref="A148:N148"/>
    <mergeCell ref="O148:U148"/>
    <mergeCell ref="V148:AA148"/>
    <mergeCell ref="A149:N149"/>
    <mergeCell ref="O149:U149"/>
    <mergeCell ref="AB149:AF149"/>
    <mergeCell ref="AG149:AK149"/>
    <mergeCell ref="A150:N150"/>
    <mergeCell ref="O150:U150"/>
    <mergeCell ref="V150:AA150"/>
    <mergeCell ref="A151:N151"/>
    <mergeCell ref="O151:U151"/>
    <mergeCell ref="V151:AA151"/>
    <mergeCell ref="AB151:AF151"/>
    <mergeCell ref="AG142:AK142"/>
    <mergeCell ref="A143:N143"/>
    <mergeCell ref="O143:U143"/>
    <mergeCell ref="V143:AA143"/>
    <mergeCell ref="A144:N144"/>
    <mergeCell ref="O144:U144"/>
    <mergeCell ref="V144:AA144"/>
    <mergeCell ref="A145:N145"/>
    <mergeCell ref="O145:U145"/>
    <mergeCell ref="V145:AA145"/>
    <mergeCell ref="AB145:AF145"/>
    <mergeCell ref="AG145:AK145"/>
    <mergeCell ref="A146:N146"/>
    <mergeCell ref="O146:U146"/>
    <mergeCell ref="V146:AA146"/>
    <mergeCell ref="AB146:AF146"/>
    <mergeCell ref="AG146:AK146"/>
    <mergeCell ref="A138:N138"/>
    <mergeCell ref="O138:U138"/>
    <mergeCell ref="V138:AA138"/>
    <mergeCell ref="AB138:AF138"/>
    <mergeCell ref="A139:N139"/>
    <mergeCell ref="O139:U139"/>
    <mergeCell ref="V139:AA139"/>
    <mergeCell ref="AB139:AF139"/>
    <mergeCell ref="A140:N140"/>
    <mergeCell ref="O140:U140"/>
    <mergeCell ref="V140:AA140"/>
    <mergeCell ref="A141:N141"/>
    <mergeCell ref="O141:U141"/>
    <mergeCell ref="V141:AA141"/>
    <mergeCell ref="A142:N142"/>
    <mergeCell ref="O142:U142"/>
    <mergeCell ref="AB142:AF142"/>
    <mergeCell ref="A133:N133"/>
    <mergeCell ref="O133:U133"/>
    <mergeCell ref="V133:AA133"/>
    <mergeCell ref="AB133:AF133"/>
    <mergeCell ref="A134:N134"/>
    <mergeCell ref="O134:U134"/>
    <mergeCell ref="V134:AA134"/>
    <mergeCell ref="A135:N135"/>
    <mergeCell ref="O135:U135"/>
    <mergeCell ref="V135:AA135"/>
    <mergeCell ref="A136:N136"/>
    <mergeCell ref="O136:U136"/>
    <mergeCell ref="V136:AA136"/>
    <mergeCell ref="A137:N137"/>
    <mergeCell ref="O137:U137"/>
    <mergeCell ref="AB137:AF137"/>
    <mergeCell ref="AG137:AK137"/>
    <mergeCell ref="A129:N129"/>
    <mergeCell ref="O129:U129"/>
    <mergeCell ref="V129:AA129"/>
    <mergeCell ref="AB129:AF129"/>
    <mergeCell ref="A130:N130"/>
    <mergeCell ref="O130:U130"/>
    <mergeCell ref="V130:AA130"/>
    <mergeCell ref="AB130:AF130"/>
    <mergeCell ref="A131:N131"/>
    <mergeCell ref="O131:U131"/>
    <mergeCell ref="V131:AA131"/>
    <mergeCell ref="AB131:AF131"/>
    <mergeCell ref="AG131:AK131"/>
    <mergeCell ref="A132:N132"/>
    <mergeCell ref="O132:U132"/>
    <mergeCell ref="V132:AA132"/>
    <mergeCell ref="AB132:AF132"/>
    <mergeCell ref="AG132:AK132"/>
    <mergeCell ref="A125:N125"/>
    <mergeCell ref="O125:U125"/>
    <mergeCell ref="AB125:AF125"/>
    <mergeCell ref="AG125:AK125"/>
    <mergeCell ref="A126:N126"/>
    <mergeCell ref="O126:U126"/>
    <mergeCell ref="V126:AA126"/>
    <mergeCell ref="AB126:AF126"/>
    <mergeCell ref="AG126:AK126"/>
    <mergeCell ref="A127:N127"/>
    <mergeCell ref="O127:U127"/>
    <mergeCell ref="V127:AA127"/>
    <mergeCell ref="AB127:AF127"/>
    <mergeCell ref="AG127:AK127"/>
    <mergeCell ref="A128:N128"/>
    <mergeCell ref="O128:U128"/>
    <mergeCell ref="V128:AA128"/>
    <mergeCell ref="AB128:AF128"/>
    <mergeCell ref="A119:N119"/>
    <mergeCell ref="O119:U119"/>
    <mergeCell ref="V119:AA119"/>
    <mergeCell ref="A120:N120"/>
    <mergeCell ref="O120:U120"/>
    <mergeCell ref="V120:AA120"/>
    <mergeCell ref="A121:N121"/>
    <mergeCell ref="O121:U121"/>
    <mergeCell ref="V121:AA121"/>
    <mergeCell ref="A122:N122"/>
    <mergeCell ref="O122:U122"/>
    <mergeCell ref="V122:AA122"/>
    <mergeCell ref="A123:N123"/>
    <mergeCell ref="O123:U123"/>
    <mergeCell ref="V123:AA123"/>
    <mergeCell ref="A124:N124"/>
    <mergeCell ref="O124:U124"/>
    <mergeCell ref="V124:AA124"/>
    <mergeCell ref="A114:N114"/>
    <mergeCell ref="O114:U114"/>
    <mergeCell ref="V114:AA114"/>
    <mergeCell ref="A115:N115"/>
    <mergeCell ref="O115:U115"/>
    <mergeCell ref="AB115:AF115"/>
    <mergeCell ref="AG115:AK115"/>
    <mergeCell ref="A116:N116"/>
    <mergeCell ref="O116:U116"/>
    <mergeCell ref="AB116:AF116"/>
    <mergeCell ref="AG116:AK116"/>
    <mergeCell ref="A117:N117"/>
    <mergeCell ref="O117:U117"/>
    <mergeCell ref="AB117:AF117"/>
    <mergeCell ref="AG117:AK117"/>
    <mergeCell ref="A118:N118"/>
    <mergeCell ref="O118:U118"/>
    <mergeCell ref="V118:AA118"/>
    <mergeCell ref="A110:N110"/>
    <mergeCell ref="O110:U110"/>
    <mergeCell ref="V110:AA110"/>
    <mergeCell ref="AB110:AF110"/>
    <mergeCell ref="AG110:AK110"/>
    <mergeCell ref="A111:N111"/>
    <mergeCell ref="O111:U111"/>
    <mergeCell ref="V111:AA111"/>
    <mergeCell ref="AB111:AF111"/>
    <mergeCell ref="A112:N112"/>
    <mergeCell ref="O112:U112"/>
    <mergeCell ref="V112:AA112"/>
    <mergeCell ref="A113:N113"/>
    <mergeCell ref="O113:U113"/>
    <mergeCell ref="V113:AA113"/>
    <mergeCell ref="AB113:AF113"/>
    <mergeCell ref="AG113:AK113"/>
    <mergeCell ref="A105:N105"/>
    <mergeCell ref="O105:U105"/>
    <mergeCell ref="AB105:AF105"/>
    <mergeCell ref="AG105:AK105"/>
    <mergeCell ref="A106:N106"/>
    <mergeCell ref="O106:U106"/>
    <mergeCell ref="AB106:AF106"/>
    <mergeCell ref="AG106:AK106"/>
    <mergeCell ref="A107:N107"/>
    <mergeCell ref="O107:U107"/>
    <mergeCell ref="AB107:AF107"/>
    <mergeCell ref="AG107:AK107"/>
    <mergeCell ref="A108:N108"/>
    <mergeCell ref="O108:U108"/>
    <mergeCell ref="AB108:AF108"/>
    <mergeCell ref="AG108:AK108"/>
    <mergeCell ref="A109:N109"/>
    <mergeCell ref="O109:U109"/>
    <mergeCell ref="AB109:AF109"/>
    <mergeCell ref="AG109:AK109"/>
    <mergeCell ref="A100:N100"/>
    <mergeCell ref="O100:U100"/>
    <mergeCell ref="V100:AA100"/>
    <mergeCell ref="AB100:AF100"/>
    <mergeCell ref="AG100:AK100"/>
    <mergeCell ref="A101:N101"/>
    <mergeCell ref="O101:U101"/>
    <mergeCell ref="V101:AA101"/>
    <mergeCell ref="A102:N102"/>
    <mergeCell ref="O102:U102"/>
    <mergeCell ref="AB102:AF102"/>
    <mergeCell ref="AG102:AK102"/>
    <mergeCell ref="A103:N103"/>
    <mergeCell ref="O103:U103"/>
    <mergeCell ref="V103:AA103"/>
    <mergeCell ref="A104:N104"/>
    <mergeCell ref="O104:U104"/>
    <mergeCell ref="V104:AA104"/>
    <mergeCell ref="A95:N95"/>
    <mergeCell ref="O95:U95"/>
    <mergeCell ref="AB95:AF95"/>
    <mergeCell ref="AG95:AK95"/>
    <mergeCell ref="A96:N96"/>
    <mergeCell ref="O96:U96"/>
    <mergeCell ref="V96:AA96"/>
    <mergeCell ref="A97:N97"/>
    <mergeCell ref="O97:U97"/>
    <mergeCell ref="AB97:AF97"/>
    <mergeCell ref="AG97:AK97"/>
    <mergeCell ref="A98:N98"/>
    <mergeCell ref="O98:U98"/>
    <mergeCell ref="V98:AA98"/>
    <mergeCell ref="A99:N99"/>
    <mergeCell ref="O99:U99"/>
    <mergeCell ref="V99:AA99"/>
    <mergeCell ref="AB99:AF99"/>
    <mergeCell ref="AG99:AK99"/>
    <mergeCell ref="A90:N90"/>
    <mergeCell ref="O90:U90"/>
    <mergeCell ref="AB90:AF90"/>
    <mergeCell ref="AG90:AK90"/>
    <mergeCell ref="A91:N91"/>
    <mergeCell ref="O91:U91"/>
    <mergeCell ref="V91:AA91"/>
    <mergeCell ref="A92:N92"/>
    <mergeCell ref="O92:U92"/>
    <mergeCell ref="V92:AA92"/>
    <mergeCell ref="A93:N93"/>
    <mergeCell ref="O93:U93"/>
    <mergeCell ref="V93:AA93"/>
    <mergeCell ref="AB93:AF93"/>
    <mergeCell ref="AG93:AK93"/>
    <mergeCell ref="A94:N94"/>
    <mergeCell ref="O94:U94"/>
    <mergeCell ref="V94:AA94"/>
    <mergeCell ref="A86:N86"/>
    <mergeCell ref="O86:U86"/>
    <mergeCell ref="V86:AA86"/>
    <mergeCell ref="AB86:AF86"/>
    <mergeCell ref="AG86:AK86"/>
    <mergeCell ref="A87:N87"/>
    <mergeCell ref="O87:U87"/>
    <mergeCell ref="V87:AA87"/>
    <mergeCell ref="AB87:AF87"/>
    <mergeCell ref="AG87:AK87"/>
    <mergeCell ref="A88:N88"/>
    <mergeCell ref="O88:U88"/>
    <mergeCell ref="V88:AA88"/>
    <mergeCell ref="AB88:AF88"/>
    <mergeCell ref="AG88:AK88"/>
    <mergeCell ref="A89:N89"/>
    <mergeCell ref="O89:U89"/>
    <mergeCell ref="AB89:AF89"/>
    <mergeCell ref="AG89:AK89"/>
    <mergeCell ref="A80:N80"/>
    <mergeCell ref="O80:U80"/>
    <mergeCell ref="V80:AA80"/>
    <mergeCell ref="A81:N81"/>
    <mergeCell ref="O81:U81"/>
    <mergeCell ref="V81:AA81"/>
    <mergeCell ref="A82:N82"/>
    <mergeCell ref="O82:U82"/>
    <mergeCell ref="V82:AA82"/>
    <mergeCell ref="A83:N83"/>
    <mergeCell ref="O83:U83"/>
    <mergeCell ref="V83:AA83"/>
    <mergeCell ref="A84:N84"/>
    <mergeCell ref="O84:U84"/>
    <mergeCell ref="AB84:AF84"/>
    <mergeCell ref="AG84:AK84"/>
    <mergeCell ref="A85:N85"/>
    <mergeCell ref="O85:U85"/>
    <mergeCell ref="V85:AA85"/>
    <mergeCell ref="AB85:AF85"/>
    <mergeCell ref="AG85:AK85"/>
    <mergeCell ref="A75:N75"/>
    <mergeCell ref="O75:U75"/>
    <mergeCell ref="V75:AA75"/>
    <mergeCell ref="AB75:AF75"/>
    <mergeCell ref="AG75:AK75"/>
    <mergeCell ref="A76:N76"/>
    <mergeCell ref="O76:U76"/>
    <mergeCell ref="V76:AA76"/>
    <mergeCell ref="A77:N77"/>
    <mergeCell ref="O77:U77"/>
    <mergeCell ref="V77:AA77"/>
    <mergeCell ref="A78:N78"/>
    <mergeCell ref="O78:U78"/>
    <mergeCell ref="V78:AA78"/>
    <mergeCell ref="A79:N79"/>
    <mergeCell ref="O79:U79"/>
    <mergeCell ref="AB79:AF79"/>
    <mergeCell ref="AG79:AK79"/>
    <mergeCell ref="A69:N69"/>
    <mergeCell ref="O69:U69"/>
    <mergeCell ref="V69:AA69"/>
    <mergeCell ref="A70:N70"/>
    <mergeCell ref="O70:U70"/>
    <mergeCell ref="V70:AA70"/>
    <mergeCell ref="A71:N71"/>
    <mergeCell ref="O71:U71"/>
    <mergeCell ref="V71:AA71"/>
    <mergeCell ref="A72:N72"/>
    <mergeCell ref="O72:U72"/>
    <mergeCell ref="V72:AA72"/>
    <mergeCell ref="A73:N73"/>
    <mergeCell ref="O73:U73"/>
    <mergeCell ref="V73:AA73"/>
    <mergeCell ref="A74:N74"/>
    <mergeCell ref="O74:U74"/>
    <mergeCell ref="V74:AA74"/>
    <mergeCell ref="A64:N64"/>
    <mergeCell ref="O64:U64"/>
    <mergeCell ref="AB64:AF64"/>
    <mergeCell ref="AG64:AK64"/>
    <mergeCell ref="A65:N65"/>
    <mergeCell ref="O65:U65"/>
    <mergeCell ref="V65:AA65"/>
    <mergeCell ref="A66:N66"/>
    <mergeCell ref="O66:U66"/>
    <mergeCell ref="AB66:AF66"/>
    <mergeCell ref="AG66:AK66"/>
    <mergeCell ref="A67:N67"/>
    <mergeCell ref="O67:U67"/>
    <mergeCell ref="V67:AA67"/>
    <mergeCell ref="AB67:AF67"/>
    <mergeCell ref="A68:N68"/>
    <mergeCell ref="O68:U68"/>
    <mergeCell ref="AB68:AF68"/>
    <mergeCell ref="AG68:AK68"/>
    <mergeCell ref="A59:N59"/>
    <mergeCell ref="O59:U59"/>
    <mergeCell ref="V59:AA59"/>
    <mergeCell ref="A60:N60"/>
    <mergeCell ref="O60:U60"/>
    <mergeCell ref="AB60:AF60"/>
    <mergeCell ref="AG60:AK60"/>
    <mergeCell ref="A61:N61"/>
    <mergeCell ref="O61:U61"/>
    <mergeCell ref="V61:AA61"/>
    <mergeCell ref="AB61:AF61"/>
    <mergeCell ref="AG61:AK61"/>
    <mergeCell ref="A62:N62"/>
    <mergeCell ref="O62:U62"/>
    <mergeCell ref="AB62:AF62"/>
    <mergeCell ref="AG62:AK62"/>
    <mergeCell ref="A63:N63"/>
    <mergeCell ref="O63:U63"/>
    <mergeCell ref="V63:AA63"/>
    <mergeCell ref="A54:N54"/>
    <mergeCell ref="O54:U54"/>
    <mergeCell ref="AB54:AF54"/>
    <mergeCell ref="AG54:AK54"/>
    <mergeCell ref="A55:N55"/>
    <mergeCell ref="O55:U55"/>
    <mergeCell ref="V55:AA55"/>
    <mergeCell ref="AB55:AF55"/>
    <mergeCell ref="AG55:AK55"/>
    <mergeCell ref="A56:N56"/>
    <mergeCell ref="O56:U56"/>
    <mergeCell ref="V56:AA56"/>
    <mergeCell ref="A57:N57"/>
    <mergeCell ref="O57:U57"/>
    <mergeCell ref="V57:AA57"/>
    <mergeCell ref="A58:N58"/>
    <mergeCell ref="O58:U58"/>
    <mergeCell ref="AB58:AF58"/>
    <mergeCell ref="AG58:AK58"/>
    <mergeCell ref="A49:N49"/>
    <mergeCell ref="O49:U49"/>
    <mergeCell ref="V49:AA49"/>
    <mergeCell ref="A50:N50"/>
    <mergeCell ref="O50:U50"/>
    <mergeCell ref="V50:AA50"/>
    <mergeCell ref="AB50:AF50"/>
    <mergeCell ref="AG50:AK50"/>
    <mergeCell ref="A51:N51"/>
    <mergeCell ref="O51:U51"/>
    <mergeCell ref="V51:AA51"/>
    <mergeCell ref="A52:N52"/>
    <mergeCell ref="O52:U52"/>
    <mergeCell ref="V52:AA52"/>
    <mergeCell ref="AB52:AF52"/>
    <mergeCell ref="AG52:AK52"/>
    <mergeCell ref="A53:N53"/>
    <mergeCell ref="O53:U53"/>
    <mergeCell ref="V53:AA53"/>
    <mergeCell ref="AG44:AK44"/>
    <mergeCell ref="A45:N45"/>
    <mergeCell ref="O45:U45"/>
    <mergeCell ref="V45:AA45"/>
    <mergeCell ref="AB45:AF45"/>
    <mergeCell ref="AG45:AK45"/>
    <mergeCell ref="A46:N46"/>
    <mergeCell ref="O46:U46"/>
    <mergeCell ref="AB46:AF46"/>
    <mergeCell ref="AG46:AK46"/>
    <mergeCell ref="A47:N47"/>
    <mergeCell ref="O47:U47"/>
    <mergeCell ref="V47:AA47"/>
    <mergeCell ref="AB47:AF47"/>
    <mergeCell ref="A48:N48"/>
    <mergeCell ref="O48:U48"/>
    <mergeCell ref="V48:AA48"/>
    <mergeCell ref="AB48:AF48"/>
    <mergeCell ref="AG48:AK48"/>
    <mergeCell ref="A40:N40"/>
    <mergeCell ref="O40:U40"/>
    <mergeCell ref="V40:AA40"/>
    <mergeCell ref="AB40:AF40"/>
    <mergeCell ref="A41:N41"/>
    <mergeCell ref="O41:U41"/>
    <mergeCell ref="V41:AA41"/>
    <mergeCell ref="AB41:AF41"/>
    <mergeCell ref="A42:N42"/>
    <mergeCell ref="O42:U42"/>
    <mergeCell ref="V42:AA42"/>
    <mergeCell ref="AB42:AF42"/>
    <mergeCell ref="A43:N43"/>
    <mergeCell ref="O43:U43"/>
    <mergeCell ref="V43:AA43"/>
    <mergeCell ref="AB43:AF43"/>
    <mergeCell ref="A44:N44"/>
    <mergeCell ref="O44:U44"/>
    <mergeCell ref="V44:AA44"/>
    <mergeCell ref="AB44:AF44"/>
    <mergeCell ref="A36:N36"/>
    <mergeCell ref="O36:U36"/>
    <mergeCell ref="V36:AA36"/>
    <mergeCell ref="AB36:AF36"/>
    <mergeCell ref="A37:N37"/>
    <mergeCell ref="O37:U37"/>
    <mergeCell ref="V37:AA37"/>
    <mergeCell ref="AB37:AF37"/>
    <mergeCell ref="A38:N38"/>
    <mergeCell ref="O38:U38"/>
    <mergeCell ref="V38:AA38"/>
    <mergeCell ref="AB38:AF38"/>
    <mergeCell ref="AG38:AK38"/>
    <mergeCell ref="A39:N39"/>
    <mergeCell ref="O39:U39"/>
    <mergeCell ref="V39:AA39"/>
    <mergeCell ref="AB39:AF39"/>
    <mergeCell ref="A32:N32"/>
    <mergeCell ref="O32:U32"/>
    <mergeCell ref="V32:AA32"/>
    <mergeCell ref="AB32:AF32"/>
    <mergeCell ref="A33:N33"/>
    <mergeCell ref="O33:U33"/>
    <mergeCell ref="V33:AA33"/>
    <mergeCell ref="AB33:AF33"/>
    <mergeCell ref="AG33:AK33"/>
    <mergeCell ref="A34:N34"/>
    <mergeCell ref="O34:U34"/>
    <mergeCell ref="V34:AA34"/>
    <mergeCell ref="AB34:AF34"/>
    <mergeCell ref="A35:N35"/>
    <mergeCell ref="O35:U35"/>
    <mergeCell ref="V35:AA35"/>
    <mergeCell ref="AB35:AF35"/>
    <mergeCell ref="A28:N28"/>
    <mergeCell ref="O28:U28"/>
    <mergeCell ref="V28:AA28"/>
    <mergeCell ref="AB28:AF28"/>
    <mergeCell ref="A29:N29"/>
    <mergeCell ref="O29:U29"/>
    <mergeCell ref="V29:AA29"/>
    <mergeCell ref="AB29:AF29"/>
    <mergeCell ref="AG29:AK29"/>
    <mergeCell ref="A30:N30"/>
    <mergeCell ref="O30:U30"/>
    <mergeCell ref="AB30:AF30"/>
    <mergeCell ref="AG30:AK30"/>
    <mergeCell ref="A31:N31"/>
    <mergeCell ref="O31:U31"/>
    <mergeCell ref="V31:AA31"/>
    <mergeCell ref="AB31:AF31"/>
    <mergeCell ref="AG31:AK31"/>
    <mergeCell ref="A24:N24"/>
    <mergeCell ref="O24:U24"/>
    <mergeCell ref="V24:AA24"/>
    <mergeCell ref="AB24:AF24"/>
    <mergeCell ref="A25:N25"/>
    <mergeCell ref="O25:U25"/>
    <mergeCell ref="V25:AA25"/>
    <mergeCell ref="AB25:AF25"/>
    <mergeCell ref="AG25:AK25"/>
    <mergeCell ref="A26:N26"/>
    <mergeCell ref="O26:U26"/>
    <mergeCell ref="V26:AA26"/>
    <mergeCell ref="AB26:AF26"/>
    <mergeCell ref="A27:N27"/>
    <mergeCell ref="O27:U27"/>
    <mergeCell ref="V27:AA27"/>
    <mergeCell ref="AB27:AF27"/>
    <mergeCell ref="A20:N20"/>
    <mergeCell ref="O20:U20"/>
    <mergeCell ref="V20:AA20"/>
    <mergeCell ref="AB20:AF20"/>
    <mergeCell ref="AG20:AK20"/>
    <mergeCell ref="A21:N21"/>
    <mergeCell ref="O21:U21"/>
    <mergeCell ref="V21:AA21"/>
    <mergeCell ref="AB21:AF21"/>
    <mergeCell ref="AG21:AK21"/>
    <mergeCell ref="A22:N22"/>
    <mergeCell ref="O22:U22"/>
    <mergeCell ref="V22:AA22"/>
    <mergeCell ref="AB22:AF22"/>
    <mergeCell ref="AG22:AK22"/>
    <mergeCell ref="A23:N23"/>
    <mergeCell ref="O23:U23"/>
    <mergeCell ref="V23:AA23"/>
    <mergeCell ref="AB23:AF23"/>
    <mergeCell ref="AG23:AK23"/>
    <mergeCell ref="A14:G14"/>
    <mergeCell ref="H14:I14"/>
    <mergeCell ref="K14:O14"/>
    <mergeCell ref="P14:V14"/>
    <mergeCell ref="A15:G15"/>
    <mergeCell ref="H15:I15"/>
    <mergeCell ref="K15:O15"/>
    <mergeCell ref="P15:V15"/>
    <mergeCell ref="A16:G16"/>
    <mergeCell ref="H16:I16"/>
    <mergeCell ref="K16:O16"/>
    <mergeCell ref="P16:V16"/>
    <mergeCell ref="A18:N19"/>
    <mergeCell ref="O18:U18"/>
    <mergeCell ref="V18:AA18"/>
    <mergeCell ref="AB18:AF18"/>
    <mergeCell ref="AG18:AK19"/>
    <mergeCell ref="O19:U19"/>
    <mergeCell ref="V19:AA19"/>
    <mergeCell ref="AB19:AF19"/>
    <mergeCell ref="D3:AF3"/>
    <mergeCell ref="A8:G10"/>
    <mergeCell ref="H8:V8"/>
    <mergeCell ref="H9:I9"/>
    <mergeCell ref="K9:O9"/>
    <mergeCell ref="P9:V10"/>
    <mergeCell ref="H10:I10"/>
    <mergeCell ref="K10:O10"/>
    <mergeCell ref="A11:G11"/>
    <mergeCell ref="H11:I11"/>
    <mergeCell ref="K11:O11"/>
    <mergeCell ref="P11:V11"/>
    <mergeCell ref="A12:G12"/>
    <mergeCell ref="H12:I12"/>
    <mergeCell ref="K12:O12"/>
    <mergeCell ref="P12:V12"/>
    <mergeCell ref="A13:G13"/>
    <mergeCell ref="H13:I13"/>
    <mergeCell ref="K13:O13"/>
    <mergeCell ref="P13:V13"/>
  </mergeCells>
  <pageMargins left="0.75" right="1" top="0.75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20.10</vt:lpstr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DirKCK</cp:lastModifiedBy>
  <cp:revision>0</cp:revision>
  <dcterms:created xsi:type="dcterms:W3CDTF">2026-10-21T08:17:54Z</dcterms:created>
  <dcterms:modified xsi:type="dcterms:W3CDTF">2026-10-21T08:29:38Z</dcterms:modified>
  <dc:language>en-US</dc:language>
</cp:coreProperties>
</file>