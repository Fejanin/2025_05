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"/>
    </mc:Choice>
  </mc:AlternateContent>
  <xr:revisionPtr revIDLastSave="0" documentId="13_ncr:1_{68FC3998-D5C4-43E2-9159-1F054C6456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1" i="1" l="1"/>
  <c r="U101" i="1" s="1"/>
  <c r="L101" i="1"/>
  <c r="M100" i="1"/>
  <c r="U100" i="1" s="1"/>
  <c r="V100" i="1" s="1"/>
  <c r="AJ100" i="1" s="1"/>
  <c r="L100" i="1"/>
  <c r="M99" i="1"/>
  <c r="U99" i="1" s="1"/>
  <c r="L99" i="1"/>
  <c r="M98" i="1"/>
  <c r="U98" i="1" s="1"/>
  <c r="V98" i="1" s="1"/>
  <c r="AJ98" i="1" s="1"/>
  <c r="L98" i="1"/>
  <c r="M97" i="1"/>
  <c r="U97" i="1" s="1"/>
  <c r="L97" i="1"/>
  <c r="M96" i="1"/>
  <c r="U96" i="1" s="1"/>
  <c r="AJ96" i="1" s="1"/>
  <c r="L96" i="1"/>
  <c r="M95" i="1"/>
  <c r="U95" i="1" s="1"/>
  <c r="V95" i="1" s="1"/>
  <c r="L95" i="1"/>
  <c r="M94" i="1"/>
  <c r="U94" i="1" s="1"/>
  <c r="Z94" i="1" s="1"/>
  <c r="L94" i="1"/>
  <c r="M93" i="1"/>
  <c r="U93" i="1" s="1"/>
  <c r="L93" i="1"/>
  <c r="M92" i="1"/>
  <c r="U92" i="1" s="1"/>
  <c r="AJ92" i="1" s="1"/>
  <c r="L92" i="1"/>
  <c r="M91" i="1"/>
  <c r="U91" i="1" s="1"/>
  <c r="L91" i="1"/>
  <c r="M90" i="1"/>
  <c r="U90" i="1" s="1"/>
  <c r="AJ90" i="1" s="1"/>
  <c r="L90" i="1"/>
  <c r="M89" i="1"/>
  <c r="U89" i="1" s="1"/>
  <c r="AJ89" i="1" s="1"/>
  <c r="L89" i="1"/>
  <c r="M88" i="1"/>
  <c r="U88" i="1" s="1"/>
  <c r="L88" i="1"/>
  <c r="M87" i="1"/>
  <c r="U87" i="1" s="1"/>
  <c r="L87" i="1"/>
  <c r="M86" i="1"/>
  <c r="U86" i="1" s="1"/>
  <c r="V86" i="1" s="1"/>
  <c r="AJ86" i="1" s="1"/>
  <c r="L86" i="1"/>
  <c r="M85" i="1"/>
  <c r="U85" i="1" s="1"/>
  <c r="AJ85" i="1" s="1"/>
  <c r="L85" i="1"/>
  <c r="F84" i="1"/>
  <c r="E84" i="1"/>
  <c r="M84" i="1" s="1"/>
  <c r="U84" i="1" s="1"/>
  <c r="M83" i="1"/>
  <c r="U83" i="1" s="1"/>
  <c r="L83" i="1"/>
  <c r="M82" i="1"/>
  <c r="U82" i="1" s="1"/>
  <c r="L82" i="1"/>
  <c r="M81" i="1"/>
  <c r="U81" i="1" s="1"/>
  <c r="L81" i="1"/>
  <c r="M80" i="1"/>
  <c r="U80" i="1" s="1"/>
  <c r="AJ80" i="1" s="1"/>
  <c r="L80" i="1"/>
  <c r="M79" i="1"/>
  <c r="U79" i="1" s="1"/>
  <c r="Z79" i="1" s="1"/>
  <c r="L79" i="1"/>
  <c r="M78" i="1"/>
  <c r="U78" i="1" s="1"/>
  <c r="Z78" i="1" s="1"/>
  <c r="L78" i="1"/>
  <c r="M77" i="1"/>
  <c r="U77" i="1" s="1"/>
  <c r="Z77" i="1" s="1"/>
  <c r="L77" i="1"/>
  <c r="M76" i="1"/>
  <c r="U76" i="1" s="1"/>
  <c r="L76" i="1"/>
  <c r="M75" i="1"/>
  <c r="U75" i="1" s="1"/>
  <c r="Y75" i="1" s="1"/>
  <c r="L75" i="1"/>
  <c r="M74" i="1"/>
  <c r="U74" i="1" s="1"/>
  <c r="L74" i="1"/>
  <c r="M73" i="1"/>
  <c r="U73" i="1" s="1"/>
  <c r="Z73" i="1" s="1"/>
  <c r="L73" i="1"/>
  <c r="M72" i="1"/>
  <c r="U72" i="1" s="1"/>
  <c r="Y72" i="1" s="1"/>
  <c r="L72" i="1"/>
  <c r="M71" i="1"/>
  <c r="U71" i="1" s="1"/>
  <c r="AJ71" i="1" s="1"/>
  <c r="L71" i="1"/>
  <c r="M70" i="1"/>
  <c r="U70" i="1" s="1"/>
  <c r="V70" i="1" s="1"/>
  <c r="AJ70" i="1" s="1"/>
  <c r="L70" i="1"/>
  <c r="M69" i="1"/>
  <c r="U69" i="1" s="1"/>
  <c r="L69" i="1"/>
  <c r="M68" i="1"/>
  <c r="U68" i="1" s="1"/>
  <c r="AJ68" i="1" s="1"/>
  <c r="L68" i="1"/>
  <c r="M67" i="1"/>
  <c r="U67" i="1" s="1"/>
  <c r="AJ67" i="1" s="1"/>
  <c r="L67" i="1"/>
  <c r="M66" i="1"/>
  <c r="U66" i="1" s="1"/>
  <c r="AJ66" i="1" s="1"/>
  <c r="L66" i="1"/>
  <c r="M65" i="1"/>
  <c r="U65" i="1" s="1"/>
  <c r="L65" i="1"/>
  <c r="M64" i="1"/>
  <c r="U64" i="1" s="1"/>
  <c r="V64" i="1" s="1"/>
  <c r="AJ64" i="1" s="1"/>
  <c r="L64" i="1"/>
  <c r="M63" i="1"/>
  <c r="U63" i="1" s="1"/>
  <c r="V63" i="1" s="1"/>
  <c r="AJ63" i="1" s="1"/>
  <c r="L63" i="1"/>
  <c r="M62" i="1"/>
  <c r="U62" i="1" s="1"/>
  <c r="AJ62" i="1" s="1"/>
  <c r="L62" i="1"/>
  <c r="M61" i="1"/>
  <c r="U61" i="1" s="1"/>
  <c r="L61" i="1"/>
  <c r="M60" i="1"/>
  <c r="U60" i="1" s="1"/>
  <c r="V60" i="1" s="1"/>
  <c r="AJ60" i="1" s="1"/>
  <c r="L60" i="1"/>
  <c r="M59" i="1"/>
  <c r="U59" i="1" s="1"/>
  <c r="V59" i="1" s="1"/>
  <c r="AJ59" i="1" s="1"/>
  <c r="L59" i="1"/>
  <c r="M58" i="1"/>
  <c r="U58" i="1" s="1"/>
  <c r="L58" i="1"/>
  <c r="M57" i="1"/>
  <c r="U57" i="1" s="1"/>
  <c r="L57" i="1"/>
  <c r="M56" i="1"/>
  <c r="U56" i="1" s="1"/>
  <c r="V56" i="1" s="1"/>
  <c r="AJ56" i="1" s="1"/>
  <c r="L56" i="1"/>
  <c r="M55" i="1"/>
  <c r="U55" i="1" s="1"/>
  <c r="AJ55" i="1" s="1"/>
  <c r="L55" i="1"/>
  <c r="M54" i="1"/>
  <c r="U54" i="1" s="1"/>
  <c r="AJ54" i="1" s="1"/>
  <c r="L54" i="1"/>
  <c r="M53" i="1"/>
  <c r="U53" i="1" s="1"/>
  <c r="L53" i="1"/>
  <c r="M52" i="1"/>
  <c r="U52" i="1" s="1"/>
  <c r="Z52" i="1" s="1"/>
  <c r="L52" i="1"/>
  <c r="M51" i="1"/>
  <c r="U51" i="1" s="1"/>
  <c r="Z51" i="1" s="1"/>
  <c r="L51" i="1"/>
  <c r="M50" i="1"/>
  <c r="U50" i="1" s="1"/>
  <c r="L50" i="1"/>
  <c r="M49" i="1"/>
  <c r="U49" i="1" s="1"/>
  <c r="Z49" i="1" s="1"/>
  <c r="L49" i="1"/>
  <c r="M48" i="1"/>
  <c r="U48" i="1" s="1"/>
  <c r="L48" i="1"/>
  <c r="M47" i="1"/>
  <c r="U47" i="1" s="1"/>
  <c r="Z47" i="1" s="1"/>
  <c r="L47" i="1"/>
  <c r="M46" i="1"/>
  <c r="U46" i="1" s="1"/>
  <c r="L46" i="1"/>
  <c r="M45" i="1"/>
  <c r="U45" i="1" s="1"/>
  <c r="Z45" i="1" s="1"/>
  <c r="L45" i="1"/>
  <c r="M44" i="1"/>
  <c r="U44" i="1" s="1"/>
  <c r="L44" i="1"/>
  <c r="M43" i="1"/>
  <c r="U43" i="1" s="1"/>
  <c r="Z43" i="1" s="1"/>
  <c r="L43" i="1"/>
  <c r="M42" i="1"/>
  <c r="U42" i="1" s="1"/>
  <c r="L42" i="1"/>
  <c r="M41" i="1"/>
  <c r="U41" i="1" s="1"/>
  <c r="Z41" i="1" s="1"/>
  <c r="L41" i="1"/>
  <c r="M40" i="1"/>
  <c r="U40" i="1" s="1"/>
  <c r="L40" i="1"/>
  <c r="M39" i="1"/>
  <c r="U39" i="1" s="1"/>
  <c r="Z39" i="1" s="1"/>
  <c r="L39" i="1"/>
  <c r="M38" i="1"/>
  <c r="U38" i="1" s="1"/>
  <c r="AJ38" i="1" s="1"/>
  <c r="L38" i="1"/>
  <c r="M37" i="1"/>
  <c r="U37" i="1" s="1"/>
  <c r="V37" i="1" s="1"/>
  <c r="AJ37" i="1" s="1"/>
  <c r="L37" i="1"/>
  <c r="M36" i="1"/>
  <c r="U36" i="1" s="1"/>
  <c r="AJ36" i="1" s="1"/>
  <c r="L36" i="1"/>
  <c r="M35" i="1"/>
  <c r="U35" i="1" s="1"/>
  <c r="V35" i="1" s="1"/>
  <c r="AJ35" i="1" s="1"/>
  <c r="L35" i="1"/>
  <c r="M34" i="1"/>
  <c r="U34" i="1" s="1"/>
  <c r="L34" i="1"/>
  <c r="M33" i="1"/>
  <c r="U33" i="1" s="1"/>
  <c r="AJ33" i="1" s="1"/>
  <c r="L33" i="1"/>
  <c r="M32" i="1"/>
  <c r="U32" i="1" s="1"/>
  <c r="Y32" i="1" s="1"/>
  <c r="L32" i="1"/>
  <c r="M31" i="1"/>
  <c r="U31" i="1" s="1"/>
  <c r="L31" i="1"/>
  <c r="M30" i="1"/>
  <c r="U30" i="1" s="1"/>
  <c r="L30" i="1"/>
  <c r="M29" i="1"/>
  <c r="U29" i="1" s="1"/>
  <c r="Y29" i="1" s="1"/>
  <c r="L29" i="1"/>
  <c r="M28" i="1"/>
  <c r="U28" i="1" s="1"/>
  <c r="L28" i="1"/>
  <c r="M27" i="1"/>
  <c r="U27" i="1" s="1"/>
  <c r="L27" i="1"/>
  <c r="M26" i="1"/>
  <c r="U26" i="1" s="1"/>
  <c r="Y26" i="1" s="1"/>
  <c r="L26" i="1"/>
  <c r="M25" i="1"/>
  <c r="U25" i="1" s="1"/>
  <c r="L25" i="1"/>
  <c r="M24" i="1"/>
  <c r="U24" i="1" s="1"/>
  <c r="AJ24" i="1" s="1"/>
  <c r="L24" i="1"/>
  <c r="M23" i="1"/>
  <c r="U23" i="1" s="1"/>
  <c r="L23" i="1"/>
  <c r="M22" i="1"/>
  <c r="U22" i="1" s="1"/>
  <c r="AJ22" i="1" s="1"/>
  <c r="L22" i="1"/>
  <c r="M21" i="1"/>
  <c r="U21" i="1" s="1"/>
  <c r="Z21" i="1" s="1"/>
  <c r="L21" i="1"/>
  <c r="M20" i="1"/>
  <c r="U20" i="1" s="1"/>
  <c r="V20" i="1" s="1"/>
  <c r="L20" i="1"/>
  <c r="M19" i="1"/>
  <c r="U19" i="1" s="1"/>
  <c r="Z19" i="1" s="1"/>
  <c r="L19" i="1"/>
  <c r="M18" i="1"/>
  <c r="U18" i="1" s="1"/>
  <c r="Y18" i="1" s="1"/>
  <c r="L18" i="1"/>
  <c r="M17" i="1"/>
  <c r="U17" i="1" s="1"/>
  <c r="L17" i="1"/>
  <c r="M16" i="1"/>
  <c r="U16" i="1" s="1"/>
  <c r="V16" i="1" s="1"/>
  <c r="AJ16" i="1" s="1"/>
  <c r="L16" i="1"/>
  <c r="M15" i="1"/>
  <c r="U15" i="1" s="1"/>
  <c r="V15" i="1" s="1"/>
  <c r="L15" i="1"/>
  <c r="M14" i="1"/>
  <c r="U14" i="1" s="1"/>
  <c r="L14" i="1"/>
  <c r="M13" i="1"/>
  <c r="U13" i="1" s="1"/>
  <c r="L13" i="1"/>
  <c r="M12" i="1"/>
  <c r="U12" i="1" s="1"/>
  <c r="AJ12" i="1" s="1"/>
  <c r="L12" i="1"/>
  <c r="M11" i="1"/>
  <c r="U11" i="1" s="1"/>
  <c r="L11" i="1"/>
  <c r="M10" i="1"/>
  <c r="U10" i="1" s="1"/>
  <c r="V10" i="1" s="1"/>
  <c r="AJ10" i="1" s="1"/>
  <c r="L10" i="1"/>
  <c r="M9" i="1"/>
  <c r="U9" i="1" s="1"/>
  <c r="L9" i="1"/>
  <c r="M8" i="1"/>
  <c r="U8" i="1" s="1"/>
  <c r="V8" i="1" s="1"/>
  <c r="L8" i="1"/>
  <c r="M7" i="1"/>
  <c r="U7" i="1" s="1"/>
  <c r="L7" i="1"/>
  <c r="M6" i="1"/>
  <c r="U6" i="1" s="1"/>
  <c r="L6" i="1"/>
  <c r="AH5" i="1"/>
  <c r="AG5" i="1"/>
  <c r="AF5" i="1"/>
  <c r="AE5" i="1"/>
  <c r="AD5" i="1"/>
  <c r="AC5" i="1"/>
  <c r="AB5" i="1"/>
  <c r="AA5" i="1"/>
  <c r="W5" i="1"/>
  <c r="T5" i="1"/>
  <c r="S5" i="1"/>
  <c r="R5" i="1"/>
  <c r="Q5" i="1"/>
  <c r="P5" i="1"/>
  <c r="O5" i="1"/>
  <c r="N5" i="1"/>
  <c r="K5" i="1"/>
  <c r="V58" i="1" l="1"/>
  <c r="AJ58" i="1" s="1"/>
  <c r="V11" i="1"/>
  <c r="AJ11" i="1" s="1"/>
  <c r="E5" i="1"/>
  <c r="Y84" i="1"/>
  <c r="AJ8" i="1"/>
  <c r="AJ15" i="1"/>
  <c r="AJ84" i="1"/>
  <c r="V7" i="1"/>
  <c r="AJ7" i="1" s="1"/>
  <c r="AJ14" i="1"/>
  <c r="V23" i="1"/>
  <c r="Y23" i="1" s="1"/>
  <c r="V34" i="1"/>
  <c r="AJ34" i="1" s="1"/>
  <c r="V28" i="1"/>
  <c r="AJ28" i="1" s="1"/>
  <c r="AJ19" i="1"/>
  <c r="V41" i="1"/>
  <c r="AJ41" i="1" s="1"/>
  <c r="AJ45" i="1"/>
  <c r="AJ49" i="1"/>
  <c r="Y79" i="1"/>
  <c r="V39" i="1"/>
  <c r="AJ39" i="1" s="1"/>
  <c r="V43" i="1"/>
  <c r="AJ43" i="1" s="1"/>
  <c r="AJ47" i="1"/>
  <c r="AJ51" i="1"/>
  <c r="AJ6" i="1"/>
  <c r="V9" i="1"/>
  <c r="AJ9" i="1" s="1"/>
  <c r="AJ13" i="1"/>
  <c r="V17" i="1"/>
  <c r="AJ17" i="1" s="1"/>
  <c r="AJ31" i="1"/>
  <c r="Z40" i="1"/>
  <c r="V40" i="1"/>
  <c r="AJ40" i="1" s="1"/>
  <c r="Z44" i="1"/>
  <c r="V44" i="1"/>
  <c r="AJ44" i="1" s="1"/>
  <c r="Z48" i="1"/>
  <c r="AJ48" i="1"/>
  <c r="V53" i="1"/>
  <c r="AJ53" i="1" s="1"/>
  <c r="AJ57" i="1"/>
  <c r="AJ61" i="1"/>
  <c r="AJ65" i="1"/>
  <c r="AJ69" i="1"/>
  <c r="Z76" i="1"/>
  <c r="V76" i="1"/>
  <c r="V97" i="1"/>
  <c r="AJ97" i="1" s="1"/>
  <c r="AJ101" i="1"/>
  <c r="V74" i="1"/>
  <c r="AJ74" i="1" s="1"/>
  <c r="V88" i="1"/>
  <c r="AJ88" i="1" s="1"/>
  <c r="Z20" i="1"/>
  <c r="AJ20" i="1"/>
  <c r="Y25" i="1"/>
  <c r="AJ25" i="1"/>
  <c r="Z42" i="1"/>
  <c r="V42" i="1"/>
  <c r="AJ42" i="1" s="1"/>
  <c r="Z46" i="1"/>
  <c r="V46" i="1"/>
  <c r="AJ46" i="1" s="1"/>
  <c r="Z50" i="1"/>
  <c r="AJ50" i="1"/>
  <c r="Y81" i="1"/>
  <c r="AJ81" i="1"/>
  <c r="Y92" i="1"/>
  <c r="AJ95" i="1"/>
  <c r="Y98" i="1"/>
  <c r="V99" i="1"/>
  <c r="AJ99" i="1" s="1"/>
  <c r="AJ82" i="1"/>
  <c r="Y86" i="1"/>
  <c r="Y90" i="1"/>
  <c r="AJ83" i="1"/>
  <c r="V87" i="1"/>
  <c r="AJ87" i="1" s="1"/>
  <c r="AJ91" i="1"/>
  <c r="Y8" i="1"/>
  <c r="Y10" i="1"/>
  <c r="Y12" i="1"/>
  <c r="Y14" i="1"/>
  <c r="Y16" i="1"/>
  <c r="Y24" i="1"/>
  <c r="Y28" i="1"/>
  <c r="Y54" i="1"/>
  <c r="Y56" i="1"/>
  <c r="Y60" i="1"/>
  <c r="Y62" i="1"/>
  <c r="Y64" i="1"/>
  <c r="Y66" i="1"/>
  <c r="Y68" i="1"/>
  <c r="Y70" i="1"/>
  <c r="Y6" i="1"/>
  <c r="Y20" i="1"/>
  <c r="Y21" i="1"/>
  <c r="Z84" i="1"/>
  <c r="Y80" i="1"/>
  <c r="Z80" i="1"/>
  <c r="Y96" i="1"/>
  <c r="Z96" i="1"/>
  <c r="Y100" i="1"/>
  <c r="Z100" i="1"/>
  <c r="Z7" i="1"/>
  <c r="Z11" i="1"/>
  <c r="Y15" i="1"/>
  <c r="Z15" i="1"/>
  <c r="Y22" i="1"/>
  <c r="Z22" i="1"/>
  <c r="Y55" i="1"/>
  <c r="Z55" i="1"/>
  <c r="Y59" i="1"/>
  <c r="Z59" i="1"/>
  <c r="Y63" i="1"/>
  <c r="Z63" i="1"/>
  <c r="Y67" i="1"/>
  <c r="Z67" i="1"/>
  <c r="Y71" i="1"/>
  <c r="Z71" i="1"/>
  <c r="Y85" i="1"/>
  <c r="Z85" i="1"/>
  <c r="Y89" i="1"/>
  <c r="Z89" i="1"/>
  <c r="Y93" i="1"/>
  <c r="Z93" i="1"/>
  <c r="F5" i="1"/>
  <c r="M5" i="1"/>
  <c r="Z9" i="1"/>
  <c r="Z13" i="1"/>
  <c r="Z17" i="1"/>
  <c r="Y47" i="1"/>
  <c r="Y49" i="1"/>
  <c r="Y50" i="1"/>
  <c r="Y52" i="1"/>
  <c r="Z53" i="1"/>
  <c r="Z57" i="1"/>
  <c r="Z61" i="1"/>
  <c r="Z65" i="1"/>
  <c r="Z69" i="1"/>
  <c r="Y73" i="1"/>
  <c r="Z74" i="1"/>
  <c r="Z82" i="1"/>
  <c r="Z87" i="1"/>
  <c r="Z91" i="1"/>
  <c r="Z98" i="1"/>
  <c r="Z23" i="1"/>
  <c r="Z27" i="1"/>
  <c r="Y27" i="1"/>
  <c r="Z33" i="1"/>
  <c r="Y33" i="1"/>
  <c r="Z35" i="1"/>
  <c r="Y35" i="1"/>
  <c r="Z37" i="1"/>
  <c r="Y37" i="1"/>
  <c r="U5" i="1"/>
  <c r="Z6" i="1"/>
  <c r="Z8" i="1"/>
  <c r="Z10" i="1"/>
  <c r="Z12" i="1"/>
  <c r="Z14" i="1"/>
  <c r="Z16" i="1"/>
  <c r="Z18" i="1"/>
  <c r="Z30" i="1"/>
  <c r="Y30" i="1"/>
  <c r="Z34" i="1"/>
  <c r="Z36" i="1"/>
  <c r="Y36" i="1"/>
  <c r="Z38" i="1"/>
  <c r="Y38" i="1"/>
  <c r="Z24" i="1"/>
  <c r="Z25" i="1"/>
  <c r="Z26" i="1"/>
  <c r="Z28" i="1"/>
  <c r="Z29" i="1"/>
  <c r="Z31" i="1"/>
  <c r="Z32" i="1"/>
  <c r="Z54" i="1"/>
  <c r="Z56" i="1"/>
  <c r="Z58" i="1"/>
  <c r="Z60" i="1"/>
  <c r="Z62" i="1"/>
  <c r="Z64" i="1"/>
  <c r="Z66" i="1"/>
  <c r="Z68" i="1"/>
  <c r="Z70" i="1"/>
  <c r="Z72" i="1"/>
  <c r="Z75" i="1"/>
  <c r="Z81" i="1"/>
  <c r="Z83" i="1"/>
  <c r="L84" i="1"/>
  <c r="L5" i="1" s="1"/>
  <c r="Z86" i="1"/>
  <c r="Z88" i="1"/>
  <c r="Z90" i="1"/>
  <c r="Z92" i="1"/>
  <c r="Y94" i="1"/>
  <c r="Z95" i="1"/>
  <c r="Z97" i="1"/>
  <c r="Z99" i="1"/>
  <c r="Z101" i="1"/>
  <c r="Y11" i="1" l="1"/>
  <c r="Y7" i="1"/>
  <c r="Y58" i="1"/>
  <c r="Y34" i="1"/>
  <c r="Y41" i="1"/>
  <c r="Y44" i="1"/>
  <c r="Y39" i="1"/>
  <c r="Y46" i="1"/>
  <c r="Y42" i="1"/>
  <c r="Y101" i="1"/>
  <c r="Y97" i="1"/>
  <c r="AJ23" i="1"/>
  <c r="Y48" i="1"/>
  <c r="Y40" i="1"/>
  <c r="Y87" i="1"/>
  <c r="Y51" i="1"/>
  <c r="Y45" i="1"/>
  <c r="Y43" i="1"/>
  <c r="Y19" i="1"/>
  <c r="Y99" i="1"/>
  <c r="Y82" i="1"/>
  <c r="Y91" i="1"/>
  <c r="Y83" i="1"/>
  <c r="AJ77" i="1"/>
  <c r="Y77" i="1"/>
  <c r="V5" i="1"/>
  <c r="AJ78" i="1"/>
  <c r="Y78" i="1"/>
  <c r="Y95" i="1"/>
  <c r="Y88" i="1"/>
  <c r="Y76" i="1"/>
  <c r="AJ76" i="1"/>
  <c r="Y74" i="1"/>
  <c r="Y69" i="1"/>
  <c r="Y65" i="1"/>
  <c r="Y61" i="1"/>
  <c r="Y57" i="1"/>
  <c r="Y53" i="1"/>
  <c r="Y31" i="1"/>
  <c r="Y17" i="1"/>
  <c r="Y13" i="1"/>
  <c r="Y9" i="1"/>
  <c r="AJ5" i="1" l="1"/>
</calcChain>
</file>

<file path=xl/sharedStrings.xml><?xml version="1.0" encoding="utf-8"?>
<sst xmlns="http://schemas.openxmlformats.org/spreadsheetml/2006/main" count="395" uniqueCount="159">
  <si>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</si>
  <si>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</si>
  <si>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</si>
  <si>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</si>
  <si>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</si>
  <si>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</si>
  <si>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</si>
  <si>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</si>
  <si>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</si>
  <si>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</si>
  <si>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</si>
  <si>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</si>
  <si>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</si>
  <si>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</si>
  <si>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</si>
  <si>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</si>
  <si>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</si>
  <si>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</si>
  <si>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</si>
  <si>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</si>
  <si>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</si>
  <si>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</si>
  <si>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</si>
  <si>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</si>
  <si>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26,01,(2)</t>
  </si>
  <si>
    <t>28,01,</t>
  </si>
  <si>
    <t>Бутырин(31,01)</t>
  </si>
  <si>
    <t>31,01,(1)</t>
  </si>
  <si>
    <t>31,01,(2)</t>
  </si>
  <si>
    <t>31,01,(3)</t>
  </si>
  <si>
    <t>29,01,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</si>
  <si>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</si>
  <si>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</si>
  <si>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</si>
  <si>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</si>
  <si>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</si>
  <si>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</si>
  <si>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</si>
  <si>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</si>
  <si>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 xml:space="preserve"> 005  Колбаса Докторская ГОСТ, Вязанка вектор,ВЕС. ПОКОМ</t>
  </si>
  <si>
    <t>кг</t>
  </si>
  <si>
    <t>матрица</t>
  </si>
  <si>
    <t>ТМА февраль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</si>
  <si>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</si>
  <si>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</si>
  <si>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</si>
  <si>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</si>
  <si>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</si>
  <si>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</si>
  <si>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</si>
  <si>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</si>
  <si>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</si>
  <si>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</si>
  <si>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январь_февраль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</si>
  <si>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</si>
  <si>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</si>
  <si>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</si>
  <si>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</si>
  <si>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</si>
  <si>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</si>
  <si>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</si>
  <si>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</si>
  <si>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>ТМА декабрь_январь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</si>
  <si>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</si>
  <si>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</si>
  <si>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</si>
  <si>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</si>
  <si>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</si>
  <si>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</si>
  <si>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</si>
  <si>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</si>
  <si>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</si>
  <si>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</si>
  <si>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</si>
  <si>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</si>
  <si>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</si>
  <si>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с 21,01,26 заказываем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</si>
  <si>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</si>
  <si>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</si>
  <si>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</si>
  <si>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январь_февраль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</si>
  <si>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</si>
  <si>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</si>
  <si>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</si>
  <si>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</si>
  <si>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</si>
  <si>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</si>
  <si>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</si>
  <si>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</si>
  <si>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</si>
  <si>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</si>
  <si>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</si>
  <si>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</si>
  <si>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</si>
  <si>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</si>
  <si>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</si>
  <si>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</si>
  <si>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</si>
  <si>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новинка / ТМА февраль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</si>
  <si>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</si>
  <si>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</si>
  <si>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</si>
  <si>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</si>
  <si>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</si>
  <si>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</si>
  <si>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</si>
  <si>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</si>
  <si>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</si>
  <si>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</si>
  <si>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</si>
  <si>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</si>
  <si>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</si>
  <si>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</si>
  <si>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</si>
  <si>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</si>
  <si>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</si>
  <si>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</si>
  <si>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</si>
  <si>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</si>
  <si>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</si>
  <si>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</si>
  <si>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</si>
  <si>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</si>
  <si>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</si>
  <si>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</si>
  <si>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</si>
  <si>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</si>
  <si>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</si>
  <si>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</si>
  <si>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</si>
  <si>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</si>
  <si>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</si>
  <si>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</si>
  <si>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</si>
  <si>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</si>
  <si>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</si>
  <si>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</si>
  <si>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</si>
  <si>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</si>
  <si>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</si>
  <si>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</si>
  <si>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</si>
  <si>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</si>
  <si>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</si>
  <si>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</si>
  <si>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</si>
  <si>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</si>
  <si>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</si>
  <si>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</si>
  <si>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</si>
  <si>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</si>
  <si>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</si>
  <si>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</si>
  <si>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</si>
  <si>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</si>
  <si>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</si>
  <si>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12,01,26 завод не отгрузил / 25,05,25 в уценку 56шт.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</si>
  <si>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23,06,25 в уценку 6кг / 22,04,25 в уценку 34 кг / 25,01,25 в уценку 108кг</t>
    </r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</si>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</sst>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4" fillId="11" borderId="1" xfId="1" applyNumberFormat="1" applyFont="1" applyFill="1"/>
    <xf numFmtId="164" fontId="5" fillId="12" borderId="1" xfId="1" applyNumberFormat="1" applyFont="1" applyFill="1"/>
    <xf numFmtId="164" fontId="6" fillId="1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5" sqref="X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140625" customWidth="1"/>
    <col min="10" max="10" width="1" customWidth="1"/>
    <col min="11" max="23" width="7" customWidth="1"/>
    <col min="24" max="24" width="14" customWidth="1"/>
    <col min="25" max="26" width="5" customWidth="1"/>
    <col min="27" max="34" width="6" customWidth="1"/>
    <col min="35" max="35" width="32.5703125" customWidth="1"/>
    <col min="36" max="36" width="7" customWidth="1"/>
    <col min="37" max="46" width="3" customWidth="1"/>
  </cols>
  <sheetData>
    <row r="1" spans="1:46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15</v>
      </c>
      <c r="V3" s="2" t="s">
        <v>16</v>
      </c>
      <c r="W3" s="6" t="s">
        <v>17</v>
      </c>
      <c r="X3" s="6" t="s">
        <v>18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22</v>
      </c>
      <c r="AJ3" s="1" t="s">
        <v>23</v>
      </c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24</v>
      </c>
      <c r="P4" s="7" t="s">
        <v>25</v>
      </c>
      <c r="Q4" s="7" t="s">
        <v>26</v>
      </c>
      <c r="R4" s="7" t="s">
        <v>27</v>
      </c>
      <c r="S4" s="7" t="s">
        <v>28</v>
      </c>
      <c r="T4" s="7" t="s">
        <v>29</v>
      </c>
      <c r="U4" s="7" t="s">
        <v>30</v>
      </c>
      <c r="V4" s="7"/>
      <c r="W4" s="7"/>
      <c r="X4" s="7"/>
      <c r="Y4" s="7"/>
      <c r="Z4" s="7"/>
      <c r="AA4" s="7" t="s">
        <v>31</v>
      </c>
      <c r="AB4" s="7" t="s">
        <v>32</v>
      </c>
      <c r="AC4" s="7" t="s">
        <v>33</v>
      </c>
      <c r="AD4" s="7" t="s">
        <v>34</v>
      </c>
      <c r="AE4" s="7" t="s">
        <v>35</v>
      </c>
      <c r="AF4" s="7" t="s">
        <v>36</v>
      </c>
      <c r="AG4" s="7" t="s">
        <v>37</v>
      </c>
      <c r="AH4" s="7" t="s">
        <v>38</v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x14ac:dyDescent="0.25">
      <c r="A5" s="7"/>
      <c r="B5" s="7"/>
      <c r="C5" s="7"/>
      <c r="D5" s="7"/>
      <c r="E5" s="3">
        <f>SUM(E6:E500)</f>
        <v>39218.715000000004</v>
      </c>
      <c r="F5" s="3">
        <f>SUM(F6:F500)</f>
        <v>40504.481999999989</v>
      </c>
      <c r="G5" s="8"/>
      <c r="H5" s="7"/>
      <c r="I5" s="7"/>
      <c r="J5" s="7"/>
      <c r="K5" s="3">
        <f t="shared" ref="K5:W5" si="0">SUM(K6:K500)</f>
        <v>44323.832999999999</v>
      </c>
      <c r="L5" s="3">
        <f t="shared" si="0"/>
        <v>-5105.1179999999995</v>
      </c>
      <c r="M5" s="3">
        <f t="shared" si="0"/>
        <v>32834.677999999993</v>
      </c>
      <c r="N5" s="3">
        <f t="shared" si="0"/>
        <v>6384.0370000000003</v>
      </c>
      <c r="O5" s="3">
        <f t="shared" si="0"/>
        <v>10189.875667573331</v>
      </c>
      <c r="P5" s="3">
        <f t="shared" si="0"/>
        <v>5908.6313999999993</v>
      </c>
      <c r="Q5" s="3">
        <f t="shared" si="0"/>
        <v>1673</v>
      </c>
      <c r="R5" s="3">
        <f t="shared" si="0"/>
        <v>16561.154315771673</v>
      </c>
      <c r="S5" s="3">
        <f t="shared" si="0"/>
        <v>10150</v>
      </c>
      <c r="T5" s="3">
        <f t="shared" si="0"/>
        <v>8960</v>
      </c>
      <c r="U5" s="3">
        <f t="shared" si="0"/>
        <v>6566.9356000000025</v>
      </c>
      <c r="V5" s="3">
        <f t="shared" si="0"/>
        <v>10380.211461666664</v>
      </c>
      <c r="W5" s="3">
        <f t="shared" si="0"/>
        <v>0</v>
      </c>
      <c r="X5" s="7"/>
      <c r="Y5" s="7"/>
      <c r="Z5" s="7"/>
      <c r="AA5" s="3">
        <f t="shared" ref="AA5:AH5" si="1">SUM(AA6:AA500)</f>
        <v>7188.5732000000025</v>
      </c>
      <c r="AB5" s="3">
        <f t="shared" si="1"/>
        <v>6544.6181999999999</v>
      </c>
      <c r="AC5" s="3">
        <f t="shared" si="1"/>
        <v>7010.7465999999977</v>
      </c>
      <c r="AD5" s="3">
        <f t="shared" si="1"/>
        <v>7002.0939999999991</v>
      </c>
      <c r="AE5" s="3">
        <f t="shared" si="1"/>
        <v>6807.0778</v>
      </c>
      <c r="AF5" s="3">
        <f t="shared" si="1"/>
        <v>7253.2434999999959</v>
      </c>
      <c r="AG5" s="3">
        <f t="shared" si="1"/>
        <v>8220.0903333333335</v>
      </c>
      <c r="AH5" s="3">
        <f t="shared" si="1"/>
        <v>7432.0654000000004</v>
      </c>
      <c r="AI5" s="7"/>
      <c r="AJ5" s="3">
        <f>SUM(AJ6:AJ500)</f>
        <v>6598.5425658333315</v>
      </c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 x14ac:dyDescent="0.25">
      <c r="A6" s="22" t="s">
        <v>39</v>
      </c>
      <c r="B6" s="22" t="s">
        <v>40</v>
      </c>
      <c r="C6" s="22">
        <v>449.09399999999999</v>
      </c>
      <c r="D6" s="22">
        <v>537.99099999999999</v>
      </c>
      <c r="E6" s="22">
        <v>369.82600000000002</v>
      </c>
      <c r="F6" s="22">
        <v>456.59100000000001</v>
      </c>
      <c r="G6" s="23">
        <v>1</v>
      </c>
      <c r="H6" s="22">
        <v>50</v>
      </c>
      <c r="I6" s="22" t="s">
        <v>41</v>
      </c>
      <c r="J6" s="22"/>
      <c r="K6" s="22">
        <v>423.59</v>
      </c>
      <c r="L6" s="22">
        <f t="shared" ref="L6:L37" si="2">E6-K6</f>
        <v>-53.763999999999953</v>
      </c>
      <c r="M6" s="22">
        <f t="shared" ref="M6:M37" si="3">E6-N6</f>
        <v>316.43600000000004</v>
      </c>
      <c r="N6" s="22">
        <v>53.39</v>
      </c>
      <c r="O6" s="22">
        <v>481.22269999999997</v>
      </c>
      <c r="P6" s="22">
        <v>184.328676</v>
      </c>
      <c r="Q6" s="22">
        <v>0</v>
      </c>
      <c r="R6" s="22">
        <v>72.841324000000213</v>
      </c>
      <c r="S6" s="22"/>
      <c r="T6" s="22"/>
      <c r="U6" s="22">
        <f t="shared" ref="U6:U37" si="4">M6/5</f>
        <v>63.287200000000006</v>
      </c>
      <c r="V6" s="24"/>
      <c r="W6" s="24"/>
      <c r="X6" s="22"/>
      <c r="Y6" s="22">
        <f t="shared" ref="Y6:Y37" si="5">(F6+O6+P6+R6+S6+T6+V6)/U6</f>
        <v>18.881917670555818</v>
      </c>
      <c r="Z6" s="22">
        <f t="shared" ref="Z6:Z37" si="6">(F6+O6+P6+R6+S6+T6)/U6</f>
        <v>18.881917670555818</v>
      </c>
      <c r="AA6" s="22">
        <v>79.431600000000017</v>
      </c>
      <c r="AB6" s="22">
        <v>97.528400000000005</v>
      </c>
      <c r="AC6" s="22">
        <v>81.555599999999998</v>
      </c>
      <c r="AD6" s="22">
        <v>28.123000000000001</v>
      </c>
      <c r="AE6" s="22">
        <v>24.486000000000001</v>
      </c>
      <c r="AF6" s="22">
        <v>91.292833333333348</v>
      </c>
      <c r="AG6" s="22">
        <v>93.21833333333332</v>
      </c>
      <c r="AH6" s="22">
        <v>6.0432000000000006</v>
      </c>
      <c r="AI6" s="22" t="s">
        <v>42</v>
      </c>
      <c r="AJ6" s="22">
        <f t="shared" ref="AJ6:AJ17" si="7">G6*V6</f>
        <v>0</v>
      </c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 x14ac:dyDescent="0.25">
      <c r="A7" s="22" t="s">
        <v>43</v>
      </c>
      <c r="B7" s="22" t="s">
        <v>40</v>
      </c>
      <c r="C7" s="22">
        <v>358.70400000000001</v>
      </c>
      <c r="D7" s="22">
        <v>378.76799999999997</v>
      </c>
      <c r="E7" s="22">
        <v>541.39800000000002</v>
      </c>
      <c r="F7" s="22">
        <v>23.024000000000001</v>
      </c>
      <c r="G7" s="23">
        <v>1</v>
      </c>
      <c r="H7" s="22">
        <v>45</v>
      </c>
      <c r="I7" s="22" t="s">
        <v>41</v>
      </c>
      <c r="J7" s="22"/>
      <c r="K7" s="22">
        <v>574.09100000000001</v>
      </c>
      <c r="L7" s="22">
        <f t="shared" si="2"/>
        <v>-32.692999999999984</v>
      </c>
      <c r="M7" s="22">
        <f t="shared" si="3"/>
        <v>350.20699999999999</v>
      </c>
      <c r="N7" s="22">
        <v>191.191</v>
      </c>
      <c r="O7" s="22">
        <v>40.535544220000133</v>
      </c>
      <c r="P7" s="22"/>
      <c r="Q7" s="22">
        <v>0</v>
      </c>
      <c r="R7" s="22">
        <v>271.47905578000012</v>
      </c>
      <c r="S7" s="22">
        <v>200</v>
      </c>
      <c r="T7" s="22">
        <v>200</v>
      </c>
      <c r="U7" s="22">
        <f t="shared" si="4"/>
        <v>70.041399999999996</v>
      </c>
      <c r="V7" s="24">
        <f t="shared" ref="V7:V8" si="8">11*U7*1.5-T7-S7-R7-P7-O7-F7</f>
        <v>420.64449999999971</v>
      </c>
      <c r="W7" s="24"/>
      <c r="X7" s="22"/>
      <c r="Y7" s="22">
        <f t="shared" si="5"/>
        <v>16.5</v>
      </c>
      <c r="Z7" s="22">
        <f t="shared" si="6"/>
        <v>10.49434477323412</v>
      </c>
      <c r="AA7" s="22">
        <v>61.333399999999997</v>
      </c>
      <c r="AB7" s="22">
        <v>36.921599999999998</v>
      </c>
      <c r="AC7" s="22">
        <v>37.392399999999988</v>
      </c>
      <c r="AD7" s="22">
        <v>48.169800000000002</v>
      </c>
      <c r="AE7" s="22">
        <v>63.855200000000004</v>
      </c>
      <c r="AF7" s="22">
        <v>33.899500000000003</v>
      </c>
      <c r="AG7" s="22">
        <v>41.783499999999997</v>
      </c>
      <c r="AH7" s="22">
        <v>45.427399999999992</v>
      </c>
      <c r="AI7" s="22" t="s">
        <v>42</v>
      </c>
      <c r="AJ7" s="22">
        <f t="shared" si="7"/>
        <v>420.64449999999971</v>
      </c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 x14ac:dyDescent="0.25">
      <c r="A8" s="22" t="s">
        <v>44</v>
      </c>
      <c r="B8" s="22" t="s">
        <v>40</v>
      </c>
      <c r="C8" s="22">
        <v>738.86</v>
      </c>
      <c r="D8" s="22">
        <v>747.178</v>
      </c>
      <c r="E8" s="22">
        <v>979.38</v>
      </c>
      <c r="F8" s="22">
        <v>164.316</v>
      </c>
      <c r="G8" s="23">
        <v>1</v>
      </c>
      <c r="H8" s="22">
        <v>45</v>
      </c>
      <c r="I8" s="22" t="s">
        <v>41</v>
      </c>
      <c r="J8" s="22"/>
      <c r="K8" s="22">
        <v>1163.248</v>
      </c>
      <c r="L8" s="22">
        <f t="shared" si="2"/>
        <v>-183.86800000000005</v>
      </c>
      <c r="M8" s="22">
        <f t="shared" si="3"/>
        <v>645.33199999999999</v>
      </c>
      <c r="N8" s="22">
        <v>334.048</v>
      </c>
      <c r="O8" s="22">
        <v>146.09837292500021</v>
      </c>
      <c r="P8" s="22"/>
      <c r="Q8" s="22">
        <v>143</v>
      </c>
      <c r="R8" s="22">
        <v>554.96136040833289</v>
      </c>
      <c r="S8" s="22">
        <v>400</v>
      </c>
      <c r="T8" s="22">
        <v>400</v>
      </c>
      <c r="U8" s="22">
        <f t="shared" si="4"/>
        <v>129.06639999999999</v>
      </c>
      <c r="V8" s="24">
        <f t="shared" si="8"/>
        <v>464.21986666666658</v>
      </c>
      <c r="W8" s="24"/>
      <c r="X8" s="22"/>
      <c r="Y8" s="22">
        <f t="shared" si="5"/>
        <v>16.5</v>
      </c>
      <c r="Z8" s="22">
        <f t="shared" si="6"/>
        <v>12.903247733982921</v>
      </c>
      <c r="AA8" s="22">
        <v>115.2568</v>
      </c>
      <c r="AB8" s="22">
        <v>93.432400000000001</v>
      </c>
      <c r="AC8" s="22">
        <v>104.94459999999999</v>
      </c>
      <c r="AD8" s="22">
        <v>137.81540000000001</v>
      </c>
      <c r="AE8" s="22">
        <v>122.11499999999999</v>
      </c>
      <c r="AF8" s="22">
        <v>109.2651666666667</v>
      </c>
      <c r="AG8" s="22">
        <v>126.5826666666667</v>
      </c>
      <c r="AH8" s="22">
        <v>105.9686</v>
      </c>
      <c r="AI8" s="22" t="s">
        <v>42</v>
      </c>
      <c r="AJ8" s="22">
        <f t="shared" si="7"/>
        <v>464.21986666666658</v>
      </c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x14ac:dyDescent="0.25">
      <c r="A9" s="7" t="s">
        <v>45</v>
      </c>
      <c r="B9" s="7" t="s">
        <v>46</v>
      </c>
      <c r="C9" s="7">
        <v>1227.9100000000001</v>
      </c>
      <c r="D9" s="7">
        <v>2606.09</v>
      </c>
      <c r="E9" s="7">
        <v>1061</v>
      </c>
      <c r="F9" s="7">
        <v>1180</v>
      </c>
      <c r="G9" s="8">
        <v>0.45</v>
      </c>
      <c r="H9" s="7">
        <v>45</v>
      </c>
      <c r="I9" s="7" t="s">
        <v>41</v>
      </c>
      <c r="J9" s="7"/>
      <c r="K9" s="7">
        <v>1233</v>
      </c>
      <c r="L9" s="7">
        <f t="shared" si="2"/>
        <v>-172</v>
      </c>
      <c r="M9" s="7">
        <f t="shared" si="3"/>
        <v>971</v>
      </c>
      <c r="N9" s="7">
        <v>90</v>
      </c>
      <c r="O9" s="7">
        <v>0</v>
      </c>
      <c r="P9" s="7"/>
      <c r="Q9" s="7">
        <v>0</v>
      </c>
      <c r="R9" s="7">
        <v>348.76666666666739</v>
      </c>
      <c r="S9" s="7">
        <v>300</v>
      </c>
      <c r="T9" s="7">
        <v>300</v>
      </c>
      <c r="U9" s="7">
        <f t="shared" si="4"/>
        <v>194.2</v>
      </c>
      <c r="V9" s="4">
        <f t="shared" ref="V9:V17" si="9">12*U9-T9-S9-R9-P9-O9-F9</f>
        <v>201.6333333333323</v>
      </c>
      <c r="W9" s="4"/>
      <c r="X9" s="7"/>
      <c r="Y9" s="7">
        <f t="shared" si="5"/>
        <v>11.999999999999998</v>
      </c>
      <c r="Z9" s="7">
        <f t="shared" si="6"/>
        <v>10.961723309303128</v>
      </c>
      <c r="AA9" s="7">
        <v>195.8</v>
      </c>
      <c r="AB9" s="7">
        <v>180.4</v>
      </c>
      <c r="AC9" s="7">
        <v>236.8</v>
      </c>
      <c r="AD9" s="7">
        <v>237.8</v>
      </c>
      <c r="AE9" s="7">
        <v>223.61799999999999</v>
      </c>
      <c r="AF9" s="7">
        <v>216.68166666666659</v>
      </c>
      <c r="AG9" s="7">
        <v>217.83333333333329</v>
      </c>
      <c r="AH9" s="7">
        <v>173.8</v>
      </c>
      <c r="AI9" s="7" t="s">
        <v>47</v>
      </c>
      <c r="AJ9" s="7">
        <f t="shared" si="7"/>
        <v>90.734999999999545</v>
      </c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6" x14ac:dyDescent="0.25">
      <c r="A10" s="7" t="s">
        <v>48</v>
      </c>
      <c r="B10" s="7" t="s">
        <v>46</v>
      </c>
      <c r="C10" s="7">
        <v>1132.3</v>
      </c>
      <c r="D10" s="7">
        <v>2497</v>
      </c>
      <c r="E10" s="7">
        <v>1727</v>
      </c>
      <c r="F10" s="7">
        <v>1432.3</v>
      </c>
      <c r="G10" s="8">
        <v>0.45</v>
      </c>
      <c r="H10" s="7">
        <v>45</v>
      </c>
      <c r="I10" s="7" t="s">
        <v>41</v>
      </c>
      <c r="J10" s="7"/>
      <c r="K10" s="7">
        <v>2195</v>
      </c>
      <c r="L10" s="7">
        <f t="shared" si="2"/>
        <v>-468</v>
      </c>
      <c r="M10" s="7">
        <f t="shared" si="3"/>
        <v>1445</v>
      </c>
      <c r="N10" s="7">
        <v>282</v>
      </c>
      <c r="O10" s="7">
        <v>464.3568200000002</v>
      </c>
      <c r="P10" s="7"/>
      <c r="Q10" s="7">
        <v>0</v>
      </c>
      <c r="R10" s="7">
        <v>530.09651333333341</v>
      </c>
      <c r="S10" s="7">
        <v>400</v>
      </c>
      <c r="T10" s="7">
        <v>400</v>
      </c>
      <c r="U10" s="7">
        <f t="shared" si="4"/>
        <v>289</v>
      </c>
      <c r="V10" s="4">
        <f t="shared" si="9"/>
        <v>241.24666666666644</v>
      </c>
      <c r="W10" s="4"/>
      <c r="X10" s="7"/>
      <c r="Y10" s="7">
        <f t="shared" si="5"/>
        <v>12</v>
      </c>
      <c r="Z10" s="7">
        <f t="shared" si="6"/>
        <v>11.165236447520185</v>
      </c>
      <c r="AA10" s="7">
        <v>310.2</v>
      </c>
      <c r="AB10" s="7">
        <v>300.2</v>
      </c>
      <c r="AC10" s="7">
        <v>323.2</v>
      </c>
      <c r="AD10" s="7">
        <v>294.8</v>
      </c>
      <c r="AE10" s="7">
        <v>291.60000000000002</v>
      </c>
      <c r="AF10" s="7">
        <v>281.5</v>
      </c>
      <c r="AG10" s="7">
        <v>266.16666666666669</v>
      </c>
      <c r="AH10" s="7">
        <v>233.2</v>
      </c>
      <c r="AI10" s="7" t="s">
        <v>47</v>
      </c>
      <c r="AJ10" s="7">
        <f t="shared" si="7"/>
        <v>108.56099999999991</v>
      </c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 x14ac:dyDescent="0.25">
      <c r="A11" s="7" t="s">
        <v>49</v>
      </c>
      <c r="B11" s="7" t="s">
        <v>46</v>
      </c>
      <c r="C11" s="7">
        <v>-8</v>
      </c>
      <c r="D11" s="7">
        <v>182</v>
      </c>
      <c r="E11" s="7">
        <v>127</v>
      </c>
      <c r="F11" s="7">
        <v>15</v>
      </c>
      <c r="G11" s="8">
        <v>0.17</v>
      </c>
      <c r="H11" s="7">
        <v>180</v>
      </c>
      <c r="I11" s="7" t="s">
        <v>41</v>
      </c>
      <c r="J11" s="7"/>
      <c r="K11" s="7">
        <v>151</v>
      </c>
      <c r="L11" s="7">
        <f t="shared" si="2"/>
        <v>-24</v>
      </c>
      <c r="M11" s="7">
        <f t="shared" si="3"/>
        <v>97</v>
      </c>
      <c r="N11" s="7">
        <v>30</v>
      </c>
      <c r="O11" s="7">
        <v>0</v>
      </c>
      <c r="P11" s="7"/>
      <c r="Q11" s="7">
        <v>0</v>
      </c>
      <c r="R11" s="7">
        <v>10</v>
      </c>
      <c r="S11" s="7"/>
      <c r="T11" s="7"/>
      <c r="U11" s="7">
        <f t="shared" si="4"/>
        <v>19.399999999999999</v>
      </c>
      <c r="V11" s="4">
        <f>10*U11-T11-S11-R11-P11-O11-F11</f>
        <v>169</v>
      </c>
      <c r="W11" s="4"/>
      <c r="X11" s="7"/>
      <c r="Y11" s="7">
        <f t="shared" si="5"/>
        <v>10</v>
      </c>
      <c r="Z11" s="7">
        <f t="shared" si="6"/>
        <v>1.2886597938144331</v>
      </c>
      <c r="AA11" s="7">
        <v>6.8</v>
      </c>
      <c r="AB11" s="7">
        <v>5.2</v>
      </c>
      <c r="AC11" s="7">
        <v>11.8</v>
      </c>
      <c r="AD11" s="7">
        <v>12.4</v>
      </c>
      <c r="AE11" s="7">
        <v>10.6</v>
      </c>
      <c r="AF11" s="7">
        <v>17.833333333333329</v>
      </c>
      <c r="AG11" s="7">
        <v>22.166666666666671</v>
      </c>
      <c r="AH11" s="7">
        <v>12.6</v>
      </c>
      <c r="AI11" s="7" t="s">
        <v>47</v>
      </c>
      <c r="AJ11" s="7">
        <f t="shared" si="7"/>
        <v>28.73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6" x14ac:dyDescent="0.25">
      <c r="A12" s="7" t="s">
        <v>50</v>
      </c>
      <c r="B12" s="7" t="s">
        <v>46</v>
      </c>
      <c r="C12" s="7">
        <v>-2</v>
      </c>
      <c r="D12" s="7">
        <v>12</v>
      </c>
      <c r="E12" s="7">
        <v>10</v>
      </c>
      <c r="F12" s="7">
        <v>-1</v>
      </c>
      <c r="G12" s="8">
        <v>0.3</v>
      </c>
      <c r="H12" s="7">
        <v>40</v>
      </c>
      <c r="I12" s="7" t="s">
        <v>41</v>
      </c>
      <c r="J12" s="7"/>
      <c r="K12" s="7">
        <v>13</v>
      </c>
      <c r="L12" s="7">
        <f t="shared" si="2"/>
        <v>-3</v>
      </c>
      <c r="M12" s="7">
        <f t="shared" si="3"/>
        <v>10</v>
      </c>
      <c r="N12" s="7"/>
      <c r="O12" s="7">
        <v>30.399999999999991</v>
      </c>
      <c r="P12" s="7"/>
      <c r="Q12" s="7">
        <v>0</v>
      </c>
      <c r="R12" s="7">
        <v>17.600000000000009</v>
      </c>
      <c r="S12" s="7"/>
      <c r="T12" s="7"/>
      <c r="U12" s="7">
        <f t="shared" si="4"/>
        <v>2</v>
      </c>
      <c r="V12" s="4"/>
      <c r="W12" s="4"/>
      <c r="X12" s="7"/>
      <c r="Y12" s="7">
        <f t="shared" si="5"/>
        <v>23.5</v>
      </c>
      <c r="Z12" s="7">
        <f t="shared" si="6"/>
        <v>23.5</v>
      </c>
      <c r="AA12" s="7">
        <v>5</v>
      </c>
      <c r="AB12" s="7">
        <v>4.5999999999999996</v>
      </c>
      <c r="AC12" s="7">
        <v>2.6</v>
      </c>
      <c r="AD12" s="7">
        <v>3.2</v>
      </c>
      <c r="AE12" s="7">
        <v>1.8</v>
      </c>
      <c r="AF12" s="7">
        <v>3.833333333333333</v>
      </c>
      <c r="AG12" s="7">
        <v>4.666666666666667</v>
      </c>
      <c r="AH12" s="7">
        <v>3.8</v>
      </c>
      <c r="AI12" s="7"/>
      <c r="AJ12" s="7">
        <f t="shared" si="7"/>
        <v>0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6" x14ac:dyDescent="0.25">
      <c r="A13" s="7" t="s">
        <v>51</v>
      </c>
      <c r="B13" s="7" t="s">
        <v>46</v>
      </c>
      <c r="C13" s="7">
        <v>93</v>
      </c>
      <c r="D13" s="7">
        <v>95</v>
      </c>
      <c r="E13" s="7">
        <v>45</v>
      </c>
      <c r="F13" s="7">
        <v>88</v>
      </c>
      <c r="G13" s="8">
        <v>0.17</v>
      </c>
      <c r="H13" s="7">
        <v>180</v>
      </c>
      <c r="I13" s="7" t="s">
        <v>41</v>
      </c>
      <c r="J13" s="7"/>
      <c r="K13" s="7">
        <v>188</v>
      </c>
      <c r="L13" s="7">
        <f t="shared" si="2"/>
        <v>-143</v>
      </c>
      <c r="M13" s="7">
        <f t="shared" si="3"/>
        <v>45</v>
      </c>
      <c r="N13" s="7"/>
      <c r="O13" s="7">
        <v>98.248000000000047</v>
      </c>
      <c r="P13" s="7"/>
      <c r="Q13" s="7">
        <v>0</v>
      </c>
      <c r="R13" s="7">
        <v>0</v>
      </c>
      <c r="S13" s="7"/>
      <c r="T13" s="7"/>
      <c r="U13" s="7">
        <f t="shared" si="4"/>
        <v>9</v>
      </c>
      <c r="V13" s="4"/>
      <c r="W13" s="4"/>
      <c r="X13" s="7"/>
      <c r="Y13" s="7">
        <f t="shared" si="5"/>
        <v>20.694222222222226</v>
      </c>
      <c r="Z13" s="7">
        <f t="shared" si="6"/>
        <v>20.694222222222226</v>
      </c>
      <c r="AA13" s="7">
        <v>14.4</v>
      </c>
      <c r="AB13" s="7">
        <v>17.8</v>
      </c>
      <c r="AC13" s="7">
        <v>18.399999999999999</v>
      </c>
      <c r="AD13" s="7">
        <v>22</v>
      </c>
      <c r="AE13" s="7">
        <v>28.8</v>
      </c>
      <c r="AF13" s="7">
        <v>27.166666666666671</v>
      </c>
      <c r="AG13" s="7">
        <v>38.5</v>
      </c>
      <c r="AH13" s="7">
        <v>46.4</v>
      </c>
      <c r="AI13" s="7"/>
      <c r="AJ13" s="7">
        <f t="shared" si="7"/>
        <v>0</v>
      </c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1:46" x14ac:dyDescent="0.25">
      <c r="A14" s="22" t="s">
        <v>52</v>
      </c>
      <c r="B14" s="22" t="s">
        <v>40</v>
      </c>
      <c r="C14" s="22">
        <v>2717.3249999999998</v>
      </c>
      <c r="D14" s="22">
        <v>1633.348</v>
      </c>
      <c r="E14" s="22">
        <v>1790.2429999999999</v>
      </c>
      <c r="F14" s="22">
        <v>2206.527</v>
      </c>
      <c r="G14" s="23">
        <v>1</v>
      </c>
      <c r="H14" s="22">
        <v>55</v>
      </c>
      <c r="I14" s="22" t="s">
        <v>41</v>
      </c>
      <c r="J14" s="22"/>
      <c r="K14" s="22">
        <v>1854.7809999999999</v>
      </c>
      <c r="L14" s="22">
        <f t="shared" si="2"/>
        <v>-64.538000000000011</v>
      </c>
      <c r="M14" s="22">
        <f t="shared" si="3"/>
        <v>1486.7429999999999</v>
      </c>
      <c r="N14" s="22">
        <v>303.5</v>
      </c>
      <c r="O14" s="22">
        <v>569.06993999999963</v>
      </c>
      <c r="P14" s="22">
        <v>617.16702599999996</v>
      </c>
      <c r="Q14" s="22">
        <v>132</v>
      </c>
      <c r="R14" s="22">
        <v>786.34617399999934</v>
      </c>
      <c r="S14" s="22">
        <v>500</v>
      </c>
      <c r="T14" s="22">
        <v>500</v>
      </c>
      <c r="U14" s="22">
        <f t="shared" si="4"/>
        <v>297.34859999999998</v>
      </c>
      <c r="V14" s="24"/>
      <c r="W14" s="24"/>
      <c r="X14" s="22"/>
      <c r="Y14" s="22">
        <f t="shared" si="5"/>
        <v>17.417637547309788</v>
      </c>
      <c r="Z14" s="22">
        <f t="shared" si="6"/>
        <v>17.417637547309788</v>
      </c>
      <c r="AA14" s="22">
        <v>346.15539999999999</v>
      </c>
      <c r="AB14" s="22">
        <v>326.54340000000002</v>
      </c>
      <c r="AC14" s="22">
        <v>311.55820000000011</v>
      </c>
      <c r="AD14" s="22">
        <v>276.5412</v>
      </c>
      <c r="AE14" s="22">
        <v>287.16539999999998</v>
      </c>
      <c r="AF14" s="22">
        <v>392.54950000000002</v>
      </c>
      <c r="AG14" s="22">
        <v>441.82666666666671</v>
      </c>
      <c r="AH14" s="22">
        <v>402.2398</v>
      </c>
      <c r="AI14" s="22" t="s">
        <v>53</v>
      </c>
      <c r="AJ14" s="22">
        <f t="shared" si="7"/>
        <v>0</v>
      </c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 x14ac:dyDescent="0.25">
      <c r="A15" s="22" t="s">
        <v>54</v>
      </c>
      <c r="B15" s="22" t="s">
        <v>40</v>
      </c>
      <c r="C15" s="22">
        <v>2694.223</v>
      </c>
      <c r="D15" s="22">
        <v>1839.73</v>
      </c>
      <c r="E15" s="22">
        <v>2207.2779999999998</v>
      </c>
      <c r="F15" s="22">
        <v>1822.202</v>
      </c>
      <c r="G15" s="23">
        <v>1</v>
      </c>
      <c r="H15" s="22">
        <v>50</v>
      </c>
      <c r="I15" s="22" t="s">
        <v>41</v>
      </c>
      <c r="J15" s="22"/>
      <c r="K15" s="22">
        <v>2371.5549999999998</v>
      </c>
      <c r="L15" s="22">
        <f t="shared" si="2"/>
        <v>-164.27700000000004</v>
      </c>
      <c r="M15" s="22">
        <f t="shared" si="3"/>
        <v>1827.2129999999997</v>
      </c>
      <c r="N15" s="22">
        <v>380.065</v>
      </c>
      <c r="O15" s="22">
        <v>455.00118000000032</v>
      </c>
      <c r="P15" s="22">
        <v>607.44486600000005</v>
      </c>
      <c r="Q15" s="22">
        <v>175</v>
      </c>
      <c r="R15" s="22">
        <v>1100.008434000001</v>
      </c>
      <c r="S15" s="22">
        <v>900</v>
      </c>
      <c r="T15" s="22">
        <v>900</v>
      </c>
      <c r="U15" s="22">
        <f t="shared" si="4"/>
        <v>365.44259999999997</v>
      </c>
      <c r="V15" s="24">
        <f t="shared" ref="V15" si="10">11*U15*1.5-T15-S15-R15-P15-O15-F15</f>
        <v>245.14641999999844</v>
      </c>
      <c r="W15" s="24"/>
      <c r="X15" s="22"/>
      <c r="Y15" s="22">
        <f t="shared" si="5"/>
        <v>16.5</v>
      </c>
      <c r="Z15" s="22">
        <f t="shared" si="6"/>
        <v>15.829179411486242</v>
      </c>
      <c r="AA15" s="22">
        <v>390.10079999999999</v>
      </c>
      <c r="AB15" s="22">
        <v>321.39940000000001</v>
      </c>
      <c r="AC15" s="22">
        <v>305.01459999999997</v>
      </c>
      <c r="AD15" s="22">
        <v>282.12360000000001</v>
      </c>
      <c r="AE15" s="22">
        <v>302.11219999999997</v>
      </c>
      <c r="AF15" s="22">
        <v>424.7165</v>
      </c>
      <c r="AG15" s="22">
        <v>496.30500000000001</v>
      </c>
      <c r="AH15" s="22">
        <v>453.74119999999999</v>
      </c>
      <c r="AI15" s="22" t="s">
        <v>53</v>
      </c>
      <c r="AJ15" s="22">
        <f t="shared" si="7"/>
        <v>245.14641999999844</v>
      </c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 x14ac:dyDescent="0.25">
      <c r="A16" s="7" t="s">
        <v>55</v>
      </c>
      <c r="B16" s="7" t="s">
        <v>40</v>
      </c>
      <c r="C16" s="7">
        <v>82.183999999999997</v>
      </c>
      <c r="D16" s="7">
        <v>424.13</v>
      </c>
      <c r="E16" s="7">
        <v>227.10900000000001</v>
      </c>
      <c r="F16" s="7">
        <v>222.15600000000001</v>
      </c>
      <c r="G16" s="8">
        <v>1</v>
      </c>
      <c r="H16" s="7">
        <v>60</v>
      </c>
      <c r="I16" s="7" t="s">
        <v>41</v>
      </c>
      <c r="J16" s="7"/>
      <c r="K16" s="7">
        <v>251.22800000000001</v>
      </c>
      <c r="L16" s="7">
        <f t="shared" si="2"/>
        <v>-24.119</v>
      </c>
      <c r="M16" s="7">
        <f t="shared" si="3"/>
        <v>206.03100000000001</v>
      </c>
      <c r="N16" s="7">
        <v>21.077999999999999</v>
      </c>
      <c r="O16" s="7">
        <v>118.2007333333335</v>
      </c>
      <c r="P16" s="7"/>
      <c r="Q16" s="7">
        <v>0</v>
      </c>
      <c r="R16" s="7">
        <v>80.876040000000003</v>
      </c>
      <c r="S16" s="7"/>
      <c r="T16" s="7"/>
      <c r="U16" s="7">
        <f t="shared" si="4"/>
        <v>41.206200000000003</v>
      </c>
      <c r="V16" s="4">
        <f t="shared" si="9"/>
        <v>73.241626666666548</v>
      </c>
      <c r="W16" s="4"/>
      <c r="X16" s="7"/>
      <c r="Y16" s="7">
        <f t="shared" si="5"/>
        <v>12</v>
      </c>
      <c r="Z16" s="7">
        <f t="shared" si="6"/>
        <v>10.222558094008511</v>
      </c>
      <c r="AA16" s="7">
        <v>38.5124</v>
      </c>
      <c r="AB16" s="7">
        <v>41.683800000000012</v>
      </c>
      <c r="AC16" s="7">
        <v>47.338999999999999</v>
      </c>
      <c r="AD16" s="7">
        <v>43.282800000000002</v>
      </c>
      <c r="AE16" s="7">
        <v>36.054200000000002</v>
      </c>
      <c r="AF16" s="7">
        <v>36.965166666666661</v>
      </c>
      <c r="AG16" s="7">
        <v>52.663833333333322</v>
      </c>
      <c r="AH16" s="7">
        <v>48.583599999999997</v>
      </c>
      <c r="AI16" s="7"/>
      <c r="AJ16" s="7">
        <f t="shared" si="7"/>
        <v>73.241626666666548</v>
      </c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 x14ac:dyDescent="0.25">
      <c r="A17" s="7" t="s">
        <v>56</v>
      </c>
      <c r="B17" s="7" t="s">
        <v>40</v>
      </c>
      <c r="C17" s="7">
        <v>1080.0139999999999</v>
      </c>
      <c r="D17" s="7">
        <v>925.15200000000004</v>
      </c>
      <c r="E17" s="7">
        <v>977.46500000000003</v>
      </c>
      <c r="F17" s="7">
        <v>71.135999999999996</v>
      </c>
      <c r="G17" s="8">
        <v>1</v>
      </c>
      <c r="H17" s="7">
        <v>60</v>
      </c>
      <c r="I17" s="7" t="s">
        <v>41</v>
      </c>
      <c r="J17" s="7"/>
      <c r="K17" s="7">
        <v>971.40300000000002</v>
      </c>
      <c r="L17" s="7">
        <f t="shared" si="2"/>
        <v>6.0620000000000118</v>
      </c>
      <c r="M17" s="7">
        <f t="shared" si="3"/>
        <v>782.86200000000008</v>
      </c>
      <c r="N17" s="7">
        <v>194.60300000000001</v>
      </c>
      <c r="O17" s="7">
        <v>0</v>
      </c>
      <c r="P17" s="7">
        <v>120.843954</v>
      </c>
      <c r="Q17" s="7">
        <v>0</v>
      </c>
      <c r="R17" s="7">
        <v>462.96062599999999</v>
      </c>
      <c r="S17" s="7">
        <v>300</v>
      </c>
      <c r="T17" s="7">
        <v>300</v>
      </c>
      <c r="U17" s="7">
        <f t="shared" si="4"/>
        <v>156.57240000000002</v>
      </c>
      <c r="V17" s="4">
        <f t="shared" si="9"/>
        <v>623.92822000000024</v>
      </c>
      <c r="W17" s="4"/>
      <c r="X17" s="7"/>
      <c r="Y17" s="7">
        <f t="shared" si="5"/>
        <v>12</v>
      </c>
      <c r="Z17" s="7">
        <f t="shared" si="6"/>
        <v>8.01508171299667</v>
      </c>
      <c r="AA17" s="7">
        <v>134.76779999999999</v>
      </c>
      <c r="AB17" s="7">
        <v>63.938599999999987</v>
      </c>
      <c r="AC17" s="7">
        <v>121.6746</v>
      </c>
      <c r="AD17" s="7">
        <v>88.111599999999996</v>
      </c>
      <c r="AE17" s="7">
        <v>81.115399999999994</v>
      </c>
      <c r="AF17" s="7">
        <v>208.27016666666671</v>
      </c>
      <c r="AG17" s="7">
        <v>281.90366666666671</v>
      </c>
      <c r="AH17" s="7">
        <v>221.13499999999999</v>
      </c>
      <c r="AI17" s="7"/>
      <c r="AJ17" s="7">
        <f t="shared" si="7"/>
        <v>623.92822000000024</v>
      </c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1:46" x14ac:dyDescent="0.25">
      <c r="A18" s="14" t="s">
        <v>57</v>
      </c>
      <c r="B18" s="14" t="s">
        <v>40</v>
      </c>
      <c r="C18" s="14"/>
      <c r="D18" s="14"/>
      <c r="E18" s="14"/>
      <c r="F18" s="14"/>
      <c r="G18" s="15">
        <v>0</v>
      </c>
      <c r="H18" s="14">
        <v>60</v>
      </c>
      <c r="I18" s="14" t="s">
        <v>41</v>
      </c>
      <c r="J18" s="14"/>
      <c r="K18" s="14"/>
      <c r="L18" s="14">
        <f t="shared" si="2"/>
        <v>0</v>
      </c>
      <c r="M18" s="14">
        <f t="shared" si="3"/>
        <v>0</v>
      </c>
      <c r="N18" s="14"/>
      <c r="O18" s="14">
        <v>0</v>
      </c>
      <c r="P18" s="14"/>
      <c r="Q18" s="14">
        <v>0</v>
      </c>
      <c r="R18" s="14">
        <v>0</v>
      </c>
      <c r="S18" s="14"/>
      <c r="T18" s="14"/>
      <c r="U18" s="14">
        <f t="shared" si="4"/>
        <v>0</v>
      </c>
      <c r="V18" s="16"/>
      <c r="W18" s="16"/>
      <c r="X18" s="14"/>
      <c r="Y18" s="14" t="e">
        <f t="shared" si="5"/>
        <v>#DIV/0!</v>
      </c>
      <c r="Z18" s="14" t="e">
        <f t="shared" si="6"/>
        <v>#DIV/0!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 t="s">
        <v>58</v>
      </c>
      <c r="AJ18" s="14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 x14ac:dyDescent="0.25">
      <c r="A19" s="7" t="s">
        <v>59</v>
      </c>
      <c r="B19" s="7" t="s">
        <v>40</v>
      </c>
      <c r="C19" s="7">
        <v>11.863</v>
      </c>
      <c r="D19" s="7">
        <v>9.7370000000000001</v>
      </c>
      <c r="E19" s="7">
        <v>1.4610000000000001</v>
      </c>
      <c r="F19" s="7">
        <v>16.282</v>
      </c>
      <c r="G19" s="8">
        <v>1</v>
      </c>
      <c r="H19" s="7">
        <v>180</v>
      </c>
      <c r="I19" s="7" t="s">
        <v>41</v>
      </c>
      <c r="J19" s="7"/>
      <c r="K19" s="7">
        <v>1.4</v>
      </c>
      <c r="L19" s="7">
        <f t="shared" si="2"/>
        <v>6.1000000000000165E-2</v>
      </c>
      <c r="M19" s="7">
        <f t="shared" si="3"/>
        <v>1.4610000000000001</v>
      </c>
      <c r="N19" s="7"/>
      <c r="O19" s="7">
        <v>0</v>
      </c>
      <c r="P19" s="7"/>
      <c r="Q19" s="7">
        <v>0</v>
      </c>
      <c r="R19" s="7">
        <v>0</v>
      </c>
      <c r="S19" s="7"/>
      <c r="T19" s="7"/>
      <c r="U19" s="7">
        <f t="shared" si="4"/>
        <v>0.29220000000000002</v>
      </c>
      <c r="V19" s="4"/>
      <c r="W19" s="4"/>
      <c r="X19" s="7"/>
      <c r="Y19" s="7">
        <f t="shared" si="5"/>
        <v>55.722108145106091</v>
      </c>
      <c r="Z19" s="7">
        <f t="shared" si="6"/>
        <v>55.722108145106091</v>
      </c>
      <c r="AA19" s="7">
        <v>0.36120000000000002</v>
      </c>
      <c r="AB19" s="7">
        <v>0.56719999999999993</v>
      </c>
      <c r="AC19" s="7">
        <v>0.35239999999999999</v>
      </c>
      <c r="AD19" s="7">
        <v>0</v>
      </c>
      <c r="AE19" s="7">
        <v>0.15939999999999999</v>
      </c>
      <c r="AF19" s="7">
        <v>0.79133333333333333</v>
      </c>
      <c r="AG19" s="7">
        <v>1.112166666666667</v>
      </c>
      <c r="AH19" s="7">
        <v>1.2574000000000001</v>
      </c>
      <c r="AI19" s="26" t="s">
        <v>60</v>
      </c>
      <c r="AJ19" s="7">
        <f>G19*V19</f>
        <v>0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1:46" x14ac:dyDescent="0.25">
      <c r="A20" s="19" t="s">
        <v>61</v>
      </c>
      <c r="B20" s="19" t="s">
        <v>40</v>
      </c>
      <c r="C20" s="19">
        <v>4080.739</v>
      </c>
      <c r="D20" s="19">
        <v>2951.0320000000002</v>
      </c>
      <c r="E20" s="19">
        <v>2838.027</v>
      </c>
      <c r="F20" s="19">
        <v>3712.3530000000001</v>
      </c>
      <c r="G20" s="20">
        <v>1</v>
      </c>
      <c r="H20" s="19">
        <v>60</v>
      </c>
      <c r="I20" s="19" t="s">
        <v>41</v>
      </c>
      <c r="J20" s="19"/>
      <c r="K20" s="19">
        <v>2830.8449999999998</v>
      </c>
      <c r="L20" s="19">
        <f t="shared" si="2"/>
        <v>7.1820000000002437</v>
      </c>
      <c r="M20" s="19">
        <f t="shared" si="3"/>
        <v>2403.587</v>
      </c>
      <c r="N20" s="19">
        <v>434.44</v>
      </c>
      <c r="O20" s="19">
        <v>0</v>
      </c>
      <c r="P20" s="19">
        <v>924.12230399999999</v>
      </c>
      <c r="Q20" s="19">
        <v>363</v>
      </c>
      <c r="R20" s="19">
        <v>121.5640210000015</v>
      </c>
      <c r="S20" s="19"/>
      <c r="T20" s="19"/>
      <c r="U20" s="19">
        <f t="shared" si="4"/>
        <v>480.7174</v>
      </c>
      <c r="V20" s="21">
        <f>10*U20-T20-S20-R20-P20-O20-F20</f>
        <v>49.134674999998879</v>
      </c>
      <c r="W20" s="21"/>
      <c r="X20" s="19"/>
      <c r="Y20" s="19">
        <f t="shared" si="5"/>
        <v>10.000000000000002</v>
      </c>
      <c r="Z20" s="19">
        <f t="shared" si="6"/>
        <v>9.8977888568210801</v>
      </c>
      <c r="AA20" s="19">
        <v>570.92759999999998</v>
      </c>
      <c r="AB20" s="19">
        <v>488.95359999999999</v>
      </c>
      <c r="AC20" s="19">
        <v>536.48019999999997</v>
      </c>
      <c r="AD20" s="19">
        <v>559.10059999999999</v>
      </c>
      <c r="AE20" s="19">
        <v>642.4251999999999</v>
      </c>
      <c r="AF20" s="19">
        <v>595.46950000000004</v>
      </c>
      <c r="AG20" s="19">
        <v>671.97050000000002</v>
      </c>
      <c r="AH20" s="19">
        <v>619.25720000000001</v>
      </c>
      <c r="AI20" s="19" t="s">
        <v>62</v>
      </c>
      <c r="AJ20" s="19">
        <f>G20*V20</f>
        <v>49.134674999998879</v>
      </c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:46" x14ac:dyDescent="0.25">
      <c r="A21" s="11" t="s">
        <v>63</v>
      </c>
      <c r="B21" s="11" t="s">
        <v>40</v>
      </c>
      <c r="C21" s="11">
        <v>-5.008</v>
      </c>
      <c r="D21" s="11"/>
      <c r="E21" s="18">
        <v>2.516</v>
      </c>
      <c r="F21" s="18">
        <v>-7.524</v>
      </c>
      <c r="G21" s="12">
        <v>0</v>
      </c>
      <c r="H21" s="11" t="e">
        <v>#N/A</v>
      </c>
      <c r="I21" s="11" t="s">
        <v>64</v>
      </c>
      <c r="J21" s="11" t="s">
        <v>65</v>
      </c>
      <c r="K21" s="11">
        <v>2.5</v>
      </c>
      <c r="L21" s="11">
        <f t="shared" si="2"/>
        <v>1.6000000000000014E-2</v>
      </c>
      <c r="M21" s="11">
        <f t="shared" si="3"/>
        <v>2.516</v>
      </c>
      <c r="N21" s="11"/>
      <c r="O21" s="11">
        <v>0</v>
      </c>
      <c r="P21" s="11"/>
      <c r="Q21" s="11">
        <v>0</v>
      </c>
      <c r="R21" s="11">
        <v>0</v>
      </c>
      <c r="S21" s="11"/>
      <c r="T21" s="11"/>
      <c r="U21" s="11">
        <f t="shared" si="4"/>
        <v>0.50319999999999998</v>
      </c>
      <c r="V21" s="13"/>
      <c r="W21" s="13"/>
      <c r="X21" s="11"/>
      <c r="Y21" s="11">
        <f t="shared" si="5"/>
        <v>-14.952305246422894</v>
      </c>
      <c r="Z21" s="11">
        <f t="shared" si="6"/>
        <v>-14.952305246422894</v>
      </c>
      <c r="AA21" s="11">
        <v>0.50319999999999998</v>
      </c>
      <c r="AB21" s="11">
        <v>0.50239999999999996</v>
      </c>
      <c r="AC21" s="11">
        <v>1.0016</v>
      </c>
      <c r="AD21" s="11">
        <v>0.49919999999999998</v>
      </c>
      <c r="AE21" s="11">
        <v>0</v>
      </c>
      <c r="AF21" s="11">
        <v>0</v>
      </c>
      <c r="AG21" s="11">
        <v>0</v>
      </c>
      <c r="AH21" s="11">
        <v>0</v>
      </c>
      <c r="AI21" s="11"/>
      <c r="AJ21" s="11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x14ac:dyDescent="0.25">
      <c r="A22" s="7" t="s">
        <v>66</v>
      </c>
      <c r="B22" s="7" t="s">
        <v>40</v>
      </c>
      <c r="C22" s="7">
        <v>418.45100000000002</v>
      </c>
      <c r="D22" s="7">
        <v>856.47500000000002</v>
      </c>
      <c r="E22" s="7">
        <v>494.90600000000001</v>
      </c>
      <c r="F22" s="7">
        <v>659.70600000000002</v>
      </c>
      <c r="G22" s="8">
        <v>1</v>
      </c>
      <c r="H22" s="7">
        <v>60</v>
      </c>
      <c r="I22" s="7" t="s">
        <v>41</v>
      </c>
      <c r="J22" s="7"/>
      <c r="K22" s="7">
        <v>526.97500000000002</v>
      </c>
      <c r="L22" s="7">
        <f t="shared" si="2"/>
        <v>-32.069000000000017</v>
      </c>
      <c r="M22" s="7">
        <f t="shared" si="3"/>
        <v>390.166</v>
      </c>
      <c r="N22" s="7">
        <v>104.74</v>
      </c>
      <c r="O22" s="7">
        <v>0</v>
      </c>
      <c r="P22" s="7">
        <v>142.996644</v>
      </c>
      <c r="Q22" s="7">
        <v>0</v>
      </c>
      <c r="R22" s="7">
        <v>132.92945599999979</v>
      </c>
      <c r="S22" s="7">
        <v>100</v>
      </c>
      <c r="T22" s="7">
        <v>100</v>
      </c>
      <c r="U22" s="7">
        <f t="shared" si="4"/>
        <v>78.033199999999994</v>
      </c>
      <c r="V22" s="4"/>
      <c r="W22" s="4"/>
      <c r="X22" s="7"/>
      <c r="Y22" s="7">
        <f t="shared" si="5"/>
        <v>14.55319146209562</v>
      </c>
      <c r="Z22" s="7">
        <f t="shared" si="6"/>
        <v>14.55319146209562</v>
      </c>
      <c r="AA22" s="7">
        <v>99.358000000000004</v>
      </c>
      <c r="AB22" s="7">
        <v>75.659599999999998</v>
      </c>
      <c r="AC22" s="7">
        <v>93.314000000000007</v>
      </c>
      <c r="AD22" s="7">
        <v>83.183599999999998</v>
      </c>
      <c r="AE22" s="7">
        <v>76.678399999999996</v>
      </c>
      <c r="AF22" s="7">
        <v>72.070666666666668</v>
      </c>
      <c r="AG22" s="7">
        <v>90.065333333333328</v>
      </c>
      <c r="AH22" s="7">
        <v>81.176199999999994</v>
      </c>
      <c r="AI22" s="7"/>
      <c r="AJ22" s="7">
        <f>G22*V22</f>
        <v>0</v>
      </c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1:46" x14ac:dyDescent="0.25">
      <c r="A23" s="22" t="s">
        <v>67</v>
      </c>
      <c r="B23" s="22" t="s">
        <v>40</v>
      </c>
      <c r="C23" s="22">
        <v>734.72500000000002</v>
      </c>
      <c r="D23" s="22">
        <v>387.03800000000001</v>
      </c>
      <c r="E23" s="22">
        <v>555.44799999999998</v>
      </c>
      <c r="F23" s="22">
        <v>445.08600000000001</v>
      </c>
      <c r="G23" s="23">
        <v>1</v>
      </c>
      <c r="H23" s="22">
        <v>60</v>
      </c>
      <c r="I23" s="22" t="s">
        <v>41</v>
      </c>
      <c r="J23" s="22"/>
      <c r="K23" s="22">
        <v>553.178</v>
      </c>
      <c r="L23" s="22">
        <f t="shared" si="2"/>
        <v>2.2699999999999818</v>
      </c>
      <c r="M23" s="22">
        <f t="shared" si="3"/>
        <v>460.5</v>
      </c>
      <c r="N23" s="22">
        <v>94.947999999999993</v>
      </c>
      <c r="O23" s="22">
        <v>271.84334999999999</v>
      </c>
      <c r="P23" s="22">
        <v>166.16615400000001</v>
      </c>
      <c r="Q23" s="22">
        <v>0</v>
      </c>
      <c r="R23" s="22">
        <v>105.16474599999979</v>
      </c>
      <c r="S23" s="22">
        <v>100</v>
      </c>
      <c r="T23" s="22">
        <v>100</v>
      </c>
      <c r="U23" s="22">
        <f t="shared" si="4"/>
        <v>92.1</v>
      </c>
      <c r="V23" s="24">
        <f>11*U23*1.5-T23-S23-R23-P23-O23-F23</f>
        <v>331.38975000000016</v>
      </c>
      <c r="W23" s="24"/>
      <c r="X23" s="22"/>
      <c r="Y23" s="22">
        <f t="shared" si="5"/>
        <v>16.500000000000004</v>
      </c>
      <c r="Z23" s="22">
        <f t="shared" si="6"/>
        <v>12.901848534201953</v>
      </c>
      <c r="AA23" s="22">
        <v>86.331999999999994</v>
      </c>
      <c r="AB23" s="22">
        <v>87.918599999999998</v>
      </c>
      <c r="AC23" s="22">
        <v>85.658999999999992</v>
      </c>
      <c r="AD23" s="22">
        <v>84.333600000000004</v>
      </c>
      <c r="AE23" s="22">
        <v>94.044799999999981</v>
      </c>
      <c r="AF23" s="22">
        <v>114.9023333333333</v>
      </c>
      <c r="AG23" s="22">
        <v>125.092</v>
      </c>
      <c r="AH23" s="22">
        <v>124.4898</v>
      </c>
      <c r="AI23" s="22" t="s">
        <v>42</v>
      </c>
      <c r="AJ23" s="22">
        <f>G23*V23</f>
        <v>331.38975000000016</v>
      </c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x14ac:dyDescent="0.25">
      <c r="A24" s="7" t="s">
        <v>68</v>
      </c>
      <c r="B24" s="7" t="s">
        <v>40</v>
      </c>
      <c r="C24" s="7">
        <v>13.98</v>
      </c>
      <c r="D24" s="7">
        <v>6.98</v>
      </c>
      <c r="E24" s="7">
        <v>1.86</v>
      </c>
      <c r="F24" s="7">
        <v>11.358000000000001</v>
      </c>
      <c r="G24" s="8">
        <v>1</v>
      </c>
      <c r="H24" s="7">
        <v>180</v>
      </c>
      <c r="I24" s="7" t="s">
        <v>41</v>
      </c>
      <c r="J24" s="7"/>
      <c r="K24" s="7">
        <v>1.6</v>
      </c>
      <c r="L24" s="7">
        <f t="shared" si="2"/>
        <v>0.26</v>
      </c>
      <c r="M24" s="7">
        <f t="shared" si="3"/>
        <v>1.86</v>
      </c>
      <c r="N24" s="7"/>
      <c r="O24" s="7">
        <v>0</v>
      </c>
      <c r="P24" s="7"/>
      <c r="Q24" s="7">
        <v>0</v>
      </c>
      <c r="R24" s="7">
        <v>0</v>
      </c>
      <c r="S24" s="7"/>
      <c r="T24" s="7"/>
      <c r="U24" s="7">
        <f t="shared" si="4"/>
        <v>0.372</v>
      </c>
      <c r="V24" s="4"/>
      <c r="W24" s="4"/>
      <c r="X24" s="7"/>
      <c r="Y24" s="7">
        <f t="shared" si="5"/>
        <v>30.532258064516132</v>
      </c>
      <c r="Z24" s="7">
        <f t="shared" si="6"/>
        <v>30.532258064516132</v>
      </c>
      <c r="AA24" s="7">
        <v>0.87579999999999991</v>
      </c>
      <c r="AB24" s="7">
        <v>0.79659999999999997</v>
      </c>
      <c r="AC24" s="7">
        <v>0.6482</v>
      </c>
      <c r="AD24" s="7">
        <v>0.49540000000000001</v>
      </c>
      <c r="AE24" s="7">
        <v>0.27639999999999998</v>
      </c>
      <c r="AF24" s="7">
        <v>0.86949999999999994</v>
      </c>
      <c r="AG24" s="7">
        <v>1.3806666666666669</v>
      </c>
      <c r="AH24" s="7">
        <v>1.7272000000000001</v>
      </c>
      <c r="AI24" s="26" t="s">
        <v>60</v>
      </c>
      <c r="AJ24" s="7">
        <f>G24*V24</f>
        <v>0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x14ac:dyDescent="0.25">
      <c r="A25" s="22" t="s">
        <v>69</v>
      </c>
      <c r="B25" s="22" t="s">
        <v>40</v>
      </c>
      <c r="C25" s="22">
        <v>1608.664</v>
      </c>
      <c r="D25" s="22">
        <v>2163.431</v>
      </c>
      <c r="E25" s="22">
        <v>1282.9159999999999</v>
      </c>
      <c r="F25" s="22">
        <v>1342.069</v>
      </c>
      <c r="G25" s="23">
        <v>1</v>
      </c>
      <c r="H25" s="22">
        <v>60</v>
      </c>
      <c r="I25" s="22" t="s">
        <v>41</v>
      </c>
      <c r="J25" s="22"/>
      <c r="K25" s="22">
        <v>1288.0530000000001</v>
      </c>
      <c r="L25" s="22">
        <f t="shared" si="2"/>
        <v>-5.137000000000171</v>
      </c>
      <c r="M25" s="22">
        <f t="shared" si="3"/>
        <v>1135.3679999999999</v>
      </c>
      <c r="N25" s="22">
        <v>147.548</v>
      </c>
      <c r="O25" s="22">
        <v>652.81011000000092</v>
      </c>
      <c r="P25" s="22">
        <v>448.92451799999998</v>
      </c>
      <c r="Q25" s="22">
        <v>0</v>
      </c>
      <c r="R25" s="22">
        <v>571.75738200000023</v>
      </c>
      <c r="S25" s="22">
        <v>400</v>
      </c>
      <c r="T25" s="22">
        <v>400</v>
      </c>
      <c r="U25" s="22">
        <f t="shared" si="4"/>
        <v>227.0736</v>
      </c>
      <c r="V25" s="24"/>
      <c r="W25" s="24"/>
      <c r="X25" s="22"/>
      <c r="Y25" s="22">
        <f t="shared" si="5"/>
        <v>16.803190727587886</v>
      </c>
      <c r="Z25" s="22">
        <f t="shared" si="6"/>
        <v>16.803190727587886</v>
      </c>
      <c r="AA25" s="22">
        <v>257.3904</v>
      </c>
      <c r="AB25" s="22">
        <v>237.52619999999999</v>
      </c>
      <c r="AC25" s="22">
        <v>231.18</v>
      </c>
      <c r="AD25" s="22">
        <v>200.8886</v>
      </c>
      <c r="AE25" s="22">
        <v>204.5264</v>
      </c>
      <c r="AF25" s="22">
        <v>266.39716666666669</v>
      </c>
      <c r="AG25" s="22">
        <v>294.76016666666658</v>
      </c>
      <c r="AH25" s="22">
        <v>297.45620000000002</v>
      </c>
      <c r="AI25" s="22" t="s">
        <v>53</v>
      </c>
      <c r="AJ25" s="22">
        <f>G25*V25</f>
        <v>0</v>
      </c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1:46" x14ac:dyDescent="0.25">
      <c r="A26" s="14" t="s">
        <v>70</v>
      </c>
      <c r="B26" s="14" t="s">
        <v>40</v>
      </c>
      <c r="C26" s="14"/>
      <c r="D26" s="14"/>
      <c r="E26" s="14"/>
      <c r="F26" s="14"/>
      <c r="G26" s="15">
        <v>0</v>
      </c>
      <c r="H26" s="14">
        <v>30</v>
      </c>
      <c r="I26" s="14" t="s">
        <v>41</v>
      </c>
      <c r="J26" s="14"/>
      <c r="K26" s="14"/>
      <c r="L26" s="14">
        <f t="shared" si="2"/>
        <v>0</v>
      </c>
      <c r="M26" s="14">
        <f t="shared" si="3"/>
        <v>0</v>
      </c>
      <c r="N26" s="14"/>
      <c r="O26" s="14">
        <v>0</v>
      </c>
      <c r="P26" s="14"/>
      <c r="Q26" s="14">
        <v>0</v>
      </c>
      <c r="R26" s="14">
        <v>0</v>
      </c>
      <c r="S26" s="14"/>
      <c r="T26" s="14"/>
      <c r="U26" s="14">
        <f t="shared" si="4"/>
        <v>0</v>
      </c>
      <c r="V26" s="16"/>
      <c r="W26" s="16"/>
      <c r="X26" s="14"/>
      <c r="Y26" s="14" t="e">
        <f t="shared" si="5"/>
        <v>#DIV/0!</v>
      </c>
      <c r="Z26" s="14" t="e">
        <f t="shared" si="6"/>
        <v>#DIV/0!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 t="s">
        <v>58</v>
      </c>
      <c r="AJ26" s="14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spans="1:46" x14ac:dyDescent="0.25">
      <c r="A27" s="14" t="s">
        <v>71</v>
      </c>
      <c r="B27" s="14" t="s">
        <v>40</v>
      </c>
      <c r="C27" s="14"/>
      <c r="D27" s="14"/>
      <c r="E27" s="14"/>
      <c r="F27" s="14"/>
      <c r="G27" s="15">
        <v>0</v>
      </c>
      <c r="H27" s="14">
        <v>30</v>
      </c>
      <c r="I27" s="14" t="s">
        <v>41</v>
      </c>
      <c r="J27" s="14"/>
      <c r="K27" s="14"/>
      <c r="L27" s="14">
        <f t="shared" si="2"/>
        <v>0</v>
      </c>
      <c r="M27" s="14">
        <f t="shared" si="3"/>
        <v>0</v>
      </c>
      <c r="N27" s="14"/>
      <c r="O27" s="14">
        <v>0</v>
      </c>
      <c r="P27" s="14"/>
      <c r="Q27" s="14">
        <v>0</v>
      </c>
      <c r="R27" s="14">
        <v>0</v>
      </c>
      <c r="S27" s="14"/>
      <c r="T27" s="14"/>
      <c r="U27" s="14">
        <f t="shared" si="4"/>
        <v>0</v>
      </c>
      <c r="V27" s="16"/>
      <c r="W27" s="16"/>
      <c r="X27" s="14"/>
      <c r="Y27" s="14" t="e">
        <f t="shared" si="5"/>
        <v>#DIV/0!</v>
      </c>
      <c r="Z27" s="14" t="e">
        <f t="shared" si="6"/>
        <v>#DIV/0!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 t="s">
        <v>58</v>
      </c>
      <c r="AJ27" s="14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spans="1:46" x14ac:dyDescent="0.25">
      <c r="A28" s="22" t="s">
        <v>72</v>
      </c>
      <c r="B28" s="22" t="s">
        <v>40</v>
      </c>
      <c r="C28" s="22">
        <v>1411.558</v>
      </c>
      <c r="D28" s="22">
        <v>1767.297</v>
      </c>
      <c r="E28" s="22">
        <v>1559.338</v>
      </c>
      <c r="F28" s="22">
        <v>82.593000000000004</v>
      </c>
      <c r="G28" s="23">
        <v>1</v>
      </c>
      <c r="H28" s="22">
        <v>30</v>
      </c>
      <c r="I28" s="22" t="s">
        <v>41</v>
      </c>
      <c r="J28" s="22"/>
      <c r="K28" s="22">
        <v>1874.492</v>
      </c>
      <c r="L28" s="22">
        <f t="shared" si="2"/>
        <v>-315.154</v>
      </c>
      <c r="M28" s="22">
        <f t="shared" si="3"/>
        <v>1126.546</v>
      </c>
      <c r="N28" s="22">
        <v>432.79199999999997</v>
      </c>
      <c r="O28" s="22">
        <v>0</v>
      </c>
      <c r="P28" s="22"/>
      <c r="Q28" s="22">
        <v>0</v>
      </c>
      <c r="R28" s="22">
        <v>604.55620000000022</v>
      </c>
      <c r="S28" s="22">
        <v>400</v>
      </c>
      <c r="T28" s="22">
        <v>400</v>
      </c>
      <c r="U28" s="22">
        <f t="shared" si="4"/>
        <v>225.3092</v>
      </c>
      <c r="V28" s="24">
        <f>11*U28*1.2-T28-S28-R28-P28-O28-F28</f>
        <v>1486.9322400000001</v>
      </c>
      <c r="W28" s="24"/>
      <c r="X28" s="22"/>
      <c r="Y28" s="22">
        <f t="shared" si="5"/>
        <v>13.200000000000001</v>
      </c>
      <c r="Z28" s="22">
        <f t="shared" si="6"/>
        <v>6.6004814716842466</v>
      </c>
      <c r="AA28" s="22">
        <v>184.41399999999999</v>
      </c>
      <c r="AB28" s="22">
        <v>93.193400000000011</v>
      </c>
      <c r="AC28" s="22">
        <v>120.9936</v>
      </c>
      <c r="AD28" s="22">
        <v>191.4426</v>
      </c>
      <c r="AE28" s="22">
        <v>180.36940000000001</v>
      </c>
      <c r="AF28" s="22">
        <v>157.65600000000001</v>
      </c>
      <c r="AG28" s="22">
        <v>169.0156666666667</v>
      </c>
      <c r="AH28" s="22">
        <v>183.89060000000001</v>
      </c>
      <c r="AI28" s="22" t="s">
        <v>53</v>
      </c>
      <c r="AJ28" s="22">
        <f>G28*V28</f>
        <v>1486.9322400000001</v>
      </c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1:46" x14ac:dyDescent="0.25">
      <c r="A29" s="14" t="s">
        <v>73</v>
      </c>
      <c r="B29" s="14" t="s">
        <v>40</v>
      </c>
      <c r="C29" s="14"/>
      <c r="D29" s="14"/>
      <c r="E29" s="14"/>
      <c r="F29" s="14"/>
      <c r="G29" s="15">
        <v>0</v>
      </c>
      <c r="H29" s="14">
        <v>45</v>
      </c>
      <c r="I29" s="14" t="s">
        <v>41</v>
      </c>
      <c r="J29" s="14"/>
      <c r="K29" s="14"/>
      <c r="L29" s="14">
        <f t="shared" si="2"/>
        <v>0</v>
      </c>
      <c r="M29" s="14">
        <f t="shared" si="3"/>
        <v>0</v>
      </c>
      <c r="N29" s="14"/>
      <c r="O29" s="14">
        <v>0</v>
      </c>
      <c r="P29" s="14"/>
      <c r="Q29" s="14">
        <v>0</v>
      </c>
      <c r="R29" s="14">
        <v>0</v>
      </c>
      <c r="S29" s="14"/>
      <c r="T29" s="14"/>
      <c r="U29" s="14">
        <f t="shared" si="4"/>
        <v>0</v>
      </c>
      <c r="V29" s="16"/>
      <c r="W29" s="16"/>
      <c r="X29" s="14"/>
      <c r="Y29" s="14" t="e">
        <f t="shared" si="5"/>
        <v>#DIV/0!</v>
      </c>
      <c r="Z29" s="14" t="e">
        <f t="shared" si="6"/>
        <v>#DIV/0!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 t="s">
        <v>58</v>
      </c>
      <c r="AJ29" s="14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spans="1:46" x14ac:dyDescent="0.25">
      <c r="A30" s="14" t="s">
        <v>74</v>
      </c>
      <c r="B30" s="14" t="s">
        <v>40</v>
      </c>
      <c r="C30" s="14"/>
      <c r="D30" s="14"/>
      <c r="E30" s="14"/>
      <c r="F30" s="14"/>
      <c r="G30" s="15">
        <v>0</v>
      </c>
      <c r="H30" s="14">
        <v>40</v>
      </c>
      <c r="I30" s="14" t="s">
        <v>41</v>
      </c>
      <c r="J30" s="14"/>
      <c r="K30" s="14"/>
      <c r="L30" s="14">
        <f t="shared" si="2"/>
        <v>0</v>
      </c>
      <c r="M30" s="14">
        <f t="shared" si="3"/>
        <v>0</v>
      </c>
      <c r="N30" s="14"/>
      <c r="O30" s="14">
        <v>0</v>
      </c>
      <c r="P30" s="14"/>
      <c r="Q30" s="14">
        <v>0</v>
      </c>
      <c r="R30" s="14">
        <v>0</v>
      </c>
      <c r="S30" s="14"/>
      <c r="T30" s="14"/>
      <c r="U30" s="14">
        <f t="shared" si="4"/>
        <v>0</v>
      </c>
      <c r="V30" s="16"/>
      <c r="W30" s="16"/>
      <c r="X30" s="14"/>
      <c r="Y30" s="14" t="e">
        <f t="shared" si="5"/>
        <v>#DIV/0!</v>
      </c>
      <c r="Z30" s="14" t="e">
        <f t="shared" si="6"/>
        <v>#DIV/0!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 t="s">
        <v>58</v>
      </c>
      <c r="AJ30" s="14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spans="1:46" x14ac:dyDescent="0.25">
      <c r="A31" s="7" t="s">
        <v>75</v>
      </c>
      <c r="B31" s="7" t="s">
        <v>40</v>
      </c>
      <c r="C31" s="7"/>
      <c r="D31" s="7">
        <v>104.10599999999999</v>
      </c>
      <c r="E31" s="7"/>
      <c r="F31" s="7">
        <v>104.10599999999999</v>
      </c>
      <c r="G31" s="8">
        <v>1</v>
      </c>
      <c r="H31" s="7">
        <v>30</v>
      </c>
      <c r="I31" s="7" t="s">
        <v>41</v>
      </c>
      <c r="J31" s="7"/>
      <c r="K31" s="7"/>
      <c r="L31" s="7">
        <f t="shared" si="2"/>
        <v>0</v>
      </c>
      <c r="M31" s="7">
        <f t="shared" si="3"/>
        <v>0</v>
      </c>
      <c r="N31" s="7"/>
      <c r="O31" s="7">
        <v>0</v>
      </c>
      <c r="P31" s="7"/>
      <c r="Q31" s="7">
        <v>0</v>
      </c>
      <c r="R31" s="7">
        <v>0</v>
      </c>
      <c r="S31" s="7"/>
      <c r="T31" s="7"/>
      <c r="U31" s="7">
        <f t="shared" si="4"/>
        <v>0</v>
      </c>
      <c r="V31" s="4"/>
      <c r="W31" s="4"/>
      <c r="X31" s="7"/>
      <c r="Y31" s="7" t="e">
        <f t="shared" si="5"/>
        <v>#DIV/0!</v>
      </c>
      <c r="Z31" s="7" t="e">
        <f t="shared" si="6"/>
        <v>#DIV/0!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 t="s">
        <v>76</v>
      </c>
      <c r="AJ31" s="7">
        <f>G31*V31</f>
        <v>0</v>
      </c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spans="1:46" x14ac:dyDescent="0.25">
      <c r="A32" s="14" t="s">
        <v>77</v>
      </c>
      <c r="B32" s="14" t="s">
        <v>40</v>
      </c>
      <c r="C32" s="14"/>
      <c r="D32" s="14"/>
      <c r="E32" s="14"/>
      <c r="F32" s="14"/>
      <c r="G32" s="15">
        <v>0</v>
      </c>
      <c r="H32" s="14">
        <v>50</v>
      </c>
      <c r="I32" s="14" t="s">
        <v>41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>
        <v>0</v>
      </c>
      <c r="P32" s="14"/>
      <c r="Q32" s="14">
        <v>0</v>
      </c>
      <c r="R32" s="14">
        <v>0</v>
      </c>
      <c r="S32" s="14"/>
      <c r="T32" s="14"/>
      <c r="U32" s="14">
        <f t="shared" si="4"/>
        <v>0</v>
      </c>
      <c r="V32" s="16"/>
      <c r="W32" s="16"/>
      <c r="X32" s="14"/>
      <c r="Y32" s="14" t="e">
        <f t="shared" si="5"/>
        <v>#DIV/0!</v>
      </c>
      <c r="Z32" s="14" t="e">
        <f t="shared" si="6"/>
        <v>#DIV/0!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 t="s">
        <v>58</v>
      </c>
      <c r="AJ32" s="14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spans="1:46" x14ac:dyDescent="0.25">
      <c r="A33" s="7" t="s">
        <v>78</v>
      </c>
      <c r="B33" s="7" t="s">
        <v>40</v>
      </c>
      <c r="C33" s="7">
        <v>18.908999999999999</v>
      </c>
      <c r="D33" s="7">
        <v>1.76</v>
      </c>
      <c r="E33" s="7">
        <v>0.91700000000000004</v>
      </c>
      <c r="F33" s="7">
        <v>19.751999999999999</v>
      </c>
      <c r="G33" s="8">
        <v>1</v>
      </c>
      <c r="H33" s="7">
        <v>50</v>
      </c>
      <c r="I33" s="7" t="s">
        <v>41</v>
      </c>
      <c r="J33" s="7"/>
      <c r="K33" s="7">
        <v>3.6</v>
      </c>
      <c r="L33" s="7">
        <f t="shared" si="2"/>
        <v>-2.6829999999999998</v>
      </c>
      <c r="M33" s="7">
        <f t="shared" si="3"/>
        <v>0.91700000000000004</v>
      </c>
      <c r="N33" s="7"/>
      <c r="O33" s="7">
        <v>0</v>
      </c>
      <c r="P33" s="7"/>
      <c r="Q33" s="7">
        <v>0</v>
      </c>
      <c r="R33" s="7">
        <v>0</v>
      </c>
      <c r="S33" s="7"/>
      <c r="T33" s="7"/>
      <c r="U33" s="7">
        <f t="shared" si="4"/>
        <v>0.18340000000000001</v>
      </c>
      <c r="V33" s="4"/>
      <c r="W33" s="4"/>
      <c r="X33" s="7"/>
      <c r="Y33" s="7">
        <f t="shared" si="5"/>
        <v>107.69901853871319</v>
      </c>
      <c r="Z33" s="7">
        <f t="shared" si="6"/>
        <v>107.69901853871319</v>
      </c>
      <c r="AA33" s="7">
        <v>0.90900000000000003</v>
      </c>
      <c r="AB33" s="7">
        <v>1.633</v>
      </c>
      <c r="AC33" s="7">
        <v>0.72360000000000002</v>
      </c>
      <c r="AD33" s="7">
        <v>-4.0000000000000002E-4</v>
      </c>
      <c r="AE33" s="7">
        <v>0.53700000000000003</v>
      </c>
      <c r="AF33" s="7">
        <v>1.4944999999999999</v>
      </c>
      <c r="AG33" s="7">
        <v>2.2494999999999998</v>
      </c>
      <c r="AH33" s="7">
        <v>2.3441999999999998</v>
      </c>
      <c r="AI33" s="27" t="s">
        <v>157</v>
      </c>
      <c r="AJ33" s="7">
        <f t="shared" ref="AJ33:AJ51" si="11">G33*V33</f>
        <v>0</v>
      </c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spans="1:46" x14ac:dyDescent="0.25">
      <c r="A34" s="22" t="s">
        <v>79</v>
      </c>
      <c r="B34" s="22" t="s">
        <v>46</v>
      </c>
      <c r="C34" s="22">
        <v>1997</v>
      </c>
      <c r="D34" s="22">
        <v>1626</v>
      </c>
      <c r="E34" s="22">
        <v>2013</v>
      </c>
      <c r="F34" s="22">
        <v>1118</v>
      </c>
      <c r="G34" s="23">
        <v>0.4</v>
      </c>
      <c r="H34" s="22">
        <v>45</v>
      </c>
      <c r="I34" s="22" t="s">
        <v>41</v>
      </c>
      <c r="J34" s="22"/>
      <c r="K34" s="22">
        <v>2213</v>
      </c>
      <c r="L34" s="22">
        <f t="shared" si="2"/>
        <v>-200</v>
      </c>
      <c r="M34" s="22">
        <f t="shared" si="3"/>
        <v>1521</v>
      </c>
      <c r="N34" s="22">
        <v>492</v>
      </c>
      <c r="O34" s="22">
        <v>0</v>
      </c>
      <c r="P34" s="22"/>
      <c r="Q34" s="22">
        <v>302</v>
      </c>
      <c r="R34" s="22">
        <v>974.74021999999968</v>
      </c>
      <c r="S34" s="22">
        <v>700</v>
      </c>
      <c r="T34" s="22">
        <v>700</v>
      </c>
      <c r="U34" s="22">
        <f t="shared" si="4"/>
        <v>304.2</v>
      </c>
      <c r="V34" s="24">
        <f>11*U34*1.5-T34-S34-R34-P34-O34-F34</f>
        <v>1526.5597799999996</v>
      </c>
      <c r="W34" s="24"/>
      <c r="X34" s="22"/>
      <c r="Y34" s="22">
        <f t="shared" si="5"/>
        <v>16.5</v>
      </c>
      <c r="Z34" s="22">
        <f t="shared" si="6"/>
        <v>11.481723274161736</v>
      </c>
      <c r="AA34" s="22">
        <v>252.4</v>
      </c>
      <c r="AB34" s="22">
        <v>205.6</v>
      </c>
      <c r="AC34" s="22">
        <v>284.2</v>
      </c>
      <c r="AD34" s="22">
        <v>302.2</v>
      </c>
      <c r="AE34" s="22">
        <v>280.8</v>
      </c>
      <c r="AF34" s="22">
        <v>228.83333333333329</v>
      </c>
      <c r="AG34" s="22">
        <v>252.66666666666671</v>
      </c>
      <c r="AH34" s="22">
        <v>275</v>
      </c>
      <c r="AI34" s="22" t="s">
        <v>80</v>
      </c>
      <c r="AJ34" s="22">
        <f t="shared" si="11"/>
        <v>610.6239119999999</v>
      </c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 spans="1:46" x14ac:dyDescent="0.25">
      <c r="A35" s="7" t="s">
        <v>81</v>
      </c>
      <c r="B35" s="7" t="s">
        <v>46</v>
      </c>
      <c r="C35" s="7">
        <v>306.827</v>
      </c>
      <c r="D35" s="7">
        <v>576</v>
      </c>
      <c r="E35" s="7">
        <v>377</v>
      </c>
      <c r="F35" s="7">
        <v>412.827</v>
      </c>
      <c r="G35" s="8">
        <v>0.45</v>
      </c>
      <c r="H35" s="7">
        <v>50</v>
      </c>
      <c r="I35" s="7" t="s">
        <v>41</v>
      </c>
      <c r="J35" s="7"/>
      <c r="K35" s="7">
        <v>439</v>
      </c>
      <c r="L35" s="7">
        <f t="shared" si="2"/>
        <v>-62</v>
      </c>
      <c r="M35" s="7">
        <f t="shared" si="3"/>
        <v>327</v>
      </c>
      <c r="N35" s="7">
        <v>50</v>
      </c>
      <c r="O35" s="7">
        <v>114.00671</v>
      </c>
      <c r="P35" s="7">
        <v>130.41</v>
      </c>
      <c r="Q35" s="7">
        <v>0</v>
      </c>
      <c r="R35" s="7">
        <v>0</v>
      </c>
      <c r="S35" s="7"/>
      <c r="T35" s="7"/>
      <c r="U35" s="7">
        <f t="shared" si="4"/>
        <v>65.400000000000006</v>
      </c>
      <c r="V35" s="4">
        <f t="shared" ref="V35:V46" si="12">12*U35-T35-S35-R35-P35-O35-F35</f>
        <v>127.5562900000001</v>
      </c>
      <c r="W35" s="4"/>
      <c r="X35" s="7"/>
      <c r="Y35" s="7">
        <f t="shared" si="5"/>
        <v>12</v>
      </c>
      <c r="Z35" s="7">
        <f t="shared" si="6"/>
        <v>10.049598012232414</v>
      </c>
      <c r="AA35" s="7">
        <v>69.400000000000006</v>
      </c>
      <c r="AB35" s="7">
        <v>69</v>
      </c>
      <c r="AC35" s="7">
        <v>72</v>
      </c>
      <c r="AD35" s="7">
        <v>54.4</v>
      </c>
      <c r="AE35" s="7">
        <v>54</v>
      </c>
      <c r="AF35" s="7">
        <v>66.362166666666667</v>
      </c>
      <c r="AG35" s="7">
        <v>75.195499999999996</v>
      </c>
      <c r="AH35" s="7">
        <v>45.08</v>
      </c>
      <c r="AI35" s="7" t="s">
        <v>47</v>
      </c>
      <c r="AJ35" s="7">
        <f t="shared" si="11"/>
        <v>57.400330500000045</v>
      </c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 spans="1:46" x14ac:dyDescent="0.25">
      <c r="A36" s="7" t="s">
        <v>82</v>
      </c>
      <c r="B36" s="7" t="s">
        <v>46</v>
      </c>
      <c r="C36" s="7">
        <v>932</v>
      </c>
      <c r="D36" s="7">
        <v>2999</v>
      </c>
      <c r="E36" s="7">
        <v>1596</v>
      </c>
      <c r="F36" s="7">
        <v>1715</v>
      </c>
      <c r="G36" s="8">
        <v>0.4</v>
      </c>
      <c r="H36" s="7">
        <v>45</v>
      </c>
      <c r="I36" s="7" t="s">
        <v>41</v>
      </c>
      <c r="J36" s="7"/>
      <c r="K36" s="7">
        <v>1829</v>
      </c>
      <c r="L36" s="7">
        <f t="shared" si="2"/>
        <v>-233</v>
      </c>
      <c r="M36" s="7">
        <f t="shared" si="3"/>
        <v>1206</v>
      </c>
      <c r="N36" s="7">
        <v>390</v>
      </c>
      <c r="O36" s="7">
        <v>610.3119999999999</v>
      </c>
      <c r="P36" s="7"/>
      <c r="Q36" s="7">
        <v>281</v>
      </c>
      <c r="R36" s="7">
        <v>756.86800000000085</v>
      </c>
      <c r="S36" s="7">
        <v>400</v>
      </c>
      <c r="T36" s="7">
        <v>400</v>
      </c>
      <c r="U36" s="7">
        <f t="shared" si="4"/>
        <v>241.2</v>
      </c>
      <c r="V36" s="4"/>
      <c r="W36" s="4"/>
      <c r="X36" s="7"/>
      <c r="Y36" s="7">
        <f t="shared" si="5"/>
        <v>16.095273631840801</v>
      </c>
      <c r="Z36" s="7">
        <f t="shared" si="6"/>
        <v>16.095273631840801</v>
      </c>
      <c r="AA36" s="7">
        <v>343.8</v>
      </c>
      <c r="AB36" s="7">
        <v>300.2</v>
      </c>
      <c r="AC36" s="7">
        <v>273.39999999999998</v>
      </c>
      <c r="AD36" s="7">
        <v>231.4</v>
      </c>
      <c r="AE36" s="7">
        <v>272.2</v>
      </c>
      <c r="AF36" s="7">
        <v>188.66666666666671</v>
      </c>
      <c r="AG36" s="7">
        <v>212.66666666666671</v>
      </c>
      <c r="AH36" s="7">
        <v>291.2</v>
      </c>
      <c r="AI36" s="7"/>
      <c r="AJ36" s="7">
        <f t="shared" si="11"/>
        <v>0</v>
      </c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spans="1:46" x14ac:dyDescent="0.25">
      <c r="A37" s="7" t="s">
        <v>83</v>
      </c>
      <c r="B37" s="7" t="s">
        <v>46</v>
      </c>
      <c r="C37" s="7">
        <v>179</v>
      </c>
      <c r="D37" s="7">
        <v>375</v>
      </c>
      <c r="E37" s="7">
        <v>266</v>
      </c>
      <c r="F37" s="7">
        <v>191</v>
      </c>
      <c r="G37" s="8">
        <v>0.4</v>
      </c>
      <c r="H37" s="7">
        <v>40</v>
      </c>
      <c r="I37" s="7" t="s">
        <v>41</v>
      </c>
      <c r="J37" s="7"/>
      <c r="K37" s="7">
        <v>431</v>
      </c>
      <c r="L37" s="7">
        <f t="shared" si="2"/>
        <v>-165</v>
      </c>
      <c r="M37" s="7">
        <f t="shared" si="3"/>
        <v>188</v>
      </c>
      <c r="N37" s="7">
        <v>78</v>
      </c>
      <c r="O37" s="7">
        <v>0</v>
      </c>
      <c r="P37" s="7"/>
      <c r="Q37" s="7">
        <v>0</v>
      </c>
      <c r="R37" s="7">
        <v>0</v>
      </c>
      <c r="S37" s="7"/>
      <c r="T37" s="7"/>
      <c r="U37" s="7">
        <f t="shared" si="4"/>
        <v>37.6</v>
      </c>
      <c r="V37" s="4">
        <f t="shared" si="12"/>
        <v>260.20000000000005</v>
      </c>
      <c r="W37" s="4"/>
      <c r="X37" s="7"/>
      <c r="Y37" s="7">
        <f t="shared" si="5"/>
        <v>12</v>
      </c>
      <c r="Z37" s="7">
        <f t="shared" si="6"/>
        <v>5.0797872340425529</v>
      </c>
      <c r="AA37" s="7">
        <v>22.2</v>
      </c>
      <c r="AB37" s="7">
        <v>12.6</v>
      </c>
      <c r="AC37" s="7">
        <v>36.6</v>
      </c>
      <c r="AD37" s="7">
        <v>42.2</v>
      </c>
      <c r="AE37" s="7">
        <v>21.4</v>
      </c>
      <c r="AF37" s="7">
        <v>20.5</v>
      </c>
      <c r="AG37" s="7">
        <v>26.833333333333329</v>
      </c>
      <c r="AH37" s="7">
        <v>25.4</v>
      </c>
      <c r="AI37" s="7"/>
      <c r="AJ37" s="7">
        <f t="shared" si="11"/>
        <v>104.08000000000003</v>
      </c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spans="1:46" x14ac:dyDescent="0.25">
      <c r="A38" s="7" t="s">
        <v>84</v>
      </c>
      <c r="B38" s="7" t="s">
        <v>40</v>
      </c>
      <c r="C38" s="7">
        <v>479.08699999999999</v>
      </c>
      <c r="D38" s="7">
        <v>366.43700000000001</v>
      </c>
      <c r="E38" s="7">
        <v>270.68200000000002</v>
      </c>
      <c r="F38" s="7">
        <v>382.90300000000002</v>
      </c>
      <c r="G38" s="8">
        <v>1</v>
      </c>
      <c r="H38" s="7">
        <v>45</v>
      </c>
      <c r="I38" s="7" t="s">
        <v>41</v>
      </c>
      <c r="J38" s="7"/>
      <c r="K38" s="7">
        <v>375.46300000000002</v>
      </c>
      <c r="L38" s="7">
        <f t="shared" ref="L38:L69" si="13">E38-K38</f>
        <v>-104.78100000000001</v>
      </c>
      <c r="M38" s="7">
        <f t="shared" ref="M38:M69" si="14">E38-N38</f>
        <v>210.86900000000003</v>
      </c>
      <c r="N38" s="7">
        <v>59.813000000000002</v>
      </c>
      <c r="O38" s="7">
        <v>358.16697558666692</v>
      </c>
      <c r="P38" s="7"/>
      <c r="Q38" s="7">
        <v>0</v>
      </c>
      <c r="R38" s="7">
        <v>149.72664</v>
      </c>
      <c r="S38" s="7"/>
      <c r="T38" s="7"/>
      <c r="U38" s="7">
        <f t="shared" ref="U38:U69" si="15">M38/5</f>
        <v>42.173800000000007</v>
      </c>
      <c r="V38" s="4"/>
      <c r="W38" s="4"/>
      <c r="X38" s="7"/>
      <c r="Y38" s="7">
        <f t="shared" ref="Y38:Y69" si="16">(F38+O38+P38+R38+S38+T38+V38)/U38</f>
        <v>21.122038222466717</v>
      </c>
      <c r="Z38" s="7">
        <f t="shared" ref="Z38:Z69" si="17">(F38+O38+P38+R38+S38+T38)/U38</f>
        <v>21.122038222466717</v>
      </c>
      <c r="AA38" s="7">
        <v>71.298400000000001</v>
      </c>
      <c r="AB38" s="7">
        <v>84.503</v>
      </c>
      <c r="AC38" s="7">
        <v>69.460400000000007</v>
      </c>
      <c r="AD38" s="7">
        <v>89.989599999999996</v>
      </c>
      <c r="AE38" s="7">
        <v>85.057000000000002</v>
      </c>
      <c r="AF38" s="7">
        <v>75.769833333333338</v>
      </c>
      <c r="AG38" s="7">
        <v>87.567166666666665</v>
      </c>
      <c r="AH38" s="7">
        <v>81.440799999999996</v>
      </c>
      <c r="AI38" s="27" t="s">
        <v>158</v>
      </c>
      <c r="AJ38" s="7">
        <f t="shared" si="11"/>
        <v>0</v>
      </c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spans="1:46" x14ac:dyDescent="0.25">
      <c r="A39" s="7" t="s">
        <v>85</v>
      </c>
      <c r="B39" s="7" t="s">
        <v>46</v>
      </c>
      <c r="C39" s="7">
        <v>175</v>
      </c>
      <c r="D39" s="7">
        <v>143</v>
      </c>
      <c r="E39" s="7">
        <v>160</v>
      </c>
      <c r="F39" s="7">
        <v>160</v>
      </c>
      <c r="G39" s="8">
        <v>0.1</v>
      </c>
      <c r="H39" s="7">
        <v>730</v>
      </c>
      <c r="I39" s="7" t="s">
        <v>41</v>
      </c>
      <c r="J39" s="7"/>
      <c r="K39" s="7">
        <v>167</v>
      </c>
      <c r="L39" s="7">
        <f t="shared" si="13"/>
        <v>-7</v>
      </c>
      <c r="M39" s="7">
        <f t="shared" si="14"/>
        <v>160</v>
      </c>
      <c r="N39" s="7"/>
      <c r="O39" s="7">
        <v>0</v>
      </c>
      <c r="P39" s="7"/>
      <c r="Q39" s="7">
        <v>0</v>
      </c>
      <c r="R39" s="7">
        <v>0</v>
      </c>
      <c r="S39" s="7"/>
      <c r="T39" s="7"/>
      <c r="U39" s="7">
        <f t="shared" si="15"/>
        <v>32</v>
      </c>
      <c r="V39" s="4">
        <f t="shared" si="12"/>
        <v>224</v>
      </c>
      <c r="W39" s="4"/>
      <c r="X39" s="7"/>
      <c r="Y39" s="7">
        <f t="shared" si="16"/>
        <v>12</v>
      </c>
      <c r="Z39" s="7">
        <f t="shared" si="17"/>
        <v>5</v>
      </c>
      <c r="AA39" s="7">
        <v>19</v>
      </c>
      <c r="AB39" s="7">
        <v>13.6</v>
      </c>
      <c r="AC39" s="7">
        <v>27.4</v>
      </c>
      <c r="AD39" s="7">
        <v>30</v>
      </c>
      <c r="AE39" s="7">
        <v>29</v>
      </c>
      <c r="AF39" s="7">
        <v>19.333333333333329</v>
      </c>
      <c r="AG39" s="7">
        <v>16.5</v>
      </c>
      <c r="AH39" s="7">
        <v>27.4</v>
      </c>
      <c r="AI39" s="7"/>
      <c r="AJ39" s="7">
        <f t="shared" si="11"/>
        <v>22.400000000000002</v>
      </c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 spans="1:46" x14ac:dyDescent="0.25">
      <c r="A40" s="7" t="s">
        <v>86</v>
      </c>
      <c r="B40" s="7" t="s">
        <v>46</v>
      </c>
      <c r="C40" s="7">
        <v>95</v>
      </c>
      <c r="D40" s="7">
        <v>458</v>
      </c>
      <c r="E40" s="7">
        <v>207</v>
      </c>
      <c r="F40" s="7">
        <v>303</v>
      </c>
      <c r="G40" s="8">
        <v>0.35</v>
      </c>
      <c r="H40" s="7">
        <v>40</v>
      </c>
      <c r="I40" s="7" t="s">
        <v>41</v>
      </c>
      <c r="J40" s="7"/>
      <c r="K40" s="7">
        <v>215</v>
      </c>
      <c r="L40" s="7">
        <f t="shared" si="13"/>
        <v>-8</v>
      </c>
      <c r="M40" s="7">
        <f t="shared" si="14"/>
        <v>207</v>
      </c>
      <c r="N40" s="7"/>
      <c r="O40" s="7">
        <v>0</v>
      </c>
      <c r="P40" s="7"/>
      <c r="Q40" s="7">
        <v>0</v>
      </c>
      <c r="R40" s="7">
        <v>111.61450000000001</v>
      </c>
      <c r="S40" s="7"/>
      <c r="T40" s="7"/>
      <c r="U40" s="7">
        <f t="shared" si="15"/>
        <v>41.4</v>
      </c>
      <c r="V40" s="4">
        <f t="shared" si="12"/>
        <v>82.185499999999934</v>
      </c>
      <c r="W40" s="4"/>
      <c r="X40" s="7"/>
      <c r="Y40" s="7">
        <f t="shared" si="16"/>
        <v>12</v>
      </c>
      <c r="Z40" s="7">
        <f t="shared" si="17"/>
        <v>10.014842995169083</v>
      </c>
      <c r="AA40" s="7">
        <v>45.8</v>
      </c>
      <c r="AB40" s="7">
        <v>39.4</v>
      </c>
      <c r="AC40" s="7">
        <v>56.4</v>
      </c>
      <c r="AD40" s="7">
        <v>39.799999999999997</v>
      </c>
      <c r="AE40" s="7">
        <v>38.799999999999997</v>
      </c>
      <c r="AF40" s="7">
        <v>47.833333333333343</v>
      </c>
      <c r="AG40" s="7">
        <v>48.5</v>
      </c>
      <c r="AH40" s="7">
        <v>56.4</v>
      </c>
      <c r="AI40" s="7"/>
      <c r="AJ40" s="7">
        <f t="shared" si="11"/>
        <v>28.764924999999973</v>
      </c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 spans="1:46" x14ac:dyDescent="0.25">
      <c r="A41" s="7" t="s">
        <v>87</v>
      </c>
      <c r="B41" s="7" t="s">
        <v>40</v>
      </c>
      <c r="C41" s="7">
        <v>61.448</v>
      </c>
      <c r="D41" s="7">
        <v>0.72099999999999997</v>
      </c>
      <c r="E41" s="7">
        <v>31.318999999999999</v>
      </c>
      <c r="F41" s="7">
        <v>31.582000000000001</v>
      </c>
      <c r="G41" s="8">
        <v>1</v>
      </c>
      <c r="H41" s="7">
        <v>40</v>
      </c>
      <c r="I41" s="7" t="s">
        <v>41</v>
      </c>
      <c r="J41" s="7"/>
      <c r="K41" s="7">
        <v>31</v>
      </c>
      <c r="L41" s="7">
        <f t="shared" si="13"/>
        <v>0.31899999999999906</v>
      </c>
      <c r="M41" s="7">
        <f t="shared" si="14"/>
        <v>31.318999999999999</v>
      </c>
      <c r="N41" s="7"/>
      <c r="O41" s="7">
        <v>17.646400000000011</v>
      </c>
      <c r="P41" s="7"/>
      <c r="Q41" s="7">
        <v>0</v>
      </c>
      <c r="R41" s="7">
        <v>19.158799999999989</v>
      </c>
      <c r="S41" s="7"/>
      <c r="T41" s="7"/>
      <c r="U41" s="7">
        <f t="shared" si="15"/>
        <v>6.2637999999999998</v>
      </c>
      <c r="V41" s="4">
        <f t="shared" si="12"/>
        <v>6.7783999999999978</v>
      </c>
      <c r="W41" s="4"/>
      <c r="X41" s="7"/>
      <c r="Y41" s="7">
        <f t="shared" si="16"/>
        <v>11.999999999999998</v>
      </c>
      <c r="Z41" s="7">
        <f t="shared" si="17"/>
        <v>10.917845397362623</v>
      </c>
      <c r="AA41" s="7">
        <v>7.2281999999999993</v>
      </c>
      <c r="AB41" s="7">
        <v>6.5312000000000001</v>
      </c>
      <c r="AC41" s="7">
        <v>5.940199999999999</v>
      </c>
      <c r="AD41" s="7">
        <v>4.9160000000000004</v>
      </c>
      <c r="AE41" s="7">
        <v>4.7683999999999997</v>
      </c>
      <c r="AF41" s="7">
        <v>6.6183333333333332</v>
      </c>
      <c r="AG41" s="7">
        <v>11.930833333333331</v>
      </c>
      <c r="AH41" s="7">
        <v>11.86</v>
      </c>
      <c r="AI41" s="7"/>
      <c r="AJ41" s="7">
        <f t="shared" si="11"/>
        <v>6.7783999999999978</v>
      </c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 spans="1:46" x14ac:dyDescent="0.25">
      <c r="A42" s="7" t="s">
        <v>88</v>
      </c>
      <c r="B42" s="7" t="s">
        <v>46</v>
      </c>
      <c r="C42" s="7">
        <v>8</v>
      </c>
      <c r="D42" s="7">
        <v>739</v>
      </c>
      <c r="E42" s="7">
        <v>417</v>
      </c>
      <c r="F42" s="7">
        <v>234</v>
      </c>
      <c r="G42" s="8">
        <v>0.4</v>
      </c>
      <c r="H42" s="7">
        <v>40</v>
      </c>
      <c r="I42" s="7" t="s">
        <v>41</v>
      </c>
      <c r="J42" s="7"/>
      <c r="K42" s="7">
        <v>432</v>
      </c>
      <c r="L42" s="7">
        <f t="shared" si="13"/>
        <v>-15</v>
      </c>
      <c r="M42" s="7">
        <f t="shared" si="14"/>
        <v>273</v>
      </c>
      <c r="N42" s="7">
        <v>144</v>
      </c>
      <c r="O42" s="7">
        <v>19.60000000000008</v>
      </c>
      <c r="P42" s="7"/>
      <c r="Q42" s="7">
        <v>110</v>
      </c>
      <c r="R42" s="7">
        <v>58.599999999999881</v>
      </c>
      <c r="S42" s="7"/>
      <c r="T42" s="7"/>
      <c r="U42" s="7">
        <f t="shared" si="15"/>
        <v>54.6</v>
      </c>
      <c r="V42" s="4">
        <f t="shared" si="12"/>
        <v>343</v>
      </c>
      <c r="W42" s="4"/>
      <c r="X42" s="7"/>
      <c r="Y42" s="7">
        <f t="shared" si="16"/>
        <v>11.999999999999998</v>
      </c>
      <c r="Z42" s="7">
        <f t="shared" si="17"/>
        <v>5.7179487179487163</v>
      </c>
      <c r="AA42" s="7">
        <v>41.8</v>
      </c>
      <c r="AB42" s="7">
        <v>44.2</v>
      </c>
      <c r="AC42" s="7">
        <v>52.8</v>
      </c>
      <c r="AD42" s="7">
        <v>44.6</v>
      </c>
      <c r="AE42" s="7">
        <v>27.8</v>
      </c>
      <c r="AF42" s="7">
        <v>34.833333333333343</v>
      </c>
      <c r="AG42" s="7">
        <v>43.166666666666657</v>
      </c>
      <c r="AH42" s="7">
        <v>35.4</v>
      </c>
      <c r="AI42" s="7"/>
      <c r="AJ42" s="7">
        <f t="shared" si="11"/>
        <v>137.20000000000002</v>
      </c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spans="1:46" x14ac:dyDescent="0.25">
      <c r="A43" s="7" t="s">
        <v>89</v>
      </c>
      <c r="B43" s="7" t="s">
        <v>46</v>
      </c>
      <c r="C43" s="7">
        <v>178</v>
      </c>
      <c r="D43" s="7">
        <v>1067</v>
      </c>
      <c r="E43" s="7">
        <v>611</v>
      </c>
      <c r="F43" s="7">
        <v>540</v>
      </c>
      <c r="G43" s="8">
        <v>0.4</v>
      </c>
      <c r="H43" s="7">
        <v>45</v>
      </c>
      <c r="I43" s="7" t="s">
        <v>41</v>
      </c>
      <c r="J43" s="7"/>
      <c r="K43" s="7">
        <v>616</v>
      </c>
      <c r="L43" s="7">
        <f t="shared" si="13"/>
        <v>-5</v>
      </c>
      <c r="M43" s="7">
        <f t="shared" si="14"/>
        <v>443</v>
      </c>
      <c r="N43" s="7">
        <v>168</v>
      </c>
      <c r="O43" s="7">
        <v>121.9865199999999</v>
      </c>
      <c r="P43" s="7"/>
      <c r="Q43" s="7">
        <v>0</v>
      </c>
      <c r="R43" s="7">
        <v>118.6534800000001</v>
      </c>
      <c r="S43" s="7">
        <v>100</v>
      </c>
      <c r="T43" s="7">
        <v>100</v>
      </c>
      <c r="U43" s="7">
        <f t="shared" si="15"/>
        <v>88.6</v>
      </c>
      <c r="V43" s="4">
        <f t="shared" si="12"/>
        <v>82.559999999999832</v>
      </c>
      <c r="W43" s="4"/>
      <c r="X43" s="7"/>
      <c r="Y43" s="7">
        <f t="shared" si="16"/>
        <v>11.999999999999998</v>
      </c>
      <c r="Z43" s="7">
        <f t="shared" si="17"/>
        <v>11.068171557562078</v>
      </c>
      <c r="AA43" s="7">
        <v>93.4</v>
      </c>
      <c r="AB43" s="7">
        <v>88.8</v>
      </c>
      <c r="AC43" s="7">
        <v>105</v>
      </c>
      <c r="AD43" s="7">
        <v>73.8</v>
      </c>
      <c r="AE43" s="7">
        <v>76</v>
      </c>
      <c r="AF43" s="7">
        <v>61.666666666666657</v>
      </c>
      <c r="AG43" s="7">
        <v>62.5</v>
      </c>
      <c r="AH43" s="7">
        <v>64.400000000000006</v>
      </c>
      <c r="AI43" s="7" t="s">
        <v>47</v>
      </c>
      <c r="AJ43" s="7">
        <f t="shared" si="11"/>
        <v>33.023999999999937</v>
      </c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 spans="1:46" x14ac:dyDescent="0.25">
      <c r="A44" s="7" t="s">
        <v>90</v>
      </c>
      <c r="B44" s="7" t="s">
        <v>40</v>
      </c>
      <c r="C44" s="7">
        <v>7.7709999999999999</v>
      </c>
      <c r="D44" s="7">
        <v>193.05799999999999</v>
      </c>
      <c r="E44" s="7">
        <v>72.224000000000004</v>
      </c>
      <c r="F44" s="7">
        <v>108.875</v>
      </c>
      <c r="G44" s="8">
        <v>1</v>
      </c>
      <c r="H44" s="7">
        <v>40</v>
      </c>
      <c r="I44" s="7" t="s">
        <v>41</v>
      </c>
      <c r="J44" s="7"/>
      <c r="K44" s="7">
        <v>122.53</v>
      </c>
      <c r="L44" s="7">
        <f t="shared" si="13"/>
        <v>-50.305999999999997</v>
      </c>
      <c r="M44" s="7">
        <f t="shared" si="14"/>
        <v>54.694000000000003</v>
      </c>
      <c r="N44" s="7">
        <v>17.53</v>
      </c>
      <c r="O44" s="7">
        <v>0</v>
      </c>
      <c r="P44" s="7"/>
      <c r="Q44" s="7">
        <v>0</v>
      </c>
      <c r="R44" s="7">
        <v>0</v>
      </c>
      <c r="S44" s="7"/>
      <c r="T44" s="7"/>
      <c r="U44" s="7">
        <f t="shared" si="15"/>
        <v>10.938800000000001</v>
      </c>
      <c r="V44" s="4">
        <f t="shared" si="12"/>
        <v>22.390600000000006</v>
      </c>
      <c r="W44" s="4"/>
      <c r="X44" s="7"/>
      <c r="Y44" s="7">
        <f t="shared" si="16"/>
        <v>12</v>
      </c>
      <c r="Z44" s="7">
        <f t="shared" si="17"/>
        <v>9.9531027169342146</v>
      </c>
      <c r="AA44" s="7">
        <v>7.4201999999999986</v>
      </c>
      <c r="AB44" s="7">
        <v>8.9526000000000003</v>
      </c>
      <c r="AC44" s="7">
        <v>16.769400000000001</v>
      </c>
      <c r="AD44" s="7">
        <v>15.831</v>
      </c>
      <c r="AE44" s="7">
        <v>10.4956</v>
      </c>
      <c r="AF44" s="7">
        <v>9.793666666666665</v>
      </c>
      <c r="AG44" s="7">
        <v>15.25633333333333</v>
      </c>
      <c r="AH44" s="7">
        <v>14.3988</v>
      </c>
      <c r="AI44" s="7"/>
      <c r="AJ44" s="7">
        <f t="shared" si="11"/>
        <v>22.390600000000006</v>
      </c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 spans="1:46" x14ac:dyDescent="0.25">
      <c r="A45" s="22" t="s">
        <v>91</v>
      </c>
      <c r="B45" s="22" t="s">
        <v>46</v>
      </c>
      <c r="C45" s="22">
        <v>511</v>
      </c>
      <c r="D45" s="22">
        <v>1427</v>
      </c>
      <c r="E45" s="22">
        <v>1151</v>
      </c>
      <c r="F45" s="22">
        <v>637</v>
      </c>
      <c r="G45" s="23">
        <v>0.35</v>
      </c>
      <c r="H45" s="22">
        <v>40</v>
      </c>
      <c r="I45" s="22" t="s">
        <v>92</v>
      </c>
      <c r="J45" s="22"/>
      <c r="K45" s="22">
        <v>1554</v>
      </c>
      <c r="L45" s="22">
        <f t="shared" si="13"/>
        <v>-403</v>
      </c>
      <c r="M45" s="22">
        <f t="shared" si="14"/>
        <v>1151</v>
      </c>
      <c r="N45" s="22"/>
      <c r="O45" s="22">
        <v>575.20000000000005</v>
      </c>
      <c r="P45" s="22"/>
      <c r="Q45" s="22">
        <v>0</v>
      </c>
      <c r="R45" s="22">
        <v>1193.099999999999</v>
      </c>
      <c r="S45" s="22">
        <v>1200</v>
      </c>
      <c r="T45" s="22">
        <v>660</v>
      </c>
      <c r="U45" s="22">
        <f t="shared" si="15"/>
        <v>230.2</v>
      </c>
      <c r="V45" s="24"/>
      <c r="W45" s="24"/>
      <c r="X45" s="22"/>
      <c r="Y45" s="22">
        <f t="shared" si="16"/>
        <v>18.528670721112075</v>
      </c>
      <c r="Z45" s="22">
        <f t="shared" si="17"/>
        <v>18.528670721112075</v>
      </c>
      <c r="AA45" s="22">
        <v>289.39999999999998</v>
      </c>
      <c r="AB45" s="22">
        <v>248.8</v>
      </c>
      <c r="AC45" s="22">
        <v>221.2</v>
      </c>
      <c r="AD45" s="22">
        <v>208.8</v>
      </c>
      <c r="AE45" s="22">
        <v>127.2</v>
      </c>
      <c r="AF45" s="22">
        <v>116.1666666666667</v>
      </c>
      <c r="AG45" s="22">
        <v>140.33333333333329</v>
      </c>
      <c r="AH45" s="22">
        <v>130.19999999999999</v>
      </c>
      <c r="AI45" s="22" t="s">
        <v>53</v>
      </c>
      <c r="AJ45" s="22">
        <f t="shared" si="11"/>
        <v>0</v>
      </c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spans="1:46" x14ac:dyDescent="0.25">
      <c r="A46" s="7" t="s">
        <v>93</v>
      </c>
      <c r="B46" s="7" t="s">
        <v>46</v>
      </c>
      <c r="C46" s="7">
        <v>311</v>
      </c>
      <c r="D46" s="7">
        <v>168</v>
      </c>
      <c r="E46" s="7">
        <v>378</v>
      </c>
      <c r="F46" s="7">
        <v>102</v>
      </c>
      <c r="G46" s="8">
        <v>0.4</v>
      </c>
      <c r="H46" s="7">
        <v>40</v>
      </c>
      <c r="I46" s="7" t="s">
        <v>41</v>
      </c>
      <c r="J46" s="7"/>
      <c r="K46" s="7">
        <v>384</v>
      </c>
      <c r="L46" s="7">
        <f t="shared" si="13"/>
        <v>-6</v>
      </c>
      <c r="M46" s="7">
        <f t="shared" si="14"/>
        <v>378</v>
      </c>
      <c r="N46" s="7"/>
      <c r="O46" s="7">
        <v>636.5758000000003</v>
      </c>
      <c r="P46" s="7"/>
      <c r="Q46" s="7">
        <v>0</v>
      </c>
      <c r="R46" s="7">
        <v>75.790866666666375</v>
      </c>
      <c r="S46" s="7"/>
      <c r="T46" s="7"/>
      <c r="U46" s="7">
        <f t="shared" si="15"/>
        <v>75.599999999999994</v>
      </c>
      <c r="V46" s="4">
        <f t="shared" si="12"/>
        <v>92.833333333333258</v>
      </c>
      <c r="W46" s="4"/>
      <c r="X46" s="7"/>
      <c r="Y46" s="7">
        <f t="shared" si="16"/>
        <v>12</v>
      </c>
      <c r="Z46" s="7">
        <f t="shared" si="17"/>
        <v>10.77204585537919</v>
      </c>
      <c r="AA46" s="7">
        <v>88.8</v>
      </c>
      <c r="AB46" s="7">
        <v>88.4</v>
      </c>
      <c r="AC46" s="7">
        <v>62.8</v>
      </c>
      <c r="AD46" s="7">
        <v>64.599999999999994</v>
      </c>
      <c r="AE46" s="7">
        <v>81.2</v>
      </c>
      <c r="AF46" s="7">
        <v>66.333333333333329</v>
      </c>
      <c r="AG46" s="7">
        <v>53.833333333333343</v>
      </c>
      <c r="AH46" s="7">
        <v>54.2</v>
      </c>
      <c r="AI46" s="7" t="s">
        <v>47</v>
      </c>
      <c r="AJ46" s="7">
        <f t="shared" si="11"/>
        <v>37.133333333333304</v>
      </c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 spans="1:46" x14ac:dyDescent="0.25">
      <c r="A47" s="7" t="s">
        <v>94</v>
      </c>
      <c r="B47" s="7" t="s">
        <v>40</v>
      </c>
      <c r="C47" s="7">
        <v>63.911000000000001</v>
      </c>
      <c r="D47" s="7">
        <v>139.33099999999999</v>
      </c>
      <c r="E47" s="7">
        <v>91.802000000000007</v>
      </c>
      <c r="F47" s="7">
        <v>76.703000000000003</v>
      </c>
      <c r="G47" s="8">
        <v>1</v>
      </c>
      <c r="H47" s="7">
        <v>50</v>
      </c>
      <c r="I47" s="7" t="s">
        <v>41</v>
      </c>
      <c r="J47" s="7"/>
      <c r="K47" s="7">
        <v>119.069</v>
      </c>
      <c r="L47" s="7">
        <f t="shared" si="13"/>
        <v>-27.266999999999996</v>
      </c>
      <c r="M47" s="7">
        <f t="shared" si="14"/>
        <v>59.233000000000004</v>
      </c>
      <c r="N47" s="7">
        <v>32.569000000000003</v>
      </c>
      <c r="O47" s="7">
        <v>129.90922399999999</v>
      </c>
      <c r="P47" s="7"/>
      <c r="Q47" s="7">
        <v>0</v>
      </c>
      <c r="R47" s="7">
        <v>33.748200000000033</v>
      </c>
      <c r="S47" s="7"/>
      <c r="T47" s="7"/>
      <c r="U47" s="7">
        <f t="shared" si="15"/>
        <v>11.8466</v>
      </c>
      <c r="V47" s="4"/>
      <c r="W47" s="4"/>
      <c r="X47" s="7"/>
      <c r="Y47" s="7">
        <f t="shared" si="16"/>
        <v>20.289401516046798</v>
      </c>
      <c r="Z47" s="7">
        <f t="shared" si="17"/>
        <v>20.289401516046798</v>
      </c>
      <c r="AA47" s="7">
        <v>22.8338</v>
      </c>
      <c r="AB47" s="7">
        <v>23.579799999999999</v>
      </c>
      <c r="AC47" s="7">
        <v>19.018599999999999</v>
      </c>
      <c r="AD47" s="7">
        <v>19.779399999999999</v>
      </c>
      <c r="AE47" s="7">
        <v>20.9544</v>
      </c>
      <c r="AF47" s="7">
        <v>22.292999999999999</v>
      </c>
      <c r="AG47" s="7">
        <v>25.291166666666669</v>
      </c>
      <c r="AH47" s="7">
        <v>11.3508</v>
      </c>
      <c r="AI47" s="7"/>
      <c r="AJ47" s="7">
        <f t="shared" si="11"/>
        <v>0</v>
      </c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 spans="1:46" x14ac:dyDescent="0.25">
      <c r="A48" s="7" t="s">
        <v>95</v>
      </c>
      <c r="B48" s="7" t="s">
        <v>40</v>
      </c>
      <c r="C48" s="7">
        <v>411.59800000000001</v>
      </c>
      <c r="D48" s="7">
        <v>816.63099999999997</v>
      </c>
      <c r="E48" s="7">
        <v>582.40200000000004</v>
      </c>
      <c r="F48" s="7">
        <v>456.65800000000002</v>
      </c>
      <c r="G48" s="8">
        <v>1</v>
      </c>
      <c r="H48" s="7">
        <v>50</v>
      </c>
      <c r="I48" s="7" t="s">
        <v>41</v>
      </c>
      <c r="J48" s="7"/>
      <c r="K48" s="7">
        <v>673.78300000000002</v>
      </c>
      <c r="L48" s="7">
        <f t="shared" si="13"/>
        <v>-91.380999999999972</v>
      </c>
      <c r="M48" s="7">
        <f t="shared" si="14"/>
        <v>462.91900000000004</v>
      </c>
      <c r="N48" s="7">
        <v>119.483</v>
      </c>
      <c r="O48" s="7">
        <v>383.61045175833311</v>
      </c>
      <c r="P48" s="7">
        <v>197.0514</v>
      </c>
      <c r="Q48" s="7">
        <v>0</v>
      </c>
      <c r="R48" s="7">
        <v>117.60956</v>
      </c>
      <c r="S48" s="7">
        <v>100</v>
      </c>
      <c r="T48" s="7"/>
      <c r="U48" s="7">
        <f t="shared" si="15"/>
        <v>92.583800000000011</v>
      </c>
      <c r="V48" s="4"/>
      <c r="W48" s="4"/>
      <c r="X48" s="7"/>
      <c r="Y48" s="7">
        <f t="shared" si="16"/>
        <v>13.554524784663551</v>
      </c>
      <c r="Z48" s="7">
        <f t="shared" si="17"/>
        <v>13.554524784663551</v>
      </c>
      <c r="AA48" s="7">
        <v>103.6236</v>
      </c>
      <c r="AB48" s="7">
        <v>104.26</v>
      </c>
      <c r="AC48" s="7">
        <v>94.624799999999993</v>
      </c>
      <c r="AD48" s="7">
        <v>82.347399999999993</v>
      </c>
      <c r="AE48" s="7">
        <v>89.943399999999983</v>
      </c>
      <c r="AF48" s="7">
        <v>92.93983333333334</v>
      </c>
      <c r="AG48" s="7">
        <v>118.5981666666667</v>
      </c>
      <c r="AH48" s="7">
        <v>107.2774</v>
      </c>
      <c r="AI48" s="7"/>
      <c r="AJ48" s="7">
        <f t="shared" si="11"/>
        <v>0</v>
      </c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 spans="1:46" x14ac:dyDescent="0.25">
      <c r="A49" s="7" t="s">
        <v>96</v>
      </c>
      <c r="B49" s="7" t="s">
        <v>40</v>
      </c>
      <c r="C49" s="7"/>
      <c r="D49" s="7">
        <v>210.58</v>
      </c>
      <c r="E49" s="7"/>
      <c r="F49" s="7">
        <v>210.58</v>
      </c>
      <c r="G49" s="8">
        <v>1</v>
      </c>
      <c r="H49" s="7">
        <v>40</v>
      </c>
      <c r="I49" s="7" t="s">
        <v>41</v>
      </c>
      <c r="J49" s="7"/>
      <c r="K49" s="7"/>
      <c r="L49" s="7">
        <f t="shared" si="13"/>
        <v>0</v>
      </c>
      <c r="M49" s="7">
        <f t="shared" si="14"/>
        <v>0</v>
      </c>
      <c r="N49" s="7"/>
      <c r="O49" s="7">
        <v>0</v>
      </c>
      <c r="P49" s="7"/>
      <c r="Q49" s="7">
        <v>0</v>
      </c>
      <c r="R49" s="7">
        <v>0</v>
      </c>
      <c r="S49" s="7"/>
      <c r="T49" s="7"/>
      <c r="U49" s="7">
        <f t="shared" si="15"/>
        <v>0</v>
      </c>
      <c r="V49" s="4"/>
      <c r="W49" s="4"/>
      <c r="X49" s="7"/>
      <c r="Y49" s="7" t="e">
        <f t="shared" si="16"/>
        <v>#DIV/0!</v>
      </c>
      <c r="Z49" s="7" t="e">
        <f t="shared" si="17"/>
        <v>#DIV/0!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 t="s">
        <v>76</v>
      </c>
      <c r="AJ49" s="7">
        <f t="shared" si="11"/>
        <v>0</v>
      </c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spans="1:46" x14ac:dyDescent="0.25">
      <c r="A50" s="22" t="s">
        <v>97</v>
      </c>
      <c r="B50" s="22" t="s">
        <v>46</v>
      </c>
      <c r="C50" s="22">
        <v>23</v>
      </c>
      <c r="D50" s="22"/>
      <c r="E50" s="22">
        <v>16</v>
      </c>
      <c r="F50" s="22">
        <v>-41</v>
      </c>
      <c r="G50" s="23">
        <v>0.45</v>
      </c>
      <c r="H50" s="22"/>
      <c r="I50" s="22" t="s">
        <v>41</v>
      </c>
      <c r="J50" s="22"/>
      <c r="K50" s="22">
        <v>29</v>
      </c>
      <c r="L50" s="22">
        <f t="shared" si="13"/>
        <v>-13</v>
      </c>
      <c r="M50" s="22">
        <f t="shared" si="14"/>
        <v>16</v>
      </c>
      <c r="N50" s="22"/>
      <c r="O50" s="22"/>
      <c r="P50" s="22"/>
      <c r="Q50" s="22">
        <v>0</v>
      </c>
      <c r="R50" s="22">
        <v>300</v>
      </c>
      <c r="S50" s="22">
        <v>100</v>
      </c>
      <c r="T50" s="22"/>
      <c r="U50" s="22">
        <f t="shared" si="15"/>
        <v>3.2</v>
      </c>
      <c r="V50" s="24">
        <v>400</v>
      </c>
      <c r="W50" s="24"/>
      <c r="X50" s="22"/>
      <c r="Y50" s="22">
        <f t="shared" si="16"/>
        <v>237.1875</v>
      </c>
      <c r="Z50" s="22">
        <f t="shared" si="17"/>
        <v>112.1875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 t="s">
        <v>98</v>
      </c>
      <c r="AJ50" s="22">
        <f t="shared" si="11"/>
        <v>180</v>
      </c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 spans="1:46" x14ac:dyDescent="0.25">
      <c r="A51" s="7" t="s">
        <v>99</v>
      </c>
      <c r="B51" s="7" t="s">
        <v>46</v>
      </c>
      <c r="C51" s="7">
        <v>267</v>
      </c>
      <c r="D51" s="7">
        <v>520</v>
      </c>
      <c r="E51" s="7">
        <v>376</v>
      </c>
      <c r="F51" s="7">
        <v>387</v>
      </c>
      <c r="G51" s="8">
        <v>0.45</v>
      </c>
      <c r="H51" s="7">
        <v>50</v>
      </c>
      <c r="I51" s="7" t="s">
        <v>41</v>
      </c>
      <c r="J51" s="7"/>
      <c r="K51" s="7">
        <v>392</v>
      </c>
      <c r="L51" s="7">
        <f t="shared" si="13"/>
        <v>-16</v>
      </c>
      <c r="M51" s="7">
        <f t="shared" si="14"/>
        <v>366</v>
      </c>
      <c r="N51" s="7">
        <v>10</v>
      </c>
      <c r="O51" s="7">
        <v>0</v>
      </c>
      <c r="P51" s="7">
        <v>99.791999999999987</v>
      </c>
      <c r="Q51" s="7">
        <v>0</v>
      </c>
      <c r="R51" s="7">
        <v>213.41799999999981</v>
      </c>
      <c r="S51" s="7">
        <v>100</v>
      </c>
      <c r="T51" s="7">
        <v>100</v>
      </c>
      <c r="U51" s="7">
        <f t="shared" si="15"/>
        <v>73.2</v>
      </c>
      <c r="V51" s="4"/>
      <c r="W51" s="4"/>
      <c r="X51" s="7"/>
      <c r="Y51" s="7">
        <f t="shared" si="16"/>
        <v>12.297950819672128</v>
      </c>
      <c r="Z51" s="7">
        <f t="shared" si="17"/>
        <v>12.297950819672128</v>
      </c>
      <c r="AA51" s="7">
        <v>77.599999999999994</v>
      </c>
      <c r="AB51" s="7">
        <v>52.8</v>
      </c>
      <c r="AC51" s="7">
        <v>65.400000000000006</v>
      </c>
      <c r="AD51" s="7">
        <v>59.6</v>
      </c>
      <c r="AE51" s="7">
        <v>40.200000000000003</v>
      </c>
      <c r="AF51" s="7">
        <v>41.5</v>
      </c>
      <c r="AG51" s="7">
        <v>56.666666666666657</v>
      </c>
      <c r="AH51" s="7">
        <v>60.4</v>
      </c>
      <c r="AI51" s="7" t="s">
        <v>47</v>
      </c>
      <c r="AJ51" s="7">
        <f t="shared" si="11"/>
        <v>0</v>
      </c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 spans="1:46" x14ac:dyDescent="0.25">
      <c r="A52" s="11" t="s">
        <v>100</v>
      </c>
      <c r="B52" s="11" t="s">
        <v>46</v>
      </c>
      <c r="C52" s="11">
        <v>3</v>
      </c>
      <c r="D52" s="11"/>
      <c r="E52" s="11"/>
      <c r="F52" s="11">
        <v>-18</v>
      </c>
      <c r="G52" s="12">
        <v>0</v>
      </c>
      <c r="H52" s="11" t="e">
        <v>#N/A</v>
      </c>
      <c r="I52" s="11" t="s">
        <v>64</v>
      </c>
      <c r="J52" s="11"/>
      <c r="K52" s="11">
        <v>4</v>
      </c>
      <c r="L52" s="11">
        <f t="shared" si="13"/>
        <v>-4</v>
      </c>
      <c r="M52" s="11">
        <f t="shared" si="14"/>
        <v>0</v>
      </c>
      <c r="N52" s="11"/>
      <c r="O52" s="11">
        <v>0</v>
      </c>
      <c r="P52" s="11"/>
      <c r="Q52" s="11">
        <v>0</v>
      </c>
      <c r="R52" s="11">
        <v>0</v>
      </c>
      <c r="S52" s="11"/>
      <c r="T52" s="11"/>
      <c r="U52" s="11">
        <f t="shared" si="15"/>
        <v>0</v>
      </c>
      <c r="V52" s="13"/>
      <c r="W52" s="13"/>
      <c r="X52" s="11"/>
      <c r="Y52" s="11" t="e">
        <f t="shared" si="16"/>
        <v>#DIV/0!</v>
      </c>
      <c r="Z52" s="11" t="e">
        <f t="shared" si="17"/>
        <v>#DIV/0!</v>
      </c>
      <c r="AA52" s="11">
        <v>0.2</v>
      </c>
      <c r="AB52" s="11">
        <v>0.2</v>
      </c>
      <c r="AC52" s="11">
        <v>1.4</v>
      </c>
      <c r="AD52" s="11">
        <v>3.2</v>
      </c>
      <c r="AE52" s="11">
        <v>4</v>
      </c>
      <c r="AF52" s="11">
        <v>3.5</v>
      </c>
      <c r="AG52" s="11">
        <v>3.5</v>
      </c>
      <c r="AH52" s="11">
        <v>0</v>
      </c>
      <c r="AI52" s="11"/>
      <c r="AJ52" s="11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 spans="1:46" x14ac:dyDescent="0.25">
      <c r="A53" s="7" t="s">
        <v>101</v>
      </c>
      <c r="B53" s="7" t="s">
        <v>46</v>
      </c>
      <c r="C53" s="7">
        <v>89</v>
      </c>
      <c r="D53" s="7">
        <v>81</v>
      </c>
      <c r="E53" s="7">
        <v>65</v>
      </c>
      <c r="F53" s="7">
        <v>83</v>
      </c>
      <c r="G53" s="8">
        <v>0.4</v>
      </c>
      <c r="H53" s="7">
        <v>40</v>
      </c>
      <c r="I53" s="7" t="s">
        <v>41</v>
      </c>
      <c r="J53" s="7"/>
      <c r="K53" s="7">
        <v>86</v>
      </c>
      <c r="L53" s="7">
        <f t="shared" si="13"/>
        <v>-21</v>
      </c>
      <c r="M53" s="7">
        <f t="shared" si="14"/>
        <v>65</v>
      </c>
      <c r="N53" s="7"/>
      <c r="O53" s="7">
        <v>0</v>
      </c>
      <c r="P53" s="7"/>
      <c r="Q53" s="7">
        <v>0</v>
      </c>
      <c r="R53" s="7">
        <v>0</v>
      </c>
      <c r="S53" s="7"/>
      <c r="T53" s="7"/>
      <c r="U53" s="7">
        <f t="shared" si="15"/>
        <v>13</v>
      </c>
      <c r="V53" s="4">
        <f t="shared" ref="V53:V70" si="18">12*U53-T53-S53-R53-P53-O53-F53</f>
        <v>73</v>
      </c>
      <c r="W53" s="4"/>
      <c r="X53" s="7"/>
      <c r="Y53" s="7">
        <f t="shared" si="16"/>
        <v>12</v>
      </c>
      <c r="Z53" s="7">
        <f t="shared" si="17"/>
        <v>6.384615384615385</v>
      </c>
      <c r="AA53" s="7">
        <v>7.2</v>
      </c>
      <c r="AB53" s="7">
        <v>4.5999999999999996</v>
      </c>
      <c r="AC53" s="7">
        <v>13</v>
      </c>
      <c r="AD53" s="7">
        <v>15</v>
      </c>
      <c r="AE53" s="7">
        <v>14.2</v>
      </c>
      <c r="AF53" s="7">
        <v>8.8333333333333339</v>
      </c>
      <c r="AG53" s="7">
        <v>7.833333333333333</v>
      </c>
      <c r="AH53" s="7">
        <v>10.6</v>
      </c>
      <c r="AI53" s="7"/>
      <c r="AJ53" s="7">
        <f t="shared" ref="AJ53:AJ71" si="19">G53*V53</f>
        <v>29.200000000000003</v>
      </c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 spans="1:46" x14ac:dyDescent="0.25">
      <c r="A54" s="19" t="s">
        <v>102</v>
      </c>
      <c r="B54" s="19" t="s">
        <v>46</v>
      </c>
      <c r="C54" s="19">
        <v>23</v>
      </c>
      <c r="D54" s="19">
        <v>77</v>
      </c>
      <c r="E54" s="19">
        <v>35</v>
      </c>
      <c r="F54" s="19">
        <v>59</v>
      </c>
      <c r="G54" s="20">
        <v>0.4</v>
      </c>
      <c r="H54" s="19">
        <v>40</v>
      </c>
      <c r="I54" s="19" t="s">
        <v>41</v>
      </c>
      <c r="J54" s="19"/>
      <c r="K54" s="19">
        <v>46</v>
      </c>
      <c r="L54" s="19">
        <f t="shared" si="13"/>
        <v>-11</v>
      </c>
      <c r="M54" s="19">
        <f t="shared" si="14"/>
        <v>35</v>
      </c>
      <c r="N54" s="19"/>
      <c r="O54" s="19">
        <v>150.6</v>
      </c>
      <c r="P54" s="19"/>
      <c r="Q54" s="19">
        <v>0</v>
      </c>
      <c r="R54" s="19">
        <v>0</v>
      </c>
      <c r="S54" s="19"/>
      <c r="T54" s="19"/>
      <c r="U54" s="19">
        <f t="shared" si="15"/>
        <v>7</v>
      </c>
      <c r="V54" s="21"/>
      <c r="W54" s="21"/>
      <c r="X54" s="19"/>
      <c r="Y54" s="19">
        <f t="shared" si="16"/>
        <v>29.942857142857143</v>
      </c>
      <c r="Z54" s="19">
        <f t="shared" si="17"/>
        <v>29.942857142857143</v>
      </c>
      <c r="AA54" s="19">
        <v>17.8</v>
      </c>
      <c r="AB54" s="19">
        <v>22.4</v>
      </c>
      <c r="AC54" s="19">
        <v>13.8</v>
      </c>
      <c r="AD54" s="19">
        <v>10.199999999999999</v>
      </c>
      <c r="AE54" s="19">
        <v>16</v>
      </c>
      <c r="AF54" s="19">
        <v>16</v>
      </c>
      <c r="AG54" s="19">
        <v>12.33333333333333</v>
      </c>
      <c r="AH54" s="19">
        <v>9.8000000000000007</v>
      </c>
      <c r="AI54" s="19" t="s">
        <v>103</v>
      </c>
      <c r="AJ54" s="19">
        <f t="shared" si="19"/>
        <v>0</v>
      </c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 spans="1:46" x14ac:dyDescent="0.25">
      <c r="A55" s="7" t="s">
        <v>104</v>
      </c>
      <c r="B55" s="7" t="s">
        <v>40</v>
      </c>
      <c r="C55" s="7">
        <v>44.438000000000002</v>
      </c>
      <c r="D55" s="7">
        <v>279.09100000000001</v>
      </c>
      <c r="E55" s="7">
        <v>62.484999999999999</v>
      </c>
      <c r="F55" s="7">
        <v>212.65299999999999</v>
      </c>
      <c r="G55" s="8">
        <v>1</v>
      </c>
      <c r="H55" s="7">
        <v>50</v>
      </c>
      <c r="I55" s="7" t="s">
        <v>41</v>
      </c>
      <c r="J55" s="7"/>
      <c r="K55" s="7">
        <v>111.782</v>
      </c>
      <c r="L55" s="7">
        <f t="shared" si="13"/>
        <v>-49.296999999999997</v>
      </c>
      <c r="M55" s="7">
        <f t="shared" si="14"/>
        <v>51.902999999999999</v>
      </c>
      <c r="N55" s="7">
        <v>10.582000000000001</v>
      </c>
      <c r="O55" s="7">
        <v>286.52830000000012</v>
      </c>
      <c r="P55" s="7"/>
      <c r="Q55" s="7">
        <v>0</v>
      </c>
      <c r="R55" s="7">
        <v>0</v>
      </c>
      <c r="S55" s="7"/>
      <c r="T55" s="7"/>
      <c r="U55" s="7">
        <f t="shared" si="15"/>
        <v>10.380599999999999</v>
      </c>
      <c r="V55" s="4"/>
      <c r="W55" s="4"/>
      <c r="X55" s="7"/>
      <c r="Y55" s="7">
        <f t="shared" si="16"/>
        <v>48.087904360056271</v>
      </c>
      <c r="Z55" s="7">
        <f t="shared" si="17"/>
        <v>48.087904360056271</v>
      </c>
      <c r="AA55" s="7">
        <v>20.147600000000001</v>
      </c>
      <c r="AB55" s="7">
        <v>41.025399999999998</v>
      </c>
      <c r="AC55" s="7">
        <v>40.353400000000001</v>
      </c>
      <c r="AD55" s="7">
        <v>10.4498</v>
      </c>
      <c r="AE55" s="7">
        <v>19.356200000000001</v>
      </c>
      <c r="AF55" s="7">
        <v>39.077166666666663</v>
      </c>
      <c r="AG55" s="7">
        <v>52.681666666666672</v>
      </c>
      <c r="AH55" s="7">
        <v>34.299999999999997</v>
      </c>
      <c r="AI55" s="7"/>
      <c r="AJ55" s="7">
        <f t="shared" si="19"/>
        <v>0</v>
      </c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 spans="1:46" x14ac:dyDescent="0.25">
      <c r="A56" s="7" t="s">
        <v>105</v>
      </c>
      <c r="B56" s="7" t="s">
        <v>46</v>
      </c>
      <c r="C56" s="7">
        <v>86</v>
      </c>
      <c r="D56" s="7">
        <v>83</v>
      </c>
      <c r="E56" s="7">
        <v>99</v>
      </c>
      <c r="F56" s="7">
        <v>78</v>
      </c>
      <c r="G56" s="8">
        <v>0.1</v>
      </c>
      <c r="H56" s="7">
        <v>730</v>
      </c>
      <c r="I56" s="7" t="s">
        <v>41</v>
      </c>
      <c r="J56" s="7"/>
      <c r="K56" s="7">
        <v>106</v>
      </c>
      <c r="L56" s="7">
        <f t="shared" si="13"/>
        <v>-7</v>
      </c>
      <c r="M56" s="7">
        <f t="shared" si="14"/>
        <v>99</v>
      </c>
      <c r="N56" s="7"/>
      <c r="O56" s="7">
        <v>46.400000000000027</v>
      </c>
      <c r="P56" s="7"/>
      <c r="Q56" s="7">
        <v>0</v>
      </c>
      <c r="R56" s="7">
        <v>80.600000000000023</v>
      </c>
      <c r="S56" s="7"/>
      <c r="T56" s="7"/>
      <c r="U56" s="7">
        <f t="shared" si="15"/>
        <v>19.8</v>
      </c>
      <c r="V56" s="4">
        <f t="shared" si="18"/>
        <v>32.599999999999966</v>
      </c>
      <c r="W56" s="4"/>
      <c r="X56" s="7"/>
      <c r="Y56" s="7">
        <f t="shared" si="16"/>
        <v>12</v>
      </c>
      <c r="Z56" s="7">
        <f t="shared" si="17"/>
        <v>10.353535353535356</v>
      </c>
      <c r="AA56" s="7">
        <v>21.6</v>
      </c>
      <c r="AB56" s="7">
        <v>17.8</v>
      </c>
      <c r="AC56" s="7">
        <v>19.2</v>
      </c>
      <c r="AD56" s="7">
        <v>17.8</v>
      </c>
      <c r="AE56" s="7">
        <v>17</v>
      </c>
      <c r="AF56" s="7">
        <v>12.33333333333333</v>
      </c>
      <c r="AG56" s="7">
        <v>10</v>
      </c>
      <c r="AH56" s="7">
        <v>15.2</v>
      </c>
      <c r="AI56" s="7"/>
      <c r="AJ56" s="7">
        <f t="shared" si="19"/>
        <v>3.2599999999999967</v>
      </c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 spans="1:46" x14ac:dyDescent="0.25">
      <c r="A57" s="7" t="s">
        <v>106</v>
      </c>
      <c r="B57" s="7" t="s">
        <v>40</v>
      </c>
      <c r="C57" s="7">
        <v>2146.5810000000001</v>
      </c>
      <c r="D57" s="7">
        <v>291.45999999999998</v>
      </c>
      <c r="E57" s="7">
        <v>677.48099999999999</v>
      </c>
      <c r="F57" s="7">
        <v>1471.836</v>
      </c>
      <c r="G57" s="8">
        <v>1</v>
      </c>
      <c r="H57" s="7">
        <v>50</v>
      </c>
      <c r="I57" s="7" t="s">
        <v>41</v>
      </c>
      <c r="J57" s="7"/>
      <c r="K57" s="7">
        <v>791.71500000000003</v>
      </c>
      <c r="L57" s="7">
        <f t="shared" si="13"/>
        <v>-114.23400000000004</v>
      </c>
      <c r="M57" s="7">
        <f t="shared" si="14"/>
        <v>538.36599999999999</v>
      </c>
      <c r="N57" s="7">
        <v>139.11500000000001</v>
      </c>
      <c r="O57" s="7">
        <v>0</v>
      </c>
      <c r="P57" s="7">
        <v>212.52823199999989</v>
      </c>
      <c r="Q57" s="7">
        <v>0</v>
      </c>
      <c r="R57" s="7">
        <v>0</v>
      </c>
      <c r="S57" s="7"/>
      <c r="T57" s="7"/>
      <c r="U57" s="7">
        <f t="shared" si="15"/>
        <v>107.67319999999999</v>
      </c>
      <c r="V57" s="4"/>
      <c r="W57" s="4"/>
      <c r="X57" s="7"/>
      <c r="Y57" s="7">
        <f t="shared" si="16"/>
        <v>15.643300579902892</v>
      </c>
      <c r="Z57" s="7">
        <f t="shared" si="17"/>
        <v>15.643300579902892</v>
      </c>
      <c r="AA57" s="7">
        <v>101.3832</v>
      </c>
      <c r="AB57" s="7">
        <v>112.44880000000001</v>
      </c>
      <c r="AC57" s="7">
        <v>109.3276</v>
      </c>
      <c r="AD57" s="7">
        <v>108.7816</v>
      </c>
      <c r="AE57" s="7">
        <v>126.9586</v>
      </c>
      <c r="AF57" s="7">
        <v>239.49199999999999</v>
      </c>
      <c r="AG57" s="7">
        <v>312.97966666666667</v>
      </c>
      <c r="AH57" s="7">
        <v>156.31059999999999</v>
      </c>
      <c r="AI57" s="26" t="s">
        <v>60</v>
      </c>
      <c r="AJ57" s="7">
        <f t="shared" si="19"/>
        <v>0</v>
      </c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 spans="1:46" x14ac:dyDescent="0.25">
      <c r="A58" s="7" t="s">
        <v>107</v>
      </c>
      <c r="B58" s="7" t="s">
        <v>40</v>
      </c>
      <c r="C58" s="7">
        <v>76.597999999999999</v>
      </c>
      <c r="D58" s="7">
        <v>43.502000000000002</v>
      </c>
      <c r="E58" s="7">
        <v>69.8</v>
      </c>
      <c r="F58" s="7">
        <v>28.422999999999998</v>
      </c>
      <c r="G58" s="8">
        <v>1</v>
      </c>
      <c r="H58" s="7">
        <v>50</v>
      </c>
      <c r="I58" s="7" t="s">
        <v>41</v>
      </c>
      <c r="J58" s="7"/>
      <c r="K58" s="7">
        <v>87.876999999999995</v>
      </c>
      <c r="L58" s="7">
        <f t="shared" si="13"/>
        <v>-18.076999999999998</v>
      </c>
      <c r="M58" s="7">
        <f t="shared" si="14"/>
        <v>47.923000000000002</v>
      </c>
      <c r="N58" s="7">
        <v>21.876999999999999</v>
      </c>
      <c r="O58" s="7">
        <v>0</v>
      </c>
      <c r="P58" s="7"/>
      <c r="Q58" s="7">
        <v>0</v>
      </c>
      <c r="R58" s="7">
        <v>0</v>
      </c>
      <c r="S58" s="7"/>
      <c r="T58" s="7"/>
      <c r="U58" s="7">
        <f t="shared" si="15"/>
        <v>9.5846</v>
      </c>
      <c r="V58" s="4">
        <f>11*U58-T58-S58-R58-P58-O58-F58</f>
        <v>77.007599999999996</v>
      </c>
      <c r="W58" s="4"/>
      <c r="X58" s="7"/>
      <c r="Y58" s="7">
        <f t="shared" si="16"/>
        <v>11</v>
      </c>
      <c r="Z58" s="7">
        <f t="shared" si="17"/>
        <v>2.9654863009410928</v>
      </c>
      <c r="AA58" s="7">
        <v>4.6268000000000011</v>
      </c>
      <c r="AB58" s="7">
        <v>4.5885999999999996</v>
      </c>
      <c r="AC58" s="7">
        <v>4.5982000000000003</v>
      </c>
      <c r="AD58" s="7">
        <v>9.7219999999999995</v>
      </c>
      <c r="AE58" s="7">
        <v>10.9636</v>
      </c>
      <c r="AF58" s="7">
        <v>5.243666666666666</v>
      </c>
      <c r="AG58" s="7">
        <v>8.0398333333333341</v>
      </c>
      <c r="AH58" s="7">
        <v>9.7560000000000002</v>
      </c>
      <c r="AI58" s="7" t="s">
        <v>108</v>
      </c>
      <c r="AJ58" s="7">
        <f t="shared" si="19"/>
        <v>77.007599999999996</v>
      </c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 spans="1:46" x14ac:dyDescent="0.25">
      <c r="A59" s="7" t="s">
        <v>109</v>
      </c>
      <c r="B59" s="7" t="s">
        <v>46</v>
      </c>
      <c r="C59" s="7">
        <v>109</v>
      </c>
      <c r="D59" s="7">
        <v>40</v>
      </c>
      <c r="E59" s="7">
        <v>99</v>
      </c>
      <c r="F59" s="7">
        <v>57</v>
      </c>
      <c r="G59" s="8">
        <v>0.1</v>
      </c>
      <c r="H59" s="7">
        <v>730</v>
      </c>
      <c r="I59" s="7" t="s">
        <v>41</v>
      </c>
      <c r="J59" s="7"/>
      <c r="K59" s="7">
        <v>109</v>
      </c>
      <c r="L59" s="7">
        <f t="shared" si="13"/>
        <v>-10</v>
      </c>
      <c r="M59" s="7">
        <f t="shared" si="14"/>
        <v>99</v>
      </c>
      <c r="N59" s="7"/>
      <c r="O59" s="7">
        <v>63.599999999999987</v>
      </c>
      <c r="P59" s="7"/>
      <c r="Q59" s="7">
        <v>0</v>
      </c>
      <c r="R59" s="7">
        <v>95.799999999999983</v>
      </c>
      <c r="S59" s="7"/>
      <c r="T59" s="7"/>
      <c r="U59" s="7">
        <f t="shared" si="15"/>
        <v>19.8</v>
      </c>
      <c r="V59" s="4">
        <f t="shared" si="18"/>
        <v>21.200000000000045</v>
      </c>
      <c r="W59" s="4"/>
      <c r="X59" s="7"/>
      <c r="Y59" s="7">
        <f t="shared" si="16"/>
        <v>12</v>
      </c>
      <c r="Z59" s="7">
        <f t="shared" si="17"/>
        <v>10.929292929292927</v>
      </c>
      <c r="AA59" s="7">
        <v>22.4</v>
      </c>
      <c r="AB59" s="7">
        <v>17.600000000000001</v>
      </c>
      <c r="AC59" s="7">
        <v>17.399999999999999</v>
      </c>
      <c r="AD59" s="7">
        <v>19.8</v>
      </c>
      <c r="AE59" s="7">
        <v>19.8</v>
      </c>
      <c r="AF59" s="7">
        <v>12.33333333333333</v>
      </c>
      <c r="AG59" s="7">
        <v>10.83333333333333</v>
      </c>
      <c r="AH59" s="7">
        <v>16.600000000000001</v>
      </c>
      <c r="AI59" s="7"/>
      <c r="AJ59" s="7">
        <f t="shared" si="19"/>
        <v>2.1200000000000045</v>
      </c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 spans="1:46" x14ac:dyDescent="0.25">
      <c r="A60" s="7" t="s">
        <v>110</v>
      </c>
      <c r="B60" s="7" t="s">
        <v>46</v>
      </c>
      <c r="C60" s="7">
        <v>36</v>
      </c>
      <c r="D60" s="7">
        <v>220</v>
      </c>
      <c r="E60" s="7">
        <v>83</v>
      </c>
      <c r="F60" s="7">
        <v>173</v>
      </c>
      <c r="G60" s="8">
        <v>0.4</v>
      </c>
      <c r="H60" s="7">
        <v>50</v>
      </c>
      <c r="I60" s="7" t="s">
        <v>41</v>
      </c>
      <c r="J60" s="7"/>
      <c r="K60" s="7">
        <v>83</v>
      </c>
      <c r="L60" s="7">
        <f t="shared" si="13"/>
        <v>0</v>
      </c>
      <c r="M60" s="7">
        <f t="shared" si="14"/>
        <v>83</v>
      </c>
      <c r="N60" s="7"/>
      <c r="O60" s="7">
        <v>0</v>
      </c>
      <c r="P60" s="7"/>
      <c r="Q60" s="7">
        <v>0</v>
      </c>
      <c r="R60" s="7">
        <v>0</v>
      </c>
      <c r="S60" s="7"/>
      <c r="T60" s="7"/>
      <c r="U60" s="7">
        <f t="shared" si="15"/>
        <v>16.600000000000001</v>
      </c>
      <c r="V60" s="4">
        <f t="shared" si="18"/>
        <v>26.200000000000017</v>
      </c>
      <c r="W60" s="4"/>
      <c r="X60" s="7"/>
      <c r="Y60" s="7">
        <f t="shared" si="16"/>
        <v>12</v>
      </c>
      <c r="Z60" s="7">
        <f t="shared" si="17"/>
        <v>10.421686746987952</v>
      </c>
      <c r="AA60" s="7">
        <v>17.399999999999999</v>
      </c>
      <c r="AB60" s="7">
        <v>19.600000000000001</v>
      </c>
      <c r="AC60" s="7">
        <v>25</v>
      </c>
      <c r="AD60" s="7">
        <v>21.4</v>
      </c>
      <c r="AE60" s="7">
        <v>16.2</v>
      </c>
      <c r="AF60" s="7">
        <v>17.166666666666671</v>
      </c>
      <c r="AG60" s="7">
        <v>35.833333333333343</v>
      </c>
      <c r="AH60" s="7">
        <v>41.8</v>
      </c>
      <c r="AI60" s="7"/>
      <c r="AJ60" s="7">
        <f t="shared" si="19"/>
        <v>10.480000000000008</v>
      </c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spans="1:46" x14ac:dyDescent="0.25">
      <c r="A61" s="7" t="s">
        <v>111</v>
      </c>
      <c r="B61" s="7" t="s">
        <v>40</v>
      </c>
      <c r="C61" s="7">
        <v>-6.7709999999999999</v>
      </c>
      <c r="D61" s="7">
        <v>225.75</v>
      </c>
      <c r="E61" s="7">
        <v>46.393000000000001</v>
      </c>
      <c r="F61" s="7">
        <v>137.87799999999999</v>
      </c>
      <c r="G61" s="8">
        <v>1</v>
      </c>
      <c r="H61" s="7">
        <v>40</v>
      </c>
      <c r="I61" s="7" t="s">
        <v>41</v>
      </c>
      <c r="J61" s="7"/>
      <c r="K61" s="7">
        <v>93.9</v>
      </c>
      <c r="L61" s="7">
        <f t="shared" si="13"/>
        <v>-47.507000000000005</v>
      </c>
      <c r="M61" s="7">
        <f t="shared" si="14"/>
        <v>46.393000000000001</v>
      </c>
      <c r="N61" s="7"/>
      <c r="O61" s="7">
        <v>0</v>
      </c>
      <c r="P61" s="7"/>
      <c r="Q61" s="7">
        <v>0</v>
      </c>
      <c r="R61" s="7">
        <v>0</v>
      </c>
      <c r="S61" s="7"/>
      <c r="T61" s="7"/>
      <c r="U61" s="7">
        <f t="shared" si="15"/>
        <v>9.2786000000000008</v>
      </c>
      <c r="V61" s="4"/>
      <c r="W61" s="4"/>
      <c r="X61" s="7"/>
      <c r="Y61" s="7">
        <f t="shared" si="16"/>
        <v>14.859784881339854</v>
      </c>
      <c r="Z61" s="7">
        <f t="shared" si="17"/>
        <v>14.859784881339854</v>
      </c>
      <c r="AA61" s="7">
        <v>1.6348</v>
      </c>
      <c r="AB61" s="7">
        <v>3.501399999999999</v>
      </c>
      <c r="AC61" s="7">
        <v>17.515599999999999</v>
      </c>
      <c r="AD61" s="7">
        <v>17.064800000000002</v>
      </c>
      <c r="AE61" s="7">
        <v>12.2264</v>
      </c>
      <c r="AF61" s="7">
        <v>6.7670000000000003</v>
      </c>
      <c r="AG61" s="7">
        <v>16.099666666666671</v>
      </c>
      <c r="AH61" s="7">
        <v>10.4344</v>
      </c>
      <c r="AI61" s="7"/>
      <c r="AJ61" s="7">
        <f t="shared" si="19"/>
        <v>0</v>
      </c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spans="1:46" x14ac:dyDescent="0.25">
      <c r="A62" s="7" t="s">
        <v>112</v>
      </c>
      <c r="B62" s="7" t="s">
        <v>40</v>
      </c>
      <c r="C62" s="7">
        <v>-2.7909999999999999</v>
      </c>
      <c r="D62" s="7">
        <v>83.738</v>
      </c>
      <c r="E62" s="7">
        <v>5.6159999999999997</v>
      </c>
      <c r="F62" s="7">
        <v>48.122999999999998</v>
      </c>
      <c r="G62" s="8">
        <v>1</v>
      </c>
      <c r="H62" s="7">
        <v>40</v>
      </c>
      <c r="I62" s="7" t="s">
        <v>41</v>
      </c>
      <c r="J62" s="7"/>
      <c r="K62" s="7">
        <v>36.6</v>
      </c>
      <c r="L62" s="7">
        <f t="shared" si="13"/>
        <v>-30.984000000000002</v>
      </c>
      <c r="M62" s="7">
        <f t="shared" si="14"/>
        <v>5.6159999999999997</v>
      </c>
      <c r="N62" s="7"/>
      <c r="O62" s="7">
        <v>0</v>
      </c>
      <c r="P62" s="7"/>
      <c r="Q62" s="7">
        <v>0</v>
      </c>
      <c r="R62" s="7">
        <v>0</v>
      </c>
      <c r="S62" s="7"/>
      <c r="T62" s="7"/>
      <c r="U62" s="7">
        <f t="shared" si="15"/>
        <v>1.1232</v>
      </c>
      <c r="V62" s="4"/>
      <c r="W62" s="4"/>
      <c r="X62" s="7"/>
      <c r="Y62" s="7">
        <f t="shared" si="16"/>
        <v>42.844551282051277</v>
      </c>
      <c r="Z62" s="7">
        <f t="shared" si="17"/>
        <v>42.844551282051277</v>
      </c>
      <c r="AA62" s="7">
        <v>0.27339999999999998</v>
      </c>
      <c r="AB62" s="7">
        <v>1.0933999999999999</v>
      </c>
      <c r="AC62" s="7">
        <v>9.3277999999999999</v>
      </c>
      <c r="AD62" s="7">
        <v>6.0221999999999998</v>
      </c>
      <c r="AE62" s="7">
        <v>1.7558</v>
      </c>
      <c r="AF62" s="7">
        <v>1.2138333333333331</v>
      </c>
      <c r="AG62" s="7">
        <v>7.4118333333333331</v>
      </c>
      <c r="AH62" s="7">
        <v>7.2992000000000008</v>
      </c>
      <c r="AI62" s="7"/>
      <c r="AJ62" s="7">
        <f t="shared" si="19"/>
        <v>0</v>
      </c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 spans="1:46" x14ac:dyDescent="0.25">
      <c r="A63" s="7" t="s">
        <v>113</v>
      </c>
      <c r="B63" s="7" t="s">
        <v>46</v>
      </c>
      <c r="C63" s="7">
        <v>723</v>
      </c>
      <c r="D63" s="7">
        <v>902</v>
      </c>
      <c r="E63" s="7">
        <v>767</v>
      </c>
      <c r="F63" s="7">
        <v>637</v>
      </c>
      <c r="G63" s="8">
        <v>0.4</v>
      </c>
      <c r="H63" s="7">
        <v>40</v>
      </c>
      <c r="I63" s="7" t="s">
        <v>41</v>
      </c>
      <c r="J63" s="7"/>
      <c r="K63" s="7">
        <v>973</v>
      </c>
      <c r="L63" s="7">
        <f t="shared" si="13"/>
        <v>-206</v>
      </c>
      <c r="M63" s="7">
        <f t="shared" si="14"/>
        <v>569</v>
      </c>
      <c r="N63" s="7">
        <v>198</v>
      </c>
      <c r="O63" s="7">
        <v>0</v>
      </c>
      <c r="P63" s="7"/>
      <c r="Q63" s="7">
        <v>0</v>
      </c>
      <c r="R63" s="7">
        <v>99.573779999999942</v>
      </c>
      <c r="S63" s="7"/>
      <c r="T63" s="7"/>
      <c r="U63" s="7">
        <f t="shared" si="15"/>
        <v>113.8</v>
      </c>
      <c r="V63" s="4">
        <f t="shared" si="18"/>
        <v>629.02621999999997</v>
      </c>
      <c r="W63" s="4"/>
      <c r="X63" s="7"/>
      <c r="Y63" s="7">
        <f t="shared" si="16"/>
        <v>12</v>
      </c>
      <c r="Z63" s="7">
        <f t="shared" si="17"/>
        <v>6.4725288224956063</v>
      </c>
      <c r="AA63" s="7">
        <v>92.2</v>
      </c>
      <c r="AB63" s="7">
        <v>77.400000000000006</v>
      </c>
      <c r="AC63" s="7">
        <v>131</v>
      </c>
      <c r="AD63" s="7">
        <v>120.8</v>
      </c>
      <c r="AE63" s="7">
        <v>126.4</v>
      </c>
      <c r="AF63" s="7">
        <v>117.8333333333333</v>
      </c>
      <c r="AG63" s="7">
        <v>129.16666666666671</v>
      </c>
      <c r="AH63" s="7">
        <v>150.6</v>
      </c>
      <c r="AI63" s="7"/>
      <c r="AJ63" s="7">
        <f t="shared" si="19"/>
        <v>251.610488</v>
      </c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 spans="1:46" x14ac:dyDescent="0.25">
      <c r="A64" s="7" t="s">
        <v>114</v>
      </c>
      <c r="B64" s="7" t="s">
        <v>46</v>
      </c>
      <c r="C64" s="7">
        <v>503</v>
      </c>
      <c r="D64" s="7">
        <v>726</v>
      </c>
      <c r="E64" s="7">
        <v>556</v>
      </c>
      <c r="F64" s="7">
        <v>519</v>
      </c>
      <c r="G64" s="8">
        <v>0.4</v>
      </c>
      <c r="H64" s="7">
        <v>40</v>
      </c>
      <c r="I64" s="7" t="s">
        <v>41</v>
      </c>
      <c r="J64" s="7"/>
      <c r="K64" s="7">
        <v>706</v>
      </c>
      <c r="L64" s="7">
        <f t="shared" si="13"/>
        <v>-150</v>
      </c>
      <c r="M64" s="7">
        <f t="shared" si="14"/>
        <v>442</v>
      </c>
      <c r="N64" s="7">
        <v>114</v>
      </c>
      <c r="O64" s="7">
        <v>76.000780000000077</v>
      </c>
      <c r="P64" s="7"/>
      <c r="Q64" s="7">
        <v>0</v>
      </c>
      <c r="R64" s="7">
        <v>158.89921999999979</v>
      </c>
      <c r="S64" s="7">
        <v>150</v>
      </c>
      <c r="T64" s="7"/>
      <c r="U64" s="7">
        <f t="shared" si="15"/>
        <v>88.4</v>
      </c>
      <c r="V64" s="4">
        <f t="shared" si="18"/>
        <v>156.90000000000032</v>
      </c>
      <c r="W64" s="4"/>
      <c r="X64" s="7"/>
      <c r="Y64" s="7">
        <f t="shared" si="16"/>
        <v>12.000000000000002</v>
      </c>
      <c r="Z64" s="7">
        <f t="shared" si="17"/>
        <v>10.225113122171944</v>
      </c>
      <c r="AA64" s="7">
        <v>99.4</v>
      </c>
      <c r="AB64" s="7">
        <v>97.2</v>
      </c>
      <c r="AC64" s="7">
        <v>116.2</v>
      </c>
      <c r="AD64" s="7">
        <v>113.6</v>
      </c>
      <c r="AE64" s="7">
        <v>98.6</v>
      </c>
      <c r="AF64" s="7">
        <v>104.5</v>
      </c>
      <c r="AG64" s="7">
        <v>102.5</v>
      </c>
      <c r="AH64" s="7">
        <v>102.8</v>
      </c>
      <c r="AI64" s="7"/>
      <c r="AJ64" s="7">
        <f t="shared" si="19"/>
        <v>62.760000000000133</v>
      </c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 spans="1:46" x14ac:dyDescent="0.25">
      <c r="A65" s="7" t="s">
        <v>115</v>
      </c>
      <c r="B65" s="7" t="s">
        <v>40</v>
      </c>
      <c r="C65" s="7">
        <v>1126.847</v>
      </c>
      <c r="D65" s="7">
        <v>697.88800000000003</v>
      </c>
      <c r="E65" s="7">
        <v>565.95899999999995</v>
      </c>
      <c r="F65" s="7">
        <v>556.48500000000001</v>
      </c>
      <c r="G65" s="8">
        <v>1</v>
      </c>
      <c r="H65" s="7">
        <v>40</v>
      </c>
      <c r="I65" s="7" t="s">
        <v>41</v>
      </c>
      <c r="J65" s="7"/>
      <c r="K65" s="7">
        <v>901.822</v>
      </c>
      <c r="L65" s="7">
        <f t="shared" si="13"/>
        <v>-335.86300000000006</v>
      </c>
      <c r="M65" s="7">
        <f t="shared" si="14"/>
        <v>212.73699999999997</v>
      </c>
      <c r="N65" s="7">
        <v>353.22199999999998</v>
      </c>
      <c r="O65" s="7">
        <v>0</v>
      </c>
      <c r="P65" s="7"/>
      <c r="Q65" s="7">
        <v>0</v>
      </c>
      <c r="R65" s="7">
        <v>0</v>
      </c>
      <c r="S65" s="7"/>
      <c r="T65" s="7"/>
      <c r="U65" s="7">
        <f t="shared" si="15"/>
        <v>42.547399999999996</v>
      </c>
      <c r="V65" s="4"/>
      <c r="W65" s="4"/>
      <c r="X65" s="7"/>
      <c r="Y65" s="7">
        <f t="shared" si="16"/>
        <v>13.079177576068105</v>
      </c>
      <c r="Z65" s="7">
        <f t="shared" si="17"/>
        <v>13.079177576068105</v>
      </c>
      <c r="AA65" s="7">
        <v>58.177799999999998</v>
      </c>
      <c r="AB65" s="7">
        <v>30.534800000000011</v>
      </c>
      <c r="AC65" s="7">
        <v>39.278399999999998</v>
      </c>
      <c r="AD65" s="7">
        <v>69.317599999999999</v>
      </c>
      <c r="AE65" s="7">
        <v>54.402799999999992</v>
      </c>
      <c r="AF65" s="7">
        <v>109.66549999999999</v>
      </c>
      <c r="AG65" s="7">
        <v>227.04983333333331</v>
      </c>
      <c r="AH65" s="7">
        <v>231.61019999999999</v>
      </c>
      <c r="AI65" s="26" t="s">
        <v>60</v>
      </c>
      <c r="AJ65" s="7">
        <f t="shared" si="19"/>
        <v>0</v>
      </c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 spans="1:46" x14ac:dyDescent="0.25">
      <c r="A66" s="7" t="s">
        <v>116</v>
      </c>
      <c r="B66" s="7" t="s">
        <v>40</v>
      </c>
      <c r="C66" s="7">
        <v>76.203000000000003</v>
      </c>
      <c r="D66" s="7">
        <v>76.387</v>
      </c>
      <c r="E66" s="7">
        <v>71.597999999999999</v>
      </c>
      <c r="F66" s="7">
        <v>40.423000000000002</v>
      </c>
      <c r="G66" s="8">
        <v>1</v>
      </c>
      <c r="H66" s="7">
        <v>40</v>
      </c>
      <c r="I66" s="7" t="s">
        <v>41</v>
      </c>
      <c r="J66" s="7"/>
      <c r="K66" s="7">
        <v>86.548000000000002</v>
      </c>
      <c r="L66" s="7">
        <f t="shared" si="13"/>
        <v>-14.950000000000003</v>
      </c>
      <c r="M66" s="7">
        <f t="shared" si="14"/>
        <v>66.25</v>
      </c>
      <c r="N66" s="7">
        <v>5.3479999999999999</v>
      </c>
      <c r="O66" s="7">
        <v>81.532200000000003</v>
      </c>
      <c r="P66" s="7"/>
      <c r="Q66" s="7">
        <v>0</v>
      </c>
      <c r="R66" s="7">
        <v>62.451799999999992</v>
      </c>
      <c r="S66" s="7"/>
      <c r="T66" s="7"/>
      <c r="U66" s="7">
        <f t="shared" si="15"/>
        <v>13.25</v>
      </c>
      <c r="V66" s="4"/>
      <c r="W66" s="4"/>
      <c r="X66" s="7"/>
      <c r="Y66" s="7">
        <f t="shared" si="16"/>
        <v>13.917509433962262</v>
      </c>
      <c r="Z66" s="7">
        <f t="shared" si="17"/>
        <v>13.917509433962262</v>
      </c>
      <c r="AA66" s="7">
        <v>18.3294</v>
      </c>
      <c r="AB66" s="7">
        <v>16.819800000000001</v>
      </c>
      <c r="AC66" s="7">
        <v>14.057399999999999</v>
      </c>
      <c r="AD66" s="7">
        <v>0.18079999999999999</v>
      </c>
      <c r="AE66" s="7">
        <v>0.38140000000000002</v>
      </c>
      <c r="AF66" s="7">
        <v>17.063499999999991</v>
      </c>
      <c r="AG66" s="7">
        <v>22.588333333333331</v>
      </c>
      <c r="AH66" s="7">
        <v>19.980599999999999</v>
      </c>
      <c r="AI66" s="7"/>
      <c r="AJ66" s="7">
        <f t="shared" si="19"/>
        <v>0</v>
      </c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 spans="1:46" x14ac:dyDescent="0.25">
      <c r="A67" s="22" t="s">
        <v>117</v>
      </c>
      <c r="B67" s="22" t="s">
        <v>40</v>
      </c>
      <c r="C67" s="22"/>
      <c r="D67" s="22"/>
      <c r="E67" s="22"/>
      <c r="F67" s="22"/>
      <c r="G67" s="23">
        <v>1</v>
      </c>
      <c r="H67" s="22"/>
      <c r="I67" s="22" t="s">
        <v>41</v>
      </c>
      <c r="J67" s="22"/>
      <c r="K67" s="22">
        <v>75</v>
      </c>
      <c r="L67" s="22">
        <f t="shared" si="13"/>
        <v>-75</v>
      </c>
      <c r="M67" s="22">
        <f t="shared" si="14"/>
        <v>0</v>
      </c>
      <c r="N67" s="22"/>
      <c r="O67" s="22"/>
      <c r="P67" s="22"/>
      <c r="Q67" s="22">
        <v>0</v>
      </c>
      <c r="R67" s="22">
        <v>200</v>
      </c>
      <c r="S67" s="22">
        <v>100</v>
      </c>
      <c r="T67" s="22"/>
      <c r="U67" s="22">
        <f t="shared" si="15"/>
        <v>0</v>
      </c>
      <c r="V67" s="24">
        <v>300</v>
      </c>
      <c r="W67" s="24"/>
      <c r="X67" s="22"/>
      <c r="Y67" s="22" t="e">
        <f t="shared" si="16"/>
        <v>#DIV/0!</v>
      </c>
      <c r="Z67" s="22" t="e">
        <f t="shared" si="17"/>
        <v>#DIV/0!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 t="s">
        <v>98</v>
      </c>
      <c r="AJ67" s="22">
        <f t="shared" si="19"/>
        <v>300</v>
      </c>
      <c r="AK67" s="7"/>
      <c r="AL67" s="7"/>
      <c r="AM67" s="7"/>
      <c r="AN67" s="7"/>
      <c r="AO67" s="7"/>
      <c r="AP67" s="7"/>
      <c r="AQ67" s="7"/>
      <c r="AR67" s="7"/>
      <c r="AS67" s="7"/>
      <c r="AT67" s="7"/>
    </row>
    <row r="68" spans="1:46" x14ac:dyDescent="0.25">
      <c r="A68" s="7" t="s">
        <v>118</v>
      </c>
      <c r="B68" s="7" t="s">
        <v>40</v>
      </c>
      <c r="C68" s="7">
        <v>11.254</v>
      </c>
      <c r="D68" s="7">
        <v>141.06399999999999</v>
      </c>
      <c r="E68" s="7">
        <v>24.768999999999998</v>
      </c>
      <c r="F68" s="7">
        <v>47.320999999999998</v>
      </c>
      <c r="G68" s="8">
        <v>1</v>
      </c>
      <c r="H68" s="7">
        <v>40</v>
      </c>
      <c r="I68" s="7" t="s">
        <v>41</v>
      </c>
      <c r="J68" s="7"/>
      <c r="K68" s="7">
        <v>136.1</v>
      </c>
      <c r="L68" s="7">
        <f t="shared" si="13"/>
        <v>-111.33099999999999</v>
      </c>
      <c r="M68" s="7">
        <f t="shared" si="14"/>
        <v>24.768999999999998</v>
      </c>
      <c r="N68" s="7"/>
      <c r="O68" s="7">
        <v>79.261399999999995</v>
      </c>
      <c r="P68" s="7"/>
      <c r="Q68" s="7">
        <v>0</v>
      </c>
      <c r="R68" s="7">
        <v>0</v>
      </c>
      <c r="S68" s="7"/>
      <c r="T68" s="7"/>
      <c r="U68" s="7">
        <f t="shared" si="15"/>
        <v>4.9537999999999993</v>
      </c>
      <c r="V68" s="4"/>
      <c r="W68" s="4"/>
      <c r="X68" s="7"/>
      <c r="Y68" s="7">
        <f t="shared" si="16"/>
        <v>25.552585893657398</v>
      </c>
      <c r="Z68" s="7">
        <f t="shared" si="17"/>
        <v>25.552585893657398</v>
      </c>
      <c r="AA68" s="7">
        <v>12.133599999999999</v>
      </c>
      <c r="AB68" s="7">
        <v>12.494400000000001</v>
      </c>
      <c r="AC68" s="7">
        <v>10.131399999999999</v>
      </c>
      <c r="AD68" s="7">
        <v>17.514399999999998</v>
      </c>
      <c r="AE68" s="7">
        <v>14.438599999999999</v>
      </c>
      <c r="AF68" s="7">
        <v>23.942</v>
      </c>
      <c r="AG68" s="7">
        <v>21.972999999999999</v>
      </c>
      <c r="AH68" s="7">
        <v>19.435600000000001</v>
      </c>
      <c r="AI68" s="7"/>
      <c r="AJ68" s="7">
        <f t="shared" si="19"/>
        <v>0</v>
      </c>
      <c r="AK68" s="7"/>
      <c r="AL68" s="7"/>
      <c r="AM68" s="7"/>
      <c r="AN68" s="7"/>
      <c r="AO68" s="7"/>
      <c r="AP68" s="7"/>
      <c r="AQ68" s="7"/>
      <c r="AR68" s="7"/>
      <c r="AS68" s="7"/>
      <c r="AT68" s="7"/>
    </row>
    <row r="69" spans="1:46" x14ac:dyDescent="0.25">
      <c r="A69" s="7" t="s">
        <v>119</v>
      </c>
      <c r="B69" s="7" t="s">
        <v>40</v>
      </c>
      <c r="C69" s="7">
        <v>26.869</v>
      </c>
      <c r="D69" s="7">
        <v>156.39400000000001</v>
      </c>
      <c r="E69" s="7">
        <v>46.534999999999997</v>
      </c>
      <c r="F69" s="7">
        <v>128.11000000000001</v>
      </c>
      <c r="G69" s="8">
        <v>1</v>
      </c>
      <c r="H69" s="7">
        <v>30</v>
      </c>
      <c r="I69" s="7" t="s">
        <v>41</v>
      </c>
      <c r="J69" s="7"/>
      <c r="K69" s="7">
        <v>71.899000000000001</v>
      </c>
      <c r="L69" s="7">
        <f t="shared" si="13"/>
        <v>-25.364000000000004</v>
      </c>
      <c r="M69" s="7">
        <f t="shared" si="14"/>
        <v>46.534999999999997</v>
      </c>
      <c r="N69" s="7"/>
      <c r="O69" s="7">
        <v>58.904199999999989</v>
      </c>
      <c r="P69" s="7"/>
      <c r="Q69" s="7">
        <v>0</v>
      </c>
      <c r="R69" s="7">
        <v>0</v>
      </c>
      <c r="S69" s="7"/>
      <c r="T69" s="7"/>
      <c r="U69" s="7">
        <f t="shared" si="15"/>
        <v>9.3069999999999986</v>
      </c>
      <c r="V69" s="4"/>
      <c r="W69" s="4"/>
      <c r="X69" s="7"/>
      <c r="Y69" s="7">
        <f t="shared" si="16"/>
        <v>20.09392930052649</v>
      </c>
      <c r="Z69" s="7">
        <f t="shared" si="17"/>
        <v>20.09392930052649</v>
      </c>
      <c r="AA69" s="7">
        <v>10.391999999999999</v>
      </c>
      <c r="AB69" s="7">
        <v>19.0608</v>
      </c>
      <c r="AC69" s="7">
        <v>22.131</v>
      </c>
      <c r="AD69" s="7">
        <v>12.282</v>
      </c>
      <c r="AE69" s="7">
        <v>12.848599999999999</v>
      </c>
      <c r="AF69" s="7">
        <v>14.042999999999999</v>
      </c>
      <c r="AG69" s="7">
        <v>16.8095</v>
      </c>
      <c r="AH69" s="7">
        <v>9.7992000000000008</v>
      </c>
      <c r="AI69" s="7"/>
      <c r="AJ69" s="7">
        <f t="shared" si="19"/>
        <v>0</v>
      </c>
      <c r="AK69" s="7"/>
      <c r="AL69" s="7"/>
      <c r="AM69" s="7"/>
      <c r="AN69" s="7"/>
      <c r="AO69" s="7"/>
      <c r="AP69" s="7"/>
      <c r="AQ69" s="7"/>
      <c r="AR69" s="7"/>
      <c r="AS69" s="7"/>
      <c r="AT69" s="7"/>
    </row>
    <row r="70" spans="1:46" x14ac:dyDescent="0.25">
      <c r="A70" s="7" t="s">
        <v>120</v>
      </c>
      <c r="B70" s="7" t="s">
        <v>46</v>
      </c>
      <c r="C70" s="7">
        <v>243</v>
      </c>
      <c r="D70" s="7">
        <v>346</v>
      </c>
      <c r="E70" s="7">
        <v>314</v>
      </c>
      <c r="F70" s="7">
        <v>245</v>
      </c>
      <c r="G70" s="8">
        <v>0.6</v>
      </c>
      <c r="H70" s="7">
        <v>60</v>
      </c>
      <c r="I70" s="10" t="s">
        <v>92</v>
      </c>
      <c r="J70" s="7"/>
      <c r="K70" s="7">
        <v>352.4</v>
      </c>
      <c r="L70" s="7">
        <f t="shared" ref="L70:L101" si="20">E70-K70</f>
        <v>-38.399999999999977</v>
      </c>
      <c r="M70" s="7">
        <f t="shared" ref="M70:M101" si="21">E70-N70</f>
        <v>314</v>
      </c>
      <c r="N70" s="7"/>
      <c r="O70" s="7">
        <v>143.80000000000001</v>
      </c>
      <c r="P70" s="7"/>
      <c r="Q70" s="7">
        <v>0</v>
      </c>
      <c r="R70" s="7">
        <v>0</v>
      </c>
      <c r="S70" s="7"/>
      <c r="T70" s="7"/>
      <c r="U70" s="7">
        <f t="shared" ref="U70:U101" si="22">M70/5</f>
        <v>62.8</v>
      </c>
      <c r="V70" s="4">
        <f t="shared" si="18"/>
        <v>364.79999999999995</v>
      </c>
      <c r="W70" s="4"/>
      <c r="X70" s="7"/>
      <c r="Y70" s="7">
        <f t="shared" ref="Y70:Y101" si="23">(F70+O70+P70+R70+S70+T70+V70)/U70</f>
        <v>11.999999999999998</v>
      </c>
      <c r="Z70" s="7">
        <f t="shared" ref="Z70:Z101" si="24">(F70+O70+P70+R70+S70+T70)/U70</f>
        <v>6.1910828025477711</v>
      </c>
      <c r="AA70" s="7">
        <v>51.4</v>
      </c>
      <c r="AB70" s="7">
        <v>60.2</v>
      </c>
      <c r="AC70" s="7">
        <v>66.400000000000006</v>
      </c>
      <c r="AD70" s="7">
        <v>65.2</v>
      </c>
      <c r="AE70" s="7">
        <v>25</v>
      </c>
      <c r="AF70" s="7">
        <v>35.166666666666657</v>
      </c>
      <c r="AG70" s="7">
        <v>54.666666666666657</v>
      </c>
      <c r="AH70" s="7">
        <v>42.4</v>
      </c>
      <c r="AI70" s="7" t="s">
        <v>47</v>
      </c>
      <c r="AJ70" s="7">
        <f t="shared" si="19"/>
        <v>218.87999999999997</v>
      </c>
      <c r="AK70" s="7"/>
      <c r="AL70" s="7"/>
      <c r="AM70" s="7"/>
      <c r="AN70" s="7"/>
      <c r="AO70" s="7"/>
      <c r="AP70" s="7"/>
      <c r="AQ70" s="7"/>
      <c r="AR70" s="7"/>
      <c r="AS70" s="7"/>
      <c r="AT70" s="7"/>
    </row>
    <row r="71" spans="1:46" x14ac:dyDescent="0.25">
      <c r="A71" s="7" t="s">
        <v>121</v>
      </c>
      <c r="B71" s="7" t="s">
        <v>46</v>
      </c>
      <c r="C71" s="7">
        <v>226</v>
      </c>
      <c r="D71" s="7">
        <v>235</v>
      </c>
      <c r="E71" s="7">
        <v>89</v>
      </c>
      <c r="F71" s="7">
        <v>338</v>
      </c>
      <c r="G71" s="8">
        <v>0.6</v>
      </c>
      <c r="H71" s="7">
        <v>60</v>
      </c>
      <c r="I71" s="7" t="s">
        <v>41</v>
      </c>
      <c r="J71" s="7"/>
      <c r="K71" s="7">
        <v>125</v>
      </c>
      <c r="L71" s="7">
        <f t="shared" si="20"/>
        <v>-36</v>
      </c>
      <c r="M71" s="7">
        <f t="shared" si="21"/>
        <v>89</v>
      </c>
      <c r="N71" s="7"/>
      <c r="O71" s="7">
        <v>0</v>
      </c>
      <c r="P71" s="7"/>
      <c r="Q71" s="7">
        <v>0</v>
      </c>
      <c r="R71" s="7">
        <v>0</v>
      </c>
      <c r="S71" s="7"/>
      <c r="T71" s="7"/>
      <c r="U71" s="7">
        <f t="shared" si="22"/>
        <v>17.8</v>
      </c>
      <c r="V71" s="4"/>
      <c r="W71" s="4"/>
      <c r="X71" s="7"/>
      <c r="Y71" s="7">
        <f t="shared" si="23"/>
        <v>18.988764044943821</v>
      </c>
      <c r="Z71" s="7">
        <f t="shared" si="24"/>
        <v>18.988764044943821</v>
      </c>
      <c r="AA71" s="7">
        <v>11.6</v>
      </c>
      <c r="AB71" s="7">
        <v>10.6</v>
      </c>
      <c r="AC71" s="7">
        <v>39.799999999999997</v>
      </c>
      <c r="AD71" s="7">
        <v>39.200000000000003</v>
      </c>
      <c r="AE71" s="7">
        <v>4.2</v>
      </c>
      <c r="AF71" s="7">
        <v>6.5</v>
      </c>
      <c r="AG71" s="7">
        <v>31.166666666666671</v>
      </c>
      <c r="AH71" s="7">
        <v>33.4</v>
      </c>
      <c r="AI71" s="26" t="s">
        <v>60</v>
      </c>
      <c r="AJ71" s="7">
        <f t="shared" si="19"/>
        <v>0</v>
      </c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 spans="1:46" x14ac:dyDescent="0.25">
      <c r="A72" s="14" t="s">
        <v>122</v>
      </c>
      <c r="B72" s="14" t="s">
        <v>46</v>
      </c>
      <c r="C72" s="14"/>
      <c r="D72" s="14"/>
      <c r="E72" s="14"/>
      <c r="F72" s="14"/>
      <c r="G72" s="15">
        <v>0</v>
      </c>
      <c r="H72" s="14">
        <v>50</v>
      </c>
      <c r="I72" s="14" t="s">
        <v>41</v>
      </c>
      <c r="J72" s="14"/>
      <c r="K72" s="14"/>
      <c r="L72" s="14">
        <f t="shared" si="20"/>
        <v>0</v>
      </c>
      <c r="M72" s="14">
        <f t="shared" si="21"/>
        <v>0</v>
      </c>
      <c r="N72" s="14"/>
      <c r="O72" s="14">
        <v>0</v>
      </c>
      <c r="P72" s="14"/>
      <c r="Q72" s="14">
        <v>0</v>
      </c>
      <c r="R72" s="14">
        <v>0</v>
      </c>
      <c r="S72" s="14"/>
      <c r="T72" s="14"/>
      <c r="U72" s="14">
        <f t="shared" si="22"/>
        <v>0</v>
      </c>
      <c r="V72" s="16"/>
      <c r="W72" s="16"/>
      <c r="X72" s="14"/>
      <c r="Y72" s="14" t="e">
        <f t="shared" si="23"/>
        <v>#DIV/0!</v>
      </c>
      <c r="Z72" s="14" t="e">
        <f t="shared" si="24"/>
        <v>#DIV/0!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 t="s">
        <v>58</v>
      </c>
      <c r="AJ72" s="14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 spans="1:46" x14ac:dyDescent="0.25">
      <c r="A73" s="14" t="s">
        <v>123</v>
      </c>
      <c r="B73" s="14" t="s">
        <v>46</v>
      </c>
      <c r="C73" s="14"/>
      <c r="D73" s="14"/>
      <c r="E73" s="14"/>
      <c r="F73" s="14"/>
      <c r="G73" s="15">
        <v>0</v>
      </c>
      <c r="H73" s="14">
        <v>30</v>
      </c>
      <c r="I73" s="14" t="s">
        <v>41</v>
      </c>
      <c r="J73" s="14"/>
      <c r="K73" s="14"/>
      <c r="L73" s="14">
        <f t="shared" si="20"/>
        <v>0</v>
      </c>
      <c r="M73" s="14">
        <f t="shared" si="21"/>
        <v>0</v>
      </c>
      <c r="N73" s="14"/>
      <c r="O73" s="14">
        <v>0</v>
      </c>
      <c r="P73" s="14"/>
      <c r="Q73" s="14">
        <v>0</v>
      </c>
      <c r="R73" s="14">
        <v>0</v>
      </c>
      <c r="S73" s="14"/>
      <c r="T73" s="14"/>
      <c r="U73" s="14">
        <f t="shared" si="22"/>
        <v>0</v>
      </c>
      <c r="V73" s="16"/>
      <c r="W73" s="16"/>
      <c r="X73" s="14"/>
      <c r="Y73" s="14" t="e">
        <f t="shared" si="23"/>
        <v>#DIV/0!</v>
      </c>
      <c r="Z73" s="14" t="e">
        <f t="shared" si="24"/>
        <v>#DIV/0!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 t="s">
        <v>58</v>
      </c>
      <c r="AJ73" s="14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 spans="1:46" x14ac:dyDescent="0.25">
      <c r="A74" s="7" t="s">
        <v>124</v>
      </c>
      <c r="B74" s="7" t="s">
        <v>46</v>
      </c>
      <c r="C74" s="7">
        <v>44</v>
      </c>
      <c r="D74" s="7">
        <v>181</v>
      </c>
      <c r="E74" s="7">
        <v>166</v>
      </c>
      <c r="F74" s="7">
        <v>52</v>
      </c>
      <c r="G74" s="8">
        <v>0.6</v>
      </c>
      <c r="H74" s="7">
        <v>55</v>
      </c>
      <c r="I74" s="10" t="s">
        <v>92</v>
      </c>
      <c r="J74" s="7"/>
      <c r="K74" s="7">
        <v>166</v>
      </c>
      <c r="L74" s="7">
        <f t="shared" si="20"/>
        <v>0</v>
      </c>
      <c r="M74" s="7">
        <f t="shared" si="21"/>
        <v>166</v>
      </c>
      <c r="N74" s="7"/>
      <c r="O74" s="7">
        <v>190.6</v>
      </c>
      <c r="P74" s="7"/>
      <c r="Q74" s="7">
        <v>0</v>
      </c>
      <c r="R74" s="7">
        <v>98.6</v>
      </c>
      <c r="S74" s="7"/>
      <c r="T74" s="7"/>
      <c r="U74" s="7">
        <f t="shared" si="22"/>
        <v>33.200000000000003</v>
      </c>
      <c r="V74" s="4">
        <f>12*U74-T74-S74-R74-P74-O74-F74</f>
        <v>57.200000000000074</v>
      </c>
      <c r="W74" s="4"/>
      <c r="X74" s="7"/>
      <c r="Y74" s="7">
        <f t="shared" si="23"/>
        <v>12.000000000000002</v>
      </c>
      <c r="Z74" s="7">
        <f t="shared" si="24"/>
        <v>10.277108433734938</v>
      </c>
      <c r="AA74" s="7">
        <v>37.4</v>
      </c>
      <c r="AB74" s="7">
        <v>31.4</v>
      </c>
      <c r="AC74" s="7">
        <v>26.2</v>
      </c>
      <c r="AD74" s="7">
        <v>20.2</v>
      </c>
      <c r="AE74" s="7">
        <v>13.4</v>
      </c>
      <c r="AF74" s="7">
        <v>19.5</v>
      </c>
      <c r="AG74" s="7">
        <v>28.5</v>
      </c>
      <c r="AH74" s="7">
        <v>27.6</v>
      </c>
      <c r="AI74" s="7"/>
      <c r="AJ74" s="7">
        <f>G74*V74</f>
        <v>34.320000000000043</v>
      </c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 spans="1:46" x14ac:dyDescent="0.25">
      <c r="A75" s="14" t="s">
        <v>125</v>
      </c>
      <c r="B75" s="14" t="s">
        <v>46</v>
      </c>
      <c r="C75" s="14"/>
      <c r="D75" s="14"/>
      <c r="E75" s="14"/>
      <c r="F75" s="14"/>
      <c r="G75" s="15">
        <v>0</v>
      </c>
      <c r="H75" s="14">
        <v>40</v>
      </c>
      <c r="I75" s="14" t="s">
        <v>41</v>
      </c>
      <c r="J75" s="14"/>
      <c r="K75" s="14"/>
      <c r="L75" s="14">
        <f t="shared" si="20"/>
        <v>0</v>
      </c>
      <c r="M75" s="14">
        <f t="shared" si="21"/>
        <v>0</v>
      </c>
      <c r="N75" s="14"/>
      <c r="O75" s="14">
        <v>0</v>
      </c>
      <c r="P75" s="14"/>
      <c r="Q75" s="14">
        <v>0</v>
      </c>
      <c r="R75" s="14">
        <v>0</v>
      </c>
      <c r="S75" s="14"/>
      <c r="T75" s="14"/>
      <c r="U75" s="14">
        <f t="shared" si="22"/>
        <v>0</v>
      </c>
      <c r="V75" s="16"/>
      <c r="W75" s="16"/>
      <c r="X75" s="14"/>
      <c r="Y75" s="14" t="e">
        <f t="shared" si="23"/>
        <v>#DIV/0!</v>
      </c>
      <c r="Z75" s="14" t="e">
        <f t="shared" si="24"/>
        <v>#DIV/0!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 t="s">
        <v>126</v>
      </c>
      <c r="AJ75" s="14"/>
      <c r="AK75" s="7"/>
      <c r="AL75" s="7"/>
      <c r="AM75" s="7"/>
      <c r="AN75" s="7"/>
      <c r="AO75" s="7"/>
      <c r="AP75" s="7"/>
      <c r="AQ75" s="7"/>
      <c r="AR75" s="7"/>
      <c r="AS75" s="7"/>
      <c r="AT75" s="7"/>
    </row>
    <row r="76" spans="1:46" x14ac:dyDescent="0.25">
      <c r="A76" s="7" t="s">
        <v>127</v>
      </c>
      <c r="B76" s="7" t="s">
        <v>46</v>
      </c>
      <c r="C76" s="7">
        <v>36</v>
      </c>
      <c r="D76" s="7">
        <v>112</v>
      </c>
      <c r="E76" s="7">
        <v>71</v>
      </c>
      <c r="F76" s="7">
        <v>74</v>
      </c>
      <c r="G76" s="8">
        <v>0.4</v>
      </c>
      <c r="H76" s="7">
        <v>50</v>
      </c>
      <c r="I76" s="7" t="s">
        <v>41</v>
      </c>
      <c r="J76" s="7"/>
      <c r="K76" s="7">
        <v>71</v>
      </c>
      <c r="L76" s="7">
        <f t="shared" si="20"/>
        <v>0</v>
      </c>
      <c r="M76" s="7">
        <f t="shared" si="21"/>
        <v>71</v>
      </c>
      <c r="N76" s="7"/>
      <c r="O76" s="7">
        <v>0</v>
      </c>
      <c r="P76" s="7"/>
      <c r="Q76" s="7">
        <v>0</v>
      </c>
      <c r="R76" s="7">
        <v>40</v>
      </c>
      <c r="S76" s="7"/>
      <c r="T76" s="7"/>
      <c r="U76" s="7">
        <f t="shared" si="22"/>
        <v>14.2</v>
      </c>
      <c r="V76" s="4">
        <f t="shared" ref="V76" si="25">12*U76-T76-S76-R76-P76-O76-F76</f>
        <v>56.399999999999977</v>
      </c>
      <c r="W76" s="4"/>
      <c r="X76" s="7"/>
      <c r="Y76" s="7">
        <f t="shared" si="23"/>
        <v>11.999999999999998</v>
      </c>
      <c r="Z76" s="7">
        <f t="shared" si="24"/>
        <v>8.0281690140845079</v>
      </c>
      <c r="AA76" s="7">
        <v>13.6</v>
      </c>
      <c r="AB76" s="7">
        <v>11</v>
      </c>
      <c r="AC76" s="7">
        <v>14.4</v>
      </c>
      <c r="AD76" s="7">
        <v>14.4</v>
      </c>
      <c r="AE76" s="7">
        <v>8.8000000000000007</v>
      </c>
      <c r="AF76" s="7">
        <v>8.8333333333333339</v>
      </c>
      <c r="AG76" s="7">
        <v>15.83333333333333</v>
      </c>
      <c r="AH76" s="7">
        <v>11.2</v>
      </c>
      <c r="AI76" s="7" t="s">
        <v>47</v>
      </c>
      <c r="AJ76" s="7">
        <f>G76*V76</f>
        <v>22.559999999999992</v>
      </c>
      <c r="AK76" s="7"/>
      <c r="AL76" s="7"/>
      <c r="AM76" s="7"/>
      <c r="AN76" s="7"/>
      <c r="AO76" s="7"/>
      <c r="AP76" s="7"/>
      <c r="AQ76" s="7"/>
      <c r="AR76" s="7"/>
      <c r="AS76" s="7"/>
      <c r="AT76" s="7"/>
    </row>
    <row r="77" spans="1:46" x14ac:dyDescent="0.25">
      <c r="A77" s="22" t="s">
        <v>128</v>
      </c>
      <c r="B77" s="22" t="s">
        <v>46</v>
      </c>
      <c r="C77" s="22"/>
      <c r="D77" s="22"/>
      <c r="E77" s="22"/>
      <c r="F77" s="22"/>
      <c r="G77" s="23">
        <v>0.35</v>
      </c>
      <c r="H77" s="22"/>
      <c r="I77" s="22" t="s">
        <v>41</v>
      </c>
      <c r="J77" s="22"/>
      <c r="K77" s="22"/>
      <c r="L77" s="22">
        <f t="shared" si="20"/>
        <v>0</v>
      </c>
      <c r="M77" s="22">
        <f t="shared" si="21"/>
        <v>0</v>
      </c>
      <c r="N77" s="22"/>
      <c r="O77" s="22"/>
      <c r="P77" s="22"/>
      <c r="Q77" s="22">
        <v>0</v>
      </c>
      <c r="R77" s="22">
        <v>200</v>
      </c>
      <c r="S77" s="22"/>
      <c r="T77" s="22"/>
      <c r="U77" s="22">
        <f t="shared" si="22"/>
        <v>0</v>
      </c>
      <c r="V77" s="24">
        <v>200</v>
      </c>
      <c r="W77" s="24"/>
      <c r="X77" s="22"/>
      <c r="Y77" s="22" t="e">
        <f t="shared" si="23"/>
        <v>#DIV/0!</v>
      </c>
      <c r="Z77" s="22" t="e">
        <f t="shared" si="24"/>
        <v>#DIV/0!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 t="s">
        <v>98</v>
      </c>
      <c r="AJ77" s="22">
        <f>G77*V77</f>
        <v>70</v>
      </c>
      <c r="AK77" s="7"/>
      <c r="AL77" s="7"/>
      <c r="AM77" s="7"/>
      <c r="AN77" s="7"/>
      <c r="AO77" s="7"/>
      <c r="AP77" s="7"/>
      <c r="AQ77" s="7"/>
      <c r="AR77" s="7"/>
      <c r="AS77" s="7"/>
      <c r="AT77" s="7"/>
    </row>
    <row r="78" spans="1:46" x14ac:dyDescent="0.25">
      <c r="A78" s="22" t="s">
        <v>129</v>
      </c>
      <c r="B78" s="22" t="s">
        <v>46</v>
      </c>
      <c r="C78" s="22"/>
      <c r="D78" s="22"/>
      <c r="E78" s="22"/>
      <c r="F78" s="22"/>
      <c r="G78" s="23">
        <v>0.35</v>
      </c>
      <c r="H78" s="22"/>
      <c r="I78" s="22" t="s">
        <v>41</v>
      </c>
      <c r="J78" s="22"/>
      <c r="K78" s="22"/>
      <c r="L78" s="22">
        <f t="shared" si="20"/>
        <v>0</v>
      </c>
      <c r="M78" s="22">
        <f t="shared" si="21"/>
        <v>0</v>
      </c>
      <c r="N78" s="22"/>
      <c r="O78" s="22"/>
      <c r="P78" s="22"/>
      <c r="Q78" s="22">
        <v>0</v>
      </c>
      <c r="R78" s="22">
        <v>200</v>
      </c>
      <c r="S78" s="22">
        <v>100</v>
      </c>
      <c r="T78" s="22"/>
      <c r="U78" s="22">
        <f t="shared" si="22"/>
        <v>0</v>
      </c>
      <c r="V78" s="24">
        <v>300</v>
      </c>
      <c r="W78" s="24"/>
      <c r="X78" s="22"/>
      <c r="Y78" s="22" t="e">
        <f t="shared" si="23"/>
        <v>#DIV/0!</v>
      </c>
      <c r="Z78" s="22" t="e">
        <f t="shared" si="24"/>
        <v>#DIV/0!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 t="s">
        <v>98</v>
      </c>
      <c r="AJ78" s="22">
        <f>G78*V78</f>
        <v>105</v>
      </c>
      <c r="AK78" s="7"/>
      <c r="AL78" s="7"/>
      <c r="AM78" s="7"/>
      <c r="AN78" s="7"/>
      <c r="AO78" s="7"/>
      <c r="AP78" s="7"/>
      <c r="AQ78" s="7"/>
      <c r="AR78" s="7"/>
      <c r="AS78" s="7"/>
      <c r="AT78" s="7"/>
    </row>
    <row r="79" spans="1:46" x14ac:dyDescent="0.25">
      <c r="A79" s="14" t="s">
        <v>130</v>
      </c>
      <c r="B79" s="14" t="s">
        <v>46</v>
      </c>
      <c r="C79" s="14"/>
      <c r="D79" s="14"/>
      <c r="E79" s="14"/>
      <c r="F79" s="14"/>
      <c r="G79" s="15">
        <v>0</v>
      </c>
      <c r="H79" s="14">
        <v>55</v>
      </c>
      <c r="I79" s="14" t="s">
        <v>41</v>
      </c>
      <c r="J79" s="14"/>
      <c r="K79" s="14"/>
      <c r="L79" s="14">
        <f t="shared" si="20"/>
        <v>0</v>
      </c>
      <c r="M79" s="14">
        <f t="shared" si="21"/>
        <v>0</v>
      </c>
      <c r="N79" s="14"/>
      <c r="O79" s="14">
        <v>0</v>
      </c>
      <c r="P79" s="14"/>
      <c r="Q79" s="14">
        <v>0</v>
      </c>
      <c r="R79" s="14">
        <v>0</v>
      </c>
      <c r="S79" s="14"/>
      <c r="T79" s="14"/>
      <c r="U79" s="14">
        <f t="shared" si="22"/>
        <v>0</v>
      </c>
      <c r="V79" s="16"/>
      <c r="W79" s="16"/>
      <c r="X79" s="14"/>
      <c r="Y79" s="14" t="e">
        <f t="shared" si="23"/>
        <v>#DIV/0!</v>
      </c>
      <c r="Z79" s="14" t="e">
        <f t="shared" si="24"/>
        <v>#DIV/0!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 t="s">
        <v>131</v>
      </c>
      <c r="AJ79" s="14"/>
      <c r="AK79" s="7"/>
      <c r="AL79" s="7"/>
      <c r="AM79" s="7"/>
      <c r="AN79" s="7"/>
      <c r="AO79" s="7"/>
      <c r="AP79" s="7"/>
      <c r="AQ79" s="7"/>
      <c r="AR79" s="7"/>
      <c r="AS79" s="7"/>
      <c r="AT79" s="7"/>
    </row>
    <row r="80" spans="1:46" x14ac:dyDescent="0.25">
      <c r="A80" s="7" t="s">
        <v>132</v>
      </c>
      <c r="B80" s="7" t="s">
        <v>40</v>
      </c>
      <c r="C80" s="7">
        <v>-5.0999999999999997E-2</v>
      </c>
      <c r="D80" s="7">
        <v>34.548999999999999</v>
      </c>
      <c r="E80" s="7">
        <v>5.3739999999999997</v>
      </c>
      <c r="F80" s="7">
        <v>30.169</v>
      </c>
      <c r="G80" s="8">
        <v>1</v>
      </c>
      <c r="H80" s="7">
        <v>55</v>
      </c>
      <c r="I80" s="7" t="s">
        <v>41</v>
      </c>
      <c r="J80" s="7"/>
      <c r="K80" s="7">
        <v>5.3</v>
      </c>
      <c r="L80" s="7">
        <f t="shared" si="20"/>
        <v>7.3999999999999844E-2</v>
      </c>
      <c r="M80" s="7">
        <f t="shared" si="21"/>
        <v>5.3739999999999997</v>
      </c>
      <c r="N80" s="7"/>
      <c r="O80" s="7">
        <v>4</v>
      </c>
      <c r="P80" s="7"/>
      <c r="Q80" s="7">
        <v>0</v>
      </c>
      <c r="R80" s="7">
        <v>0</v>
      </c>
      <c r="S80" s="7"/>
      <c r="T80" s="7"/>
      <c r="U80" s="7">
        <f t="shared" si="22"/>
        <v>1.0748</v>
      </c>
      <c r="V80" s="4"/>
      <c r="W80" s="4"/>
      <c r="X80" s="7"/>
      <c r="Y80" s="7">
        <f t="shared" si="23"/>
        <v>31.791030889467805</v>
      </c>
      <c r="Z80" s="7">
        <f t="shared" si="24"/>
        <v>31.791030889467805</v>
      </c>
      <c r="AA80" s="7">
        <v>0.67779999999999996</v>
      </c>
      <c r="AB80" s="7">
        <v>1.5618000000000001</v>
      </c>
      <c r="AC80" s="7">
        <v>2.0392000000000001</v>
      </c>
      <c r="AD80" s="7">
        <v>1.1514</v>
      </c>
      <c r="AE80" s="7">
        <v>1.147</v>
      </c>
      <c r="AF80" s="7">
        <v>1.1916666666666671</v>
      </c>
      <c r="AG80" s="7">
        <v>1.1919999999999999</v>
      </c>
      <c r="AH80" s="7">
        <v>0.57440000000000002</v>
      </c>
      <c r="AI80" s="7"/>
      <c r="AJ80" s="7">
        <f t="shared" ref="AJ80:AJ92" si="26">G80*V80</f>
        <v>0</v>
      </c>
      <c r="AK80" s="7"/>
      <c r="AL80" s="7"/>
      <c r="AM80" s="7"/>
      <c r="AN80" s="7"/>
      <c r="AO80" s="7"/>
      <c r="AP80" s="7"/>
      <c r="AQ80" s="7"/>
      <c r="AR80" s="7"/>
      <c r="AS80" s="7"/>
      <c r="AT80" s="7"/>
    </row>
    <row r="81" spans="1:46" x14ac:dyDescent="0.25">
      <c r="A81" s="22" t="s">
        <v>133</v>
      </c>
      <c r="B81" s="22" t="s">
        <v>40</v>
      </c>
      <c r="C81" s="22">
        <v>3035.6089999999999</v>
      </c>
      <c r="D81" s="22">
        <v>4980.1099999999997</v>
      </c>
      <c r="E81" s="22">
        <v>1718.16</v>
      </c>
      <c r="F81" s="22">
        <v>3080.8580000000002</v>
      </c>
      <c r="G81" s="23">
        <v>1</v>
      </c>
      <c r="H81" s="22">
        <v>60</v>
      </c>
      <c r="I81" s="22" t="s">
        <v>41</v>
      </c>
      <c r="J81" s="22"/>
      <c r="K81" s="22">
        <v>1726.0550000000001</v>
      </c>
      <c r="L81" s="22">
        <f t="shared" si="20"/>
        <v>-7.8949999999999818</v>
      </c>
      <c r="M81" s="22">
        <f t="shared" si="21"/>
        <v>1702.8200000000002</v>
      </c>
      <c r="N81" s="22">
        <v>15.34</v>
      </c>
      <c r="O81" s="22">
        <v>275.33527999999978</v>
      </c>
      <c r="P81" s="22">
        <v>696.881934</v>
      </c>
      <c r="Q81" s="22">
        <v>0</v>
      </c>
      <c r="R81" s="22">
        <v>774.25626600000032</v>
      </c>
      <c r="S81" s="22">
        <v>400</v>
      </c>
      <c r="T81" s="22">
        <v>400</v>
      </c>
      <c r="U81" s="22">
        <f t="shared" si="22"/>
        <v>340.56400000000002</v>
      </c>
      <c r="V81" s="24"/>
      <c r="W81" s="24"/>
      <c r="X81" s="22"/>
      <c r="Y81" s="22">
        <f t="shared" si="23"/>
        <v>16.523565262329548</v>
      </c>
      <c r="Z81" s="22">
        <f t="shared" si="24"/>
        <v>16.523565262329548</v>
      </c>
      <c r="AA81" s="22">
        <v>371.24419999999998</v>
      </c>
      <c r="AB81" s="22">
        <v>368.72059999999999</v>
      </c>
      <c r="AC81" s="22">
        <v>383.53820000000002</v>
      </c>
      <c r="AD81" s="22">
        <v>415.07600000000002</v>
      </c>
      <c r="AE81" s="22">
        <v>388.7432</v>
      </c>
      <c r="AF81" s="22">
        <v>477.17983333333342</v>
      </c>
      <c r="AG81" s="22">
        <v>512.40033333333338</v>
      </c>
      <c r="AH81" s="22">
        <v>422.93639999999988</v>
      </c>
      <c r="AI81" s="22" t="s">
        <v>53</v>
      </c>
      <c r="AJ81" s="22">
        <f t="shared" si="26"/>
        <v>0</v>
      </c>
      <c r="AK81" s="7"/>
      <c r="AL81" s="7"/>
      <c r="AM81" s="7"/>
      <c r="AN81" s="7"/>
      <c r="AO81" s="7"/>
      <c r="AP81" s="7"/>
      <c r="AQ81" s="7"/>
      <c r="AR81" s="7"/>
      <c r="AS81" s="7"/>
      <c r="AT81" s="7"/>
    </row>
    <row r="82" spans="1:46" x14ac:dyDescent="0.25">
      <c r="A82" s="22" t="s">
        <v>134</v>
      </c>
      <c r="B82" s="22" t="s">
        <v>40</v>
      </c>
      <c r="C82" s="22">
        <v>559.24400000000003</v>
      </c>
      <c r="D82" s="22">
        <v>1423.4929999999999</v>
      </c>
      <c r="E82" s="22">
        <v>474.18799999999999</v>
      </c>
      <c r="F82" s="22">
        <v>830.02200000000005</v>
      </c>
      <c r="G82" s="23">
        <v>1</v>
      </c>
      <c r="H82" s="22">
        <v>60</v>
      </c>
      <c r="I82" s="22" t="s">
        <v>41</v>
      </c>
      <c r="J82" s="22"/>
      <c r="K82" s="22">
        <v>531.45299999999997</v>
      </c>
      <c r="L82" s="22">
        <f t="shared" si="20"/>
        <v>-57.264999999999986</v>
      </c>
      <c r="M82" s="22">
        <f t="shared" si="21"/>
        <v>429.03499999999997</v>
      </c>
      <c r="N82" s="22">
        <v>45.152999999999999</v>
      </c>
      <c r="O82" s="22">
        <v>438.09950956000017</v>
      </c>
      <c r="P82" s="22">
        <v>234.50893199999999</v>
      </c>
      <c r="Q82" s="22">
        <v>0</v>
      </c>
      <c r="R82" s="22">
        <v>340.5357501066668</v>
      </c>
      <c r="S82" s="22"/>
      <c r="T82" s="22"/>
      <c r="U82" s="22">
        <f t="shared" si="22"/>
        <v>85.806999999999988</v>
      </c>
      <c r="V82" s="24"/>
      <c r="W82" s="24"/>
      <c r="X82" s="22"/>
      <c r="Y82" s="22">
        <f t="shared" si="23"/>
        <v>21.480370968180537</v>
      </c>
      <c r="Z82" s="22">
        <f t="shared" si="24"/>
        <v>21.480370968180537</v>
      </c>
      <c r="AA82" s="22">
        <v>117.429</v>
      </c>
      <c r="AB82" s="22">
        <v>124.0788</v>
      </c>
      <c r="AC82" s="22">
        <v>111.386</v>
      </c>
      <c r="AD82" s="22">
        <v>117.4562</v>
      </c>
      <c r="AE82" s="22">
        <v>117.462</v>
      </c>
      <c r="AF82" s="22">
        <v>106.5605</v>
      </c>
      <c r="AG82" s="22">
        <v>112.21566666666671</v>
      </c>
      <c r="AH82" s="22">
        <v>93.206400000000002</v>
      </c>
      <c r="AI82" s="22" t="s">
        <v>42</v>
      </c>
      <c r="AJ82" s="22">
        <f t="shared" si="26"/>
        <v>0</v>
      </c>
      <c r="AK82" s="7"/>
      <c r="AL82" s="7"/>
      <c r="AM82" s="7"/>
      <c r="AN82" s="7"/>
      <c r="AO82" s="7"/>
      <c r="AP82" s="7"/>
      <c r="AQ82" s="7"/>
      <c r="AR82" s="7"/>
      <c r="AS82" s="7"/>
      <c r="AT82" s="7"/>
    </row>
    <row r="83" spans="1:46" x14ac:dyDescent="0.25">
      <c r="A83" s="22" t="s">
        <v>135</v>
      </c>
      <c r="B83" s="22" t="s">
        <v>40</v>
      </c>
      <c r="C83" s="22">
        <v>2897.0439999999999</v>
      </c>
      <c r="D83" s="22">
        <v>240.43100000000001</v>
      </c>
      <c r="E83" s="22">
        <v>979.899</v>
      </c>
      <c r="F83" s="22">
        <v>1871.1890000000001</v>
      </c>
      <c r="G83" s="23">
        <v>1</v>
      </c>
      <c r="H83" s="22">
        <v>60</v>
      </c>
      <c r="I83" s="22" t="s">
        <v>41</v>
      </c>
      <c r="J83" s="22"/>
      <c r="K83" s="22">
        <v>1140.047</v>
      </c>
      <c r="L83" s="22">
        <f t="shared" si="20"/>
        <v>-160.14800000000002</v>
      </c>
      <c r="M83" s="22">
        <f t="shared" si="21"/>
        <v>814.452</v>
      </c>
      <c r="N83" s="22">
        <v>165.447</v>
      </c>
      <c r="O83" s="22">
        <v>349.95450000000011</v>
      </c>
      <c r="P83" s="22">
        <v>440.94267000000002</v>
      </c>
      <c r="Q83" s="22">
        <v>0</v>
      </c>
      <c r="R83" s="22">
        <v>565.99342999999999</v>
      </c>
      <c r="S83" s="22"/>
      <c r="T83" s="22"/>
      <c r="U83" s="22">
        <f t="shared" si="22"/>
        <v>162.8904</v>
      </c>
      <c r="V83" s="24"/>
      <c r="W83" s="24"/>
      <c r="X83" s="22"/>
      <c r="Y83" s="22">
        <f t="shared" si="23"/>
        <v>19.817494462534317</v>
      </c>
      <c r="Z83" s="22">
        <f t="shared" si="24"/>
        <v>19.817494462534317</v>
      </c>
      <c r="AA83" s="22">
        <v>212.4324</v>
      </c>
      <c r="AB83" s="22">
        <v>233.303</v>
      </c>
      <c r="AC83" s="22">
        <v>232.3142</v>
      </c>
      <c r="AD83" s="22">
        <v>276.44799999999998</v>
      </c>
      <c r="AE83" s="22">
        <v>331.80840000000001</v>
      </c>
      <c r="AF83" s="22">
        <v>365.2761666666666</v>
      </c>
      <c r="AG83" s="22">
        <v>363.50683333333342</v>
      </c>
      <c r="AH83" s="22">
        <v>260.88420000000002</v>
      </c>
      <c r="AI83" s="22" t="s">
        <v>53</v>
      </c>
      <c r="AJ83" s="22">
        <f t="shared" si="26"/>
        <v>0</v>
      </c>
      <c r="AK83" s="7"/>
      <c r="AL83" s="7"/>
      <c r="AM83" s="7"/>
      <c r="AN83" s="7"/>
      <c r="AO83" s="7"/>
      <c r="AP83" s="7"/>
      <c r="AQ83" s="7"/>
      <c r="AR83" s="7"/>
      <c r="AS83" s="7"/>
      <c r="AT83" s="7"/>
    </row>
    <row r="84" spans="1:46" x14ac:dyDescent="0.25">
      <c r="A84" s="22" t="s">
        <v>65</v>
      </c>
      <c r="B84" s="22" t="s">
        <v>40</v>
      </c>
      <c r="C84" s="22">
        <v>3677.2979999999998</v>
      </c>
      <c r="D84" s="22">
        <v>1832.683</v>
      </c>
      <c r="E84" s="25">
        <f>1784.154+E21</f>
        <v>1786.67</v>
      </c>
      <c r="F84" s="25">
        <f>2800.071+F21</f>
        <v>2792.547</v>
      </c>
      <c r="G84" s="23">
        <v>1</v>
      </c>
      <c r="H84" s="22">
        <v>60</v>
      </c>
      <c r="I84" s="22" t="s">
        <v>41</v>
      </c>
      <c r="J84" s="22"/>
      <c r="K84" s="22">
        <v>2050.2669999999998</v>
      </c>
      <c r="L84" s="22">
        <f t="shared" si="20"/>
        <v>-263.59699999999975</v>
      </c>
      <c r="M84" s="22">
        <f t="shared" si="21"/>
        <v>1456.6570000000002</v>
      </c>
      <c r="N84" s="22">
        <v>330.01299999999998</v>
      </c>
      <c r="O84" s="22">
        <v>543.27150000000006</v>
      </c>
      <c r="P84" s="22">
        <v>684.52209000000005</v>
      </c>
      <c r="Q84" s="22">
        <v>167</v>
      </c>
      <c r="R84" s="22">
        <v>946.67471000000069</v>
      </c>
      <c r="S84" s="22">
        <v>600</v>
      </c>
      <c r="T84" s="22">
        <v>600</v>
      </c>
      <c r="U84" s="22">
        <f t="shared" si="22"/>
        <v>291.33140000000003</v>
      </c>
      <c r="V84" s="24"/>
      <c r="W84" s="24"/>
      <c r="X84" s="22"/>
      <c r="Y84" s="22">
        <f t="shared" si="23"/>
        <v>21.168385213540319</v>
      </c>
      <c r="Z84" s="22">
        <f t="shared" si="24"/>
        <v>21.168385213540319</v>
      </c>
      <c r="AA84" s="22">
        <v>401.64819999999997</v>
      </c>
      <c r="AB84" s="22">
        <v>362.18099999999998</v>
      </c>
      <c r="AC84" s="22">
        <v>376.33399999999989</v>
      </c>
      <c r="AD84" s="22">
        <v>533.49</v>
      </c>
      <c r="AE84" s="22">
        <v>467.63459999999998</v>
      </c>
      <c r="AF84" s="22">
        <v>435.58100000000002</v>
      </c>
      <c r="AG84" s="22">
        <v>470.60383333333328</v>
      </c>
      <c r="AH84" s="22">
        <v>379.06599999999997</v>
      </c>
      <c r="AI84" s="22" t="s">
        <v>53</v>
      </c>
      <c r="AJ84" s="22">
        <f t="shared" si="26"/>
        <v>0</v>
      </c>
      <c r="AK84" s="7"/>
      <c r="AL84" s="7"/>
      <c r="AM84" s="7"/>
      <c r="AN84" s="7"/>
      <c r="AO84" s="7"/>
      <c r="AP84" s="7"/>
      <c r="AQ84" s="7"/>
      <c r="AR84" s="7"/>
      <c r="AS84" s="7"/>
      <c r="AT84" s="7"/>
    </row>
    <row r="85" spans="1:46" x14ac:dyDescent="0.25">
      <c r="A85" s="7" t="s">
        <v>136</v>
      </c>
      <c r="B85" s="7" t="s">
        <v>40</v>
      </c>
      <c r="C85" s="7">
        <v>4.8710000000000004</v>
      </c>
      <c r="D85" s="7">
        <v>12.069000000000001</v>
      </c>
      <c r="E85" s="7">
        <v>4.0449999999999999</v>
      </c>
      <c r="F85" s="7">
        <v>12.895</v>
      </c>
      <c r="G85" s="8">
        <v>1</v>
      </c>
      <c r="H85" s="7">
        <v>60</v>
      </c>
      <c r="I85" s="7" t="s">
        <v>41</v>
      </c>
      <c r="J85" s="7"/>
      <c r="K85" s="7">
        <v>4</v>
      </c>
      <c r="L85" s="7">
        <f t="shared" si="20"/>
        <v>4.4999999999999929E-2</v>
      </c>
      <c r="M85" s="7">
        <f t="shared" si="21"/>
        <v>4.0449999999999999</v>
      </c>
      <c r="N85" s="7"/>
      <c r="O85" s="7">
        <v>0</v>
      </c>
      <c r="P85" s="7"/>
      <c r="Q85" s="7">
        <v>0</v>
      </c>
      <c r="R85" s="7">
        <v>0</v>
      </c>
      <c r="S85" s="7"/>
      <c r="T85" s="7"/>
      <c r="U85" s="7">
        <f t="shared" si="22"/>
        <v>0.80899999999999994</v>
      </c>
      <c r="V85" s="4"/>
      <c r="W85" s="4"/>
      <c r="X85" s="7"/>
      <c r="Y85" s="7">
        <f t="shared" si="23"/>
        <v>15.939431396786157</v>
      </c>
      <c r="Z85" s="7">
        <f t="shared" si="24"/>
        <v>15.939431396786157</v>
      </c>
      <c r="AA85" s="7">
        <v>0.48099999999999998</v>
      </c>
      <c r="AB85" s="7">
        <v>0.48100000000000021</v>
      </c>
      <c r="AC85" s="7">
        <v>0.9680000000000003</v>
      </c>
      <c r="AD85" s="7">
        <v>0.96799999999999997</v>
      </c>
      <c r="AE85" s="7">
        <v>0</v>
      </c>
      <c r="AF85" s="7">
        <v>0</v>
      </c>
      <c r="AG85" s="7">
        <v>0</v>
      </c>
      <c r="AH85" s="7">
        <v>0</v>
      </c>
      <c r="AI85" s="7" t="s">
        <v>137</v>
      </c>
      <c r="AJ85" s="7">
        <f t="shared" si="26"/>
        <v>0</v>
      </c>
      <c r="AK85" s="7"/>
      <c r="AL85" s="7"/>
      <c r="AM85" s="7"/>
      <c r="AN85" s="7"/>
      <c r="AO85" s="7"/>
      <c r="AP85" s="7"/>
      <c r="AQ85" s="7"/>
      <c r="AR85" s="7"/>
      <c r="AS85" s="7"/>
      <c r="AT85" s="7"/>
    </row>
    <row r="86" spans="1:46" x14ac:dyDescent="0.25">
      <c r="A86" s="22" t="s">
        <v>138</v>
      </c>
      <c r="B86" s="22" t="s">
        <v>46</v>
      </c>
      <c r="C86" s="22">
        <v>166</v>
      </c>
      <c r="D86" s="22">
        <v>62</v>
      </c>
      <c r="E86" s="22">
        <v>126</v>
      </c>
      <c r="F86" s="22">
        <v>69</v>
      </c>
      <c r="G86" s="23">
        <v>0.3</v>
      </c>
      <c r="H86" s="22">
        <v>40</v>
      </c>
      <c r="I86" s="22" t="s">
        <v>41</v>
      </c>
      <c r="J86" s="22"/>
      <c r="K86" s="22">
        <v>128</v>
      </c>
      <c r="L86" s="22">
        <f t="shared" si="20"/>
        <v>-2</v>
      </c>
      <c r="M86" s="22">
        <f t="shared" si="21"/>
        <v>126</v>
      </c>
      <c r="N86" s="22"/>
      <c r="O86" s="22">
        <v>220.57996</v>
      </c>
      <c r="P86" s="22"/>
      <c r="Q86" s="22">
        <v>0</v>
      </c>
      <c r="R86" s="22">
        <v>107.5</v>
      </c>
      <c r="S86" s="22"/>
      <c r="T86" s="22"/>
      <c r="U86" s="22">
        <f t="shared" si="22"/>
        <v>25.2</v>
      </c>
      <c r="V86" s="24">
        <f>11*U86*1.5-T86-S86-R86-P86-O86-F86</f>
        <v>18.720039999999955</v>
      </c>
      <c r="W86" s="24"/>
      <c r="X86" s="22"/>
      <c r="Y86" s="22">
        <f t="shared" si="23"/>
        <v>16.5</v>
      </c>
      <c r="Z86" s="22">
        <f t="shared" si="24"/>
        <v>15.757141269841272</v>
      </c>
      <c r="AA86" s="22">
        <v>29</v>
      </c>
      <c r="AB86" s="22">
        <v>37</v>
      </c>
      <c r="AC86" s="22">
        <v>26.2</v>
      </c>
      <c r="AD86" s="22">
        <v>22</v>
      </c>
      <c r="AE86" s="22">
        <v>33.200000000000003</v>
      </c>
      <c r="AF86" s="22">
        <v>31.333333333333329</v>
      </c>
      <c r="AG86" s="22">
        <v>30.333333333333329</v>
      </c>
      <c r="AH86" s="22">
        <v>20.8</v>
      </c>
      <c r="AI86" s="22" t="s">
        <v>42</v>
      </c>
      <c r="AJ86" s="22">
        <f t="shared" si="26"/>
        <v>5.6160119999999862</v>
      </c>
      <c r="AK86" s="7"/>
      <c r="AL86" s="7"/>
      <c r="AM86" s="7"/>
      <c r="AN86" s="7"/>
      <c r="AO86" s="7"/>
      <c r="AP86" s="7"/>
      <c r="AQ86" s="7"/>
      <c r="AR86" s="7"/>
      <c r="AS86" s="7"/>
      <c r="AT86" s="7"/>
    </row>
    <row r="87" spans="1:46" x14ac:dyDescent="0.25">
      <c r="A87" s="7" t="s">
        <v>139</v>
      </c>
      <c r="B87" s="7" t="s">
        <v>46</v>
      </c>
      <c r="C87" s="7">
        <v>90</v>
      </c>
      <c r="D87" s="7">
        <v>114</v>
      </c>
      <c r="E87" s="7">
        <v>113</v>
      </c>
      <c r="F87" s="7">
        <v>92</v>
      </c>
      <c r="G87" s="8">
        <v>7.0000000000000007E-2</v>
      </c>
      <c r="H87" s="7">
        <v>90</v>
      </c>
      <c r="I87" s="7" t="s">
        <v>41</v>
      </c>
      <c r="J87" s="7"/>
      <c r="K87" s="7">
        <v>113</v>
      </c>
      <c r="L87" s="7">
        <f t="shared" si="20"/>
        <v>0</v>
      </c>
      <c r="M87" s="7">
        <f t="shared" si="21"/>
        <v>113</v>
      </c>
      <c r="N87" s="7"/>
      <c r="O87" s="7">
        <v>20.80000000000004</v>
      </c>
      <c r="P87" s="7"/>
      <c r="Q87" s="7">
        <v>0</v>
      </c>
      <c r="R87" s="7">
        <v>84.69999999999996</v>
      </c>
      <c r="S87" s="7"/>
      <c r="T87" s="7"/>
      <c r="U87" s="7">
        <f t="shared" si="22"/>
        <v>22.6</v>
      </c>
      <c r="V87" s="4">
        <f t="shared" ref="V87:V90" si="27">12*U87-T87-S87-R87-P87-O87-F87</f>
        <v>73.700000000000045</v>
      </c>
      <c r="W87" s="4"/>
      <c r="X87" s="7"/>
      <c r="Y87" s="7">
        <f t="shared" si="23"/>
        <v>12.000000000000002</v>
      </c>
      <c r="Z87" s="7">
        <f t="shared" si="24"/>
        <v>8.7389380530973444</v>
      </c>
      <c r="AA87" s="7">
        <v>21</v>
      </c>
      <c r="AB87" s="7">
        <v>16.600000000000001</v>
      </c>
      <c r="AC87" s="7">
        <v>19.399999999999999</v>
      </c>
      <c r="AD87" s="7">
        <v>18.2</v>
      </c>
      <c r="AE87" s="7">
        <v>17.600000000000001</v>
      </c>
      <c r="AF87" s="7">
        <v>19.333333333333329</v>
      </c>
      <c r="AG87" s="7">
        <v>20.5</v>
      </c>
      <c r="AH87" s="7">
        <v>15</v>
      </c>
      <c r="AI87" s="7"/>
      <c r="AJ87" s="7">
        <f t="shared" si="26"/>
        <v>5.1590000000000034</v>
      </c>
      <c r="AK87" s="7"/>
      <c r="AL87" s="7"/>
      <c r="AM87" s="7"/>
      <c r="AN87" s="7"/>
      <c r="AO87" s="7"/>
      <c r="AP87" s="7"/>
      <c r="AQ87" s="7"/>
      <c r="AR87" s="7"/>
      <c r="AS87" s="7"/>
      <c r="AT87" s="7"/>
    </row>
    <row r="88" spans="1:46" x14ac:dyDescent="0.25">
      <c r="A88" s="7" t="s">
        <v>140</v>
      </c>
      <c r="B88" s="7" t="s">
        <v>46</v>
      </c>
      <c r="C88" s="7">
        <v>55</v>
      </c>
      <c r="D88" s="7">
        <v>290</v>
      </c>
      <c r="E88" s="7">
        <v>196</v>
      </c>
      <c r="F88" s="7">
        <v>145</v>
      </c>
      <c r="G88" s="8">
        <v>7.0000000000000007E-2</v>
      </c>
      <c r="H88" s="7">
        <v>90</v>
      </c>
      <c r="I88" s="7" t="s">
        <v>41</v>
      </c>
      <c r="J88" s="7"/>
      <c r="K88" s="7">
        <v>196</v>
      </c>
      <c r="L88" s="7">
        <f t="shared" si="20"/>
        <v>0</v>
      </c>
      <c r="M88" s="7">
        <f t="shared" si="21"/>
        <v>196</v>
      </c>
      <c r="N88" s="7"/>
      <c r="O88" s="7">
        <v>0</v>
      </c>
      <c r="P88" s="7"/>
      <c r="Q88" s="7">
        <v>0</v>
      </c>
      <c r="R88" s="7">
        <v>179.3866666666666</v>
      </c>
      <c r="S88" s="7"/>
      <c r="T88" s="7"/>
      <c r="U88" s="7">
        <f t="shared" si="22"/>
        <v>39.200000000000003</v>
      </c>
      <c r="V88" s="4">
        <f t="shared" si="27"/>
        <v>146.01333333333343</v>
      </c>
      <c r="W88" s="4"/>
      <c r="X88" s="7"/>
      <c r="Y88" s="7">
        <f t="shared" si="23"/>
        <v>12</v>
      </c>
      <c r="Z88" s="7">
        <f t="shared" si="24"/>
        <v>8.275170068027208</v>
      </c>
      <c r="AA88" s="7">
        <v>30.2</v>
      </c>
      <c r="AB88" s="7">
        <v>21.8</v>
      </c>
      <c r="AC88" s="7">
        <v>31.2</v>
      </c>
      <c r="AD88" s="7">
        <v>27.4</v>
      </c>
      <c r="AE88" s="7">
        <v>21.4</v>
      </c>
      <c r="AF88" s="7">
        <v>20.666666666666671</v>
      </c>
      <c r="AG88" s="7">
        <v>18.833333333333329</v>
      </c>
      <c r="AH88" s="7">
        <v>16.8</v>
      </c>
      <c r="AI88" s="7"/>
      <c r="AJ88" s="7">
        <f t="shared" si="26"/>
        <v>10.220933333333342</v>
      </c>
      <c r="AK88" s="7"/>
      <c r="AL88" s="7"/>
      <c r="AM88" s="7"/>
      <c r="AN88" s="7"/>
      <c r="AO88" s="7"/>
      <c r="AP88" s="7"/>
      <c r="AQ88" s="7"/>
      <c r="AR88" s="7"/>
      <c r="AS88" s="7"/>
      <c r="AT88" s="7"/>
    </row>
    <row r="89" spans="1:46" x14ac:dyDescent="0.25">
      <c r="A89" s="7" t="s">
        <v>141</v>
      </c>
      <c r="B89" s="7" t="s">
        <v>46</v>
      </c>
      <c r="C89" s="7">
        <v>109</v>
      </c>
      <c r="D89" s="7">
        <v>6</v>
      </c>
      <c r="E89" s="7">
        <v>58</v>
      </c>
      <c r="F89" s="7">
        <v>52</v>
      </c>
      <c r="G89" s="8">
        <v>7.0000000000000007E-2</v>
      </c>
      <c r="H89" s="7">
        <v>90</v>
      </c>
      <c r="I89" s="7" t="s">
        <v>41</v>
      </c>
      <c r="J89" s="7"/>
      <c r="K89" s="7">
        <v>131</v>
      </c>
      <c r="L89" s="7">
        <f t="shared" si="20"/>
        <v>-73</v>
      </c>
      <c r="M89" s="7">
        <f t="shared" si="21"/>
        <v>58</v>
      </c>
      <c r="N89" s="7"/>
      <c r="O89" s="7">
        <v>88.799999999999983</v>
      </c>
      <c r="P89" s="7"/>
      <c r="Q89" s="7">
        <v>0</v>
      </c>
      <c r="R89" s="7">
        <v>67.80000000000004</v>
      </c>
      <c r="S89" s="7"/>
      <c r="T89" s="7"/>
      <c r="U89" s="7">
        <f t="shared" si="22"/>
        <v>11.6</v>
      </c>
      <c r="V89" s="4"/>
      <c r="W89" s="4"/>
      <c r="X89" s="7"/>
      <c r="Y89" s="7">
        <f t="shared" si="23"/>
        <v>17.982758620689658</v>
      </c>
      <c r="Z89" s="7">
        <f t="shared" si="24"/>
        <v>17.982758620689658</v>
      </c>
      <c r="AA89" s="7">
        <v>19.600000000000001</v>
      </c>
      <c r="AB89" s="7">
        <v>16.399999999999999</v>
      </c>
      <c r="AC89" s="7">
        <v>10</v>
      </c>
      <c r="AD89" s="7">
        <v>10.6</v>
      </c>
      <c r="AE89" s="7">
        <v>18.399999999999999</v>
      </c>
      <c r="AF89" s="7">
        <v>18.833333333333329</v>
      </c>
      <c r="AG89" s="7">
        <v>14</v>
      </c>
      <c r="AH89" s="7">
        <v>11.2</v>
      </c>
      <c r="AI89" s="7"/>
      <c r="AJ89" s="7">
        <f t="shared" si="26"/>
        <v>0</v>
      </c>
      <c r="AK89" s="7"/>
      <c r="AL89" s="7"/>
      <c r="AM89" s="7"/>
      <c r="AN89" s="7"/>
      <c r="AO89" s="7"/>
      <c r="AP89" s="7"/>
      <c r="AQ89" s="7"/>
      <c r="AR89" s="7"/>
      <c r="AS89" s="7"/>
      <c r="AT89" s="7"/>
    </row>
    <row r="90" spans="1:46" x14ac:dyDescent="0.25">
      <c r="A90" s="7" t="s">
        <v>142</v>
      </c>
      <c r="B90" s="7" t="s">
        <v>46</v>
      </c>
      <c r="C90" s="7">
        <v>122</v>
      </c>
      <c r="D90" s="7">
        <v>55</v>
      </c>
      <c r="E90" s="7">
        <v>95</v>
      </c>
      <c r="F90" s="7">
        <v>88</v>
      </c>
      <c r="G90" s="8">
        <v>0.05</v>
      </c>
      <c r="H90" s="7">
        <v>90</v>
      </c>
      <c r="I90" s="7" t="s">
        <v>41</v>
      </c>
      <c r="J90" s="7"/>
      <c r="K90" s="7">
        <v>95</v>
      </c>
      <c r="L90" s="7">
        <f t="shared" si="20"/>
        <v>0</v>
      </c>
      <c r="M90" s="7">
        <f t="shared" si="21"/>
        <v>95</v>
      </c>
      <c r="N90" s="7"/>
      <c r="O90" s="7">
        <v>31.800000000000011</v>
      </c>
      <c r="P90" s="7"/>
      <c r="Q90" s="7">
        <v>0</v>
      </c>
      <c r="R90" s="7">
        <v>106.8</v>
      </c>
      <c r="S90" s="7"/>
      <c r="T90" s="7"/>
      <c r="U90" s="7">
        <f t="shared" si="22"/>
        <v>19</v>
      </c>
      <c r="V90" s="4">
        <v>10</v>
      </c>
      <c r="W90" s="4"/>
      <c r="X90" s="7"/>
      <c r="Y90" s="7">
        <f t="shared" si="23"/>
        <v>12.45263157894737</v>
      </c>
      <c r="Z90" s="7">
        <f t="shared" si="24"/>
        <v>11.926315789473685</v>
      </c>
      <c r="AA90" s="7">
        <v>22.6</v>
      </c>
      <c r="AB90" s="7">
        <v>16</v>
      </c>
      <c r="AC90" s="7">
        <v>16.2</v>
      </c>
      <c r="AD90" s="7">
        <v>17.2</v>
      </c>
      <c r="AE90" s="7">
        <v>19.2</v>
      </c>
      <c r="AF90" s="7">
        <v>17.333333333333329</v>
      </c>
      <c r="AG90" s="7">
        <v>12.5</v>
      </c>
      <c r="AH90" s="7">
        <v>15.4</v>
      </c>
      <c r="AI90" s="7"/>
      <c r="AJ90" s="7">
        <f t="shared" si="26"/>
        <v>0.5</v>
      </c>
      <c r="AK90" s="7"/>
      <c r="AL90" s="7"/>
      <c r="AM90" s="7"/>
      <c r="AN90" s="7"/>
      <c r="AO90" s="7"/>
      <c r="AP90" s="7"/>
      <c r="AQ90" s="7"/>
      <c r="AR90" s="7"/>
      <c r="AS90" s="7"/>
      <c r="AT90" s="7"/>
    </row>
    <row r="91" spans="1:46" x14ac:dyDescent="0.25">
      <c r="A91" s="7" t="s">
        <v>143</v>
      </c>
      <c r="B91" s="7" t="s">
        <v>46</v>
      </c>
      <c r="C91" s="7">
        <v>132</v>
      </c>
      <c r="D91" s="7">
        <v>5</v>
      </c>
      <c r="E91" s="7">
        <v>52</v>
      </c>
      <c r="F91" s="7">
        <v>83</v>
      </c>
      <c r="G91" s="8">
        <v>0.05</v>
      </c>
      <c r="H91" s="7">
        <v>90</v>
      </c>
      <c r="I91" s="7" t="s">
        <v>41</v>
      </c>
      <c r="J91" s="7"/>
      <c r="K91" s="7">
        <v>52</v>
      </c>
      <c r="L91" s="7">
        <f t="shared" si="20"/>
        <v>0</v>
      </c>
      <c r="M91" s="7">
        <f t="shared" si="21"/>
        <v>52</v>
      </c>
      <c r="N91" s="7"/>
      <c r="O91" s="7">
        <v>11.399999999999981</v>
      </c>
      <c r="P91" s="7"/>
      <c r="Q91" s="7">
        <v>0</v>
      </c>
      <c r="R91" s="7">
        <v>37.200000000000017</v>
      </c>
      <c r="S91" s="7"/>
      <c r="T91" s="7"/>
      <c r="U91" s="7">
        <f t="shared" si="22"/>
        <v>10.4</v>
      </c>
      <c r="V91" s="4"/>
      <c r="W91" s="4"/>
      <c r="X91" s="7"/>
      <c r="Y91" s="7">
        <f t="shared" si="23"/>
        <v>12.653846153846153</v>
      </c>
      <c r="Z91" s="7">
        <f t="shared" si="24"/>
        <v>12.653846153846153</v>
      </c>
      <c r="AA91" s="7">
        <v>13.6</v>
      </c>
      <c r="AB91" s="7">
        <v>12.2</v>
      </c>
      <c r="AC91" s="7">
        <v>12.2</v>
      </c>
      <c r="AD91" s="7">
        <v>12.6</v>
      </c>
      <c r="AE91" s="7">
        <v>14.4</v>
      </c>
      <c r="AF91" s="7">
        <v>18</v>
      </c>
      <c r="AG91" s="7">
        <v>19</v>
      </c>
      <c r="AH91" s="7">
        <v>16.399999999999999</v>
      </c>
      <c r="AI91" s="7"/>
      <c r="AJ91" s="7">
        <f t="shared" si="26"/>
        <v>0</v>
      </c>
      <c r="AK91" s="7"/>
      <c r="AL91" s="7"/>
      <c r="AM91" s="7"/>
      <c r="AN91" s="7"/>
      <c r="AO91" s="7"/>
      <c r="AP91" s="7"/>
      <c r="AQ91" s="7"/>
      <c r="AR91" s="7"/>
      <c r="AS91" s="7"/>
      <c r="AT91" s="7"/>
    </row>
    <row r="92" spans="1:46" x14ac:dyDescent="0.25">
      <c r="A92" s="7" t="s">
        <v>144</v>
      </c>
      <c r="B92" s="7" t="s">
        <v>46</v>
      </c>
      <c r="C92" s="7">
        <v>73</v>
      </c>
      <c r="D92" s="7">
        <v>5</v>
      </c>
      <c r="E92" s="7">
        <v>38</v>
      </c>
      <c r="F92" s="7">
        <v>40</v>
      </c>
      <c r="G92" s="8">
        <v>5.5E-2</v>
      </c>
      <c r="H92" s="7">
        <v>90</v>
      </c>
      <c r="I92" s="7" t="s">
        <v>41</v>
      </c>
      <c r="J92" s="7"/>
      <c r="K92" s="7">
        <v>38</v>
      </c>
      <c r="L92" s="7">
        <f t="shared" si="20"/>
        <v>0</v>
      </c>
      <c r="M92" s="7">
        <f t="shared" si="21"/>
        <v>38</v>
      </c>
      <c r="N92" s="7"/>
      <c r="O92" s="7">
        <v>34.399999999999991</v>
      </c>
      <c r="P92" s="7"/>
      <c r="Q92" s="7">
        <v>0</v>
      </c>
      <c r="R92" s="7">
        <v>19.600000000000009</v>
      </c>
      <c r="S92" s="7"/>
      <c r="T92" s="7"/>
      <c r="U92" s="7">
        <f t="shared" si="22"/>
        <v>7.6</v>
      </c>
      <c r="V92" s="4"/>
      <c r="W92" s="4"/>
      <c r="X92" s="7"/>
      <c r="Y92" s="7">
        <f t="shared" si="23"/>
        <v>12.368421052631579</v>
      </c>
      <c r="Z92" s="7">
        <f t="shared" si="24"/>
        <v>12.368421052631579</v>
      </c>
      <c r="AA92" s="7">
        <v>10</v>
      </c>
      <c r="AB92" s="7">
        <v>9.1999999999999993</v>
      </c>
      <c r="AC92" s="7">
        <v>7.6</v>
      </c>
      <c r="AD92" s="7">
        <v>6.8</v>
      </c>
      <c r="AE92" s="7">
        <v>10.6</v>
      </c>
      <c r="AF92" s="7">
        <v>12.16666666666667</v>
      </c>
      <c r="AG92" s="7">
        <v>6.833333333333333</v>
      </c>
      <c r="AH92" s="7">
        <v>5.4</v>
      </c>
      <c r="AI92" s="7"/>
      <c r="AJ92" s="7">
        <f t="shared" si="26"/>
        <v>0</v>
      </c>
      <c r="AK92" s="7"/>
      <c r="AL92" s="7"/>
      <c r="AM92" s="7"/>
      <c r="AN92" s="7"/>
      <c r="AO92" s="7"/>
      <c r="AP92" s="7"/>
      <c r="AQ92" s="7"/>
      <c r="AR92" s="7"/>
      <c r="AS92" s="7"/>
      <c r="AT92" s="7"/>
    </row>
    <row r="93" spans="1:46" x14ac:dyDescent="0.25">
      <c r="A93" s="11" t="s">
        <v>145</v>
      </c>
      <c r="B93" s="11" t="s">
        <v>46</v>
      </c>
      <c r="C93" s="11">
        <v>120</v>
      </c>
      <c r="D93" s="11"/>
      <c r="E93" s="11"/>
      <c r="F93" s="11">
        <v>4</v>
      </c>
      <c r="G93" s="12">
        <v>0</v>
      </c>
      <c r="H93" s="11" t="e">
        <v>#N/A</v>
      </c>
      <c r="I93" s="11" t="s">
        <v>64</v>
      </c>
      <c r="J93" s="11"/>
      <c r="K93" s="11">
        <v>6</v>
      </c>
      <c r="L93" s="11">
        <f t="shared" si="20"/>
        <v>-6</v>
      </c>
      <c r="M93" s="11">
        <f t="shared" si="21"/>
        <v>0</v>
      </c>
      <c r="N93" s="11"/>
      <c r="O93" s="11"/>
      <c r="P93" s="11"/>
      <c r="Q93" s="11"/>
      <c r="R93" s="11"/>
      <c r="S93" s="11"/>
      <c r="T93" s="11"/>
      <c r="U93" s="11">
        <f t="shared" si="22"/>
        <v>0</v>
      </c>
      <c r="V93" s="13"/>
      <c r="W93" s="13"/>
      <c r="X93" s="11"/>
      <c r="Y93" s="11" t="e">
        <f t="shared" si="23"/>
        <v>#DIV/0!</v>
      </c>
      <c r="Z93" s="11" t="e">
        <f t="shared" si="24"/>
        <v>#DIV/0!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/>
      <c r="AJ93" s="11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4" spans="1:46" x14ac:dyDescent="0.25">
      <c r="A94" s="11" t="s">
        <v>146</v>
      </c>
      <c r="B94" s="11" t="s">
        <v>46</v>
      </c>
      <c r="C94" s="11">
        <v>-1</v>
      </c>
      <c r="D94" s="11"/>
      <c r="E94" s="11"/>
      <c r="F94" s="11">
        <v>-1</v>
      </c>
      <c r="G94" s="12">
        <v>0</v>
      </c>
      <c r="H94" s="11" t="e">
        <v>#N/A</v>
      </c>
      <c r="I94" s="11" t="s">
        <v>64</v>
      </c>
      <c r="J94" s="11"/>
      <c r="K94" s="11"/>
      <c r="L94" s="11">
        <f t="shared" si="20"/>
        <v>0</v>
      </c>
      <c r="M94" s="11">
        <f t="shared" si="21"/>
        <v>0</v>
      </c>
      <c r="N94" s="11"/>
      <c r="O94" s="11">
        <v>0</v>
      </c>
      <c r="P94" s="11"/>
      <c r="Q94" s="11">
        <v>0</v>
      </c>
      <c r="R94" s="11">
        <v>0</v>
      </c>
      <c r="S94" s="11"/>
      <c r="T94" s="11"/>
      <c r="U94" s="11">
        <f t="shared" si="22"/>
        <v>0</v>
      </c>
      <c r="V94" s="13"/>
      <c r="W94" s="13"/>
      <c r="X94" s="11"/>
      <c r="Y94" s="11" t="e">
        <f t="shared" si="23"/>
        <v>#DIV/0!</v>
      </c>
      <c r="Z94" s="11" t="e">
        <f t="shared" si="24"/>
        <v>#DIV/0!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/>
      <c r="AJ94" s="11"/>
      <c r="AK94" s="7"/>
      <c r="AL94" s="7"/>
      <c r="AM94" s="7"/>
      <c r="AN94" s="7"/>
      <c r="AO94" s="7"/>
      <c r="AP94" s="7"/>
      <c r="AQ94" s="7"/>
      <c r="AR94" s="7"/>
      <c r="AS94" s="7"/>
      <c r="AT94" s="7"/>
    </row>
    <row r="95" spans="1:46" x14ac:dyDescent="0.25">
      <c r="A95" s="22" t="s">
        <v>147</v>
      </c>
      <c r="B95" s="22" t="s">
        <v>40</v>
      </c>
      <c r="C95" s="22">
        <v>4074.1329999999998</v>
      </c>
      <c r="D95" s="22">
        <v>5218.7139999999999</v>
      </c>
      <c r="E95" s="22">
        <v>3849.8110000000001</v>
      </c>
      <c r="F95" s="22">
        <v>4816.46</v>
      </c>
      <c r="G95" s="23">
        <v>1</v>
      </c>
      <c r="H95" s="22">
        <v>40</v>
      </c>
      <c r="I95" s="22" t="s">
        <v>41</v>
      </c>
      <c r="J95" s="22"/>
      <c r="K95" s="22">
        <v>3996.2840000000001</v>
      </c>
      <c r="L95" s="22">
        <f t="shared" si="20"/>
        <v>-146.47299999999996</v>
      </c>
      <c r="M95" s="22">
        <f t="shared" si="21"/>
        <v>3519.6090000000004</v>
      </c>
      <c r="N95" s="22">
        <v>330.202</v>
      </c>
      <c r="O95" s="22">
        <v>502.6903661899978</v>
      </c>
      <c r="P95" s="22"/>
      <c r="Q95" s="22">
        <v>0</v>
      </c>
      <c r="R95" s="22">
        <v>2104.255400476668</v>
      </c>
      <c r="S95" s="22">
        <v>2100</v>
      </c>
      <c r="T95" s="22">
        <v>2000</v>
      </c>
      <c r="U95" s="22">
        <f t="shared" si="22"/>
        <v>703.92180000000008</v>
      </c>
      <c r="V95" s="24">
        <f>11*U95*1.5-T95-S95-R95-P95-O95-F95</f>
        <v>91.303933333335408</v>
      </c>
      <c r="W95" s="24"/>
      <c r="X95" s="22"/>
      <c r="Y95" s="22">
        <f t="shared" si="23"/>
        <v>16.500000000000004</v>
      </c>
      <c r="Z95" s="22">
        <f t="shared" si="24"/>
        <v>16.370292505029202</v>
      </c>
      <c r="AA95" s="22">
        <v>784.23199999999997</v>
      </c>
      <c r="AB95" s="22">
        <v>764.19479999999999</v>
      </c>
      <c r="AC95" s="22">
        <v>810.47800000000007</v>
      </c>
      <c r="AD95" s="22">
        <v>783.82080000000008</v>
      </c>
      <c r="AE95" s="22">
        <v>744.96319999999992</v>
      </c>
      <c r="AF95" s="22">
        <v>668.07883333333336</v>
      </c>
      <c r="AG95" s="22">
        <v>718.29883333333328</v>
      </c>
      <c r="AH95" s="22">
        <v>771.76340000000005</v>
      </c>
      <c r="AI95" s="22" t="s">
        <v>53</v>
      </c>
      <c r="AJ95" s="22">
        <f t="shared" ref="AJ95:AJ101" si="28">G95*V95</f>
        <v>91.303933333335408</v>
      </c>
      <c r="AK95" s="7"/>
      <c r="AL95" s="7"/>
      <c r="AM95" s="7"/>
      <c r="AN95" s="7"/>
      <c r="AO95" s="7"/>
      <c r="AP95" s="7"/>
      <c r="AQ95" s="7"/>
      <c r="AR95" s="7"/>
      <c r="AS95" s="7"/>
      <c r="AT95" s="7"/>
    </row>
    <row r="96" spans="1:46" x14ac:dyDescent="0.25">
      <c r="A96" s="10" t="s">
        <v>148</v>
      </c>
      <c r="B96" s="7" t="s">
        <v>40</v>
      </c>
      <c r="C96" s="7"/>
      <c r="D96" s="7"/>
      <c r="E96" s="7"/>
      <c r="F96" s="7"/>
      <c r="G96" s="8">
        <v>1</v>
      </c>
      <c r="H96" s="7">
        <v>60</v>
      </c>
      <c r="I96" s="7" t="s">
        <v>41</v>
      </c>
      <c r="J96" s="7"/>
      <c r="K96" s="7"/>
      <c r="L96" s="7">
        <f t="shared" si="20"/>
        <v>0</v>
      </c>
      <c r="M96" s="7">
        <f t="shared" si="21"/>
        <v>0</v>
      </c>
      <c r="N96" s="7"/>
      <c r="O96" s="7"/>
      <c r="P96" s="7"/>
      <c r="Q96" s="7">
        <v>0</v>
      </c>
      <c r="R96" s="10"/>
      <c r="S96" s="7"/>
      <c r="T96" s="7"/>
      <c r="U96" s="7">
        <f t="shared" si="22"/>
        <v>0</v>
      </c>
      <c r="V96" s="17">
        <v>4</v>
      </c>
      <c r="W96" s="4"/>
      <c r="X96" s="7"/>
      <c r="Y96" s="7" t="e">
        <f t="shared" si="23"/>
        <v>#DIV/0!</v>
      </c>
      <c r="Z96" s="7" t="e">
        <f t="shared" si="24"/>
        <v>#DIV/0!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10" t="s">
        <v>149</v>
      </c>
      <c r="AJ96" s="7">
        <f t="shared" si="28"/>
        <v>4</v>
      </c>
      <c r="AK96" s="7"/>
      <c r="AL96" s="7"/>
      <c r="AM96" s="7"/>
      <c r="AN96" s="7"/>
      <c r="AO96" s="7"/>
      <c r="AP96" s="7"/>
      <c r="AQ96" s="7"/>
      <c r="AR96" s="7"/>
      <c r="AS96" s="7"/>
      <c r="AT96" s="7"/>
    </row>
    <row r="97" spans="1:46" x14ac:dyDescent="0.25">
      <c r="A97" s="7" t="s">
        <v>150</v>
      </c>
      <c r="B97" s="7" t="s">
        <v>46</v>
      </c>
      <c r="C97" s="7">
        <v>106</v>
      </c>
      <c r="D97" s="7">
        <v>288</v>
      </c>
      <c r="E97" s="7">
        <v>194</v>
      </c>
      <c r="F97" s="7">
        <v>185</v>
      </c>
      <c r="G97" s="8">
        <v>0.3</v>
      </c>
      <c r="H97" s="7">
        <v>40</v>
      </c>
      <c r="I97" s="7" t="s">
        <v>41</v>
      </c>
      <c r="J97" s="7"/>
      <c r="K97" s="7">
        <v>199</v>
      </c>
      <c r="L97" s="7">
        <f t="shared" si="20"/>
        <v>-5</v>
      </c>
      <c r="M97" s="7">
        <f t="shared" si="21"/>
        <v>194</v>
      </c>
      <c r="N97" s="7"/>
      <c r="O97" s="7">
        <v>89.399999999999977</v>
      </c>
      <c r="P97" s="7"/>
      <c r="Q97" s="7">
        <v>0</v>
      </c>
      <c r="R97" s="7">
        <v>69.733333333333235</v>
      </c>
      <c r="S97" s="7"/>
      <c r="T97" s="7"/>
      <c r="U97" s="7">
        <f t="shared" si="22"/>
        <v>38.799999999999997</v>
      </c>
      <c r="V97" s="4">
        <f t="shared" ref="V97:V100" si="29">12*U97-T97-S97-R97-P97-O97-F97</f>
        <v>121.46666666666675</v>
      </c>
      <c r="W97" s="4"/>
      <c r="X97" s="7"/>
      <c r="Y97" s="7">
        <f t="shared" si="23"/>
        <v>12</v>
      </c>
      <c r="Z97" s="7">
        <f t="shared" si="24"/>
        <v>8.8694158075601344</v>
      </c>
      <c r="AA97" s="7">
        <v>40.6</v>
      </c>
      <c r="AB97" s="7">
        <v>40</v>
      </c>
      <c r="AC97" s="7">
        <v>44.6</v>
      </c>
      <c r="AD97" s="7">
        <v>45.4</v>
      </c>
      <c r="AE97" s="7">
        <v>39</v>
      </c>
      <c r="AF97" s="7">
        <v>45.333333333333343</v>
      </c>
      <c r="AG97" s="7">
        <v>53.666666666666657</v>
      </c>
      <c r="AH97" s="7">
        <v>44.2</v>
      </c>
      <c r="AI97" s="7"/>
      <c r="AJ97" s="7">
        <f t="shared" si="28"/>
        <v>36.440000000000026</v>
      </c>
      <c r="AK97" s="7"/>
      <c r="AL97" s="7"/>
      <c r="AM97" s="7"/>
      <c r="AN97" s="7"/>
      <c r="AO97" s="7"/>
      <c r="AP97" s="7"/>
      <c r="AQ97" s="7"/>
      <c r="AR97" s="7"/>
      <c r="AS97" s="7"/>
      <c r="AT97" s="7"/>
    </row>
    <row r="98" spans="1:46" x14ac:dyDescent="0.25">
      <c r="A98" s="7" t="s">
        <v>151</v>
      </c>
      <c r="B98" s="7" t="s">
        <v>46</v>
      </c>
      <c r="C98" s="7">
        <v>31</v>
      </c>
      <c r="D98" s="7">
        <v>194</v>
      </c>
      <c r="E98" s="7">
        <v>102</v>
      </c>
      <c r="F98" s="7">
        <v>109</v>
      </c>
      <c r="G98" s="8">
        <v>0.3</v>
      </c>
      <c r="H98" s="7">
        <v>40</v>
      </c>
      <c r="I98" s="7" t="s">
        <v>41</v>
      </c>
      <c r="J98" s="7"/>
      <c r="K98" s="7">
        <v>106</v>
      </c>
      <c r="L98" s="7">
        <f t="shared" si="20"/>
        <v>-4</v>
      </c>
      <c r="M98" s="7">
        <f t="shared" si="21"/>
        <v>102</v>
      </c>
      <c r="N98" s="7"/>
      <c r="O98" s="7">
        <v>57.075639999999908</v>
      </c>
      <c r="P98" s="7"/>
      <c r="Q98" s="7">
        <v>0</v>
      </c>
      <c r="R98" s="7">
        <v>25.857693333333462</v>
      </c>
      <c r="S98" s="7"/>
      <c r="T98" s="7"/>
      <c r="U98" s="7">
        <f t="shared" si="22"/>
        <v>20.399999999999999</v>
      </c>
      <c r="V98" s="4">
        <f t="shared" si="29"/>
        <v>52.866666666666617</v>
      </c>
      <c r="W98" s="4"/>
      <c r="X98" s="7"/>
      <c r="Y98" s="7">
        <f t="shared" si="23"/>
        <v>12</v>
      </c>
      <c r="Z98" s="7">
        <f t="shared" si="24"/>
        <v>9.4084967320261459</v>
      </c>
      <c r="AA98" s="7">
        <v>22.6</v>
      </c>
      <c r="AB98" s="7">
        <v>23.2</v>
      </c>
      <c r="AC98" s="7">
        <v>24.6</v>
      </c>
      <c r="AD98" s="7">
        <v>24.8</v>
      </c>
      <c r="AE98" s="7">
        <v>20.2</v>
      </c>
      <c r="AF98" s="7">
        <v>21.833333333333329</v>
      </c>
      <c r="AG98" s="7">
        <v>25.666666666666671</v>
      </c>
      <c r="AH98" s="7">
        <v>21.4</v>
      </c>
      <c r="AI98" s="7" t="s">
        <v>152</v>
      </c>
      <c r="AJ98" s="7">
        <f t="shared" si="28"/>
        <v>15.859999999999985</v>
      </c>
      <c r="AK98" s="7"/>
      <c r="AL98" s="7"/>
      <c r="AM98" s="7"/>
      <c r="AN98" s="7"/>
      <c r="AO98" s="7"/>
      <c r="AP98" s="7"/>
      <c r="AQ98" s="7"/>
      <c r="AR98" s="7"/>
      <c r="AS98" s="7"/>
      <c r="AT98" s="7"/>
    </row>
    <row r="99" spans="1:46" x14ac:dyDescent="0.25">
      <c r="A99" s="7" t="s">
        <v>153</v>
      </c>
      <c r="B99" s="7" t="s">
        <v>40</v>
      </c>
      <c r="C99" s="7">
        <v>63.533000000000001</v>
      </c>
      <c r="D99" s="7">
        <v>52.155000000000001</v>
      </c>
      <c r="E99" s="7">
        <v>68.415000000000006</v>
      </c>
      <c r="F99" s="7">
        <v>45.929000000000002</v>
      </c>
      <c r="G99" s="8">
        <v>1</v>
      </c>
      <c r="H99" s="7">
        <v>50</v>
      </c>
      <c r="I99" s="7" t="s">
        <v>41</v>
      </c>
      <c r="J99" s="7"/>
      <c r="K99" s="7">
        <v>61.4</v>
      </c>
      <c r="L99" s="7">
        <f t="shared" si="20"/>
        <v>7.0150000000000077</v>
      </c>
      <c r="M99" s="7">
        <f t="shared" si="21"/>
        <v>68.415000000000006</v>
      </c>
      <c r="N99" s="7"/>
      <c r="O99" s="7">
        <v>44.241199999999992</v>
      </c>
      <c r="P99" s="7"/>
      <c r="Q99" s="7">
        <v>0</v>
      </c>
      <c r="R99" s="7">
        <v>0</v>
      </c>
      <c r="S99" s="7"/>
      <c r="T99" s="7"/>
      <c r="U99" s="7">
        <f t="shared" si="22"/>
        <v>13.683000000000002</v>
      </c>
      <c r="V99" s="4">
        <f t="shared" si="29"/>
        <v>74.025800000000032</v>
      </c>
      <c r="W99" s="4"/>
      <c r="X99" s="7"/>
      <c r="Y99" s="7">
        <f t="shared" si="23"/>
        <v>12</v>
      </c>
      <c r="Z99" s="7">
        <f t="shared" si="24"/>
        <v>6.5899437257911266</v>
      </c>
      <c r="AA99" s="7">
        <v>11.696400000000001</v>
      </c>
      <c r="AB99" s="7">
        <v>12.505000000000001</v>
      </c>
      <c r="AC99" s="7">
        <v>8.7232000000000003</v>
      </c>
      <c r="AD99" s="7">
        <v>10.574400000000001</v>
      </c>
      <c r="AE99" s="7">
        <v>7.8301999999999996</v>
      </c>
      <c r="AF99" s="7">
        <v>10.2995</v>
      </c>
      <c r="AG99" s="7">
        <v>12.304</v>
      </c>
      <c r="AH99" s="7">
        <v>13.163399999999999</v>
      </c>
      <c r="AI99" s="7"/>
      <c r="AJ99" s="7">
        <f t="shared" si="28"/>
        <v>74.025800000000032</v>
      </c>
      <c r="AK99" s="7"/>
      <c r="AL99" s="7"/>
      <c r="AM99" s="7"/>
      <c r="AN99" s="7"/>
      <c r="AO99" s="7"/>
      <c r="AP99" s="7"/>
      <c r="AQ99" s="7"/>
      <c r="AR99" s="7"/>
      <c r="AS99" s="7"/>
      <c r="AT99" s="7"/>
    </row>
    <row r="100" spans="1:46" x14ac:dyDescent="0.25">
      <c r="A100" s="7" t="s">
        <v>154</v>
      </c>
      <c r="B100" s="7" t="s">
        <v>46</v>
      </c>
      <c r="C100" s="7">
        <v>1</v>
      </c>
      <c r="D100" s="7">
        <v>72</v>
      </c>
      <c r="E100" s="7">
        <v>28</v>
      </c>
      <c r="F100" s="7">
        <v>42</v>
      </c>
      <c r="G100" s="8">
        <v>0.3</v>
      </c>
      <c r="H100" s="7">
        <v>40</v>
      </c>
      <c r="I100" s="7" t="s">
        <v>41</v>
      </c>
      <c r="J100" s="7"/>
      <c r="K100" s="7">
        <v>28</v>
      </c>
      <c r="L100" s="7">
        <f t="shared" si="20"/>
        <v>0</v>
      </c>
      <c r="M100" s="7">
        <f t="shared" si="21"/>
        <v>28</v>
      </c>
      <c r="N100" s="7"/>
      <c r="O100" s="7">
        <v>6</v>
      </c>
      <c r="P100" s="7"/>
      <c r="Q100" s="7">
        <v>0</v>
      </c>
      <c r="R100" s="7">
        <v>0</v>
      </c>
      <c r="S100" s="7"/>
      <c r="T100" s="7"/>
      <c r="U100" s="7">
        <f t="shared" si="22"/>
        <v>5.6</v>
      </c>
      <c r="V100" s="4">
        <f t="shared" si="29"/>
        <v>19.199999999999989</v>
      </c>
      <c r="W100" s="4"/>
      <c r="X100" s="7"/>
      <c r="Y100" s="7">
        <f t="shared" si="23"/>
        <v>11.999999999999998</v>
      </c>
      <c r="Z100" s="7">
        <f t="shared" si="24"/>
        <v>8.5714285714285712</v>
      </c>
      <c r="AA100" s="7">
        <v>5.8</v>
      </c>
      <c r="AB100" s="7">
        <v>6.2</v>
      </c>
      <c r="AC100" s="7">
        <v>7.4</v>
      </c>
      <c r="AD100" s="7">
        <v>8</v>
      </c>
      <c r="AE100" s="7">
        <v>4.4000000000000004</v>
      </c>
      <c r="AF100" s="7">
        <v>4.833333333333333</v>
      </c>
      <c r="AG100" s="7">
        <v>6.833333333333333</v>
      </c>
      <c r="AH100" s="7">
        <v>7</v>
      </c>
      <c r="AI100" s="7"/>
      <c r="AJ100" s="7">
        <f t="shared" si="28"/>
        <v>5.7599999999999962</v>
      </c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 spans="1:46" x14ac:dyDescent="0.25">
      <c r="A101" s="7" t="s">
        <v>155</v>
      </c>
      <c r="B101" s="7" t="s">
        <v>46</v>
      </c>
      <c r="C101" s="7"/>
      <c r="D101" s="7">
        <v>60</v>
      </c>
      <c r="E101" s="7">
        <v>-1</v>
      </c>
      <c r="F101" s="7">
        <v>56</v>
      </c>
      <c r="G101" s="8">
        <v>0.12</v>
      </c>
      <c r="H101" s="7">
        <v>45</v>
      </c>
      <c r="I101" s="7" t="s">
        <v>41</v>
      </c>
      <c r="J101" s="7"/>
      <c r="K101" s="7">
        <v>1</v>
      </c>
      <c r="L101" s="7">
        <f t="shared" si="20"/>
        <v>-2</v>
      </c>
      <c r="M101" s="7">
        <f t="shared" si="21"/>
        <v>-1</v>
      </c>
      <c r="N101" s="7"/>
      <c r="O101" s="7">
        <v>0</v>
      </c>
      <c r="P101" s="7"/>
      <c r="Q101" s="7">
        <v>0</v>
      </c>
      <c r="R101" s="7">
        <v>0</v>
      </c>
      <c r="S101" s="7"/>
      <c r="T101" s="7"/>
      <c r="U101" s="7">
        <f t="shared" si="22"/>
        <v>-0.2</v>
      </c>
      <c r="V101" s="4"/>
      <c r="W101" s="4"/>
      <c r="X101" s="7"/>
      <c r="Y101" s="7">
        <f t="shared" si="23"/>
        <v>-280</v>
      </c>
      <c r="Z101" s="7">
        <f t="shared" si="24"/>
        <v>-280</v>
      </c>
      <c r="AA101" s="7">
        <v>-0.4</v>
      </c>
      <c r="AB101" s="7">
        <v>-0.2</v>
      </c>
      <c r="AC101" s="7">
        <v>-0.6</v>
      </c>
      <c r="AD101" s="7">
        <v>-0.6</v>
      </c>
      <c r="AE101" s="7">
        <v>0</v>
      </c>
      <c r="AF101" s="7">
        <v>7.333333333333333</v>
      </c>
      <c r="AG101" s="7">
        <v>6.833333333333333</v>
      </c>
      <c r="AH101" s="7">
        <v>0</v>
      </c>
      <c r="AI101" s="7" t="s">
        <v>156</v>
      </c>
      <c r="AJ101" s="7">
        <f t="shared" si="28"/>
        <v>0</v>
      </c>
      <c r="AK101" s="7"/>
      <c r="AL101" s="7"/>
      <c r="AM101" s="7"/>
      <c r="AN101" s="7"/>
      <c r="AO101" s="7"/>
      <c r="AP101" s="7"/>
      <c r="AQ101" s="7"/>
      <c r="AR101" s="7"/>
      <c r="AS101" s="7"/>
      <c r="AT101" s="7"/>
    </row>
    <row r="102" spans="1:46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</row>
    <row r="103" spans="1:46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</row>
    <row r="104" spans="1:46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</row>
    <row r="105" spans="1:46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</row>
    <row r="106" spans="1:46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</row>
    <row r="107" spans="1:46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</row>
    <row r="108" spans="1:46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</row>
    <row r="109" spans="1:46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</row>
    <row r="110" spans="1:46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</row>
    <row r="111" spans="1:46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</row>
    <row r="112" spans="1:46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</row>
    <row r="113" spans="1:46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</row>
    <row r="114" spans="1:46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</row>
    <row r="115" spans="1:46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</row>
    <row r="116" spans="1:46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</row>
    <row r="117" spans="1:46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</row>
    <row r="118" spans="1:46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</row>
    <row r="119" spans="1:46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</row>
    <row r="120" spans="1:46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</row>
    <row r="121" spans="1:46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</row>
    <row r="122" spans="1:46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</row>
    <row r="123" spans="1:46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</row>
    <row r="124" spans="1:46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</row>
    <row r="125" spans="1:46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</row>
    <row r="126" spans="1:46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</row>
    <row r="127" spans="1:46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</row>
    <row r="128" spans="1:46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</row>
    <row r="129" spans="1:46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</row>
    <row r="130" spans="1:46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</row>
    <row r="131" spans="1:46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</row>
    <row r="132" spans="1:46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</row>
    <row r="133" spans="1:46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</row>
    <row r="134" spans="1:46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</row>
    <row r="135" spans="1:46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</row>
    <row r="136" spans="1:46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</row>
    <row r="137" spans="1:46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</row>
    <row r="138" spans="1:46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</row>
    <row r="139" spans="1:46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</row>
    <row r="140" spans="1:46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</row>
    <row r="141" spans="1:46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</row>
    <row r="142" spans="1:46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</row>
    <row r="143" spans="1:46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</row>
    <row r="144" spans="1:46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</row>
    <row r="145" spans="1:46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</row>
    <row r="146" spans="1:46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</row>
    <row r="147" spans="1:46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</row>
    <row r="148" spans="1:46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</row>
    <row r="149" spans="1:46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</row>
    <row r="150" spans="1:46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</row>
    <row r="151" spans="1:46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</row>
    <row r="152" spans="1:46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</row>
    <row r="153" spans="1:46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</row>
    <row r="154" spans="1:46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</row>
    <row r="155" spans="1:46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</row>
    <row r="156" spans="1:46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</row>
    <row r="157" spans="1:46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</row>
    <row r="158" spans="1:46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</row>
    <row r="159" spans="1:46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</row>
    <row r="160" spans="1:46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</row>
    <row r="161" spans="1:46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</row>
    <row r="162" spans="1:46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</row>
    <row r="163" spans="1:46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</row>
    <row r="164" spans="1:46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</row>
    <row r="165" spans="1:46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</row>
    <row r="166" spans="1:46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</row>
    <row r="167" spans="1:46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</row>
    <row r="168" spans="1:46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</row>
    <row r="169" spans="1:46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</row>
    <row r="170" spans="1:46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</row>
    <row r="171" spans="1:46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</row>
    <row r="172" spans="1:46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</row>
    <row r="173" spans="1:46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</row>
    <row r="174" spans="1:46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</row>
    <row r="175" spans="1:46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</row>
    <row r="176" spans="1:46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</row>
    <row r="177" spans="1:46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</row>
    <row r="178" spans="1:46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</row>
    <row r="179" spans="1:46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</row>
    <row r="180" spans="1:46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 spans="1:46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 spans="1:46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</row>
    <row r="183" spans="1:46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</row>
    <row r="184" spans="1:46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</row>
    <row r="185" spans="1:46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</row>
    <row r="186" spans="1:46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</row>
    <row r="187" spans="1:46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</row>
    <row r="188" spans="1:46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</row>
    <row r="189" spans="1:46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</row>
    <row r="190" spans="1:46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</row>
    <row r="191" spans="1:46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</row>
    <row r="192" spans="1:46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</row>
    <row r="193" spans="1:46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</row>
    <row r="194" spans="1:46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</row>
    <row r="195" spans="1:46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</row>
    <row r="196" spans="1:46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 spans="1:46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</row>
    <row r="198" spans="1:46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</row>
    <row r="199" spans="1:46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</row>
    <row r="200" spans="1:46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</row>
    <row r="201" spans="1:46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</row>
    <row r="202" spans="1:46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</row>
    <row r="203" spans="1:46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</row>
    <row r="204" spans="1:46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</row>
    <row r="205" spans="1:46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</row>
    <row r="206" spans="1:46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</row>
    <row r="207" spans="1:46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</row>
    <row r="208" spans="1:46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</row>
    <row r="209" spans="1:46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</row>
    <row r="210" spans="1:46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</row>
    <row r="211" spans="1:46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</row>
    <row r="212" spans="1:46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 spans="1:46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</row>
    <row r="214" spans="1:46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 spans="1:46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 spans="1:46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17" spans="1:46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</row>
    <row r="218" spans="1:46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 spans="1:46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</row>
    <row r="220" spans="1:46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 spans="1:46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</row>
    <row r="222" spans="1:46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</row>
    <row r="223" spans="1:46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 spans="1:46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</row>
    <row r="225" spans="1:46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</row>
    <row r="226" spans="1:46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 spans="1:46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 spans="1:46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 spans="1:46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</row>
    <row r="230" spans="1:46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</row>
    <row r="231" spans="1:46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</row>
    <row r="232" spans="1:46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 spans="1:46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</row>
    <row r="234" spans="1:46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</row>
    <row r="235" spans="1:46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</row>
    <row r="236" spans="1:46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</row>
    <row r="237" spans="1:46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</row>
    <row r="238" spans="1:46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</row>
    <row r="239" spans="1:46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</row>
    <row r="240" spans="1:46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</row>
    <row r="241" spans="1:46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</row>
    <row r="242" spans="1:46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 spans="1:46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 spans="1:46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 spans="1:46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 spans="1:46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</row>
    <row r="247" spans="1:46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spans="1:46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</row>
    <row r="249" spans="1:46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</row>
    <row r="250" spans="1:46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</row>
    <row r="251" spans="1:46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</row>
    <row r="252" spans="1:46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</row>
    <row r="253" spans="1:46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</row>
    <row r="254" spans="1:46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</row>
    <row r="255" spans="1:46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</row>
    <row r="256" spans="1:46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</row>
    <row r="257" spans="1:46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</row>
    <row r="258" spans="1:46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</row>
    <row r="259" spans="1:46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</row>
    <row r="260" spans="1:46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 spans="1:46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</row>
    <row r="262" spans="1:46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</row>
    <row r="263" spans="1:46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</row>
    <row r="264" spans="1:46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</row>
    <row r="265" spans="1:46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</row>
    <row r="266" spans="1:46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</row>
    <row r="267" spans="1:46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</row>
    <row r="268" spans="1:46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</row>
    <row r="269" spans="1:46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</row>
    <row r="270" spans="1:46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</row>
    <row r="271" spans="1:46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</row>
    <row r="272" spans="1:46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</row>
    <row r="273" spans="1:46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</row>
    <row r="274" spans="1:46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</row>
    <row r="275" spans="1:46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</row>
    <row r="276" spans="1:46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</row>
    <row r="277" spans="1:46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</row>
    <row r="278" spans="1:46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</row>
    <row r="279" spans="1:46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</row>
    <row r="280" spans="1:46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</row>
    <row r="281" spans="1:46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</row>
    <row r="282" spans="1:46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</row>
    <row r="283" spans="1:46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</row>
    <row r="284" spans="1:46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</row>
    <row r="285" spans="1:46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</row>
    <row r="286" spans="1:46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</row>
    <row r="287" spans="1:46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</row>
    <row r="288" spans="1:46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</row>
    <row r="289" spans="1:46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</row>
    <row r="290" spans="1:46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</row>
    <row r="291" spans="1:46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</row>
    <row r="292" spans="1:46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</row>
    <row r="293" spans="1:46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</row>
    <row r="294" spans="1:46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</row>
    <row r="295" spans="1:46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</row>
    <row r="296" spans="1:46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</row>
    <row r="297" spans="1:46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</row>
    <row r="298" spans="1:46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</row>
    <row r="299" spans="1:46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</row>
    <row r="300" spans="1:46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</row>
    <row r="301" spans="1:46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</row>
    <row r="302" spans="1:46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</row>
    <row r="303" spans="1:46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</row>
    <row r="304" spans="1:46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</row>
    <row r="305" spans="1:46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</row>
    <row r="306" spans="1:46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</row>
    <row r="307" spans="1:46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</row>
    <row r="308" spans="1:46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</row>
    <row r="309" spans="1:46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</row>
    <row r="310" spans="1:46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</row>
    <row r="311" spans="1:46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</row>
    <row r="312" spans="1:46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</row>
    <row r="313" spans="1:46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</row>
    <row r="314" spans="1:46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</row>
    <row r="315" spans="1:46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</row>
    <row r="316" spans="1:46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</row>
    <row r="317" spans="1:46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</row>
    <row r="318" spans="1:46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</row>
    <row r="319" spans="1:46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</row>
    <row r="320" spans="1:46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</row>
    <row r="321" spans="1:46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</row>
    <row r="322" spans="1:46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</row>
    <row r="323" spans="1:46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</row>
    <row r="324" spans="1:46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</row>
    <row r="325" spans="1:46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</row>
    <row r="326" spans="1:46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</row>
    <row r="327" spans="1:46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</row>
    <row r="328" spans="1:46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</row>
    <row r="329" spans="1:46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</row>
    <row r="330" spans="1:46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  <row r="331" spans="1:46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 spans="1:46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  <row r="333" spans="1:46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 spans="1:46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</row>
    <row r="335" spans="1:46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</row>
    <row r="336" spans="1:46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</row>
    <row r="337" spans="1:46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</row>
    <row r="338" spans="1:46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</row>
    <row r="339" spans="1:46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</row>
    <row r="340" spans="1:46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</row>
    <row r="341" spans="1:46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</row>
    <row r="342" spans="1:46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</row>
    <row r="343" spans="1:46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</row>
    <row r="344" spans="1:46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</row>
    <row r="345" spans="1:46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 spans="1:46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</row>
    <row r="347" spans="1:46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 spans="1:46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</row>
    <row r="349" spans="1:46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</row>
    <row r="350" spans="1:46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</row>
    <row r="351" spans="1:46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</row>
    <row r="352" spans="1:46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</row>
    <row r="353" spans="1:46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 spans="1:46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</row>
    <row r="355" spans="1:46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</row>
    <row r="356" spans="1:46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</row>
    <row r="357" spans="1:46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 spans="1:46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 spans="1:46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</row>
    <row r="360" spans="1:46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</row>
    <row r="361" spans="1:46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</row>
    <row r="362" spans="1:46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</row>
    <row r="363" spans="1:46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</row>
    <row r="364" spans="1:46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</row>
    <row r="365" spans="1:46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</row>
    <row r="366" spans="1:46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</row>
    <row r="367" spans="1:46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</row>
    <row r="368" spans="1:46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</row>
    <row r="369" spans="1:46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</row>
    <row r="370" spans="1:46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</row>
    <row r="371" spans="1:46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</row>
    <row r="372" spans="1:46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</row>
    <row r="373" spans="1:46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</row>
    <row r="374" spans="1:46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</row>
    <row r="375" spans="1:46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</row>
    <row r="376" spans="1:46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</row>
    <row r="377" spans="1:46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</row>
    <row r="378" spans="1:46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</row>
    <row r="379" spans="1:46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</row>
    <row r="380" spans="1:46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</row>
    <row r="381" spans="1:46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</row>
    <row r="382" spans="1:46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</row>
    <row r="383" spans="1:46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</row>
    <row r="384" spans="1:46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</row>
    <row r="385" spans="1:46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</row>
    <row r="386" spans="1:46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</row>
    <row r="387" spans="1:46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</row>
    <row r="388" spans="1:46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</row>
    <row r="389" spans="1:46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</row>
    <row r="390" spans="1:46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</row>
    <row r="391" spans="1:46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</row>
    <row r="392" spans="1:46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</row>
    <row r="393" spans="1:46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</row>
    <row r="394" spans="1:46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</row>
    <row r="395" spans="1:46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</row>
    <row r="396" spans="1:46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</row>
    <row r="397" spans="1:46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</row>
    <row r="398" spans="1:46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</row>
    <row r="399" spans="1:46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</row>
    <row r="400" spans="1:46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</row>
    <row r="401" spans="1:46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</row>
    <row r="402" spans="1:46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</row>
    <row r="403" spans="1:46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</row>
    <row r="404" spans="1:46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</row>
    <row r="405" spans="1:46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</row>
    <row r="406" spans="1:46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</row>
    <row r="407" spans="1:46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</row>
    <row r="408" spans="1:46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</row>
    <row r="409" spans="1:46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</row>
    <row r="410" spans="1:46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</row>
    <row r="411" spans="1:46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</row>
    <row r="412" spans="1:46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</row>
    <row r="413" spans="1:46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</row>
    <row r="414" spans="1:46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</row>
    <row r="415" spans="1:46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</row>
    <row r="416" spans="1:46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</row>
    <row r="417" spans="1:46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</row>
    <row r="418" spans="1:46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</row>
    <row r="419" spans="1:46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</row>
    <row r="420" spans="1:46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</row>
    <row r="421" spans="1:46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</row>
    <row r="422" spans="1:46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</row>
    <row r="423" spans="1:46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</row>
    <row r="424" spans="1:46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</row>
    <row r="425" spans="1:46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</row>
    <row r="426" spans="1:46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</row>
    <row r="427" spans="1:46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</row>
    <row r="428" spans="1:46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</row>
    <row r="429" spans="1:46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</row>
    <row r="430" spans="1:46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</row>
    <row r="431" spans="1:46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</row>
    <row r="432" spans="1:46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</row>
    <row r="433" spans="1:46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</row>
    <row r="434" spans="1:46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</row>
    <row r="435" spans="1:46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</row>
    <row r="436" spans="1:46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</row>
    <row r="437" spans="1:46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</row>
    <row r="438" spans="1:46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</row>
    <row r="439" spans="1:46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</row>
    <row r="440" spans="1:46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</row>
    <row r="441" spans="1:46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</row>
    <row r="442" spans="1:46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</row>
    <row r="443" spans="1:46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</row>
    <row r="444" spans="1:46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</row>
    <row r="445" spans="1:46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</row>
    <row r="446" spans="1:46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</row>
    <row r="447" spans="1:46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</row>
    <row r="448" spans="1:46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</row>
    <row r="449" spans="1:46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</row>
    <row r="450" spans="1:46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</row>
    <row r="451" spans="1:46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</row>
    <row r="452" spans="1:46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</row>
    <row r="453" spans="1:46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</row>
    <row r="454" spans="1:46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</row>
    <row r="455" spans="1:46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</row>
    <row r="456" spans="1:46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</row>
    <row r="457" spans="1:46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</row>
    <row r="458" spans="1:46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</row>
    <row r="459" spans="1:46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</row>
    <row r="460" spans="1:46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</row>
    <row r="461" spans="1:46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</row>
    <row r="462" spans="1:46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</row>
    <row r="463" spans="1:46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</row>
    <row r="464" spans="1:46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</row>
    <row r="465" spans="1:46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</row>
    <row r="466" spans="1:46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</row>
    <row r="467" spans="1:46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</row>
    <row r="468" spans="1:46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</row>
    <row r="469" spans="1:46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</row>
    <row r="470" spans="1:46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</row>
    <row r="471" spans="1:46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</row>
    <row r="472" spans="1:46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</row>
    <row r="473" spans="1:46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</row>
    <row r="474" spans="1:46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</row>
    <row r="475" spans="1:46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</row>
    <row r="476" spans="1:46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</row>
    <row r="477" spans="1:46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</row>
    <row r="478" spans="1:46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</row>
    <row r="479" spans="1:46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</row>
    <row r="480" spans="1:46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</row>
    <row r="481" spans="1:46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</row>
    <row r="482" spans="1:46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</row>
    <row r="483" spans="1:46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</row>
    <row r="484" spans="1:46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</row>
    <row r="485" spans="1:46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</row>
    <row r="486" spans="1:46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</row>
    <row r="487" spans="1:46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</row>
    <row r="488" spans="1:46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</row>
    <row r="489" spans="1:46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</row>
    <row r="490" spans="1:46" x14ac:dyDescent="0.25">
      <c r="A490" s="7"/>
      <c r="B490" s="7"/>
      <c r="C490" s="7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</row>
    <row r="491" spans="1:46" x14ac:dyDescent="0.25">
      <c r="A491" s="7"/>
      <c r="B491" s="7"/>
      <c r="C491" s="7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</row>
    <row r="492" spans="1:46" x14ac:dyDescent="0.25">
      <c r="A492" s="7"/>
      <c r="B492" s="7"/>
      <c r="C492" s="7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</row>
    <row r="493" spans="1:46" x14ac:dyDescent="0.25">
      <c r="A493" s="7"/>
      <c r="B493" s="7"/>
      <c r="C493" s="7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</row>
    <row r="494" spans="1:46" x14ac:dyDescent="0.25">
      <c r="A494" s="7"/>
      <c r="B494" s="7"/>
      <c r="C494" s="7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</row>
    <row r="495" spans="1:46" x14ac:dyDescent="0.25">
      <c r="A495" s="7"/>
      <c r="B495" s="7"/>
      <c r="C495" s="7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</row>
    <row r="496" spans="1:46" x14ac:dyDescent="0.25">
      <c r="A496" s="7"/>
      <c r="B496" s="7"/>
      <c r="C496" s="7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</row>
    <row r="497" spans="1:46" x14ac:dyDescent="0.25">
      <c r="A497" s="7"/>
      <c r="B497" s="7"/>
      <c r="C497" s="7"/>
      <c r="D497" s="7"/>
      <c r="E497" s="7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</row>
    <row r="498" spans="1:46" x14ac:dyDescent="0.25">
      <c r="A498" s="7"/>
      <c r="B498" s="7"/>
      <c r="C498" s="7"/>
      <c r="D498" s="7"/>
      <c r="E498" s="7"/>
      <c r="F498" s="7"/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</row>
    <row r="499" spans="1:46" x14ac:dyDescent="0.25">
      <c r="A499" s="7"/>
      <c r="B499" s="7"/>
      <c r="C499" s="7"/>
      <c r="D499" s="7"/>
      <c r="E499" s="7"/>
      <c r="F499" s="7"/>
      <c r="G499" s="8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</row>
    <row r="500" spans="1:46" x14ac:dyDescent="0.25">
      <c r="A500" s="7"/>
      <c r="B500" s="7"/>
      <c r="C500" s="7"/>
      <c r="D500" s="7"/>
      <c r="E500" s="7"/>
      <c r="F500" s="7"/>
      <c r="G500" s="8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</row>
  </sheetData>
  <autoFilter ref="A3:AJ10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2026-01-29T12:12:15Z</dcterms:created>
  <dcterms:modified xsi:type="dcterms:W3CDTF">2026-01-29T12:37:15Z</dcterms:modified>
</cp:coreProperties>
</file>