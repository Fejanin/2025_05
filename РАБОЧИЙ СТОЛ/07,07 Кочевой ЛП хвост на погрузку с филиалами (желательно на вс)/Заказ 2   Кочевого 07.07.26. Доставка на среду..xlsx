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BCCA1E03-AAC9-4A2E-9F24-361497811B8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P435" i="2"/>
  <c r="BO434" i="2"/>
  <c r="BM434" i="2"/>
  <c r="Y434" i="2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Y343" i="2" s="1"/>
  <c r="P340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Y155" i="2" s="1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Y57" i="2" s="1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375" i="2" l="1"/>
  <c r="Z172" i="2"/>
  <c r="BN172" i="2"/>
  <c r="Z460" i="2"/>
  <c r="Z462" i="2" s="1"/>
  <c r="Z82" i="2"/>
  <c r="Z265" i="2"/>
  <c r="BN265" i="2"/>
  <c r="BP239" i="2"/>
  <c r="Y427" i="2"/>
  <c r="BP500" i="2"/>
  <c r="Y138" i="2"/>
  <c r="Y207" i="2"/>
  <c r="Y25" i="2"/>
  <c r="Z78" i="2"/>
  <c r="Z136" i="2"/>
  <c r="Y166" i="2"/>
  <c r="Z214" i="2"/>
  <c r="BN214" i="2"/>
  <c r="Z255" i="2"/>
  <c r="BN255" i="2"/>
  <c r="Z333" i="2"/>
  <c r="Z355" i="2"/>
  <c r="BN355" i="2"/>
  <c r="Z387" i="2"/>
  <c r="Y421" i="2"/>
  <c r="Z425" i="2"/>
  <c r="Z479" i="2"/>
  <c r="BP497" i="2"/>
  <c r="BP32" i="2"/>
  <c r="BN55" i="2"/>
  <c r="BN66" i="2"/>
  <c r="Z66" i="2"/>
  <c r="BP89" i="2"/>
  <c r="BN89" i="2"/>
  <c r="Z89" i="2"/>
  <c r="BN108" i="2"/>
  <c r="BN123" i="2"/>
  <c r="BN169" i="2"/>
  <c r="Z169" i="2"/>
  <c r="BN174" i="2"/>
  <c r="BP174" i="2"/>
  <c r="BN184" i="2"/>
  <c r="BP184" i="2"/>
  <c r="Y195" i="2"/>
  <c r="Z193" i="2"/>
  <c r="Z194" i="2" s="1"/>
  <c r="BP204" i="2"/>
  <c r="BN204" i="2"/>
  <c r="Z204" i="2"/>
  <c r="BN219" i="2"/>
  <c r="BP219" i="2"/>
  <c r="BP225" i="2"/>
  <c r="BN225" i="2"/>
  <c r="Z225" i="2"/>
  <c r="BP232" i="2"/>
  <c r="BN232" i="2"/>
  <c r="Z232" i="2"/>
  <c r="BN250" i="2"/>
  <c r="BN260" i="2"/>
  <c r="BN272" i="2"/>
  <c r="BP272" i="2"/>
  <c r="BN278" i="2"/>
  <c r="BN293" i="2"/>
  <c r="BP293" i="2"/>
  <c r="Y303" i="2"/>
  <c r="Y302" i="2"/>
  <c r="BN301" i="2"/>
  <c r="BN325" i="2"/>
  <c r="BN334" i="2"/>
  <c r="Z334" i="2"/>
  <c r="BP347" i="2"/>
  <c r="BN347" i="2"/>
  <c r="Z347" i="2"/>
  <c r="BP367" i="2"/>
  <c r="Z367" i="2"/>
  <c r="BP401" i="2"/>
  <c r="BN401" i="2"/>
  <c r="Z401" i="2"/>
  <c r="BN410" i="2"/>
  <c r="BN452" i="2"/>
  <c r="BP471" i="2"/>
  <c r="BN471" i="2"/>
  <c r="Z471" i="2"/>
  <c r="BP485" i="2"/>
  <c r="BN485" i="2"/>
  <c r="Z485" i="2"/>
  <c r="BN502" i="2"/>
  <c r="Z502" i="2"/>
  <c r="BN517" i="2"/>
  <c r="X538" i="2"/>
  <c r="Z32" i="2"/>
  <c r="Z43" i="2"/>
  <c r="BN43" i="2"/>
  <c r="BN46" i="2"/>
  <c r="Y67" i="2"/>
  <c r="BP66" i="2"/>
  <c r="BN71" i="2"/>
  <c r="BN115" i="2"/>
  <c r="Y131" i="2"/>
  <c r="BP169" i="2"/>
  <c r="BP170" i="2"/>
  <c r="BN170" i="2"/>
  <c r="Z170" i="2"/>
  <c r="BN215" i="2"/>
  <c r="BN240" i="2"/>
  <c r="BN285" i="2"/>
  <c r="BN311" i="2"/>
  <c r="Y337" i="2"/>
  <c r="BP334" i="2"/>
  <c r="BP336" i="2"/>
  <c r="BN336" i="2"/>
  <c r="Z336" i="2"/>
  <c r="BN341" i="2"/>
  <c r="BP341" i="2"/>
  <c r="BN358" i="2"/>
  <c r="BN385" i="2"/>
  <c r="BP385" i="2"/>
  <c r="BN418" i="2"/>
  <c r="Y431" i="2"/>
  <c r="Y430" i="2"/>
  <c r="Z429" i="2"/>
  <c r="Z430" i="2" s="1"/>
  <c r="BP435" i="2"/>
  <c r="Z435" i="2"/>
  <c r="BP454" i="2"/>
  <c r="Z454" i="2"/>
  <c r="BN470" i="2"/>
  <c r="Z470" i="2"/>
  <c r="BN483" i="2"/>
  <c r="Z483" i="2"/>
  <c r="Z512" i="2"/>
  <c r="Z513" i="2" s="1"/>
  <c r="Y513" i="2"/>
  <c r="BN512" i="2"/>
  <c r="BP78" i="2"/>
  <c r="BN118" i="2"/>
  <c r="BN125" i="2"/>
  <c r="BP136" i="2"/>
  <c r="BN175" i="2"/>
  <c r="Y186" i="2"/>
  <c r="BN182" i="2"/>
  <c r="BN189" i="2"/>
  <c r="BN199" i="2"/>
  <c r="BN217" i="2"/>
  <c r="BN220" i="2"/>
  <c r="BN227" i="2"/>
  <c r="BN244" i="2"/>
  <c r="BN275" i="2"/>
  <c r="BN280" i="2"/>
  <c r="BN291" i="2"/>
  <c r="BN294" i="2"/>
  <c r="BN317" i="2"/>
  <c r="BN363" i="2"/>
  <c r="BP375" i="2"/>
  <c r="BN380" i="2"/>
  <c r="BN408" i="2"/>
  <c r="BN413" i="2"/>
  <c r="BN420" i="2"/>
  <c r="BP425" i="2"/>
  <c r="Y447" i="2"/>
  <c r="BN453" i="2"/>
  <c r="BP460" i="2"/>
  <c r="Y474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X537" i="2" s="1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56" i="2" s="1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Z426" i="2" s="1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Z84" i="2" s="1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457" i="2" l="1"/>
  <c r="Z389" i="2"/>
  <c r="Z395" i="2"/>
  <c r="Z298" i="2"/>
  <c r="Z110" i="2"/>
  <c r="Z421" i="2"/>
  <c r="Z402" i="2"/>
  <c r="Z185" i="2"/>
  <c r="Z446" i="2"/>
  <c r="Z342" i="2"/>
  <c r="Z251" i="2"/>
  <c r="Y538" i="2"/>
  <c r="Z161" i="2"/>
  <c r="Z328" i="2"/>
  <c r="Z321" i="2"/>
  <c r="Z99" i="2"/>
  <c r="Z74" i="2"/>
  <c r="Z56" i="2"/>
  <c r="Z349" i="2"/>
  <c r="Z473" i="2"/>
  <c r="Z127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<sst xmlns="http://schemas.openxmlformats.org/spreadsheetml/2006/main" count="4047" uniqueCount="860">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</sst>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87">
        <v>4680115887657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70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87">
        <v>4680115887619</v>
      </c>
      <c r="E32" s="68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9"/>
      <c r="R32" s="689"/>
      <c r="S32" s="689"/>
      <c r="T32" s="69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95"/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6"/>
      <c r="P34" s="692" t="s">
        <v>40</v>
      </c>
      <c r="Q34" s="693"/>
      <c r="R34" s="693"/>
      <c r="S34" s="693"/>
      <c r="T34" s="693"/>
      <c r="U34" s="693"/>
      <c r="V34" s="694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86" t="s">
        <v>107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686"/>
      <c r="P35" s="686"/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87">
        <v>4607091388503</v>
      </c>
      <c r="E36" s="68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9"/>
      <c r="R36" s="689"/>
      <c r="S36" s="689"/>
      <c r="T36" s="69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95"/>
      <c r="B38" s="695"/>
      <c r="C38" s="695"/>
      <c r="D38" s="695"/>
      <c r="E38" s="695"/>
      <c r="F38" s="695"/>
      <c r="G38" s="695"/>
      <c r="H38" s="695"/>
      <c r="I38" s="695"/>
      <c r="J38" s="695"/>
      <c r="K38" s="695"/>
      <c r="L38" s="695"/>
      <c r="M38" s="695"/>
      <c r="N38" s="695"/>
      <c r="O38" s="696"/>
      <c r="P38" s="692" t="s">
        <v>40</v>
      </c>
      <c r="Q38" s="693"/>
      <c r="R38" s="693"/>
      <c r="S38" s="693"/>
      <c r="T38" s="693"/>
      <c r="U38" s="693"/>
      <c r="V38" s="69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84" t="s">
        <v>45</v>
      </c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  <c r="U39" s="684"/>
      <c r="V39" s="684"/>
      <c r="W39" s="684"/>
      <c r="X39" s="684"/>
      <c r="Y39" s="684"/>
      <c r="Z39" s="684"/>
      <c r="AA39" s="54"/>
      <c r="AB39" s="54"/>
      <c r="AC39" s="54"/>
    </row>
    <row r="40" spans="1:68" ht="16.5" customHeight="1" x14ac:dyDescent="0.25">
      <c r="A40" s="685" t="s">
        <v>113</v>
      </c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  <c r="N40" s="685"/>
      <c r="O40" s="685"/>
      <c r="P40" s="685"/>
      <c r="Q40" s="685"/>
      <c r="R40" s="685"/>
      <c r="S40" s="685"/>
      <c r="T40" s="685"/>
      <c r="U40" s="685"/>
      <c r="V40" s="685"/>
      <c r="W40" s="685"/>
      <c r="X40" s="685"/>
      <c r="Y40" s="685"/>
      <c r="Z40" s="685"/>
      <c r="AA40" s="65"/>
      <c r="AB40" s="65"/>
      <c r="AC40" s="79"/>
    </row>
    <row r="41" spans="1:68" ht="14.25" customHeight="1" x14ac:dyDescent="0.25">
      <c r="A41" s="686" t="s">
        <v>86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86"/>
      <c r="W41" s="686"/>
      <c r="X41" s="686"/>
      <c r="Y41" s="686"/>
      <c r="Z41" s="686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4301052187</v>
      </c>
      <c r="D42" s="687">
        <v>4680115889354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4301052198</v>
      </c>
      <c r="D43" s="687">
        <v>4680115888463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4301052202</v>
      </c>
      <c r="D44" s="687">
        <v>4680115888494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87">
        <v>4680115888272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87">
        <v>4680115888364</v>
      </c>
      <c r="E46" s="687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89"/>
      <c r="R46" s="689"/>
      <c r="S46" s="689"/>
      <c r="T46" s="690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695"/>
      <c r="B48" s="695"/>
      <c r="C48" s="695"/>
      <c r="D48" s="695"/>
      <c r="E48" s="695"/>
      <c r="F48" s="695"/>
      <c r="G48" s="695"/>
      <c r="H48" s="695"/>
      <c r="I48" s="695"/>
      <c r="J48" s="695"/>
      <c r="K48" s="695"/>
      <c r="L48" s="695"/>
      <c r="M48" s="695"/>
      <c r="N48" s="695"/>
      <c r="O48" s="696"/>
      <c r="P48" s="692" t="s">
        <v>40</v>
      </c>
      <c r="Q48" s="693"/>
      <c r="R48" s="693"/>
      <c r="S48" s="693"/>
      <c r="T48" s="693"/>
      <c r="U48" s="693"/>
      <c r="V48" s="694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customHeight="1" x14ac:dyDescent="0.2">
      <c r="A49" s="684" t="s">
        <v>130</v>
      </c>
      <c r="B49" s="684"/>
      <c r="C49" s="684"/>
      <c r="D49" s="684"/>
      <c r="E49" s="684"/>
      <c r="F49" s="684"/>
      <c r="G49" s="684"/>
      <c r="H49" s="684"/>
      <c r="I49" s="684"/>
      <c r="J49" s="684"/>
      <c r="K49" s="684"/>
      <c r="L49" s="684"/>
      <c r="M49" s="684"/>
      <c r="N49" s="684"/>
      <c r="O49" s="684"/>
      <c r="P49" s="684"/>
      <c r="Q49" s="684"/>
      <c r="R49" s="684"/>
      <c r="S49" s="684"/>
      <c r="T49" s="684"/>
      <c r="U49" s="684"/>
      <c r="V49" s="684"/>
      <c r="W49" s="684"/>
      <c r="X49" s="684"/>
      <c r="Y49" s="684"/>
      <c r="Z49" s="684"/>
      <c r="AA49" s="54"/>
      <c r="AB49" s="54"/>
      <c r="AC49" s="54"/>
    </row>
    <row r="50" spans="1:68" ht="16.5" customHeight="1" x14ac:dyDescent="0.25">
      <c r="A50" s="685" t="s">
        <v>131</v>
      </c>
      <c r="B50" s="685"/>
      <c r="C50" s="685"/>
      <c r="D50" s="685"/>
      <c r="E50" s="685"/>
      <c r="F50" s="685"/>
      <c r="G50" s="685"/>
      <c r="H50" s="685"/>
      <c r="I50" s="685"/>
      <c r="J50" s="685"/>
      <c r="K50" s="685"/>
      <c r="L50" s="685"/>
      <c r="M50" s="685"/>
      <c r="N50" s="685"/>
      <c r="O50" s="685"/>
      <c r="P50" s="685"/>
      <c r="Q50" s="685"/>
      <c r="R50" s="685"/>
      <c r="S50" s="685"/>
      <c r="T50" s="685"/>
      <c r="U50" s="685"/>
      <c r="V50" s="685"/>
      <c r="W50" s="685"/>
      <c r="X50" s="685"/>
      <c r="Y50" s="685"/>
      <c r="Z50" s="685"/>
      <c r="AA50" s="65"/>
      <c r="AB50" s="65"/>
      <c r="AC50" s="79"/>
    </row>
    <row r="51" spans="1:68" ht="14.25" customHeight="1" x14ac:dyDescent="0.25">
      <c r="A51" s="686" t="s">
        <v>132</v>
      </c>
      <c r="B51" s="686"/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6"/>
      <c r="S51" s="686"/>
      <c r="T51" s="686"/>
      <c r="U51" s="686"/>
      <c r="V51" s="686"/>
      <c r="W51" s="686"/>
      <c r="X51" s="686"/>
      <c r="Y51" s="686"/>
      <c r="Z51" s="686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87">
        <v>4607091385670</v>
      </c>
      <c r="E52" s="687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IFERROR(IF(Y52=0,"",ROUNDUP(Y52/H52,0)*0.01898),"")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4301012053</v>
      </c>
      <c r="D53" s="687">
        <v>4680115887725</v>
      </c>
      <c r="E53" s="687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87">
        <v>4607091385687</v>
      </c>
      <c r="E54" s="687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customHeight="1" x14ac:dyDescent="0.25">
      <c r="A55" s="63" t="s">
        <v>145</v>
      </c>
      <c r="B55" s="63" t="s">
        <v>146</v>
      </c>
      <c r="C55" s="36">
        <v>4301011565</v>
      </c>
      <c r="D55" s="687">
        <v>4680115882539</v>
      </c>
      <c r="E55" s="687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89"/>
      <c r="R55" s="689"/>
      <c r="S55" s="689"/>
      <c r="T55" s="690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39</v>
      </c>
      <c r="X56" s="43">
        <f>IFERROR(X52/H52,"0")+IFERROR(X53/H53,"0")+IFERROR(X54/H54,"0")+IFERROR(X55/H55,"0")</f>
        <v>0</v>
      </c>
      <c r="Y56" s="43">
        <f>IFERROR(Y52/H52,"0")+IFERROR(Y53/H53,"0")+IFERROR(Y54/H54,"0")+IFERROR(Y55/H55,"0")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695"/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6"/>
      <c r="P57" s="692" t="s">
        <v>40</v>
      </c>
      <c r="Q57" s="693"/>
      <c r="R57" s="693"/>
      <c r="S57" s="693"/>
      <c r="T57" s="693"/>
      <c r="U57" s="693"/>
      <c r="V57" s="694"/>
      <c r="W57" s="42" t="s">
        <v>0</v>
      </c>
      <c r="X57" s="43">
        <f>IFERROR(SUM(X52:X55),"0")</f>
        <v>0</v>
      </c>
      <c r="Y57" s="43">
        <f>IFERROR(SUM(Y52:Y55),"0")</f>
        <v>0</v>
      </c>
      <c r="Z57" s="42"/>
      <c r="AA57" s="67"/>
      <c r="AB57" s="67"/>
      <c r="AC57" s="67"/>
    </row>
    <row r="58" spans="1:68" ht="16.5" customHeight="1" x14ac:dyDescent="0.25">
      <c r="A58" s="685" t="s">
        <v>147</v>
      </c>
      <c r="B58" s="685"/>
      <c r="C58" s="685"/>
      <c r="D58" s="685"/>
      <c r="E58" s="685"/>
      <c r="F58" s="685"/>
      <c r="G58" s="685"/>
      <c r="H58" s="685"/>
      <c r="I58" s="685"/>
      <c r="J58" s="685"/>
      <c r="K58" s="685"/>
      <c r="L58" s="685"/>
      <c r="M58" s="685"/>
      <c r="N58" s="685"/>
      <c r="O58" s="685"/>
      <c r="P58" s="685"/>
      <c r="Q58" s="685"/>
      <c r="R58" s="685"/>
      <c r="S58" s="685"/>
      <c r="T58" s="685"/>
      <c r="U58" s="685"/>
      <c r="V58" s="685"/>
      <c r="W58" s="685"/>
      <c r="X58" s="685"/>
      <c r="Y58" s="685"/>
      <c r="Z58" s="685"/>
      <c r="AA58" s="65"/>
      <c r="AB58" s="65"/>
      <c r="AC58" s="79"/>
    </row>
    <row r="59" spans="1:68" ht="14.25" customHeight="1" x14ac:dyDescent="0.25">
      <c r="A59" s="686" t="s">
        <v>132</v>
      </c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6"/>
      <c r="N59" s="686"/>
      <c r="O59" s="686"/>
      <c r="P59" s="686"/>
      <c r="Q59" s="686"/>
      <c r="R59" s="686"/>
      <c r="S59" s="686"/>
      <c r="T59" s="686"/>
      <c r="U59" s="686"/>
      <c r="V59" s="686"/>
      <c r="W59" s="686"/>
      <c r="X59" s="686"/>
      <c r="Y59" s="686"/>
      <c r="Z59" s="686"/>
      <c r="AA59" s="66"/>
      <c r="AB59" s="66"/>
      <c r="AC59" s="80"/>
    </row>
    <row r="60" spans="1:68" ht="27" customHeight="1" x14ac:dyDescent="0.25">
      <c r="A60" s="63" t="s">
        <v>148</v>
      </c>
      <c r="B60" s="63" t="s">
        <v>149</v>
      </c>
      <c r="C60" s="36">
        <v>4301012030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customHeight="1" x14ac:dyDescent="0.25">
      <c r="A61" s="63" t="s">
        <v>148</v>
      </c>
      <c r="B61" s="63" t="s">
        <v>151</v>
      </c>
      <c r="C61" s="36">
        <v>4301012161</v>
      </c>
      <c r="D61" s="687">
        <v>4680115885882</v>
      </c>
      <c r="E61" s="687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87">
        <v>4680115881426</v>
      </c>
      <c r="E62" s="687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4301011386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89"/>
      <c r="R63" s="689"/>
      <c r="S63" s="689"/>
      <c r="T63" s="69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IFERROR(X60/H60,"0")+IFERROR(X61/H61,"0")+IFERROR(X62/H62,"0")+IFERROR(X63/H63,"0")+IFERROR(X64/H64,"0")+IFERROR(X65/H65,"0")+IFERROR(X66/H66,"0")</f>
        <v>0</v>
      </c>
      <c r="Y67" s="43">
        <f>IFERROR(Y60/H60,"0")+IFERROR(Y61/H61,"0")+IFERROR(Y62/H62,"0")+IFERROR(Y63/H63,"0")+IFERROR(Y64/H64,"0")+IFERROR(Y65/H65,"0")+IFERROR(Y66/H66,"0")</f>
        <v>0</v>
      </c>
      <c r="Z67" s="43">
        <f>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IFERROR(SUM(X60:X66),"0")</f>
        <v>0</v>
      </c>
      <c r="Y68" s="43">
        <f>IFERROR(SUM(Y60:Y66),"0")</f>
        <v>0</v>
      </c>
      <c r="Z68" s="42"/>
      <c r="AA68" s="67"/>
      <c r="AB68" s="67"/>
      <c r="AC68" s="67"/>
    </row>
    <row r="69" spans="1:68" ht="14.25" customHeight="1" x14ac:dyDescent="0.25">
      <c r="A69" s="686" t="s">
        <v>167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171</v>
      </c>
      <c r="B71" s="63" t="s">
        <v>172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86" t="s">
        <v>184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85" t="s">
        <v>191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customHeight="1" x14ac:dyDescent="0.25">
      <c r="A87" s="686" t="s">
        <v>132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205</v>
      </c>
      <c r="B96" s="63" t="s">
        <v>206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85" t="s">
        <v>212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customHeight="1" x14ac:dyDescent="0.25">
      <c r="A102" s="686" t="s">
        <v>132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219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customHeight="1" x14ac:dyDescent="0.25">
      <c r="A106" s="63" t="s">
        <v>220</v>
      </c>
      <c r="B106" s="63" t="s">
        <v>221</v>
      </c>
      <c r="C106" s="36">
        <v>4301012226</v>
      </c>
      <c r="D106" s="687">
        <v>4680115887749</v>
      </c>
      <c r="E106" s="687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73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87">
        <v>4680115880269</v>
      </c>
      <c r="E107" s="68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87">
        <v>4680115880429</v>
      </c>
      <c r="E108" s="68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87">
        <v>4680115881457</v>
      </c>
      <c r="E109" s="68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9"/>
      <c r="R109" s="689"/>
      <c r="S109" s="689"/>
      <c r="T109" s="69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95"/>
      <c r="B111" s="695"/>
      <c r="C111" s="695"/>
      <c r="D111" s="695"/>
      <c r="E111" s="695"/>
      <c r="F111" s="695"/>
      <c r="G111" s="695"/>
      <c r="H111" s="695"/>
      <c r="I111" s="695"/>
      <c r="J111" s="695"/>
      <c r="K111" s="695"/>
      <c r="L111" s="695"/>
      <c r="M111" s="695"/>
      <c r="N111" s="695"/>
      <c r="O111" s="696"/>
      <c r="P111" s="692" t="s">
        <v>40</v>
      </c>
      <c r="Q111" s="693"/>
      <c r="R111" s="693"/>
      <c r="S111" s="693"/>
      <c r="T111" s="693"/>
      <c r="U111" s="693"/>
      <c r="V111" s="694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customHeight="1" x14ac:dyDescent="0.25">
      <c r="A112" s="686" t="s">
        <v>167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customHeight="1" x14ac:dyDescent="0.25">
      <c r="A114" s="63" t="s">
        <v>228</v>
      </c>
      <c r="B114" s="63" t="s">
        <v>231</v>
      </c>
      <c r="C114" s="36">
        <v>4301020391</v>
      </c>
      <c r="D114" s="687">
        <v>4680115881488</v>
      </c>
      <c r="E114" s="687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4301020186</v>
      </c>
      <c r="D115" s="687">
        <v>4680115887664</v>
      </c>
      <c r="E115" s="687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233</v>
      </c>
      <c r="B116" s="63" t="s">
        <v>237</v>
      </c>
      <c r="C116" s="36">
        <v>4301020430</v>
      </c>
      <c r="D116" s="687">
        <v>4680115887664</v>
      </c>
      <c r="E116" s="687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4301020393</v>
      </c>
      <c r="D117" s="687">
        <v>4680115882775</v>
      </c>
      <c r="E117" s="68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customHeight="1" x14ac:dyDescent="0.25">
      <c r="A119" s="63" t="s">
        <v>240</v>
      </c>
      <c r="B119" s="63" t="s">
        <v>242</v>
      </c>
      <c r="C119" s="36">
        <v>4301020392</v>
      </c>
      <c r="D119" s="687">
        <v>4680115880658</v>
      </c>
      <c r="E119" s="68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89"/>
      <c r="R119" s="689"/>
      <c r="S119" s="689"/>
      <c r="T119" s="690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95"/>
      <c r="B121" s="695"/>
      <c r="C121" s="695"/>
      <c r="D121" s="695"/>
      <c r="E121" s="695"/>
      <c r="F121" s="695"/>
      <c r="G121" s="695"/>
      <c r="H121" s="695"/>
      <c r="I121" s="695"/>
      <c r="J121" s="695"/>
      <c r="K121" s="695"/>
      <c r="L121" s="695"/>
      <c r="M121" s="695"/>
      <c r="N121" s="695"/>
      <c r="O121" s="696"/>
      <c r="P121" s="692" t="s">
        <v>40</v>
      </c>
      <c r="Q121" s="693"/>
      <c r="R121" s="693"/>
      <c r="S121" s="693"/>
      <c r="T121" s="693"/>
      <c r="U121" s="693"/>
      <c r="V121" s="694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customHeight="1" x14ac:dyDescent="0.25">
      <c r="A122" s="686" t="s">
        <v>86</v>
      </c>
      <c r="B122" s="686"/>
      <c r="C122" s="686"/>
      <c r="D122" s="686"/>
      <c r="E122" s="686"/>
      <c r="F122" s="686"/>
      <c r="G122" s="686"/>
      <c r="H122" s="686"/>
      <c r="I122" s="686"/>
      <c r="J122" s="686"/>
      <c r="K122" s="686"/>
      <c r="L122" s="686"/>
      <c r="M122" s="686"/>
      <c r="N122" s="686"/>
      <c r="O122" s="686"/>
      <c r="P122" s="686"/>
      <c r="Q122" s="686"/>
      <c r="R122" s="686"/>
      <c r="S122" s="686"/>
      <c r="T122" s="686"/>
      <c r="U122" s="686"/>
      <c r="V122" s="686"/>
      <c r="W122" s="686"/>
      <c r="X122" s="686"/>
      <c r="Y122" s="686"/>
      <c r="Z122" s="686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87">
        <v>4607091385168</v>
      </c>
      <c r="E123" s="68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246</v>
      </c>
      <c r="B124" s="63" t="s">
        <v>247</v>
      </c>
      <c r="C124" s="36">
        <v>4301051730</v>
      </c>
      <c r="D124" s="687">
        <v>4607091383256</v>
      </c>
      <c r="E124" s="68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87">
        <v>4607091385748</v>
      </c>
      <c r="E125" s="68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87">
        <v>4680115884533</v>
      </c>
      <c r="E126" s="68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9"/>
      <c r="R126" s="689"/>
      <c r="S126" s="689"/>
      <c r="T126" s="69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695"/>
      <c r="B128" s="695"/>
      <c r="C128" s="695"/>
      <c r="D128" s="695"/>
      <c r="E128" s="695"/>
      <c r="F128" s="695"/>
      <c r="G128" s="695"/>
      <c r="H128" s="695"/>
      <c r="I128" s="695"/>
      <c r="J128" s="695"/>
      <c r="K128" s="695"/>
      <c r="L128" s="695"/>
      <c r="M128" s="695"/>
      <c r="N128" s="695"/>
      <c r="O128" s="696"/>
      <c r="P128" s="692" t="s">
        <v>40</v>
      </c>
      <c r="Q128" s="693"/>
      <c r="R128" s="693"/>
      <c r="S128" s="693"/>
      <c r="T128" s="693"/>
      <c r="U128" s="693"/>
      <c r="V128" s="694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customHeight="1" x14ac:dyDescent="0.25">
      <c r="A129" s="686" t="s">
        <v>184</v>
      </c>
      <c r="B129" s="686"/>
      <c r="C129" s="686"/>
      <c r="D129" s="686"/>
      <c r="E129" s="686"/>
      <c r="F129" s="686"/>
      <c r="G129" s="686"/>
      <c r="H129" s="686"/>
      <c r="I129" s="686"/>
      <c r="J129" s="686"/>
      <c r="K129" s="686"/>
      <c r="L129" s="686"/>
      <c r="M129" s="686"/>
      <c r="N129" s="686"/>
      <c r="O129" s="686"/>
      <c r="P129" s="686"/>
      <c r="Q129" s="686"/>
      <c r="R129" s="686"/>
      <c r="S129" s="686"/>
      <c r="T129" s="686"/>
      <c r="U129" s="686"/>
      <c r="V129" s="686"/>
      <c r="W129" s="686"/>
      <c r="X129" s="686"/>
      <c r="Y129" s="686"/>
      <c r="Z129" s="686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87">
        <v>4680115880238</v>
      </c>
      <c r="E130" s="68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89"/>
      <c r="R130" s="689"/>
      <c r="S130" s="689"/>
      <c r="T130" s="69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95"/>
      <c r="B132" s="695"/>
      <c r="C132" s="695"/>
      <c r="D132" s="695"/>
      <c r="E132" s="695"/>
      <c r="F132" s="695"/>
      <c r="G132" s="695"/>
      <c r="H132" s="695"/>
      <c r="I132" s="695"/>
      <c r="J132" s="695"/>
      <c r="K132" s="695"/>
      <c r="L132" s="695"/>
      <c r="M132" s="695"/>
      <c r="N132" s="695"/>
      <c r="O132" s="696"/>
      <c r="P132" s="692" t="s">
        <v>40</v>
      </c>
      <c r="Q132" s="693"/>
      <c r="R132" s="693"/>
      <c r="S132" s="693"/>
      <c r="T132" s="693"/>
      <c r="U132" s="693"/>
      <c r="V132" s="69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85" t="s">
        <v>256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  <c r="M133" s="685"/>
      <c r="N133" s="685"/>
      <c r="O133" s="685"/>
      <c r="P133" s="685"/>
      <c r="Q133" s="685"/>
      <c r="R133" s="685"/>
      <c r="S133" s="685"/>
      <c r="T133" s="685"/>
      <c r="U133" s="685"/>
      <c r="V133" s="685"/>
      <c r="W133" s="685"/>
      <c r="X133" s="685"/>
      <c r="Y133" s="685"/>
      <c r="Z133" s="685"/>
      <c r="AA133" s="65"/>
      <c r="AB133" s="65"/>
      <c r="AC133" s="79"/>
    </row>
    <row r="134" spans="1:68" ht="14.25" customHeight="1" x14ac:dyDescent="0.25">
      <c r="A134" s="686" t="s">
        <v>132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4301011562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87">
        <v>4680115882577</v>
      </c>
      <c r="E136" s="68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9"/>
      <c r="R136" s="689"/>
      <c r="S136" s="689"/>
      <c r="T136" s="69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95"/>
      <c r="B138" s="695"/>
      <c r="C138" s="695"/>
      <c r="D138" s="695"/>
      <c r="E138" s="695"/>
      <c r="F138" s="695"/>
      <c r="G138" s="695"/>
      <c r="H138" s="695"/>
      <c r="I138" s="695"/>
      <c r="J138" s="695"/>
      <c r="K138" s="695"/>
      <c r="L138" s="695"/>
      <c r="M138" s="695"/>
      <c r="N138" s="695"/>
      <c r="O138" s="696"/>
      <c r="P138" s="692" t="s">
        <v>40</v>
      </c>
      <c r="Q138" s="693"/>
      <c r="R138" s="693"/>
      <c r="S138" s="693"/>
      <c r="T138" s="693"/>
      <c r="U138" s="693"/>
      <c r="V138" s="69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86" t="s">
        <v>77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261</v>
      </c>
      <c r="B141" s="63" t="s">
        <v>264</v>
      </c>
      <c r="C141" s="36">
        <v>4301031235</v>
      </c>
      <c r="D141" s="687">
        <v>4680115883444</v>
      </c>
      <c r="E141" s="68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89"/>
      <c r="R141" s="689"/>
      <c r="S141" s="689"/>
      <c r="T141" s="69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95"/>
      <c r="B143" s="695"/>
      <c r="C143" s="695"/>
      <c r="D143" s="695"/>
      <c r="E143" s="695"/>
      <c r="F143" s="695"/>
      <c r="G143" s="695"/>
      <c r="H143" s="695"/>
      <c r="I143" s="695"/>
      <c r="J143" s="695"/>
      <c r="K143" s="695"/>
      <c r="L143" s="695"/>
      <c r="M143" s="695"/>
      <c r="N143" s="695"/>
      <c r="O143" s="696"/>
      <c r="P143" s="692" t="s">
        <v>40</v>
      </c>
      <c r="Q143" s="693"/>
      <c r="R143" s="693"/>
      <c r="S143" s="693"/>
      <c r="T143" s="693"/>
      <c r="U143" s="693"/>
      <c r="V143" s="69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86" t="s">
        <v>86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87">
        <v>4680115882584</v>
      </c>
      <c r="E146" s="68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9"/>
      <c r="R146" s="689"/>
      <c r="S146" s="689"/>
      <c r="T146" s="69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95"/>
      <c r="B148" s="695"/>
      <c r="C148" s="695"/>
      <c r="D148" s="695"/>
      <c r="E148" s="695"/>
      <c r="F148" s="695"/>
      <c r="G148" s="695"/>
      <c r="H148" s="695"/>
      <c r="I148" s="695"/>
      <c r="J148" s="695"/>
      <c r="K148" s="695"/>
      <c r="L148" s="695"/>
      <c r="M148" s="695"/>
      <c r="N148" s="695"/>
      <c r="O148" s="696"/>
      <c r="P148" s="692" t="s">
        <v>40</v>
      </c>
      <c r="Q148" s="693"/>
      <c r="R148" s="693"/>
      <c r="S148" s="693"/>
      <c r="T148" s="693"/>
      <c r="U148" s="693"/>
      <c r="V148" s="69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85" t="s">
        <v>268</v>
      </c>
      <c r="B149" s="685"/>
      <c r="C149" s="685"/>
      <c r="D149" s="685"/>
      <c r="E149" s="685"/>
      <c r="F149" s="685"/>
      <c r="G149" s="685"/>
      <c r="H149" s="685"/>
      <c r="I149" s="685"/>
      <c r="J149" s="685"/>
      <c r="K149" s="685"/>
      <c r="L149" s="685"/>
      <c r="M149" s="685"/>
      <c r="N149" s="685"/>
      <c r="O149" s="685"/>
      <c r="P149" s="685"/>
      <c r="Q149" s="685"/>
      <c r="R149" s="685"/>
      <c r="S149" s="685"/>
      <c r="T149" s="685"/>
      <c r="U149" s="685"/>
      <c r="V149" s="685"/>
      <c r="W149" s="685"/>
      <c r="X149" s="685"/>
      <c r="Y149" s="685"/>
      <c r="Z149" s="685"/>
      <c r="AA149" s="65"/>
      <c r="AB149" s="65"/>
      <c r="AC149" s="79"/>
    </row>
    <row r="150" spans="1:68" ht="14.25" customHeight="1" x14ac:dyDescent="0.25">
      <c r="A150" s="686" t="s">
        <v>86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87">
        <v>4680115888203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87">
        <v>4680115888180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87">
        <v>4680115888197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87">
        <v>4680115888210</v>
      </c>
      <c r="E154" s="68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89"/>
      <c r="R154" s="689"/>
      <c r="S154" s="689"/>
      <c r="T154" s="69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95"/>
      <c r="B156" s="695"/>
      <c r="C156" s="695"/>
      <c r="D156" s="695"/>
      <c r="E156" s="695"/>
      <c r="F156" s="695"/>
      <c r="G156" s="695"/>
      <c r="H156" s="695"/>
      <c r="I156" s="695"/>
      <c r="J156" s="695"/>
      <c r="K156" s="695"/>
      <c r="L156" s="695"/>
      <c r="M156" s="695"/>
      <c r="N156" s="695"/>
      <c r="O156" s="696"/>
      <c r="P156" s="692" t="s">
        <v>40</v>
      </c>
      <c r="Q156" s="693"/>
      <c r="R156" s="693"/>
      <c r="S156" s="693"/>
      <c r="T156" s="693"/>
      <c r="U156" s="693"/>
      <c r="V156" s="694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customHeight="1" x14ac:dyDescent="0.25">
      <c r="A157" s="685" t="s">
        <v>130</v>
      </c>
      <c r="B157" s="685"/>
      <c r="C157" s="685"/>
      <c r="D157" s="685"/>
      <c r="E157" s="685"/>
      <c r="F157" s="685"/>
      <c r="G157" s="685"/>
      <c r="H157" s="685"/>
      <c r="I157" s="685"/>
      <c r="J157" s="685"/>
      <c r="K157" s="685"/>
      <c r="L157" s="685"/>
      <c r="M157" s="685"/>
      <c r="N157" s="685"/>
      <c r="O157" s="685"/>
      <c r="P157" s="685"/>
      <c r="Q157" s="685"/>
      <c r="R157" s="685"/>
      <c r="S157" s="685"/>
      <c r="T157" s="685"/>
      <c r="U157" s="685"/>
      <c r="V157" s="685"/>
      <c r="W157" s="685"/>
      <c r="X157" s="685"/>
      <c r="Y157" s="685"/>
      <c r="Z157" s="685"/>
      <c r="AA157" s="65"/>
      <c r="AB157" s="65"/>
      <c r="AC157" s="79"/>
    </row>
    <row r="158" spans="1:68" ht="14.25" customHeight="1" x14ac:dyDescent="0.25">
      <c r="A158" s="686" t="s">
        <v>132</v>
      </c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6"/>
      <c r="N158" s="686"/>
      <c r="O158" s="686"/>
      <c r="P158" s="686"/>
      <c r="Q158" s="686"/>
      <c r="R158" s="686"/>
      <c r="S158" s="686"/>
      <c r="T158" s="686"/>
      <c r="U158" s="686"/>
      <c r="V158" s="686"/>
      <c r="W158" s="686"/>
      <c r="X158" s="686"/>
      <c r="Y158" s="686"/>
      <c r="Z158" s="686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87">
        <v>4680115887374</v>
      </c>
      <c r="E159" s="687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87">
        <v>4607091384604</v>
      </c>
      <c r="E160" s="68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89"/>
      <c r="R160" s="689"/>
      <c r="S160" s="689"/>
      <c r="T160" s="69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695"/>
      <c r="B162" s="695"/>
      <c r="C162" s="695"/>
      <c r="D162" s="695"/>
      <c r="E162" s="695"/>
      <c r="F162" s="695"/>
      <c r="G162" s="695"/>
      <c r="H162" s="695"/>
      <c r="I162" s="695"/>
      <c r="J162" s="695"/>
      <c r="K162" s="695"/>
      <c r="L162" s="695"/>
      <c r="M162" s="695"/>
      <c r="N162" s="695"/>
      <c r="O162" s="696"/>
      <c r="P162" s="692" t="s">
        <v>40</v>
      </c>
      <c r="Q162" s="693"/>
      <c r="R162" s="693"/>
      <c r="S162" s="693"/>
      <c r="T162" s="693"/>
      <c r="U162" s="693"/>
      <c r="V162" s="694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customHeight="1" x14ac:dyDescent="0.25">
      <c r="A163" s="686" t="s">
        <v>167</v>
      </c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6"/>
      <c r="N163" s="686"/>
      <c r="O163" s="686"/>
      <c r="P163" s="686"/>
      <c r="Q163" s="686"/>
      <c r="R163" s="686"/>
      <c r="S163" s="686"/>
      <c r="T163" s="686"/>
      <c r="U163" s="686"/>
      <c r="V163" s="686"/>
      <c r="W163" s="686"/>
      <c r="X163" s="686"/>
      <c r="Y163" s="686"/>
      <c r="Z163" s="686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87">
        <v>4680115887695</v>
      </c>
      <c r="E164" s="687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89"/>
      <c r="R164" s="689"/>
      <c r="S164" s="689"/>
      <c r="T164" s="69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95"/>
      <c r="B166" s="695"/>
      <c r="C166" s="695"/>
      <c r="D166" s="695"/>
      <c r="E166" s="695"/>
      <c r="F166" s="695"/>
      <c r="G166" s="695"/>
      <c r="H166" s="695"/>
      <c r="I166" s="695"/>
      <c r="J166" s="695"/>
      <c r="K166" s="695"/>
      <c r="L166" s="695"/>
      <c r="M166" s="695"/>
      <c r="N166" s="695"/>
      <c r="O166" s="696"/>
      <c r="P166" s="692" t="s">
        <v>40</v>
      </c>
      <c r="Q166" s="693"/>
      <c r="R166" s="693"/>
      <c r="S166" s="693"/>
      <c r="T166" s="693"/>
      <c r="U166" s="693"/>
      <c r="V166" s="694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customHeight="1" x14ac:dyDescent="0.25">
      <c r="A167" s="686" t="s">
        <v>77</v>
      </c>
      <c r="B167" s="686"/>
      <c r="C167" s="686"/>
      <c r="D167" s="686"/>
      <c r="E167" s="686"/>
      <c r="F167" s="686"/>
      <c r="G167" s="686"/>
      <c r="H167" s="686"/>
      <c r="I167" s="686"/>
      <c r="J167" s="686"/>
      <c r="K167" s="686"/>
      <c r="L167" s="686"/>
      <c r="M167" s="686"/>
      <c r="N167" s="686"/>
      <c r="O167" s="686"/>
      <c r="P167" s="686"/>
      <c r="Q167" s="686"/>
      <c r="R167" s="686"/>
      <c r="S167" s="686"/>
      <c r="T167" s="686"/>
      <c r="U167" s="686"/>
      <c r="V167" s="686"/>
      <c r="W167" s="686"/>
      <c r="X167" s="686"/>
      <c r="Y167" s="686"/>
      <c r="Z167" s="686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87">
        <v>4680115887428</v>
      </c>
      <c r="E168" s="687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87">
        <v>4607091382426</v>
      </c>
      <c r="E169" s="687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87">
        <v>4680115887398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87">
        <v>4680115887336</v>
      </c>
      <c r="E171" s="68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87">
        <v>4680115887787</v>
      </c>
      <c r="E172" s="687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87">
        <v>4680115887503</v>
      </c>
      <c r="E173" s="687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87">
        <v>4680115887763</v>
      </c>
      <c r="E174" s="687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310</v>
      </c>
      <c r="C175" s="36">
        <v>4301031510</v>
      </c>
      <c r="D175" s="687">
        <v>4680115887763</v>
      </c>
      <c r="E175" s="687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87">
        <v>4680115887480</v>
      </c>
      <c r="E176" s="68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87">
        <v>4680115888067</v>
      </c>
      <c r="E177" s="687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87">
        <v>4680115887435</v>
      </c>
      <c r="E178" s="68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9"/>
      <c r="R178" s="689"/>
      <c r="S178" s="689"/>
      <c r="T178" s="69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95"/>
      <c r="B180" s="695"/>
      <c r="C180" s="695"/>
      <c r="D180" s="695"/>
      <c r="E180" s="695"/>
      <c r="F180" s="695"/>
      <c r="G180" s="695"/>
      <c r="H180" s="695"/>
      <c r="I180" s="695"/>
      <c r="J180" s="695"/>
      <c r="K180" s="695"/>
      <c r="L180" s="695"/>
      <c r="M180" s="695"/>
      <c r="N180" s="695"/>
      <c r="O180" s="696"/>
      <c r="P180" s="692" t="s">
        <v>40</v>
      </c>
      <c r="Q180" s="693"/>
      <c r="R180" s="693"/>
      <c r="S180" s="693"/>
      <c r="T180" s="693"/>
      <c r="U180" s="693"/>
      <c r="V180" s="694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customHeight="1" x14ac:dyDescent="0.25">
      <c r="A181" s="686" t="s">
        <v>86</v>
      </c>
      <c r="B181" s="686"/>
      <c r="C181" s="686"/>
      <c r="D181" s="686"/>
      <c r="E181" s="686"/>
      <c r="F181" s="686"/>
      <c r="G181" s="686"/>
      <c r="H181" s="686"/>
      <c r="I181" s="686"/>
      <c r="J181" s="686"/>
      <c r="K181" s="686"/>
      <c r="L181" s="686"/>
      <c r="M181" s="686"/>
      <c r="N181" s="686"/>
      <c r="O181" s="686"/>
      <c r="P181" s="686"/>
      <c r="Q181" s="686"/>
      <c r="R181" s="686"/>
      <c r="S181" s="686"/>
      <c r="T181" s="686"/>
      <c r="U181" s="686"/>
      <c r="V181" s="686"/>
      <c r="W181" s="686"/>
      <c r="X181" s="686"/>
      <c r="Y181" s="686"/>
      <c r="Z181" s="686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87">
        <v>4680115888395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87">
        <v>4680115888371</v>
      </c>
      <c r="E183" s="687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4301052064</v>
      </c>
      <c r="D184" s="687">
        <v>4680115887459</v>
      </c>
      <c r="E184" s="687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9"/>
      <c r="R184" s="689"/>
      <c r="S184" s="689"/>
      <c r="T184" s="69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95"/>
      <c r="B186" s="695"/>
      <c r="C186" s="695"/>
      <c r="D186" s="695"/>
      <c r="E186" s="695"/>
      <c r="F186" s="695"/>
      <c r="G186" s="695"/>
      <c r="H186" s="695"/>
      <c r="I186" s="695"/>
      <c r="J186" s="695"/>
      <c r="K186" s="695"/>
      <c r="L186" s="695"/>
      <c r="M186" s="695"/>
      <c r="N186" s="695"/>
      <c r="O186" s="696"/>
      <c r="P186" s="692" t="s">
        <v>40</v>
      </c>
      <c r="Q186" s="693"/>
      <c r="R186" s="693"/>
      <c r="S186" s="693"/>
      <c r="T186" s="693"/>
      <c r="U186" s="693"/>
      <c r="V186" s="69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86" t="s">
        <v>107</v>
      </c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6"/>
      <c r="N187" s="686"/>
      <c r="O187" s="686"/>
      <c r="P187" s="686"/>
      <c r="Q187" s="686"/>
      <c r="R187" s="686"/>
      <c r="S187" s="686"/>
      <c r="T187" s="686"/>
      <c r="U187" s="686"/>
      <c r="V187" s="686"/>
      <c r="W187" s="686"/>
      <c r="X187" s="686"/>
      <c r="Y187" s="686"/>
      <c r="Z187" s="686"/>
      <c r="AA187" s="66"/>
      <c r="AB187" s="66"/>
      <c r="AC187" s="80"/>
    </row>
    <row r="188" spans="1:68" ht="16.5" customHeight="1" x14ac:dyDescent="0.25">
      <c r="A188" s="63" t="s">
        <v>327</v>
      </c>
      <c r="B188" s="63" t="s">
        <v>328</v>
      </c>
      <c r="C188" s="36">
        <v>4301032058</v>
      </c>
      <c r="D188" s="687">
        <v>4680115889026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87">
        <v>4680115889088</v>
      </c>
      <c r="E189" s="68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9"/>
      <c r="R189" s="689"/>
      <c r="S189" s="689"/>
      <c r="T189" s="69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95"/>
      <c r="B191" s="695"/>
      <c r="C191" s="695"/>
      <c r="D191" s="695"/>
      <c r="E191" s="695"/>
      <c r="F191" s="695"/>
      <c r="G191" s="695"/>
      <c r="H191" s="695"/>
      <c r="I191" s="695"/>
      <c r="J191" s="695"/>
      <c r="K191" s="695"/>
      <c r="L191" s="695"/>
      <c r="M191" s="695"/>
      <c r="N191" s="695"/>
      <c r="O191" s="696"/>
      <c r="P191" s="692" t="s">
        <v>40</v>
      </c>
      <c r="Q191" s="693"/>
      <c r="R191" s="693"/>
      <c r="S191" s="693"/>
      <c r="T191" s="693"/>
      <c r="U191" s="693"/>
      <c r="V191" s="694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86" t="s">
        <v>335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6"/>
      <c r="N192" s="686"/>
      <c r="O192" s="686"/>
      <c r="P192" s="686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87">
        <v>4680115889033</v>
      </c>
      <c r="E193" s="68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9"/>
      <c r="R193" s="689"/>
      <c r="S193" s="689"/>
      <c r="T193" s="69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95"/>
      <c r="B195" s="695"/>
      <c r="C195" s="695"/>
      <c r="D195" s="695"/>
      <c r="E195" s="695"/>
      <c r="F195" s="695"/>
      <c r="G195" s="695"/>
      <c r="H195" s="695"/>
      <c r="I195" s="695"/>
      <c r="J195" s="695"/>
      <c r="K195" s="695"/>
      <c r="L195" s="695"/>
      <c r="M195" s="695"/>
      <c r="N195" s="695"/>
      <c r="O195" s="696"/>
      <c r="P195" s="692" t="s">
        <v>40</v>
      </c>
      <c r="Q195" s="693"/>
      <c r="R195" s="693"/>
      <c r="S195" s="693"/>
      <c r="T195" s="693"/>
      <c r="U195" s="693"/>
      <c r="V195" s="694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84" t="s">
        <v>339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54"/>
      <c r="AB196" s="54"/>
      <c r="AC196" s="54"/>
    </row>
    <row r="197" spans="1:68" ht="16.5" customHeight="1" x14ac:dyDescent="0.25">
      <c r="A197" s="685" t="s">
        <v>340</v>
      </c>
      <c r="B197" s="685"/>
      <c r="C197" s="685"/>
      <c r="D197" s="685"/>
      <c r="E197" s="685"/>
      <c r="F197" s="685"/>
      <c r="G197" s="685"/>
      <c r="H197" s="685"/>
      <c r="I197" s="685"/>
      <c r="J197" s="685"/>
      <c r="K197" s="685"/>
      <c r="L197" s="685"/>
      <c r="M197" s="685"/>
      <c r="N197" s="685"/>
      <c r="O197" s="685"/>
      <c r="P197" s="685"/>
      <c r="Q197" s="685"/>
      <c r="R197" s="685"/>
      <c r="S197" s="685"/>
      <c r="T197" s="685"/>
      <c r="U197" s="685"/>
      <c r="V197" s="685"/>
      <c r="W197" s="685"/>
      <c r="X197" s="685"/>
      <c r="Y197" s="685"/>
      <c r="Z197" s="685"/>
      <c r="AA197" s="65"/>
      <c r="AB197" s="65"/>
      <c r="AC197" s="79"/>
    </row>
    <row r="198" spans="1:68" ht="14.25" customHeight="1" x14ac:dyDescent="0.25">
      <c r="A198" s="686" t="s">
        <v>132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6"/>
      <c r="N198" s="686"/>
      <c r="O198" s="686"/>
      <c r="P198" s="686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87">
        <v>4680115888760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87">
        <v>4680115888807</v>
      </c>
      <c r="E200" s="68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87">
        <v>4680115888852</v>
      </c>
      <c r="E201" s="68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4301011223</v>
      </c>
      <c r="D202" s="687">
        <v>4607091383423</v>
      </c>
      <c r="E202" s="687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customHeight="1" x14ac:dyDescent="0.25">
      <c r="A203" s="63" t="s">
        <v>352</v>
      </c>
      <c r="B203" s="63" t="s">
        <v>353</v>
      </c>
      <c r="C203" s="36">
        <v>4301012370</v>
      </c>
      <c r="D203" s="687">
        <v>4680115886957</v>
      </c>
      <c r="E203" s="68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4301012098</v>
      </c>
      <c r="D204" s="687">
        <v>4680115885660</v>
      </c>
      <c r="E204" s="68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358</v>
      </c>
      <c r="B205" s="63" t="s">
        <v>359</v>
      </c>
      <c r="C205" s="36">
        <v>4301012369</v>
      </c>
      <c r="D205" s="687">
        <v>4680115886773</v>
      </c>
      <c r="E205" s="68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89"/>
      <c r="R205" s="689"/>
      <c r="S205" s="689"/>
      <c r="T205" s="69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95"/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6"/>
      <c r="P207" s="692" t="s">
        <v>40</v>
      </c>
      <c r="Q207" s="693"/>
      <c r="R207" s="693"/>
      <c r="S207" s="693"/>
      <c r="T207" s="693"/>
      <c r="U207" s="693"/>
      <c r="V207" s="694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85" t="s">
        <v>361</v>
      </c>
      <c r="B208" s="685"/>
      <c r="C208" s="685"/>
      <c r="D208" s="685"/>
      <c r="E208" s="685"/>
      <c r="F208" s="685"/>
      <c r="G208" s="685"/>
      <c r="H208" s="685"/>
      <c r="I208" s="685"/>
      <c r="J208" s="685"/>
      <c r="K208" s="685"/>
      <c r="L208" s="685"/>
      <c r="M208" s="685"/>
      <c r="N208" s="685"/>
      <c r="O208" s="685"/>
      <c r="P208" s="685"/>
      <c r="Q208" s="685"/>
      <c r="R208" s="685"/>
      <c r="S208" s="685"/>
      <c r="T208" s="685"/>
      <c r="U208" s="685"/>
      <c r="V208" s="685"/>
      <c r="W208" s="685"/>
      <c r="X208" s="685"/>
      <c r="Y208" s="685"/>
      <c r="Z208" s="685"/>
      <c r="AA208" s="65"/>
      <c r="AB208" s="65"/>
      <c r="AC208" s="79"/>
    </row>
    <row r="209" spans="1:68" ht="14.25" customHeight="1" x14ac:dyDescent="0.25">
      <c r="A209" s="686" t="s">
        <v>167</v>
      </c>
      <c r="B209" s="686"/>
      <c r="C209" s="686"/>
      <c r="D209" s="686"/>
      <c r="E209" s="686"/>
      <c r="F209" s="686"/>
      <c r="G209" s="686"/>
      <c r="H209" s="686"/>
      <c r="I209" s="686"/>
      <c r="J209" s="686"/>
      <c r="K209" s="686"/>
      <c r="L209" s="686"/>
      <c r="M209" s="686"/>
      <c r="N209" s="686"/>
      <c r="O209" s="686"/>
      <c r="P209" s="686"/>
      <c r="Q209" s="686"/>
      <c r="R209" s="686"/>
      <c r="S209" s="686"/>
      <c r="T209" s="686"/>
      <c r="U209" s="686"/>
      <c r="V209" s="686"/>
      <c r="W209" s="686"/>
      <c r="X209" s="686"/>
      <c r="Y209" s="686"/>
      <c r="Z209" s="686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87">
        <v>4680115886223</v>
      </c>
      <c r="E210" s="68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89"/>
      <c r="R210" s="689"/>
      <c r="S210" s="689"/>
      <c r="T210" s="69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95"/>
      <c r="B212" s="695"/>
      <c r="C212" s="695"/>
      <c r="D212" s="695"/>
      <c r="E212" s="695"/>
      <c r="F212" s="695"/>
      <c r="G212" s="695"/>
      <c r="H212" s="695"/>
      <c r="I212" s="695"/>
      <c r="J212" s="695"/>
      <c r="K212" s="695"/>
      <c r="L212" s="695"/>
      <c r="M212" s="695"/>
      <c r="N212" s="695"/>
      <c r="O212" s="696"/>
      <c r="P212" s="692" t="s">
        <v>40</v>
      </c>
      <c r="Q212" s="693"/>
      <c r="R212" s="693"/>
      <c r="S212" s="693"/>
      <c r="T212" s="693"/>
      <c r="U212" s="693"/>
      <c r="V212" s="694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86" t="s">
        <v>77</v>
      </c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6"/>
      <c r="N213" s="686"/>
      <c r="O213" s="686"/>
      <c r="P213" s="686"/>
      <c r="Q213" s="686"/>
      <c r="R213" s="686"/>
      <c r="S213" s="686"/>
      <c r="T213" s="686"/>
      <c r="U213" s="686"/>
      <c r="V213" s="686"/>
      <c r="W213" s="686"/>
      <c r="X213" s="686"/>
      <c r="Y213" s="686"/>
      <c r="Z213" s="686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87">
        <v>4680115880993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87">
        <v>4680115881761</v>
      </c>
      <c r="E215" s="68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87">
        <v>4680115881563</v>
      </c>
      <c r="E216" s="68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87">
        <v>4680115887565</v>
      </c>
      <c r="E217" s="68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87">
        <v>4680115880986</v>
      </c>
      <c r="E218" s="68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87">
        <v>4680115887213</v>
      </c>
      <c r="E219" s="68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87">
        <v>4680115881785</v>
      </c>
      <c r="E220" s="68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4301031499</v>
      </c>
      <c r="D221" s="687">
        <v>4680115888432</v>
      </c>
      <c r="E221" s="68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87">
        <v>4680115888104</v>
      </c>
      <c r="E222" s="687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87">
        <v>4680115886537</v>
      </c>
      <c r="E223" s="687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87">
        <v>4680115887596</v>
      </c>
      <c r="E224" s="687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87">
        <v>4680115881679</v>
      </c>
      <c r="E225" s="687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4301031158</v>
      </c>
      <c r="D226" s="687">
        <v>4680115880191</v>
      </c>
      <c r="E226" s="687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87">
        <v>4680115883963</v>
      </c>
      <c r="E227" s="687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89"/>
      <c r="R227" s="689"/>
      <c r="S227" s="689"/>
      <c r="T227" s="69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x14ac:dyDescent="0.2">
      <c r="A229" s="695"/>
      <c r="B229" s="695"/>
      <c r="C229" s="695"/>
      <c r="D229" s="695"/>
      <c r="E229" s="695"/>
      <c r="F229" s="695"/>
      <c r="G229" s="695"/>
      <c r="H229" s="695"/>
      <c r="I229" s="695"/>
      <c r="J229" s="695"/>
      <c r="K229" s="695"/>
      <c r="L229" s="695"/>
      <c r="M229" s="695"/>
      <c r="N229" s="695"/>
      <c r="O229" s="696"/>
      <c r="P229" s="692" t="s">
        <v>40</v>
      </c>
      <c r="Q229" s="693"/>
      <c r="R229" s="693"/>
      <c r="S229" s="693"/>
      <c r="T229" s="693"/>
      <c r="U229" s="693"/>
      <c r="V229" s="694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customHeight="1" x14ac:dyDescent="0.25">
      <c r="A230" s="686" t="s">
        <v>86</v>
      </c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86"/>
      <c r="P230" s="686"/>
      <c r="Q230" s="686"/>
      <c r="R230" s="686"/>
      <c r="S230" s="686"/>
      <c r="T230" s="686"/>
      <c r="U230" s="686"/>
      <c r="V230" s="686"/>
      <c r="W230" s="686"/>
      <c r="X230" s="686"/>
      <c r="Y230" s="686"/>
      <c r="Z230" s="686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customHeight="1" x14ac:dyDescent="0.25">
      <c r="A237" s="686" t="s">
        <v>107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customHeight="1" x14ac:dyDescent="0.25">
      <c r="A248" s="686" t="s">
        <v>132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6" t="s">
        <v>167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86" t="s">
        <v>184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customHeight="1" x14ac:dyDescent="0.25">
      <c r="A290" s="686" t="s">
        <v>132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6" t="s">
        <v>167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6" t="s">
        <v>335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customHeight="1" x14ac:dyDescent="0.25">
      <c r="A315" s="686" t="s">
        <v>132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customHeight="1" x14ac:dyDescent="0.25">
      <c r="A345" s="686" t="s">
        <v>132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100</v>
      </c>
      <c r="Y346" s="55">
        <f>IFERROR(IF(X346="",0,CEILING((X346/$H346),1)*$H346),"")</f>
        <v>101.39999999999999</v>
      </c>
      <c r="Z346" s="41">
        <f>IFERROR(IF(Y346=0,"",ROUNDUP(Y346/H346,0)*0.01898),"")</f>
        <v>0.24674000000000001</v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105.25641025641028</v>
      </c>
      <c r="BN346" s="78">
        <f>IFERROR(Y346*I346/H346,"0")</f>
        <v>106.73</v>
      </c>
      <c r="BO346" s="78">
        <f>IFERROR(1/J346*(X346/H346),"0")</f>
        <v>0.20032051282051283</v>
      </c>
      <c r="BP346" s="78">
        <f>IFERROR(1/J346*(Y346/H346),"0")</f>
        <v>0.203125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12.820512820512821</v>
      </c>
      <c r="Y349" s="43">
        <f>IFERROR(Y346/H346,"0")+IFERROR(Y347/H347,"0")+IFERROR(Y348/H348,"0")</f>
        <v>13</v>
      </c>
      <c r="Z349" s="43">
        <f>IFERROR(IF(Z346="",0,Z346),"0")+IFERROR(IF(Z347="",0,Z347),"0")+IFERROR(IF(Z348="",0,Z348),"0")</f>
        <v>0.24674000000000001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100</v>
      </c>
      <c r="Y350" s="43">
        <f>IFERROR(SUM(Y346:Y348),"0")</f>
        <v>101.39999999999999</v>
      </c>
      <c r="Z350" s="42"/>
      <c r="AA350" s="67"/>
      <c r="AB350" s="67"/>
      <c r="AC350" s="67"/>
    </row>
    <row r="351" spans="1:68" ht="16.5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customHeight="1" x14ac:dyDescent="0.25">
      <c r="A352" s="686" t="s">
        <v>132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86" t="s">
        <v>184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86" t="s">
        <v>107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customHeight="1" x14ac:dyDescent="0.25">
      <c r="A406" s="686" t="s">
        <v>132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63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0</v>
      </c>
      <c r="BN408" s="78">
        <f t="shared" si="65"/>
        <v>0</v>
      </c>
      <c r="BO408" s="78">
        <f t="shared" si="66"/>
        <v>0</v>
      </c>
      <c r="BP408" s="78">
        <f t="shared" si="67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2500</v>
      </c>
      <c r="Y410" s="55">
        <f t="shared" si="63"/>
        <v>2505</v>
      </c>
      <c r="Z410" s="41">
        <f>IFERROR(IF(Y410=0,"",ROUNDUP(Y410/H410,0)*0.02175),"")</f>
        <v>3.6322499999999995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2578.3333333333335</v>
      </c>
      <c r="BN410" s="78">
        <f t="shared" si="65"/>
        <v>2583.4899999999998</v>
      </c>
      <c r="BO410" s="78">
        <f t="shared" si="66"/>
        <v>3.4722222222222219</v>
      </c>
      <c r="BP410" s="78">
        <f t="shared" si="67"/>
        <v>3.4791666666666665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166.66666666666666</v>
      </c>
      <c r="Y415" s="43">
        <f>IFERROR(Y407/H407,"0")+IFERROR(Y408/H408,"0")+IFERROR(Y409/H409,"0")+IFERROR(Y410/H410,"0")+IFERROR(Y411/H411,"0")+IFERROR(Y412/H412,"0")+IFERROR(Y413/H413,"0")+IFERROR(Y414/H414,"0")</f>
        <v>167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3.6322499999999995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2500</v>
      </c>
      <c r="Y416" s="43">
        <f>IFERROR(SUM(Y407:Y414),"0")</f>
        <v>2505</v>
      </c>
      <c r="Z416" s="42"/>
      <c r="AA416" s="67"/>
      <c r="AB416" s="67"/>
      <c r="AC416" s="67"/>
    </row>
    <row r="417" spans="1:68" ht="14.25" customHeight="1" x14ac:dyDescent="0.25">
      <c r="A417" s="686" t="s">
        <v>167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6" t="s">
        <v>184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customHeight="1" x14ac:dyDescent="0.25">
      <c r="A433" s="686" t="s">
        <v>132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customHeight="1" x14ac:dyDescent="0.25">
      <c r="A465" s="686" t="s">
        <v>167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customHeight="1" x14ac:dyDescent="0.25">
      <c r="A477" s="686" t="s">
        <v>132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4301012210</v>
      </c>
      <c r="D479" s="687">
        <v>4607091383522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9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 t="shared" si="74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0</v>
      </c>
      <c r="BN483" s="78">
        <f t="shared" si="76"/>
        <v>0</v>
      </c>
      <c r="BO483" s="78">
        <f t="shared" si="77"/>
        <v>0</v>
      </c>
      <c r="BP483" s="78">
        <f t="shared" si="78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customHeight="1" x14ac:dyDescent="0.25">
      <c r="A489" s="686" t="s">
        <v>167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1300</v>
      </c>
      <c r="Y490" s="55">
        <f>IFERROR(IF(X490="",0,CEILING((X490/$H490),1)*$H490),"")</f>
        <v>1304.1600000000001</v>
      </c>
      <c r="Z490" s="41">
        <f>IFERROR(IF(Y490=0,"",ROUNDUP(Y490/H490,0)*0.01196),"")</f>
        <v>2.9541200000000001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1386.1742424242423</v>
      </c>
      <c r="BN490" s="78">
        <f>IFERROR(Y490*I490/H490,"0")</f>
        <v>1390.61</v>
      </c>
      <c r="BO490" s="78">
        <f>IFERROR(1/J490*(X490/H490),"0")</f>
        <v>2.3674242424242422</v>
      </c>
      <c r="BP490" s="78">
        <f>IFERROR(1/J490*(Y490/H490),"0")</f>
        <v>2.375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246.21212121212119</v>
      </c>
      <c r="Y493" s="43">
        <f>IFERROR(Y490/H490,"0")+IFERROR(Y491/H491,"0")+IFERROR(Y492/H492,"0")</f>
        <v>247</v>
      </c>
      <c r="Z493" s="43">
        <f>IFERROR(IF(Z490="",0,Z490),"0")+IFERROR(IF(Z491="",0,Z491),"0")+IFERROR(IF(Z492="",0,Z492),"0")</f>
        <v>2.9541200000000001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1300</v>
      </c>
      <c r="Y494" s="43">
        <f>IFERROR(SUM(Y490:Y492),"0")</f>
        <v>1304.1600000000001</v>
      </c>
      <c r="Z494" s="42"/>
      <c r="AA494" s="67"/>
      <c r="AB494" s="67"/>
      <c r="AC494" s="67"/>
    </row>
    <row r="495" spans="1:68" ht="14.25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9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0</v>
      </c>
      <c r="BN496" s="78">
        <f t="shared" ref="BN496:BN502" si="81">IFERROR(Y496*I496/H496,"0")</f>
        <v>0</v>
      </c>
      <c r="BO496" s="78">
        <f t="shared" ref="BO496:BO502" si="82">IFERROR(1/J496*(X496/H496),"0")</f>
        <v>0</v>
      </c>
      <c r="BP496" s="78">
        <f t="shared" ref="BP496:BP502" si="83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customHeight="1" x14ac:dyDescent="0.25">
      <c r="A507" s="686" t="s">
        <v>132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86" t="s">
        <v>167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86" t="s">
        <v>184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customHeight="1" x14ac:dyDescent="0.25">
      <c r="A530" s="686" t="s">
        <v>167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3900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3910.5600000000004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4069.7639860139861</v>
      </c>
      <c r="Y535" s="43">
        <f>IFERROR(SUM(BN22:BN531),"0")</f>
        <v>4080.83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7</v>
      </c>
      <c r="Y536" s="44">
        <f>ROUNDUP(SUM(BP22:BP531),0)</f>
        <v>7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4244.7639860139861</v>
      </c>
      <c r="Y537" s="43">
        <f>GrossWeightTotalR+PalletQtyTotalR*25</f>
        <v>4255.83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425.69930069930069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427</v>
      </c>
      <c r="Z538" s="42"/>
      <c r="AA538" s="67"/>
      <c r="AB538" s="67"/>
      <c r="AC538" s="67"/>
    </row>
    <row r="539" spans="1:68" ht="14.25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6.8331099999999996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130</v>
      </c>
      <c r="E541" s="966" t="s">
        <v>130</v>
      </c>
      <c r="F541" s="966" t="s">
        <v>130</v>
      </c>
      <c r="G541" s="966" t="s">
        <v>130</v>
      </c>
      <c r="H541" s="966" t="s">
        <v>130</v>
      </c>
      <c r="I541" s="966" t="s">
        <v>130</v>
      </c>
      <c r="J541" s="966" t="s">
        <v>130</v>
      </c>
      <c r="K541" s="966" t="s">
        <v>339</v>
      </c>
      <c r="L541" s="966" t="s">
        <v>339</v>
      </c>
      <c r="M541" s="966" t="s">
        <v>339</v>
      </c>
      <c r="N541" s="967"/>
      <c r="O541" s="966" t="s">
        <v>339</v>
      </c>
      <c r="P541" s="966" t="s">
        <v>339</v>
      </c>
      <c r="Q541" s="966" t="s">
        <v>339</v>
      </c>
      <c r="R541" s="966" t="s">
        <v>339</v>
      </c>
      <c r="S541" s="966" t="s">
        <v>339</v>
      </c>
      <c r="T541" s="966" t="s">
        <v>339</v>
      </c>
      <c r="U541" s="966" t="s">
        <v>339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113</v>
      </c>
      <c r="D542" s="966" t="s">
        <v>131</v>
      </c>
      <c r="E542" s="966" t="s">
        <v>147</v>
      </c>
      <c r="F542" s="966" t="s">
        <v>191</v>
      </c>
      <c r="G542" s="966" t="s">
        <v>212</v>
      </c>
      <c r="H542" s="966" t="s">
        <v>256</v>
      </c>
      <c r="I542" s="966" t="s">
        <v>268</v>
      </c>
      <c r="J542" s="966" t="s">
        <v>130</v>
      </c>
      <c r="K542" s="966" t="s">
        <v>340</v>
      </c>
      <c r="L542" s="966" t="s">
        <v>361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0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0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101.39999999999999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2505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1304.1600000000001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2026-07-07T12:03:19Z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