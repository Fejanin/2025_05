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50E129E-95B6-40B0-80A1-8117720F09D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Y547" i="2" l="1"/>
  <c r="BP493" i="2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1" i="2" s="1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Z446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Z230" i="2" s="1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Z478" i="2" s="1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402" i="2" l="1"/>
  <c r="Z51" i="2"/>
  <c r="Z343" i="2"/>
  <c r="Z414" i="2"/>
  <c r="Z139" i="2"/>
  <c r="Z258" i="2"/>
  <c r="Z467" i="2"/>
  <c r="Z207" i="2"/>
  <c r="Z117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X557" i="2" s="1"/>
  <c r="Y388" i="2"/>
  <c r="Y389" i="2" l="1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<sst xmlns="http://schemas.openxmlformats.org/spreadsheetml/2006/main" count="4296" uniqueCount="915">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</sst>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5" sqref="AA5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0.41666666666666669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259.2</v>
      </c>
      <c r="Y56" s="53">
        <f t="shared" si="0"/>
        <v>259.20000000000005</v>
      </c>
      <c r="Z56" s="39">
        <f>IFERROR(IF(Y56=0,"",ROUNDUP(Y56/H56,0)*0.01898),"")</f>
        <v>0.45552000000000004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269.03999999999996</v>
      </c>
      <c r="BN56" s="75">
        <f t="shared" si="2"/>
        <v>269.04000000000002</v>
      </c>
      <c r="BO56" s="75">
        <f t="shared" si="3"/>
        <v>0.37499999999999994</v>
      </c>
      <c r="BP56" s="75">
        <f t="shared" si="4"/>
        <v>0.37500000000000006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40</v>
      </c>
      <c r="Y62" s="41">
        <f>IFERROR(Y55/H55,"0")+IFERROR(Y56/H56,"0")+IFERROR(Y57/H57,"0")+IFERROR(Y58/H58,"0")+IFERROR(Y59/H59,"0")+IFERROR(Y60/H60,"0")+IFERROR(Y61/H61,"0")</f>
        <v>40</v>
      </c>
      <c r="Z62" s="41">
        <f>IFERROR(IF(Z55="",0,Z55),"0")+IFERROR(IF(Z56="",0,Z56),"0")+IFERROR(IF(Z57="",0,Z57),"0")+IFERROR(IF(Z58="",0,Z58),"0")+IFERROR(IF(Z59="",0,Z59),"0")+IFERROR(IF(Z60="",0,Z60),"0")+IFERROR(IF(Z61="",0,Z61),"0")</f>
        <v>0.7592000000000001</v>
      </c>
      <c r="AA62" s="64"/>
      <c r="AB62" s="64"/>
      <c r="AC62" s="64"/>
    </row>
    <row r="63" spans="1:68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438.4</v>
      </c>
      <c r="Y63" s="41">
        <f>IFERROR(SUM(Y55:Y61),"0")</f>
        <v>438.40000000000003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259.2</v>
      </c>
      <c r="Y65" s="53">
        <f>IFERROR(IF(X65="",0,CEILING((X65/$H65),1)*$H65),"")</f>
        <v>259.20000000000005</v>
      </c>
      <c r="Z65" s="39">
        <f>IFERROR(IF(Y65=0,"",ROUNDUP(Y65/H65,0)*0.01898),"")</f>
        <v>0.45552000000000004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269.03999999999996</v>
      </c>
      <c r="BN65" s="75">
        <f>IFERROR(Y65*I65/H65,"0")</f>
        <v>269.04000000000002</v>
      </c>
      <c r="BO65" s="75">
        <f>IFERROR(1/J65*(X65/H65),"0")</f>
        <v>0.37499999999999994</v>
      </c>
      <c r="BP65" s="75">
        <f>IFERROR(1/J65*(Y65/H65),"0")</f>
        <v>0.37500000000000006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23.999999999999996</v>
      </c>
      <c r="Y69" s="41">
        <f>IFERROR(Y65/H65,"0")+IFERROR(Y66/H66,"0")+IFERROR(Y67/H67,"0")+IFERROR(Y68/H68,"0")</f>
        <v>24.000000000000004</v>
      </c>
      <c r="Z69" s="41">
        <f>IFERROR(IF(Z65="",0,Z65),"0")+IFERROR(IF(Z66="",0,Z66),"0")+IFERROR(IF(Z67="",0,Z67),"0")+IFERROR(IF(Z68="",0,Z68),"0")</f>
        <v>0.45552000000000004</v>
      </c>
      <c r="AA69" s="64"/>
      <c r="AB69" s="64"/>
      <c r="AC69" s="64"/>
    </row>
    <row r="70" spans="1:68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259.2</v>
      </c>
      <c r="Y70" s="41">
        <f>IFERROR(SUM(Y65:Y68),"0")</f>
        <v>259.20000000000005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259.2</v>
      </c>
      <c r="Y85" s="53">
        <f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269.03999999999996</v>
      </c>
      <c r="BN85" s="75">
        <f>IFERROR(Y85*I85/H85,"0")</f>
        <v>269.04000000000002</v>
      </c>
      <c r="BO85" s="75">
        <f>IFERROR(1/J85*(X85/H85),"0")</f>
        <v>0.37499999999999994</v>
      </c>
      <c r="BP85" s="75">
        <f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23.999999999999996</v>
      </c>
      <c r="Y90" s="41">
        <f>IFERROR(Y85/H85,"0")+IFERROR(Y86/H86,"0")+IFERROR(Y87/H87,"0")+IFERROR(Y88/H88,"0")+IFERROR(Y89/H89,"0")</f>
        <v>24.000000000000004</v>
      </c>
      <c r="Z90" s="41">
        <f>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259.2</v>
      </c>
      <c r="Y91" s="41">
        <f>IFERROR(SUM(Y85:Y89),"0")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16</v>
      </c>
      <c r="Y97" s="41">
        <f>IFERROR(Y93/H93,"0")+IFERROR(Y94/H94,"0")+IFERROR(Y95/H95,"0")+IFERROR(Y96/H96,"0")</f>
        <v>16</v>
      </c>
      <c r="Z97" s="41">
        <f>IFERROR(IF(Z93="",0,Z93),"0")+IFERROR(IF(Z94="",0,Z94),"0")+IFERROR(IF(Z95="",0,Z95),"0")+IFERROR(IF(Z96="",0,Z96),"0")</f>
        <v>0.30368000000000001</v>
      </c>
      <c r="AA97" s="64"/>
      <c r="AB97" s="64"/>
      <c r="AC97" s="64"/>
    </row>
    <row r="98" spans="1:68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129.6</v>
      </c>
      <c r="Y98" s="41">
        <f>IFERROR(SUM(Y93:Y96),"0")</f>
        <v>129.6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604.79999999999995</v>
      </c>
      <c r="Y101" s="53">
        <f t="shared" ref="Y101:Y108" si="5">IFERROR(IF(X101="",0,CEILING((X101/$H101),1)*$H101),"")</f>
        <v>604.80000000000007</v>
      </c>
      <c r="Z101" s="39">
        <f>IFERROR(IF(Y101=0,"",ROUNDUP(Y101/H101,0)*0.01898),"")</f>
        <v>1.06288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627.76</v>
      </c>
      <c r="BN101" s="75">
        <f t="shared" ref="BN101:BN108" si="7">IFERROR(Y101*I101/H101,"0")</f>
        <v>627.76</v>
      </c>
      <c r="BO101" s="75">
        <f t="shared" ref="BO101:BO108" si="8">IFERROR(1/J101*(X101/H101),"0")</f>
        <v>0.87499999999999989</v>
      </c>
      <c r="BP101" s="75">
        <f t="shared" ref="BP101:BP108" si="9">IFERROR(1/J101*(Y101/H101),"0")</f>
        <v>0.875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55.999999999999993</v>
      </c>
      <c r="Y109" s="41">
        <f>IFERROR(Y101/H101,"0")+IFERROR(Y102/H102,"0")+IFERROR(Y103/H103,"0")+IFERROR(Y104/H104,"0")+IFERROR(Y105/H105,"0")+IFERROR(Y106/H106,"0")+IFERROR(Y107/H107,"0")+IFERROR(Y108/H108,"0")</f>
        <v>56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1.06288</v>
      </c>
      <c r="AA109" s="64"/>
      <c r="AB109" s="64"/>
      <c r="AC109" s="64"/>
    </row>
    <row r="110" spans="1:68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604.79999999999995</v>
      </c>
      <c r="Y110" s="41">
        <f>IFERROR(SUM(Y101:Y108),"0")</f>
        <v>604.80000000000007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129.6</v>
      </c>
      <c r="Y120" s="53">
        <f>IFERROR(IF(X120="",0,CEILING((X120/$H120),1)*$H120),"")</f>
        <v>129.6</v>
      </c>
      <c r="Z120" s="39">
        <f>IFERROR(IF(Y120=0,"",ROUNDUP(Y120/H120,0)*0.01898),"")</f>
        <v>0.30368000000000001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137.40799999999999</v>
      </c>
      <c r="BN120" s="75">
        <f>IFERROR(Y120*I120/H120,"0")</f>
        <v>137.40799999999999</v>
      </c>
      <c r="BO120" s="75">
        <f>IFERROR(1/J120*(X120/H120),"0")</f>
        <v>0.25</v>
      </c>
      <c r="BP120" s="75">
        <f>IFERROR(1/J120*(Y120/H120),"0")</f>
        <v>0.25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16</v>
      </c>
      <c r="Y124" s="41">
        <f>IFERROR(Y120/H120,"0")+IFERROR(Y121/H121,"0")+IFERROR(Y122/H122,"0")+IFERROR(Y123/H123,"0")</f>
        <v>16</v>
      </c>
      <c r="Z124" s="41">
        <f>IFERROR(IF(Z120="",0,Z120),"0")+IFERROR(IF(Z121="",0,Z121),"0")+IFERROR(IF(Z122="",0,Z122),"0")+IFERROR(IF(Z123="",0,Z123),"0")</f>
        <v>0.30368000000000001</v>
      </c>
      <c r="AA124" s="64"/>
      <c r="AB124" s="64"/>
      <c r="AC124" s="64"/>
    </row>
    <row r="125" spans="1:68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129.6</v>
      </c>
      <c r="Y125" s="41">
        <f>IFERROR(SUM(Y120:Y123),"0")</f>
        <v>129.6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100.8</v>
      </c>
      <c r="Y217" s="53">
        <f t="shared" si="27"/>
        <v>100.80000000000001</v>
      </c>
      <c r="Z217" s="39">
        <f>IFERROR(IF(Y217=0,"",ROUNDUP(Y217/H217,0)*0.00902),"")</f>
        <v>0.21648000000000001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105.35999999999999</v>
      </c>
      <c r="BN217" s="75">
        <f t="shared" si="29"/>
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24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24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0.21648000000000001</v>
      </c>
      <c r="AA230" s="64"/>
      <c r="AB230" s="64"/>
      <c r="AC230" s="64"/>
    </row>
    <row r="231" spans="1:68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100.8</v>
      </c>
      <c r="Y231" s="41">
        <f>IFERROR(SUM(Y215:Y229),"0")</f>
        <v>100.80000000000001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23.999999999999996</v>
      </c>
      <c r="Y274" s="41">
        <f>IFERROR(Y266/H266,"0")+IFERROR(Y267/H267,"0")+IFERROR(Y268/H268,"0")+IFERROR(Y269/H269,"0")+IFERROR(Y270/H270,"0")+IFERROR(Y271/H271,"0")+IFERROR(Y272/H272,"0")+IFERROR(Y273/H273,"0")</f>
        <v>24.000000000000004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0.21648000000000001</v>
      </c>
      <c r="AA274" s="64"/>
      <c r="AB274" s="64"/>
      <c r="AC274" s="64"/>
    </row>
    <row r="275" spans="1:68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129.6</v>
      </c>
      <c r="Y275" s="41">
        <f>IFERROR(SUM(Y266:Y273),"0")</f>
        <v>129.60000000000002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139.19999999999999</v>
      </c>
      <c r="Y279" s="53">
        <f t="shared" si="43"/>
        <v>139.19999999999999</v>
      </c>
      <c r="Z279" s="39">
        <f>IFERROR(IF(Y279=0,"",ROUNDUP(Y279/H279,0)*0.01898),"")</f>
        <v>0.30368000000000001</v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147.10400000000001</v>
      </c>
      <c r="BN279" s="75">
        <f t="shared" si="45"/>
        <v>147.10400000000001</v>
      </c>
      <c r="BO279" s="75">
        <f t="shared" si="46"/>
        <v>0.25</v>
      </c>
      <c r="BP279" s="75">
        <f t="shared" si="47"/>
        <v>0.25</v>
      </c>
    </row>
    <row r="280" spans="1:68" ht="27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57.6</v>
      </c>
      <c r="Y280" s="53">
        <f t="shared" si="43"/>
        <v>57.599999999999994</v>
      </c>
      <c r="Z280" s="39">
        <f>IFERROR(IF(Y280=0,"",ROUNDUP(Y280/H280,0)*0.00651),"")</f>
        <v>0.15623999999999999</v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64.08</v>
      </c>
      <c r="BN280" s="75">
        <f t="shared" si="45"/>
        <v>64.079999999999984</v>
      </c>
      <c r="BO280" s="75">
        <f t="shared" si="46"/>
        <v>0.13186813186813187</v>
      </c>
      <c r="BP280" s="75">
        <f t="shared" si="47"/>
        <v>0.13186813186813187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28.8</v>
      </c>
      <c r="Y285" s="53">
        <f t="shared" si="43"/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31.824000000000002</v>
      </c>
      <c r="BN285" s="75">
        <f t="shared" si="45"/>
        <v>31.824000000000002</v>
      </c>
      <c r="BO285" s="75">
        <f t="shared" si="46"/>
        <v>6.5934065934065936E-2</v>
      </c>
      <c r="BP285" s="75">
        <f t="shared" si="47"/>
        <v>6.5934065934065936E-2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76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76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0.6942799999999999</v>
      </c>
      <c r="AA289" s="64"/>
      <c r="AB289" s="64"/>
      <c r="AC289" s="64"/>
    </row>
    <row r="290" spans="1:68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283.2</v>
      </c>
      <c r="Y290" s="41">
        <f>IFERROR(SUM(Y277:Y288),"0")</f>
        <v>283.2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201.6</v>
      </c>
      <c r="Y386" s="53">
        <f>IFERROR(IF(X386="",0,CEILING((X386/$H386),1)*$H386),"")</f>
        <v>201.60000000000002</v>
      </c>
      <c r="Z386" s="39">
        <f>IFERROR(IF(Y386=0,"",ROUNDUP(Y386/H386,0)*0.01898),"")</f>
        <v>0.45552000000000004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213.45599999999999</v>
      </c>
      <c r="BN386" s="75">
        <f>IFERROR(Y386*I386/H386,"0")</f>
        <v>213.45600000000002</v>
      </c>
      <c r="BO386" s="75">
        <f>IFERROR(1/J386*(X386/H386),"0")</f>
        <v>0.375</v>
      </c>
      <c r="BP386" s="75">
        <f>IFERROR(1/J386*(Y386/H386),"0")</f>
        <v>0.375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249.6</v>
      </c>
      <c r="Y387" s="53">
        <f>IFERROR(IF(X387="",0,CEILING((X387/$H387),1)*$H387),"")</f>
        <v>249.6</v>
      </c>
      <c r="Z387" s="39">
        <f>IFERROR(IF(Y387=0,"",ROUNDUP(Y387/H387,0)*0.01898),"")</f>
        <v>0.60736000000000001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265.40800000000002</v>
      </c>
      <c r="BN387" s="75">
        <f>IFERROR(Y387*I387/H387,"0")</f>
        <v>265.40800000000002</v>
      </c>
      <c r="BO387" s="75">
        <f>IFERROR(1/J387*(X387/H387),"0")</f>
        <v>0.5</v>
      </c>
      <c r="BP387" s="75">
        <f>IFERROR(1/J387*(Y387/H387),"0")</f>
        <v>0.5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67.2</v>
      </c>
      <c r="Y388" s="53">
        <f>IFERROR(IF(X388="",0,CEILING((X388/$H388),1)*$H388),"")</f>
        <v>67.2</v>
      </c>
      <c r="Z388" s="39">
        <f>IFERROR(IF(Y388=0,"",ROUNDUP(Y388/H388,0)*0.01898),"")</f>
        <v>0.15184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71.152000000000001</v>
      </c>
      <c r="BN388" s="75">
        <f>IFERROR(Y388*I388/H388,"0")</f>
        <v>71.152000000000001</v>
      </c>
      <c r="BO388" s="75">
        <f>IFERROR(1/J388*(X388/H388),"0")</f>
        <v>0.125</v>
      </c>
      <c r="BP388" s="75">
        <f>IFERROR(1/J388*(Y388/H388),"0")</f>
        <v>0.125</v>
      </c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64</v>
      </c>
      <c r="Y389" s="41">
        <f>IFERROR(Y386/H386,"0")+IFERROR(Y387/H387,"0")+IFERROR(Y388/H388,"0")</f>
        <v>64</v>
      </c>
      <c r="Z389" s="41">
        <f>IFERROR(IF(Z386="",0,Z386),"0")+IFERROR(IF(Z387="",0,Z387),"0")+IFERROR(IF(Z388="",0,Z388),"0")</f>
        <v>1.21472</v>
      </c>
      <c r="AA389" s="64"/>
      <c r="AB389" s="64"/>
      <c r="AC389" s="64"/>
    </row>
    <row r="390" spans="1:68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518.4</v>
      </c>
      <c r="Y390" s="41">
        <f>IFERROR(SUM(Y386:Y388),"0")</f>
        <v>518.40000000000009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120</v>
      </c>
      <c r="Y428" s="53">
        <f t="shared" si="68"/>
        <v>120</v>
      </c>
      <c r="Z428" s="39">
        <f>IFERROR(IF(Y428=0,"",ROUNDUP(Y428/H428,0)*0.02175),"")</f>
        <v>0.17399999999999999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123.76</v>
      </c>
      <c r="BN428" s="75">
        <f t="shared" si="70"/>
        <v>123.76</v>
      </c>
      <c r="BO428" s="75">
        <f t="shared" si="71"/>
        <v>0.16666666666666666</v>
      </c>
      <c r="BP428" s="75">
        <f t="shared" si="72"/>
        <v>0.16666666666666666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540</v>
      </c>
      <c r="Y429" s="53">
        <f t="shared" si="68"/>
        <v>540</v>
      </c>
      <c r="Z429" s="39">
        <f>IFERROR(IF(Y429=0,"",ROUNDUP(Y429/H429,0)*0.02175),"")</f>
        <v>0.78299999999999992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556.92000000000007</v>
      </c>
      <c r="BN429" s="75">
        <f t="shared" si="70"/>
        <v>556.92000000000007</v>
      </c>
      <c r="BO429" s="75">
        <f t="shared" si="71"/>
        <v>0.75</v>
      </c>
      <c r="BP429" s="75">
        <f t="shared" si="72"/>
        <v>0.75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84</v>
      </c>
      <c r="Y434" s="41">
        <f>IFERROR(Y426/H426,"0")+IFERROR(Y427/H427,"0")+IFERROR(Y428/H428,"0")+IFERROR(Y429/H429,"0")+IFERROR(Y430/H430,"0")+IFERROR(Y431/H431,"0")+IFERROR(Y432/H432,"0")+IFERROR(Y433/H433,"0")</f>
        <v>84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1.8269999999999997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1260</v>
      </c>
      <c r="Y435" s="41">
        <f>IFERROR(SUM(Y426:Y433),"0")</f>
        <v>1260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240</v>
      </c>
      <c r="Y437" s="53">
        <f>IFERROR(IF(X437="",0,CEILING((X437/$H437),1)*$H437),"")</f>
        <v>240</v>
      </c>
      <c r="Z437" s="39">
        <f>IFERROR(IF(Y437=0,"",ROUNDUP(Y437/H437,0)*0.02175),"")</f>
        <v>0.34799999999999998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247.52</v>
      </c>
      <c r="BN437" s="75">
        <f>IFERROR(Y437*I437/H437,"0")</f>
        <v>247.52</v>
      </c>
      <c r="BO437" s="75">
        <f>IFERROR(1/J437*(X437/H437),"0")</f>
        <v>0.33333333333333331</v>
      </c>
      <c r="BP437" s="75">
        <f>IFERROR(1/J437*(Y437/H437),"0")</f>
        <v>0.33333333333333331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16</v>
      </c>
      <c r="Y440" s="41">
        <f>IFERROR(Y437/H437,"0")+IFERROR(Y438/H438,"0")+IFERROR(Y439/H439,"0")</f>
        <v>16</v>
      </c>
      <c r="Z440" s="41">
        <f>IFERROR(IF(Z437="",0,Z437),"0")+IFERROR(IF(Z438="",0,Z438),"0")+IFERROR(IF(Z439="",0,Z439),"0")</f>
        <v>0.34799999999999998</v>
      </c>
      <c r="AA440" s="64"/>
      <c r="AB440" s="64"/>
      <c r="AC440" s="64"/>
    </row>
    <row r="441" spans="1:68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240</v>
      </c>
      <c r="Y441" s="41">
        <f>IFERROR(SUM(Y437:Y439),"0")</f>
        <v>240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72</v>
      </c>
      <c r="Y450" s="53">
        <f>IFERROR(IF(X450="",0,CEILING((X450/$H450),1)*$H450),"")</f>
        <v>72</v>
      </c>
      <c r="Z450" s="39">
        <f>IFERROR(IF(Y450=0,"",ROUNDUP(Y450/H450,0)*0.01898),"")</f>
        <v>0.15184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75.951999999999998</v>
      </c>
      <c r="BN450" s="75">
        <f>IFERROR(Y450*I450/H450,"0")</f>
        <v>75.951999999999998</v>
      </c>
      <c r="BO450" s="75">
        <f>IFERROR(1/J450*(X450/H450),"0")</f>
        <v>0.125</v>
      </c>
      <c r="BP450" s="75">
        <f>IFERROR(1/J450*(Y450/H450),"0")</f>
        <v>0.125</v>
      </c>
    </row>
    <row r="451" spans="1:68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8</v>
      </c>
      <c r="Y451" s="41">
        <f>IFERROR(Y449/H449,"0")+IFERROR(Y450/H450,"0")</f>
        <v>8</v>
      </c>
      <c r="Z451" s="41">
        <f>IFERROR(IF(Z449="",0,Z449),"0")+IFERROR(IF(Z450="",0,Z450),"0")</f>
        <v>0.15184</v>
      </c>
      <c r="AA451" s="64"/>
      <c r="AB451" s="64"/>
      <c r="AC451" s="64"/>
    </row>
    <row r="452" spans="1:68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72</v>
      </c>
      <c r="Y452" s="41">
        <f>IFERROR(SUM(Y449:Y450),"0")</f>
        <v>72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216</v>
      </c>
      <c r="Y464" s="53">
        <f>IFERROR(IF(X464="",0,CEILING((X464/$H464),1)*$H464),"")</f>
        <v>216</v>
      </c>
      <c r="Z464" s="39">
        <f>IFERROR(IF(Y464=0,"",ROUNDUP(Y464/H464,0)*0.01898),"")</f>
        <v>0.45552000000000004</v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227.85599999999997</v>
      </c>
      <c r="BN464" s="75">
        <f>IFERROR(Y464*I464/H464,"0")</f>
        <v>227.85599999999997</v>
      </c>
      <c r="BO464" s="75">
        <f>IFERROR(1/J464*(X464/H464),"0")</f>
        <v>0.375</v>
      </c>
      <c r="BP464" s="75">
        <f>IFERROR(1/J464*(Y464/H464),"0")</f>
        <v>0.375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24</v>
      </c>
      <c r="Y467" s="41">
        <f>IFERROR(Y464/H464,"0")+IFERROR(Y465/H465,"0")+IFERROR(Y466/H466,"0")</f>
        <v>24</v>
      </c>
      <c r="Z467" s="41">
        <f>IFERROR(IF(Z464="",0,Z464),"0")+IFERROR(IF(Z465="",0,Z465),"0")+IFERROR(IF(Z466="",0,Z466),"0")</f>
        <v>0.45552000000000004</v>
      </c>
      <c r="AA467" s="64"/>
      <c r="AB467" s="64"/>
      <c r="AC467" s="64"/>
    </row>
    <row r="468" spans="1:68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216</v>
      </c>
      <c r="Y468" s="41">
        <f>IFERROR(SUM(Y464:Y466),"0")</f>
        <v>216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211.2</v>
      </c>
      <c r="Y502" s="53">
        <f t="shared" si="78"/>
        <v>211.20000000000002</v>
      </c>
      <c r="Z502" s="39">
        <f t="shared" si="79"/>
        <v>0.47839999999999999</v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225.19999999999996</v>
      </c>
      <c r="BN502" s="75">
        <f t="shared" si="81"/>
        <v>225.2</v>
      </c>
      <c r="BO502" s="75">
        <f t="shared" si="82"/>
        <v>0.38461538461538458</v>
      </c>
      <c r="BP502" s="75">
        <f t="shared" si="83"/>
        <v>0.38461538461538464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211.2</v>
      </c>
      <c r="Y504" s="53">
        <f t="shared" si="78"/>
        <v>211.20000000000002</v>
      </c>
      <c r="Z504" s="39">
        <f t="shared" si="79"/>
        <v>0.47839999999999999</v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225.19999999999996</v>
      </c>
      <c r="BN504" s="75">
        <f t="shared" si="81"/>
        <v>225.2</v>
      </c>
      <c r="BO504" s="75">
        <f t="shared" si="82"/>
        <v>0.38461538461538458</v>
      </c>
      <c r="BP504" s="75">
        <f t="shared" si="83"/>
        <v>0.38461538461538464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79.999999999999986</v>
      </c>
      <c r="Y508" s="41">
        <f>IFERROR(Y499/H499,"0")+IFERROR(Y500/H500,"0")+IFERROR(Y501/H501,"0")+IFERROR(Y502/H502,"0")+IFERROR(Y503/H503,"0")+IFERROR(Y504/H504,"0")+IFERROR(Y505/H505,"0")+IFERROR(Y506/H506,"0")+IFERROR(Y507/H507,"0")</f>
        <v>80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0.95679999999999998</v>
      </c>
      <c r="AA508" s="64"/>
      <c r="AB508" s="64"/>
      <c r="AC508" s="64"/>
    </row>
    <row r="509" spans="1:68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422.4</v>
      </c>
      <c r="Y509" s="41">
        <f>IFERROR(SUM(Y499:Y507),"0")</f>
        <v>422.40000000000003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5063.1999999999989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5063.2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5293.0240000000003</v>
      </c>
      <c r="Y555" s="41">
        <f>IFERROR(SUM(BN22:BN551),"0")</f>
        <v>5293.0240000000003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5518.0240000000003</v>
      </c>
      <c r="Y557" s="41">
        <f>GrossWeightTotalR+PalletQtyTotalR*25</f>
        <v>5518.0240000000003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576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576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9.4215999999999998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697.60000000000014</v>
      </c>
      <c r="F564" s="50">
        <f>IFERROR(Y85*1,"0")+IFERROR(Y86*1,"0")+IFERROR(Y87*1,"0")+IFERROR(Y88*1,"0")+IFERROR(Y89*1,"0")+IFERROR(Y93*1,"0")+IFERROR(Y94*1,"0")+IFERROR(Y95*1,"0")+IFERROR(Y96*1,"0")</f>
        <v>388.80000000000007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734.40000000000009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100.80000000000001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412.8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518.40000000000009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1572</v>
      </c>
      <c r="X564" s="50">
        <f>IFERROR(Y455*1,"0")+IFERROR(Y456*1,"0")+IFERROR(Y460*1,"0")+IFERROR(Y464*1,"0")+IFERROR(Y465*1,"0")+IFERROR(Y466*1,"0")</f>
        <v>216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422.40000000000003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00,80"/>
        <filter val="120,00"/>
        <filter val="129,60"/>
        <filter val="139,20"/>
        <filter val="16,00"/>
        <filter val="179,20"/>
        <filter val="201,60"/>
        <filter val="211,20"/>
        <filter val="216,00"/>
        <filter val="24,00"/>
        <filter val="240,00"/>
        <filter val="249,60"/>
        <filter val="259,20"/>
        <filter val="28,80"/>
        <filter val="283,20"/>
        <filter val="40,00"/>
        <filter val="422,40"/>
        <filter val="438,40"/>
        <filter val="5 063,20"/>
        <filter val="5 293,02"/>
        <filter val="5 518,02"/>
        <filter val="518,40"/>
        <filter val="540,00"/>
        <filter val="56,00"/>
        <filter val="57,60"/>
        <filter val="576,00"/>
        <filter val="600,00"/>
        <filter val="604,80"/>
        <filter val="64,00"/>
        <filter val="67,20"/>
        <filter val="72,00"/>
        <filter val="76,00"/>
        <filter val="8,00"/>
        <filter val="80,00"/>
        <filter val="84,00"/>
        <filter val="9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2026-10-16T12:49:42Z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