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DBEEFB-1412-4478-ACCB-42AA64762EF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P391" i="2"/>
  <c r="BO390" i="2"/>
  <c r="BM390" i="2"/>
  <c r="Z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X359" i="2"/>
  <c r="X358" i="2"/>
  <c r="BO357" i="2"/>
  <c r="BM357" i="2"/>
  <c r="Y357" i="2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P255" i="2"/>
  <c r="BO254" i="2"/>
  <c r="BM254" i="2"/>
  <c r="Y254" i="2"/>
  <c r="Z254" i="2" s="1"/>
  <c r="P254" i="2"/>
  <c r="X251" i="2"/>
  <c r="X250" i="2"/>
  <c r="BO249" i="2"/>
  <c r="BM249" i="2"/>
  <c r="Y249" i="2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Z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Z245" i="2" l="1"/>
  <c r="Z176" i="2"/>
  <c r="Z289" i="2"/>
  <c r="Z70" i="2"/>
  <c r="Y199" i="2"/>
  <c r="Z269" i="2"/>
  <c r="Z370" i="2"/>
  <c r="Z124" i="2"/>
  <c r="BN124" i="2"/>
  <c r="Z126" i="2"/>
  <c r="BN126" i="2"/>
  <c r="Z183" i="2"/>
  <c r="BP220" i="2"/>
  <c r="Z278" i="2"/>
  <c r="Z333" i="2"/>
  <c r="Z382" i="2"/>
  <c r="Z415" i="2"/>
  <c r="BN415" i="2"/>
  <c r="Z442" i="2"/>
  <c r="X568" i="2"/>
  <c r="Y24" i="2"/>
  <c r="Y37" i="2"/>
  <c r="Z35" i="2"/>
  <c r="Z36" i="2" s="1"/>
  <c r="BN35" i="2"/>
  <c r="Y36" i="2"/>
  <c r="Z51" i="2"/>
  <c r="Z94" i="2"/>
  <c r="Y148" i="2"/>
  <c r="Z180" i="2"/>
  <c r="Z193" i="2"/>
  <c r="Z194" i="2" s="1"/>
  <c r="Z259" i="2"/>
  <c r="Z261" i="2" s="1"/>
  <c r="BP266" i="2"/>
  <c r="Z282" i="2"/>
  <c r="Z300" i="2"/>
  <c r="BN300" i="2"/>
  <c r="Z323" i="2"/>
  <c r="BN323" i="2"/>
  <c r="Z325" i="2"/>
  <c r="BN325" i="2"/>
  <c r="Z362" i="2"/>
  <c r="BN362" i="2"/>
  <c r="Z383" i="2"/>
  <c r="BN383" i="2"/>
  <c r="Z402" i="2"/>
  <c r="Z451" i="2"/>
  <c r="BN29" i="2"/>
  <c r="Y86" i="2"/>
  <c r="Y85" i="2"/>
  <c r="Z82" i="2"/>
  <c r="BN106" i="2"/>
  <c r="Z106" i="2"/>
  <c r="BP140" i="2"/>
  <c r="Y143" i="2"/>
  <c r="BN171" i="2"/>
  <c r="Y173" i="2"/>
  <c r="BN206" i="2"/>
  <c r="BN222" i="2"/>
  <c r="BN236" i="2"/>
  <c r="BN238" i="2"/>
  <c r="Y241" i="2"/>
  <c r="Y246" i="2"/>
  <c r="BP243" i="2"/>
  <c r="BN255" i="2"/>
  <c r="Z255" i="2"/>
  <c r="BN265" i="2"/>
  <c r="BP268" i="2"/>
  <c r="Z268" i="2"/>
  <c r="BN276" i="2"/>
  <c r="BP276" i="2"/>
  <c r="BN296" i="2"/>
  <c r="BN327" i="2"/>
  <c r="Y349" i="2"/>
  <c r="BP346" i="2"/>
  <c r="BN346" i="2"/>
  <c r="Z346" i="2"/>
  <c r="Y358" i="2"/>
  <c r="Y359" i="2"/>
  <c r="BP373" i="2"/>
  <c r="BN373" i="2"/>
  <c r="Z373" i="2"/>
  <c r="BN380" i="2"/>
  <c r="Z380" i="2"/>
  <c r="BN384" i="2"/>
  <c r="BN392" i="2"/>
  <c r="Z392" i="2"/>
  <c r="BP392" i="2"/>
  <c r="BP62" i="2"/>
  <c r="BN62" i="2"/>
  <c r="Z62" i="2"/>
  <c r="BP82" i="2"/>
  <c r="BN83" i="2"/>
  <c r="Z83" i="2"/>
  <c r="BP92" i="2"/>
  <c r="BN92" i="2"/>
  <c r="Z92" i="2"/>
  <c r="BP106" i="2"/>
  <c r="BN110" i="2"/>
  <c r="BP110" i="2"/>
  <c r="I574" i="2"/>
  <c r="BN151" i="2"/>
  <c r="BN178" i="2"/>
  <c r="BP178" i="2"/>
  <c r="BP204" i="2"/>
  <c r="Z204" i="2"/>
  <c r="BN228" i="2"/>
  <c r="BP249" i="2"/>
  <c r="Y251" i="2"/>
  <c r="Y250" i="2"/>
  <c r="BN249" i="2"/>
  <c r="BN271" i="2"/>
  <c r="Z271" i="2"/>
  <c r="BN280" i="2"/>
  <c r="BN285" i="2"/>
  <c r="Z285" i="2"/>
  <c r="BP315" i="2"/>
  <c r="Z315" i="2"/>
  <c r="BN372" i="2"/>
  <c r="Z372" i="2"/>
  <c r="BN404" i="2"/>
  <c r="BN416" i="2"/>
  <c r="BP432" i="2"/>
  <c r="BN444" i="2"/>
  <c r="BP455" i="2"/>
  <c r="BP467" i="2"/>
  <c r="BN511" i="2"/>
  <c r="BP34" i="2"/>
  <c r="BP51" i="2"/>
  <c r="BN52" i="2"/>
  <c r="BP70" i="2"/>
  <c r="Y156" i="2"/>
  <c r="BN154" i="2"/>
  <c r="BP183" i="2"/>
  <c r="BN226" i="2"/>
  <c r="BN231" i="2"/>
  <c r="BN254" i="2"/>
  <c r="Y262" i="2"/>
  <c r="BN313" i="2"/>
  <c r="BN347" i="2"/>
  <c r="BN374" i="2"/>
  <c r="BP382" i="2"/>
  <c r="Z398" i="2"/>
  <c r="BP424" i="2"/>
  <c r="Z432" i="2"/>
  <c r="Z439" i="2"/>
  <c r="BP442" i="2"/>
  <c r="BN443" i="2"/>
  <c r="Z455" i="2"/>
  <c r="Z457" i="2"/>
  <c r="BN457" i="2"/>
  <c r="Y458" i="2"/>
  <c r="Z467" i="2"/>
  <c r="Z468" i="2"/>
  <c r="BN468" i="2"/>
  <c r="Y469" i="2"/>
  <c r="Z478" i="2"/>
  <c r="BN478" i="2"/>
  <c r="Z488" i="2"/>
  <c r="BN503" i="2"/>
  <c r="BN515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Z291" i="2" s="1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Z256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Z137" i="2" s="1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79" i="2" s="1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Z155" i="2" s="1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Z393" i="2" s="1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302" i="2" l="1"/>
  <c r="Z272" i="2"/>
  <c r="Z246" i="2"/>
  <c r="Z190" i="2"/>
  <c r="Z79" i="2"/>
  <c r="Z557" i="2"/>
  <c r="Z452" i="2"/>
  <c r="Z376" i="2"/>
  <c r="Z172" i="2"/>
  <c r="Z127" i="2"/>
  <c r="Z67" i="2"/>
  <c r="Z317" i="2"/>
  <c r="Z74" i="2"/>
  <c r="Z406" i="2"/>
  <c r="Z328" i="2"/>
  <c r="X567" i="2"/>
  <c r="Z365" i="2"/>
  <c r="Z469" i="2"/>
  <c r="Z418" i="2"/>
  <c r="Z240" i="2"/>
  <c r="Z446" i="2"/>
  <c r="Z399" i="2"/>
  <c r="Z518" i="2"/>
  <c r="Z386" i="2"/>
  <c r="Z85" i="2"/>
  <c r="Z505" i="2"/>
  <c r="Z524" i="2"/>
  <c r="Z335" i="2"/>
  <c r="Z55" i="2"/>
  <c r="Z458" i="2"/>
  <c r="Z433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<sst xmlns="http://schemas.openxmlformats.org/spreadsheetml/2006/main" count="4240" uniqueCount="893">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</sst>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46313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Воскресенье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4.1666666666666664E-2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84</v>
      </c>
      <c r="Y27" s="55">
        <f>IFERROR(IF(X27="",0,CEILING((X27/$H27),1)*$H27),"")</f>
        <v>85.68</v>
      </c>
      <c r="Z27" s="41">
        <f>IFERROR(IF(Y27=0,"",ROUNDUP(Y27/H27,0)*0.00651),"")</f>
        <v>0.22134000000000001</v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92.2</v>
      </c>
      <c r="BN27" s="78">
        <f>IFERROR(Y27*I27/H27,"0")</f>
        <v>94.044000000000011</v>
      </c>
      <c r="BO27" s="78">
        <f>IFERROR(1/J27*(X27/H27),"0")</f>
        <v>0.18315018315018317</v>
      </c>
      <c r="BP27" s="78">
        <f>IFERROR(1/J27*(Y27/H27),"0")</f>
        <v>0.18681318681318682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33.333333333333336</v>
      </c>
      <c r="Y31" s="43">
        <f>IFERROR(Y26/H26,"0")+IFERROR(Y27/H27,"0")+IFERROR(Y28/H28,"0")+IFERROR(Y29/H29,"0")+IFERROR(Y30/H30,"0")</f>
        <v>34</v>
      </c>
      <c r="Z31" s="43">
        <f>IFERROR(IF(Z26="",0,Z26),"0")+IFERROR(IF(Z27="",0,Z27),"0")+IFERROR(IF(Z28="",0,Z28),"0")+IFERROR(IF(Z29="",0,Z29),"0")+IFERROR(IF(Z30="",0,Z30),"0")</f>
        <v>0.22134000000000001</v>
      </c>
      <c r="AA31" s="67"/>
      <c r="AB31" s="67"/>
      <c r="AC31" s="67"/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84</v>
      </c>
      <c r="Y32" s="43">
        <f>IFERROR(SUM(Y26:Y30),"0")</f>
        <v>85.68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20</v>
      </c>
      <c r="Y53" s="55">
        <f>IFERROR(IF(X53="",0,CEILING((X53/$H53),1)*$H53),"")</f>
        <v>20</v>
      </c>
      <c r="Z53" s="41">
        <f>IFERROR(IF(Y53=0,"",ROUNDUP(Y53/H53,0)*0.00902),"")</f>
        <v>4.5100000000000001E-2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20.950000000000003</v>
      </c>
      <c r="BN53" s="78">
        <f>IFERROR(Y53*I53/H53,"0")</f>
        <v>20.950000000000003</v>
      </c>
      <c r="BO53" s="78">
        <f>IFERROR(1/J53*(X53/H53),"0")</f>
        <v>3.787878787878788E-2</v>
      </c>
      <c r="BP53" s="78">
        <f>IFERROR(1/J53*(Y53/H53),"0")</f>
        <v>3.787878787878788E-2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5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4.5100000000000001E-2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20</v>
      </c>
      <c r="Y56" s="43">
        <f>IFERROR(SUM(Y51:Y54),"0")</f>
        <v>20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50</v>
      </c>
      <c r="Y59" s="55">
        <f t="shared" ref="Y59:Y66" si="0">IFERROR(IF(X59="",0,CEILING((X59/$H59),1)*$H59),"")</f>
        <v>56</v>
      </c>
      <c r="Z59" s="41">
        <f>IFERROR(IF(Y59=0,"",ROUNDUP(Y59/H59,0)*0.01898),"")</f>
        <v>9.4899999999999998E-2</v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51.830357142857146</v>
      </c>
      <c r="BN59" s="78">
        <f t="shared" ref="BN59:BN66" si="2">IFERROR(Y59*I59/H59,"0")</f>
        <v>58.050000000000004</v>
      </c>
      <c r="BO59" s="78">
        <f t="shared" ref="BO59:BO66" si="3">IFERROR(1/J59*(X59/H59),"0")</f>
        <v>6.9754464285714288E-2</v>
      </c>
      <c r="BP59" s="78">
        <f t="shared" ref="BP59:BP66" si="4">IFERROR(1/J59*(Y59/H59),"0")</f>
        <v>7.8125E-2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4.4642857142857144</v>
      </c>
      <c r="Y67" s="43">
        <f>IFERROR(Y59/H59,"0")+IFERROR(Y60/H60,"0")+IFERROR(Y61/H61,"0")+IFERROR(Y62/H62,"0")+IFERROR(Y63/H63,"0")+IFERROR(Y64/H64,"0")+IFERROR(Y65/H65,"0")+IFERROR(Y66/H66,"0")</f>
        <v>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50</v>
      </c>
      <c r="Y68" s="43">
        <f>IFERROR(SUM(Y59:Y66),"0")</f>
        <v>56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4.6296296296296298</v>
      </c>
      <c r="Y74" s="43">
        <f>IFERROR(Y70/H70,"0")+IFERROR(Y71/H71,"0")+IFERROR(Y72/H72,"0")+IFERROR(Y73/H73,"0")</f>
        <v>5</v>
      </c>
      <c r="Z74" s="43">
        <f>IFERROR(IF(Z70="",0,Z70),"0")+IFERROR(IF(Z71="",0,Z71),"0")+IFERROR(IF(Z72="",0,Z72),"0")+IFERROR(IF(Z73="",0,Z73),"0")</f>
        <v>9.4899999999999998E-2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50</v>
      </c>
      <c r="Y75" s="43">
        <f>IFERROR(SUM(Y70:Y73),"0")</f>
        <v>54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200</v>
      </c>
      <c r="Y89" s="55">
        <f t="shared" ref="Y89:Y94" si="5">IFERROR(IF(X89="",0,CEILING((X89/$H89),1)*$H89),"")</f>
        <v>205.20000000000002</v>
      </c>
      <c r="Z89" s="41">
        <f>IFERROR(IF(Y89=0,"",ROUNDUP(Y89/H89,0)*0.01898),"")</f>
        <v>0.36062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207.59259259259258</v>
      </c>
      <c r="BN89" s="78">
        <f t="shared" ref="BN89:BN94" si="7">IFERROR(Y89*I89/H89,"0")</f>
        <v>212.99</v>
      </c>
      <c r="BO89" s="78">
        <f t="shared" ref="BO89:BO94" si="8">IFERROR(1/J89*(X89/H89),"0")</f>
        <v>0.28935185185185186</v>
      </c>
      <c r="BP89" s="78">
        <f t="shared" ref="BP89:BP94" si="9">IFERROR(1/J89*(Y89/H89),"0")</f>
        <v>0.296875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22.5</v>
      </c>
      <c r="Y94" s="55">
        <f t="shared" si="5"/>
        <v>22.5</v>
      </c>
      <c r="Z94" s="41">
        <f>IFERROR(IF(Y94=0,"",ROUNDUP(Y94/H94,0)*0.00902),"")</f>
        <v>4.5100000000000001E-2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23.450000000000003</v>
      </c>
      <c r="BN94" s="78">
        <f t="shared" si="7"/>
        <v>23.450000000000003</v>
      </c>
      <c r="BO94" s="78">
        <f t="shared" si="8"/>
        <v>3.787878787878788E-2</v>
      </c>
      <c r="BP94" s="78">
        <f t="shared" si="9"/>
        <v>3.787878787878788E-2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23.518518518518519</v>
      </c>
      <c r="Y95" s="43">
        <f>IFERROR(Y89/H89,"0")+IFERROR(Y90/H90,"0")+IFERROR(Y91/H91,"0")+IFERROR(Y92/H92,"0")+IFERROR(Y93/H93,"0")+IFERROR(Y94/H94,"0")</f>
        <v>24</v>
      </c>
      <c r="Z95" s="43">
        <f>IFERROR(IF(Z89="",0,Z89),"0")+IFERROR(IF(Z90="",0,Z90),"0")+IFERROR(IF(Z91="",0,Z91),"0")+IFERROR(IF(Z92="",0,Z92),"0")+IFERROR(IF(Z93="",0,Z93),"0")+IFERROR(IF(Z94="",0,Z94),"0")</f>
        <v>0.40571999999999997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222.5</v>
      </c>
      <c r="Y96" s="43">
        <f>IFERROR(SUM(Y89:Y94),"0")</f>
        <v>227.70000000000002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45</v>
      </c>
      <c r="Y100" s="55">
        <f>IFERROR(IF(X100="",0,CEILING((X100/$H100),1)*$H100),"")</f>
        <v>45.900000000000006</v>
      </c>
      <c r="Z100" s="41">
        <f>IFERROR(IF(Y100=0,"",ROUNDUP(Y100/H100,0)*0.00651),"")</f>
        <v>0.11067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49.199999999999996</v>
      </c>
      <c r="BN100" s="78">
        <f>IFERROR(Y100*I100/H100,"0")</f>
        <v>50.183999999999997</v>
      </c>
      <c r="BO100" s="78">
        <f>IFERROR(1/J100*(X100/H100),"0")</f>
        <v>9.1575091575091569E-2</v>
      </c>
      <c r="BP100" s="78">
        <f>IFERROR(1/J100*(Y100/H100),"0")</f>
        <v>9.3406593406593408E-2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16.666666666666664</v>
      </c>
      <c r="Y102" s="43">
        <f>IFERROR(Y98/H98,"0")+IFERROR(Y99/H99,"0")+IFERROR(Y100/H100,"0")+IFERROR(Y101/H101,"0")</f>
        <v>17</v>
      </c>
      <c r="Z102" s="43">
        <f>IFERROR(IF(Z98="",0,Z98),"0")+IFERROR(IF(Z99="",0,Z99),"0")+IFERROR(IF(Z100="",0,Z100),"0")+IFERROR(IF(Z101="",0,Z101),"0")</f>
        <v>0.11067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45</v>
      </c>
      <c r="Y103" s="43">
        <f>IFERROR(SUM(Y98:Y101),"0")</f>
        <v>45.900000000000006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100</v>
      </c>
      <c r="Y106" s="55">
        <f t="shared" ref="Y106:Y112" si="10">IFERROR(IF(X106="",0,CEILING((X106/$H106),1)*$H106),"")</f>
        <v>108</v>
      </c>
      <c r="Z106" s="41">
        <f>IFERROR(IF(Y106=0,"",ROUNDUP(Y106/H106,0)*0.01898),"")</f>
        <v>0.1898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103.79629629629629</v>
      </c>
      <c r="BN106" s="78">
        <f t="shared" ref="BN106:BN112" si="12">IFERROR(Y106*I106/H106,"0")</f>
        <v>112.1</v>
      </c>
      <c r="BO106" s="78">
        <f t="shared" ref="BO106:BO112" si="13">IFERROR(1/J106*(X106/H106),"0")</f>
        <v>0.14467592592592593</v>
      </c>
      <c r="BP106" s="78">
        <f t="shared" ref="BP106:BP112" si="14">IFERROR(1/J106*(Y106/H106),"0")</f>
        <v>0.15625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45</v>
      </c>
      <c r="Y110" s="55">
        <f t="shared" si="10"/>
        <v>45</v>
      </c>
      <c r="Z110" s="41">
        <f>IFERROR(IF(Y110=0,"",ROUNDUP(Y110/H110,0)*0.00902),"")</f>
        <v>9.0200000000000002E-2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46.900000000000006</v>
      </c>
      <c r="BN110" s="78">
        <f t="shared" si="12"/>
        <v>46.900000000000006</v>
      </c>
      <c r="BO110" s="78">
        <f t="shared" si="13"/>
        <v>7.575757575757576E-2</v>
      </c>
      <c r="BP110" s="78">
        <f t="shared" si="14"/>
        <v>7.575757575757576E-2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19.25925925925926</v>
      </c>
      <c r="Y113" s="43">
        <f>IFERROR(Y106/H106,"0")+IFERROR(Y107/H107,"0")+IFERROR(Y108/H108,"0")+IFERROR(Y109/H109,"0")+IFERROR(Y110/H110,"0")+IFERROR(Y111/H111,"0")+IFERROR(Y112/H112,"0")</f>
        <v>20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0.28000000000000003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145</v>
      </c>
      <c r="Y114" s="43">
        <f>IFERROR(SUM(Y106:Y112),"0")</f>
        <v>153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50</v>
      </c>
      <c r="Y116" s="55">
        <f>IFERROR(IF(X116="",0,CEILING((X116/$H116),1)*$H116),"")</f>
        <v>54</v>
      </c>
      <c r="Z116" s="41">
        <f>IFERROR(IF(Y116=0,"",ROUNDUP(Y116/H116,0)*0.01898),"")</f>
        <v>9.4899999999999998E-2</v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51.898148148148145</v>
      </c>
      <c r="BN116" s="78">
        <f>IFERROR(Y116*I116/H116,"0")</f>
        <v>56.05</v>
      </c>
      <c r="BO116" s="78">
        <f>IFERROR(1/J116*(X116/H116),"0")</f>
        <v>7.2337962962962965E-2</v>
      </c>
      <c r="BP116" s="78">
        <f>IFERROR(1/J116*(Y116/H116),"0")</f>
        <v>7.8125E-2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4.6296296296296298</v>
      </c>
      <c r="Y120" s="43">
        <f>IFERROR(Y116/H116,"0")+IFERROR(Y117/H117,"0")+IFERROR(Y118/H118,"0")+IFERROR(Y119/H119,"0")</f>
        <v>5</v>
      </c>
      <c r="Z120" s="43">
        <f>IFERROR(IF(Z116="",0,Z116),"0")+IFERROR(IF(Z117="",0,Z117),"0")+IFERROR(IF(Z118="",0,Z118),"0")+IFERROR(IF(Z119="",0,Z119),"0")</f>
        <v>9.4899999999999998E-2</v>
      </c>
      <c r="AA120" s="67"/>
      <c r="AB120" s="67"/>
      <c r="AC120" s="67"/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50</v>
      </c>
      <c r="Y121" s="43">
        <f>IFERROR(SUM(Y116:Y119),"0")</f>
        <v>54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45</v>
      </c>
      <c r="Y125" s="55">
        <f>IFERROR(IF(X125="",0,CEILING((X125/$H125),1)*$H125),"")</f>
        <v>45.900000000000006</v>
      </c>
      <c r="Z125" s="41">
        <f>IFERROR(IF(Y125=0,"",ROUNDUP(Y125/H125,0)*0.00651),"")</f>
        <v>0.11067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49.199999999999996</v>
      </c>
      <c r="BN125" s="78">
        <f>IFERROR(Y125*I125/H125,"0")</f>
        <v>50.183999999999997</v>
      </c>
      <c r="BO125" s="78">
        <f>IFERROR(1/J125*(X125/H125),"0")</f>
        <v>9.1575091575091569E-2</v>
      </c>
      <c r="BP125" s="78">
        <f>IFERROR(1/J125*(Y125/H125),"0")</f>
        <v>9.3406593406593408E-2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16.666666666666664</v>
      </c>
      <c r="Y127" s="43">
        <f>IFERROR(Y123/H123,"0")+IFERROR(Y124/H124,"0")+IFERROR(Y125/H125,"0")+IFERROR(Y126/H126,"0")</f>
        <v>17</v>
      </c>
      <c r="Z127" s="43">
        <f>IFERROR(IF(Z123="",0,Z123),"0")+IFERROR(IF(Z124="",0,Z124),"0")+IFERROR(IF(Z125="",0,Z125),"0")+IFERROR(IF(Z126="",0,Z126),"0")</f>
        <v>0.11067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45</v>
      </c>
      <c r="Y128" s="43">
        <f>IFERROR(SUM(Y123:Y126),"0")</f>
        <v>45.900000000000006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50</v>
      </c>
      <c r="Y178" s="55">
        <f t="shared" si="15"/>
        <v>52.5</v>
      </c>
      <c r="Z178" s="41">
        <f>IFERROR(IF(Y178=0,"",ROUNDUP(Y178/H178,0)*0.00902),"")</f>
        <v>0.1353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52.714285714285715</v>
      </c>
      <c r="BN178" s="78">
        <f t="shared" si="17"/>
        <v>55.35</v>
      </c>
      <c r="BO178" s="78">
        <f t="shared" si="18"/>
        <v>0.10822510822510824</v>
      </c>
      <c r="BP178" s="78">
        <f t="shared" si="19"/>
        <v>0.11363636363636365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14.285714285714286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15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0.1353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50</v>
      </c>
      <c r="Y186" s="43">
        <f>IFERROR(SUM(Y175:Y184),"0")</f>
        <v>52.5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50</v>
      </c>
      <c r="Y218" s="55">
        <f t="shared" ref="Y218:Y231" si="26">IFERROR(IF(X218="",0,CEILING((X218/$H218),1)*$H218),"")</f>
        <v>50.400000000000006</v>
      </c>
      <c r="Z218" s="41">
        <f>IFERROR(IF(Y218=0,"",ROUNDUP(Y218/H218,0)*0.00902),"")</f>
        <v>0.10824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52.976190476190474</v>
      </c>
      <c r="BN218" s="78">
        <f t="shared" ref="BN218:BN231" si="28">IFERROR(Y218*I218/H218,"0")</f>
        <v>53.400000000000006</v>
      </c>
      <c r="BO218" s="78">
        <f t="shared" ref="BO218:BO231" si="29">IFERROR(1/J218*(X218/H218),"0")</f>
        <v>9.0187590187590191E-2</v>
      </c>
      <c r="BP218" s="78">
        <f t="shared" ref="BP218:BP231" si="30">IFERROR(1/J218*(Y218/H218),"0")</f>
        <v>9.0909090909090912E-2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17.5</v>
      </c>
      <c r="Y223" s="55">
        <f t="shared" si="26"/>
        <v>18.900000000000002</v>
      </c>
      <c r="Z223" s="41">
        <f>IFERROR(IF(Y223=0,"",ROUNDUP(Y223/H223,0)*0.00502),"")</f>
        <v>4.5179999999999998E-2</v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18.583333333333332</v>
      </c>
      <c r="BN223" s="78">
        <f t="shared" si="28"/>
        <v>20.07</v>
      </c>
      <c r="BO223" s="78">
        <f t="shared" si="29"/>
        <v>3.5612535612535613E-2</v>
      </c>
      <c r="BP223" s="78">
        <f t="shared" si="30"/>
        <v>3.8461538461538464E-2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17.5</v>
      </c>
      <c r="Y225" s="55">
        <f t="shared" si="26"/>
        <v>18.900000000000002</v>
      </c>
      <c r="Z225" s="41">
        <f>IFERROR(IF(Y225=0,"",ROUNDUP(Y225/H225,0)*0.00502),"")</f>
        <v>4.5179999999999998E-2</v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18.583333333333332</v>
      </c>
      <c r="BN225" s="78">
        <f t="shared" si="28"/>
        <v>20.07</v>
      </c>
      <c r="BO225" s="78">
        <f t="shared" si="29"/>
        <v>3.5612535612535613E-2</v>
      </c>
      <c r="BP225" s="78">
        <f t="shared" si="30"/>
        <v>3.8461538461538464E-2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28.571428571428569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30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0.1986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85</v>
      </c>
      <c r="Y233" s="43">
        <f>IFERROR(SUM(Y218:Y231),"0")</f>
        <v>88.200000000000017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250</v>
      </c>
      <c r="Y264" s="55">
        <f t="shared" ref="Y264:Y271" si="31">IFERROR(IF(X264="",0,CEILING((X264/$H264),1)*$H264),"")</f>
        <v>253.8</v>
      </c>
      <c r="Z264" s="41">
        <f>IFERROR(IF(Y264=0,"",ROUNDUP(Y264/H264,0)*0.00902),"")</f>
        <v>0.42393999999999998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258.7962962962963</v>
      </c>
      <c r="BN264" s="78">
        <f t="shared" ref="BN264:BN271" si="33">IFERROR(Y264*I264/H264,"0")</f>
        <v>262.72999999999996</v>
      </c>
      <c r="BO264" s="78">
        <f t="shared" ref="BO264:BO271" si="34">IFERROR(1/J264*(X264/H264),"0")</f>
        <v>0.35072951739618402</v>
      </c>
      <c r="BP264" s="78">
        <f t="shared" ref="BP264:BP271" si="35">IFERROR(1/J264*(Y264/H264),"0")</f>
        <v>0.35606060606060608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200</v>
      </c>
      <c r="Y265" s="55">
        <f t="shared" si="31"/>
        <v>205.20000000000002</v>
      </c>
      <c r="Z265" s="41">
        <f>IFERROR(IF(Y265=0,"",ROUNDUP(Y265/H265,0)*0.00902),"")</f>
        <v>0.34276000000000001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207.03703703703701</v>
      </c>
      <c r="BN265" s="78">
        <f t="shared" si="33"/>
        <v>212.42</v>
      </c>
      <c r="BO265" s="78">
        <f t="shared" si="34"/>
        <v>0.28058361391694725</v>
      </c>
      <c r="BP265" s="78">
        <f t="shared" si="35"/>
        <v>0.2878787878787879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250</v>
      </c>
      <c r="Y266" s="55">
        <f t="shared" si="31"/>
        <v>253.8</v>
      </c>
      <c r="Z266" s="41">
        <f>IFERROR(IF(Y266=0,"",ROUNDUP(Y266/H266,0)*0.00902),"")</f>
        <v>0.42393999999999998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258.7962962962963</v>
      </c>
      <c r="BN266" s="78">
        <f t="shared" si="33"/>
        <v>262.72999999999996</v>
      </c>
      <c r="BO266" s="78">
        <f t="shared" si="34"/>
        <v>0.35072951739618402</v>
      </c>
      <c r="BP266" s="78">
        <f t="shared" si="35"/>
        <v>0.35606060606060608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250</v>
      </c>
      <c r="Y267" s="55">
        <f t="shared" si="31"/>
        <v>253.8</v>
      </c>
      <c r="Z267" s="41">
        <f>IFERROR(IF(Y267=0,"",ROUNDUP(Y267/H267,0)*0.00902),"")</f>
        <v>0.42393999999999998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258.7962962962963</v>
      </c>
      <c r="BN267" s="78">
        <f t="shared" si="33"/>
        <v>262.72999999999996</v>
      </c>
      <c r="BO267" s="78">
        <f t="shared" si="34"/>
        <v>0.35072951739618402</v>
      </c>
      <c r="BP267" s="78">
        <f t="shared" si="35"/>
        <v>0.35606060606060608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15</v>
      </c>
      <c r="Y268" s="55">
        <f t="shared" si="31"/>
        <v>16.2</v>
      </c>
      <c r="Z268" s="41">
        <f>IFERROR(IF(Y268=0,"",ROUNDUP(Y268/H268,0)*0.00502),"")</f>
        <v>4.5179999999999998E-2</v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16.083333333333332</v>
      </c>
      <c r="BN268" s="78">
        <f t="shared" si="33"/>
        <v>17.369999999999997</v>
      </c>
      <c r="BO268" s="78">
        <f t="shared" si="34"/>
        <v>3.561253561253562E-2</v>
      </c>
      <c r="BP268" s="78">
        <f t="shared" si="35"/>
        <v>3.8461538461538464E-2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15</v>
      </c>
      <c r="Y269" s="55">
        <f t="shared" si="31"/>
        <v>16.2</v>
      </c>
      <c r="Z269" s="41">
        <f>IFERROR(IF(Y269=0,"",ROUNDUP(Y269/H269,0)*0.00502),"")</f>
        <v>4.5179999999999998E-2</v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15.833333333333332</v>
      </c>
      <c r="BN269" s="78">
        <f t="shared" si="33"/>
        <v>17.099999999999998</v>
      </c>
      <c r="BO269" s="78">
        <f t="shared" si="34"/>
        <v>3.561253561253562E-2</v>
      </c>
      <c r="BP269" s="78">
        <f t="shared" si="35"/>
        <v>3.8461538461538464E-2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15</v>
      </c>
      <c r="Y270" s="55">
        <f t="shared" si="31"/>
        <v>16.2</v>
      </c>
      <c r="Z270" s="41">
        <f>IFERROR(IF(Y270=0,"",ROUNDUP(Y270/H270,0)*0.00502),"")</f>
        <v>4.5179999999999998E-2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15.833333333333332</v>
      </c>
      <c r="BN270" s="78">
        <f t="shared" si="33"/>
        <v>17.099999999999998</v>
      </c>
      <c r="BO270" s="78">
        <f t="shared" si="34"/>
        <v>3.561253561253562E-2</v>
      </c>
      <c r="BP270" s="78">
        <f t="shared" si="35"/>
        <v>3.8461538461538464E-2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15</v>
      </c>
      <c r="Y271" s="55">
        <f t="shared" si="31"/>
        <v>16.2</v>
      </c>
      <c r="Z271" s="41">
        <f>IFERROR(IF(Y271=0,"",ROUNDUP(Y271/H271,0)*0.00502),"")</f>
        <v>4.5179999999999998E-2</v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15.833333333333332</v>
      </c>
      <c r="BN271" s="78">
        <f t="shared" si="33"/>
        <v>17.099999999999998</v>
      </c>
      <c r="BO271" s="78">
        <f t="shared" si="34"/>
        <v>3.561253561253562E-2</v>
      </c>
      <c r="BP271" s="78">
        <f t="shared" si="35"/>
        <v>3.8461538461538464E-2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209.2592592592593</v>
      </c>
      <c r="Y272" s="43">
        <f>IFERROR(Y264/H264,"0")+IFERROR(Y265/H265,"0")+IFERROR(Y266/H266,"0")+IFERROR(Y267/H267,"0")+IFERROR(Y268/H268,"0")+IFERROR(Y269/H269,"0")+IFERROR(Y270/H270,"0")+IFERROR(Y271/H271,"0")</f>
        <v>215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1.7952999999999999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1010</v>
      </c>
      <c r="Y273" s="43">
        <f>IFERROR(SUM(Y264:Y271),"0")</f>
        <v>1031.4000000000001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80</v>
      </c>
      <c r="Y278" s="55">
        <f t="shared" si="36"/>
        <v>81.599999999999994</v>
      </c>
      <c r="Z278" s="41">
        <f>IFERROR(IF(Y278=0,"",ROUNDUP(Y278/H278,0)*0.00651),"")</f>
        <v>0.22134000000000001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89</v>
      </c>
      <c r="BN278" s="78">
        <f t="shared" si="38"/>
        <v>90.78</v>
      </c>
      <c r="BO278" s="78">
        <f t="shared" si="39"/>
        <v>0.18315018315018317</v>
      </c>
      <c r="BP278" s="78">
        <f t="shared" si="40"/>
        <v>0.18681318681318682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40</v>
      </c>
      <c r="Y280" s="55">
        <f t="shared" si="36"/>
        <v>40.799999999999997</v>
      </c>
      <c r="Z280" s="41">
        <f>IFERROR(IF(Y280=0,"",ROUNDUP(Y280/H280,0)*0.00651),"")</f>
        <v>0.11067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44.20000000000001</v>
      </c>
      <c r="BN280" s="78">
        <f t="shared" si="38"/>
        <v>45.084000000000003</v>
      </c>
      <c r="BO280" s="78">
        <f t="shared" si="39"/>
        <v>9.1575091575091583E-2</v>
      </c>
      <c r="BP280" s="78">
        <f t="shared" si="40"/>
        <v>9.3406593406593408E-2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120</v>
      </c>
      <c r="Y282" s="55">
        <f t="shared" si="36"/>
        <v>120</v>
      </c>
      <c r="Z282" s="41">
        <f>IFERROR(IF(Y282=0,"",ROUNDUP(Y282/H282,0)*0.00651),"")</f>
        <v>0.32550000000000001</v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132.60000000000002</v>
      </c>
      <c r="BN282" s="78">
        <f t="shared" si="38"/>
        <v>132.60000000000002</v>
      </c>
      <c r="BO282" s="78">
        <f t="shared" si="39"/>
        <v>0.27472527472527475</v>
      </c>
      <c r="BP282" s="78">
        <f t="shared" si="40"/>
        <v>0.27472527472527475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80</v>
      </c>
      <c r="Y283" s="55">
        <f t="shared" si="36"/>
        <v>81.599999999999994</v>
      </c>
      <c r="Z283" s="41">
        <f>IFERROR(IF(Y283=0,"",ROUNDUP(Y283/H283,0)*0.00651),"")</f>
        <v>0.22134000000000001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88.40000000000002</v>
      </c>
      <c r="BN283" s="78">
        <f t="shared" si="38"/>
        <v>90.168000000000006</v>
      </c>
      <c r="BO283" s="78">
        <f t="shared" si="39"/>
        <v>0.18315018315018317</v>
      </c>
      <c r="BP283" s="78">
        <f t="shared" si="40"/>
        <v>0.18681318681318682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80</v>
      </c>
      <c r="Y284" s="55">
        <f t="shared" si="36"/>
        <v>81.599999999999994</v>
      </c>
      <c r="Z284" s="41">
        <f>IFERROR(IF(Y284=0,"",ROUNDUP(Y284/H284,0)*0.00651),"")</f>
        <v>0.22134000000000001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88.6</v>
      </c>
      <c r="BN284" s="78">
        <f t="shared" si="38"/>
        <v>90.371999999999986</v>
      </c>
      <c r="BO284" s="78">
        <f t="shared" si="39"/>
        <v>0.18315018315018317</v>
      </c>
      <c r="BP284" s="78">
        <f t="shared" si="40"/>
        <v>0.18681318681318682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166.66666666666669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169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1.10019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400</v>
      </c>
      <c r="Y287" s="43">
        <f>IFERROR(SUM(Y275:Y285),"0")</f>
        <v>405.6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100</v>
      </c>
      <c r="Y297" s="55">
        <f t="shared" si="41"/>
        <v>104.39999999999999</v>
      </c>
      <c r="Z297" s="41">
        <f>IFERROR(IF(Y297=0,"",ROUNDUP(Y297/H297,0)*0.01898),"")</f>
        <v>0.17082</v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103.5344827586207</v>
      </c>
      <c r="BN297" s="78">
        <f t="shared" si="43"/>
        <v>108.08999999999999</v>
      </c>
      <c r="BO297" s="78">
        <f t="shared" si="44"/>
        <v>0.13469827586206898</v>
      </c>
      <c r="BP297" s="78">
        <f t="shared" si="45"/>
        <v>0.140625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8.6206896551724146</v>
      </c>
      <c r="Y302" s="43">
        <f>IFERROR(Y295/H295,"0")+IFERROR(Y296/H296,"0")+IFERROR(Y297/H297,"0")+IFERROR(Y298/H298,"0")+IFERROR(Y299/H299,"0")+IFERROR(Y300/H300,"0")+IFERROR(Y301/H301,"0")</f>
        <v>9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0.17082</v>
      </c>
      <c r="AA302" s="67"/>
      <c r="AB302" s="67"/>
      <c r="AC302" s="67"/>
    </row>
    <row r="303" spans="1:68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100</v>
      </c>
      <c r="Y303" s="43">
        <f>IFERROR(SUM(Y295:Y301),"0")</f>
        <v>104.39999999999999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50</v>
      </c>
      <c r="Y325" s="55">
        <f t="shared" si="46"/>
        <v>54</v>
      </c>
      <c r="Z325" s="41">
        <f>IFERROR(IF(Y325=0,"",ROUNDUP(Y325/H325,0)*0.01898),"")</f>
        <v>9.4899999999999998E-2</v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51.898148148148145</v>
      </c>
      <c r="BN325" s="78">
        <f t="shared" si="48"/>
        <v>56.05</v>
      </c>
      <c r="BO325" s="78">
        <f t="shared" si="49"/>
        <v>7.2337962962962965E-2</v>
      </c>
      <c r="BP325" s="78">
        <f t="shared" si="50"/>
        <v>7.8125E-2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4.6296296296296298</v>
      </c>
      <c r="Y328" s="43">
        <f>IFERROR(Y321/H321,"0")+IFERROR(Y322/H322,"0")+IFERROR(Y323/H323,"0")+IFERROR(Y324/H324,"0")+IFERROR(Y325/H325,"0")+IFERROR(Y326/H326,"0")+IFERROR(Y327/H327,"0")</f>
        <v>5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9.4899999999999998E-2</v>
      </c>
      <c r="AA328" s="67"/>
      <c r="AB328" s="67"/>
      <c r="AC328" s="67"/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50</v>
      </c>
      <c r="Y329" s="43">
        <f>IFERROR(SUM(Y321:Y327),"0")</f>
        <v>54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40</v>
      </c>
      <c r="Y333" s="55">
        <f>IFERROR(IF(X333="",0,CEILING((X333/$H333),1)*$H333),"")</f>
        <v>40.799999999999997</v>
      </c>
      <c r="Z333" s="41">
        <f>IFERROR(IF(Y333=0,"",ROUNDUP(Y333/H333,0)*0.00651),"")</f>
        <v>0.11067</v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44.20000000000001</v>
      </c>
      <c r="BN333" s="78">
        <f>IFERROR(Y333*I333/H333,"0")</f>
        <v>45.084000000000003</v>
      </c>
      <c r="BO333" s="78">
        <f>IFERROR(1/J333*(X333/H333),"0")</f>
        <v>9.1575091575091583E-2</v>
      </c>
      <c r="BP333" s="78">
        <f>IFERROR(1/J333*(Y333/H333),"0")</f>
        <v>9.3406593406593408E-2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80</v>
      </c>
      <c r="Y334" s="55">
        <f>IFERROR(IF(X334="",0,CEILING((X334/$H334),1)*$H334),"")</f>
        <v>81.599999999999994</v>
      </c>
      <c r="Z334" s="41">
        <f>IFERROR(IF(Y334=0,"",ROUNDUP(Y334/H334,0)*0.00651),"")</f>
        <v>0.22134000000000001</v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86</v>
      </c>
      <c r="BN334" s="78">
        <f>IFERROR(Y334*I334/H334,"0")</f>
        <v>87.72</v>
      </c>
      <c r="BO334" s="78">
        <f>IFERROR(1/J334*(X334/H334),"0")</f>
        <v>0.18315018315018317</v>
      </c>
      <c r="BP334" s="78">
        <f>IFERROR(1/J334*(Y334/H334),"0")</f>
        <v>0.18681318681318682</v>
      </c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50</v>
      </c>
      <c r="Y335" s="43">
        <f>IFERROR(Y332/H332,"0")+IFERROR(Y333/H333,"0")+IFERROR(Y334/H334,"0")</f>
        <v>51</v>
      </c>
      <c r="Z335" s="43">
        <f>IFERROR(IF(Z332="",0,Z332),"0")+IFERROR(IF(Z333="",0,Z333),"0")+IFERROR(IF(Z334="",0,Z334),"0")</f>
        <v>0.33201000000000003</v>
      </c>
      <c r="AA335" s="67"/>
      <c r="AB335" s="67"/>
      <c r="AC335" s="67"/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120</v>
      </c>
      <c r="Y336" s="43">
        <f>IFERROR(SUM(Y332:Y334),"0")</f>
        <v>122.39999999999999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50</v>
      </c>
      <c r="Y380" s="55">
        <f t="shared" si="56"/>
        <v>50.400000000000006</v>
      </c>
      <c r="Z380" s="41">
        <f>IFERROR(IF(Y380=0,"",ROUNDUP(Y380/H380,0)*0.00902),"")</f>
        <v>0.10824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52.976190476190474</v>
      </c>
      <c r="BN380" s="78">
        <f t="shared" si="58"/>
        <v>53.400000000000006</v>
      </c>
      <c r="BO380" s="78">
        <f t="shared" si="59"/>
        <v>9.0187590187590191E-2</v>
      </c>
      <c r="BP380" s="78">
        <f t="shared" si="60"/>
        <v>9.0909090909090912E-2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17.5</v>
      </c>
      <c r="Y383" s="55">
        <f t="shared" si="56"/>
        <v>18.900000000000002</v>
      </c>
      <c r="Z383" s="41">
        <f>IFERROR(IF(Y383=0,"",ROUNDUP(Y383/H383,0)*0.00502),"")</f>
        <v>4.5179999999999998E-2</v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18.333333333333332</v>
      </c>
      <c r="BN383" s="78">
        <f t="shared" si="58"/>
        <v>19.8</v>
      </c>
      <c r="BO383" s="78">
        <f t="shared" si="59"/>
        <v>3.5612535612535613E-2</v>
      </c>
      <c r="BP383" s="78">
        <f t="shared" si="60"/>
        <v>3.8461538461538464E-2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20.238095238095237</v>
      </c>
      <c r="Y386" s="43">
        <f>IFERROR(Y379/H379,"0")+IFERROR(Y380/H380,"0")+IFERROR(Y381/H381,"0")+IFERROR(Y382/H382,"0")+IFERROR(Y383/H383,"0")+IFERROR(Y384/H384,"0")+IFERROR(Y385/H385,"0")</f>
        <v>21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0.15342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67.5</v>
      </c>
      <c r="Y387" s="43">
        <f>IFERROR(SUM(Y379:Y385),"0")</f>
        <v>69.300000000000011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100</v>
      </c>
      <c r="Y396" s="55">
        <f>IFERROR(IF(X396="",0,CEILING((X396/$H396),1)*$H396),"")</f>
        <v>100.80000000000001</v>
      </c>
      <c r="Z396" s="41">
        <f>IFERROR(IF(Y396=0,"",ROUNDUP(Y396/H396,0)*0.01898),"")</f>
        <v>0.22776000000000002</v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105.88095238095238</v>
      </c>
      <c r="BN396" s="78">
        <f>IFERROR(Y396*I396/H396,"0")</f>
        <v>106.72800000000001</v>
      </c>
      <c r="BO396" s="78">
        <f>IFERROR(1/J396*(X396/H396),"0")</f>
        <v>0.18601190476190477</v>
      </c>
      <c r="BP396" s="78">
        <f>IFERROR(1/J396*(Y396/H396),"0")</f>
        <v>0.1875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100</v>
      </c>
      <c r="Y397" s="55">
        <f>IFERROR(IF(X397="",0,CEILING((X397/$H397),1)*$H397),"")</f>
        <v>101.39999999999999</v>
      </c>
      <c r="Z397" s="41">
        <f>IFERROR(IF(Y397=0,"",ROUNDUP(Y397/H397,0)*0.01898),"")</f>
        <v>0.24674000000000001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106.33333333333334</v>
      </c>
      <c r="BN397" s="78">
        <f>IFERROR(Y397*I397/H397,"0")</f>
        <v>107.82199999999999</v>
      </c>
      <c r="BO397" s="78">
        <f>IFERROR(1/J397*(X397/H397),"0")</f>
        <v>0.20032051282051283</v>
      </c>
      <c r="BP397" s="78">
        <f>IFERROR(1/J397*(Y397/H397),"0")</f>
        <v>0.203125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100</v>
      </c>
      <c r="Y398" s="55">
        <f>IFERROR(IF(X398="",0,CEILING((X398/$H398),1)*$H398),"")</f>
        <v>100.80000000000001</v>
      </c>
      <c r="Z398" s="41">
        <f>IFERROR(IF(Y398=0,"",ROUNDUP(Y398/H398,0)*0.01898),"")</f>
        <v>0.22776000000000002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105.88095238095238</v>
      </c>
      <c r="BN398" s="78">
        <f>IFERROR(Y398*I398/H398,"0")</f>
        <v>106.72800000000001</v>
      </c>
      <c r="BO398" s="78">
        <f>IFERROR(1/J398*(X398/H398),"0")</f>
        <v>0.18601190476190477</v>
      </c>
      <c r="BP398" s="78">
        <f>IFERROR(1/J398*(Y398/H398),"0")</f>
        <v>0.1875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36.630036630036628</v>
      </c>
      <c r="Y399" s="43">
        <f>IFERROR(Y396/H396,"0")+IFERROR(Y397/H397,"0")+IFERROR(Y398/H398,"0")</f>
        <v>37</v>
      </c>
      <c r="Z399" s="43">
        <f>IFERROR(IF(Z396="",0,Z396),"0")+IFERROR(IF(Z397="",0,Z397),"0")+IFERROR(IF(Z398="",0,Z398),"0")</f>
        <v>0.70226000000000011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300</v>
      </c>
      <c r="Y400" s="43">
        <f>IFERROR(SUM(Y396:Y398),"0")</f>
        <v>303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8.5</v>
      </c>
      <c r="Y405" s="55">
        <f>IFERROR(IF(X405="",0,CEILING((X405/$H405),1)*$H405),"")</f>
        <v>10.199999999999999</v>
      </c>
      <c r="Z405" s="41">
        <f>IFERROR(IF(Y405=0,"",ROUNDUP(Y405/H405,0)*0.00651),"")</f>
        <v>2.6040000000000001E-2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9.6000000000000014</v>
      </c>
      <c r="BN405" s="78">
        <f>IFERROR(Y405*I405/H405,"0")</f>
        <v>11.52</v>
      </c>
      <c r="BO405" s="78">
        <f>IFERROR(1/J405*(X405/H405),"0")</f>
        <v>1.8315018315018316E-2</v>
      </c>
      <c r="BP405" s="78">
        <f>IFERROR(1/J405*(Y405/H405),"0")</f>
        <v>2.197802197802198E-2</v>
      </c>
    </row>
    <row r="406" spans="1:68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3.3333333333333335</v>
      </c>
      <c r="Y406" s="43">
        <f>IFERROR(Y402/H402,"0")+IFERROR(Y403/H403,"0")+IFERROR(Y404/H404,"0")+IFERROR(Y405/H405,"0")</f>
        <v>4</v>
      </c>
      <c r="Z406" s="43">
        <f>IFERROR(IF(Z402="",0,Z402),"0")+IFERROR(IF(Z403="",0,Z403),"0")+IFERROR(IF(Z404="",0,Z404),"0")+IFERROR(IF(Z405="",0,Z405),"0")</f>
        <v>2.6040000000000001E-2</v>
      </c>
      <c r="AA406" s="67"/>
      <c r="AB406" s="67"/>
      <c r="AC406" s="67"/>
    </row>
    <row r="407" spans="1:68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8.5</v>
      </c>
      <c r="Y407" s="43">
        <f>IFERROR(SUM(Y402:Y405),"0")</f>
        <v>10.199999999999999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100</v>
      </c>
      <c r="Y438" s="55">
        <f t="shared" ref="Y438:Y445" si="61">IFERROR(IF(X438="",0,CEILING((X438/$H438),1)*$H438),"")</f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103.13333333333334</v>
      </c>
      <c r="BN438" s="78">
        <f t="shared" ref="BN438:BN445" si="63">IFERROR(Y438*I438/H438,"0")</f>
        <v>108.29</v>
      </c>
      <c r="BO438" s="78">
        <f t="shared" ref="BO438:BO445" si="64">IFERROR(1/J438*(X438/H438),"0")</f>
        <v>0.1388888888888889</v>
      </c>
      <c r="BP438" s="78">
        <f t="shared" ref="BP438:BP445" si="65">IFERROR(1/J438*(Y438/H438),"0")</f>
        <v>0.14583333333333331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61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515.66666666666663</v>
      </c>
      <c r="BN439" s="78">
        <f t="shared" si="63"/>
        <v>525.98</v>
      </c>
      <c r="BO439" s="78">
        <f t="shared" si="64"/>
        <v>0.69444444444444442</v>
      </c>
      <c r="BP439" s="78">
        <f t="shared" si="65"/>
        <v>0.70833333333333326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500</v>
      </c>
      <c r="Y440" s="55">
        <f t="shared" si="61"/>
        <v>510</v>
      </c>
      <c r="Z440" s="41">
        <f>IFERROR(IF(Y440=0,"",ROUNDUP(Y440/H440,0)*0.02175),"")</f>
        <v>0.73949999999999994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515.66666666666663</v>
      </c>
      <c r="BN440" s="78">
        <f t="shared" si="63"/>
        <v>525.98</v>
      </c>
      <c r="BO440" s="78">
        <f t="shared" si="64"/>
        <v>0.69444444444444442</v>
      </c>
      <c r="BP440" s="78">
        <f t="shared" si="65"/>
        <v>0.70833333333333326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1000</v>
      </c>
      <c r="Y441" s="55">
        <f t="shared" si="61"/>
        <v>1005</v>
      </c>
      <c r="Z441" s="41">
        <f>IFERROR(IF(Y441=0,"",ROUNDUP(Y441/H441,0)*0.02175),"")</f>
        <v>1.4572499999999999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1031.3333333333333</v>
      </c>
      <c r="BN441" s="78">
        <f t="shared" si="63"/>
        <v>1036.49</v>
      </c>
      <c r="BO441" s="78">
        <f t="shared" si="64"/>
        <v>1.3888888888888888</v>
      </c>
      <c r="BP441" s="78">
        <f t="shared" si="65"/>
        <v>1.3958333333333333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140</v>
      </c>
      <c r="Y446" s="43">
        <f>IFERROR(Y438/H438,"0")+IFERROR(Y439/H439,"0")+IFERROR(Y440/H440,"0")+IFERROR(Y441/H441,"0")+IFERROR(Y442/H442,"0")+IFERROR(Y443/H443,"0")+IFERROR(Y444/H444,"0")+IFERROR(Y445/H445,"0")</f>
        <v>142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3.0884999999999998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2100</v>
      </c>
      <c r="Y447" s="43">
        <f>IFERROR(SUM(Y438:Y445),"0")</f>
        <v>2130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500</v>
      </c>
      <c r="Y449" s="55">
        <f>IFERROR(IF(X449="",0,CEILING((X449/$H449),1)*$H449),"")</f>
        <v>510</v>
      </c>
      <c r="Z449" s="41">
        <f>IFERROR(IF(Y449=0,"",ROUNDUP(Y449/H449,0)*0.02175),"")</f>
        <v>0.73949999999999994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515.66666666666663</v>
      </c>
      <c r="BN449" s="78">
        <f>IFERROR(Y449*I449/H449,"0")</f>
        <v>525.98</v>
      </c>
      <c r="BO449" s="78">
        <f>IFERROR(1/J449*(X449/H449),"0")</f>
        <v>0.69444444444444442</v>
      </c>
      <c r="BP449" s="78">
        <f>IFERROR(1/J449*(Y449/H449),"0")</f>
        <v>0.70833333333333326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100</v>
      </c>
      <c r="Y450" s="55">
        <f>IFERROR(IF(X450="",0,CEILING((X450/$H450),1)*$H450),"")</f>
        <v>105</v>
      </c>
      <c r="Z450" s="41">
        <f>IFERROR(IF(Y450=0,"",ROUNDUP(Y450/H450,0)*0.02175),"")</f>
        <v>0.15225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103.13333333333334</v>
      </c>
      <c r="BN450" s="78">
        <f>IFERROR(Y450*I450/H450,"0")</f>
        <v>108.29</v>
      </c>
      <c r="BO450" s="78">
        <f>IFERROR(1/J450*(X450/H450),"0")</f>
        <v>0.1388888888888889</v>
      </c>
      <c r="BP450" s="78">
        <f>IFERROR(1/J450*(Y450/H450),"0")</f>
        <v>0.14583333333333331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40</v>
      </c>
      <c r="Y452" s="43">
        <f>IFERROR(Y449/H449,"0")+IFERROR(Y450/H450,"0")+IFERROR(Y451/H451,"0")</f>
        <v>41</v>
      </c>
      <c r="Z452" s="43">
        <f>IFERROR(IF(Z449="",0,Z449),"0")+IFERROR(IF(Z450="",0,Z450),"0")+IFERROR(IF(Z451="",0,Z451),"0")</f>
        <v>0.89174999999999993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600</v>
      </c>
      <c r="Y453" s="43">
        <f>IFERROR(SUM(Y449:Y451),"0")</f>
        <v>615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100</v>
      </c>
      <c r="Y476" s="55">
        <f>IFERROR(IF(X476="",0,CEILING((X476/$H476),1)*$H476),"")</f>
        <v>108</v>
      </c>
      <c r="Z476" s="41">
        <f>IFERROR(IF(Y476=0,"",ROUNDUP(Y476/H476,0)*0.01898),"")</f>
        <v>0.22776000000000002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105.48888888888888</v>
      </c>
      <c r="BN476" s="78">
        <f>IFERROR(Y476*I476/H476,"0")</f>
        <v>113.92799999999998</v>
      </c>
      <c r="BO476" s="78">
        <f>IFERROR(1/J476*(X476/H476),"0")</f>
        <v>0.1736111111111111</v>
      </c>
      <c r="BP476" s="78">
        <f>IFERROR(1/J476*(Y476/H476),"0")</f>
        <v>0.1875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11.111111111111111</v>
      </c>
      <c r="Y479" s="43">
        <f>IFERROR(Y476/H476,"0")+IFERROR(Y477/H477,"0")+IFERROR(Y478/H478,"0")</f>
        <v>12</v>
      </c>
      <c r="Z479" s="43">
        <f>IFERROR(IF(Z476="",0,Z476),"0")+IFERROR(IF(Z477="",0,Z477),"0")+IFERROR(IF(Z478="",0,Z478),"0")</f>
        <v>0.22776000000000002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100</v>
      </c>
      <c r="Y480" s="43">
        <f>IFERROR(SUM(Y476:Y478),"0")</f>
        <v>108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100</v>
      </c>
      <c r="Y484" s="55">
        <f t="shared" ref="Y484:Y489" si="66">IFERROR(IF(X484="",0,CEILING((X484/$H484),1)*$H484),"")</f>
        <v>102.60000000000001</v>
      </c>
      <c r="Z484" s="41">
        <f>IFERROR(IF(Y484=0,"",ROUNDUP(Y484/H484,0)*0.00902),"")</f>
        <v>0.17138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103.5185185185185</v>
      </c>
      <c r="BN484" s="78">
        <f t="shared" ref="BN484:BN489" si="68">IFERROR(Y484*I484/H484,"0")</f>
        <v>106.21</v>
      </c>
      <c r="BO484" s="78">
        <f t="shared" ref="BO484:BO489" si="69">IFERROR(1/J484*(X484/H484),"0")</f>
        <v>0.14029180695847362</v>
      </c>
      <c r="BP484" s="78">
        <f t="shared" ref="BP484:BP489" si="70">IFERROR(1/J484*(Y484/H484),"0")</f>
        <v>0.14393939393939395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100</v>
      </c>
      <c r="Y485" s="55">
        <f t="shared" si="66"/>
        <v>102.60000000000001</v>
      </c>
      <c r="Z485" s="41">
        <f>IFERROR(IF(Y485=0,"",ROUNDUP(Y485/H485,0)*0.00902),"")</f>
        <v>0.17138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103.5185185185185</v>
      </c>
      <c r="BN485" s="78">
        <f t="shared" si="68"/>
        <v>106.21</v>
      </c>
      <c r="BO485" s="78">
        <f t="shared" si="69"/>
        <v>0.14029180695847362</v>
      </c>
      <c r="BP485" s="78">
        <f t="shared" si="70"/>
        <v>0.14393939393939395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17.5</v>
      </c>
      <c r="Y488" s="55">
        <f t="shared" si="66"/>
        <v>18.900000000000002</v>
      </c>
      <c r="Z488" s="41">
        <f>IFERROR(IF(Y488=0,"",ROUNDUP(Y488/H488,0)*0.00502),"")</f>
        <v>4.5179999999999998E-2</v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18.583333333333332</v>
      </c>
      <c r="BN488" s="78">
        <f t="shared" si="68"/>
        <v>20.07</v>
      </c>
      <c r="BO488" s="78">
        <f t="shared" si="69"/>
        <v>3.5612535612535613E-2</v>
      </c>
      <c r="BP488" s="78">
        <f t="shared" si="70"/>
        <v>3.8461538461538464E-2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17.5</v>
      </c>
      <c r="Y489" s="55">
        <f t="shared" si="66"/>
        <v>18.900000000000002</v>
      </c>
      <c r="Z489" s="41">
        <f>IFERROR(IF(Y489=0,"",ROUNDUP(Y489/H489,0)*0.00502),"")</f>
        <v>4.5179999999999998E-2</v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18.583333333333332</v>
      </c>
      <c r="BN489" s="78">
        <f t="shared" si="68"/>
        <v>20.07</v>
      </c>
      <c r="BO489" s="78">
        <f t="shared" si="69"/>
        <v>3.5612535612535613E-2</v>
      </c>
      <c r="BP489" s="78">
        <f t="shared" si="70"/>
        <v>3.8461538461538464E-2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53.703703703703695</v>
      </c>
      <c r="Y490" s="43">
        <f>IFERROR(Y484/H484,"0")+IFERROR(Y485/H485,"0")+IFERROR(Y486/H486,"0")+IFERROR(Y487/H487,"0")+IFERROR(Y488/H488,"0")+IFERROR(Y489/H489,"0")</f>
        <v>56</v>
      </c>
      <c r="Z490" s="43">
        <f>IFERROR(IF(Z484="",0,Z484),"0")+IFERROR(IF(Z485="",0,Z485),"0")+IFERROR(IF(Z486="",0,Z486),"0")+IFERROR(IF(Z487="",0,Z487),"0")+IFERROR(IF(Z488="",0,Z488),"0")+IFERROR(IF(Z489="",0,Z489),"0")</f>
        <v>0.43312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235</v>
      </c>
      <c r="Y491" s="43">
        <f>IFERROR(SUM(Y484:Y489),"0")</f>
        <v>243.00000000000003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200</v>
      </c>
      <c r="Y502" s="55">
        <f>IFERROR(IF(X502="",0,CEILING((X502/$H502),1)*$H502),"")</f>
        <v>205.20000000000002</v>
      </c>
      <c r="Z502" s="41">
        <f>IFERROR(IF(Y502=0,"",ROUNDUP(Y502/H502,0)*0.00902),"")</f>
        <v>0.34276000000000001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207.03703703703701</v>
      </c>
      <c r="BN502" s="78">
        <f>IFERROR(Y502*I502/H502,"0")</f>
        <v>212.42</v>
      </c>
      <c r="BO502" s="78">
        <f>IFERROR(1/J502*(X502/H502),"0")</f>
        <v>0.28058361391694725</v>
      </c>
      <c r="BP502" s="78">
        <f>IFERROR(1/J502*(Y502/H502),"0")</f>
        <v>0.2878787878787879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24.5</v>
      </c>
      <c r="Y504" s="55">
        <f>IFERROR(IF(X504="",0,CEILING((X504/$H504),1)*$H504),"")</f>
        <v>25.200000000000003</v>
      </c>
      <c r="Z504" s="41">
        <f>IFERROR(IF(Y504=0,"",ROUNDUP(Y504/H504,0)*0.00502),"")</f>
        <v>6.0240000000000002E-2</v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26.016666666666666</v>
      </c>
      <c r="BN504" s="78">
        <f>IFERROR(Y504*I504/H504,"0")</f>
        <v>26.76</v>
      </c>
      <c r="BO504" s="78">
        <f>IFERROR(1/J504*(X504/H504),"0")</f>
        <v>4.9857549857549859E-2</v>
      </c>
      <c r="BP504" s="78">
        <f>IFERROR(1/J504*(Y504/H504),"0")</f>
        <v>5.1282051282051287E-2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48.703703703703702</v>
      </c>
      <c r="Y505" s="43">
        <f>IFERROR(Y502/H502,"0")+IFERROR(Y503/H503,"0")+IFERROR(Y504/H504,"0")</f>
        <v>50</v>
      </c>
      <c r="Z505" s="43">
        <f>IFERROR(IF(Z502="",0,Z502),"0")+IFERROR(IF(Z503="",0,Z503),"0")+IFERROR(IF(Z504="",0,Z504),"0")</f>
        <v>0.40300000000000002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224.5</v>
      </c>
      <c r="Y506" s="43">
        <f>IFERROR(SUM(Y502:Y504),"0")</f>
        <v>230.40000000000003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si="71"/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53.314393939393938</v>
      </c>
      <c r="BN513" s="78">
        <f t="shared" si="73"/>
        <v>56.3</v>
      </c>
      <c r="BO513" s="78">
        <f t="shared" si="74"/>
        <v>9.1054778554778545E-2</v>
      </c>
      <c r="BP513" s="78">
        <f t="shared" si="75"/>
        <v>9.6153846153846159E-2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150</v>
      </c>
      <c r="Y514" s="55">
        <f t="shared" si="71"/>
        <v>153.12</v>
      </c>
      <c r="Z514" s="41">
        <f>IFERROR(IF(Y514=0,"",ROUNDUP(Y514/H514,0)*0.01196),"")</f>
        <v>0.34683999999999998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159.94318181818181</v>
      </c>
      <c r="BN514" s="78">
        <f t="shared" si="73"/>
        <v>163.26999999999998</v>
      </c>
      <c r="BO514" s="78">
        <f t="shared" si="74"/>
        <v>0.27316433566433568</v>
      </c>
      <c r="BP514" s="78">
        <f t="shared" si="75"/>
        <v>0.27884615384615385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37.878787878787875</v>
      </c>
      <c r="Y518" s="43">
        <f>IFERROR(Y510/H510,"0")+IFERROR(Y511/H511,"0")+IFERROR(Y512/H512,"0")+IFERROR(Y513/H513,"0")+IFERROR(Y514/H514,"0")+IFERROR(Y515/H515,"0")+IFERROR(Y516/H516,"0")+IFERROR(Y517/H517,"0")</f>
        <v>39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0.46643999999999997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200</v>
      </c>
      <c r="Y519" s="43">
        <f>IFERROR(SUM(Y510:Y517),"0")</f>
        <v>205.92000000000002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100</v>
      </c>
      <c r="Y527" s="55">
        <f t="shared" ref="Y527:Y533" si="76">IFERROR(IF(X527="",0,CEILING((X527/$H527),1)*$H527),"")</f>
        <v>100.32000000000001</v>
      </c>
      <c r="Z527" s="41">
        <f>IFERROR(IF(Y527=0,"",ROUNDUP(Y527/H527,0)*0.01196),"")</f>
        <v>0.22724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106.62878787878788</v>
      </c>
      <c r="BN527" s="78">
        <f t="shared" ref="BN527:BN533" si="78">IFERROR(Y527*I527/H527,"0")</f>
        <v>106.97</v>
      </c>
      <c r="BO527" s="78">
        <f t="shared" ref="BO527:BO533" si="79">IFERROR(1/J527*(X527/H527),"0")</f>
        <v>0.18210955710955709</v>
      </c>
      <c r="BP527" s="78">
        <f t="shared" ref="BP527:BP533" si="80">IFERROR(1/J527*(Y527/H527),"0")</f>
        <v>0.18269230769230771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50</v>
      </c>
      <c r="Y528" s="55">
        <f t="shared" si="76"/>
        <v>52.800000000000004</v>
      </c>
      <c r="Z528" s="41">
        <f>IFERROR(IF(Y528=0,"",ROUNDUP(Y528/H528,0)*0.01196),"")</f>
        <v>0.1196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53.314393939393938</v>
      </c>
      <c r="BN528" s="78">
        <f t="shared" si="78"/>
        <v>56.3</v>
      </c>
      <c r="BO528" s="78">
        <f t="shared" si="79"/>
        <v>9.1054778554778545E-2</v>
      </c>
      <c r="BP528" s="78">
        <f t="shared" si="80"/>
        <v>9.6153846153846159E-2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50</v>
      </c>
      <c r="Y529" s="55">
        <f t="shared" si="76"/>
        <v>52.800000000000004</v>
      </c>
      <c r="Z529" s="41">
        <f>IFERROR(IF(Y529=0,"",ROUNDUP(Y529/H529,0)*0.01196),"")</f>
        <v>0.1196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53.314393939393938</v>
      </c>
      <c r="BN529" s="78">
        <f t="shared" si="78"/>
        <v>56.3</v>
      </c>
      <c r="BO529" s="78">
        <f t="shared" si="79"/>
        <v>9.1054778554778545E-2</v>
      </c>
      <c r="BP529" s="78">
        <f t="shared" si="80"/>
        <v>9.6153846153846159E-2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37.878787878787875</v>
      </c>
      <c r="Y534" s="43">
        <f>IFERROR(Y527/H527,"0")+IFERROR(Y528/H528,"0")+IFERROR(Y529/H529,"0")+IFERROR(Y530/H530,"0")+IFERROR(Y531/H531,"0")+IFERROR(Y532/H532,"0")+IFERROR(Y533/H533,"0")</f>
        <v>39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0.46643999999999997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200</v>
      </c>
      <c r="Y535" s="43">
        <f>IFERROR(SUM(Y527:Y533),"0")</f>
        <v>205.92000000000002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50</v>
      </c>
      <c r="Y547" s="55">
        <f>IFERROR(IF(X547="",0,CEILING((X547/$H547),1)*$H547),"")</f>
        <v>50.400000000000006</v>
      </c>
      <c r="Z547" s="41">
        <f>IFERROR(IF(Y547=0,"",ROUNDUP(Y547/H547,0)*0.00902),"")</f>
        <v>0.10824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52.976190476190474</v>
      </c>
      <c r="BN547" s="78">
        <f>IFERROR(Y547*I547/H547,"0")</f>
        <v>53.400000000000006</v>
      </c>
      <c r="BO547" s="78">
        <f>IFERROR(1/J547*(X547/H547),"0")</f>
        <v>9.0187590187590191E-2</v>
      </c>
      <c r="BP547" s="78">
        <f>IFERROR(1/J547*(Y547/H547),"0")</f>
        <v>9.0909090909090912E-2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11.904761904761905</v>
      </c>
      <c r="Y548" s="43">
        <f>IFERROR(Y547/H547,"0")</f>
        <v>12</v>
      </c>
      <c r="Z548" s="43">
        <f>IFERROR(IF(Z547="",0,Z547),"0")</f>
        <v>0.10824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50</v>
      </c>
      <c r="Y549" s="43">
        <f>IFERROR(SUM(Y547:Y547),"0")</f>
        <v>50.400000000000006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200</v>
      </c>
      <c r="Y551" s="55">
        <f>IFERROR(IF(X551="",0,CEILING((X551/$H551),1)*$H551),"")</f>
        <v>207</v>
      </c>
      <c r="Z551" s="41">
        <f>IFERROR(IF(Y551=0,"",ROUNDUP(Y551/H551,0)*0.01898),"")</f>
        <v>0.43653999999999998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210.97777777777776</v>
      </c>
      <c r="BN551" s="78">
        <f>IFERROR(Y551*I551/H551,"0")</f>
        <v>218.36199999999999</v>
      </c>
      <c r="BO551" s="78">
        <f>IFERROR(1/J551*(X551/H551),"0")</f>
        <v>0.34722222222222221</v>
      </c>
      <c r="BP551" s="78">
        <f>IFERROR(1/J551*(Y551/H551),"0")</f>
        <v>0.359375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22.222222222222221</v>
      </c>
      <c r="Y552" s="43">
        <f>IFERROR(Y551/H551,"0")</f>
        <v>23</v>
      </c>
      <c r="Z552" s="43">
        <f>IFERROR(IF(Z551="",0,Z551),"0")</f>
        <v>0.43653999999999998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200</v>
      </c>
      <c r="Y553" s="43">
        <f>IFERROR(SUM(Y551:Y551),"0")</f>
        <v>207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6912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7079.1399999999994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7230.6635412001788</v>
      </c>
      <c r="Y565" s="43">
        <f>IFERROR(SUM(BN22:BN561),"0")</f>
        <v>7405.6179999999995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11</v>
      </c>
      <c r="Y566" s="44">
        <f>ROUNDUP(SUM(BP22:BP561),0)</f>
        <v>12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7505.6635412001788</v>
      </c>
      <c r="Y567" s="43">
        <f>GrossWeightTotalR+PalletQtyTotalR*25</f>
        <v>7705.6179999999995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1092.7453150297979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1121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12.916070000000003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85.68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20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110</v>
      </c>
      <c r="F574" s="52">
        <f>IFERROR(Y89*1,"0")+IFERROR(Y90*1,"0")+IFERROR(Y91*1,"0")+IFERROR(Y92*1,"0")+IFERROR(Y93*1,"0")+IFERROR(Y94*1,"0")+IFERROR(Y98*1,"0")+IFERROR(Y99*1,"0")+IFERROR(Y100*1,"0")+IFERROR(Y101*1,"0")</f>
        <v>273.60000000000002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252.9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52.5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88.200000000000017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1436.9999999999998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104.39999999999999</v>
      </c>
      <c r="P574" s="52">
        <f>IFERROR(Y321*1,"0")+IFERROR(Y322*1,"0")+IFERROR(Y323*1,"0")+IFERROR(Y324*1,"0")+IFERROR(Y325*1,"0")+IFERROR(Y326*1,"0")+IFERROR(Y327*1,"0")</f>
        <v>54</v>
      </c>
      <c r="Q574" s="52">
        <f>IFERROR(Y332*1,"0")+IFERROR(Y333*1,"0")+IFERROR(Y334*1,"0")</f>
        <v>122.39999999999999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382.5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2745</v>
      </c>
      <c r="Y574" s="52">
        <f>IFERROR(Y467*1,"0")+IFERROR(Y468*1,"0")+IFERROR(Y472*1,"0")+IFERROR(Y476*1,"0")+IFERROR(Y477*1,"0")+IFERROR(Y478*1,"0")</f>
        <v>108</v>
      </c>
      <c r="Z574" s="52">
        <f>IFERROR(Y484*1,"0")+IFERROR(Y485*1,"0")+IFERROR(Y486*1,"0")+IFERROR(Y487*1,"0")+IFERROR(Y488*1,"0")+IFERROR(Y489*1,"0")+IFERROR(Y493*1,"0")</f>
        <v>243.00000000000003</v>
      </c>
      <c r="AA574" s="52">
        <f>IFERROR(Y498*1,"0")+IFERROR(Y502*1,"0")+IFERROR(Y503*1,"0")+IFERROR(Y504*1,"0")</f>
        <v>230.40000000000003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512.16</v>
      </c>
      <c r="AC574" s="52">
        <f>IFERROR(Y539*1,"0")+IFERROR(Y543*1,"0")+IFERROR(Y547*1,"0")+IFERROR(Y551*1,"0")+IFERROR(Y555*1,"0")+IFERROR(Y556*1,"0")</f>
        <v>257.39999999999998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0,00"/>
        <filter val="1 092,75"/>
        <filter val="100,00"/>
        <filter val="11"/>
        <filter val="11,11"/>
        <filter val="11,90"/>
        <filter val="120,00"/>
        <filter val="14,29"/>
        <filter val="140,00"/>
        <filter val="145,00"/>
        <filter val="15,00"/>
        <filter val="150,00"/>
        <filter val="16,67"/>
        <filter val="166,67"/>
        <filter val="17,50"/>
        <filter val="18,94"/>
        <filter val="19,26"/>
        <filter val="2 100,00"/>
        <filter val="20,00"/>
        <filter val="20,24"/>
        <filter val="200,00"/>
        <filter val="209,26"/>
        <filter val="22,22"/>
        <filter val="22,50"/>
        <filter val="222,50"/>
        <filter val="224,50"/>
        <filter val="23,52"/>
        <filter val="235,00"/>
        <filter val="24,50"/>
        <filter val="250,00"/>
        <filter val="28,57"/>
        <filter val="3,33"/>
        <filter val="300,00"/>
        <filter val="33,33"/>
        <filter val="36,63"/>
        <filter val="37,88"/>
        <filter val="4,46"/>
        <filter val="4,63"/>
        <filter val="40,00"/>
        <filter val="400,00"/>
        <filter val="45,00"/>
        <filter val="48,70"/>
        <filter val="5,00"/>
        <filter val="50,00"/>
        <filter val="500,00"/>
        <filter val="53,70"/>
        <filter val="6 912,00"/>
        <filter val="600,00"/>
        <filter val="67,50"/>
        <filter val="7 230,66"/>
        <filter val="7 505,66"/>
        <filter val="8,50"/>
        <filter val="8,62"/>
        <filter val="80,00"/>
        <filter val="84,00"/>
        <filter val="85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2026-10-20T08:09:03Z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