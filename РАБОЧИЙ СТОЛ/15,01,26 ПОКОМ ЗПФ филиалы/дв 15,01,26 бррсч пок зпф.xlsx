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2769DA5A-F0E3-4B4E-9382-85B48B1124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" i="1" l="1"/>
  <c r="AH70" i="1"/>
  <c r="AH56" i="1"/>
  <c r="AJ55" i="1"/>
  <c r="AK55" i="1" s="1"/>
  <c r="AH52" i="1"/>
  <c r="AJ50" i="1"/>
  <c r="AK50" i="1" s="1"/>
  <c r="AJ40" i="1"/>
  <c r="AH34" i="1"/>
  <c r="AH15" i="1"/>
  <c r="AH9" i="1"/>
  <c r="AJ72" i="1"/>
  <c r="AN72" i="1" s="1"/>
  <c r="AH72" i="1"/>
  <c r="T72" i="1"/>
  <c r="R72" i="1"/>
  <c r="X72" i="1" s="1"/>
  <c r="L72" i="1"/>
  <c r="R71" i="1"/>
  <c r="L71" i="1"/>
  <c r="AJ70" i="1"/>
  <c r="AN70" i="1" s="1"/>
  <c r="R70" i="1"/>
  <c r="X70" i="1" s="1"/>
  <c r="L70" i="1"/>
  <c r="R69" i="1"/>
  <c r="X69" i="1" s="1"/>
  <c r="L69" i="1"/>
  <c r="R68" i="1"/>
  <c r="X68" i="1" s="1"/>
  <c r="L68" i="1"/>
  <c r="R67" i="1"/>
  <c r="X67" i="1" s="1"/>
  <c r="L67" i="1"/>
  <c r="R66" i="1"/>
  <c r="X66" i="1" s="1"/>
  <c r="L66" i="1"/>
  <c r="R65" i="1"/>
  <c r="X65" i="1" s="1"/>
  <c r="L65" i="1"/>
  <c r="R64" i="1"/>
  <c r="X64" i="1" s="1"/>
  <c r="L64" i="1"/>
  <c r="R63" i="1"/>
  <c r="X63" i="1" s="1"/>
  <c r="L63" i="1"/>
  <c r="R62" i="1"/>
  <c r="X62" i="1" s="1"/>
  <c r="L62" i="1"/>
  <c r="R61" i="1"/>
  <c r="W61" i="1" s="1"/>
  <c r="L61" i="1"/>
  <c r="R60" i="1"/>
  <c r="W60" i="1" s="1"/>
  <c r="L60" i="1"/>
  <c r="R59" i="1"/>
  <c r="L59" i="1"/>
  <c r="R58" i="1"/>
  <c r="X58" i="1" s="1"/>
  <c r="L58" i="1"/>
  <c r="R57" i="1"/>
  <c r="L57" i="1"/>
  <c r="AJ56" i="1"/>
  <c r="AN56" i="1" s="1"/>
  <c r="R56" i="1"/>
  <c r="X56" i="1" s="1"/>
  <c r="L56" i="1"/>
  <c r="AH55" i="1"/>
  <c r="R55" i="1"/>
  <c r="X55" i="1" s="1"/>
  <c r="L55" i="1"/>
  <c r="R54" i="1"/>
  <c r="X54" i="1" s="1"/>
  <c r="L54" i="1"/>
  <c r="R53" i="1"/>
  <c r="L53" i="1"/>
  <c r="AJ52" i="1"/>
  <c r="AK52" i="1" s="1"/>
  <c r="R52" i="1"/>
  <c r="X52" i="1" s="1"/>
  <c r="L52" i="1"/>
  <c r="AJ51" i="1"/>
  <c r="AN51" i="1" s="1"/>
  <c r="AH51" i="1"/>
  <c r="T51" i="1"/>
  <c r="R51" i="1"/>
  <c r="X51" i="1" s="1"/>
  <c r="L51" i="1"/>
  <c r="AH50" i="1"/>
  <c r="R50" i="1"/>
  <c r="X50" i="1" s="1"/>
  <c r="L50" i="1"/>
  <c r="R49" i="1"/>
  <c r="L49" i="1"/>
  <c r="F48" i="1"/>
  <c r="E48" i="1"/>
  <c r="R48" i="1" s="1"/>
  <c r="R47" i="1"/>
  <c r="L47" i="1"/>
  <c r="R46" i="1"/>
  <c r="X46" i="1" s="1"/>
  <c r="L46" i="1"/>
  <c r="R45" i="1"/>
  <c r="L45" i="1"/>
  <c r="R44" i="1"/>
  <c r="X44" i="1" s="1"/>
  <c r="L44" i="1"/>
  <c r="R43" i="1"/>
  <c r="X43" i="1" s="1"/>
  <c r="L43" i="1"/>
  <c r="R42" i="1"/>
  <c r="X42" i="1" s="1"/>
  <c r="L42" i="1"/>
  <c r="R41" i="1"/>
  <c r="X41" i="1" s="1"/>
  <c r="L41" i="1"/>
  <c r="AH40" i="1"/>
  <c r="R40" i="1"/>
  <c r="X40" i="1" s="1"/>
  <c r="L40" i="1"/>
  <c r="R39" i="1"/>
  <c r="X39" i="1" s="1"/>
  <c r="L39" i="1"/>
  <c r="R38" i="1"/>
  <c r="X38" i="1" s="1"/>
  <c r="L38" i="1"/>
  <c r="R37" i="1"/>
  <c r="X37" i="1" s="1"/>
  <c r="L37" i="1"/>
  <c r="R36" i="1"/>
  <c r="X36" i="1" s="1"/>
  <c r="L36" i="1"/>
  <c r="R35" i="1"/>
  <c r="L35" i="1"/>
  <c r="AJ34" i="1"/>
  <c r="AK34" i="1" s="1"/>
  <c r="R34" i="1"/>
  <c r="X34" i="1" s="1"/>
  <c r="L34" i="1"/>
  <c r="R33" i="1"/>
  <c r="L33" i="1"/>
  <c r="R32" i="1"/>
  <c r="X32" i="1" s="1"/>
  <c r="L32" i="1"/>
  <c r="R31" i="1"/>
  <c r="L31" i="1"/>
  <c r="R30" i="1"/>
  <c r="X30" i="1" s="1"/>
  <c r="L30" i="1"/>
  <c r="R29" i="1"/>
  <c r="X29" i="1" s="1"/>
  <c r="L29" i="1"/>
  <c r="R28" i="1"/>
  <c r="X28" i="1" s="1"/>
  <c r="L28" i="1"/>
  <c r="R27" i="1"/>
  <c r="X27" i="1" s="1"/>
  <c r="L27" i="1"/>
  <c r="R26" i="1"/>
  <c r="X26" i="1" s="1"/>
  <c r="L26" i="1"/>
  <c r="R25" i="1"/>
  <c r="X25" i="1" s="1"/>
  <c r="L25" i="1"/>
  <c r="R24" i="1"/>
  <c r="X24" i="1" s="1"/>
  <c r="L24" i="1"/>
  <c r="R23" i="1"/>
  <c r="X23" i="1" s="1"/>
  <c r="L23" i="1"/>
  <c r="R22" i="1"/>
  <c r="X22" i="1" s="1"/>
  <c r="L22" i="1"/>
  <c r="R21" i="1"/>
  <c r="X21" i="1" s="1"/>
  <c r="L21" i="1"/>
  <c r="R20" i="1"/>
  <c r="L20" i="1"/>
  <c r="R19" i="1"/>
  <c r="X19" i="1" s="1"/>
  <c r="L19" i="1"/>
  <c r="R18" i="1"/>
  <c r="X18" i="1" s="1"/>
  <c r="L18" i="1"/>
  <c r="R17" i="1"/>
  <c r="X17" i="1" s="1"/>
  <c r="L17" i="1"/>
  <c r="R16" i="1"/>
  <c r="L16" i="1"/>
  <c r="AJ15" i="1"/>
  <c r="R15" i="1"/>
  <c r="X15" i="1" s="1"/>
  <c r="L15" i="1"/>
  <c r="R14" i="1"/>
  <c r="X14" i="1" s="1"/>
  <c r="L14" i="1"/>
  <c r="R13" i="1"/>
  <c r="X13" i="1" s="1"/>
  <c r="L13" i="1"/>
  <c r="R12" i="1"/>
  <c r="L12" i="1"/>
  <c r="R11" i="1"/>
  <c r="X11" i="1" s="1"/>
  <c r="L11" i="1"/>
  <c r="L10" i="1"/>
  <c r="AJ9" i="1"/>
  <c r="AN9" i="1" s="1"/>
  <c r="R9" i="1"/>
  <c r="X9" i="1" s="1"/>
  <c r="L9" i="1"/>
  <c r="R8" i="1"/>
  <c r="L8" i="1"/>
  <c r="R7" i="1"/>
  <c r="X7" i="1" s="1"/>
  <c r="L7" i="1"/>
  <c r="R6" i="1"/>
  <c r="X6" i="1" s="1"/>
  <c r="L6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F5" i="1"/>
  <c r="S36" i="1" l="1"/>
  <c r="S64" i="1"/>
  <c r="X61" i="1"/>
  <c r="S24" i="1"/>
  <c r="AH24" i="1" s="1"/>
  <c r="X48" i="1"/>
  <c r="S17" i="1"/>
  <c r="AJ17" i="1" s="1"/>
  <c r="S28" i="1"/>
  <c r="AJ28" i="1" s="1"/>
  <c r="AK28" i="1" s="1"/>
  <c r="AJ36" i="1"/>
  <c r="AN36" i="1" s="1"/>
  <c r="S22" i="1"/>
  <c r="AH22" i="1" s="1"/>
  <c r="S13" i="1"/>
  <c r="AJ13" i="1" s="1"/>
  <c r="S32" i="1"/>
  <c r="AJ32" i="1" s="1"/>
  <c r="T32" i="1" s="1"/>
  <c r="W32" i="1" s="1"/>
  <c r="S46" i="1"/>
  <c r="S54" i="1"/>
  <c r="T70" i="1"/>
  <c r="W70" i="1" s="1"/>
  <c r="S11" i="1"/>
  <c r="AH11" i="1" s="1"/>
  <c r="S26" i="1"/>
  <c r="AJ26" i="1" s="1"/>
  <c r="S30" i="1"/>
  <c r="S48" i="1"/>
  <c r="AH48" i="1" s="1"/>
  <c r="S58" i="1"/>
  <c r="S68" i="1"/>
  <c r="X10" i="1"/>
  <c r="AN15" i="1"/>
  <c r="T15" i="1"/>
  <c r="W15" i="1" s="1"/>
  <c r="X16" i="1"/>
  <c r="S16" i="1"/>
  <c r="X57" i="1"/>
  <c r="S57" i="1"/>
  <c r="X59" i="1"/>
  <c r="S59" i="1"/>
  <c r="AJ24" i="1"/>
  <c r="AK24" i="1" s="1"/>
  <c r="AH28" i="1"/>
  <c r="AH36" i="1"/>
  <c r="S44" i="1"/>
  <c r="X8" i="1"/>
  <c r="T9" i="1"/>
  <c r="W9" i="1" s="1"/>
  <c r="X12" i="1"/>
  <c r="S12" i="1"/>
  <c r="X20" i="1"/>
  <c r="W20" i="1"/>
  <c r="X31" i="1"/>
  <c r="AH32" i="1"/>
  <c r="X33" i="1"/>
  <c r="S33" i="1"/>
  <c r="X35" i="1"/>
  <c r="S35" i="1"/>
  <c r="X45" i="1"/>
  <c r="X47" i="1"/>
  <c r="X49" i="1"/>
  <c r="S49" i="1"/>
  <c r="W53" i="1"/>
  <c r="X53" i="1"/>
  <c r="T56" i="1"/>
  <c r="W56" i="1" s="1"/>
  <c r="X71" i="1"/>
  <c r="S71" i="1"/>
  <c r="S42" i="1"/>
  <c r="S66" i="1"/>
  <c r="S14" i="1"/>
  <c r="S18" i="1"/>
  <c r="S25" i="1"/>
  <c r="S27" i="1"/>
  <c r="S29" i="1"/>
  <c r="S37" i="1"/>
  <c r="S39" i="1"/>
  <c r="S41" i="1"/>
  <c r="S43" i="1"/>
  <c r="S63" i="1"/>
  <c r="S65" i="1"/>
  <c r="S69" i="1"/>
  <c r="AK40" i="1"/>
  <c r="T40" i="1"/>
  <c r="W40" i="1" s="1"/>
  <c r="AK70" i="1"/>
  <c r="AJ2" i="1"/>
  <c r="R5" i="1"/>
  <c r="W6" i="1"/>
  <c r="AN40" i="1"/>
  <c r="AK51" i="1"/>
  <c r="W7" i="1"/>
  <c r="AK9" i="1"/>
  <c r="AK15" i="1"/>
  <c r="T34" i="1"/>
  <c r="W34" i="1" s="1"/>
  <c r="AN34" i="1"/>
  <c r="T55" i="1"/>
  <c r="W55" i="1" s="1"/>
  <c r="AN55" i="1"/>
  <c r="AK56" i="1"/>
  <c r="AK72" i="1"/>
  <c r="L48" i="1"/>
  <c r="L5" i="1" s="1"/>
  <c r="W72" i="1"/>
  <c r="E5" i="1"/>
  <c r="T50" i="1"/>
  <c r="W50" i="1" s="1"/>
  <c r="AN50" i="1"/>
  <c r="W51" i="1"/>
  <c r="T52" i="1"/>
  <c r="W52" i="1" s="1"/>
  <c r="AN52" i="1"/>
  <c r="X60" i="1"/>
  <c r="AH17" i="1" l="1"/>
  <c r="AK32" i="1"/>
  <c r="AJ22" i="1"/>
  <c r="AN22" i="1" s="1"/>
  <c r="AH13" i="1"/>
  <c r="S5" i="1"/>
  <c r="AJ11" i="1"/>
  <c r="AK11" i="1" s="1"/>
  <c r="AN32" i="1"/>
  <c r="AH26" i="1"/>
  <c r="AJ68" i="1"/>
  <c r="AH68" i="1"/>
  <c r="AJ64" i="1"/>
  <c r="AH64" i="1"/>
  <c r="AJ46" i="1"/>
  <c r="AH46" i="1"/>
  <c r="AJ48" i="1"/>
  <c r="AH58" i="1"/>
  <c r="AJ58" i="1"/>
  <c r="AJ30" i="1"/>
  <c r="AH30" i="1"/>
  <c r="AH54" i="1"/>
  <c r="AJ54" i="1"/>
  <c r="AH67" i="1"/>
  <c r="AJ67" i="1"/>
  <c r="AJ63" i="1"/>
  <c r="AH63" i="1"/>
  <c r="AH41" i="1"/>
  <c r="AJ41" i="1"/>
  <c r="AH37" i="1"/>
  <c r="AJ37" i="1"/>
  <c r="AJ27" i="1"/>
  <c r="AH27" i="1"/>
  <c r="AJ23" i="1"/>
  <c r="AH23" i="1"/>
  <c r="AH18" i="1"/>
  <c r="AJ18" i="1"/>
  <c r="AJ66" i="1"/>
  <c r="AH66" i="1"/>
  <c r="AH42" i="1"/>
  <c r="AJ42" i="1"/>
  <c r="AN26" i="1"/>
  <c r="T26" i="1"/>
  <c r="W26" i="1" s="1"/>
  <c r="AN17" i="1"/>
  <c r="T17" i="1"/>
  <c r="W17" i="1" s="1"/>
  <c r="AN13" i="1"/>
  <c r="T13" i="1"/>
  <c r="W13" i="1" s="1"/>
  <c r="AJ71" i="1"/>
  <c r="AH71" i="1"/>
  <c r="AJ49" i="1"/>
  <c r="AH49" i="1"/>
  <c r="AJ31" i="1"/>
  <c r="AH31" i="1"/>
  <c r="AJ12" i="1"/>
  <c r="AH12" i="1"/>
  <c r="AN11" i="1"/>
  <c r="AH8" i="1"/>
  <c r="AJ8" i="1"/>
  <c r="AH44" i="1"/>
  <c r="AJ44" i="1"/>
  <c r="AH59" i="1"/>
  <c r="AJ59" i="1"/>
  <c r="AJ57" i="1"/>
  <c r="AH57" i="1"/>
  <c r="AJ16" i="1"/>
  <c r="AH16" i="1"/>
  <c r="AJ10" i="1"/>
  <c r="AH10" i="1"/>
  <c r="AK17" i="1"/>
  <c r="AK13" i="1"/>
  <c r="AK26" i="1"/>
  <c r="AH69" i="1"/>
  <c r="AJ69" i="1"/>
  <c r="AJ65" i="1"/>
  <c r="AH65" i="1"/>
  <c r="AH43" i="1"/>
  <c r="AJ43" i="1"/>
  <c r="AH39" i="1"/>
  <c r="AJ39" i="1"/>
  <c r="AJ29" i="1"/>
  <c r="AH29" i="1"/>
  <c r="AJ25" i="1"/>
  <c r="AH25" i="1"/>
  <c r="AJ21" i="1"/>
  <c r="AH21" i="1"/>
  <c r="AH14" i="1"/>
  <c r="AJ14" i="1"/>
  <c r="AJ62" i="1"/>
  <c r="AH62" i="1"/>
  <c r="AJ38" i="1"/>
  <c r="AH38" i="1"/>
  <c r="AJ47" i="1"/>
  <c r="AH47" i="1"/>
  <c r="AJ45" i="1"/>
  <c r="AH45" i="1"/>
  <c r="AJ35" i="1"/>
  <c r="AH35" i="1"/>
  <c r="AJ33" i="1"/>
  <c r="AH33" i="1"/>
  <c r="AK36" i="1"/>
  <c r="T36" i="1"/>
  <c r="W36" i="1" s="1"/>
  <c r="AN28" i="1"/>
  <c r="T28" i="1"/>
  <c r="W28" i="1" s="1"/>
  <c r="AN24" i="1"/>
  <c r="T24" i="1"/>
  <c r="W24" i="1" s="1"/>
  <c r="AH19" i="1"/>
  <c r="AJ19" i="1"/>
  <c r="AN2" i="1"/>
  <c r="AK2" i="1"/>
  <c r="T22" i="1" l="1"/>
  <c r="W22" i="1" s="1"/>
  <c r="AK22" i="1"/>
  <c r="T11" i="1"/>
  <c r="W11" i="1" s="1"/>
  <c r="AN54" i="1"/>
  <c r="T54" i="1"/>
  <c r="W54" i="1" s="1"/>
  <c r="AK54" i="1"/>
  <c r="AN58" i="1"/>
  <c r="T58" i="1"/>
  <c r="W58" i="1" s="1"/>
  <c r="AK58" i="1"/>
  <c r="AK48" i="1"/>
  <c r="T48" i="1"/>
  <c r="W48" i="1" s="1"/>
  <c r="AK46" i="1"/>
  <c r="AN46" i="1"/>
  <c r="T46" i="1"/>
  <c r="W46" i="1" s="1"/>
  <c r="AN64" i="1"/>
  <c r="AK64" i="1"/>
  <c r="T64" i="1"/>
  <c r="W64" i="1" s="1"/>
  <c r="AN68" i="1"/>
  <c r="T68" i="1"/>
  <c r="W68" i="1" s="1"/>
  <c r="AK68" i="1"/>
  <c r="AN48" i="1"/>
  <c r="AK30" i="1"/>
  <c r="AN30" i="1"/>
  <c r="T30" i="1"/>
  <c r="W30" i="1" s="1"/>
  <c r="AN33" i="1"/>
  <c r="T33" i="1"/>
  <c r="W33" i="1" s="1"/>
  <c r="AK33" i="1"/>
  <c r="AN35" i="1"/>
  <c r="T35" i="1"/>
  <c r="W35" i="1" s="1"/>
  <c r="AK35" i="1"/>
  <c r="AN45" i="1"/>
  <c r="T45" i="1"/>
  <c r="W45" i="1" s="1"/>
  <c r="AK45" i="1"/>
  <c r="AN47" i="1"/>
  <c r="T47" i="1"/>
  <c r="W47" i="1" s="1"/>
  <c r="AK47" i="1"/>
  <c r="AK38" i="1"/>
  <c r="AN38" i="1"/>
  <c r="T38" i="1"/>
  <c r="W38" i="1" s="1"/>
  <c r="AN62" i="1"/>
  <c r="T62" i="1"/>
  <c r="W62" i="1" s="1"/>
  <c r="AK62" i="1"/>
  <c r="AK21" i="1"/>
  <c r="T21" i="1"/>
  <c r="W21" i="1" s="1"/>
  <c r="AN21" i="1"/>
  <c r="AK25" i="1"/>
  <c r="T25" i="1"/>
  <c r="W25" i="1" s="1"/>
  <c r="AN25" i="1"/>
  <c r="AN29" i="1"/>
  <c r="T29" i="1"/>
  <c r="W29" i="1" s="1"/>
  <c r="AK29" i="1"/>
  <c r="T65" i="1"/>
  <c r="W65" i="1" s="1"/>
  <c r="AN65" i="1"/>
  <c r="AK65" i="1"/>
  <c r="AK59" i="1"/>
  <c r="T59" i="1"/>
  <c r="W59" i="1" s="1"/>
  <c r="AN59" i="1"/>
  <c r="AK44" i="1"/>
  <c r="T44" i="1"/>
  <c r="W44" i="1" s="1"/>
  <c r="AN44" i="1"/>
  <c r="AK8" i="1"/>
  <c r="T8" i="1"/>
  <c r="AN8" i="1"/>
  <c r="AJ5" i="1"/>
  <c r="AJ1" i="1" s="1"/>
  <c r="AK42" i="1"/>
  <c r="T42" i="1"/>
  <c r="W42" i="1" s="1"/>
  <c r="AN42" i="1"/>
  <c r="AK18" i="1"/>
  <c r="T18" i="1"/>
  <c r="W18" i="1" s="1"/>
  <c r="AN18" i="1"/>
  <c r="AN37" i="1"/>
  <c r="T37" i="1"/>
  <c r="W37" i="1" s="1"/>
  <c r="AK37" i="1"/>
  <c r="AN41" i="1"/>
  <c r="T41" i="1"/>
  <c r="W41" i="1" s="1"/>
  <c r="AK41" i="1"/>
  <c r="AK67" i="1"/>
  <c r="AN67" i="1"/>
  <c r="T67" i="1"/>
  <c r="W67" i="1" s="1"/>
  <c r="AN19" i="1"/>
  <c r="T19" i="1"/>
  <c r="W19" i="1" s="1"/>
  <c r="AK19" i="1"/>
  <c r="AK14" i="1"/>
  <c r="T14" i="1"/>
  <c r="W14" i="1" s="1"/>
  <c r="AN14" i="1"/>
  <c r="AN39" i="1"/>
  <c r="T39" i="1"/>
  <c r="W39" i="1" s="1"/>
  <c r="AK39" i="1"/>
  <c r="AN43" i="1"/>
  <c r="T43" i="1"/>
  <c r="W43" i="1" s="1"/>
  <c r="AK43" i="1"/>
  <c r="AK69" i="1"/>
  <c r="T69" i="1"/>
  <c r="W69" i="1" s="1"/>
  <c r="AN69" i="1"/>
  <c r="AK10" i="1"/>
  <c r="T10" i="1"/>
  <c r="W10" i="1" s="1"/>
  <c r="AN10" i="1"/>
  <c r="AK16" i="1"/>
  <c r="T16" i="1"/>
  <c r="W16" i="1" s="1"/>
  <c r="AN16" i="1"/>
  <c r="T57" i="1"/>
  <c r="W57" i="1" s="1"/>
  <c r="AN57" i="1"/>
  <c r="AK57" i="1"/>
  <c r="AH5" i="1"/>
  <c r="AK12" i="1"/>
  <c r="T12" i="1"/>
  <c r="W12" i="1" s="1"/>
  <c r="AN12" i="1"/>
  <c r="AN31" i="1"/>
  <c r="T31" i="1"/>
  <c r="W31" i="1" s="1"/>
  <c r="AK31" i="1"/>
  <c r="AN49" i="1"/>
  <c r="T49" i="1"/>
  <c r="W49" i="1" s="1"/>
  <c r="AK49" i="1"/>
  <c r="AK71" i="1"/>
  <c r="T71" i="1"/>
  <c r="W71" i="1" s="1"/>
  <c r="AN71" i="1"/>
  <c r="AN66" i="1"/>
  <c r="T66" i="1"/>
  <c r="W66" i="1" s="1"/>
  <c r="AK66" i="1"/>
  <c r="AK23" i="1"/>
  <c r="T23" i="1"/>
  <c r="W23" i="1" s="1"/>
  <c r="AN23" i="1"/>
  <c r="AK27" i="1"/>
  <c r="T27" i="1"/>
  <c r="W27" i="1" s="1"/>
  <c r="AN27" i="1"/>
  <c r="AK63" i="1"/>
  <c r="T63" i="1"/>
  <c r="W63" i="1" s="1"/>
  <c r="AN63" i="1"/>
  <c r="W8" i="1" l="1"/>
  <c r="T5" i="1"/>
  <c r="AN5" i="1"/>
  <c r="AN1" i="1" s="1"/>
  <c r="AK5" i="1"/>
  <c r="AK1" i="1" s="1"/>
</calcChain>
</file>

<file path=xl/sharedStrings.xml><?xml version="1.0" encoding="utf-8"?>
<sst xmlns="http://schemas.openxmlformats.org/spreadsheetml/2006/main" count="284" uniqueCount="124">
  <si>
    <t>8 -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</si>
  <si>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</si>
  <si>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</si>
  <si>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</si>
  <si>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</si>
  <si>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</si>
  <si>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</si>
  <si>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</si>
  <si>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</si>
  <si>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</si>
  <si>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</si>
  <si>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</si>
  <si>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</si>
  <si>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</si>
  <si>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</si>
  <si>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</si>
  <si>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</si>
  <si>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</si>
  <si>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</si>
  <si>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</si>
  <si>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</si>
  <si>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</si>
  <si>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</si>
  <si>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</si>
  <si>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</si>
  <si>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</si>
  <si>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</si>
  <si>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</si>
  <si>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</si>
  <si>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</si>
  <si>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</si>
  <si>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</si>
  <si>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</si>
  <si>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12,01,(1)</t>
  </si>
  <si>
    <t>12,01,(2)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</si>
  <si>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</si>
  <si>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</si>
  <si>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</si>
  <si>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</si>
  <si>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</si>
  <si>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</si>
  <si>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</si>
  <si>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</si>
  <si>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</si>
  <si>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</si>
  <si>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</si>
  <si>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</si>
  <si>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</si>
  <si>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</si>
  <si>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</si>
  <si>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</si>
  <si>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</si>
  <si>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</si>
  <si>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</si>
  <si>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</si>
  <si>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</si>
  <si>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</si>
  <si>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</si>
  <si>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</si>
  <si>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</si>
  <si>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</si>
  <si>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</si>
  <si>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</si>
  <si>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</si>
  <si>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</si>
  <si>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</si>
  <si>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</si>
  <si>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</si>
  <si>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</si>
  <si>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</si>
  <si>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</si>
  <si>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</si>
  <si>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</si>
  <si>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нужно увеличить продажи!!!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</si>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</sst>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4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8" width="6" customWidth="1"/>
    <col min="19" max="21" width="7" customWidth="1"/>
    <col min="22" max="22" width="15" customWidth="1"/>
    <col min="23" max="24" width="5" customWidth="1"/>
    <col min="25" max="32" width="6" customWidth="1"/>
    <col min="33" max="33" width="29.1406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0" t="s">
        <v>0</v>
      </c>
      <c r="AH1" s="1"/>
      <c r="AI1" s="8"/>
      <c r="AJ1" s="10">
        <f>AJ5-AJ2</f>
        <v>1936</v>
      </c>
      <c r="AK1" s="1">
        <f>AK5-AK2</f>
        <v>8613.7599999999984</v>
      </c>
      <c r="AL1" s="1"/>
      <c r="AM1" s="1"/>
      <c r="AN1" s="10">
        <f>AN5-AN2</f>
        <v>22.019841269841265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>
        <f>AJ9+AJ34+AJ40+AJ50+AJ51+AJ52+AJ55+AJ72</f>
        <v>98</v>
      </c>
      <c r="AK2" s="1">
        <f>AK9+AK34+AK40+AK50+AK51+AK52+AK55+AK72</f>
        <v>468.35999999999996</v>
      </c>
      <c r="AL2" s="1"/>
      <c r="AM2" s="1"/>
      <c r="AN2" s="10">
        <f>AN9+AN34+AN40+AN50+AN51+AN52+AN55+AN72</f>
        <v>1.0515873015873014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18</v>
      </c>
      <c r="U3" s="7" t="s">
        <v>19</v>
      </c>
      <c r="V3" s="7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24</v>
      </c>
      <c r="AH3" s="2" t="s">
        <v>25</v>
      </c>
      <c r="AI3" s="9" t="s">
        <v>26</v>
      </c>
      <c r="AJ3" s="11" t="s">
        <v>27</v>
      </c>
      <c r="AK3" s="2" t="s">
        <v>28</v>
      </c>
      <c r="AL3" s="2" t="s">
        <v>29</v>
      </c>
      <c r="AM3" s="2" t="s">
        <v>30</v>
      </c>
      <c r="AN3" s="11" t="s">
        <v>31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 t="s">
        <v>34</v>
      </c>
      <c r="R4" s="1" t="s">
        <v>35</v>
      </c>
      <c r="S4" s="1"/>
      <c r="T4" s="1"/>
      <c r="U4" s="1"/>
      <c r="V4" s="1"/>
      <c r="W4" s="1"/>
      <c r="X4" s="1"/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/>
      <c r="AH4" s="1"/>
      <c r="AI4" s="8"/>
      <c r="AJ4" s="10"/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13689.6</v>
      </c>
      <c r="F5" s="4">
        <f>SUM(F6:F496)</f>
        <v>11390</v>
      </c>
      <c r="G5" s="8"/>
      <c r="H5" s="1"/>
      <c r="I5" s="1"/>
      <c r="J5" s="1"/>
      <c r="K5" s="4">
        <f t="shared" ref="K5:U5" si="0">SUM(K6:K496)</f>
        <v>13879.4</v>
      </c>
      <c r="L5" s="4">
        <f t="shared" si="0"/>
        <v>-189.79999999999998</v>
      </c>
      <c r="M5" s="4">
        <f t="shared" si="0"/>
        <v>0</v>
      </c>
      <c r="N5" s="4">
        <f t="shared" si="0"/>
        <v>0</v>
      </c>
      <c r="O5" s="4">
        <f t="shared" si="0"/>
        <v>600</v>
      </c>
      <c r="P5" s="4">
        <f t="shared" si="0"/>
        <v>7920</v>
      </c>
      <c r="Q5" s="4">
        <f t="shared" si="0"/>
        <v>4488</v>
      </c>
      <c r="R5" s="4">
        <f t="shared" si="0"/>
        <v>2737.920000000001</v>
      </c>
      <c r="S5" s="4">
        <f t="shared" si="0"/>
        <v>17066.900000000005</v>
      </c>
      <c r="T5" s="4">
        <f t="shared" si="0"/>
        <v>17177.599999999999</v>
      </c>
      <c r="U5" s="4">
        <f t="shared" si="0"/>
        <v>0</v>
      </c>
      <c r="V5" s="1"/>
      <c r="W5" s="1"/>
      <c r="X5" s="1"/>
      <c r="Y5" s="4">
        <f t="shared" ref="Y5:AF5" si="1">SUM(Y6:Y496)</f>
        <v>2508.5</v>
      </c>
      <c r="Z5" s="4">
        <f t="shared" si="1"/>
        <v>2477.62</v>
      </c>
      <c r="AA5" s="4">
        <f t="shared" si="1"/>
        <v>2280.04</v>
      </c>
      <c r="AB5" s="4">
        <f t="shared" si="1"/>
        <v>1912.0000000000005</v>
      </c>
      <c r="AC5" s="4">
        <f t="shared" si="1"/>
        <v>2608.9</v>
      </c>
      <c r="AD5" s="4">
        <f t="shared" si="1"/>
        <v>2330.54</v>
      </c>
      <c r="AE5" s="4">
        <f t="shared" si="1"/>
        <v>2337.1799999999998</v>
      </c>
      <c r="AF5" s="4">
        <f t="shared" si="1"/>
        <v>2393.0200000000009</v>
      </c>
      <c r="AG5" s="1"/>
      <c r="AH5" s="4">
        <f>SUM(AH6:AH496)</f>
        <v>9109.761999999997</v>
      </c>
      <c r="AI5" s="8"/>
      <c r="AJ5" s="12">
        <f>SUM(AJ6:AJ496)</f>
        <v>2034</v>
      </c>
      <c r="AK5" s="4">
        <f>SUM(AK6:AK496)</f>
        <v>9082.119999999999</v>
      </c>
      <c r="AL5" s="1"/>
      <c r="AM5" s="1"/>
      <c r="AN5" s="12">
        <f>SUM(AN6:AN496)</f>
        <v>23.071428571428566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44</v>
      </c>
      <c r="B6" s="15" t="s">
        <v>45</v>
      </c>
      <c r="C6" s="15">
        <v>-36</v>
      </c>
      <c r="D6" s="15">
        <v>36</v>
      </c>
      <c r="E6" s="15"/>
      <c r="F6" s="15"/>
      <c r="G6" s="16">
        <v>0</v>
      </c>
      <c r="H6" s="15">
        <v>180</v>
      </c>
      <c r="I6" s="15" t="s">
        <v>46</v>
      </c>
      <c r="J6" s="15" t="s">
        <v>47</v>
      </c>
      <c r="K6" s="15"/>
      <c r="L6" s="15">
        <f t="shared" ref="L6:L37" si="2">E6-K6</f>
        <v>0</v>
      </c>
      <c r="M6" s="15"/>
      <c r="N6" s="15"/>
      <c r="O6" s="15"/>
      <c r="P6" s="15"/>
      <c r="Q6" s="15"/>
      <c r="R6" s="15">
        <f t="shared" ref="R6:R37" si="3">E6/5</f>
        <v>0</v>
      </c>
      <c r="S6" s="17"/>
      <c r="T6" s="17"/>
      <c r="U6" s="17"/>
      <c r="V6" s="15"/>
      <c r="W6" s="15" t="e">
        <f t="shared" ref="W6:W37" si="4">(F6+O6+P6+Q6+T6)/R6</f>
        <v>#DIV/0!</v>
      </c>
      <c r="X6" s="15" t="e">
        <f t="shared" ref="X6:X37" si="5">(F6+O6+P6+Q6)/R6</f>
        <v>#DIV/0!</v>
      </c>
      <c r="Y6" s="15">
        <v>12.83333333333333</v>
      </c>
      <c r="Z6" s="15">
        <v>17.8</v>
      </c>
      <c r="AA6" s="15">
        <v>10.8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/>
      <c r="AH6" s="15"/>
      <c r="AI6" s="16"/>
      <c r="AJ6" s="18"/>
      <c r="AK6" s="15"/>
      <c r="AL6" s="15"/>
      <c r="AM6" s="15"/>
      <c r="AN6" s="18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48</v>
      </c>
      <c r="B7" s="15" t="s">
        <v>45</v>
      </c>
      <c r="C7" s="15">
        <v>-44</v>
      </c>
      <c r="D7" s="15">
        <v>71</v>
      </c>
      <c r="E7" s="21">
        <v>46</v>
      </c>
      <c r="F7" s="21">
        <v>-19</v>
      </c>
      <c r="G7" s="16">
        <v>0</v>
      </c>
      <c r="H7" s="15">
        <v>180</v>
      </c>
      <c r="I7" s="15" t="s">
        <v>46</v>
      </c>
      <c r="J7" s="15" t="s">
        <v>49</v>
      </c>
      <c r="K7" s="15">
        <v>46</v>
      </c>
      <c r="L7" s="15">
        <f t="shared" si="2"/>
        <v>0</v>
      </c>
      <c r="M7" s="15"/>
      <c r="N7" s="15"/>
      <c r="O7" s="15"/>
      <c r="P7" s="15"/>
      <c r="Q7" s="15"/>
      <c r="R7" s="15">
        <f t="shared" si="3"/>
        <v>9.1999999999999993</v>
      </c>
      <c r="S7" s="17"/>
      <c r="T7" s="17"/>
      <c r="U7" s="17"/>
      <c r="V7" s="15"/>
      <c r="W7" s="15">
        <f t="shared" si="4"/>
        <v>-2.0652173913043481</v>
      </c>
      <c r="X7" s="15">
        <f t="shared" si="5"/>
        <v>-2.0652173913043481</v>
      </c>
      <c r="Y7" s="15">
        <v>7.833333333333333</v>
      </c>
      <c r="Z7" s="15">
        <v>17.600000000000001</v>
      </c>
      <c r="AA7" s="15">
        <v>6.4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/>
      <c r="AH7" s="15"/>
      <c r="AI7" s="16"/>
      <c r="AJ7" s="18"/>
      <c r="AK7" s="15"/>
      <c r="AL7" s="15"/>
      <c r="AM7" s="15"/>
      <c r="AN7" s="18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50</v>
      </c>
      <c r="B8" s="1" t="s">
        <v>45</v>
      </c>
      <c r="C8" s="1">
        <v>59</v>
      </c>
      <c r="D8" s="1">
        <v>7</v>
      </c>
      <c r="E8" s="1">
        <v>59</v>
      </c>
      <c r="F8" s="1">
        <v>-6</v>
      </c>
      <c r="G8" s="8">
        <v>0.22</v>
      </c>
      <c r="H8" s="1">
        <v>180</v>
      </c>
      <c r="I8" s="1" t="s">
        <v>51</v>
      </c>
      <c r="J8" s="1"/>
      <c r="K8" s="1">
        <v>83</v>
      </c>
      <c r="L8" s="1">
        <f t="shared" si="2"/>
        <v>-24</v>
      </c>
      <c r="M8" s="1"/>
      <c r="N8" s="1"/>
      <c r="O8" s="1"/>
      <c r="P8" s="1">
        <v>168</v>
      </c>
      <c r="Q8" s="1"/>
      <c r="R8" s="1">
        <f t="shared" si="3"/>
        <v>11.8</v>
      </c>
      <c r="S8" s="5"/>
      <c r="T8" s="5">
        <f t="shared" ref="T8:T19" si="6">AI8*AJ8</f>
        <v>0</v>
      </c>
      <c r="U8" s="5"/>
      <c r="V8" s="1"/>
      <c r="W8" s="1">
        <f t="shared" si="4"/>
        <v>13.728813559322033</v>
      </c>
      <c r="X8" s="1">
        <f t="shared" si="5"/>
        <v>13.728813559322033</v>
      </c>
      <c r="Y8" s="1">
        <v>15.33333333333333</v>
      </c>
      <c r="Z8" s="1">
        <v>8.6</v>
      </c>
      <c r="AA8" s="1">
        <v>7</v>
      </c>
      <c r="AB8" s="1">
        <v>4.4000000000000004</v>
      </c>
      <c r="AC8" s="1">
        <v>15.4</v>
      </c>
      <c r="AD8" s="1">
        <v>11.4</v>
      </c>
      <c r="AE8" s="1">
        <v>9.4</v>
      </c>
      <c r="AF8" s="1">
        <v>13.4</v>
      </c>
      <c r="AG8" s="1"/>
      <c r="AH8" s="1">
        <f t="shared" ref="AH8:AH19" si="7">G8*S8</f>
        <v>0</v>
      </c>
      <c r="AI8" s="8">
        <v>12</v>
      </c>
      <c r="AJ8" s="10">
        <f t="shared" ref="AJ8:AJ19" si="8">MROUND(S8, AI8*AL8)/AI8</f>
        <v>0</v>
      </c>
      <c r="AK8" s="1">
        <f t="shared" ref="AK8:AK19" si="9">AJ8*AI8*G8</f>
        <v>0</v>
      </c>
      <c r="AL8" s="1">
        <v>14</v>
      </c>
      <c r="AM8" s="1">
        <v>70</v>
      </c>
      <c r="AN8" s="10">
        <f t="shared" ref="AN8:AN19" si="10"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52</v>
      </c>
      <c r="B9" s="1" t="s">
        <v>53</v>
      </c>
      <c r="C9" s="1"/>
      <c r="D9" s="1"/>
      <c r="E9" s="1"/>
      <c r="F9" s="1"/>
      <c r="G9" s="8">
        <v>1</v>
      </c>
      <c r="H9" s="1">
        <v>90</v>
      </c>
      <c r="I9" s="1" t="s">
        <v>51</v>
      </c>
      <c r="J9" s="1"/>
      <c r="K9" s="1"/>
      <c r="L9" s="1">
        <f t="shared" si="2"/>
        <v>0</v>
      </c>
      <c r="M9" s="1"/>
      <c r="N9" s="1"/>
      <c r="O9" s="1"/>
      <c r="P9" s="14"/>
      <c r="Q9" s="1"/>
      <c r="R9" s="1">
        <f t="shared" si="3"/>
        <v>0</v>
      </c>
      <c r="S9" s="19">
        <v>60</v>
      </c>
      <c r="T9" s="5">
        <f t="shared" si="6"/>
        <v>60</v>
      </c>
      <c r="U9" s="5"/>
      <c r="V9" s="1"/>
      <c r="W9" s="1" t="e">
        <f t="shared" si="4"/>
        <v>#DIV/0!</v>
      </c>
      <c r="X9" s="1" t="e">
        <f t="shared" si="5"/>
        <v>#DIV/0!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4" t="s">
        <v>54</v>
      </c>
      <c r="AH9" s="1">
        <f t="shared" si="7"/>
        <v>60</v>
      </c>
      <c r="AI9" s="8">
        <v>5</v>
      </c>
      <c r="AJ9" s="10">
        <f t="shared" si="8"/>
        <v>12</v>
      </c>
      <c r="AK9" s="1">
        <f t="shared" si="9"/>
        <v>60</v>
      </c>
      <c r="AL9" s="1">
        <v>12</v>
      </c>
      <c r="AM9" s="1">
        <v>144</v>
      </c>
      <c r="AN9" s="10">
        <f t="shared" si="10"/>
        <v>8.3333333333333329E-2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55</v>
      </c>
      <c r="B10" s="1" t="s">
        <v>45</v>
      </c>
      <c r="C10" s="1">
        <v>29</v>
      </c>
      <c r="D10" s="1"/>
      <c r="E10" s="1">
        <v>28</v>
      </c>
      <c r="F10" s="1"/>
      <c r="G10" s="8">
        <v>0.3</v>
      </c>
      <c r="H10" s="1">
        <v>180</v>
      </c>
      <c r="I10" s="1" t="s">
        <v>51</v>
      </c>
      <c r="J10" s="1"/>
      <c r="K10" s="1">
        <v>73</v>
      </c>
      <c r="L10" s="1">
        <f t="shared" si="2"/>
        <v>-45</v>
      </c>
      <c r="M10" s="1"/>
      <c r="N10" s="1"/>
      <c r="O10" s="1"/>
      <c r="P10" s="1">
        <v>168</v>
      </c>
      <c r="Q10" s="1"/>
      <c r="R10" s="1">
        <f t="shared" si="3"/>
        <v>5.6</v>
      </c>
      <c r="S10" s="5">
        <v>168</v>
      </c>
      <c r="T10" s="5">
        <f t="shared" si="6"/>
        <v>168</v>
      </c>
      <c r="U10" s="5"/>
      <c r="V10" s="1"/>
      <c r="W10" s="1">
        <f t="shared" si="4"/>
        <v>60.000000000000007</v>
      </c>
      <c r="X10" s="1">
        <f t="shared" si="5"/>
        <v>30.000000000000004</v>
      </c>
      <c r="Y10" s="1">
        <v>21.5</v>
      </c>
      <c r="Z10" s="1">
        <v>9.8000000000000007</v>
      </c>
      <c r="AA10" s="1">
        <v>11.2</v>
      </c>
      <c r="AB10" s="1">
        <v>15.6</v>
      </c>
      <c r="AC10" s="1">
        <v>28.4</v>
      </c>
      <c r="AD10" s="1">
        <v>18.600000000000001</v>
      </c>
      <c r="AE10" s="1">
        <v>18</v>
      </c>
      <c r="AF10" s="1">
        <v>25.8</v>
      </c>
      <c r="AG10" s="1"/>
      <c r="AH10" s="1">
        <f t="shared" si="7"/>
        <v>50.4</v>
      </c>
      <c r="AI10" s="8">
        <v>12</v>
      </c>
      <c r="AJ10" s="10">
        <f t="shared" si="8"/>
        <v>14</v>
      </c>
      <c r="AK10" s="1">
        <f t="shared" si="9"/>
        <v>50.4</v>
      </c>
      <c r="AL10" s="1">
        <v>14</v>
      </c>
      <c r="AM10" s="1">
        <v>70</v>
      </c>
      <c r="AN10" s="10">
        <f t="shared" si="10"/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56</v>
      </c>
      <c r="B11" s="1" t="s">
        <v>45</v>
      </c>
      <c r="C11" s="1">
        <v>153</v>
      </c>
      <c r="D11" s="1">
        <v>528</v>
      </c>
      <c r="E11" s="1">
        <v>383</v>
      </c>
      <c r="F11" s="1">
        <v>262</v>
      </c>
      <c r="G11" s="8">
        <v>0.28000000000000003</v>
      </c>
      <c r="H11" s="1">
        <v>180</v>
      </c>
      <c r="I11" s="1" t="s">
        <v>51</v>
      </c>
      <c r="J11" s="1"/>
      <c r="K11" s="1">
        <v>381</v>
      </c>
      <c r="L11" s="1">
        <f t="shared" si="2"/>
        <v>2</v>
      </c>
      <c r="M11" s="1"/>
      <c r="N11" s="1"/>
      <c r="O11" s="1"/>
      <c r="P11" s="1">
        <v>336</v>
      </c>
      <c r="Q11" s="1"/>
      <c r="R11" s="1">
        <f t="shared" si="3"/>
        <v>76.599999999999994</v>
      </c>
      <c r="S11" s="5">
        <f t="shared" ref="S9:S19" si="11">14*R11-Q11-P11-O11-F11</f>
        <v>474.39999999999986</v>
      </c>
      <c r="T11" s="5">
        <f t="shared" si="6"/>
        <v>504</v>
      </c>
      <c r="U11" s="5"/>
      <c r="V11" s="1"/>
      <c r="W11" s="1">
        <f t="shared" si="4"/>
        <v>14.386422976501306</v>
      </c>
      <c r="X11" s="1">
        <f t="shared" si="5"/>
        <v>7.8067885117493478</v>
      </c>
      <c r="Y11" s="1">
        <v>70.666666666666671</v>
      </c>
      <c r="Z11" s="1">
        <v>76</v>
      </c>
      <c r="AA11" s="1">
        <v>47.6</v>
      </c>
      <c r="AB11" s="1">
        <v>43.8</v>
      </c>
      <c r="AC11" s="1">
        <v>64.400000000000006</v>
      </c>
      <c r="AD11" s="1">
        <v>32</v>
      </c>
      <c r="AE11" s="1">
        <v>71.8</v>
      </c>
      <c r="AF11" s="1">
        <v>62</v>
      </c>
      <c r="AG11" s="1"/>
      <c r="AH11" s="1">
        <f t="shared" si="7"/>
        <v>132.83199999999997</v>
      </c>
      <c r="AI11" s="8">
        <v>6</v>
      </c>
      <c r="AJ11" s="10">
        <f t="shared" si="8"/>
        <v>84</v>
      </c>
      <c r="AK11" s="1">
        <f t="shared" si="9"/>
        <v>141.12</v>
      </c>
      <c r="AL11" s="1">
        <v>14</v>
      </c>
      <c r="AM11" s="1">
        <v>140</v>
      </c>
      <c r="AN11" s="10">
        <f t="shared" si="10"/>
        <v>0.6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57</v>
      </c>
      <c r="B12" s="1" t="s">
        <v>45</v>
      </c>
      <c r="C12" s="1">
        <v>343</v>
      </c>
      <c r="D12" s="1">
        <v>201</v>
      </c>
      <c r="E12" s="1">
        <v>413</v>
      </c>
      <c r="F12" s="1">
        <v>123</v>
      </c>
      <c r="G12" s="8">
        <v>0.24</v>
      </c>
      <c r="H12" s="1">
        <v>180</v>
      </c>
      <c r="I12" s="1" t="s">
        <v>51</v>
      </c>
      <c r="J12" s="1"/>
      <c r="K12" s="1">
        <v>416</v>
      </c>
      <c r="L12" s="1">
        <f t="shared" si="2"/>
        <v>-3</v>
      </c>
      <c r="M12" s="1"/>
      <c r="N12" s="1"/>
      <c r="O12" s="1"/>
      <c r="P12" s="1">
        <v>672</v>
      </c>
      <c r="Q12" s="1"/>
      <c r="R12" s="1">
        <f t="shared" si="3"/>
        <v>82.6</v>
      </c>
      <c r="S12" s="5">
        <f t="shared" si="11"/>
        <v>361.39999999999986</v>
      </c>
      <c r="T12" s="5">
        <f t="shared" si="6"/>
        <v>336</v>
      </c>
      <c r="U12" s="5"/>
      <c r="V12" s="1"/>
      <c r="W12" s="1">
        <f t="shared" si="4"/>
        <v>13.692493946731236</v>
      </c>
      <c r="X12" s="1">
        <f t="shared" si="5"/>
        <v>9.6246973365617432</v>
      </c>
      <c r="Y12" s="1">
        <v>80.833333333333329</v>
      </c>
      <c r="Z12" s="1">
        <v>67.2</v>
      </c>
      <c r="AA12" s="1">
        <v>59.4</v>
      </c>
      <c r="AB12" s="1">
        <v>67</v>
      </c>
      <c r="AC12" s="1">
        <v>90.4</v>
      </c>
      <c r="AD12" s="1">
        <v>72.8</v>
      </c>
      <c r="AE12" s="1">
        <v>66.400000000000006</v>
      </c>
      <c r="AF12" s="1">
        <v>61.2</v>
      </c>
      <c r="AG12" s="1"/>
      <c r="AH12" s="1">
        <f t="shared" si="7"/>
        <v>86.735999999999962</v>
      </c>
      <c r="AI12" s="8">
        <v>12</v>
      </c>
      <c r="AJ12" s="10">
        <f t="shared" si="8"/>
        <v>28</v>
      </c>
      <c r="AK12" s="1">
        <f t="shared" si="9"/>
        <v>80.64</v>
      </c>
      <c r="AL12" s="1">
        <v>14</v>
      </c>
      <c r="AM12" s="1">
        <v>70</v>
      </c>
      <c r="AN12" s="10">
        <f t="shared" si="10"/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45</v>
      </c>
      <c r="C13" s="1">
        <v>795</v>
      </c>
      <c r="D13" s="1">
        <v>63</v>
      </c>
      <c r="E13" s="1">
        <v>497</v>
      </c>
      <c r="F13" s="1">
        <v>300</v>
      </c>
      <c r="G13" s="8">
        <v>0.24</v>
      </c>
      <c r="H13" s="1">
        <v>180</v>
      </c>
      <c r="I13" s="1" t="s">
        <v>51</v>
      </c>
      <c r="J13" s="1"/>
      <c r="K13" s="1">
        <v>500</v>
      </c>
      <c r="L13" s="1">
        <f t="shared" si="2"/>
        <v>-3</v>
      </c>
      <c r="M13" s="1"/>
      <c r="N13" s="1"/>
      <c r="O13" s="1"/>
      <c r="P13" s="1">
        <v>504</v>
      </c>
      <c r="Q13" s="1"/>
      <c r="R13" s="1">
        <f t="shared" si="3"/>
        <v>99.4</v>
      </c>
      <c r="S13" s="5">
        <f t="shared" si="11"/>
        <v>587.60000000000014</v>
      </c>
      <c r="T13" s="5">
        <f t="shared" si="6"/>
        <v>504</v>
      </c>
      <c r="U13" s="5"/>
      <c r="V13" s="1"/>
      <c r="W13" s="1">
        <f t="shared" si="4"/>
        <v>13.158953722334003</v>
      </c>
      <c r="X13" s="1">
        <f t="shared" si="5"/>
        <v>8.0885311871227366</v>
      </c>
      <c r="Y13" s="1">
        <v>96.833333333333329</v>
      </c>
      <c r="Z13" s="1">
        <v>83.8</v>
      </c>
      <c r="AA13" s="1">
        <v>87.4</v>
      </c>
      <c r="AB13" s="1">
        <v>63.2</v>
      </c>
      <c r="AC13" s="1">
        <v>106.6</v>
      </c>
      <c r="AD13" s="1">
        <v>88</v>
      </c>
      <c r="AE13" s="1">
        <v>78.8</v>
      </c>
      <c r="AF13" s="1">
        <v>69.8</v>
      </c>
      <c r="AG13" s="1"/>
      <c r="AH13" s="1">
        <f t="shared" si="7"/>
        <v>141.02400000000003</v>
      </c>
      <c r="AI13" s="8">
        <v>12</v>
      </c>
      <c r="AJ13" s="10">
        <f t="shared" si="8"/>
        <v>42</v>
      </c>
      <c r="AK13" s="1">
        <f t="shared" si="9"/>
        <v>120.96</v>
      </c>
      <c r="AL13" s="1">
        <v>14</v>
      </c>
      <c r="AM13" s="1">
        <v>70</v>
      </c>
      <c r="AN13" s="10">
        <f t="shared" si="10"/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59</v>
      </c>
      <c r="B14" s="1" t="s">
        <v>45</v>
      </c>
      <c r="C14" s="1">
        <v>625</v>
      </c>
      <c r="D14" s="1">
        <v>23</v>
      </c>
      <c r="E14" s="1">
        <v>259</v>
      </c>
      <c r="F14" s="1">
        <v>366</v>
      </c>
      <c r="G14" s="8">
        <v>0.24</v>
      </c>
      <c r="H14" s="1">
        <v>180</v>
      </c>
      <c r="I14" s="1" t="s">
        <v>51</v>
      </c>
      <c r="J14" s="1"/>
      <c r="K14" s="1">
        <v>259</v>
      </c>
      <c r="L14" s="1">
        <f t="shared" si="2"/>
        <v>0</v>
      </c>
      <c r="M14" s="1"/>
      <c r="N14" s="1"/>
      <c r="O14" s="1"/>
      <c r="P14" s="1">
        <v>0</v>
      </c>
      <c r="Q14" s="1"/>
      <c r="R14" s="1">
        <f t="shared" si="3"/>
        <v>51.8</v>
      </c>
      <c r="S14" s="5">
        <f t="shared" si="11"/>
        <v>359.19999999999993</v>
      </c>
      <c r="T14" s="5">
        <f t="shared" si="6"/>
        <v>336</v>
      </c>
      <c r="U14" s="5"/>
      <c r="V14" s="1"/>
      <c r="W14" s="1">
        <f t="shared" si="4"/>
        <v>13.552123552123552</v>
      </c>
      <c r="X14" s="1">
        <f t="shared" si="5"/>
        <v>7.0656370656370662</v>
      </c>
      <c r="Y14" s="1">
        <v>42</v>
      </c>
      <c r="Z14" s="1">
        <v>54.4</v>
      </c>
      <c r="AA14" s="1">
        <v>59.4</v>
      </c>
      <c r="AB14" s="1">
        <v>38</v>
      </c>
      <c r="AC14" s="1">
        <v>46.8</v>
      </c>
      <c r="AD14" s="1">
        <v>62.2</v>
      </c>
      <c r="AE14" s="1">
        <v>31.8</v>
      </c>
      <c r="AF14" s="1">
        <v>59.8</v>
      </c>
      <c r="AG14" s="1"/>
      <c r="AH14" s="1">
        <f t="shared" si="7"/>
        <v>86.207999999999984</v>
      </c>
      <c r="AI14" s="8">
        <v>12</v>
      </c>
      <c r="AJ14" s="10">
        <f t="shared" si="8"/>
        <v>28</v>
      </c>
      <c r="AK14" s="1">
        <f t="shared" si="9"/>
        <v>80.64</v>
      </c>
      <c r="AL14" s="1">
        <v>14</v>
      </c>
      <c r="AM14" s="1">
        <v>70</v>
      </c>
      <c r="AN14" s="10">
        <f t="shared" si="10"/>
        <v>0.4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45</v>
      </c>
      <c r="C15" s="1">
        <v>467</v>
      </c>
      <c r="D15" s="1">
        <v>189</v>
      </c>
      <c r="E15" s="1">
        <v>377</v>
      </c>
      <c r="F15" s="1">
        <v>224</v>
      </c>
      <c r="G15" s="8">
        <v>0.24</v>
      </c>
      <c r="H15" s="1">
        <v>180</v>
      </c>
      <c r="I15" s="1" t="s">
        <v>51</v>
      </c>
      <c r="J15" s="1"/>
      <c r="K15" s="1">
        <v>379</v>
      </c>
      <c r="L15" s="1">
        <f t="shared" si="2"/>
        <v>-2</v>
      </c>
      <c r="M15" s="1"/>
      <c r="N15" s="1"/>
      <c r="O15" s="1"/>
      <c r="P15" s="1">
        <v>0</v>
      </c>
      <c r="Q15" s="1">
        <v>840</v>
      </c>
      <c r="R15" s="1">
        <f t="shared" si="3"/>
        <v>75.400000000000006</v>
      </c>
      <c r="S15" s="5"/>
      <c r="T15" s="5">
        <f t="shared" si="6"/>
        <v>0</v>
      </c>
      <c r="U15" s="5"/>
      <c r="V15" s="1"/>
      <c r="W15" s="1">
        <f t="shared" si="4"/>
        <v>14.111405835543765</v>
      </c>
      <c r="X15" s="1">
        <f t="shared" si="5"/>
        <v>14.111405835543765</v>
      </c>
      <c r="Y15" s="1">
        <v>100</v>
      </c>
      <c r="Z15" s="1">
        <v>74.400000000000006</v>
      </c>
      <c r="AA15" s="1">
        <v>73</v>
      </c>
      <c r="AB15" s="1">
        <v>60.2</v>
      </c>
      <c r="AC15" s="1">
        <v>75.400000000000006</v>
      </c>
      <c r="AD15" s="1">
        <v>76.8</v>
      </c>
      <c r="AE15" s="1">
        <v>76.8</v>
      </c>
      <c r="AF15" s="1">
        <v>74</v>
      </c>
      <c r="AG15" s="1"/>
      <c r="AH15" s="1">
        <f t="shared" si="7"/>
        <v>0</v>
      </c>
      <c r="AI15" s="8">
        <v>12</v>
      </c>
      <c r="AJ15" s="10">
        <f t="shared" si="8"/>
        <v>0</v>
      </c>
      <c r="AK15" s="1">
        <f t="shared" si="9"/>
        <v>0</v>
      </c>
      <c r="AL15" s="1">
        <v>14</v>
      </c>
      <c r="AM15" s="1">
        <v>70</v>
      </c>
      <c r="AN15" s="10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60</v>
      </c>
      <c r="B16" s="1" t="s">
        <v>45</v>
      </c>
      <c r="C16" s="1">
        <v>143</v>
      </c>
      <c r="D16" s="1">
        <v>113</v>
      </c>
      <c r="E16" s="1">
        <v>134</v>
      </c>
      <c r="F16" s="1">
        <v>121</v>
      </c>
      <c r="G16" s="8">
        <v>0.48</v>
      </c>
      <c r="H16" s="1">
        <v>180</v>
      </c>
      <c r="I16" s="1" t="s">
        <v>51</v>
      </c>
      <c r="J16" s="1"/>
      <c r="K16" s="1">
        <v>134</v>
      </c>
      <c r="L16" s="1">
        <f t="shared" si="2"/>
        <v>0</v>
      </c>
      <c r="M16" s="1"/>
      <c r="N16" s="1"/>
      <c r="O16" s="1"/>
      <c r="P16" s="1">
        <v>0</v>
      </c>
      <c r="Q16" s="1"/>
      <c r="R16" s="1">
        <f t="shared" si="3"/>
        <v>26.8</v>
      </c>
      <c r="S16" s="5">
        <f t="shared" si="11"/>
        <v>254.2</v>
      </c>
      <c r="T16" s="5">
        <f t="shared" si="6"/>
        <v>224</v>
      </c>
      <c r="U16" s="5"/>
      <c r="V16" s="1"/>
      <c r="W16" s="1">
        <f t="shared" si="4"/>
        <v>12.873134328358208</v>
      </c>
      <c r="X16" s="1">
        <f t="shared" si="5"/>
        <v>4.5149253731343286</v>
      </c>
      <c r="Y16" s="1">
        <v>18.666666666666671</v>
      </c>
      <c r="Z16" s="1">
        <v>23.2</v>
      </c>
      <c r="AA16" s="1">
        <v>20</v>
      </c>
      <c r="AB16" s="1">
        <v>17</v>
      </c>
      <c r="AC16" s="1">
        <v>19.8</v>
      </c>
      <c r="AD16" s="1">
        <v>24.2</v>
      </c>
      <c r="AE16" s="1">
        <v>17.399999999999999</v>
      </c>
      <c r="AF16" s="1">
        <v>17.8</v>
      </c>
      <c r="AG16" s="1"/>
      <c r="AH16" s="1">
        <f t="shared" si="7"/>
        <v>122.01599999999999</v>
      </c>
      <c r="AI16" s="8">
        <v>8</v>
      </c>
      <c r="AJ16" s="10">
        <f t="shared" si="8"/>
        <v>28</v>
      </c>
      <c r="AK16" s="1">
        <f t="shared" si="9"/>
        <v>107.52</v>
      </c>
      <c r="AL16" s="1">
        <v>14</v>
      </c>
      <c r="AM16" s="1">
        <v>70</v>
      </c>
      <c r="AN16" s="10">
        <f t="shared" si="10"/>
        <v>0.4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61</v>
      </c>
      <c r="B17" s="1" t="s">
        <v>45</v>
      </c>
      <c r="C17" s="1">
        <v>99</v>
      </c>
      <c r="D17" s="1">
        <v>336</v>
      </c>
      <c r="E17" s="1">
        <v>166</v>
      </c>
      <c r="F17" s="1">
        <v>269</v>
      </c>
      <c r="G17" s="8">
        <v>0.09</v>
      </c>
      <c r="H17" s="1">
        <v>180</v>
      </c>
      <c r="I17" s="1" t="s">
        <v>51</v>
      </c>
      <c r="J17" s="1"/>
      <c r="K17" s="1">
        <v>166</v>
      </c>
      <c r="L17" s="1">
        <f t="shared" si="2"/>
        <v>0</v>
      </c>
      <c r="M17" s="1"/>
      <c r="N17" s="1"/>
      <c r="O17" s="1"/>
      <c r="P17" s="1">
        <v>0</v>
      </c>
      <c r="Q17" s="1"/>
      <c r="R17" s="1">
        <f t="shared" si="3"/>
        <v>33.200000000000003</v>
      </c>
      <c r="S17" s="5">
        <f t="shared" si="11"/>
        <v>195.80000000000007</v>
      </c>
      <c r="T17" s="5">
        <f t="shared" si="6"/>
        <v>336</v>
      </c>
      <c r="U17" s="5"/>
      <c r="V17" s="1"/>
      <c r="W17" s="1">
        <f t="shared" si="4"/>
        <v>18.222891566265059</v>
      </c>
      <c r="X17" s="1">
        <f t="shared" si="5"/>
        <v>8.1024096385542155</v>
      </c>
      <c r="Y17" s="1">
        <v>22.833333333333329</v>
      </c>
      <c r="Z17" s="1">
        <v>20</v>
      </c>
      <c r="AA17" s="1">
        <v>23</v>
      </c>
      <c r="AB17" s="1">
        <v>24.4</v>
      </c>
      <c r="AC17" s="1">
        <v>20.399999999999999</v>
      </c>
      <c r="AD17" s="1">
        <v>19.600000000000001</v>
      </c>
      <c r="AE17" s="1">
        <v>17.399999999999999</v>
      </c>
      <c r="AF17" s="1">
        <v>20.6</v>
      </c>
      <c r="AG17" s="1"/>
      <c r="AH17" s="1">
        <f t="shared" si="7"/>
        <v>17.622000000000007</v>
      </c>
      <c r="AI17" s="8">
        <v>24</v>
      </c>
      <c r="AJ17" s="10">
        <f t="shared" si="8"/>
        <v>14</v>
      </c>
      <c r="AK17" s="1">
        <f t="shared" si="9"/>
        <v>30.24</v>
      </c>
      <c r="AL17" s="1">
        <v>14</v>
      </c>
      <c r="AM17" s="1">
        <v>126</v>
      </c>
      <c r="AN17" s="10">
        <f t="shared" si="10"/>
        <v>0.1111111111111111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62</v>
      </c>
      <c r="B18" s="1" t="s">
        <v>45</v>
      </c>
      <c r="C18" s="1">
        <v>480</v>
      </c>
      <c r="D18" s="1">
        <v>1</v>
      </c>
      <c r="E18" s="1">
        <v>173</v>
      </c>
      <c r="F18" s="1">
        <v>307</v>
      </c>
      <c r="G18" s="8">
        <v>0.36</v>
      </c>
      <c r="H18" s="1">
        <v>180</v>
      </c>
      <c r="I18" s="1" t="s">
        <v>51</v>
      </c>
      <c r="J18" s="1"/>
      <c r="K18" s="1">
        <v>175</v>
      </c>
      <c r="L18" s="1">
        <f t="shared" si="2"/>
        <v>-2</v>
      </c>
      <c r="M18" s="1"/>
      <c r="N18" s="1"/>
      <c r="O18" s="1"/>
      <c r="P18" s="1">
        <v>0</v>
      </c>
      <c r="Q18" s="1"/>
      <c r="R18" s="1">
        <f t="shared" si="3"/>
        <v>34.6</v>
      </c>
      <c r="S18" s="5">
        <f t="shared" si="11"/>
        <v>177.40000000000003</v>
      </c>
      <c r="T18" s="5">
        <f t="shared" si="6"/>
        <v>140</v>
      </c>
      <c r="U18" s="5"/>
      <c r="V18" s="1"/>
      <c r="W18" s="1">
        <f t="shared" si="4"/>
        <v>12.919075144508669</v>
      </c>
      <c r="X18" s="1">
        <f t="shared" si="5"/>
        <v>8.8728323699421967</v>
      </c>
      <c r="Y18" s="1">
        <v>13.33333333333333</v>
      </c>
      <c r="Z18" s="1">
        <v>9.4</v>
      </c>
      <c r="AA18" s="1">
        <v>34.6</v>
      </c>
      <c r="AB18" s="1">
        <v>14.4</v>
      </c>
      <c r="AC18" s="1">
        <v>23.8</v>
      </c>
      <c r="AD18" s="1">
        <v>19.2</v>
      </c>
      <c r="AE18" s="1">
        <v>27.2</v>
      </c>
      <c r="AF18" s="1">
        <v>22.2</v>
      </c>
      <c r="AG18" s="1" t="s">
        <v>63</v>
      </c>
      <c r="AH18" s="1">
        <f t="shared" si="7"/>
        <v>63.864000000000011</v>
      </c>
      <c r="AI18" s="8">
        <v>10</v>
      </c>
      <c r="AJ18" s="10">
        <f t="shared" si="8"/>
        <v>14</v>
      </c>
      <c r="AK18" s="1">
        <f t="shared" si="9"/>
        <v>50.4</v>
      </c>
      <c r="AL18" s="1">
        <v>14</v>
      </c>
      <c r="AM18" s="1">
        <v>70</v>
      </c>
      <c r="AN18" s="10">
        <f t="shared" si="10"/>
        <v>0.2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64</v>
      </c>
      <c r="B19" s="1" t="s">
        <v>45</v>
      </c>
      <c r="C19" s="1">
        <v>86</v>
      </c>
      <c r="D19" s="1">
        <v>5</v>
      </c>
      <c r="E19" s="1">
        <v>6</v>
      </c>
      <c r="F19" s="1">
        <v>80</v>
      </c>
      <c r="G19" s="8">
        <v>0.2</v>
      </c>
      <c r="H19" s="1">
        <v>180</v>
      </c>
      <c r="I19" s="1" t="s">
        <v>51</v>
      </c>
      <c r="J19" s="1"/>
      <c r="K19" s="1">
        <v>11</v>
      </c>
      <c r="L19" s="1">
        <f t="shared" si="2"/>
        <v>-5</v>
      </c>
      <c r="M19" s="1"/>
      <c r="N19" s="1"/>
      <c r="O19" s="1"/>
      <c r="P19" s="1">
        <v>0</v>
      </c>
      <c r="Q19" s="1"/>
      <c r="R19" s="1">
        <f t="shared" si="3"/>
        <v>1.2</v>
      </c>
      <c r="S19" s="5"/>
      <c r="T19" s="5">
        <f t="shared" si="6"/>
        <v>0</v>
      </c>
      <c r="U19" s="5"/>
      <c r="V19" s="1"/>
      <c r="W19" s="1">
        <f t="shared" si="4"/>
        <v>66.666666666666671</v>
      </c>
      <c r="X19" s="1">
        <f t="shared" si="5"/>
        <v>66.666666666666671</v>
      </c>
      <c r="Y19" s="1">
        <v>1</v>
      </c>
      <c r="Z19" s="1">
        <v>1.6</v>
      </c>
      <c r="AA19" s="1">
        <v>2</v>
      </c>
      <c r="AB19" s="1">
        <v>0.6</v>
      </c>
      <c r="AC19" s="1">
        <v>0.4</v>
      </c>
      <c r="AD19" s="1">
        <v>0.6</v>
      </c>
      <c r="AE19" s="1">
        <v>2.4</v>
      </c>
      <c r="AF19" s="1">
        <v>2</v>
      </c>
      <c r="AG19" s="22" t="s">
        <v>123</v>
      </c>
      <c r="AH19" s="1">
        <f t="shared" si="7"/>
        <v>0</v>
      </c>
      <c r="AI19" s="8">
        <v>12</v>
      </c>
      <c r="AJ19" s="10">
        <f t="shared" si="8"/>
        <v>0</v>
      </c>
      <c r="AK19" s="1">
        <f t="shared" si="9"/>
        <v>0</v>
      </c>
      <c r="AL19" s="1">
        <v>14</v>
      </c>
      <c r="AM19" s="1">
        <v>70</v>
      </c>
      <c r="AN19" s="10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65</v>
      </c>
      <c r="B20" s="15" t="s">
        <v>45</v>
      </c>
      <c r="C20" s="15"/>
      <c r="D20" s="15"/>
      <c r="E20" s="15"/>
      <c r="F20" s="15"/>
      <c r="G20" s="16">
        <v>0</v>
      </c>
      <c r="H20" s="15">
        <v>180</v>
      </c>
      <c r="I20" s="15" t="s">
        <v>51</v>
      </c>
      <c r="J20" s="15"/>
      <c r="K20" s="15"/>
      <c r="L20" s="15">
        <f t="shared" si="2"/>
        <v>0</v>
      </c>
      <c r="M20" s="15"/>
      <c r="N20" s="15"/>
      <c r="O20" s="15"/>
      <c r="P20" s="15"/>
      <c r="Q20" s="15"/>
      <c r="R20" s="15">
        <f t="shared" si="3"/>
        <v>0</v>
      </c>
      <c r="S20" s="17"/>
      <c r="T20" s="17"/>
      <c r="U20" s="17"/>
      <c r="V20" s="15"/>
      <c r="W20" s="15" t="e">
        <f t="shared" si="4"/>
        <v>#DIV/0!</v>
      </c>
      <c r="X20" s="15" t="e">
        <f t="shared" si="5"/>
        <v>#DIV/0!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0.4</v>
      </c>
      <c r="AF20" s="15">
        <v>0.2</v>
      </c>
      <c r="AG20" s="15" t="s">
        <v>66</v>
      </c>
      <c r="AH20" s="15"/>
      <c r="AI20" s="16">
        <v>12</v>
      </c>
      <c r="AJ20" s="18"/>
      <c r="AK20" s="15"/>
      <c r="AL20" s="15">
        <v>14</v>
      </c>
      <c r="AM20" s="15">
        <v>70</v>
      </c>
      <c r="AN20" s="18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67</v>
      </c>
      <c r="B21" s="1" t="s">
        <v>45</v>
      </c>
      <c r="C21" s="1">
        <v>123</v>
      </c>
      <c r="D21" s="1"/>
      <c r="E21" s="1">
        <v>75</v>
      </c>
      <c r="F21" s="1">
        <v>48</v>
      </c>
      <c r="G21" s="8">
        <v>0.2</v>
      </c>
      <c r="H21" s="1">
        <v>180</v>
      </c>
      <c r="I21" s="1" t="s">
        <v>51</v>
      </c>
      <c r="J21" s="1"/>
      <c r="K21" s="1">
        <v>75</v>
      </c>
      <c r="L21" s="1">
        <f t="shared" si="2"/>
        <v>0</v>
      </c>
      <c r="M21" s="1"/>
      <c r="N21" s="1"/>
      <c r="O21" s="1"/>
      <c r="P21" s="1">
        <v>168</v>
      </c>
      <c r="Q21" s="1"/>
      <c r="R21" s="1">
        <f t="shared" si="3"/>
        <v>15</v>
      </c>
      <c r="S21" s="5"/>
      <c r="T21" s="5">
        <f t="shared" ref="T21:T52" si="12">AI21*AJ21</f>
        <v>0</v>
      </c>
      <c r="U21" s="5"/>
      <c r="V21" s="1"/>
      <c r="W21" s="1">
        <f t="shared" si="4"/>
        <v>14.4</v>
      </c>
      <c r="X21" s="1">
        <f t="shared" si="5"/>
        <v>14.4</v>
      </c>
      <c r="Y21" s="1">
        <v>11.5</v>
      </c>
      <c r="Z21" s="1">
        <v>4</v>
      </c>
      <c r="AA21" s="1">
        <v>6</v>
      </c>
      <c r="AB21" s="1">
        <v>5.6</v>
      </c>
      <c r="AC21" s="1">
        <v>4</v>
      </c>
      <c r="AD21" s="1">
        <v>3.6</v>
      </c>
      <c r="AE21" s="1">
        <v>8.6</v>
      </c>
      <c r="AF21" s="1">
        <v>5.6</v>
      </c>
      <c r="AG21" s="1"/>
      <c r="AH21" s="1">
        <f t="shared" ref="AH21:AH52" si="13">G21*S21</f>
        <v>0</v>
      </c>
      <c r="AI21" s="8">
        <v>12</v>
      </c>
      <c r="AJ21" s="10">
        <f t="shared" ref="AJ21:AJ52" si="14">MROUND(S21, AI21*AL21)/AI21</f>
        <v>0</v>
      </c>
      <c r="AK21" s="1">
        <f t="shared" ref="AK21:AK52" si="15">AJ21*AI21*G21</f>
        <v>0</v>
      </c>
      <c r="AL21" s="1">
        <v>14</v>
      </c>
      <c r="AM21" s="1">
        <v>70</v>
      </c>
      <c r="AN21" s="10">
        <f t="shared" ref="AN21:AN52" si="16"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68</v>
      </c>
      <c r="B22" s="1" t="s">
        <v>45</v>
      </c>
      <c r="C22" s="1"/>
      <c r="D22" s="1">
        <v>504</v>
      </c>
      <c r="E22" s="1">
        <v>136</v>
      </c>
      <c r="F22" s="1">
        <v>368</v>
      </c>
      <c r="G22" s="8">
        <v>0.2</v>
      </c>
      <c r="H22" s="1">
        <v>180</v>
      </c>
      <c r="I22" s="14" t="s">
        <v>69</v>
      </c>
      <c r="J22" s="1"/>
      <c r="K22" s="1">
        <v>136</v>
      </c>
      <c r="L22" s="1">
        <f t="shared" si="2"/>
        <v>0</v>
      </c>
      <c r="M22" s="1"/>
      <c r="N22" s="1"/>
      <c r="O22" s="1"/>
      <c r="P22" s="1">
        <v>0</v>
      </c>
      <c r="Q22" s="1"/>
      <c r="R22" s="1">
        <f t="shared" si="3"/>
        <v>27.2</v>
      </c>
      <c r="S22" s="5">
        <f>17*R22-Q22-P22-O22-F22</f>
        <v>94.399999999999977</v>
      </c>
      <c r="T22" s="5">
        <f t="shared" si="12"/>
        <v>168</v>
      </c>
      <c r="U22" s="5"/>
      <c r="V22" s="1"/>
      <c r="W22" s="1">
        <f t="shared" si="4"/>
        <v>19.705882352941178</v>
      </c>
      <c r="X22" s="1">
        <f t="shared" si="5"/>
        <v>13.529411764705882</v>
      </c>
      <c r="Y22" s="1">
        <v>32</v>
      </c>
      <c r="Z22" s="1">
        <v>45.4</v>
      </c>
      <c r="AA22" s="1">
        <v>21.6</v>
      </c>
      <c r="AB22" s="1">
        <v>38.200000000000003</v>
      </c>
      <c r="AC22" s="1">
        <v>51.6</v>
      </c>
      <c r="AD22" s="1">
        <v>44.4</v>
      </c>
      <c r="AE22" s="1">
        <v>46.6</v>
      </c>
      <c r="AF22" s="1">
        <v>30.6</v>
      </c>
      <c r="AG22" s="1"/>
      <c r="AH22" s="1">
        <f t="shared" si="13"/>
        <v>18.879999999999995</v>
      </c>
      <c r="AI22" s="8">
        <v>12</v>
      </c>
      <c r="AJ22" s="10">
        <f t="shared" si="14"/>
        <v>14</v>
      </c>
      <c r="AK22" s="1">
        <f t="shared" si="15"/>
        <v>33.6</v>
      </c>
      <c r="AL22" s="1">
        <v>14</v>
      </c>
      <c r="AM22" s="1">
        <v>70</v>
      </c>
      <c r="AN22" s="10">
        <f t="shared" si="16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70</v>
      </c>
      <c r="B23" s="1" t="s">
        <v>45</v>
      </c>
      <c r="C23" s="1">
        <v>-14</v>
      </c>
      <c r="D23" s="1">
        <v>518</v>
      </c>
      <c r="E23" s="1">
        <v>121</v>
      </c>
      <c r="F23" s="1">
        <v>381</v>
      </c>
      <c r="G23" s="8">
        <v>0.2</v>
      </c>
      <c r="H23" s="1">
        <v>180</v>
      </c>
      <c r="I23" s="1" t="s">
        <v>51</v>
      </c>
      <c r="J23" s="1"/>
      <c r="K23" s="1">
        <v>121</v>
      </c>
      <c r="L23" s="1">
        <f t="shared" si="2"/>
        <v>0</v>
      </c>
      <c r="M23" s="1"/>
      <c r="N23" s="1"/>
      <c r="O23" s="1"/>
      <c r="P23" s="1">
        <v>0</v>
      </c>
      <c r="Q23" s="1"/>
      <c r="R23" s="1">
        <f t="shared" si="3"/>
        <v>24.2</v>
      </c>
      <c r="S23" s="5"/>
      <c r="T23" s="5">
        <f t="shared" si="12"/>
        <v>0</v>
      </c>
      <c r="U23" s="5"/>
      <c r="V23" s="1"/>
      <c r="W23" s="1">
        <f t="shared" si="4"/>
        <v>15.743801652892563</v>
      </c>
      <c r="X23" s="1">
        <f t="shared" si="5"/>
        <v>15.743801652892563</v>
      </c>
      <c r="Y23" s="1">
        <v>23</v>
      </c>
      <c r="Z23" s="1">
        <v>44.2</v>
      </c>
      <c r="AA23" s="1">
        <v>19.600000000000001</v>
      </c>
      <c r="AB23" s="1">
        <v>18.8</v>
      </c>
      <c r="AC23" s="1">
        <v>33</v>
      </c>
      <c r="AD23" s="1">
        <v>36.799999999999997</v>
      </c>
      <c r="AE23" s="1">
        <v>34.799999999999997</v>
      </c>
      <c r="AF23" s="1">
        <v>32.4</v>
      </c>
      <c r="AG23" s="1"/>
      <c r="AH23" s="1">
        <f t="shared" si="13"/>
        <v>0</v>
      </c>
      <c r="AI23" s="8">
        <v>12</v>
      </c>
      <c r="AJ23" s="10">
        <f t="shared" si="14"/>
        <v>0</v>
      </c>
      <c r="AK23" s="1">
        <f t="shared" si="15"/>
        <v>0</v>
      </c>
      <c r="AL23" s="1">
        <v>14</v>
      </c>
      <c r="AM23" s="1">
        <v>70</v>
      </c>
      <c r="AN23" s="10">
        <f t="shared" si="16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71</v>
      </c>
      <c r="B24" s="1" t="s">
        <v>53</v>
      </c>
      <c r="C24" s="1">
        <v>48.1</v>
      </c>
      <c r="D24" s="1">
        <v>255.3</v>
      </c>
      <c r="E24" s="1">
        <v>92.5</v>
      </c>
      <c r="F24" s="1">
        <v>162.80000000000001</v>
      </c>
      <c r="G24" s="8">
        <v>1</v>
      </c>
      <c r="H24" s="1">
        <v>180</v>
      </c>
      <c r="I24" s="1" t="s">
        <v>51</v>
      </c>
      <c r="J24" s="1"/>
      <c r="K24" s="1">
        <v>90.5</v>
      </c>
      <c r="L24" s="1">
        <f t="shared" si="2"/>
        <v>2</v>
      </c>
      <c r="M24" s="1"/>
      <c r="N24" s="1"/>
      <c r="O24" s="1"/>
      <c r="P24" s="1">
        <v>0</v>
      </c>
      <c r="Q24" s="1"/>
      <c r="R24" s="1">
        <f t="shared" si="3"/>
        <v>18.5</v>
      </c>
      <c r="S24" s="5">
        <f t="shared" ref="S21:S52" si="17">14*R24-Q24-P24-O24-F24</f>
        <v>96.199999999999989</v>
      </c>
      <c r="T24" s="5">
        <f t="shared" si="12"/>
        <v>103.60000000000001</v>
      </c>
      <c r="U24" s="5"/>
      <c r="V24" s="1"/>
      <c r="W24" s="1">
        <f t="shared" si="4"/>
        <v>14.400000000000002</v>
      </c>
      <c r="X24" s="1">
        <f t="shared" si="5"/>
        <v>8.8000000000000007</v>
      </c>
      <c r="Y24" s="1">
        <v>13.56666666666667</v>
      </c>
      <c r="Z24" s="1">
        <v>23.68</v>
      </c>
      <c r="AA24" s="1">
        <v>14.8</v>
      </c>
      <c r="AB24" s="1">
        <v>17.02</v>
      </c>
      <c r="AC24" s="1">
        <v>17.78</v>
      </c>
      <c r="AD24" s="1">
        <v>15.54</v>
      </c>
      <c r="AE24" s="1">
        <v>16.28</v>
      </c>
      <c r="AF24" s="1">
        <v>26.64</v>
      </c>
      <c r="AG24" s="1"/>
      <c r="AH24" s="1">
        <f t="shared" si="13"/>
        <v>96.199999999999989</v>
      </c>
      <c r="AI24" s="8">
        <v>3.7</v>
      </c>
      <c r="AJ24" s="10">
        <f t="shared" si="14"/>
        <v>28</v>
      </c>
      <c r="AK24" s="1">
        <f t="shared" si="15"/>
        <v>103.60000000000001</v>
      </c>
      <c r="AL24" s="1">
        <v>14</v>
      </c>
      <c r="AM24" s="1">
        <v>126</v>
      </c>
      <c r="AN24" s="10">
        <f t="shared" si="16"/>
        <v>0.22222222222222221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72</v>
      </c>
      <c r="B25" s="1" t="s">
        <v>53</v>
      </c>
      <c r="C25" s="1">
        <v>82.5</v>
      </c>
      <c r="D25" s="1">
        <v>5.5</v>
      </c>
      <c r="E25" s="1">
        <v>44</v>
      </c>
      <c r="F25" s="1">
        <v>38.5</v>
      </c>
      <c r="G25" s="8">
        <v>1</v>
      </c>
      <c r="H25" s="1">
        <v>180</v>
      </c>
      <c r="I25" s="1" t="s">
        <v>51</v>
      </c>
      <c r="J25" s="1"/>
      <c r="K25" s="1">
        <v>35.6</v>
      </c>
      <c r="L25" s="1">
        <f t="shared" si="2"/>
        <v>8.3999999999999986</v>
      </c>
      <c r="M25" s="1"/>
      <c r="N25" s="1"/>
      <c r="O25" s="1"/>
      <c r="P25" s="1">
        <v>0</v>
      </c>
      <c r="Q25" s="1"/>
      <c r="R25" s="1">
        <f t="shared" si="3"/>
        <v>8.8000000000000007</v>
      </c>
      <c r="S25" s="5">
        <f t="shared" si="17"/>
        <v>84.700000000000017</v>
      </c>
      <c r="T25" s="5">
        <f t="shared" si="12"/>
        <v>66</v>
      </c>
      <c r="U25" s="5"/>
      <c r="V25" s="1"/>
      <c r="W25" s="1">
        <f t="shared" si="4"/>
        <v>11.874999999999998</v>
      </c>
      <c r="X25" s="1">
        <f t="shared" si="5"/>
        <v>4.375</v>
      </c>
      <c r="Y25" s="1">
        <v>0.91666666666666663</v>
      </c>
      <c r="Z25" s="1">
        <v>4.4000000000000004</v>
      </c>
      <c r="AA25" s="1">
        <v>2.2000000000000002</v>
      </c>
      <c r="AB25" s="1">
        <v>5.5</v>
      </c>
      <c r="AC25" s="1">
        <v>2.2000000000000002</v>
      </c>
      <c r="AD25" s="1">
        <v>5.5</v>
      </c>
      <c r="AE25" s="1">
        <v>7.7</v>
      </c>
      <c r="AF25" s="1">
        <v>6.6</v>
      </c>
      <c r="AG25" s="1"/>
      <c r="AH25" s="1">
        <f t="shared" si="13"/>
        <v>84.700000000000017</v>
      </c>
      <c r="AI25" s="8">
        <v>5.5</v>
      </c>
      <c r="AJ25" s="10">
        <f t="shared" si="14"/>
        <v>12</v>
      </c>
      <c r="AK25" s="1">
        <f t="shared" si="15"/>
        <v>66</v>
      </c>
      <c r="AL25" s="1">
        <v>12</v>
      </c>
      <c r="AM25" s="1">
        <v>84</v>
      </c>
      <c r="AN25" s="10">
        <f t="shared" si="16"/>
        <v>0.14285714285714285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74</v>
      </c>
      <c r="B26" s="1" t="s">
        <v>53</v>
      </c>
      <c r="C26" s="1">
        <v>39</v>
      </c>
      <c r="D26" s="1">
        <v>69</v>
      </c>
      <c r="E26" s="1">
        <v>48</v>
      </c>
      <c r="F26" s="1">
        <v>33</v>
      </c>
      <c r="G26" s="8">
        <v>1</v>
      </c>
      <c r="H26" s="1">
        <v>180</v>
      </c>
      <c r="I26" s="1" t="s">
        <v>51</v>
      </c>
      <c r="J26" s="1"/>
      <c r="K26" s="1">
        <v>47.5</v>
      </c>
      <c r="L26" s="1">
        <f t="shared" si="2"/>
        <v>0.5</v>
      </c>
      <c r="M26" s="1"/>
      <c r="N26" s="1"/>
      <c r="O26" s="1"/>
      <c r="P26" s="1">
        <v>0</v>
      </c>
      <c r="Q26" s="1"/>
      <c r="R26" s="1">
        <f t="shared" si="3"/>
        <v>9.6</v>
      </c>
      <c r="S26" s="5">
        <f t="shared" si="17"/>
        <v>101.4</v>
      </c>
      <c r="T26" s="5">
        <f t="shared" si="12"/>
        <v>84</v>
      </c>
      <c r="U26" s="5"/>
      <c r="V26" s="1"/>
      <c r="W26" s="1">
        <f t="shared" si="4"/>
        <v>12.1875</v>
      </c>
      <c r="X26" s="1">
        <f t="shared" si="5"/>
        <v>3.4375</v>
      </c>
      <c r="Y26" s="1">
        <v>5</v>
      </c>
      <c r="Z26" s="1">
        <v>8.4</v>
      </c>
      <c r="AA26" s="1">
        <v>6</v>
      </c>
      <c r="AB26" s="1">
        <v>7.8</v>
      </c>
      <c r="AC26" s="1">
        <v>6.6</v>
      </c>
      <c r="AD26" s="1">
        <v>10.8</v>
      </c>
      <c r="AE26" s="1">
        <v>7.2</v>
      </c>
      <c r="AF26" s="1">
        <v>10.199999999999999</v>
      </c>
      <c r="AG26" s="1"/>
      <c r="AH26" s="1">
        <f t="shared" si="13"/>
        <v>101.4</v>
      </c>
      <c r="AI26" s="8">
        <v>3</v>
      </c>
      <c r="AJ26" s="10">
        <f t="shared" si="14"/>
        <v>28</v>
      </c>
      <c r="AK26" s="1">
        <f t="shared" si="15"/>
        <v>84</v>
      </c>
      <c r="AL26" s="1">
        <v>14</v>
      </c>
      <c r="AM26" s="1">
        <v>126</v>
      </c>
      <c r="AN26" s="10">
        <f t="shared" si="16"/>
        <v>0.22222222222222221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75</v>
      </c>
      <c r="B27" s="1" t="s">
        <v>45</v>
      </c>
      <c r="C27" s="1">
        <v>267</v>
      </c>
      <c r="D27" s="1">
        <v>412</v>
      </c>
      <c r="E27" s="1">
        <v>495</v>
      </c>
      <c r="F27" s="1">
        <v>110</v>
      </c>
      <c r="G27" s="8">
        <v>0.25</v>
      </c>
      <c r="H27" s="1">
        <v>180</v>
      </c>
      <c r="I27" s="1" t="s">
        <v>51</v>
      </c>
      <c r="J27" s="1"/>
      <c r="K27" s="1">
        <v>497</v>
      </c>
      <c r="L27" s="1">
        <f t="shared" si="2"/>
        <v>-2</v>
      </c>
      <c r="M27" s="1"/>
      <c r="N27" s="1"/>
      <c r="O27" s="1"/>
      <c r="P27" s="1">
        <v>0</v>
      </c>
      <c r="Q27" s="1">
        <v>672</v>
      </c>
      <c r="R27" s="1">
        <f t="shared" si="3"/>
        <v>99</v>
      </c>
      <c r="S27" s="5">
        <f t="shared" si="17"/>
        <v>604</v>
      </c>
      <c r="T27" s="5">
        <f t="shared" si="12"/>
        <v>588</v>
      </c>
      <c r="U27" s="5"/>
      <c r="V27" s="1"/>
      <c r="W27" s="1">
        <f t="shared" si="4"/>
        <v>13.838383838383839</v>
      </c>
      <c r="X27" s="1">
        <f t="shared" si="5"/>
        <v>7.8989898989898988</v>
      </c>
      <c r="Y27" s="1">
        <v>88.5</v>
      </c>
      <c r="Z27" s="1">
        <v>83</v>
      </c>
      <c r="AA27" s="1">
        <v>60.2</v>
      </c>
      <c r="AB27" s="1">
        <v>67</v>
      </c>
      <c r="AC27" s="1">
        <v>100.8</v>
      </c>
      <c r="AD27" s="1">
        <v>77.8</v>
      </c>
      <c r="AE27" s="1">
        <v>95.4</v>
      </c>
      <c r="AF27" s="1">
        <v>89.2</v>
      </c>
      <c r="AG27" s="1" t="s">
        <v>63</v>
      </c>
      <c r="AH27" s="1">
        <f t="shared" si="13"/>
        <v>151</v>
      </c>
      <c r="AI27" s="8">
        <v>6</v>
      </c>
      <c r="AJ27" s="10">
        <f t="shared" si="14"/>
        <v>98</v>
      </c>
      <c r="AK27" s="1">
        <f t="shared" si="15"/>
        <v>147</v>
      </c>
      <c r="AL27" s="1">
        <v>14</v>
      </c>
      <c r="AM27" s="1">
        <v>140</v>
      </c>
      <c r="AN27" s="10">
        <f t="shared" si="16"/>
        <v>0.7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76</v>
      </c>
      <c r="B28" s="1" t="s">
        <v>45</v>
      </c>
      <c r="C28" s="1">
        <v>76</v>
      </c>
      <c r="D28" s="1">
        <v>87</v>
      </c>
      <c r="E28" s="1">
        <v>139</v>
      </c>
      <c r="F28" s="1">
        <v>21</v>
      </c>
      <c r="G28" s="8">
        <v>0.25</v>
      </c>
      <c r="H28" s="1">
        <v>180</v>
      </c>
      <c r="I28" s="1" t="s">
        <v>51</v>
      </c>
      <c r="J28" s="1"/>
      <c r="K28" s="1">
        <v>141</v>
      </c>
      <c r="L28" s="1">
        <f t="shared" si="2"/>
        <v>-2</v>
      </c>
      <c r="M28" s="1"/>
      <c r="N28" s="1"/>
      <c r="O28" s="1"/>
      <c r="P28" s="1">
        <v>252</v>
      </c>
      <c r="Q28" s="1"/>
      <c r="R28" s="1">
        <f t="shared" si="3"/>
        <v>27.8</v>
      </c>
      <c r="S28" s="5">
        <f t="shared" si="17"/>
        <v>116.19999999999999</v>
      </c>
      <c r="T28" s="5">
        <f t="shared" si="12"/>
        <v>84</v>
      </c>
      <c r="U28" s="5"/>
      <c r="V28" s="1"/>
      <c r="W28" s="1">
        <f t="shared" si="4"/>
        <v>12.841726618705035</v>
      </c>
      <c r="X28" s="1">
        <f t="shared" si="5"/>
        <v>9.8201438848920866</v>
      </c>
      <c r="Y28" s="1">
        <v>29.666666666666671</v>
      </c>
      <c r="Z28" s="1">
        <v>20.8</v>
      </c>
      <c r="AA28" s="1">
        <v>18.600000000000001</v>
      </c>
      <c r="AB28" s="1">
        <v>18</v>
      </c>
      <c r="AC28" s="1">
        <v>18</v>
      </c>
      <c r="AD28" s="1">
        <v>10.6</v>
      </c>
      <c r="AE28" s="1">
        <v>25.6</v>
      </c>
      <c r="AF28" s="1">
        <v>23.8</v>
      </c>
      <c r="AG28" s="1" t="s">
        <v>63</v>
      </c>
      <c r="AH28" s="1">
        <f t="shared" si="13"/>
        <v>29.049999999999997</v>
      </c>
      <c r="AI28" s="8">
        <v>6</v>
      </c>
      <c r="AJ28" s="10">
        <f t="shared" si="14"/>
        <v>14</v>
      </c>
      <c r="AK28" s="1">
        <f t="shared" si="15"/>
        <v>21</v>
      </c>
      <c r="AL28" s="1">
        <v>14</v>
      </c>
      <c r="AM28" s="1">
        <v>140</v>
      </c>
      <c r="AN28" s="10">
        <f t="shared" si="16"/>
        <v>0.1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77</v>
      </c>
      <c r="B29" s="1" t="s">
        <v>53</v>
      </c>
      <c r="C29" s="1">
        <v>216</v>
      </c>
      <c r="D29" s="1">
        <v>150</v>
      </c>
      <c r="E29" s="1">
        <v>156</v>
      </c>
      <c r="F29" s="1">
        <v>132</v>
      </c>
      <c r="G29" s="8">
        <v>1</v>
      </c>
      <c r="H29" s="1">
        <v>180</v>
      </c>
      <c r="I29" s="1" t="s">
        <v>51</v>
      </c>
      <c r="J29" s="1"/>
      <c r="K29" s="1">
        <v>150.69999999999999</v>
      </c>
      <c r="L29" s="1">
        <f t="shared" si="2"/>
        <v>5.3000000000000114</v>
      </c>
      <c r="M29" s="1"/>
      <c r="N29" s="1"/>
      <c r="O29" s="1"/>
      <c r="P29" s="1">
        <v>0</v>
      </c>
      <c r="Q29" s="1">
        <v>72</v>
      </c>
      <c r="R29" s="1">
        <f t="shared" si="3"/>
        <v>31.2</v>
      </c>
      <c r="S29" s="5">
        <f t="shared" si="17"/>
        <v>232.8</v>
      </c>
      <c r="T29" s="5">
        <f t="shared" si="12"/>
        <v>216</v>
      </c>
      <c r="U29" s="5"/>
      <c r="V29" s="1"/>
      <c r="W29" s="1">
        <f t="shared" si="4"/>
        <v>13.461538461538462</v>
      </c>
      <c r="X29" s="1">
        <f t="shared" si="5"/>
        <v>6.5384615384615383</v>
      </c>
      <c r="Y29" s="1">
        <v>24</v>
      </c>
      <c r="Z29" s="1">
        <v>28.8</v>
      </c>
      <c r="AA29" s="1">
        <v>28.8</v>
      </c>
      <c r="AB29" s="1">
        <v>19.2</v>
      </c>
      <c r="AC29" s="1">
        <v>24</v>
      </c>
      <c r="AD29" s="1">
        <v>19.2</v>
      </c>
      <c r="AE29" s="1">
        <v>30</v>
      </c>
      <c r="AF29" s="1">
        <v>28.8</v>
      </c>
      <c r="AG29" s="1"/>
      <c r="AH29" s="1">
        <f t="shared" si="13"/>
        <v>232.8</v>
      </c>
      <c r="AI29" s="8">
        <v>6</v>
      </c>
      <c r="AJ29" s="10">
        <f t="shared" si="14"/>
        <v>36</v>
      </c>
      <c r="AK29" s="1">
        <f t="shared" si="15"/>
        <v>216</v>
      </c>
      <c r="AL29" s="1">
        <v>12</v>
      </c>
      <c r="AM29" s="1">
        <v>84</v>
      </c>
      <c r="AN29" s="10">
        <f t="shared" si="16"/>
        <v>0.42857142857142855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78</v>
      </c>
      <c r="B30" s="1" t="s">
        <v>45</v>
      </c>
      <c r="C30" s="1">
        <v>259</v>
      </c>
      <c r="D30" s="1">
        <v>3</v>
      </c>
      <c r="E30" s="1">
        <v>120</v>
      </c>
      <c r="F30" s="1">
        <v>138</v>
      </c>
      <c r="G30" s="8">
        <v>0.23</v>
      </c>
      <c r="H30" s="1">
        <v>180</v>
      </c>
      <c r="I30" s="1" t="s">
        <v>51</v>
      </c>
      <c r="J30" s="1"/>
      <c r="K30" s="1">
        <v>120</v>
      </c>
      <c r="L30" s="1">
        <f t="shared" si="2"/>
        <v>0</v>
      </c>
      <c r="M30" s="1"/>
      <c r="N30" s="1"/>
      <c r="O30" s="1"/>
      <c r="P30" s="1">
        <v>0</v>
      </c>
      <c r="Q30" s="1"/>
      <c r="R30" s="1">
        <f t="shared" si="3"/>
        <v>24</v>
      </c>
      <c r="S30" s="5">
        <f t="shared" si="17"/>
        <v>198</v>
      </c>
      <c r="T30" s="5">
        <f t="shared" si="12"/>
        <v>168</v>
      </c>
      <c r="U30" s="5"/>
      <c r="V30" s="1"/>
      <c r="W30" s="1">
        <f t="shared" si="4"/>
        <v>12.75</v>
      </c>
      <c r="X30" s="1">
        <f t="shared" si="5"/>
        <v>5.75</v>
      </c>
      <c r="Y30" s="1">
        <v>13</v>
      </c>
      <c r="Z30" s="1">
        <v>11</v>
      </c>
      <c r="AA30" s="1">
        <v>20.2</v>
      </c>
      <c r="AB30" s="1">
        <v>12.2</v>
      </c>
      <c r="AC30" s="1">
        <v>14.6</v>
      </c>
      <c r="AD30" s="1">
        <v>17.600000000000001</v>
      </c>
      <c r="AE30" s="1">
        <v>12.4</v>
      </c>
      <c r="AF30" s="1">
        <v>13.8</v>
      </c>
      <c r="AG30" s="1"/>
      <c r="AH30" s="1">
        <f t="shared" si="13"/>
        <v>45.54</v>
      </c>
      <c r="AI30" s="8">
        <v>12</v>
      </c>
      <c r="AJ30" s="10">
        <f t="shared" si="14"/>
        <v>14</v>
      </c>
      <c r="AK30" s="1">
        <f t="shared" si="15"/>
        <v>38.64</v>
      </c>
      <c r="AL30" s="1">
        <v>14</v>
      </c>
      <c r="AM30" s="1">
        <v>70</v>
      </c>
      <c r="AN30" s="10">
        <f t="shared" si="16"/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79</v>
      </c>
      <c r="B31" s="1" t="s">
        <v>45</v>
      </c>
      <c r="C31" s="1">
        <v>103</v>
      </c>
      <c r="D31" s="1">
        <v>56</v>
      </c>
      <c r="E31" s="1">
        <v>103</v>
      </c>
      <c r="F31" s="1"/>
      <c r="G31" s="8">
        <v>0.25</v>
      </c>
      <c r="H31" s="1">
        <v>365</v>
      </c>
      <c r="I31" s="1" t="s">
        <v>51</v>
      </c>
      <c r="J31" s="1"/>
      <c r="K31" s="1">
        <v>179</v>
      </c>
      <c r="L31" s="1">
        <f t="shared" si="2"/>
        <v>-76</v>
      </c>
      <c r="M31" s="1"/>
      <c r="N31" s="1"/>
      <c r="O31" s="1"/>
      <c r="P31" s="1">
        <v>840</v>
      </c>
      <c r="Q31" s="1"/>
      <c r="R31" s="1">
        <f t="shared" si="3"/>
        <v>20.6</v>
      </c>
      <c r="S31" s="5"/>
      <c r="T31" s="5">
        <f t="shared" si="12"/>
        <v>0</v>
      </c>
      <c r="U31" s="5"/>
      <c r="V31" s="1"/>
      <c r="W31" s="1">
        <f t="shared" si="4"/>
        <v>40.776699029126213</v>
      </c>
      <c r="X31" s="1">
        <f t="shared" si="5"/>
        <v>40.776699029126213</v>
      </c>
      <c r="Y31" s="1">
        <v>83.333333333333329</v>
      </c>
      <c r="Z31" s="1">
        <v>37.200000000000003</v>
      </c>
      <c r="AA31" s="1">
        <v>37.200000000000003</v>
      </c>
      <c r="AB31" s="1">
        <v>41.2</v>
      </c>
      <c r="AC31" s="1">
        <v>67.599999999999994</v>
      </c>
      <c r="AD31" s="1">
        <v>47</v>
      </c>
      <c r="AE31" s="1">
        <v>35.200000000000003</v>
      </c>
      <c r="AF31" s="1">
        <v>54</v>
      </c>
      <c r="AG31" s="1" t="s">
        <v>63</v>
      </c>
      <c r="AH31" s="1">
        <f t="shared" si="13"/>
        <v>0</v>
      </c>
      <c r="AI31" s="8">
        <v>12</v>
      </c>
      <c r="AJ31" s="10">
        <f t="shared" si="14"/>
        <v>0</v>
      </c>
      <c r="AK31" s="1">
        <f t="shared" si="15"/>
        <v>0</v>
      </c>
      <c r="AL31" s="1">
        <v>14</v>
      </c>
      <c r="AM31" s="1">
        <v>70</v>
      </c>
      <c r="AN31" s="10">
        <f t="shared" si="16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80</v>
      </c>
      <c r="B32" s="1" t="s">
        <v>45</v>
      </c>
      <c r="C32" s="1">
        <v>234</v>
      </c>
      <c r="D32" s="1">
        <v>292</v>
      </c>
      <c r="E32" s="1">
        <v>302</v>
      </c>
      <c r="F32" s="1">
        <v>88</v>
      </c>
      <c r="G32" s="8">
        <v>0.25</v>
      </c>
      <c r="H32" s="1">
        <v>365</v>
      </c>
      <c r="I32" s="1" t="s">
        <v>51</v>
      </c>
      <c r="J32" s="1"/>
      <c r="K32" s="1">
        <v>302</v>
      </c>
      <c r="L32" s="1">
        <f t="shared" si="2"/>
        <v>0</v>
      </c>
      <c r="M32" s="1"/>
      <c r="N32" s="1"/>
      <c r="O32" s="1"/>
      <c r="P32" s="1">
        <v>0</v>
      </c>
      <c r="Q32" s="1">
        <v>672</v>
      </c>
      <c r="R32" s="1">
        <f t="shared" si="3"/>
        <v>60.4</v>
      </c>
      <c r="S32" s="5">
        <f t="shared" si="17"/>
        <v>85.600000000000023</v>
      </c>
      <c r="T32" s="5">
        <f t="shared" si="12"/>
        <v>168</v>
      </c>
      <c r="U32" s="5"/>
      <c r="V32" s="1"/>
      <c r="W32" s="1">
        <f t="shared" si="4"/>
        <v>15.364238410596027</v>
      </c>
      <c r="X32" s="1">
        <f t="shared" si="5"/>
        <v>12.582781456953642</v>
      </c>
      <c r="Y32" s="1">
        <v>74.666666666666671</v>
      </c>
      <c r="Z32" s="1">
        <v>50.2</v>
      </c>
      <c r="AA32" s="1">
        <v>51.6</v>
      </c>
      <c r="AB32" s="1">
        <v>63.6</v>
      </c>
      <c r="AC32" s="1">
        <v>50.4</v>
      </c>
      <c r="AD32" s="1">
        <v>46</v>
      </c>
      <c r="AE32" s="1">
        <v>43.2</v>
      </c>
      <c r="AF32" s="1">
        <v>51.2</v>
      </c>
      <c r="AG32" s="1"/>
      <c r="AH32" s="1">
        <f t="shared" si="13"/>
        <v>21.400000000000006</v>
      </c>
      <c r="AI32" s="8">
        <v>12</v>
      </c>
      <c r="AJ32" s="10">
        <f t="shared" si="14"/>
        <v>14</v>
      </c>
      <c r="AK32" s="1">
        <f t="shared" si="15"/>
        <v>42</v>
      </c>
      <c r="AL32" s="1">
        <v>14</v>
      </c>
      <c r="AM32" s="1">
        <v>70</v>
      </c>
      <c r="AN32" s="10">
        <f t="shared" si="16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81</v>
      </c>
      <c r="B33" s="1" t="s">
        <v>45</v>
      </c>
      <c r="C33" s="1">
        <v>273</v>
      </c>
      <c r="D33" s="1">
        <v>183</v>
      </c>
      <c r="E33" s="1">
        <v>274</v>
      </c>
      <c r="F33" s="1">
        <v>145</v>
      </c>
      <c r="G33" s="8">
        <v>0.25</v>
      </c>
      <c r="H33" s="1">
        <v>180</v>
      </c>
      <c r="I33" s="1" t="s">
        <v>51</v>
      </c>
      <c r="J33" s="1"/>
      <c r="K33" s="1">
        <v>286</v>
      </c>
      <c r="L33" s="1">
        <f t="shared" si="2"/>
        <v>-12</v>
      </c>
      <c r="M33" s="1"/>
      <c r="N33" s="1"/>
      <c r="O33" s="1"/>
      <c r="P33" s="1">
        <v>336</v>
      </c>
      <c r="Q33" s="1"/>
      <c r="R33" s="1">
        <f t="shared" si="3"/>
        <v>54.8</v>
      </c>
      <c r="S33" s="5">
        <f t="shared" si="17"/>
        <v>286.19999999999993</v>
      </c>
      <c r="T33" s="5">
        <f t="shared" si="12"/>
        <v>336</v>
      </c>
      <c r="U33" s="5"/>
      <c r="V33" s="1"/>
      <c r="W33" s="1">
        <f t="shared" si="4"/>
        <v>14.908759124087592</v>
      </c>
      <c r="X33" s="1">
        <f t="shared" si="5"/>
        <v>8.7773722627737225</v>
      </c>
      <c r="Y33" s="1">
        <v>59.166666666666657</v>
      </c>
      <c r="Z33" s="1">
        <v>58</v>
      </c>
      <c r="AA33" s="1">
        <v>48.8</v>
      </c>
      <c r="AB33" s="1">
        <v>44.6</v>
      </c>
      <c r="AC33" s="1">
        <v>68.8</v>
      </c>
      <c r="AD33" s="1">
        <v>46.4</v>
      </c>
      <c r="AE33" s="1">
        <v>41</v>
      </c>
      <c r="AF33" s="1">
        <v>38.799999999999997</v>
      </c>
      <c r="AG33" s="1" t="s">
        <v>63</v>
      </c>
      <c r="AH33" s="1">
        <f t="shared" si="13"/>
        <v>71.549999999999983</v>
      </c>
      <c r="AI33" s="8">
        <v>12</v>
      </c>
      <c r="AJ33" s="10">
        <f t="shared" si="14"/>
        <v>28</v>
      </c>
      <c r="AK33" s="1">
        <f t="shared" si="15"/>
        <v>84</v>
      </c>
      <c r="AL33" s="1">
        <v>14</v>
      </c>
      <c r="AM33" s="1">
        <v>70</v>
      </c>
      <c r="AN33" s="10">
        <f t="shared" si="16"/>
        <v>0.4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82</v>
      </c>
      <c r="B34" s="1" t="s">
        <v>45</v>
      </c>
      <c r="C34" s="1"/>
      <c r="D34" s="1"/>
      <c r="E34" s="1"/>
      <c r="F34" s="1"/>
      <c r="G34" s="8">
        <v>0.25</v>
      </c>
      <c r="H34" s="1">
        <v>180</v>
      </c>
      <c r="I34" s="1" t="s">
        <v>51</v>
      </c>
      <c r="J34" s="1"/>
      <c r="K34" s="1"/>
      <c r="L34" s="1">
        <f t="shared" si="2"/>
        <v>0</v>
      </c>
      <c r="M34" s="1"/>
      <c r="N34" s="1"/>
      <c r="O34" s="1"/>
      <c r="P34" s="14"/>
      <c r="Q34" s="1"/>
      <c r="R34" s="1">
        <f t="shared" si="3"/>
        <v>0</v>
      </c>
      <c r="S34" s="19">
        <v>84</v>
      </c>
      <c r="T34" s="5">
        <f t="shared" si="12"/>
        <v>84</v>
      </c>
      <c r="U34" s="5"/>
      <c r="V34" s="1"/>
      <c r="W34" s="1" t="e">
        <f t="shared" si="4"/>
        <v>#DIV/0!</v>
      </c>
      <c r="X34" s="1" t="e">
        <f t="shared" si="5"/>
        <v>#DIV/0!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4" t="s">
        <v>54</v>
      </c>
      <c r="AH34" s="1">
        <f t="shared" si="13"/>
        <v>21</v>
      </c>
      <c r="AI34" s="8">
        <v>6</v>
      </c>
      <c r="AJ34" s="10">
        <f t="shared" si="14"/>
        <v>14</v>
      </c>
      <c r="AK34" s="1">
        <f t="shared" si="15"/>
        <v>21</v>
      </c>
      <c r="AL34" s="1">
        <v>14</v>
      </c>
      <c r="AM34" s="1">
        <v>126</v>
      </c>
      <c r="AN34" s="10">
        <f t="shared" si="16"/>
        <v>0.1111111111111111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83</v>
      </c>
      <c r="B35" s="1" t="s">
        <v>45</v>
      </c>
      <c r="C35" s="1">
        <v>284</v>
      </c>
      <c r="D35" s="1">
        <v>1</v>
      </c>
      <c r="E35" s="1">
        <v>127</v>
      </c>
      <c r="F35" s="1">
        <v>157</v>
      </c>
      <c r="G35" s="8">
        <v>0.25</v>
      </c>
      <c r="H35" s="1">
        <v>180</v>
      </c>
      <c r="I35" s="1" t="s">
        <v>51</v>
      </c>
      <c r="J35" s="1"/>
      <c r="K35" s="1">
        <v>127</v>
      </c>
      <c r="L35" s="1">
        <f t="shared" si="2"/>
        <v>0</v>
      </c>
      <c r="M35" s="1"/>
      <c r="N35" s="1"/>
      <c r="O35" s="1"/>
      <c r="P35" s="1">
        <v>0</v>
      </c>
      <c r="Q35" s="1"/>
      <c r="R35" s="1">
        <f t="shared" si="3"/>
        <v>25.4</v>
      </c>
      <c r="S35" s="5">
        <f t="shared" si="17"/>
        <v>198.59999999999997</v>
      </c>
      <c r="T35" s="5">
        <f t="shared" si="12"/>
        <v>168</v>
      </c>
      <c r="U35" s="5"/>
      <c r="V35" s="1"/>
      <c r="W35" s="1">
        <f t="shared" si="4"/>
        <v>12.795275590551181</v>
      </c>
      <c r="X35" s="1">
        <f t="shared" si="5"/>
        <v>6.181102362204725</v>
      </c>
      <c r="Y35" s="1">
        <v>8.6666666666666661</v>
      </c>
      <c r="Z35" s="1">
        <v>13.4</v>
      </c>
      <c r="AA35" s="1">
        <v>22.6</v>
      </c>
      <c r="AB35" s="1">
        <v>10</v>
      </c>
      <c r="AC35" s="1">
        <v>20.399999999999999</v>
      </c>
      <c r="AD35" s="1">
        <v>21.6</v>
      </c>
      <c r="AE35" s="1">
        <v>23</v>
      </c>
      <c r="AF35" s="1">
        <v>15.4</v>
      </c>
      <c r="AG35" s="1" t="s">
        <v>63</v>
      </c>
      <c r="AH35" s="1">
        <f t="shared" si="13"/>
        <v>49.649999999999991</v>
      </c>
      <c r="AI35" s="8">
        <v>12</v>
      </c>
      <c r="AJ35" s="10">
        <f t="shared" si="14"/>
        <v>14</v>
      </c>
      <c r="AK35" s="1">
        <f t="shared" si="15"/>
        <v>42</v>
      </c>
      <c r="AL35" s="1">
        <v>14</v>
      </c>
      <c r="AM35" s="1">
        <v>70</v>
      </c>
      <c r="AN35" s="10">
        <f t="shared" si="16"/>
        <v>0.2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84</v>
      </c>
      <c r="B36" s="1" t="s">
        <v>45</v>
      </c>
      <c r="C36" s="1">
        <v>59</v>
      </c>
      <c r="D36" s="1">
        <v>96</v>
      </c>
      <c r="E36" s="1">
        <v>122</v>
      </c>
      <c r="F36" s="1">
        <v>33</v>
      </c>
      <c r="G36" s="8">
        <v>0.7</v>
      </c>
      <c r="H36" s="1">
        <v>180</v>
      </c>
      <c r="I36" s="1" t="s">
        <v>51</v>
      </c>
      <c r="J36" s="1"/>
      <c r="K36" s="1">
        <v>124</v>
      </c>
      <c r="L36" s="1">
        <f t="shared" si="2"/>
        <v>-2</v>
      </c>
      <c r="M36" s="1"/>
      <c r="N36" s="1"/>
      <c r="O36" s="1"/>
      <c r="P36" s="1">
        <v>0</v>
      </c>
      <c r="Q36" s="1"/>
      <c r="R36" s="1">
        <f t="shared" si="3"/>
        <v>24.4</v>
      </c>
      <c r="S36" s="5">
        <f>12*R36-Q36-P36-O36-F36</f>
        <v>259.79999999999995</v>
      </c>
      <c r="T36" s="5">
        <f t="shared" si="12"/>
        <v>288</v>
      </c>
      <c r="U36" s="5"/>
      <c r="V36" s="1"/>
      <c r="W36" s="1">
        <f t="shared" si="4"/>
        <v>13.155737704918034</v>
      </c>
      <c r="X36" s="1">
        <f t="shared" si="5"/>
        <v>1.3524590163934427</v>
      </c>
      <c r="Y36" s="1">
        <v>11.16666666666667</v>
      </c>
      <c r="Z36" s="1">
        <v>14.6</v>
      </c>
      <c r="AA36" s="1">
        <v>9</v>
      </c>
      <c r="AB36" s="1">
        <v>10.4</v>
      </c>
      <c r="AC36" s="1">
        <v>4.5999999999999996</v>
      </c>
      <c r="AD36" s="1">
        <v>17.600000000000001</v>
      </c>
      <c r="AE36" s="1">
        <v>8.1999999999999993</v>
      </c>
      <c r="AF36" s="1">
        <v>10.4</v>
      </c>
      <c r="AG36" s="1"/>
      <c r="AH36" s="1">
        <f t="shared" si="13"/>
        <v>181.85999999999996</v>
      </c>
      <c r="AI36" s="8">
        <v>8</v>
      </c>
      <c r="AJ36" s="10">
        <f t="shared" si="14"/>
        <v>36</v>
      </c>
      <c r="AK36" s="1">
        <f t="shared" si="15"/>
        <v>201.6</v>
      </c>
      <c r="AL36" s="1">
        <v>12</v>
      </c>
      <c r="AM36" s="1">
        <v>84</v>
      </c>
      <c r="AN36" s="10">
        <f t="shared" si="16"/>
        <v>0.42857142857142855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85</v>
      </c>
      <c r="B37" s="1" t="s">
        <v>45</v>
      </c>
      <c r="C37" s="1">
        <v>144</v>
      </c>
      <c r="D37" s="1"/>
      <c r="E37" s="1">
        <v>144</v>
      </c>
      <c r="F37" s="1"/>
      <c r="G37" s="8">
        <v>0.7</v>
      </c>
      <c r="H37" s="1">
        <v>180</v>
      </c>
      <c r="I37" s="1" t="s">
        <v>51</v>
      </c>
      <c r="J37" s="1"/>
      <c r="K37" s="1">
        <v>153</v>
      </c>
      <c r="L37" s="1">
        <f t="shared" si="2"/>
        <v>-9</v>
      </c>
      <c r="M37" s="1"/>
      <c r="N37" s="1"/>
      <c r="O37" s="1"/>
      <c r="P37" s="1">
        <v>96</v>
      </c>
      <c r="Q37" s="1"/>
      <c r="R37" s="1">
        <f t="shared" si="3"/>
        <v>28.8</v>
      </c>
      <c r="S37" s="5">
        <f t="shared" si="17"/>
        <v>307.2</v>
      </c>
      <c r="T37" s="5">
        <f t="shared" si="12"/>
        <v>288</v>
      </c>
      <c r="U37" s="5"/>
      <c r="V37" s="1"/>
      <c r="W37" s="1">
        <f t="shared" si="4"/>
        <v>13.333333333333332</v>
      </c>
      <c r="X37" s="1">
        <f t="shared" si="5"/>
        <v>3.333333333333333</v>
      </c>
      <c r="Y37" s="1">
        <v>13.16666666666667</v>
      </c>
      <c r="Z37" s="1">
        <v>16</v>
      </c>
      <c r="AA37" s="1">
        <v>19.399999999999999</v>
      </c>
      <c r="AB37" s="1">
        <v>9.1999999999999993</v>
      </c>
      <c r="AC37" s="1">
        <v>13.8</v>
      </c>
      <c r="AD37" s="1">
        <v>18</v>
      </c>
      <c r="AE37" s="1">
        <v>11.8</v>
      </c>
      <c r="AF37" s="1">
        <v>4.8</v>
      </c>
      <c r="AG37" s="1"/>
      <c r="AH37" s="1">
        <f t="shared" si="13"/>
        <v>215.04</v>
      </c>
      <c r="AI37" s="8">
        <v>8</v>
      </c>
      <c r="AJ37" s="10">
        <f t="shared" si="14"/>
        <v>36</v>
      </c>
      <c r="AK37" s="1">
        <f t="shared" si="15"/>
        <v>201.6</v>
      </c>
      <c r="AL37" s="1">
        <v>12</v>
      </c>
      <c r="AM37" s="1">
        <v>84</v>
      </c>
      <c r="AN37" s="10">
        <f t="shared" si="16"/>
        <v>0.42857142857142855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86</v>
      </c>
      <c r="B38" s="1" t="s">
        <v>45</v>
      </c>
      <c r="C38" s="1">
        <v>72</v>
      </c>
      <c r="D38" s="1"/>
      <c r="E38" s="1">
        <v>72</v>
      </c>
      <c r="F38" s="1"/>
      <c r="G38" s="8">
        <v>0.7</v>
      </c>
      <c r="H38" s="1">
        <v>180</v>
      </c>
      <c r="I38" s="1" t="s">
        <v>51</v>
      </c>
      <c r="J38" s="1"/>
      <c r="K38" s="1">
        <v>79</v>
      </c>
      <c r="L38" s="1">
        <f t="shared" ref="L38:L69" si="18">E38-K38</f>
        <v>-7</v>
      </c>
      <c r="M38" s="1"/>
      <c r="N38" s="1"/>
      <c r="O38" s="1"/>
      <c r="P38" s="1">
        <v>192</v>
      </c>
      <c r="Q38" s="1"/>
      <c r="R38" s="1">
        <f t="shared" ref="R38:R72" si="19">E38/5</f>
        <v>14.4</v>
      </c>
      <c r="S38" s="5"/>
      <c r="T38" s="5">
        <f t="shared" si="12"/>
        <v>0</v>
      </c>
      <c r="U38" s="5"/>
      <c r="V38" s="1"/>
      <c r="W38" s="1">
        <f t="shared" ref="W38:W72" si="20">(F38+O38+P38+Q38+T38)/R38</f>
        <v>13.333333333333332</v>
      </c>
      <c r="X38" s="1">
        <f t="shared" ref="X38:X72" si="21">(F38+O38+P38+Q38)/R38</f>
        <v>13.333333333333332</v>
      </c>
      <c r="Y38" s="1">
        <v>16.666666666666671</v>
      </c>
      <c r="Z38" s="1">
        <v>12.2</v>
      </c>
      <c r="AA38" s="1">
        <v>4.8</v>
      </c>
      <c r="AB38" s="1">
        <v>13.8</v>
      </c>
      <c r="AC38" s="1">
        <v>12.2</v>
      </c>
      <c r="AD38" s="1">
        <v>12.8</v>
      </c>
      <c r="AE38" s="1">
        <v>14.4</v>
      </c>
      <c r="AF38" s="1">
        <v>8.4</v>
      </c>
      <c r="AG38" s="1"/>
      <c r="AH38" s="1">
        <f t="shared" si="13"/>
        <v>0</v>
      </c>
      <c r="AI38" s="8">
        <v>8</v>
      </c>
      <c r="AJ38" s="10">
        <f t="shared" si="14"/>
        <v>0</v>
      </c>
      <c r="AK38" s="1">
        <f t="shared" si="15"/>
        <v>0</v>
      </c>
      <c r="AL38" s="1">
        <v>12</v>
      </c>
      <c r="AM38" s="1">
        <v>84</v>
      </c>
      <c r="AN38" s="10">
        <f t="shared" si="16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87</v>
      </c>
      <c r="B39" s="1" t="s">
        <v>45</v>
      </c>
      <c r="C39" s="1">
        <v>558</v>
      </c>
      <c r="D39" s="1">
        <v>1</v>
      </c>
      <c r="E39" s="1">
        <v>212</v>
      </c>
      <c r="F39" s="1">
        <v>334</v>
      </c>
      <c r="G39" s="8">
        <v>0.7</v>
      </c>
      <c r="H39" s="1">
        <v>180</v>
      </c>
      <c r="I39" s="1" t="s">
        <v>51</v>
      </c>
      <c r="J39" s="1"/>
      <c r="K39" s="1">
        <v>212</v>
      </c>
      <c r="L39" s="1">
        <f t="shared" si="18"/>
        <v>0</v>
      </c>
      <c r="M39" s="1"/>
      <c r="N39" s="1"/>
      <c r="O39" s="1"/>
      <c r="P39" s="1">
        <v>0</v>
      </c>
      <c r="Q39" s="1"/>
      <c r="R39" s="1">
        <f t="shared" si="19"/>
        <v>42.4</v>
      </c>
      <c r="S39" s="5">
        <f t="shared" si="17"/>
        <v>259.60000000000002</v>
      </c>
      <c r="T39" s="5">
        <f t="shared" si="12"/>
        <v>240</v>
      </c>
      <c r="U39" s="5"/>
      <c r="V39" s="1"/>
      <c r="W39" s="1">
        <f t="shared" si="20"/>
        <v>13.537735849056604</v>
      </c>
      <c r="X39" s="1">
        <f t="shared" si="21"/>
        <v>7.8773584905660377</v>
      </c>
      <c r="Y39" s="1">
        <v>30.166666666666671</v>
      </c>
      <c r="Z39" s="1">
        <v>22.6</v>
      </c>
      <c r="AA39" s="1">
        <v>51</v>
      </c>
      <c r="AB39" s="1">
        <v>19.399999999999999</v>
      </c>
      <c r="AC39" s="1">
        <v>37.200000000000003</v>
      </c>
      <c r="AD39" s="1">
        <v>30.8</v>
      </c>
      <c r="AE39" s="1">
        <v>21.2</v>
      </c>
      <c r="AF39" s="1">
        <v>30.8</v>
      </c>
      <c r="AG39" s="1"/>
      <c r="AH39" s="1">
        <f t="shared" si="13"/>
        <v>181.72</v>
      </c>
      <c r="AI39" s="8">
        <v>10</v>
      </c>
      <c r="AJ39" s="10">
        <f t="shared" si="14"/>
        <v>24</v>
      </c>
      <c r="AK39" s="1">
        <f t="shared" si="15"/>
        <v>168</v>
      </c>
      <c r="AL39" s="1">
        <v>12</v>
      </c>
      <c r="AM39" s="1">
        <v>84</v>
      </c>
      <c r="AN39" s="10">
        <f t="shared" si="16"/>
        <v>0.2857142857142857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88</v>
      </c>
      <c r="B40" s="1" t="s">
        <v>45</v>
      </c>
      <c r="C40" s="1"/>
      <c r="D40" s="1"/>
      <c r="E40" s="1"/>
      <c r="F40" s="1"/>
      <c r="G40" s="8">
        <v>0.4</v>
      </c>
      <c r="H40" s="1">
        <v>180</v>
      </c>
      <c r="I40" s="1" t="s">
        <v>51</v>
      </c>
      <c r="J40" s="1"/>
      <c r="K40" s="1"/>
      <c r="L40" s="1">
        <f t="shared" si="18"/>
        <v>0</v>
      </c>
      <c r="M40" s="1"/>
      <c r="N40" s="1"/>
      <c r="O40" s="1"/>
      <c r="P40" s="14"/>
      <c r="Q40" s="1"/>
      <c r="R40" s="1">
        <f t="shared" si="19"/>
        <v>0</v>
      </c>
      <c r="S40" s="19">
        <v>192</v>
      </c>
      <c r="T40" s="5">
        <f t="shared" si="12"/>
        <v>192</v>
      </c>
      <c r="U40" s="5"/>
      <c r="V40" s="1"/>
      <c r="W40" s="1" t="e">
        <f t="shared" si="20"/>
        <v>#DIV/0!</v>
      </c>
      <c r="X40" s="1" t="e">
        <f t="shared" si="21"/>
        <v>#DIV/0!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-6</v>
      </c>
      <c r="AF40" s="1">
        <v>0</v>
      </c>
      <c r="AG40" s="14" t="s">
        <v>54</v>
      </c>
      <c r="AH40" s="1">
        <f t="shared" si="13"/>
        <v>76.800000000000011</v>
      </c>
      <c r="AI40" s="8">
        <v>16</v>
      </c>
      <c r="AJ40" s="10">
        <f t="shared" si="14"/>
        <v>12</v>
      </c>
      <c r="AK40" s="1">
        <f t="shared" si="15"/>
        <v>76.800000000000011</v>
      </c>
      <c r="AL40" s="1">
        <v>12</v>
      </c>
      <c r="AM40" s="1">
        <v>84</v>
      </c>
      <c r="AN40" s="10">
        <f t="shared" si="16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89</v>
      </c>
      <c r="B41" s="1" t="s">
        <v>45</v>
      </c>
      <c r="C41" s="1">
        <v>355</v>
      </c>
      <c r="D41" s="1">
        <v>11</v>
      </c>
      <c r="E41" s="1">
        <v>210</v>
      </c>
      <c r="F41" s="1">
        <v>151</v>
      </c>
      <c r="G41" s="8">
        <v>0.7</v>
      </c>
      <c r="H41" s="1">
        <v>180</v>
      </c>
      <c r="I41" s="1" t="s">
        <v>51</v>
      </c>
      <c r="J41" s="1"/>
      <c r="K41" s="1">
        <v>210</v>
      </c>
      <c r="L41" s="1">
        <f t="shared" si="18"/>
        <v>0</v>
      </c>
      <c r="M41" s="1"/>
      <c r="N41" s="1"/>
      <c r="O41" s="1"/>
      <c r="P41" s="1">
        <v>120</v>
      </c>
      <c r="Q41" s="1"/>
      <c r="R41" s="1">
        <f t="shared" si="19"/>
        <v>42</v>
      </c>
      <c r="S41" s="5">
        <f t="shared" si="17"/>
        <v>317</v>
      </c>
      <c r="T41" s="5">
        <f t="shared" si="12"/>
        <v>360</v>
      </c>
      <c r="U41" s="5"/>
      <c r="V41" s="1"/>
      <c r="W41" s="1">
        <f t="shared" si="20"/>
        <v>15.023809523809524</v>
      </c>
      <c r="X41" s="1">
        <f t="shared" si="21"/>
        <v>6.4523809523809526</v>
      </c>
      <c r="Y41" s="1">
        <v>32.166666666666657</v>
      </c>
      <c r="Z41" s="1">
        <v>35.200000000000003</v>
      </c>
      <c r="AA41" s="1">
        <v>36.4</v>
      </c>
      <c r="AB41" s="1">
        <v>23</v>
      </c>
      <c r="AC41" s="1">
        <v>36.4</v>
      </c>
      <c r="AD41" s="1">
        <v>35.6</v>
      </c>
      <c r="AE41" s="1">
        <v>25.2</v>
      </c>
      <c r="AF41" s="1">
        <v>30.4</v>
      </c>
      <c r="AG41" s="1"/>
      <c r="AH41" s="1">
        <f t="shared" si="13"/>
        <v>221.89999999999998</v>
      </c>
      <c r="AI41" s="8">
        <v>10</v>
      </c>
      <c r="AJ41" s="10">
        <f t="shared" si="14"/>
        <v>36</v>
      </c>
      <c r="AK41" s="1">
        <f t="shared" si="15"/>
        <v>251.99999999999997</v>
      </c>
      <c r="AL41" s="1">
        <v>12</v>
      </c>
      <c r="AM41" s="1">
        <v>84</v>
      </c>
      <c r="AN41" s="10">
        <f t="shared" si="16"/>
        <v>0.42857142857142855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90</v>
      </c>
      <c r="B42" s="1" t="s">
        <v>45</v>
      </c>
      <c r="C42" s="1">
        <v>406</v>
      </c>
      <c r="D42" s="1">
        <v>172</v>
      </c>
      <c r="E42" s="1">
        <v>306</v>
      </c>
      <c r="F42" s="1">
        <v>228</v>
      </c>
      <c r="G42" s="8">
        <v>0.7</v>
      </c>
      <c r="H42" s="1">
        <v>180</v>
      </c>
      <c r="I42" s="1" t="s">
        <v>51</v>
      </c>
      <c r="J42" s="1"/>
      <c r="K42" s="1">
        <v>306</v>
      </c>
      <c r="L42" s="1">
        <f t="shared" si="18"/>
        <v>0</v>
      </c>
      <c r="M42" s="1"/>
      <c r="N42" s="1"/>
      <c r="O42" s="1"/>
      <c r="P42" s="1">
        <v>240</v>
      </c>
      <c r="Q42" s="1"/>
      <c r="R42" s="1">
        <f t="shared" si="19"/>
        <v>61.2</v>
      </c>
      <c r="S42" s="5">
        <f t="shared" si="17"/>
        <v>388.80000000000007</v>
      </c>
      <c r="T42" s="5">
        <f t="shared" si="12"/>
        <v>360</v>
      </c>
      <c r="U42" s="5"/>
      <c r="V42" s="1"/>
      <c r="W42" s="1">
        <f t="shared" si="20"/>
        <v>13.529411764705882</v>
      </c>
      <c r="X42" s="1">
        <f t="shared" si="21"/>
        <v>7.6470588235294112</v>
      </c>
      <c r="Y42" s="1">
        <v>53.833333333333343</v>
      </c>
      <c r="Z42" s="1">
        <v>60.8</v>
      </c>
      <c r="AA42" s="1">
        <v>57.8</v>
      </c>
      <c r="AB42" s="1">
        <v>42.6</v>
      </c>
      <c r="AC42" s="1">
        <v>72.599999999999994</v>
      </c>
      <c r="AD42" s="1">
        <v>47.2</v>
      </c>
      <c r="AE42" s="1">
        <v>52.6</v>
      </c>
      <c r="AF42" s="1">
        <v>53.2</v>
      </c>
      <c r="AG42" s="1"/>
      <c r="AH42" s="1">
        <f t="shared" si="13"/>
        <v>272.16000000000003</v>
      </c>
      <c r="AI42" s="8">
        <v>10</v>
      </c>
      <c r="AJ42" s="10">
        <f t="shared" si="14"/>
        <v>36</v>
      </c>
      <c r="AK42" s="1">
        <f t="shared" si="15"/>
        <v>251.99999999999997</v>
      </c>
      <c r="AL42" s="1">
        <v>12</v>
      </c>
      <c r="AM42" s="1">
        <v>84</v>
      </c>
      <c r="AN42" s="10">
        <f t="shared" si="16"/>
        <v>0.42857142857142855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45</v>
      </c>
      <c r="C43" s="1">
        <v>65</v>
      </c>
      <c r="D43" s="1">
        <v>149</v>
      </c>
      <c r="E43" s="1">
        <v>72</v>
      </c>
      <c r="F43" s="1">
        <v>113</v>
      </c>
      <c r="G43" s="8">
        <v>0.7</v>
      </c>
      <c r="H43" s="1">
        <v>180</v>
      </c>
      <c r="I43" s="1" t="s">
        <v>51</v>
      </c>
      <c r="J43" s="1"/>
      <c r="K43" s="1">
        <v>72</v>
      </c>
      <c r="L43" s="1">
        <f t="shared" si="18"/>
        <v>0</v>
      </c>
      <c r="M43" s="1"/>
      <c r="N43" s="1"/>
      <c r="O43" s="1"/>
      <c r="P43" s="1">
        <v>0</v>
      </c>
      <c r="Q43" s="1"/>
      <c r="R43" s="1">
        <f t="shared" si="19"/>
        <v>14.4</v>
      </c>
      <c r="S43" s="5">
        <f t="shared" si="17"/>
        <v>88.6</v>
      </c>
      <c r="T43" s="5">
        <f t="shared" si="12"/>
        <v>120</v>
      </c>
      <c r="U43" s="5"/>
      <c r="V43" s="1"/>
      <c r="W43" s="1">
        <f t="shared" si="20"/>
        <v>16.180555555555554</v>
      </c>
      <c r="X43" s="1">
        <f t="shared" si="21"/>
        <v>7.8472222222222223</v>
      </c>
      <c r="Y43" s="1">
        <v>8.5</v>
      </c>
      <c r="Z43" s="1">
        <v>17.2</v>
      </c>
      <c r="AA43" s="1">
        <v>7</v>
      </c>
      <c r="AB43" s="1">
        <v>9.1999999999999993</v>
      </c>
      <c r="AC43" s="1">
        <v>13.2</v>
      </c>
      <c r="AD43" s="1">
        <v>9</v>
      </c>
      <c r="AE43" s="1">
        <v>10.4</v>
      </c>
      <c r="AF43" s="1">
        <v>9</v>
      </c>
      <c r="AG43" s="1"/>
      <c r="AH43" s="1">
        <f t="shared" si="13"/>
        <v>62.019999999999989</v>
      </c>
      <c r="AI43" s="8">
        <v>10</v>
      </c>
      <c r="AJ43" s="10">
        <f t="shared" si="14"/>
        <v>12</v>
      </c>
      <c r="AK43" s="1">
        <f t="shared" si="15"/>
        <v>84</v>
      </c>
      <c r="AL43" s="1">
        <v>12</v>
      </c>
      <c r="AM43" s="1">
        <v>84</v>
      </c>
      <c r="AN43" s="10">
        <f t="shared" si="16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53</v>
      </c>
      <c r="C44" s="1">
        <v>405</v>
      </c>
      <c r="D44" s="1">
        <v>240</v>
      </c>
      <c r="E44" s="1">
        <v>385</v>
      </c>
      <c r="F44" s="1">
        <v>255</v>
      </c>
      <c r="G44" s="8">
        <v>1</v>
      </c>
      <c r="H44" s="1">
        <v>180</v>
      </c>
      <c r="I44" s="1" t="s">
        <v>51</v>
      </c>
      <c r="J44" s="1"/>
      <c r="K44" s="1">
        <v>380</v>
      </c>
      <c r="L44" s="1">
        <f t="shared" si="18"/>
        <v>5</v>
      </c>
      <c r="M44" s="1"/>
      <c r="N44" s="1"/>
      <c r="O44" s="1"/>
      <c r="P44" s="1">
        <v>540</v>
      </c>
      <c r="Q44" s="1"/>
      <c r="R44" s="1">
        <f t="shared" si="19"/>
        <v>77</v>
      </c>
      <c r="S44" s="5">
        <f t="shared" si="17"/>
        <v>283</v>
      </c>
      <c r="T44" s="5">
        <f t="shared" si="12"/>
        <v>300</v>
      </c>
      <c r="U44" s="5"/>
      <c r="V44" s="1"/>
      <c r="W44" s="1">
        <f t="shared" si="20"/>
        <v>14.220779220779221</v>
      </c>
      <c r="X44" s="1">
        <f t="shared" si="21"/>
        <v>10.324675324675324</v>
      </c>
      <c r="Y44" s="1">
        <v>74.166666666666671</v>
      </c>
      <c r="Z44" s="1">
        <v>69</v>
      </c>
      <c r="AA44" s="1">
        <v>60</v>
      </c>
      <c r="AB44" s="1">
        <v>58</v>
      </c>
      <c r="AC44" s="1">
        <v>63</v>
      </c>
      <c r="AD44" s="1">
        <v>65</v>
      </c>
      <c r="AE44" s="1">
        <v>67</v>
      </c>
      <c r="AF44" s="1">
        <v>69</v>
      </c>
      <c r="AG44" s="1"/>
      <c r="AH44" s="1">
        <f t="shared" si="13"/>
        <v>283</v>
      </c>
      <c r="AI44" s="8">
        <v>5</v>
      </c>
      <c r="AJ44" s="10">
        <f t="shared" si="14"/>
        <v>60</v>
      </c>
      <c r="AK44" s="1">
        <f t="shared" si="15"/>
        <v>300</v>
      </c>
      <c r="AL44" s="1">
        <v>12</v>
      </c>
      <c r="AM44" s="1">
        <v>144</v>
      </c>
      <c r="AN44" s="10">
        <f t="shared" si="16"/>
        <v>0.41666666666666669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45</v>
      </c>
      <c r="C45" s="1">
        <v>40</v>
      </c>
      <c r="D45" s="1">
        <v>400</v>
      </c>
      <c r="E45" s="1">
        <v>138</v>
      </c>
      <c r="F45" s="1">
        <v>289</v>
      </c>
      <c r="G45" s="8">
        <v>0.4</v>
      </c>
      <c r="H45" s="1">
        <v>180</v>
      </c>
      <c r="I45" s="1" t="s">
        <v>51</v>
      </c>
      <c r="J45" s="1"/>
      <c r="K45" s="1">
        <v>141</v>
      </c>
      <c r="L45" s="1">
        <f t="shared" si="18"/>
        <v>-3</v>
      </c>
      <c r="M45" s="1"/>
      <c r="N45" s="1"/>
      <c r="O45" s="1"/>
      <c r="P45" s="1">
        <v>192</v>
      </c>
      <c r="Q45" s="1"/>
      <c r="R45" s="1">
        <f t="shared" si="19"/>
        <v>27.6</v>
      </c>
      <c r="S45" s="5"/>
      <c r="T45" s="5">
        <f t="shared" si="12"/>
        <v>0</v>
      </c>
      <c r="U45" s="5"/>
      <c r="V45" s="1"/>
      <c r="W45" s="1">
        <f t="shared" si="20"/>
        <v>17.427536231884059</v>
      </c>
      <c r="X45" s="1">
        <f t="shared" si="21"/>
        <v>17.427536231884059</v>
      </c>
      <c r="Y45" s="1">
        <v>41.666666666666657</v>
      </c>
      <c r="Z45" s="1">
        <v>44</v>
      </c>
      <c r="AA45" s="1">
        <v>24.2</v>
      </c>
      <c r="AB45" s="1">
        <v>21.2</v>
      </c>
      <c r="AC45" s="1">
        <v>43.4</v>
      </c>
      <c r="AD45" s="1">
        <v>28</v>
      </c>
      <c r="AE45" s="1">
        <v>11.6</v>
      </c>
      <c r="AF45" s="1">
        <v>39.6</v>
      </c>
      <c r="AG45" s="1"/>
      <c r="AH45" s="1">
        <f t="shared" si="13"/>
        <v>0</v>
      </c>
      <c r="AI45" s="8">
        <v>16</v>
      </c>
      <c r="AJ45" s="10">
        <f t="shared" si="14"/>
        <v>0</v>
      </c>
      <c r="AK45" s="1">
        <f t="shared" si="15"/>
        <v>0</v>
      </c>
      <c r="AL45" s="1">
        <v>12</v>
      </c>
      <c r="AM45" s="1">
        <v>84</v>
      </c>
      <c r="AN45" s="10">
        <f t="shared" si="16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45</v>
      </c>
      <c r="C46" s="1">
        <v>1016</v>
      </c>
      <c r="D46" s="1">
        <v>32</v>
      </c>
      <c r="E46" s="1">
        <v>433</v>
      </c>
      <c r="F46" s="1">
        <v>581</v>
      </c>
      <c r="G46" s="8">
        <v>0.7</v>
      </c>
      <c r="H46" s="1">
        <v>180</v>
      </c>
      <c r="I46" s="1" t="s">
        <v>51</v>
      </c>
      <c r="J46" s="1"/>
      <c r="K46" s="1">
        <v>431</v>
      </c>
      <c r="L46" s="1">
        <f t="shared" si="18"/>
        <v>2</v>
      </c>
      <c r="M46" s="1"/>
      <c r="N46" s="1"/>
      <c r="O46" s="1"/>
      <c r="P46" s="1">
        <v>120</v>
      </c>
      <c r="Q46" s="1"/>
      <c r="R46" s="1">
        <f t="shared" si="19"/>
        <v>86.6</v>
      </c>
      <c r="S46" s="5">
        <f t="shared" si="17"/>
        <v>511.39999999999986</v>
      </c>
      <c r="T46" s="5">
        <f t="shared" si="12"/>
        <v>480</v>
      </c>
      <c r="U46" s="5"/>
      <c r="V46" s="1"/>
      <c r="W46" s="1">
        <f t="shared" si="20"/>
        <v>13.63741339491917</v>
      </c>
      <c r="X46" s="1">
        <f t="shared" si="21"/>
        <v>8.0946882217090081</v>
      </c>
      <c r="Y46" s="1">
        <v>81.833333333333329</v>
      </c>
      <c r="Z46" s="1">
        <v>81</v>
      </c>
      <c r="AA46" s="1">
        <v>95.4</v>
      </c>
      <c r="AB46" s="1">
        <v>58.2</v>
      </c>
      <c r="AC46" s="1">
        <v>123.4</v>
      </c>
      <c r="AD46" s="1">
        <v>93.4</v>
      </c>
      <c r="AE46" s="1">
        <v>98.6</v>
      </c>
      <c r="AF46" s="1">
        <v>95.4</v>
      </c>
      <c r="AG46" s="1" t="s">
        <v>95</v>
      </c>
      <c r="AH46" s="1">
        <f t="shared" si="13"/>
        <v>357.9799999999999</v>
      </c>
      <c r="AI46" s="8">
        <v>10</v>
      </c>
      <c r="AJ46" s="10">
        <f t="shared" si="14"/>
        <v>48</v>
      </c>
      <c r="AK46" s="1">
        <f t="shared" si="15"/>
        <v>336</v>
      </c>
      <c r="AL46" s="1">
        <v>12</v>
      </c>
      <c r="AM46" s="1">
        <v>84</v>
      </c>
      <c r="AN46" s="10">
        <f t="shared" si="16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45</v>
      </c>
      <c r="C47" s="1"/>
      <c r="D47" s="1">
        <v>769</v>
      </c>
      <c r="E47" s="1">
        <v>111</v>
      </c>
      <c r="F47" s="1">
        <v>657</v>
      </c>
      <c r="G47" s="8">
        <v>0.4</v>
      </c>
      <c r="H47" s="1">
        <v>180</v>
      </c>
      <c r="I47" s="1" t="s">
        <v>51</v>
      </c>
      <c r="J47" s="1"/>
      <c r="K47" s="1">
        <v>112</v>
      </c>
      <c r="L47" s="1">
        <f t="shared" si="18"/>
        <v>-1</v>
      </c>
      <c r="M47" s="1"/>
      <c r="N47" s="1"/>
      <c r="O47" s="1"/>
      <c r="P47" s="1">
        <v>0</v>
      </c>
      <c r="Q47" s="1"/>
      <c r="R47" s="1">
        <f t="shared" si="19"/>
        <v>22.2</v>
      </c>
      <c r="S47" s="5"/>
      <c r="T47" s="5">
        <f t="shared" si="12"/>
        <v>0</v>
      </c>
      <c r="U47" s="5"/>
      <c r="V47" s="1"/>
      <c r="W47" s="1">
        <f t="shared" si="20"/>
        <v>29.594594594594597</v>
      </c>
      <c r="X47" s="1">
        <f t="shared" si="21"/>
        <v>29.594594594594597</v>
      </c>
      <c r="Y47" s="1">
        <v>0</v>
      </c>
      <c r="Z47" s="1">
        <v>52.6</v>
      </c>
      <c r="AA47" s="1">
        <v>14.2</v>
      </c>
      <c r="AB47" s="1">
        <v>19</v>
      </c>
      <c r="AC47" s="1">
        <v>34.200000000000003</v>
      </c>
      <c r="AD47" s="1">
        <v>27.6</v>
      </c>
      <c r="AE47" s="1">
        <v>30.2</v>
      </c>
      <c r="AF47" s="1">
        <v>39.4</v>
      </c>
      <c r="AG47" s="1"/>
      <c r="AH47" s="1">
        <f t="shared" si="13"/>
        <v>0</v>
      </c>
      <c r="AI47" s="8">
        <v>16</v>
      </c>
      <c r="AJ47" s="10">
        <f t="shared" si="14"/>
        <v>0</v>
      </c>
      <c r="AK47" s="1">
        <f t="shared" si="15"/>
        <v>0</v>
      </c>
      <c r="AL47" s="1">
        <v>12</v>
      </c>
      <c r="AM47" s="1">
        <v>84</v>
      </c>
      <c r="AN47" s="10">
        <f t="shared" si="16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49</v>
      </c>
      <c r="B48" s="1" t="s">
        <v>45</v>
      </c>
      <c r="C48" s="1">
        <v>1583</v>
      </c>
      <c r="D48" s="1">
        <v>25</v>
      </c>
      <c r="E48" s="21">
        <f>917+E7</f>
        <v>963</v>
      </c>
      <c r="F48" s="21">
        <f>595+F7</f>
        <v>576</v>
      </c>
      <c r="G48" s="8">
        <v>0.7</v>
      </c>
      <c r="H48" s="1">
        <v>180</v>
      </c>
      <c r="I48" s="1" t="s">
        <v>51</v>
      </c>
      <c r="J48" s="1"/>
      <c r="K48" s="1">
        <v>922</v>
      </c>
      <c r="L48" s="1">
        <f t="shared" si="18"/>
        <v>41</v>
      </c>
      <c r="M48" s="1"/>
      <c r="N48" s="1"/>
      <c r="O48" s="1"/>
      <c r="P48" s="1">
        <v>0</v>
      </c>
      <c r="Q48" s="1">
        <v>720</v>
      </c>
      <c r="R48" s="1">
        <f t="shared" si="19"/>
        <v>192.6</v>
      </c>
      <c r="S48" s="5">
        <f t="shared" si="17"/>
        <v>1400.4</v>
      </c>
      <c r="T48" s="5">
        <f t="shared" si="12"/>
        <v>1440</v>
      </c>
      <c r="U48" s="5"/>
      <c r="V48" s="1"/>
      <c r="W48" s="1">
        <f t="shared" si="20"/>
        <v>14.205607476635514</v>
      </c>
      <c r="X48" s="1">
        <f t="shared" si="21"/>
        <v>6.7289719626168223</v>
      </c>
      <c r="Y48" s="1">
        <v>161.16666666666671</v>
      </c>
      <c r="Z48" s="1">
        <v>157.19999999999999</v>
      </c>
      <c r="AA48" s="1">
        <v>167</v>
      </c>
      <c r="AB48" s="1">
        <v>109.6</v>
      </c>
      <c r="AC48" s="1">
        <v>166</v>
      </c>
      <c r="AD48" s="1">
        <v>172.8</v>
      </c>
      <c r="AE48" s="1">
        <v>158.80000000000001</v>
      </c>
      <c r="AF48" s="1">
        <v>175.6</v>
      </c>
      <c r="AG48" s="1" t="s">
        <v>63</v>
      </c>
      <c r="AH48" s="1">
        <f t="shared" si="13"/>
        <v>980.28</v>
      </c>
      <c r="AI48" s="8">
        <v>10</v>
      </c>
      <c r="AJ48" s="10">
        <f t="shared" si="14"/>
        <v>144</v>
      </c>
      <c r="AK48" s="1">
        <f t="shared" si="15"/>
        <v>1007.9999999999999</v>
      </c>
      <c r="AL48" s="1">
        <v>12</v>
      </c>
      <c r="AM48" s="1">
        <v>84</v>
      </c>
      <c r="AN48" s="10">
        <f t="shared" si="16"/>
        <v>1.7142857142857142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45</v>
      </c>
      <c r="C49" s="1">
        <v>899</v>
      </c>
      <c r="D49" s="1">
        <v>21</v>
      </c>
      <c r="E49" s="1">
        <v>437</v>
      </c>
      <c r="F49" s="1">
        <v>461</v>
      </c>
      <c r="G49" s="8">
        <v>0.7</v>
      </c>
      <c r="H49" s="1">
        <v>180</v>
      </c>
      <c r="I49" s="1" t="s">
        <v>51</v>
      </c>
      <c r="J49" s="1"/>
      <c r="K49" s="1">
        <v>437</v>
      </c>
      <c r="L49" s="1">
        <f t="shared" si="18"/>
        <v>0</v>
      </c>
      <c r="M49" s="1"/>
      <c r="N49" s="1"/>
      <c r="O49" s="1"/>
      <c r="P49" s="1">
        <v>120</v>
      </c>
      <c r="Q49" s="1"/>
      <c r="R49" s="1">
        <f t="shared" si="19"/>
        <v>87.4</v>
      </c>
      <c r="S49" s="5">
        <f t="shared" si="17"/>
        <v>642.60000000000014</v>
      </c>
      <c r="T49" s="5">
        <f t="shared" si="12"/>
        <v>600</v>
      </c>
      <c r="U49" s="5"/>
      <c r="V49" s="1"/>
      <c r="W49" s="1">
        <f t="shared" si="20"/>
        <v>13.512585812356978</v>
      </c>
      <c r="X49" s="1">
        <f t="shared" si="21"/>
        <v>6.6475972540045758</v>
      </c>
      <c r="Y49" s="1">
        <v>71.833333333333329</v>
      </c>
      <c r="Z49" s="1">
        <v>61.4</v>
      </c>
      <c r="AA49" s="1">
        <v>80.2</v>
      </c>
      <c r="AB49" s="1">
        <v>70.400000000000006</v>
      </c>
      <c r="AC49" s="1">
        <v>66.8</v>
      </c>
      <c r="AD49" s="1">
        <v>58.2</v>
      </c>
      <c r="AE49" s="1">
        <v>49.6</v>
      </c>
      <c r="AF49" s="1">
        <v>73.400000000000006</v>
      </c>
      <c r="AG49" s="1"/>
      <c r="AH49" s="1">
        <f t="shared" si="13"/>
        <v>449.82000000000005</v>
      </c>
      <c r="AI49" s="8">
        <v>10</v>
      </c>
      <c r="AJ49" s="10">
        <f t="shared" si="14"/>
        <v>60</v>
      </c>
      <c r="AK49" s="1">
        <f t="shared" si="15"/>
        <v>420</v>
      </c>
      <c r="AL49" s="1">
        <v>12</v>
      </c>
      <c r="AM49" s="1">
        <v>84</v>
      </c>
      <c r="AN49" s="10">
        <f t="shared" si="16"/>
        <v>0.7142857142857143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45</v>
      </c>
      <c r="C50" s="1"/>
      <c r="D50" s="1"/>
      <c r="E50" s="1"/>
      <c r="F50" s="1"/>
      <c r="G50" s="8">
        <v>1</v>
      </c>
      <c r="H50" s="1">
        <v>180</v>
      </c>
      <c r="I50" s="1" t="s">
        <v>99</v>
      </c>
      <c r="J50" s="1"/>
      <c r="K50" s="1"/>
      <c r="L50" s="1">
        <f t="shared" si="18"/>
        <v>0</v>
      </c>
      <c r="M50" s="1"/>
      <c r="N50" s="1"/>
      <c r="O50" s="1"/>
      <c r="P50" s="14"/>
      <c r="Q50" s="1"/>
      <c r="R50" s="1">
        <f t="shared" si="19"/>
        <v>0</v>
      </c>
      <c r="S50" s="19">
        <v>72</v>
      </c>
      <c r="T50" s="5">
        <f t="shared" si="12"/>
        <v>72</v>
      </c>
      <c r="U50" s="5"/>
      <c r="V50" s="1"/>
      <c r="W50" s="1" t="e">
        <f t="shared" si="20"/>
        <v>#DIV/0!</v>
      </c>
      <c r="X50" s="1" t="e">
        <f t="shared" si="21"/>
        <v>#DIV/0!</v>
      </c>
      <c r="Y50" s="1">
        <v>0</v>
      </c>
      <c r="Z50" s="1">
        <v>1</v>
      </c>
      <c r="AA50" s="1">
        <v>7.8</v>
      </c>
      <c r="AB50" s="1">
        <v>4.2</v>
      </c>
      <c r="AC50" s="1">
        <v>7.6</v>
      </c>
      <c r="AD50" s="1">
        <v>2.8</v>
      </c>
      <c r="AE50" s="1">
        <v>3.6</v>
      </c>
      <c r="AF50" s="1">
        <v>8</v>
      </c>
      <c r="AG50" s="14" t="s">
        <v>54</v>
      </c>
      <c r="AH50" s="1">
        <f t="shared" si="13"/>
        <v>72</v>
      </c>
      <c r="AI50" s="8">
        <v>6</v>
      </c>
      <c r="AJ50" s="10">
        <f t="shared" si="14"/>
        <v>12</v>
      </c>
      <c r="AK50" s="1">
        <f t="shared" si="15"/>
        <v>72</v>
      </c>
      <c r="AL50" s="1">
        <v>12</v>
      </c>
      <c r="AM50" s="1">
        <v>84</v>
      </c>
      <c r="AN50" s="10">
        <f t="shared" si="16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100</v>
      </c>
      <c r="B51" s="1" t="s">
        <v>45</v>
      </c>
      <c r="C51" s="1"/>
      <c r="D51" s="1"/>
      <c r="E51" s="1"/>
      <c r="F51" s="1"/>
      <c r="G51" s="8">
        <v>0.7</v>
      </c>
      <c r="H51" s="1">
        <v>180</v>
      </c>
      <c r="I51" s="1" t="s">
        <v>51</v>
      </c>
      <c r="J51" s="1"/>
      <c r="K51" s="1"/>
      <c r="L51" s="1">
        <f t="shared" si="18"/>
        <v>0</v>
      </c>
      <c r="M51" s="1"/>
      <c r="N51" s="1"/>
      <c r="O51" s="1"/>
      <c r="P51" s="14"/>
      <c r="Q51" s="1"/>
      <c r="R51" s="1">
        <f t="shared" si="19"/>
        <v>0</v>
      </c>
      <c r="S51" s="19">
        <v>96</v>
      </c>
      <c r="T51" s="5">
        <f t="shared" si="12"/>
        <v>96</v>
      </c>
      <c r="U51" s="5"/>
      <c r="V51" s="1"/>
      <c r="W51" s="1" t="e">
        <f t="shared" si="20"/>
        <v>#DIV/0!</v>
      </c>
      <c r="X51" s="1" t="e">
        <f t="shared" si="21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4" t="s">
        <v>54</v>
      </c>
      <c r="AH51" s="1">
        <f t="shared" si="13"/>
        <v>67.199999999999989</v>
      </c>
      <c r="AI51" s="8">
        <v>8</v>
      </c>
      <c r="AJ51" s="10">
        <f t="shared" si="14"/>
        <v>12</v>
      </c>
      <c r="AK51" s="1">
        <f t="shared" si="15"/>
        <v>67.199999999999989</v>
      </c>
      <c r="AL51" s="1">
        <v>12</v>
      </c>
      <c r="AM51" s="1">
        <v>84</v>
      </c>
      <c r="AN51" s="10">
        <f t="shared" si="16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101</v>
      </c>
      <c r="B52" s="1" t="s">
        <v>45</v>
      </c>
      <c r="C52" s="1"/>
      <c r="D52" s="1"/>
      <c r="E52" s="1"/>
      <c r="F52" s="1"/>
      <c r="G52" s="8">
        <v>0.7</v>
      </c>
      <c r="H52" s="1">
        <v>180</v>
      </c>
      <c r="I52" s="1" t="s">
        <v>51</v>
      </c>
      <c r="J52" s="1"/>
      <c r="K52" s="1"/>
      <c r="L52" s="1">
        <f t="shared" si="18"/>
        <v>0</v>
      </c>
      <c r="M52" s="1"/>
      <c r="N52" s="1"/>
      <c r="O52" s="1"/>
      <c r="P52" s="14"/>
      <c r="Q52" s="1"/>
      <c r="R52" s="1">
        <f t="shared" si="19"/>
        <v>0</v>
      </c>
      <c r="S52" s="19">
        <v>96</v>
      </c>
      <c r="T52" s="5">
        <f t="shared" si="12"/>
        <v>96</v>
      </c>
      <c r="U52" s="5"/>
      <c r="V52" s="1"/>
      <c r="W52" s="1" t="e">
        <f t="shared" si="20"/>
        <v>#DIV/0!</v>
      </c>
      <c r="X52" s="1" t="e">
        <f t="shared" si="21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4" t="s">
        <v>54</v>
      </c>
      <c r="AH52" s="1">
        <f t="shared" si="13"/>
        <v>67.199999999999989</v>
      </c>
      <c r="AI52" s="8">
        <v>8</v>
      </c>
      <c r="AJ52" s="10">
        <f t="shared" si="14"/>
        <v>12</v>
      </c>
      <c r="AK52" s="1">
        <f t="shared" si="15"/>
        <v>67.199999999999989</v>
      </c>
      <c r="AL52" s="1">
        <v>12</v>
      </c>
      <c r="AM52" s="1">
        <v>84</v>
      </c>
      <c r="AN52" s="10">
        <f t="shared" si="16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5" t="s">
        <v>102</v>
      </c>
      <c r="B53" s="15" t="s">
        <v>45</v>
      </c>
      <c r="C53" s="15"/>
      <c r="D53" s="15"/>
      <c r="E53" s="15"/>
      <c r="F53" s="15"/>
      <c r="G53" s="16">
        <v>0</v>
      </c>
      <c r="H53" s="15">
        <v>180</v>
      </c>
      <c r="I53" s="15" t="s">
        <v>51</v>
      </c>
      <c r="J53" s="15"/>
      <c r="K53" s="15"/>
      <c r="L53" s="15">
        <f t="shared" si="18"/>
        <v>0</v>
      </c>
      <c r="M53" s="15"/>
      <c r="N53" s="15"/>
      <c r="O53" s="15"/>
      <c r="P53" s="15"/>
      <c r="Q53" s="15"/>
      <c r="R53" s="15">
        <f t="shared" si="19"/>
        <v>0</v>
      </c>
      <c r="S53" s="17"/>
      <c r="T53" s="17"/>
      <c r="U53" s="17"/>
      <c r="V53" s="15"/>
      <c r="W53" s="15" t="e">
        <f t="shared" si="20"/>
        <v>#DIV/0!</v>
      </c>
      <c r="X53" s="15" t="e">
        <f t="shared" si="21"/>
        <v>#DIV/0!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 t="s">
        <v>103</v>
      </c>
      <c r="AH53" s="15"/>
      <c r="AI53" s="16">
        <v>8</v>
      </c>
      <c r="AJ53" s="18"/>
      <c r="AK53" s="15"/>
      <c r="AL53" s="15">
        <v>12</v>
      </c>
      <c r="AM53" s="15">
        <v>84</v>
      </c>
      <c r="AN53" s="18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104</v>
      </c>
      <c r="B54" s="1" t="s">
        <v>45</v>
      </c>
      <c r="C54" s="1">
        <v>262</v>
      </c>
      <c r="D54" s="1">
        <v>248</v>
      </c>
      <c r="E54" s="1">
        <v>302</v>
      </c>
      <c r="F54" s="1">
        <v>193</v>
      </c>
      <c r="G54" s="8">
        <v>1</v>
      </c>
      <c r="H54" s="1">
        <v>180</v>
      </c>
      <c r="I54" s="1" t="s">
        <v>51</v>
      </c>
      <c r="J54" s="1"/>
      <c r="K54" s="1">
        <v>302</v>
      </c>
      <c r="L54" s="1">
        <f t="shared" si="18"/>
        <v>0</v>
      </c>
      <c r="M54" s="1"/>
      <c r="N54" s="1"/>
      <c r="O54" s="1"/>
      <c r="P54" s="1">
        <v>0</v>
      </c>
      <c r="Q54" s="1"/>
      <c r="R54" s="1">
        <f t="shared" si="19"/>
        <v>60.4</v>
      </c>
      <c r="S54" s="5">
        <f t="shared" ref="S54:S59" si="22">14*R54-Q54-P54-O54-F54</f>
        <v>652.6</v>
      </c>
      <c r="T54" s="5">
        <f t="shared" ref="T54:T59" si="23">AI54*AJ54</f>
        <v>660</v>
      </c>
      <c r="U54" s="5"/>
      <c r="V54" s="1"/>
      <c r="W54" s="1">
        <f t="shared" si="20"/>
        <v>14.122516556291391</v>
      </c>
      <c r="X54" s="1">
        <f t="shared" si="21"/>
        <v>3.1953642384105962</v>
      </c>
      <c r="Y54" s="1">
        <v>36.666666666666657</v>
      </c>
      <c r="Z54" s="1">
        <v>50.6</v>
      </c>
      <c r="AA54" s="1">
        <v>38.799999999999997</v>
      </c>
      <c r="AB54" s="1">
        <v>39.799999999999997</v>
      </c>
      <c r="AC54" s="1">
        <v>42</v>
      </c>
      <c r="AD54" s="1">
        <v>37</v>
      </c>
      <c r="AE54" s="1">
        <v>48</v>
      </c>
      <c r="AF54" s="1">
        <v>41</v>
      </c>
      <c r="AG54" s="1"/>
      <c r="AH54" s="1">
        <f t="shared" ref="AH54:AH59" si="24">G54*S54</f>
        <v>652.6</v>
      </c>
      <c r="AI54" s="8">
        <v>5</v>
      </c>
      <c r="AJ54" s="10">
        <f t="shared" ref="AJ54:AJ59" si="25">MROUND(S54, AI54*AL54)/AI54</f>
        <v>132</v>
      </c>
      <c r="AK54" s="1">
        <f t="shared" ref="AK54:AK59" si="26">AJ54*AI54*G54</f>
        <v>660</v>
      </c>
      <c r="AL54" s="1">
        <v>12</v>
      </c>
      <c r="AM54" s="1">
        <v>84</v>
      </c>
      <c r="AN54" s="10">
        <f t="shared" ref="AN54:AN59" si="27">AJ54/AM54</f>
        <v>1.5714285714285714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105</v>
      </c>
      <c r="B55" s="1" t="s">
        <v>45</v>
      </c>
      <c r="C55" s="1"/>
      <c r="D55" s="1"/>
      <c r="E55" s="1"/>
      <c r="F55" s="1"/>
      <c r="G55" s="8">
        <v>0.7</v>
      </c>
      <c r="H55" s="1">
        <v>180</v>
      </c>
      <c r="I55" s="1" t="s">
        <v>51</v>
      </c>
      <c r="J55" s="1"/>
      <c r="K55" s="1"/>
      <c r="L55" s="1">
        <f t="shared" si="18"/>
        <v>0</v>
      </c>
      <c r="M55" s="1"/>
      <c r="N55" s="1"/>
      <c r="O55" s="1"/>
      <c r="P55" s="14"/>
      <c r="Q55" s="1"/>
      <c r="R55" s="1">
        <f t="shared" si="19"/>
        <v>0</v>
      </c>
      <c r="S55" s="19">
        <v>96</v>
      </c>
      <c r="T55" s="5">
        <f t="shared" si="23"/>
        <v>96</v>
      </c>
      <c r="U55" s="5"/>
      <c r="V55" s="1"/>
      <c r="W55" s="1" t="e">
        <f t="shared" si="20"/>
        <v>#DIV/0!</v>
      </c>
      <c r="X55" s="1" t="e">
        <f t="shared" si="21"/>
        <v>#DIV/0!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4" t="s">
        <v>54</v>
      </c>
      <c r="AH55" s="1">
        <f t="shared" si="24"/>
        <v>67.199999999999989</v>
      </c>
      <c r="AI55" s="8">
        <v>8</v>
      </c>
      <c r="AJ55" s="10">
        <f t="shared" si="25"/>
        <v>12</v>
      </c>
      <c r="AK55" s="1">
        <f t="shared" si="26"/>
        <v>67.199999999999989</v>
      </c>
      <c r="AL55" s="1">
        <v>12</v>
      </c>
      <c r="AM55" s="1">
        <v>84</v>
      </c>
      <c r="AN55" s="10">
        <f t="shared" si="27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106</v>
      </c>
      <c r="B56" s="1" t="s">
        <v>45</v>
      </c>
      <c r="C56" s="1">
        <v>14</v>
      </c>
      <c r="D56" s="1">
        <v>192</v>
      </c>
      <c r="E56" s="1">
        <v>47</v>
      </c>
      <c r="F56" s="1">
        <v>159</v>
      </c>
      <c r="G56" s="8">
        <v>0.9</v>
      </c>
      <c r="H56" s="1">
        <v>180</v>
      </c>
      <c r="I56" s="1" t="s">
        <v>51</v>
      </c>
      <c r="J56" s="1"/>
      <c r="K56" s="1">
        <v>47</v>
      </c>
      <c r="L56" s="1">
        <f t="shared" si="18"/>
        <v>0</v>
      </c>
      <c r="M56" s="1"/>
      <c r="N56" s="1"/>
      <c r="O56" s="1"/>
      <c r="P56" s="1">
        <v>192</v>
      </c>
      <c r="Q56" s="1"/>
      <c r="R56" s="1">
        <f t="shared" si="19"/>
        <v>9.4</v>
      </c>
      <c r="S56" s="5"/>
      <c r="T56" s="5">
        <f t="shared" si="23"/>
        <v>0</v>
      </c>
      <c r="U56" s="5"/>
      <c r="V56" s="1"/>
      <c r="W56" s="1">
        <f t="shared" si="20"/>
        <v>37.340425531914889</v>
      </c>
      <c r="X56" s="1">
        <f t="shared" si="21"/>
        <v>37.340425531914889</v>
      </c>
      <c r="Y56" s="1">
        <v>13.16666666666667</v>
      </c>
      <c r="Z56" s="1">
        <v>7.8</v>
      </c>
      <c r="AA56" s="1">
        <v>20</v>
      </c>
      <c r="AB56" s="1">
        <v>8</v>
      </c>
      <c r="AC56" s="1">
        <v>19.399999999999999</v>
      </c>
      <c r="AD56" s="1">
        <v>6</v>
      </c>
      <c r="AE56" s="1">
        <v>16.2</v>
      </c>
      <c r="AF56" s="1">
        <v>15.4</v>
      </c>
      <c r="AG56" s="1" t="s">
        <v>63</v>
      </c>
      <c r="AH56" s="1">
        <f t="shared" si="24"/>
        <v>0</v>
      </c>
      <c r="AI56" s="8">
        <v>8</v>
      </c>
      <c r="AJ56" s="10">
        <f t="shared" si="25"/>
        <v>0</v>
      </c>
      <c r="AK56" s="1">
        <f t="shared" si="26"/>
        <v>0</v>
      </c>
      <c r="AL56" s="1">
        <v>12</v>
      </c>
      <c r="AM56" s="1">
        <v>84</v>
      </c>
      <c r="AN56" s="10">
        <f t="shared" si="27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107</v>
      </c>
      <c r="B57" s="1" t="s">
        <v>45</v>
      </c>
      <c r="C57" s="1">
        <v>291</v>
      </c>
      <c r="D57" s="1">
        <v>96</v>
      </c>
      <c r="E57" s="1">
        <v>74</v>
      </c>
      <c r="F57" s="1">
        <v>121</v>
      </c>
      <c r="G57" s="8">
        <v>0.9</v>
      </c>
      <c r="H57" s="1">
        <v>180</v>
      </c>
      <c r="I57" s="1" t="s">
        <v>51</v>
      </c>
      <c r="J57" s="1"/>
      <c r="K57" s="1">
        <v>74</v>
      </c>
      <c r="L57" s="1">
        <f t="shared" si="18"/>
        <v>0</v>
      </c>
      <c r="M57" s="1"/>
      <c r="N57" s="1"/>
      <c r="O57" s="1"/>
      <c r="P57" s="1">
        <v>0</v>
      </c>
      <c r="Q57" s="1"/>
      <c r="R57" s="1">
        <f t="shared" si="19"/>
        <v>14.8</v>
      </c>
      <c r="S57" s="5">
        <f t="shared" si="22"/>
        <v>86.200000000000017</v>
      </c>
      <c r="T57" s="5">
        <f t="shared" si="23"/>
        <v>96</v>
      </c>
      <c r="U57" s="5"/>
      <c r="V57" s="1"/>
      <c r="W57" s="1">
        <f t="shared" si="20"/>
        <v>14.662162162162161</v>
      </c>
      <c r="X57" s="1">
        <f t="shared" si="21"/>
        <v>8.1756756756756754</v>
      </c>
      <c r="Y57" s="1">
        <v>17</v>
      </c>
      <c r="Z57" s="1">
        <v>15.2</v>
      </c>
      <c r="AA57" s="1">
        <v>12.8</v>
      </c>
      <c r="AB57" s="1">
        <v>4.4000000000000004</v>
      </c>
      <c r="AC57" s="1">
        <v>23.6</v>
      </c>
      <c r="AD57" s="1">
        <v>6.4</v>
      </c>
      <c r="AE57" s="1">
        <v>12</v>
      </c>
      <c r="AF57" s="1">
        <v>18.2</v>
      </c>
      <c r="AG57" s="1"/>
      <c r="AH57" s="1">
        <f t="shared" si="24"/>
        <v>77.580000000000013</v>
      </c>
      <c r="AI57" s="8">
        <v>8</v>
      </c>
      <c r="AJ57" s="10">
        <f t="shared" si="25"/>
        <v>12</v>
      </c>
      <c r="AK57" s="1">
        <f t="shared" si="26"/>
        <v>86.4</v>
      </c>
      <c r="AL57" s="1">
        <v>12</v>
      </c>
      <c r="AM57" s="1">
        <v>84</v>
      </c>
      <c r="AN57" s="10">
        <f t="shared" si="27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108</v>
      </c>
      <c r="B58" s="1" t="s">
        <v>53</v>
      </c>
      <c r="C58" s="1">
        <v>980</v>
      </c>
      <c r="D58" s="1">
        <v>155</v>
      </c>
      <c r="E58" s="1">
        <v>675</v>
      </c>
      <c r="F58" s="1">
        <v>425</v>
      </c>
      <c r="G58" s="8">
        <v>1</v>
      </c>
      <c r="H58" s="1">
        <v>180</v>
      </c>
      <c r="I58" s="1" t="s">
        <v>51</v>
      </c>
      <c r="J58" s="1"/>
      <c r="K58" s="1">
        <v>700</v>
      </c>
      <c r="L58" s="1">
        <f t="shared" si="18"/>
        <v>-25</v>
      </c>
      <c r="M58" s="1"/>
      <c r="N58" s="1"/>
      <c r="O58" s="1"/>
      <c r="P58" s="1">
        <v>480</v>
      </c>
      <c r="Q58" s="1"/>
      <c r="R58" s="1">
        <f t="shared" si="19"/>
        <v>135</v>
      </c>
      <c r="S58" s="5">
        <f t="shared" si="22"/>
        <v>985</v>
      </c>
      <c r="T58" s="5">
        <f t="shared" si="23"/>
        <v>960</v>
      </c>
      <c r="U58" s="5"/>
      <c r="V58" s="1"/>
      <c r="W58" s="1">
        <f t="shared" si="20"/>
        <v>13.814814814814815</v>
      </c>
      <c r="X58" s="1">
        <f t="shared" si="21"/>
        <v>6.7037037037037033</v>
      </c>
      <c r="Y58" s="1">
        <v>112.5</v>
      </c>
      <c r="Z58" s="1">
        <v>117</v>
      </c>
      <c r="AA58" s="1">
        <v>112</v>
      </c>
      <c r="AB58" s="1">
        <v>109</v>
      </c>
      <c r="AC58" s="1">
        <v>102</v>
      </c>
      <c r="AD58" s="1">
        <v>115</v>
      </c>
      <c r="AE58" s="1">
        <v>125</v>
      </c>
      <c r="AF58" s="1">
        <v>104</v>
      </c>
      <c r="AG58" s="1"/>
      <c r="AH58" s="1">
        <f t="shared" si="24"/>
        <v>985</v>
      </c>
      <c r="AI58" s="8">
        <v>5</v>
      </c>
      <c r="AJ58" s="10">
        <f t="shared" si="25"/>
        <v>192</v>
      </c>
      <c r="AK58" s="1">
        <f t="shared" si="26"/>
        <v>960</v>
      </c>
      <c r="AL58" s="1">
        <v>12</v>
      </c>
      <c r="AM58" s="1">
        <v>144</v>
      </c>
      <c r="AN58" s="10">
        <f t="shared" si="27"/>
        <v>1.3333333333333333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109</v>
      </c>
      <c r="B59" s="1" t="s">
        <v>45</v>
      </c>
      <c r="C59" s="1">
        <v>433</v>
      </c>
      <c r="D59" s="1">
        <v>2</v>
      </c>
      <c r="E59" s="1">
        <v>170</v>
      </c>
      <c r="F59" s="1">
        <v>254</v>
      </c>
      <c r="G59" s="8">
        <v>1</v>
      </c>
      <c r="H59" s="1">
        <v>180</v>
      </c>
      <c r="I59" s="1" t="s">
        <v>51</v>
      </c>
      <c r="J59" s="1"/>
      <c r="K59" s="1">
        <v>170</v>
      </c>
      <c r="L59" s="1">
        <f t="shared" si="18"/>
        <v>0</v>
      </c>
      <c r="M59" s="1"/>
      <c r="N59" s="1"/>
      <c r="O59" s="1"/>
      <c r="P59" s="1">
        <v>0</v>
      </c>
      <c r="Q59" s="1"/>
      <c r="R59" s="1">
        <f t="shared" si="19"/>
        <v>34</v>
      </c>
      <c r="S59" s="5">
        <f t="shared" si="22"/>
        <v>222</v>
      </c>
      <c r="T59" s="5">
        <f t="shared" si="23"/>
        <v>240</v>
      </c>
      <c r="U59" s="5"/>
      <c r="V59" s="1"/>
      <c r="W59" s="1">
        <f t="shared" si="20"/>
        <v>14.529411764705882</v>
      </c>
      <c r="X59" s="1">
        <f t="shared" si="21"/>
        <v>7.4705882352941178</v>
      </c>
      <c r="Y59" s="1">
        <v>28.833333333333329</v>
      </c>
      <c r="Z59" s="1">
        <v>28.8</v>
      </c>
      <c r="AA59" s="1">
        <v>42</v>
      </c>
      <c r="AB59" s="1">
        <v>28.4</v>
      </c>
      <c r="AC59" s="1">
        <v>21.6</v>
      </c>
      <c r="AD59" s="1">
        <v>38.200000000000003</v>
      </c>
      <c r="AE59" s="1">
        <v>41.6</v>
      </c>
      <c r="AF59" s="1">
        <v>26.2</v>
      </c>
      <c r="AG59" s="1"/>
      <c r="AH59" s="1">
        <f t="shared" si="24"/>
        <v>222</v>
      </c>
      <c r="AI59" s="8">
        <v>5</v>
      </c>
      <c r="AJ59" s="10">
        <f t="shared" si="25"/>
        <v>48</v>
      </c>
      <c r="AK59" s="1">
        <f t="shared" si="26"/>
        <v>240</v>
      </c>
      <c r="AL59" s="1">
        <v>12</v>
      </c>
      <c r="AM59" s="1">
        <v>84</v>
      </c>
      <c r="AN59" s="10">
        <f t="shared" si="27"/>
        <v>0.5714285714285714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5" t="s">
        <v>110</v>
      </c>
      <c r="B60" s="15" t="s">
        <v>45</v>
      </c>
      <c r="C60" s="15"/>
      <c r="D60" s="15"/>
      <c r="E60" s="15"/>
      <c r="F60" s="15"/>
      <c r="G60" s="16">
        <v>0</v>
      </c>
      <c r="H60" s="15">
        <v>180</v>
      </c>
      <c r="I60" s="15" t="s">
        <v>51</v>
      </c>
      <c r="J60" s="15"/>
      <c r="K60" s="15"/>
      <c r="L60" s="15">
        <f t="shared" si="18"/>
        <v>0</v>
      </c>
      <c r="M60" s="15"/>
      <c r="N60" s="15"/>
      <c r="O60" s="15"/>
      <c r="P60" s="15"/>
      <c r="Q60" s="15"/>
      <c r="R60" s="15">
        <f t="shared" si="19"/>
        <v>0</v>
      </c>
      <c r="S60" s="17"/>
      <c r="T60" s="17"/>
      <c r="U60" s="17"/>
      <c r="V60" s="15"/>
      <c r="W60" s="15" t="e">
        <f t="shared" si="20"/>
        <v>#DIV/0!</v>
      </c>
      <c r="X60" s="15" t="e">
        <f t="shared" si="21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 t="s">
        <v>66</v>
      </c>
      <c r="AH60" s="15"/>
      <c r="AI60" s="16">
        <v>8</v>
      </c>
      <c r="AJ60" s="18"/>
      <c r="AK60" s="15"/>
      <c r="AL60" s="15">
        <v>6</v>
      </c>
      <c r="AM60" s="15">
        <v>72</v>
      </c>
      <c r="AN60" s="18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5" t="s">
        <v>111</v>
      </c>
      <c r="B61" s="15" t="s">
        <v>53</v>
      </c>
      <c r="C61" s="15"/>
      <c r="D61" s="15"/>
      <c r="E61" s="15"/>
      <c r="F61" s="15"/>
      <c r="G61" s="16">
        <v>0</v>
      </c>
      <c r="H61" s="15">
        <v>180</v>
      </c>
      <c r="I61" s="15" t="s">
        <v>51</v>
      </c>
      <c r="J61" s="15"/>
      <c r="K61" s="15"/>
      <c r="L61" s="15">
        <f t="shared" si="18"/>
        <v>0</v>
      </c>
      <c r="M61" s="15"/>
      <c r="N61" s="15"/>
      <c r="O61" s="15"/>
      <c r="P61" s="15"/>
      <c r="Q61" s="15"/>
      <c r="R61" s="15">
        <f t="shared" si="19"/>
        <v>0</v>
      </c>
      <c r="S61" s="17"/>
      <c r="T61" s="17"/>
      <c r="U61" s="17"/>
      <c r="V61" s="15"/>
      <c r="W61" s="15" t="e">
        <f t="shared" si="20"/>
        <v>#DIV/0!</v>
      </c>
      <c r="X61" s="15" t="e">
        <f t="shared" si="21"/>
        <v>#DIV/0!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 t="s">
        <v>66</v>
      </c>
      <c r="AH61" s="15"/>
      <c r="AI61" s="16">
        <v>3.7</v>
      </c>
      <c r="AJ61" s="18"/>
      <c r="AK61" s="15"/>
      <c r="AL61" s="15">
        <v>14</v>
      </c>
      <c r="AM61" s="15">
        <v>126</v>
      </c>
      <c r="AN61" s="18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112</v>
      </c>
      <c r="B62" s="1" t="s">
        <v>45</v>
      </c>
      <c r="C62" s="1">
        <v>257</v>
      </c>
      <c r="D62" s="1"/>
      <c r="E62" s="1">
        <v>35</v>
      </c>
      <c r="F62" s="1">
        <v>222</v>
      </c>
      <c r="G62" s="8">
        <v>0.09</v>
      </c>
      <c r="H62" s="1">
        <v>180</v>
      </c>
      <c r="I62" s="1" t="s">
        <v>51</v>
      </c>
      <c r="J62" s="1"/>
      <c r="K62" s="1">
        <v>35</v>
      </c>
      <c r="L62" s="1">
        <f t="shared" si="18"/>
        <v>0</v>
      </c>
      <c r="M62" s="1"/>
      <c r="N62" s="1"/>
      <c r="O62" s="1"/>
      <c r="P62" s="1">
        <v>0</v>
      </c>
      <c r="Q62" s="1"/>
      <c r="R62" s="1">
        <f t="shared" si="19"/>
        <v>7</v>
      </c>
      <c r="S62" s="5"/>
      <c r="T62" s="5">
        <f t="shared" ref="T62:T72" si="28">AI62*AJ62</f>
        <v>0</v>
      </c>
      <c r="U62" s="5"/>
      <c r="V62" s="1"/>
      <c r="W62" s="1">
        <f t="shared" si="20"/>
        <v>31.714285714285715</v>
      </c>
      <c r="X62" s="1">
        <f t="shared" si="21"/>
        <v>31.714285714285715</v>
      </c>
      <c r="Y62" s="1">
        <v>0.83333333333333337</v>
      </c>
      <c r="Z62" s="1">
        <v>1.8</v>
      </c>
      <c r="AA62" s="1">
        <v>0</v>
      </c>
      <c r="AB62" s="1">
        <v>2</v>
      </c>
      <c r="AC62" s="1">
        <v>3.6</v>
      </c>
      <c r="AD62" s="1">
        <v>0.6</v>
      </c>
      <c r="AE62" s="1">
        <v>4.8</v>
      </c>
      <c r="AF62" s="1">
        <v>2.4</v>
      </c>
      <c r="AG62" s="23" t="s">
        <v>73</v>
      </c>
      <c r="AH62" s="1">
        <f t="shared" ref="AH62:AH72" si="29">G62*S62</f>
        <v>0</v>
      </c>
      <c r="AI62" s="8">
        <v>30</v>
      </c>
      <c r="AJ62" s="10">
        <f t="shared" ref="AJ62:AJ72" si="30">MROUND(S62, AI62*AL62)/AI62</f>
        <v>0</v>
      </c>
      <c r="AK62" s="1">
        <f t="shared" ref="AK62:AK72" si="31">AJ62*AI62*G62</f>
        <v>0</v>
      </c>
      <c r="AL62" s="1">
        <v>14</v>
      </c>
      <c r="AM62" s="1">
        <v>126</v>
      </c>
      <c r="AN62" s="10">
        <f t="shared" ref="AN62:AN72" si="32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113</v>
      </c>
      <c r="B63" s="1" t="s">
        <v>45</v>
      </c>
      <c r="C63" s="1">
        <v>190</v>
      </c>
      <c r="D63" s="1">
        <v>763</v>
      </c>
      <c r="E63" s="1">
        <v>402</v>
      </c>
      <c r="F63" s="1">
        <v>460</v>
      </c>
      <c r="G63" s="8">
        <v>0.25</v>
      </c>
      <c r="H63" s="1">
        <v>180</v>
      </c>
      <c r="I63" s="1" t="s">
        <v>51</v>
      </c>
      <c r="J63" s="1"/>
      <c r="K63" s="1">
        <v>404</v>
      </c>
      <c r="L63" s="1">
        <f t="shared" si="18"/>
        <v>-2</v>
      </c>
      <c r="M63" s="1"/>
      <c r="N63" s="1"/>
      <c r="O63" s="1"/>
      <c r="P63" s="1">
        <v>336</v>
      </c>
      <c r="Q63" s="1"/>
      <c r="R63" s="1">
        <f t="shared" si="19"/>
        <v>80.400000000000006</v>
      </c>
      <c r="S63" s="5">
        <f t="shared" ref="S62:S72" si="33">14*R63-Q63-P63-O63-F63</f>
        <v>329.60000000000014</v>
      </c>
      <c r="T63" s="5">
        <f t="shared" si="28"/>
        <v>336</v>
      </c>
      <c r="U63" s="5"/>
      <c r="V63" s="1"/>
      <c r="W63" s="1">
        <f t="shared" si="20"/>
        <v>14.079601990049751</v>
      </c>
      <c r="X63" s="1">
        <f t="shared" si="21"/>
        <v>9.900497512437811</v>
      </c>
      <c r="Y63" s="1">
        <v>85.833333333333329</v>
      </c>
      <c r="Z63" s="1">
        <v>94.6</v>
      </c>
      <c r="AA63" s="1">
        <v>65.400000000000006</v>
      </c>
      <c r="AB63" s="1">
        <v>62</v>
      </c>
      <c r="AC63" s="1">
        <v>103</v>
      </c>
      <c r="AD63" s="1">
        <v>70</v>
      </c>
      <c r="AE63" s="1">
        <v>71</v>
      </c>
      <c r="AF63" s="1">
        <v>82.2</v>
      </c>
      <c r="AG63" s="1" t="s">
        <v>63</v>
      </c>
      <c r="AH63" s="1">
        <f t="shared" si="29"/>
        <v>82.400000000000034</v>
      </c>
      <c r="AI63" s="8">
        <v>12</v>
      </c>
      <c r="AJ63" s="10">
        <f t="shared" si="30"/>
        <v>28</v>
      </c>
      <c r="AK63" s="1">
        <f t="shared" si="31"/>
        <v>84</v>
      </c>
      <c r="AL63" s="1">
        <v>14</v>
      </c>
      <c r="AM63" s="1">
        <v>70</v>
      </c>
      <c r="AN63" s="10">
        <f t="shared" si="32"/>
        <v>0.4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114</v>
      </c>
      <c r="B64" s="1" t="s">
        <v>45</v>
      </c>
      <c r="C64" s="1">
        <v>13</v>
      </c>
      <c r="D64" s="1">
        <v>208</v>
      </c>
      <c r="E64" s="1">
        <v>199</v>
      </c>
      <c r="F64" s="1"/>
      <c r="G64" s="8">
        <v>0.25</v>
      </c>
      <c r="H64" s="1">
        <v>180</v>
      </c>
      <c r="I64" s="1" t="s">
        <v>51</v>
      </c>
      <c r="J64" s="1"/>
      <c r="K64" s="1">
        <v>221</v>
      </c>
      <c r="L64" s="1">
        <f t="shared" si="18"/>
        <v>-22</v>
      </c>
      <c r="M64" s="1"/>
      <c r="N64" s="1"/>
      <c r="O64" s="1"/>
      <c r="P64" s="1">
        <v>504</v>
      </c>
      <c r="Q64" s="1"/>
      <c r="R64" s="1">
        <f t="shared" si="19"/>
        <v>39.799999999999997</v>
      </c>
      <c r="S64" s="5">
        <f>16*R64-Q64-P64-O64-F64</f>
        <v>132.79999999999995</v>
      </c>
      <c r="T64" s="5">
        <f t="shared" si="28"/>
        <v>168</v>
      </c>
      <c r="U64" s="5"/>
      <c r="V64" s="1"/>
      <c r="W64" s="1">
        <f t="shared" si="20"/>
        <v>16.884422110552766</v>
      </c>
      <c r="X64" s="1">
        <f t="shared" si="21"/>
        <v>12.663316582914574</v>
      </c>
      <c r="Y64" s="1">
        <v>47.666666666666657</v>
      </c>
      <c r="Z64" s="1">
        <v>35.6</v>
      </c>
      <c r="AA64" s="1">
        <v>22</v>
      </c>
      <c r="AB64" s="1">
        <v>31.8</v>
      </c>
      <c r="AC64" s="1">
        <v>45</v>
      </c>
      <c r="AD64" s="1">
        <v>29.6</v>
      </c>
      <c r="AE64" s="1">
        <v>42.6</v>
      </c>
      <c r="AF64" s="1">
        <v>37.6</v>
      </c>
      <c r="AG64" s="1"/>
      <c r="AH64" s="1">
        <f t="shared" si="29"/>
        <v>33.199999999999989</v>
      </c>
      <c r="AI64" s="8">
        <v>12</v>
      </c>
      <c r="AJ64" s="10">
        <f t="shared" si="30"/>
        <v>14</v>
      </c>
      <c r="AK64" s="1">
        <f t="shared" si="31"/>
        <v>42</v>
      </c>
      <c r="AL64" s="1">
        <v>14</v>
      </c>
      <c r="AM64" s="1">
        <v>70</v>
      </c>
      <c r="AN64" s="10">
        <f t="shared" si="32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45</v>
      </c>
      <c r="C65" s="1">
        <v>965</v>
      </c>
      <c r="D65" s="1">
        <v>33</v>
      </c>
      <c r="E65" s="1">
        <v>644</v>
      </c>
      <c r="F65" s="1">
        <v>312</v>
      </c>
      <c r="G65" s="8">
        <v>0.3</v>
      </c>
      <c r="H65" s="1">
        <v>180</v>
      </c>
      <c r="I65" s="1" t="s">
        <v>51</v>
      </c>
      <c r="J65" s="1"/>
      <c r="K65" s="1">
        <v>646</v>
      </c>
      <c r="L65" s="1">
        <f t="shared" si="18"/>
        <v>-2</v>
      </c>
      <c r="M65" s="1"/>
      <c r="N65" s="1"/>
      <c r="O65" s="1"/>
      <c r="P65" s="1">
        <v>840</v>
      </c>
      <c r="Q65" s="1"/>
      <c r="R65" s="1">
        <f t="shared" si="19"/>
        <v>128.80000000000001</v>
      </c>
      <c r="S65" s="5">
        <f t="shared" si="33"/>
        <v>651.20000000000027</v>
      </c>
      <c r="T65" s="5">
        <f t="shared" si="28"/>
        <v>672</v>
      </c>
      <c r="U65" s="5"/>
      <c r="V65" s="1"/>
      <c r="W65" s="1">
        <f t="shared" si="20"/>
        <v>14.161490683229813</v>
      </c>
      <c r="X65" s="1">
        <f t="shared" si="21"/>
        <v>8.9440993788819867</v>
      </c>
      <c r="Y65" s="1">
        <v>123.3333333333333</v>
      </c>
      <c r="Z65" s="1">
        <v>109.4</v>
      </c>
      <c r="AA65" s="1">
        <v>108.6</v>
      </c>
      <c r="AB65" s="1">
        <v>98.2</v>
      </c>
      <c r="AC65" s="1">
        <v>110.6</v>
      </c>
      <c r="AD65" s="1">
        <v>139.19999999999999</v>
      </c>
      <c r="AE65" s="1">
        <v>138.6</v>
      </c>
      <c r="AF65" s="1">
        <v>116</v>
      </c>
      <c r="AG65" s="1" t="s">
        <v>63</v>
      </c>
      <c r="AH65" s="1">
        <f t="shared" si="29"/>
        <v>195.36000000000007</v>
      </c>
      <c r="AI65" s="8">
        <v>12</v>
      </c>
      <c r="AJ65" s="10">
        <f t="shared" si="30"/>
        <v>56</v>
      </c>
      <c r="AK65" s="1">
        <f t="shared" si="31"/>
        <v>201.6</v>
      </c>
      <c r="AL65" s="1">
        <v>14</v>
      </c>
      <c r="AM65" s="1">
        <v>70</v>
      </c>
      <c r="AN65" s="10">
        <f t="shared" si="32"/>
        <v>0.8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45</v>
      </c>
      <c r="C66" s="1">
        <v>574</v>
      </c>
      <c r="D66" s="1">
        <v>661</v>
      </c>
      <c r="E66" s="1">
        <v>674</v>
      </c>
      <c r="F66" s="1">
        <v>221</v>
      </c>
      <c r="G66" s="8">
        <v>0.3</v>
      </c>
      <c r="H66" s="1">
        <v>180</v>
      </c>
      <c r="I66" s="1" t="s">
        <v>51</v>
      </c>
      <c r="J66" s="1"/>
      <c r="K66" s="1">
        <v>674</v>
      </c>
      <c r="L66" s="1">
        <f t="shared" si="18"/>
        <v>0</v>
      </c>
      <c r="M66" s="1"/>
      <c r="N66" s="1"/>
      <c r="O66" s="1"/>
      <c r="P66" s="1">
        <v>504</v>
      </c>
      <c r="Q66" s="1"/>
      <c r="R66" s="1">
        <f t="shared" si="19"/>
        <v>134.80000000000001</v>
      </c>
      <c r="S66" s="5">
        <f t="shared" si="33"/>
        <v>1162.2000000000003</v>
      </c>
      <c r="T66" s="5">
        <f t="shared" si="28"/>
        <v>1176</v>
      </c>
      <c r="U66" s="5"/>
      <c r="V66" s="1"/>
      <c r="W66" s="1">
        <f t="shared" si="20"/>
        <v>14.102373887240354</v>
      </c>
      <c r="X66" s="1">
        <f t="shared" si="21"/>
        <v>5.37833827893175</v>
      </c>
      <c r="Y66" s="1">
        <v>105</v>
      </c>
      <c r="Z66" s="1">
        <v>112.6</v>
      </c>
      <c r="AA66" s="1">
        <v>84.6</v>
      </c>
      <c r="AB66" s="1">
        <v>75.599999999999994</v>
      </c>
      <c r="AC66" s="1">
        <v>98.4</v>
      </c>
      <c r="AD66" s="1">
        <v>106</v>
      </c>
      <c r="AE66" s="1">
        <v>112.8</v>
      </c>
      <c r="AF66" s="1">
        <v>107.4</v>
      </c>
      <c r="AG66" s="1" t="s">
        <v>63</v>
      </c>
      <c r="AH66" s="1">
        <f t="shared" si="29"/>
        <v>348.66000000000008</v>
      </c>
      <c r="AI66" s="8">
        <v>12</v>
      </c>
      <c r="AJ66" s="10">
        <f t="shared" si="30"/>
        <v>98</v>
      </c>
      <c r="AK66" s="1">
        <f t="shared" si="31"/>
        <v>352.8</v>
      </c>
      <c r="AL66" s="1">
        <v>14</v>
      </c>
      <c r="AM66" s="1">
        <v>70</v>
      </c>
      <c r="AN66" s="10">
        <f t="shared" si="32"/>
        <v>1.4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117</v>
      </c>
      <c r="B67" s="1" t="s">
        <v>45</v>
      </c>
      <c r="C67" s="1">
        <v>120</v>
      </c>
      <c r="D67" s="1">
        <v>234</v>
      </c>
      <c r="E67" s="1">
        <v>120</v>
      </c>
      <c r="F67" s="1">
        <v>184</v>
      </c>
      <c r="G67" s="8">
        <v>0.3</v>
      </c>
      <c r="H67" s="1">
        <v>180</v>
      </c>
      <c r="I67" s="1" t="s">
        <v>51</v>
      </c>
      <c r="J67" s="1"/>
      <c r="K67" s="1">
        <v>122</v>
      </c>
      <c r="L67" s="1">
        <f t="shared" si="18"/>
        <v>-2</v>
      </c>
      <c r="M67" s="1"/>
      <c r="N67" s="1"/>
      <c r="O67" s="1">
        <v>600</v>
      </c>
      <c r="P67" s="1">
        <v>0</v>
      </c>
      <c r="Q67" s="1"/>
      <c r="R67" s="1">
        <f t="shared" si="19"/>
        <v>24</v>
      </c>
      <c r="S67" s="5"/>
      <c r="T67" s="5">
        <f t="shared" si="28"/>
        <v>0</v>
      </c>
      <c r="U67" s="5"/>
      <c r="V67" s="1"/>
      <c r="W67" s="1">
        <f t="shared" si="20"/>
        <v>32.666666666666664</v>
      </c>
      <c r="X67" s="1">
        <f t="shared" si="21"/>
        <v>32.666666666666664</v>
      </c>
      <c r="Y67" s="1">
        <v>31.5</v>
      </c>
      <c r="Z67" s="1">
        <v>25.2</v>
      </c>
      <c r="AA67" s="1">
        <v>20.6</v>
      </c>
      <c r="AB67" s="1">
        <v>19.2</v>
      </c>
      <c r="AC67" s="1">
        <v>14.2</v>
      </c>
      <c r="AD67" s="1">
        <v>16.8</v>
      </c>
      <c r="AE67" s="1">
        <v>7.4</v>
      </c>
      <c r="AF67" s="1">
        <v>11.4</v>
      </c>
      <c r="AG67" s="1"/>
      <c r="AH67" s="1">
        <f t="shared" si="29"/>
        <v>0</v>
      </c>
      <c r="AI67" s="8">
        <v>14</v>
      </c>
      <c r="AJ67" s="10">
        <f t="shared" si="30"/>
        <v>0</v>
      </c>
      <c r="AK67" s="1">
        <f t="shared" si="31"/>
        <v>0</v>
      </c>
      <c r="AL67" s="1">
        <v>14</v>
      </c>
      <c r="AM67" s="1">
        <v>70</v>
      </c>
      <c r="AN67" s="10">
        <f t="shared" si="3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118</v>
      </c>
      <c r="B68" s="1" t="s">
        <v>45</v>
      </c>
      <c r="C68" s="1">
        <v>960</v>
      </c>
      <c r="D68" s="1">
        <v>339</v>
      </c>
      <c r="E68" s="1">
        <v>767</v>
      </c>
      <c r="F68" s="1">
        <v>355</v>
      </c>
      <c r="G68" s="8">
        <v>0.25</v>
      </c>
      <c r="H68" s="1">
        <v>180</v>
      </c>
      <c r="I68" s="1" t="s">
        <v>51</v>
      </c>
      <c r="J68" s="1"/>
      <c r="K68" s="1">
        <v>767</v>
      </c>
      <c r="L68" s="1">
        <f t="shared" si="18"/>
        <v>0</v>
      </c>
      <c r="M68" s="1"/>
      <c r="N68" s="1"/>
      <c r="O68" s="1"/>
      <c r="P68" s="1">
        <v>0</v>
      </c>
      <c r="Q68" s="1">
        <v>840</v>
      </c>
      <c r="R68" s="1">
        <f t="shared" si="19"/>
        <v>153.4</v>
      </c>
      <c r="S68" s="5">
        <f t="shared" si="33"/>
        <v>952.59999999999991</v>
      </c>
      <c r="T68" s="5">
        <f t="shared" si="28"/>
        <v>1008</v>
      </c>
      <c r="U68" s="5"/>
      <c r="V68" s="1"/>
      <c r="W68" s="1">
        <f t="shared" si="20"/>
        <v>14.361147327249022</v>
      </c>
      <c r="X68" s="1">
        <f t="shared" si="21"/>
        <v>7.7900912646675353</v>
      </c>
      <c r="Y68" s="1">
        <v>142.5</v>
      </c>
      <c r="Z68" s="1">
        <v>128</v>
      </c>
      <c r="AA68" s="1">
        <v>127.4</v>
      </c>
      <c r="AB68" s="1">
        <v>94.6</v>
      </c>
      <c r="AC68" s="1">
        <v>158</v>
      </c>
      <c r="AD68" s="1">
        <v>130.19999999999999</v>
      </c>
      <c r="AE68" s="1">
        <v>123</v>
      </c>
      <c r="AF68" s="1">
        <v>125.8</v>
      </c>
      <c r="AG68" s="1" t="s">
        <v>63</v>
      </c>
      <c r="AH68" s="1">
        <f t="shared" si="29"/>
        <v>238.14999999999998</v>
      </c>
      <c r="AI68" s="8">
        <v>12</v>
      </c>
      <c r="AJ68" s="10">
        <f t="shared" si="30"/>
        <v>84</v>
      </c>
      <c r="AK68" s="1">
        <f t="shared" si="31"/>
        <v>252</v>
      </c>
      <c r="AL68" s="1">
        <v>14</v>
      </c>
      <c r="AM68" s="1">
        <v>70</v>
      </c>
      <c r="AN68" s="10">
        <f t="shared" si="32"/>
        <v>1.2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119</v>
      </c>
      <c r="B69" s="1" t="s">
        <v>45</v>
      </c>
      <c r="C69" s="1">
        <v>1208</v>
      </c>
      <c r="D69" s="1">
        <v>174</v>
      </c>
      <c r="E69" s="1">
        <v>774</v>
      </c>
      <c r="F69" s="1">
        <v>428</v>
      </c>
      <c r="G69" s="8">
        <v>0.25</v>
      </c>
      <c r="H69" s="1">
        <v>180</v>
      </c>
      <c r="I69" s="1" t="s">
        <v>51</v>
      </c>
      <c r="J69" s="1"/>
      <c r="K69" s="1">
        <v>774</v>
      </c>
      <c r="L69" s="1">
        <f t="shared" si="18"/>
        <v>0</v>
      </c>
      <c r="M69" s="1"/>
      <c r="N69" s="1"/>
      <c r="O69" s="1"/>
      <c r="P69" s="1">
        <v>0</v>
      </c>
      <c r="Q69" s="1">
        <v>672</v>
      </c>
      <c r="R69" s="1">
        <f t="shared" si="19"/>
        <v>154.80000000000001</v>
      </c>
      <c r="S69" s="5">
        <f t="shared" si="33"/>
        <v>1067.2000000000003</v>
      </c>
      <c r="T69" s="5">
        <f t="shared" si="28"/>
        <v>1008</v>
      </c>
      <c r="U69" s="5"/>
      <c r="V69" s="1"/>
      <c r="W69" s="1">
        <f t="shared" si="20"/>
        <v>13.617571059431523</v>
      </c>
      <c r="X69" s="1">
        <f t="shared" si="21"/>
        <v>7.1059431524547803</v>
      </c>
      <c r="Y69" s="1">
        <v>137</v>
      </c>
      <c r="Z69" s="1">
        <v>117</v>
      </c>
      <c r="AA69" s="1">
        <v>136.4</v>
      </c>
      <c r="AB69" s="1">
        <v>83.4</v>
      </c>
      <c r="AC69" s="1">
        <v>139.19999999999999</v>
      </c>
      <c r="AD69" s="1">
        <v>116.8</v>
      </c>
      <c r="AE69" s="1">
        <v>112.8</v>
      </c>
      <c r="AF69" s="1">
        <v>121.4</v>
      </c>
      <c r="AG69" s="1" t="s">
        <v>63</v>
      </c>
      <c r="AH69" s="1">
        <f t="shared" si="29"/>
        <v>266.80000000000007</v>
      </c>
      <c r="AI69" s="8">
        <v>12</v>
      </c>
      <c r="AJ69" s="10">
        <f t="shared" si="30"/>
        <v>84</v>
      </c>
      <c r="AK69" s="1">
        <f t="shared" si="31"/>
        <v>252</v>
      </c>
      <c r="AL69" s="1">
        <v>14</v>
      </c>
      <c r="AM69" s="1">
        <v>70</v>
      </c>
      <c r="AN69" s="10">
        <f t="shared" si="32"/>
        <v>1.2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120</v>
      </c>
      <c r="B70" s="1" t="s">
        <v>53</v>
      </c>
      <c r="C70" s="1">
        <v>16.2</v>
      </c>
      <c r="D70" s="1">
        <v>89.1</v>
      </c>
      <c r="E70" s="1">
        <v>8.1</v>
      </c>
      <c r="F70" s="1">
        <v>83.7</v>
      </c>
      <c r="G70" s="8">
        <v>1</v>
      </c>
      <c r="H70" s="1">
        <v>180</v>
      </c>
      <c r="I70" s="1" t="s">
        <v>51</v>
      </c>
      <c r="J70" s="1"/>
      <c r="K70" s="1">
        <v>8.1</v>
      </c>
      <c r="L70" s="1">
        <f t="shared" ref="L70:L101" si="34">E70-K70</f>
        <v>0</v>
      </c>
      <c r="M70" s="1"/>
      <c r="N70" s="1"/>
      <c r="O70" s="1"/>
      <c r="P70" s="1">
        <v>0</v>
      </c>
      <c r="Q70" s="1"/>
      <c r="R70" s="1">
        <f t="shared" si="19"/>
        <v>1.6199999999999999</v>
      </c>
      <c r="S70" s="5"/>
      <c r="T70" s="5">
        <f t="shared" si="28"/>
        <v>0</v>
      </c>
      <c r="U70" s="5"/>
      <c r="V70" s="1"/>
      <c r="W70" s="1">
        <f t="shared" si="20"/>
        <v>51.666666666666671</v>
      </c>
      <c r="X70" s="1">
        <f t="shared" si="21"/>
        <v>51.666666666666671</v>
      </c>
      <c r="Y70" s="1">
        <v>1.35</v>
      </c>
      <c r="Z70" s="1">
        <v>5.94</v>
      </c>
      <c r="AA70" s="1">
        <v>3.24</v>
      </c>
      <c r="AB70" s="1">
        <v>1.08</v>
      </c>
      <c r="AC70" s="1">
        <v>4.32</v>
      </c>
      <c r="AD70" s="1">
        <v>2.7</v>
      </c>
      <c r="AE70" s="1">
        <v>5.4</v>
      </c>
      <c r="AF70" s="1">
        <v>6.7799999999999994</v>
      </c>
      <c r="AG70" s="1"/>
      <c r="AH70" s="1">
        <f t="shared" si="29"/>
        <v>0</v>
      </c>
      <c r="AI70" s="8">
        <v>2.7</v>
      </c>
      <c r="AJ70" s="10">
        <f t="shared" si="30"/>
        <v>0</v>
      </c>
      <c r="AK70" s="1">
        <f t="shared" si="31"/>
        <v>0</v>
      </c>
      <c r="AL70" s="1">
        <v>14</v>
      </c>
      <c r="AM70" s="1">
        <v>126</v>
      </c>
      <c r="AN70" s="10">
        <f t="shared" si="32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121</v>
      </c>
      <c r="B71" s="1" t="s">
        <v>53</v>
      </c>
      <c r="C71" s="1">
        <v>140</v>
      </c>
      <c r="D71" s="1">
        <v>775</v>
      </c>
      <c r="E71" s="1">
        <v>420</v>
      </c>
      <c r="F71" s="1">
        <v>445</v>
      </c>
      <c r="G71" s="8">
        <v>1</v>
      </c>
      <c r="H71" s="1">
        <v>180</v>
      </c>
      <c r="I71" s="1" t="s">
        <v>51</v>
      </c>
      <c r="J71" s="1"/>
      <c r="K71" s="1">
        <v>425</v>
      </c>
      <c r="L71" s="1">
        <f t="shared" si="34"/>
        <v>-5</v>
      </c>
      <c r="M71" s="1"/>
      <c r="N71" s="1"/>
      <c r="O71" s="1"/>
      <c r="P71" s="1">
        <v>0</v>
      </c>
      <c r="Q71" s="1"/>
      <c r="R71" s="1">
        <f t="shared" si="19"/>
        <v>84</v>
      </c>
      <c r="S71" s="5">
        <f t="shared" si="33"/>
        <v>731</v>
      </c>
      <c r="T71" s="5">
        <f t="shared" si="28"/>
        <v>720</v>
      </c>
      <c r="U71" s="5"/>
      <c r="V71" s="1"/>
      <c r="W71" s="1">
        <f t="shared" si="20"/>
        <v>13.869047619047619</v>
      </c>
      <c r="X71" s="1">
        <f t="shared" si="21"/>
        <v>5.2976190476190474</v>
      </c>
      <c r="Y71" s="1">
        <v>58.333333333333343</v>
      </c>
      <c r="Z71" s="1">
        <v>87</v>
      </c>
      <c r="AA71" s="1">
        <v>52</v>
      </c>
      <c r="AB71" s="1">
        <v>69</v>
      </c>
      <c r="AC71" s="1">
        <v>58</v>
      </c>
      <c r="AD71" s="1">
        <v>69</v>
      </c>
      <c r="AE71" s="1">
        <v>74</v>
      </c>
      <c r="AF71" s="1">
        <v>74</v>
      </c>
      <c r="AG71" s="1"/>
      <c r="AH71" s="1">
        <f t="shared" si="29"/>
        <v>731</v>
      </c>
      <c r="AI71" s="8">
        <v>5</v>
      </c>
      <c r="AJ71" s="10">
        <f t="shared" si="30"/>
        <v>144</v>
      </c>
      <c r="AK71" s="1">
        <f t="shared" si="31"/>
        <v>720</v>
      </c>
      <c r="AL71" s="1">
        <v>12</v>
      </c>
      <c r="AM71" s="1">
        <v>84</v>
      </c>
      <c r="AN71" s="10">
        <f t="shared" si="32"/>
        <v>1.7142857142857142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122</v>
      </c>
      <c r="B72" s="1" t="s">
        <v>45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51</v>
      </c>
      <c r="J72" s="1"/>
      <c r="K72" s="1"/>
      <c r="L72" s="1">
        <f t="shared" si="34"/>
        <v>0</v>
      </c>
      <c r="M72" s="1"/>
      <c r="N72" s="1"/>
      <c r="O72" s="1"/>
      <c r="P72" s="14"/>
      <c r="Q72" s="1"/>
      <c r="R72" s="1">
        <f t="shared" si="19"/>
        <v>0</v>
      </c>
      <c r="S72" s="19">
        <v>264</v>
      </c>
      <c r="T72" s="5">
        <f t="shared" si="28"/>
        <v>264</v>
      </c>
      <c r="U72" s="5"/>
      <c r="V72" s="1"/>
      <c r="W72" s="1" t="e">
        <f t="shared" si="20"/>
        <v>#DIV/0!</v>
      </c>
      <c r="X72" s="1" t="e">
        <f t="shared" si="21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54</v>
      </c>
      <c r="AH72" s="1">
        <f t="shared" si="29"/>
        <v>36.96</v>
      </c>
      <c r="AI72" s="8">
        <v>22</v>
      </c>
      <c r="AJ72" s="10">
        <f t="shared" si="30"/>
        <v>12</v>
      </c>
      <c r="AK72" s="1">
        <f t="shared" si="31"/>
        <v>36.96</v>
      </c>
      <c r="AL72" s="1">
        <v>12</v>
      </c>
      <c r="AM72" s="1">
        <v>84</v>
      </c>
      <c r="AN72" s="10">
        <f t="shared" si="32"/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2026-01-15T07:34:42Z</dcterms:created>
  <dcterms:modified xsi:type="dcterms:W3CDTF">2026-01-15T07:59:14Z</dcterms:modified>
</cp:coreProperties>
</file>