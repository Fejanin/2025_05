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7531FF99-4410-4E3D-92E6-4FA19E05E0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97" i="1" l="1"/>
  <c r="Z193" i="1"/>
  <c r="Z24" i="1"/>
  <c r="Z290" i="1"/>
  <c r="Y25" i="1"/>
  <c r="Y33" i="1"/>
  <c r="Y37" i="1"/>
  <c r="Y45" i="1"/>
  <c r="Y49" i="1"/>
  <c r="Y58" i="1"/>
  <c r="Y64" i="1"/>
  <c r="Z70" i="1"/>
  <c r="BP76" i="1"/>
  <c r="BN76" i="1"/>
  <c r="Z76" i="1"/>
  <c r="Y78" i="1"/>
  <c r="Y83" i="1"/>
  <c r="BP80" i="1"/>
  <c r="BN80" i="1"/>
  <c r="Z80" i="1"/>
  <c r="Z82" i="1" s="1"/>
  <c r="BP94" i="1"/>
  <c r="BN94" i="1"/>
  <c r="Z94" i="1"/>
  <c r="BP102" i="1"/>
  <c r="BN102" i="1"/>
  <c r="Z102" i="1"/>
  <c r="Y106" i="1"/>
  <c r="Z113" i="1"/>
  <c r="BP111" i="1"/>
  <c r="BN111" i="1"/>
  <c r="Z111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BP145" i="1"/>
  <c r="BN145" i="1"/>
  <c r="Z145" i="1"/>
  <c r="Z146" i="1" s="1"/>
  <c r="Y147" i="1"/>
  <c r="Y152" i="1"/>
  <c r="BP149" i="1"/>
  <c r="BN149" i="1"/>
  <c r="Z149" i="1"/>
  <c r="BP168" i="1"/>
  <c r="BN168" i="1"/>
  <c r="Z168" i="1"/>
  <c r="BP172" i="1"/>
  <c r="BN172" i="1"/>
  <c r="Z172" i="1"/>
  <c r="BP175" i="1"/>
  <c r="BN175" i="1"/>
  <c r="Z175" i="1"/>
  <c r="BP192" i="1"/>
  <c r="BN192" i="1"/>
  <c r="Z192" i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Y226" i="1"/>
  <c r="BP253" i="1"/>
  <c r="BN253" i="1"/>
  <c r="Z253" i="1"/>
  <c r="BP271" i="1"/>
  <c r="BN271" i="1"/>
  <c r="Z271" i="1"/>
  <c r="Y273" i="1"/>
  <c r="O502" i="1"/>
  <c r="Y279" i="1"/>
  <c r="BP276" i="1"/>
  <c r="BN276" i="1"/>
  <c r="Z276" i="1"/>
  <c r="Y280" i="1"/>
  <c r="BP289" i="1"/>
  <c r="BN289" i="1"/>
  <c r="Z289" i="1"/>
  <c r="Y291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Z329" i="1" s="1"/>
  <c r="Y330" i="1"/>
  <c r="BP334" i="1"/>
  <c r="BN334" i="1"/>
  <c r="Z334" i="1"/>
  <c r="Y336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BN23" i="1"/>
  <c r="Y493" i="1" s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Y494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BP308" i="1"/>
  <c r="BN308" i="1"/>
  <c r="Z308" i="1"/>
  <c r="Z309" i="1" s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Y495" i="1" l="1"/>
  <c r="Z300" i="1"/>
  <c r="Z416" i="1"/>
  <c r="Z316" i="1"/>
  <c r="Z209" i="1"/>
  <c r="Z120" i="1"/>
  <c r="Z106" i="1"/>
  <c r="Z44" i="1"/>
  <c r="Z32" i="1"/>
  <c r="Z497" i="1" s="1"/>
  <c r="Y496" i="1"/>
  <c r="X495" i="1"/>
  <c r="Z342" i="1"/>
  <c r="Z279" i="1"/>
  <c r="Z221" i="1"/>
  <c r="Z152" i="1"/>
  <c r="Y492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<sst xmlns="http://schemas.openxmlformats.org/spreadsheetml/2006/main" count="2362" uniqueCount="778">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</sst>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0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100</v>
      </c>
      <c r="Y41" s="548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180</v>
      </c>
      <c r="Y43" s="548">
        <f>IFERROR(IF(X43="",0,CEILING((X43/$H43),1)*$H43),"")</f>
        <v>180</v>
      </c>
      <c r="Z43" s="36">
        <f>IFERROR(IF(Y43=0,"",ROUNDUP(Y43/H43,0)*0.00902),"")</f>
        <v>0.40590000000000004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188.55</v>
      </c>
      <c r="BN43" s="64">
        <f>IFERROR(Y43*I43/H43,"0")</f>
        <v>188.55</v>
      </c>
      <c r="BO43" s="64">
        <f>IFERROR(1/J43*(X43/H43),"0")</f>
        <v>0.34090909090909094</v>
      </c>
      <c r="BP43" s="64">
        <f>IFERROR(1/J43*(Y43/H43),"0")</f>
        <v>0.34090909090909094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54.25925925925926</v>
      </c>
      <c r="Y44" s="549">
        <f>IFERROR(Y41/H41,"0")+IFERROR(Y42/H42,"0")+IFERROR(Y43/H43,"0")</f>
        <v>55</v>
      </c>
      <c r="Z44" s="549">
        <f>IFERROR(IF(Z41="",0,Z41),"0")+IFERROR(IF(Z42="",0,Z42),"0")+IFERROR(IF(Z43="",0,Z43),"0")</f>
        <v>0.59570000000000001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280</v>
      </c>
      <c r="Y45" s="549">
        <f>IFERROR(SUM(Y41:Y43),"0")</f>
        <v>288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190</v>
      </c>
      <c r="Y53" s="548">
        <f t="shared" si="0"/>
        <v>194.4</v>
      </c>
      <c r="Z53" s="36">
        <f>IFERROR(IF(Y53=0,"",ROUNDUP(Y53/H53,0)*0.01898),"")</f>
        <v>0.34164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197.21296296296296</v>
      </c>
      <c r="BN53" s="64">
        <f t="shared" si="2"/>
        <v>201.78</v>
      </c>
      <c r="BO53" s="64">
        <f t="shared" si="3"/>
        <v>0.27488425925925924</v>
      </c>
      <c r="BP53" s="64">
        <f t="shared" si="4"/>
        <v>0.28125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315</v>
      </c>
      <c r="Y57" s="548">
        <f t="shared" si="0"/>
        <v>315</v>
      </c>
      <c r="Z57" s="36">
        <f>IFERROR(IF(Y57=0,"",ROUNDUP(Y57/H57,0)*0.00902),"")</f>
        <v>0.63139999999999996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328.3</v>
      </c>
      <c r="BN57" s="64">
        <f t="shared" si="2"/>
        <v>328.3</v>
      </c>
      <c r="BO57" s="64">
        <f t="shared" si="3"/>
        <v>0.53030303030303028</v>
      </c>
      <c r="BP57" s="64">
        <f t="shared" si="4"/>
        <v>0.53030303030303028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87.592592592592595</v>
      </c>
      <c r="Y58" s="549">
        <f>IFERROR(Y52/H52,"0")+IFERROR(Y53/H53,"0")+IFERROR(Y54/H54,"0")+IFERROR(Y55/H55,"0")+IFERROR(Y56/H56,"0")+IFERROR(Y57/H57,"0")</f>
        <v>88</v>
      </c>
      <c r="Z58" s="549">
        <f>IFERROR(IF(Z52="",0,Z52),"0")+IFERROR(IF(Z53="",0,Z53),"0")+IFERROR(IF(Z54="",0,Z54),"0")+IFERROR(IF(Z55="",0,Z55),"0")+IFERROR(IF(Z56="",0,Z56),"0")+IFERROR(IF(Z57="",0,Z57),"0")</f>
        <v>0.97303999999999991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505</v>
      </c>
      <c r="Y59" s="549">
        <f>IFERROR(SUM(Y52:Y57),"0")</f>
        <v>509.4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120</v>
      </c>
      <c r="Y61" s="548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103.5</v>
      </c>
      <c r="Y63" s="548">
        <f>IFERROR(IF(X63="",0,CEILING((X63/$H63),1)*$H63),"")</f>
        <v>105.30000000000001</v>
      </c>
      <c r="Z63" s="36">
        <f>IFERROR(IF(Y63=0,"",ROUNDUP(Y63/H63,0)*0.00651),"")</f>
        <v>0.25389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110.39999999999999</v>
      </c>
      <c r="BN63" s="64">
        <f>IFERROR(Y63*I63/H63,"0")</f>
        <v>112.32</v>
      </c>
      <c r="BO63" s="64">
        <f>IFERROR(1/J63*(X63/H63),"0")</f>
        <v>0.21062271062271062</v>
      </c>
      <c r="BP63" s="64">
        <f>IFERROR(1/J63*(Y63/H63),"0")</f>
        <v>0.2142857142857143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49.444444444444443</v>
      </c>
      <c r="Y64" s="549">
        <f>IFERROR(Y61/H61,"0")+IFERROR(Y62/H62,"0")+IFERROR(Y63/H63,"0")</f>
        <v>51</v>
      </c>
      <c r="Z64" s="549">
        <f>IFERROR(IF(Z61="",0,Z61),"0")+IFERROR(IF(Z62="",0,Z62),"0")+IFERROR(IF(Z63="",0,Z63),"0")</f>
        <v>0.48165000000000002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223.5</v>
      </c>
      <c r="Y65" s="549">
        <f>IFERROR(SUM(Y61:Y63),"0")</f>
        <v>234.90000000000003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110</v>
      </c>
      <c r="Y86" s="548">
        <f>IFERROR(IF(X86="",0,CEILING((X86/$H86),1)*$H86),"")</f>
        <v>118.80000000000001</v>
      </c>
      <c r="Z86" s="36">
        <f>IFERROR(IF(Y86=0,"",ROUNDUP(Y86/H86,0)*0.01898),"")</f>
        <v>0.20877999999999999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114.17592592592594</v>
      </c>
      <c r="BN86" s="64">
        <f>IFERROR(Y86*I86/H86,"0")</f>
        <v>123.31000000000002</v>
      </c>
      <c r="BO86" s="64">
        <f>IFERROR(1/J86*(X86/H86),"0")</f>
        <v>0.15914351851851852</v>
      </c>
      <c r="BP86" s="64">
        <f>IFERROR(1/J86*(Y86/H86),"0")</f>
        <v>0.171875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202.5</v>
      </c>
      <c r="Y89" s="548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211.05</v>
      </c>
      <c r="BN89" s="64">
        <f>IFERROR(Y89*I89/H89,"0")</f>
        <v>211.05</v>
      </c>
      <c r="BO89" s="64">
        <f>IFERROR(1/J89*(X89/H89),"0")</f>
        <v>0.34090909090909094</v>
      </c>
      <c r="BP89" s="64">
        <f>IFERROR(1/J89*(Y89/H89),"0")</f>
        <v>0.34090909090909094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55.185185185185183</v>
      </c>
      <c r="Y90" s="549">
        <f>IFERROR(Y86/H86,"0")+IFERROR(Y87/H87,"0")+IFERROR(Y88/H88,"0")+IFERROR(Y89/H89,"0")</f>
        <v>56</v>
      </c>
      <c r="Z90" s="549">
        <f>IFERROR(IF(Z86="",0,Z86),"0")+IFERROR(IF(Z87="",0,Z87),"0")+IFERROR(IF(Z88="",0,Z88),"0")+IFERROR(IF(Z89="",0,Z89),"0")</f>
        <v>0.61468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312.5</v>
      </c>
      <c r="Y91" s="549">
        <f>IFERROR(SUM(Y86:Y89),"0")</f>
        <v>321.3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80</v>
      </c>
      <c r="Y93" s="548">
        <f>IFERROR(IF(X93="",0,CEILING((X93/$H93),1)*$H93),"")</f>
        <v>81</v>
      </c>
      <c r="Z93" s="36">
        <f>IFERROR(IF(Y93=0,"",ROUNDUP(Y93/H93,0)*0.01898),"")</f>
        <v>0.1898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84.879012345679016</v>
      </c>
      <c r="BN93" s="64">
        <f>IFERROR(Y93*I93/H93,"0")</f>
        <v>85.94</v>
      </c>
      <c r="BO93" s="64">
        <f>IFERROR(1/J93*(X93/H93),"0")</f>
        <v>0.15432098765432101</v>
      </c>
      <c r="BP93" s="64">
        <f>IFERROR(1/J93*(Y93/H93),"0")</f>
        <v>0.15625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112.5</v>
      </c>
      <c r="Y95" s="548">
        <f>IFERROR(IF(X95="",0,CEILING((X95/$H95),1)*$H95),"")</f>
        <v>113.4</v>
      </c>
      <c r="Z95" s="36">
        <f>IFERROR(IF(Y95=0,"",ROUNDUP(Y95/H95,0)*0.00651),"")</f>
        <v>0.27342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123</v>
      </c>
      <c r="BN95" s="64">
        <f>IFERROR(Y95*I95/H95,"0")</f>
        <v>123.98399999999999</v>
      </c>
      <c r="BO95" s="64">
        <f>IFERROR(1/J95*(X95/H95),"0")</f>
        <v>0.22893772893772893</v>
      </c>
      <c r="BP95" s="64">
        <f>IFERROR(1/J95*(Y95/H95),"0")</f>
        <v>0.23076923076923078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66</v>
      </c>
      <c r="Y96" s="548">
        <f>IFERROR(IF(X96="",0,CEILING((X96/$H96),1)*$H96),"")</f>
        <v>67.319999999999993</v>
      </c>
      <c r="Z96" s="36">
        <f>IFERROR(IF(Y96=0,"",ROUNDUP(Y96/H96,0)*0.00651),"")</f>
        <v>0.22134000000000001</v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74.599999999999994</v>
      </c>
      <c r="BN96" s="64">
        <f>IFERROR(Y96*I96/H96,"0")</f>
        <v>76.091999999999985</v>
      </c>
      <c r="BO96" s="64">
        <f>IFERROR(1/J96*(X96/H96),"0")</f>
        <v>0.18315018315018317</v>
      </c>
      <c r="BP96" s="64">
        <f>IFERROR(1/J96*(Y96/H96),"0")</f>
        <v>0.18681318681318682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84.876543209876544</v>
      </c>
      <c r="Y97" s="549">
        <f>IFERROR(Y93/H93,"0")+IFERROR(Y94/H94,"0")+IFERROR(Y95/H95,"0")+IFERROR(Y96/H96,"0")</f>
        <v>86</v>
      </c>
      <c r="Z97" s="549">
        <f>IFERROR(IF(Z93="",0,Z93),"0")+IFERROR(IF(Z94="",0,Z94),"0")+IFERROR(IF(Z95="",0,Z95),"0")+IFERROR(IF(Z96="",0,Z96),"0")</f>
        <v>0.68455999999999995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258.5</v>
      </c>
      <c r="Y98" s="549">
        <f>IFERROR(SUM(Y93:Y96),"0")</f>
        <v>261.72000000000003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55</v>
      </c>
      <c r="Y101" s="548">
        <f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57.087962962962969</v>
      </c>
      <c r="BN101" s="64">
        <f>IFERROR(Y101*I101/H101,"0")</f>
        <v>67.260000000000005</v>
      </c>
      <c r="BO101" s="64">
        <f>IFERROR(1/J101*(X101/H101),"0")</f>
        <v>7.9571759259259259E-2</v>
      </c>
      <c r="BP101" s="64">
        <f>IFERROR(1/J101*(Y101/H101),"0")</f>
        <v>9.3750000000000014E-2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82.5</v>
      </c>
      <c r="Y103" s="548">
        <f>IFERROR(IF(X103="",0,CEILING((X103/$H103),1)*$H103),"")</f>
        <v>82.5</v>
      </c>
      <c r="Z103" s="36">
        <f>IFERROR(IF(Y103=0,"",ROUNDUP(Y103/H103,0)*0.00902),"")</f>
        <v>0.19844000000000001</v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86.68</v>
      </c>
      <c r="BN103" s="64">
        <f>IFERROR(Y103*I103/H103,"0")</f>
        <v>86.68</v>
      </c>
      <c r="BO103" s="64">
        <f>IFERROR(1/J103*(X103/H103),"0")</f>
        <v>0.16666666666666669</v>
      </c>
      <c r="BP103" s="64">
        <f>IFERROR(1/J103*(Y103/H103),"0")</f>
        <v>0.16666666666666669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72</v>
      </c>
      <c r="Y104" s="548">
        <f>IFERROR(IF(X104="",0,CEILING((X104/$H104),1)*$H104),"")</f>
        <v>72</v>
      </c>
      <c r="Z104" s="36">
        <f>IFERROR(IF(Y104=0,"",ROUNDUP(Y104/H104,0)*0.00902),"")</f>
        <v>0.14432</v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75.040000000000006</v>
      </c>
      <c r="BN104" s="64">
        <f>IFERROR(Y104*I104/H104,"0")</f>
        <v>75.040000000000006</v>
      </c>
      <c r="BO104" s="64">
        <f>IFERROR(1/J104*(X104/H104),"0")</f>
        <v>0.12121212121212122</v>
      </c>
      <c r="BP104" s="64">
        <f>IFERROR(1/J104*(Y104/H104),"0")</f>
        <v>0.12121212121212122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43.092592592592595</v>
      </c>
      <c r="Y106" s="549">
        <f>IFERROR(Y101/H101,"0")+IFERROR(Y102/H102,"0")+IFERROR(Y103/H103,"0")+IFERROR(Y104/H104,"0")+IFERROR(Y105/H105,"0")</f>
        <v>44</v>
      </c>
      <c r="Z106" s="549">
        <f>IFERROR(IF(Z101="",0,Z101),"0")+IFERROR(IF(Z102="",0,Z102),"0")+IFERROR(IF(Z103="",0,Z103),"0")+IFERROR(IF(Z104="",0,Z104),"0")+IFERROR(IF(Z105="",0,Z105),"0")</f>
        <v>0.45664000000000005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209.5</v>
      </c>
      <c r="Y107" s="549">
        <f>IFERROR(SUM(Y101:Y105),"0")</f>
        <v>219.3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12</v>
      </c>
      <c r="Y111" s="548">
        <f>IFERROR(IF(X111="",0,CEILING((X111/$H111),1)*$H111),"")</f>
        <v>12</v>
      </c>
      <c r="Z111" s="36">
        <f>IFERROR(IF(Y111=0,"",ROUNDUP(Y111/H111,0)*0.00502),"")</f>
        <v>2.5100000000000001E-2</v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12.5</v>
      </c>
      <c r="BN111" s="64">
        <f>IFERROR(Y111*I111/H111,"0")</f>
        <v>12.5</v>
      </c>
      <c r="BO111" s="64">
        <f>IFERROR(1/J111*(X111/H111),"0")</f>
        <v>2.1367521367521368E-2</v>
      </c>
      <c r="BP111" s="64">
        <f>IFERROR(1/J111*(Y111/H111),"0")</f>
        <v>2.1367521367521368E-2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5</v>
      </c>
      <c r="Y113" s="549">
        <f>IFERROR(Y109/H109,"0")+IFERROR(Y110/H110,"0")+IFERROR(Y111/H111,"0")+IFERROR(Y112/H112,"0")</f>
        <v>5</v>
      </c>
      <c r="Z113" s="549">
        <f>IFERROR(IF(Z109="",0,Z109),"0")+IFERROR(IF(Z110="",0,Z110),"0")+IFERROR(IF(Z111="",0,Z111),"0")+IFERROR(IF(Z112="",0,Z112),"0")</f>
        <v>2.5100000000000001E-2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12</v>
      </c>
      <c r="Y114" s="549">
        <f>IFERROR(SUM(Y109:Y112),"0")</f>
        <v>12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80</v>
      </c>
      <c r="Y116" s="548">
        <f>IFERROR(IF(X116="",0,CEILING((X116/$H116),1)*$H116),"")</f>
        <v>81</v>
      </c>
      <c r="Z116" s="36">
        <f>IFERROR(IF(Y116=0,"",ROUNDUP(Y116/H116,0)*0.01898),"")</f>
        <v>0.1898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84.819753086419752</v>
      </c>
      <c r="BN116" s="64">
        <f>IFERROR(Y116*I116/H116,"0")</f>
        <v>85.88</v>
      </c>
      <c r="BO116" s="64">
        <f>IFERROR(1/J116*(X116/H116),"0")</f>
        <v>0.15432098765432101</v>
      </c>
      <c r="BP116" s="64">
        <f>IFERROR(1/J116*(Y116/H116),"0")</f>
        <v>0.15625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99</v>
      </c>
      <c r="Y117" s="548">
        <f>IFERROR(IF(X117="",0,CEILING((X117/$H117),1)*$H117),"")</f>
        <v>99</v>
      </c>
      <c r="Z117" s="36">
        <f>IFERROR(IF(Y117=0,"",ROUNDUP(Y117/H117,0)*0.00651),"")</f>
        <v>0.32550000000000001</v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111.3</v>
      </c>
      <c r="BN117" s="64">
        <f>IFERROR(Y117*I117/H117,"0")</f>
        <v>111.3</v>
      </c>
      <c r="BO117" s="64">
        <f>IFERROR(1/J117*(X117/H117),"0")</f>
        <v>0.27472527472527475</v>
      </c>
      <c r="BP117" s="64">
        <f>IFERROR(1/J117*(Y117/H117),"0")</f>
        <v>0.27472527472527475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81</v>
      </c>
      <c r="Y118" s="548">
        <f>IFERROR(IF(X118="",0,CEILING((X118/$H118),1)*$H118),"")</f>
        <v>81</v>
      </c>
      <c r="Z118" s="36">
        <f>IFERROR(IF(Y118=0,"",ROUNDUP(Y118/H118,0)*0.00651),"")</f>
        <v>0.1953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88.559999999999988</v>
      </c>
      <c r="BN118" s="64">
        <f>IFERROR(Y118*I118/H118,"0")</f>
        <v>88.559999999999988</v>
      </c>
      <c r="BO118" s="64">
        <f>IFERROR(1/J118*(X118/H118),"0")</f>
        <v>0.16483516483516483</v>
      </c>
      <c r="BP118" s="64">
        <f>IFERROR(1/J118*(Y118/H118),"0")</f>
        <v>0.16483516483516483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89.876543209876544</v>
      </c>
      <c r="Y120" s="549">
        <f>IFERROR(Y116/H116,"0")+IFERROR(Y117/H117,"0")+IFERROR(Y118/H118,"0")+IFERROR(Y119/H119,"0")</f>
        <v>90</v>
      </c>
      <c r="Z120" s="549">
        <f>IFERROR(IF(Z116="",0,Z116),"0")+IFERROR(IF(Z117="",0,Z117),"0")+IFERROR(IF(Z118="",0,Z118),"0")+IFERROR(IF(Z119="",0,Z119),"0")</f>
        <v>0.71060000000000001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260</v>
      </c>
      <c r="Y121" s="549">
        <f>IFERROR(SUM(Y116:Y119),"0")</f>
        <v>261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52</v>
      </c>
      <c r="Y128" s="548">
        <f>IFERROR(IF(X128="",0,CEILING((X128/$H128),1)*$H128),"")</f>
        <v>54.400000000000006</v>
      </c>
      <c r="Z128" s="36">
        <f>IFERROR(IF(Y128=0,"",ROUNDUP(Y128/H128,0)*0.00651),"")</f>
        <v>0.11067</v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54.924999999999997</v>
      </c>
      <c r="BN128" s="64">
        <f>IFERROR(Y128*I128/H128,"0")</f>
        <v>57.46</v>
      </c>
      <c r="BO128" s="64">
        <f>IFERROR(1/J128*(X128/H128),"0")</f>
        <v>8.9285714285714288E-2</v>
      </c>
      <c r="BP128" s="64">
        <f>IFERROR(1/J128*(Y128/H128),"0")</f>
        <v>9.3406593406593408E-2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16.25</v>
      </c>
      <c r="Y130" s="549">
        <f>IFERROR(Y128/H128,"0")+IFERROR(Y129/H129,"0")</f>
        <v>17</v>
      </c>
      <c r="Z130" s="549">
        <f>IFERROR(IF(Z128="",0,Z128),"0")+IFERROR(IF(Z129="",0,Z129),"0")</f>
        <v>0.11067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52</v>
      </c>
      <c r="Y131" s="549">
        <f>IFERROR(SUM(Y128:Y129),"0")</f>
        <v>54.400000000000006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45.5</v>
      </c>
      <c r="Y134" s="548">
        <f>IFERROR(IF(X134="",0,CEILING((X134/$H134),1)*$H134),"")</f>
        <v>47.599999999999994</v>
      </c>
      <c r="Z134" s="36">
        <f>IFERROR(IF(Y134=0,"",ROUNDUP(Y134/H134,0)*0.00651),"")</f>
        <v>0.11067</v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49.855000000000004</v>
      </c>
      <c r="BN134" s="64">
        <f>IFERROR(Y134*I134/H134,"0")</f>
        <v>52.156000000000006</v>
      </c>
      <c r="BO134" s="64">
        <f>IFERROR(1/J134*(X134/H134),"0")</f>
        <v>8.9285714285714288E-2</v>
      </c>
      <c r="BP134" s="64">
        <f>IFERROR(1/J134*(Y134/H134),"0")</f>
        <v>9.3406593406593408E-2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16.25</v>
      </c>
      <c r="Y135" s="549">
        <f>IFERROR(Y133/H133,"0")+IFERROR(Y134/H134,"0")</f>
        <v>17</v>
      </c>
      <c r="Z135" s="549">
        <f>IFERROR(IF(Z133="",0,Z133),"0")+IFERROR(IF(Z134="",0,Z134),"0")</f>
        <v>0.11067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45.5</v>
      </c>
      <c r="Y136" s="549">
        <f>IFERROR(SUM(Y133:Y134),"0")</f>
        <v>47.599999999999994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49.5</v>
      </c>
      <c r="Y139" s="548">
        <f>IFERROR(IF(X139="",0,CEILING((X139/$H139),1)*$H139),"")</f>
        <v>50.160000000000004</v>
      </c>
      <c r="Z139" s="36">
        <f>IFERROR(IF(Y139=0,"",ROUNDUP(Y139/H139,0)*0.00651),"")</f>
        <v>0.12369000000000001</v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54.524999999999999</v>
      </c>
      <c r="BN139" s="64">
        <f>IFERROR(Y139*I139/H139,"0")</f>
        <v>55.252000000000002</v>
      </c>
      <c r="BO139" s="64">
        <f>IFERROR(1/J139*(X139/H139),"0")</f>
        <v>0.10302197802197803</v>
      </c>
      <c r="BP139" s="64">
        <f>IFERROR(1/J139*(Y139/H139),"0")</f>
        <v>0.1043956043956044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18.75</v>
      </c>
      <c r="Y140" s="549">
        <f>IFERROR(Y138/H138,"0")+IFERROR(Y139/H139,"0")</f>
        <v>19</v>
      </c>
      <c r="Z140" s="549">
        <f>IFERROR(IF(Z138="",0,Z138),"0")+IFERROR(IF(Z139="",0,Z139),"0")</f>
        <v>0.12369000000000001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49.5</v>
      </c>
      <c r="Y141" s="549">
        <f>IFERROR(SUM(Y138:Y139),"0")</f>
        <v>50.160000000000004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120</v>
      </c>
      <c r="Y145" s="548">
        <f>IFERROR(IF(X145="",0,CEILING((X145/$H145),1)*$H145),"")</f>
        <v>120</v>
      </c>
      <c r="Z145" s="36">
        <f>IFERROR(IF(Y145=0,"",ROUNDUP(Y145/H145,0)*0.00902),"")</f>
        <v>0.27060000000000001</v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125.70000000000002</v>
      </c>
      <c r="BN145" s="64">
        <f>IFERROR(Y145*I145/H145,"0")</f>
        <v>125.70000000000002</v>
      </c>
      <c r="BO145" s="64">
        <f>IFERROR(1/J145*(X145/H145),"0")</f>
        <v>0.22727272727272729</v>
      </c>
      <c r="BP145" s="64">
        <f>IFERROR(1/J145*(Y145/H145),"0")</f>
        <v>0.22727272727272729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30</v>
      </c>
      <c r="Y146" s="549">
        <f>IFERROR(Y144/H144,"0")+IFERROR(Y145/H145,"0")</f>
        <v>30</v>
      </c>
      <c r="Z146" s="549">
        <f>IFERROR(IF(Z144="",0,Z144),"0")+IFERROR(IF(Z145="",0,Z145),"0")</f>
        <v>0.27060000000000001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120</v>
      </c>
      <c r="Y147" s="549">
        <f>IFERROR(SUM(Y144:Y145),"0")</f>
        <v>120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15</v>
      </c>
      <c r="Y149" s="548">
        <f>IFERROR(IF(X149="",0,CEILING((X149/$H149),1)*$H149),"")</f>
        <v>18</v>
      </c>
      <c r="Z149" s="36">
        <f>IFERROR(IF(Y149=0,"",ROUNDUP(Y149/H149,0)*0.01898),"")</f>
        <v>3.7960000000000001E-2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15.933333333333334</v>
      </c>
      <c r="BN149" s="64">
        <f>IFERROR(Y149*I149/H149,"0")</f>
        <v>19.12</v>
      </c>
      <c r="BO149" s="64">
        <f>IFERROR(1/J149*(X149/H149),"0")</f>
        <v>2.6041666666666668E-2</v>
      </c>
      <c r="BP149" s="64">
        <f>IFERROR(1/J149*(Y149/H149),"0")</f>
        <v>3.125E-2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1.6666666666666667</v>
      </c>
      <c r="Y152" s="549">
        <f>IFERROR(Y149/H149,"0")+IFERROR(Y150/H150,"0")+IFERROR(Y151/H151,"0")</f>
        <v>2</v>
      </c>
      <c r="Z152" s="549">
        <f>IFERROR(IF(Z149="",0,Z149),"0")+IFERROR(IF(Z150="",0,Z150),"0")+IFERROR(IF(Z151="",0,Z151),"0")</f>
        <v>3.7960000000000001E-2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15</v>
      </c>
      <c r="Y153" s="549">
        <f>IFERROR(SUM(Y149:Y151),"0")</f>
        <v>18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90</v>
      </c>
      <c r="Y168" s="548">
        <f t="shared" si="5"/>
        <v>92.4</v>
      </c>
      <c r="Z168" s="36">
        <f>IFERROR(IF(Y168=0,"",ROUNDUP(Y168/H168,0)*0.00902),"")</f>
        <v>0.19844000000000001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94.071428571428555</v>
      </c>
      <c r="BN168" s="64">
        <f t="shared" si="7"/>
        <v>96.579999999999984</v>
      </c>
      <c r="BO168" s="64">
        <f t="shared" si="8"/>
        <v>0.16233766233766234</v>
      </c>
      <c r="BP168" s="64">
        <f t="shared" si="9"/>
        <v>0.16666666666666669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84</v>
      </c>
      <c r="Y169" s="548">
        <f t="shared" si="5"/>
        <v>84</v>
      </c>
      <c r="Z169" s="36">
        <f>IFERROR(IF(Y169=0,"",ROUNDUP(Y169/H169,0)*0.00502),"")</f>
        <v>0.20080000000000001</v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89.199999999999989</v>
      </c>
      <c r="BN169" s="64">
        <f t="shared" si="7"/>
        <v>89.199999999999989</v>
      </c>
      <c r="BO169" s="64">
        <f t="shared" si="8"/>
        <v>0.17094017094017094</v>
      </c>
      <c r="BP169" s="64">
        <f t="shared" si="9"/>
        <v>0.17094017094017094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70</v>
      </c>
      <c r="Y171" s="548">
        <f t="shared" si="5"/>
        <v>71.400000000000006</v>
      </c>
      <c r="Z171" s="36">
        <f>IFERROR(IF(Y171=0,"",ROUNDUP(Y171/H171,0)*0.00502),"")</f>
        <v>0.17068</v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74.333333333333329</v>
      </c>
      <c r="BN171" s="64">
        <f t="shared" si="7"/>
        <v>75.820000000000007</v>
      </c>
      <c r="BO171" s="64">
        <f t="shared" si="8"/>
        <v>0.14245014245014245</v>
      </c>
      <c r="BP171" s="64">
        <f t="shared" si="9"/>
        <v>0.14529914529914531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133</v>
      </c>
      <c r="Y174" s="548">
        <f t="shared" si="5"/>
        <v>134.4</v>
      </c>
      <c r="Z174" s="36">
        <f>IFERROR(IF(Y174=0,"",ROUNDUP(Y174/H174,0)*0.00502),"")</f>
        <v>0.32128000000000001</v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139.33333333333334</v>
      </c>
      <c r="BN174" s="64">
        <f t="shared" si="7"/>
        <v>140.80000000000001</v>
      </c>
      <c r="BO174" s="64">
        <f t="shared" si="8"/>
        <v>0.27065527065527067</v>
      </c>
      <c r="BP174" s="64">
        <f t="shared" si="9"/>
        <v>0.27350427350427353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158.09523809523807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160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0.89119999999999999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377</v>
      </c>
      <c r="Y178" s="549">
        <f>IFERROR(SUM(Y165:Y176),"0")</f>
        <v>382.20000000000005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5.6000000000000014</v>
      </c>
      <c r="Y180" s="548">
        <f>IFERROR(IF(X180="",0,CEILING((X180/$H180),1)*$H180),"")</f>
        <v>6.3</v>
      </c>
      <c r="Z180" s="36">
        <f>IFERROR(IF(Y180=0,"",ROUNDUP(Y180/H180,0)*0.0059),"")</f>
        <v>2.9499999999999998E-2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6.4444444444444455</v>
      </c>
      <c r="BN180" s="64">
        <f>IFERROR(Y180*I180/H180,"0")</f>
        <v>7.25</v>
      </c>
      <c r="BO180" s="64">
        <f>IFERROR(1/J180*(X180/H180),"0")</f>
        <v>2.0576131687242802E-2</v>
      </c>
      <c r="BP180" s="64">
        <f>IFERROR(1/J180*(Y180/H180),"0")</f>
        <v>2.3148148148148147E-2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11.2</v>
      </c>
      <c r="Y181" s="548">
        <f>IFERROR(IF(X181="",0,CEILING((X181/$H181),1)*$H181),"")</f>
        <v>11.34</v>
      </c>
      <c r="Z181" s="36">
        <f>IFERROR(IF(Y181=0,"",ROUNDUP(Y181/H181,0)*0.0059),"")</f>
        <v>5.3100000000000001E-2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12.888888888888888</v>
      </c>
      <c r="BN181" s="64">
        <f>IFERROR(Y181*I181/H181,"0")</f>
        <v>13.049999999999999</v>
      </c>
      <c r="BO181" s="64">
        <f>IFERROR(1/J181*(X181/H181),"0")</f>
        <v>4.115226337448559E-2</v>
      </c>
      <c r="BP181" s="64">
        <f>IFERROR(1/J181*(Y181/H181),"0")</f>
        <v>4.1666666666666664E-2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9.8000000000000007</v>
      </c>
      <c r="Y182" s="548">
        <f>IFERROR(IF(X182="",0,CEILING((X182/$H182),1)*$H182),"")</f>
        <v>10.08</v>
      </c>
      <c r="Z182" s="36">
        <f>IFERROR(IF(Y182=0,"",ROUNDUP(Y182/H182,0)*0.0059),"")</f>
        <v>4.7199999999999999E-2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11.277777777777779</v>
      </c>
      <c r="BN182" s="64">
        <f>IFERROR(Y182*I182/H182,"0")</f>
        <v>11.6</v>
      </c>
      <c r="BO182" s="64">
        <f>IFERROR(1/J182*(X182/H182),"0")</f>
        <v>3.60082304526749E-2</v>
      </c>
      <c r="BP182" s="64">
        <f>IFERROR(1/J182*(Y182/H182),"0")</f>
        <v>3.7037037037037035E-2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21.111111111111111</v>
      </c>
      <c r="Y183" s="549">
        <f>IFERROR(Y180/H180,"0")+IFERROR(Y181/H181,"0")+IFERROR(Y182/H182,"0")</f>
        <v>22</v>
      </c>
      <c r="Z183" s="549">
        <f>IFERROR(IF(Z180="",0,Z180),"0")+IFERROR(IF(Z181="",0,Z181),"0")+IFERROR(IF(Z182="",0,Z182),"0")</f>
        <v>0.1298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26.6</v>
      </c>
      <c r="Y184" s="549">
        <f>IFERROR(SUM(Y180:Y182),"0")</f>
        <v>27.72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7.0000000000000009</v>
      </c>
      <c r="Y186" s="548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2.5720164609053499E-2</v>
      </c>
      <c r="BP186" s="64">
        <f>IFERROR(1/J186*(Y186/H186),"0")</f>
        <v>2.7777777777777776E-2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5.5555555555555562</v>
      </c>
      <c r="Y187" s="549">
        <f>IFERROR(Y186/H186,"0")</f>
        <v>6</v>
      </c>
      <c r="Z187" s="549">
        <f>IFERROR(IF(Z186="",0,Z186),"0")</f>
        <v>3.5400000000000001E-2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7.0000000000000009</v>
      </c>
      <c r="Y188" s="549">
        <f>IFERROR(SUM(Y186:Y186),"0")</f>
        <v>7.5600000000000005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20</v>
      </c>
      <c r="Y201" s="548">
        <f t="shared" ref="Y201:Y208" si="10">IFERROR(IF(X201="",0,CEILING((X201/$H201),1)*$H201),"")</f>
        <v>21.6</v>
      </c>
      <c r="Z201" s="36">
        <f>IFERROR(IF(Y201=0,"",ROUNDUP(Y201/H201,0)*0.00902),"")</f>
        <v>3.6080000000000001E-2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20.703703703703702</v>
      </c>
      <c r="BN201" s="64">
        <f t="shared" ref="BN201:BN208" si="12">IFERROR(Y201*I201/H201,"0")</f>
        <v>22.36</v>
      </c>
      <c r="BO201" s="64">
        <f t="shared" ref="BO201:BO208" si="13">IFERROR(1/J201*(X201/H201),"0")</f>
        <v>2.8058361391694722E-2</v>
      </c>
      <c r="BP201" s="64">
        <f t="shared" ref="BP201:BP208" si="14">IFERROR(1/J201*(Y201/H201),"0")</f>
        <v>3.0303030303030304E-2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140</v>
      </c>
      <c r="Y203" s="548">
        <f t="shared" si="10"/>
        <v>140.4</v>
      </c>
      <c r="Z203" s="36">
        <f>IFERROR(IF(Y203=0,"",ROUNDUP(Y203/H203,0)*0.00902),"")</f>
        <v>0.23452000000000001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144.92592592592592</v>
      </c>
      <c r="BN203" s="64">
        <f t="shared" si="12"/>
        <v>145.34</v>
      </c>
      <c r="BO203" s="64">
        <f t="shared" si="13"/>
        <v>0.19640852974186307</v>
      </c>
      <c r="BP203" s="64">
        <f t="shared" si="14"/>
        <v>0.19696969696969696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87</v>
      </c>
      <c r="Y205" s="548">
        <f t="shared" si="10"/>
        <v>88.2</v>
      </c>
      <c r="Z205" s="36">
        <f>IFERROR(IF(Y205=0,"",ROUNDUP(Y205/H205,0)*0.00502),"")</f>
        <v>0.24598</v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93.283333333333331</v>
      </c>
      <c r="BN205" s="64">
        <f t="shared" si="12"/>
        <v>94.57</v>
      </c>
      <c r="BO205" s="64">
        <f t="shared" si="13"/>
        <v>0.20655270655270655</v>
      </c>
      <c r="BP205" s="64">
        <f t="shared" si="14"/>
        <v>0.20940170940170943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45</v>
      </c>
      <c r="Y206" s="548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24</v>
      </c>
      <c r="Y208" s="548">
        <f t="shared" si="10"/>
        <v>25.2</v>
      </c>
      <c r="Z208" s="36">
        <f>IFERROR(IF(Y208=0,"",ROUNDUP(Y208/H208,0)*0.00502),"")</f>
        <v>7.0280000000000009E-2</v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25.333333333333329</v>
      </c>
      <c r="BN208" s="64">
        <f t="shared" si="12"/>
        <v>26.599999999999998</v>
      </c>
      <c r="BO208" s="64">
        <f t="shared" si="13"/>
        <v>5.6980056980056981E-2</v>
      </c>
      <c r="BP208" s="64">
        <f t="shared" si="14"/>
        <v>5.9829059829059839E-2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116.29629629629629</v>
      </c>
      <c r="Y209" s="549">
        <f>IFERROR(Y201/H201,"0")+IFERROR(Y202/H202,"0")+IFERROR(Y203/H203,"0")+IFERROR(Y204/H204,"0")+IFERROR(Y205/H205,"0")+IFERROR(Y206/H206,"0")+IFERROR(Y207/H207,"0")+IFERROR(Y208/H208,"0")</f>
        <v>118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0.71235999999999999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316</v>
      </c>
      <c r="Y210" s="549">
        <f>IFERROR(SUM(Y201:Y208),"0")</f>
        <v>320.39999999999998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116</v>
      </c>
      <c r="Y215" s="548">
        <f t="shared" si="15"/>
        <v>117.6</v>
      </c>
      <c r="Z215" s="36">
        <f t="shared" ref="Z215:Z220" si="20">IFERROR(IF(Y215=0,"",ROUNDUP(Y215/H215,0)*0.00651),"")</f>
        <v>0.31899</v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129.04999999999998</v>
      </c>
      <c r="BN215" s="64">
        <f t="shared" si="17"/>
        <v>130.82999999999998</v>
      </c>
      <c r="BO215" s="64">
        <f t="shared" si="18"/>
        <v>0.26556776556776562</v>
      </c>
      <c r="BP215" s="64">
        <f t="shared" si="19"/>
        <v>0.26923076923076927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196</v>
      </c>
      <c r="Y217" s="548">
        <f t="shared" si="15"/>
        <v>196.79999999999998</v>
      </c>
      <c r="Z217" s="36">
        <f t="shared" si="20"/>
        <v>0.53381999999999996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216.58</v>
      </c>
      <c r="BN217" s="64">
        <f t="shared" si="17"/>
        <v>217.464</v>
      </c>
      <c r="BO217" s="64">
        <f t="shared" si="18"/>
        <v>0.44871794871794879</v>
      </c>
      <c r="BP217" s="64">
        <f t="shared" si="19"/>
        <v>0.45054945054945056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180</v>
      </c>
      <c r="Y218" s="548">
        <f t="shared" si="15"/>
        <v>180</v>
      </c>
      <c r="Z218" s="36">
        <f t="shared" si="20"/>
        <v>0.48825000000000002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198.9</v>
      </c>
      <c r="BN218" s="64">
        <f t="shared" si="17"/>
        <v>198.9</v>
      </c>
      <c r="BO218" s="64">
        <f t="shared" si="18"/>
        <v>0.41208791208791212</v>
      </c>
      <c r="BP218" s="64">
        <f t="shared" si="19"/>
        <v>0.41208791208791212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100</v>
      </c>
      <c r="Y220" s="548">
        <f t="shared" si="15"/>
        <v>100.8</v>
      </c>
      <c r="Z220" s="36">
        <f t="shared" si="20"/>
        <v>0.27342</v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110.75000000000001</v>
      </c>
      <c r="BN220" s="64">
        <f t="shared" si="17"/>
        <v>111.63600000000001</v>
      </c>
      <c r="BO220" s="64">
        <f t="shared" si="18"/>
        <v>0.22893772893772898</v>
      </c>
      <c r="BP220" s="64">
        <f t="shared" si="19"/>
        <v>0.23076923076923078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246.66666666666669</v>
      </c>
      <c r="Y221" s="549">
        <f>IFERROR(Y212/H212,"0")+IFERROR(Y213/H213,"0")+IFERROR(Y214/H214,"0")+IFERROR(Y215/H215,"0")+IFERROR(Y216/H216,"0")+IFERROR(Y217/H217,"0")+IFERROR(Y218/H218,"0")+IFERROR(Y219/H219,"0")+IFERROR(Y220/H220,"0")</f>
        <v>248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1.6144799999999999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592</v>
      </c>
      <c r="Y222" s="549">
        <f>IFERROR(SUM(Y212:Y220),"0")</f>
        <v>595.19999999999993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24</v>
      </c>
      <c r="Y225" s="548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10</v>
      </c>
      <c r="Y226" s="549">
        <f>IFERROR(Y224/H224,"0")+IFERROR(Y225/H225,"0")</f>
        <v>10</v>
      </c>
      <c r="Z226" s="549">
        <f>IFERROR(IF(Z224="",0,Z224),"0")+IFERROR(IF(Z225="",0,Z225),"0")</f>
        <v>6.5100000000000005E-2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24</v>
      </c>
      <c r="Y227" s="549">
        <f>IFERROR(SUM(Y224:Y225),"0")</f>
        <v>24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6</v>
      </c>
      <c r="Y246" s="548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6.5833333333333339</v>
      </c>
      <c r="BN246" s="64">
        <f>IFERROR(Y246*I246/H246,"0")</f>
        <v>7.9</v>
      </c>
      <c r="BO246" s="64">
        <f>IFERROR(1/J246*(X246/H246),"0")</f>
        <v>1.5432098765432096E-2</v>
      </c>
      <c r="BP246" s="64">
        <f>IFERROR(1/J246*(Y246/H246),"0")</f>
        <v>1.8518518518518517E-2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3.333333333333333</v>
      </c>
      <c r="Y247" s="549">
        <f>IFERROR(Y246/H246,"0")</f>
        <v>4</v>
      </c>
      <c r="Z247" s="549">
        <f>IFERROR(IF(Z246="",0,Z246),"0")</f>
        <v>2.3599999999999999E-2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6</v>
      </c>
      <c r="Y248" s="549">
        <f>IFERROR(SUM(Y246:Y246),"0")</f>
        <v>7.2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2.75</v>
      </c>
      <c r="Y250" s="548">
        <f>IFERROR(IF(X250="",0,CEILING((X250/$H250),1)*$H250),"")</f>
        <v>2.9699999999999998</v>
      </c>
      <c r="Z250" s="36">
        <f>IFERROR(IF(Y250=0,"",ROUNDUP(Y250/H250,0)*0.0059),"")</f>
        <v>1.77E-2</v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3.2777777777777777</v>
      </c>
      <c r="BN250" s="64">
        <f>IFERROR(Y250*I250/H250,"0")</f>
        <v>3.5399999999999996</v>
      </c>
      <c r="BO250" s="64">
        <f>IFERROR(1/J250*(X250/H250),"0")</f>
        <v>1.2860082304526748E-2</v>
      </c>
      <c r="BP250" s="64">
        <f>IFERROR(1/J250*(Y250/H250),"0")</f>
        <v>1.3888888888888886E-2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3.6</v>
      </c>
      <c r="Y251" s="548">
        <f>IFERROR(IF(X251="",0,CEILING((X251/$H251),1)*$H251),"")</f>
        <v>3.6</v>
      </c>
      <c r="Z251" s="36">
        <f>IFERROR(IF(Y251=0,"",ROUNDUP(Y251/H251,0)*0.0059),"")</f>
        <v>1.18E-2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3.95</v>
      </c>
      <c r="BN251" s="64">
        <f>IFERROR(Y251*I251/H251,"0")</f>
        <v>3.95</v>
      </c>
      <c r="BO251" s="64">
        <f>IFERROR(1/J251*(X251/H251),"0")</f>
        <v>9.2592592592592587E-3</v>
      </c>
      <c r="BP251" s="64">
        <f>IFERROR(1/J251*(Y251/H251),"0")</f>
        <v>9.2592592592592587E-3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3</v>
      </c>
      <c r="Y252" s="548">
        <f>IFERROR(IF(X252="",0,CEILING((X252/$H252),1)*$H252),"")</f>
        <v>3.6</v>
      </c>
      <c r="Z252" s="36">
        <f>IFERROR(IF(Y252=0,"",ROUNDUP(Y252/H252,0)*0.0059),"")</f>
        <v>2.3599999999999999E-2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3.6333333333333337</v>
      </c>
      <c r="BN252" s="64">
        <f>IFERROR(Y252*I252/H252,"0")</f>
        <v>4.3600000000000003</v>
      </c>
      <c r="BO252" s="64">
        <f>IFERROR(1/J252*(X252/H252),"0")</f>
        <v>1.5432098765432096E-2</v>
      </c>
      <c r="BP252" s="64">
        <f>IFERROR(1/J252*(Y252/H252),"0")</f>
        <v>1.8518518518518517E-2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1.65</v>
      </c>
      <c r="Y253" s="548">
        <f>IFERROR(IF(X253="",0,CEILING((X253/$H253),1)*$H253),"")</f>
        <v>1.98</v>
      </c>
      <c r="Z253" s="36">
        <f>IFERROR(IF(Y253=0,"",ROUNDUP(Y253/H253,0)*0.0059),"")</f>
        <v>1.18E-2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1.9666666666666666</v>
      </c>
      <c r="BN253" s="64">
        <f>IFERROR(Y253*I253/H253,"0")</f>
        <v>2.36</v>
      </c>
      <c r="BO253" s="64">
        <f>IFERROR(1/J253*(X253/H253),"0")</f>
        <v>7.7160493827160481E-3</v>
      </c>
      <c r="BP253" s="64">
        <f>IFERROR(1/J253*(Y253/H253),"0")</f>
        <v>9.2592592592592587E-3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2.75</v>
      </c>
      <c r="Y254" s="548">
        <f>IFERROR(IF(X254="",0,CEILING((X254/$H254),1)*$H254),"")</f>
        <v>2.9699999999999998</v>
      </c>
      <c r="Z254" s="36">
        <f>IFERROR(IF(Y254=0,"",ROUNDUP(Y254/H254,0)*0.0059),"")</f>
        <v>1.77E-2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3.2777777777777777</v>
      </c>
      <c r="BN254" s="64">
        <f>IFERROR(Y254*I254/H254,"0")</f>
        <v>3.5399999999999996</v>
      </c>
      <c r="BO254" s="64">
        <f>IFERROR(1/J254*(X254/H254),"0")</f>
        <v>1.2860082304526748E-2</v>
      </c>
      <c r="BP254" s="64">
        <f>IFERROR(1/J254*(Y254/H254),"0")</f>
        <v>1.3888888888888886E-2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12.555555555555554</v>
      </c>
      <c r="Y255" s="549">
        <f>IFERROR(Y250/H250,"0")+IFERROR(Y251/H251,"0")+IFERROR(Y252/H252,"0")+IFERROR(Y253/H253,"0")+IFERROR(Y254/H254,"0")</f>
        <v>14</v>
      </c>
      <c r="Z255" s="549">
        <f>IFERROR(IF(Z250="",0,Z250),"0")+IFERROR(IF(Z251="",0,Z251),"0")+IFERROR(IF(Z252="",0,Z252),"0")+IFERROR(IF(Z253="",0,Z253),"0")+IFERROR(IF(Z254="",0,Z254),"0")</f>
        <v>8.2600000000000007E-2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13.75</v>
      </c>
      <c r="Y256" s="549">
        <f>IFERROR(SUM(Y250:Y254),"0")</f>
        <v>15.120000000000001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50</v>
      </c>
      <c r="Y259" s="548">
        <f>IFERROR(IF(X259="",0,CEILING((X259/$H259),1)*$H259),"")</f>
        <v>54</v>
      </c>
      <c r="Z259" s="36">
        <f>IFERROR(IF(Y259=0,"",ROUNDUP(Y259/H259,0)*0.01898),"")</f>
        <v>9.4899999999999998E-2</v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51.898148148148145</v>
      </c>
      <c r="BN259" s="64">
        <f>IFERROR(Y259*I259/H259,"0")</f>
        <v>56.05</v>
      </c>
      <c r="BO259" s="64">
        <f>IFERROR(1/J259*(X259/H259),"0")</f>
        <v>7.2337962962962965E-2</v>
      </c>
      <c r="BP259" s="64">
        <f>IFERROR(1/J259*(Y259/H259),"0")</f>
        <v>7.8125E-2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150</v>
      </c>
      <c r="Y261" s="548">
        <f>IFERROR(IF(X261="",0,CEILING((X261/$H261),1)*$H261),"")</f>
        <v>151.20000000000002</v>
      </c>
      <c r="Z261" s="36">
        <f>IFERROR(IF(Y261=0,"",ROUNDUP(Y261/H261,0)*0.01898),"")</f>
        <v>0.26572000000000001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155.69444444444446</v>
      </c>
      <c r="BN261" s="64">
        <f>IFERROR(Y261*I261/H261,"0")</f>
        <v>156.94</v>
      </c>
      <c r="BO261" s="64">
        <f>IFERROR(1/J261*(X261/H261),"0")</f>
        <v>0.21701388888888887</v>
      </c>
      <c r="BP261" s="64">
        <f>IFERROR(1/J261*(Y261/H261),"0")</f>
        <v>0.21875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18.518518518518519</v>
      </c>
      <c r="Y264" s="549">
        <f>IFERROR(Y259/H259,"0")+IFERROR(Y260/H260,"0")+IFERROR(Y261/H261,"0")+IFERROR(Y262/H262,"0")+IFERROR(Y263/H263,"0")</f>
        <v>19</v>
      </c>
      <c r="Z264" s="549">
        <f>IFERROR(IF(Z259="",0,Z259),"0")+IFERROR(IF(Z260="",0,Z260),"0")+IFERROR(IF(Z261="",0,Z261),"0")+IFERROR(IF(Z262="",0,Z262),"0")+IFERROR(IF(Z263="",0,Z263),"0")</f>
        <v>0.36062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200</v>
      </c>
      <c r="Y265" s="549">
        <f>IFERROR(SUM(Y259:Y263),"0")</f>
        <v>205.20000000000002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16</v>
      </c>
      <c r="Y277" s="548">
        <f>IFERROR(IF(X277="",0,CEILING((X277/$H277),1)*$H277),"")</f>
        <v>16.8</v>
      </c>
      <c r="Z277" s="36">
        <f>IFERROR(IF(Y277=0,"",ROUNDUP(Y277/H277,0)*0.00651),"")</f>
        <v>4.5569999999999999E-2</v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17.680000000000003</v>
      </c>
      <c r="BN277" s="64">
        <f>IFERROR(Y277*I277/H277,"0")</f>
        <v>18.564000000000004</v>
      </c>
      <c r="BO277" s="64">
        <f>IFERROR(1/J277*(X277/H277),"0")</f>
        <v>3.6630036630036632E-2</v>
      </c>
      <c r="BP277" s="64">
        <f>IFERROR(1/J277*(Y277/H277),"0")</f>
        <v>3.8461538461538471E-2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20</v>
      </c>
      <c r="Y278" s="548">
        <f>IFERROR(IF(X278="",0,CEILING((X278/$H278),1)*$H278),"")</f>
        <v>21.599999999999998</v>
      </c>
      <c r="Z278" s="36">
        <f>IFERROR(IF(Y278=0,"",ROUNDUP(Y278/H278,0)*0.00651),"")</f>
        <v>5.8590000000000003E-2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21.5</v>
      </c>
      <c r="BN278" s="64">
        <f>IFERROR(Y278*I278/H278,"0")</f>
        <v>23.22</v>
      </c>
      <c r="BO278" s="64">
        <f>IFERROR(1/J278*(X278/H278),"0")</f>
        <v>4.5787545787545791E-2</v>
      </c>
      <c r="BP278" s="64">
        <f>IFERROR(1/J278*(Y278/H278),"0")</f>
        <v>4.9450549450549455E-2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15</v>
      </c>
      <c r="Y279" s="549">
        <f>IFERROR(Y276/H276,"0")+IFERROR(Y277/H277,"0")+IFERROR(Y278/H278,"0")</f>
        <v>16</v>
      </c>
      <c r="Z279" s="549">
        <f>IFERROR(IF(Z276="",0,Z276),"0")+IFERROR(IF(Z277="",0,Z277),"0")+IFERROR(IF(Z278="",0,Z278),"0")</f>
        <v>0.10416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36</v>
      </c>
      <c r="Y280" s="549">
        <f>IFERROR(SUM(Y276:Y278),"0")</f>
        <v>38.4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80</v>
      </c>
      <c r="Y295" s="548">
        <f t="shared" si="26"/>
        <v>86.4</v>
      </c>
      <c r="Z295" s="36">
        <f>IFERROR(IF(Y295=0,"",ROUNDUP(Y295/H295,0)*0.01898),"")</f>
        <v>0.15184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83.037037037037038</v>
      </c>
      <c r="BN295" s="64">
        <f t="shared" si="28"/>
        <v>89.68</v>
      </c>
      <c r="BO295" s="64">
        <f t="shared" si="29"/>
        <v>0.11574074074074073</v>
      </c>
      <c r="BP295" s="64">
        <f t="shared" si="30"/>
        <v>0.125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90</v>
      </c>
      <c r="Y296" s="548">
        <f t="shared" si="26"/>
        <v>97.2</v>
      </c>
      <c r="Z296" s="36">
        <f>IFERROR(IF(Y296=0,"",ROUNDUP(Y296/H296,0)*0.01898),"")</f>
        <v>0.17082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93.416666666666671</v>
      </c>
      <c r="BN296" s="64">
        <f t="shared" si="28"/>
        <v>100.89</v>
      </c>
      <c r="BO296" s="64">
        <f t="shared" si="29"/>
        <v>0.13020833333333331</v>
      </c>
      <c r="BP296" s="64">
        <f t="shared" si="30"/>
        <v>0.140625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290</v>
      </c>
      <c r="Y297" s="548">
        <f t="shared" si="26"/>
        <v>291.60000000000002</v>
      </c>
      <c r="Z297" s="36">
        <f>IFERROR(IF(Y297=0,"",ROUNDUP(Y297/H297,0)*0.01898),"")</f>
        <v>0.51246000000000003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301.00925925925924</v>
      </c>
      <c r="BN297" s="64">
        <f t="shared" si="28"/>
        <v>302.67000000000007</v>
      </c>
      <c r="BO297" s="64">
        <f t="shared" si="29"/>
        <v>0.41956018518518517</v>
      </c>
      <c r="BP297" s="64">
        <f t="shared" si="30"/>
        <v>0.421875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24</v>
      </c>
      <c r="Y298" s="548">
        <f t="shared" si="26"/>
        <v>24</v>
      </c>
      <c r="Z298" s="36">
        <f>IFERROR(IF(Y298=0,"",ROUNDUP(Y298/H298,0)*0.00902),"")</f>
        <v>5.4120000000000001E-2</v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25.14</v>
      </c>
      <c r="BN298" s="64">
        <f t="shared" si="28"/>
        <v>25.14</v>
      </c>
      <c r="BO298" s="64">
        <f t="shared" si="29"/>
        <v>4.5454545454545456E-2</v>
      </c>
      <c r="BP298" s="64">
        <f t="shared" si="30"/>
        <v>4.5454545454545456E-2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28</v>
      </c>
      <c r="Y299" s="548">
        <f t="shared" si="26"/>
        <v>28</v>
      </c>
      <c r="Z299" s="36">
        <f>IFERROR(IF(Y299=0,"",ROUNDUP(Y299/H299,0)*0.00902),"")</f>
        <v>6.3140000000000002E-2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29.330000000000002</v>
      </c>
      <c r="BN299" s="64">
        <f t="shared" si="28"/>
        <v>29.330000000000002</v>
      </c>
      <c r="BO299" s="64">
        <f t="shared" si="29"/>
        <v>5.3030303030303032E-2</v>
      </c>
      <c r="BP299" s="64">
        <f t="shared" si="30"/>
        <v>5.3030303030303032E-2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55.592592592592588</v>
      </c>
      <c r="Y300" s="549">
        <f>IFERROR(Y294/H294,"0")+IFERROR(Y295/H295,"0")+IFERROR(Y296/H296,"0")+IFERROR(Y297/H297,"0")+IFERROR(Y298/H298,"0")+IFERROR(Y299/H299,"0")</f>
        <v>57</v>
      </c>
      <c r="Z300" s="549">
        <f>IFERROR(IF(Z294="",0,Z294),"0")+IFERROR(IF(Z295="",0,Z295),"0")+IFERROR(IF(Z296="",0,Z296),"0")+IFERROR(IF(Z297="",0,Z297),"0")+IFERROR(IF(Z298="",0,Z298),"0")+IFERROR(IF(Z299="",0,Z299),"0")</f>
        <v>0.95238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512</v>
      </c>
      <c r="Y301" s="549">
        <f>IFERROR(SUM(Y294:Y299),"0")</f>
        <v>527.20000000000005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90</v>
      </c>
      <c r="Y303" s="548">
        <f t="shared" ref="Y303:Y308" si="31">IFERROR(IF(X303="",0,CEILING((X303/$H303),1)*$H303),"")</f>
        <v>92.4</v>
      </c>
      <c r="Z303" s="36">
        <f>IFERROR(IF(Y303=0,"",ROUNDUP(Y303/H303,0)*0.00902),"")</f>
        <v>0.19844000000000001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95.357142857142847</v>
      </c>
      <c r="BN303" s="64">
        <f t="shared" ref="BN303:BN308" si="33">IFERROR(Y303*I303/H303,"0")</f>
        <v>97.9</v>
      </c>
      <c r="BO303" s="64">
        <f t="shared" ref="BO303:BO308" si="34">IFERROR(1/J303*(X303/H303),"0")</f>
        <v>0.16233766233766234</v>
      </c>
      <c r="BP303" s="64">
        <f t="shared" ref="BP303:BP308" si="35">IFERROR(1/J303*(Y303/H303),"0")</f>
        <v>0.16666666666666669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50</v>
      </c>
      <c r="Y304" s="548">
        <f t="shared" si="31"/>
        <v>50.400000000000006</v>
      </c>
      <c r="Z304" s="36">
        <f>IFERROR(IF(Y304=0,"",ROUNDUP(Y304/H304,0)*0.00902),"")</f>
        <v>0.10824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52.976190476190474</v>
      </c>
      <c r="BN304" s="64">
        <f t="shared" si="33"/>
        <v>53.400000000000006</v>
      </c>
      <c r="BO304" s="64">
        <f t="shared" si="34"/>
        <v>9.0187590187590191E-2</v>
      </c>
      <c r="BP304" s="64">
        <f t="shared" si="35"/>
        <v>9.0909090909090912E-2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19.25</v>
      </c>
      <c r="Y306" s="548">
        <f t="shared" si="31"/>
        <v>21</v>
      </c>
      <c r="Z306" s="36">
        <f>IFERROR(IF(Y306=0,"",ROUNDUP(Y306/H306,0)*0.00502),"")</f>
        <v>5.0200000000000002E-2</v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20.441666666666666</v>
      </c>
      <c r="BN306" s="64">
        <f t="shared" si="33"/>
        <v>22.299999999999997</v>
      </c>
      <c r="BO306" s="64">
        <f t="shared" si="34"/>
        <v>3.9173789173789178E-2</v>
      </c>
      <c r="BP306" s="64">
        <f t="shared" si="35"/>
        <v>4.2735042735042736E-2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45.5</v>
      </c>
      <c r="Y307" s="548">
        <f t="shared" si="31"/>
        <v>46.2</v>
      </c>
      <c r="Z307" s="36">
        <f>IFERROR(IF(Y307=0,"",ROUNDUP(Y307/H307,0)*0.00502),"")</f>
        <v>0.11044000000000001</v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47.666666666666671</v>
      </c>
      <c r="BN307" s="64">
        <f t="shared" si="33"/>
        <v>48.400000000000006</v>
      </c>
      <c r="BO307" s="64">
        <f t="shared" si="34"/>
        <v>9.2592592592592587E-2</v>
      </c>
      <c r="BP307" s="64">
        <f t="shared" si="35"/>
        <v>9.401709401709403E-2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69</v>
      </c>
      <c r="Y308" s="548">
        <f t="shared" si="31"/>
        <v>70.2</v>
      </c>
      <c r="Z308" s="36">
        <f>IFERROR(IF(Y308=0,"",ROUNDUP(Y308/H308,0)*0.00651),"")</f>
        <v>0.25389</v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77.739999999999995</v>
      </c>
      <c r="BN308" s="64">
        <f t="shared" si="33"/>
        <v>79.091999999999999</v>
      </c>
      <c r="BO308" s="64">
        <f t="shared" si="34"/>
        <v>0.21062271062271065</v>
      </c>
      <c r="BP308" s="64">
        <f t="shared" si="35"/>
        <v>0.2142857142857143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102.5</v>
      </c>
      <c r="Y309" s="549">
        <f>IFERROR(Y303/H303,"0")+IFERROR(Y304/H304,"0")+IFERROR(Y305/H305,"0")+IFERROR(Y306/H306,"0")+IFERROR(Y307/H307,"0")+IFERROR(Y308/H308,"0")</f>
        <v>105</v>
      </c>
      <c r="Z309" s="549">
        <f>IFERROR(IF(Z303="",0,Z303),"0")+IFERROR(IF(Z304="",0,Z304),"0")+IFERROR(IF(Z305="",0,Z305),"0")+IFERROR(IF(Z306="",0,Z306),"0")+IFERROR(IF(Z307="",0,Z307),"0")+IFERROR(IF(Z308="",0,Z308),"0")</f>
        <v>0.72121000000000013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273.75</v>
      </c>
      <c r="Y310" s="549">
        <f>IFERROR(SUM(Y303:Y308),"0")</f>
        <v>280.2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500</v>
      </c>
      <c r="Y312" s="548">
        <f>IFERROR(IF(X312="",0,CEILING((X312/$H312),1)*$H312),"")</f>
        <v>507</v>
      </c>
      <c r="Z312" s="36">
        <f>IFERROR(IF(Y312=0,"",ROUNDUP(Y312/H312,0)*0.01898),"")</f>
        <v>1.2337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531.28205128205127</v>
      </c>
      <c r="BN312" s="64">
        <f>IFERROR(Y312*I312/H312,"0")</f>
        <v>538.72</v>
      </c>
      <c r="BO312" s="64">
        <f>IFERROR(1/J312*(X312/H312),"0")</f>
        <v>1.0016025641025641</v>
      </c>
      <c r="BP312" s="64">
        <f>IFERROR(1/J312*(Y312/H312),"0")</f>
        <v>1.015625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120</v>
      </c>
      <c r="Y315" s="548">
        <f>IFERROR(IF(X315="",0,CEILING((X315/$H315),1)*$H315),"")</f>
        <v>120</v>
      </c>
      <c r="Z315" s="36">
        <f>IFERROR(IF(Y315=0,"",ROUNDUP(Y315/H315,0)*0.00651),"")</f>
        <v>0.26040000000000002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129.84</v>
      </c>
      <c r="BN315" s="64">
        <f>IFERROR(Y315*I315/H315,"0")</f>
        <v>129.84</v>
      </c>
      <c r="BO315" s="64">
        <f>IFERROR(1/J315*(X315/H315),"0")</f>
        <v>0.2197802197802198</v>
      </c>
      <c r="BP315" s="64">
        <f>IFERROR(1/J315*(Y315/H315),"0")</f>
        <v>0.2197802197802198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104.1025641025641</v>
      </c>
      <c r="Y316" s="549">
        <f>IFERROR(Y312/H312,"0")+IFERROR(Y313/H313,"0")+IFERROR(Y314/H314,"0")+IFERROR(Y315/H315,"0")</f>
        <v>105</v>
      </c>
      <c r="Z316" s="549">
        <f>IFERROR(IF(Z312="",0,Z312),"0")+IFERROR(IF(Z313="",0,Z313),"0")+IFERROR(IF(Z314="",0,Z314),"0")+IFERROR(IF(Z315="",0,Z315),"0")</f>
        <v>1.4941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620</v>
      </c>
      <c r="Y317" s="549">
        <f>IFERROR(SUM(Y312:Y315),"0")</f>
        <v>627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80</v>
      </c>
      <c r="Y319" s="548">
        <f>IFERROR(IF(X319="",0,CEILING((X319/$H319),1)*$H319),"")</f>
        <v>84</v>
      </c>
      <c r="Z319" s="36">
        <f>IFERROR(IF(Y319=0,"",ROUNDUP(Y319/H319,0)*0.01898),"")</f>
        <v>0.1898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84.704761904761895</v>
      </c>
      <c r="BN319" s="64">
        <f>IFERROR(Y319*I319/H319,"0")</f>
        <v>88.94</v>
      </c>
      <c r="BO319" s="64">
        <f>IFERROR(1/J319*(X319/H319),"0")</f>
        <v>0.14880952380952381</v>
      </c>
      <c r="BP319" s="64">
        <f>IFERROR(1/J319*(Y319/H319),"0")</f>
        <v>0.15625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100</v>
      </c>
      <c r="Y320" s="548">
        <f>IFERROR(IF(X320="",0,CEILING((X320/$H320),1)*$H320),"")</f>
        <v>101.39999999999999</v>
      </c>
      <c r="Z320" s="36">
        <f>IFERROR(IF(Y320=0,"",ROUNDUP(Y320/H320,0)*0.01898),"")</f>
        <v>0.24674000000000001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106.33333333333334</v>
      </c>
      <c r="BN320" s="64">
        <f>IFERROR(Y320*I320/H320,"0")</f>
        <v>107.82199999999999</v>
      </c>
      <c r="BO320" s="64">
        <f>IFERROR(1/J320*(X320/H320),"0")</f>
        <v>0.20032051282051283</v>
      </c>
      <c r="BP320" s="64">
        <f>IFERROR(1/J320*(Y320/H320),"0")</f>
        <v>0.203125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90</v>
      </c>
      <c r="Y321" s="548">
        <f>IFERROR(IF(X321="",0,CEILING((X321/$H321),1)*$H321),"")</f>
        <v>92.4</v>
      </c>
      <c r="Z321" s="36">
        <f>IFERROR(IF(Y321=0,"",ROUNDUP(Y321/H321,0)*0.01898),"")</f>
        <v>0.20877999999999999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95.292857142857144</v>
      </c>
      <c r="BN321" s="64">
        <f>IFERROR(Y321*I321/H321,"0")</f>
        <v>97.834000000000003</v>
      </c>
      <c r="BO321" s="64">
        <f>IFERROR(1/J321*(X321/H321),"0")</f>
        <v>0.16741071428571427</v>
      </c>
      <c r="BP321" s="64">
        <f>IFERROR(1/J321*(Y321/H321),"0")</f>
        <v>0.171875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33.058608058608058</v>
      </c>
      <c r="Y322" s="549">
        <f>IFERROR(Y319/H319,"0")+IFERROR(Y320/H320,"0")+IFERROR(Y321/H321,"0")</f>
        <v>34</v>
      </c>
      <c r="Z322" s="549">
        <f>IFERROR(IF(Z319="",0,Z319),"0")+IFERROR(IF(Z320="",0,Z320),"0")+IFERROR(IF(Z321="",0,Z321),"0")</f>
        <v>0.64532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270</v>
      </c>
      <c r="Y323" s="549">
        <f>IFERROR(SUM(Y319:Y321),"0")</f>
        <v>277.79999999999995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8</v>
      </c>
      <c r="Y325" s="548">
        <f>IFERROR(IF(X325="",0,CEILING((X325/$H325),1)*$H325),"")</f>
        <v>9.120000000000001</v>
      </c>
      <c r="Z325" s="36">
        <f>IFERROR(IF(Y325=0,"",ROUNDUP(Y325/H325,0)*0.00902),"")</f>
        <v>2.7060000000000001E-2</v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8.7105263157894743</v>
      </c>
      <c r="BN325" s="64">
        <f>IFERROR(Y325*I325/H325,"0")</f>
        <v>9.9300000000000015</v>
      </c>
      <c r="BO325" s="64">
        <f>IFERROR(1/J325*(X325/H325),"0")</f>
        <v>1.9936204146730464E-2</v>
      </c>
      <c r="BP325" s="64">
        <f>IFERROR(1/J325*(Y325/H325),"0")</f>
        <v>2.2727272727272731E-2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4</v>
      </c>
      <c r="Y326" s="548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4.3026315789473681</v>
      </c>
      <c r="BN326" s="64">
        <f>IFERROR(Y326*I326/H326,"0")</f>
        <v>6.5399999999999991</v>
      </c>
      <c r="BO326" s="64">
        <f>IFERROR(1/J326*(X326/H326),"0")</f>
        <v>9.9681020733652318E-3</v>
      </c>
      <c r="BP326" s="64">
        <f>IFERROR(1/J326*(Y326/H326),"0")</f>
        <v>1.5151515151515152E-2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11.9</v>
      </c>
      <c r="Y327" s="548">
        <f>IFERROR(IF(X327="",0,CEILING((X327/$H327),1)*$H327),"")</f>
        <v>12.75</v>
      </c>
      <c r="Z327" s="36">
        <f>IFERROR(IF(Y327=0,"",ROUNDUP(Y327/H327,0)*0.00651),"")</f>
        <v>3.2550000000000003E-2</v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13.790000000000003</v>
      </c>
      <c r="BN327" s="64">
        <f>IFERROR(Y327*I327/H327,"0")</f>
        <v>14.775000000000002</v>
      </c>
      <c r="BO327" s="64">
        <f>IFERROR(1/J327*(X327/H327),"0")</f>
        <v>2.5641025641025644E-2</v>
      </c>
      <c r="BP327" s="64">
        <f>IFERROR(1/J327*(Y327/H327),"0")</f>
        <v>2.7472527472527476E-2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20.399999999999999</v>
      </c>
      <c r="Y328" s="548">
        <f>IFERROR(IF(X328="",0,CEILING((X328/$H328),1)*$H328),"")</f>
        <v>20.399999999999999</v>
      </c>
      <c r="Z328" s="36">
        <f>IFERROR(IF(Y328=0,"",ROUNDUP(Y328/H328,0)*0.00651),"")</f>
        <v>5.2080000000000001E-2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23.04</v>
      </c>
      <c r="BN328" s="64">
        <f>IFERROR(Y328*I328/H328,"0")</f>
        <v>23.04</v>
      </c>
      <c r="BO328" s="64">
        <f>IFERROR(1/J328*(X328/H328),"0")</f>
        <v>4.3956043956043959E-2</v>
      </c>
      <c r="BP328" s="64">
        <f>IFERROR(1/J328*(Y328/H328),"0")</f>
        <v>4.3956043956043959E-2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16.614035087719298</v>
      </c>
      <c r="Y329" s="549">
        <f>IFERROR(Y325/H325,"0")+IFERROR(Y326/H326,"0")+IFERROR(Y327/H327,"0")+IFERROR(Y328/H328,"0")</f>
        <v>18</v>
      </c>
      <c r="Z329" s="549">
        <f>IFERROR(IF(Z325="",0,Z325),"0")+IFERROR(IF(Z326="",0,Z326),"0")+IFERROR(IF(Z327="",0,Z327),"0")+IFERROR(IF(Z328="",0,Z328),"0")</f>
        <v>0.12973000000000001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44.3</v>
      </c>
      <c r="Y330" s="549">
        <f>IFERROR(SUM(Y325:Y328),"0")</f>
        <v>48.35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21</v>
      </c>
      <c r="Y332" s="548">
        <f>IFERROR(IF(X332="",0,CEILING((X332/$H332),1)*$H332),"")</f>
        <v>22</v>
      </c>
      <c r="Z332" s="36">
        <f>IFERROR(IF(Y332=0,"",ROUNDUP(Y332/H332,0)*0.00474),"")</f>
        <v>5.2140000000000006E-2</v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23.520000000000003</v>
      </c>
      <c r="BN332" s="64">
        <f>IFERROR(Y332*I332/H332,"0")</f>
        <v>24.64</v>
      </c>
      <c r="BO332" s="64">
        <f>IFERROR(1/J332*(X332/H332),"0")</f>
        <v>4.4117647058823525E-2</v>
      </c>
      <c r="BP332" s="64">
        <f>IFERROR(1/J332*(Y332/H332),"0")</f>
        <v>4.6218487394957979E-2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16</v>
      </c>
      <c r="Y333" s="548">
        <f>IFERROR(IF(X333="",0,CEILING((X333/$H333),1)*$H333),"")</f>
        <v>16</v>
      </c>
      <c r="Z333" s="36">
        <f>IFERROR(IF(Y333=0,"",ROUNDUP(Y333/H333,0)*0.00474),"")</f>
        <v>3.7920000000000002E-2</v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17.920000000000002</v>
      </c>
      <c r="BN333" s="64">
        <f>IFERROR(Y333*I333/H333,"0")</f>
        <v>17.920000000000002</v>
      </c>
      <c r="BO333" s="64">
        <f>IFERROR(1/J333*(X333/H333),"0")</f>
        <v>3.3613445378151259E-2</v>
      </c>
      <c r="BP333" s="64">
        <f>IFERROR(1/J333*(Y333/H333),"0")</f>
        <v>3.3613445378151259E-2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29</v>
      </c>
      <c r="Y334" s="548">
        <f>IFERROR(IF(X334="",0,CEILING((X334/$H334),1)*$H334),"")</f>
        <v>30</v>
      </c>
      <c r="Z334" s="36">
        <f>IFERROR(IF(Y334=0,"",ROUNDUP(Y334/H334,0)*0.00474),"")</f>
        <v>7.110000000000001E-2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32.480000000000004</v>
      </c>
      <c r="BN334" s="64">
        <f>IFERROR(Y334*I334/H334,"0")</f>
        <v>33.6</v>
      </c>
      <c r="BO334" s="64">
        <f>IFERROR(1/J334*(X334/H334),"0")</f>
        <v>6.0924369747899158E-2</v>
      </c>
      <c r="BP334" s="64">
        <f>IFERROR(1/J334*(Y334/H334),"0")</f>
        <v>6.3025210084033612E-2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33</v>
      </c>
      <c r="Y335" s="549">
        <f>IFERROR(Y332/H332,"0")+IFERROR(Y333/H333,"0")+IFERROR(Y334/H334,"0")</f>
        <v>34</v>
      </c>
      <c r="Z335" s="549">
        <f>IFERROR(IF(Z332="",0,Z332),"0")+IFERROR(IF(Z333="",0,Z333),"0")+IFERROR(IF(Z334="",0,Z334),"0")</f>
        <v>0.16116000000000003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66</v>
      </c>
      <c r="Y336" s="549">
        <f>IFERROR(SUM(Y332:Y334),"0")</f>
        <v>68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301</v>
      </c>
      <c r="Y340" s="548">
        <f>IFERROR(IF(X340="",0,CEILING((X340/$H340),1)*$H340),"")</f>
        <v>302.40000000000003</v>
      </c>
      <c r="Z340" s="36">
        <f>IFERROR(IF(Y340=0,"",ROUNDUP(Y340/H340,0)*0.00651),"")</f>
        <v>0.93744000000000005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337.12</v>
      </c>
      <c r="BN340" s="64">
        <f>IFERROR(Y340*I340/H340,"0")</f>
        <v>338.68799999999999</v>
      </c>
      <c r="BO340" s="64">
        <f>IFERROR(1/J340*(X340/H340),"0")</f>
        <v>0.78754578754578752</v>
      </c>
      <c r="BP340" s="64">
        <f>IFERROR(1/J340*(Y340/H340),"0")</f>
        <v>0.79120879120879128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94.5</v>
      </c>
      <c r="Y341" s="548">
        <f>IFERROR(IF(X341="",0,CEILING((X341/$H341),1)*$H341),"")</f>
        <v>94.5</v>
      </c>
      <c r="Z341" s="36">
        <f>IFERROR(IF(Y341=0,"",ROUNDUP(Y341/H341,0)*0.00651),"")</f>
        <v>0.29294999999999999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105.3</v>
      </c>
      <c r="BN341" s="64">
        <f>IFERROR(Y341*I341/H341,"0")</f>
        <v>105.3</v>
      </c>
      <c r="BO341" s="64">
        <f>IFERROR(1/J341*(X341/H341),"0")</f>
        <v>0.24725274725274726</v>
      </c>
      <c r="BP341" s="64">
        <f>IFERROR(1/J341*(Y341/H341),"0")</f>
        <v>0.24725274725274726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188.33333333333331</v>
      </c>
      <c r="Y342" s="549">
        <f>IFERROR(Y339/H339,"0")+IFERROR(Y340/H340,"0")+IFERROR(Y341/H341,"0")</f>
        <v>189</v>
      </c>
      <c r="Z342" s="549">
        <f>IFERROR(IF(Z339="",0,Z339),"0")+IFERROR(IF(Z340="",0,Z340),"0")+IFERROR(IF(Z341="",0,Z341),"0")</f>
        <v>1.2303900000000001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395.5</v>
      </c>
      <c r="Y343" s="549">
        <f>IFERROR(SUM(Y339:Y341),"0")</f>
        <v>396.90000000000003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200</v>
      </c>
      <c r="Y347" s="548">
        <f t="shared" ref="Y347:Y353" si="36">IFERROR(IF(X347="",0,CEILING((X347/$H347),1)*$H347),"")</f>
        <v>210</v>
      </c>
      <c r="Z347" s="36">
        <f>IFERROR(IF(Y347=0,"",ROUNDUP(Y347/H347,0)*0.02175),"")</f>
        <v>0.30449999999999999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206.26666666666668</v>
      </c>
      <c r="BN347" s="64">
        <f t="shared" ref="BN347:BN353" si="38">IFERROR(Y347*I347/H347,"0")</f>
        <v>216.58</v>
      </c>
      <c r="BO347" s="64">
        <f t="shared" ref="BO347:BO353" si="39">IFERROR(1/J347*(X347/H347),"0")</f>
        <v>0.27777777777777779</v>
      </c>
      <c r="BP347" s="64">
        <f t="shared" ref="BP347:BP353" si="40">IFERROR(1/J347*(Y347/H347),"0")</f>
        <v>0.29166666666666663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350</v>
      </c>
      <c r="Y348" s="548">
        <f t="shared" si="36"/>
        <v>360</v>
      </c>
      <c r="Z348" s="36">
        <f>IFERROR(IF(Y348=0,"",ROUNDUP(Y348/H348,0)*0.02175),"")</f>
        <v>0.52200000000000002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360.96666666666664</v>
      </c>
      <c r="BN348" s="64">
        <f t="shared" si="38"/>
        <v>371.28</v>
      </c>
      <c r="BO348" s="64">
        <f t="shared" si="39"/>
        <v>0.48611111111111105</v>
      </c>
      <c r="BP348" s="64">
        <f t="shared" si="40"/>
        <v>0.5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660</v>
      </c>
      <c r="Y350" s="548">
        <f t="shared" si="36"/>
        <v>660</v>
      </c>
      <c r="Z350" s="36">
        <f>IFERROR(IF(Y350=0,"",ROUNDUP(Y350/H350,0)*0.02175),"")</f>
        <v>0.95699999999999996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680.68000000000006</v>
      </c>
      <c r="BN350" s="64">
        <f t="shared" si="38"/>
        <v>680.68000000000006</v>
      </c>
      <c r="BO350" s="64">
        <f t="shared" si="39"/>
        <v>0.91666666666666663</v>
      </c>
      <c r="BP350" s="64">
        <f t="shared" si="40"/>
        <v>0.91666666666666663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25</v>
      </c>
      <c r="Y352" s="548">
        <f t="shared" si="36"/>
        <v>25</v>
      </c>
      <c r="Z352" s="36">
        <f>IFERROR(IF(Y352=0,"",ROUNDUP(Y352/H352,0)*0.00902),"")</f>
        <v>4.5100000000000001E-2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25.95</v>
      </c>
      <c r="BN352" s="64">
        <f t="shared" si="38"/>
        <v>25.95</v>
      </c>
      <c r="BO352" s="64">
        <f t="shared" si="39"/>
        <v>3.787878787878788E-2</v>
      </c>
      <c r="BP352" s="64">
        <f t="shared" si="40"/>
        <v>3.787878787878788E-2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35</v>
      </c>
      <c r="Y353" s="548">
        <f t="shared" si="36"/>
        <v>35</v>
      </c>
      <c r="Z353" s="36">
        <f>IFERROR(IF(Y353=0,"",ROUNDUP(Y353/H353,0)*0.00902),"")</f>
        <v>6.3140000000000002E-2</v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36.33</v>
      </c>
      <c r="BN353" s="64">
        <f t="shared" si="38"/>
        <v>36.33</v>
      </c>
      <c r="BO353" s="64">
        <f t="shared" si="39"/>
        <v>5.3030303030303032E-2</v>
      </c>
      <c r="BP353" s="64">
        <f t="shared" si="40"/>
        <v>5.3030303030303032E-2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92.666666666666657</v>
      </c>
      <c r="Y354" s="549">
        <f>IFERROR(Y347/H347,"0")+IFERROR(Y348/H348,"0")+IFERROR(Y349/H349,"0")+IFERROR(Y350/H350,"0")+IFERROR(Y351/H351,"0")+IFERROR(Y352/H352,"0")+IFERROR(Y353/H353,"0")</f>
        <v>94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1.89174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1270</v>
      </c>
      <c r="Y355" s="549">
        <f>IFERROR(SUM(Y347:Y353),"0")</f>
        <v>1290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500</v>
      </c>
      <c r="Y357" s="548">
        <f>IFERROR(IF(X357="",0,CEILING((X357/$H357),1)*$H357),"")</f>
        <v>510</v>
      </c>
      <c r="Z357" s="36">
        <f>IFERROR(IF(Y357=0,"",ROUNDUP(Y357/H357,0)*0.02175),"")</f>
        <v>0.73949999999999994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515.66666666666663</v>
      </c>
      <c r="BN357" s="64">
        <f>IFERROR(Y357*I357/H357,"0")</f>
        <v>525.98</v>
      </c>
      <c r="BO357" s="64">
        <f>IFERROR(1/J357*(X357/H357),"0")</f>
        <v>0.69444444444444442</v>
      </c>
      <c r="BP357" s="64">
        <f>IFERROR(1/J357*(Y357/H357),"0")</f>
        <v>0.70833333333333326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12</v>
      </c>
      <c r="Y358" s="548">
        <f>IFERROR(IF(X358="",0,CEILING((X358/$H358),1)*$H358),"")</f>
        <v>12</v>
      </c>
      <c r="Z358" s="36">
        <f>IFERROR(IF(Y358=0,"",ROUNDUP(Y358/H358,0)*0.00902),"")</f>
        <v>2.7060000000000001E-2</v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12.57</v>
      </c>
      <c r="BN358" s="64">
        <f>IFERROR(Y358*I358/H358,"0")</f>
        <v>12.57</v>
      </c>
      <c r="BO358" s="64">
        <f>IFERROR(1/J358*(X358/H358),"0")</f>
        <v>2.2727272727272728E-2</v>
      </c>
      <c r="BP358" s="64">
        <f>IFERROR(1/J358*(Y358/H358),"0")</f>
        <v>2.2727272727272728E-2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36.333333333333336</v>
      </c>
      <c r="Y359" s="549">
        <f>IFERROR(Y357/H357,"0")+IFERROR(Y358/H358,"0")</f>
        <v>37</v>
      </c>
      <c r="Z359" s="549">
        <f>IFERROR(IF(Z357="",0,Z357),"0")+IFERROR(IF(Z358="",0,Z358),"0")</f>
        <v>0.76655999999999991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512</v>
      </c>
      <c r="Y360" s="549">
        <f>IFERROR(SUM(Y357:Y358),"0")</f>
        <v>522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60</v>
      </c>
      <c r="Y382" s="548">
        <f>IFERROR(IF(X382="",0,CEILING((X382/$H382),1)*$H382),"")</f>
        <v>63</v>
      </c>
      <c r="Z382" s="36">
        <f>IFERROR(IF(Y382=0,"",ROUNDUP(Y382/H382,0)*0.01898),"")</f>
        <v>0.13286000000000001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63.293333333333329</v>
      </c>
      <c r="BN382" s="64">
        <f>IFERROR(Y382*I382/H382,"0")</f>
        <v>66.457999999999998</v>
      </c>
      <c r="BO382" s="64">
        <f>IFERROR(1/J382*(X382/H382),"0")</f>
        <v>0.10416666666666667</v>
      </c>
      <c r="BP382" s="64">
        <f>IFERROR(1/J382*(Y382/H382),"0")</f>
        <v>0.109375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64</v>
      </c>
      <c r="Y383" s="548">
        <f>IFERROR(IF(X383="",0,CEILING((X383/$H383),1)*$H383),"")</f>
        <v>64.8</v>
      </c>
      <c r="Z383" s="36">
        <f>IFERROR(IF(Y383=0,"",ROUNDUP(Y383/H383,0)*0.00651),"")</f>
        <v>0.17577000000000001</v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71.040000000000006</v>
      </c>
      <c r="BN383" s="64">
        <f>IFERROR(Y383*I383/H383,"0")</f>
        <v>71.927999999999997</v>
      </c>
      <c r="BO383" s="64">
        <f>IFERROR(1/J383*(X383/H383),"0")</f>
        <v>0.14652014652014653</v>
      </c>
      <c r="BP383" s="64">
        <f>IFERROR(1/J383*(Y383/H383),"0")</f>
        <v>0.14835164835164835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33.333333333333336</v>
      </c>
      <c r="Y385" s="549">
        <f>IFERROR(Y382/H382,"0")+IFERROR(Y383/H383,"0")+IFERROR(Y384/H384,"0")</f>
        <v>34</v>
      </c>
      <c r="Z385" s="549">
        <f>IFERROR(IF(Z382="",0,Z382),"0")+IFERROR(IF(Z383="",0,Z383),"0")+IFERROR(IF(Z384="",0,Z384),"0")</f>
        <v>0.30863000000000002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124</v>
      </c>
      <c r="Y386" s="549">
        <f>IFERROR(SUM(Y382:Y384),"0")</f>
        <v>127.8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3.5</v>
      </c>
      <c r="Y394" s="548">
        <f t="shared" si="41"/>
        <v>4.2</v>
      </c>
      <c r="Z394" s="36">
        <f t="shared" si="46"/>
        <v>1.004E-2</v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3.7166666666666663</v>
      </c>
      <c r="BN394" s="64">
        <f t="shared" si="43"/>
        <v>4.46</v>
      </c>
      <c r="BO394" s="64">
        <f t="shared" si="44"/>
        <v>7.1225071225071226E-3</v>
      </c>
      <c r="BP394" s="64">
        <f t="shared" si="45"/>
        <v>8.5470085470085479E-3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1.6666666666666665</v>
      </c>
      <c r="Y399" s="549">
        <f>IFERROR(Y390/H390,"0")+IFERROR(Y391/H391,"0")+IFERROR(Y392/H392,"0")+IFERROR(Y393/H393,"0")+IFERROR(Y394/H394,"0")+IFERROR(Y395/H395,"0")+IFERROR(Y396/H396,"0")+IFERROR(Y397/H397,"0")+IFERROR(Y398/H398,"0")</f>
        <v>2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1.004E-2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3.5</v>
      </c>
      <c r="Y400" s="549">
        <f>IFERROR(SUM(Y390:Y398),"0")</f>
        <v>4.2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</v>
      </c>
      <c r="Y432" s="548">
        <f t="shared" si="47"/>
        <v>15.84</v>
      </c>
      <c r="Z432" s="36">
        <f t="shared" si="48"/>
        <v>3.5880000000000002E-2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9</v>
      </c>
      <c r="Y434" s="548">
        <f t="shared" si="47"/>
        <v>9.6</v>
      </c>
      <c r="Z434" s="36">
        <f>IFERROR(IF(Y434=0,"",ROUNDUP(Y434/H434,0)*0.00902),"")</f>
        <v>1.804E-2</v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12.956250000000001</v>
      </c>
      <c r="BN434" s="64">
        <f t="shared" si="50"/>
        <v>13.82</v>
      </c>
      <c r="BO434" s="64">
        <f t="shared" si="51"/>
        <v>1.4204545454545456E-2</v>
      </c>
      <c r="BP434" s="64">
        <f t="shared" si="52"/>
        <v>1.5151515151515152E-2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4</v>
      </c>
      <c r="Y436" s="548">
        <f t="shared" si="47"/>
        <v>4.8</v>
      </c>
      <c r="Z436" s="36">
        <f>IFERROR(IF(Y436=0,"",ROUNDUP(Y436/H436,0)*0.00651),"")</f>
        <v>1.302E-2</v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4.3000000000000007</v>
      </c>
      <c r="BN436" s="64">
        <f t="shared" si="50"/>
        <v>5.16</v>
      </c>
      <c r="BO436" s="64">
        <f t="shared" si="51"/>
        <v>9.1575091575091579E-3</v>
      </c>
      <c r="BP436" s="64">
        <f t="shared" si="52"/>
        <v>1.098901098901099E-2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6.3825757575757578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7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6.694E-2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28</v>
      </c>
      <c r="Y439" s="549">
        <f>IFERROR(SUM(Y426:Y437),"0")</f>
        <v>30.24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15</v>
      </c>
      <c r="Y447" s="548">
        <f t="shared" ref="Y447:Y452" si="53">IFERROR(IF(X447="",0,CEILING((X447/$H447),1)*$H447),"")</f>
        <v>15.84</v>
      </c>
      <c r="Z447" s="36">
        <f>IFERROR(IF(Y447=0,"",ROUNDUP(Y447/H447,0)*0.01196),"")</f>
        <v>3.5880000000000002E-2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15.994318181818182</v>
      </c>
      <c r="BN447" s="64">
        <f t="shared" ref="BN447:BN452" si="55">IFERROR(Y447*I447/H447,"0")</f>
        <v>16.889999999999997</v>
      </c>
      <c r="BO447" s="64">
        <f t="shared" ref="BO447:BO452" si="56">IFERROR(1/J447*(X447/H447),"0")</f>
        <v>2.7316433566433568E-2</v>
      </c>
      <c r="BP447" s="64">
        <f t="shared" ref="BP447:BP452" si="57">IFERROR(1/J447*(Y447/H447),"0")</f>
        <v>2.8846153846153848E-2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10</v>
      </c>
      <c r="Y448" s="548">
        <f t="shared" si="53"/>
        <v>10.56</v>
      </c>
      <c r="Z448" s="36">
        <f>IFERROR(IF(Y448=0,"",ROUNDUP(Y448/H448,0)*0.01196),"")</f>
        <v>2.392E-2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10.662878787878787</v>
      </c>
      <c r="BN448" s="64">
        <f t="shared" si="55"/>
        <v>11.26</v>
      </c>
      <c r="BO448" s="64">
        <f t="shared" si="56"/>
        <v>1.8210955710955712E-2</v>
      </c>
      <c r="BP448" s="64">
        <f t="shared" si="57"/>
        <v>1.9230769230769232E-2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40</v>
      </c>
      <c r="Y449" s="548">
        <f t="shared" si="53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42.651515151515149</v>
      </c>
      <c r="BN449" s="64">
        <f t="shared" si="55"/>
        <v>45.04</v>
      </c>
      <c r="BO449" s="64">
        <f t="shared" si="56"/>
        <v>7.2843822843822847E-2</v>
      </c>
      <c r="BP449" s="64">
        <f t="shared" si="57"/>
        <v>7.6923076923076927E-2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9</v>
      </c>
      <c r="Y450" s="548">
        <f t="shared" si="53"/>
        <v>9.6</v>
      </c>
      <c r="Z450" s="36">
        <f>IFERROR(IF(Y450=0,"",ROUNDUP(Y450/H450,0)*0.00902),"")</f>
        <v>1.804E-2</v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12.956250000000001</v>
      </c>
      <c r="BN450" s="64">
        <f t="shared" si="55"/>
        <v>13.82</v>
      </c>
      <c r="BO450" s="64">
        <f t="shared" si="56"/>
        <v>1.4204545454545456E-2</v>
      </c>
      <c r="BP450" s="64">
        <f t="shared" si="57"/>
        <v>1.5151515151515152E-2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</v>
      </c>
      <c r="Y451" s="548">
        <f t="shared" si="53"/>
        <v>9.6</v>
      </c>
      <c r="Z451" s="36">
        <f>IFERROR(IF(Y451=0,"",ROUNDUP(Y451/H451,0)*0.00902),"")</f>
        <v>1.804E-2</v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8.3375000000000004</v>
      </c>
      <c r="BN451" s="64">
        <f t="shared" si="55"/>
        <v>13.34</v>
      </c>
      <c r="BO451" s="64">
        <f t="shared" si="56"/>
        <v>9.46969696969697E-3</v>
      </c>
      <c r="BP451" s="64">
        <f t="shared" si="57"/>
        <v>1.5151515151515152E-2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6</v>
      </c>
      <c r="Y452" s="548">
        <f t="shared" si="53"/>
        <v>9.6</v>
      </c>
      <c r="Z452" s="36">
        <f>IFERROR(IF(Y452=0,"",ROUNDUP(Y452/H452,0)*0.00902),"")</f>
        <v>1.804E-2</v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8.3375000000000004</v>
      </c>
      <c r="BN452" s="64">
        <f t="shared" si="55"/>
        <v>13.34</v>
      </c>
      <c r="BO452" s="64">
        <f t="shared" si="56"/>
        <v>9.46969696969697E-3</v>
      </c>
      <c r="BP452" s="64">
        <f t="shared" si="57"/>
        <v>1.5151515151515152E-2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16.685606060606059</v>
      </c>
      <c r="Y453" s="549">
        <f>IFERROR(Y447/H447,"0")+IFERROR(Y448/H448,"0")+IFERROR(Y449/H449,"0")+IFERROR(Y450/H450,"0")+IFERROR(Y451/H451,"0")+IFERROR(Y452/H452,"0")</f>
        <v>19</v>
      </c>
      <c r="Z453" s="549">
        <f>IFERROR(IF(Z447="",0,Z447),"0")+IFERROR(IF(Z448="",0,Z448),"0")+IFERROR(IF(Z449="",0,Z449),"0")+IFERROR(IF(Z450="",0,Z450),"0")+IFERROR(IF(Z451="",0,Z451),"0")+IFERROR(IF(Z452="",0,Z452),"0")</f>
        <v>0.20960000000000001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86</v>
      </c>
      <c r="Y454" s="549">
        <f>IFERROR(SUM(Y447:Y452),"0")</f>
        <v>97.439999999999984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8</v>
      </c>
      <c r="Y474" s="548">
        <f>IFERROR(IF(X474="",0,CEILING((X474/$H474),1)*$H474),"")</f>
        <v>8.4</v>
      </c>
      <c r="Z474" s="36">
        <f>IFERROR(IF(Y474=0,"",ROUNDUP(Y474/H474,0)*0.00902),"")</f>
        <v>1.804E-2</v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8.4761904761904763</v>
      </c>
      <c r="BN474" s="64">
        <f>IFERROR(Y474*I474/H474,"0")</f>
        <v>8.9</v>
      </c>
      <c r="BO474" s="64">
        <f>IFERROR(1/J474*(X474/H474),"0")</f>
        <v>1.443001443001443E-2</v>
      </c>
      <c r="BP474" s="64">
        <f>IFERROR(1/J474*(Y474/H474),"0")</f>
        <v>1.5151515151515152E-2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15</v>
      </c>
      <c r="Y475" s="548">
        <f>IFERROR(IF(X475="",0,CEILING((X475/$H475),1)*$H475),"")</f>
        <v>16.8</v>
      </c>
      <c r="Z475" s="36">
        <f>IFERROR(IF(Y475=0,"",ROUNDUP(Y475/H475,0)*0.00902),"")</f>
        <v>3.6080000000000001E-2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15.892857142857142</v>
      </c>
      <c r="BN475" s="64">
        <f>IFERROR(Y475*I475/H475,"0")</f>
        <v>17.8</v>
      </c>
      <c r="BO475" s="64">
        <f>IFERROR(1/J475*(X475/H475),"0")</f>
        <v>2.7056277056277056E-2</v>
      </c>
      <c r="BP475" s="64">
        <f>IFERROR(1/J475*(Y475/H475),"0")</f>
        <v>3.0303030303030304E-2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5.4761904761904763</v>
      </c>
      <c r="Y476" s="549">
        <f>IFERROR(Y474/H474,"0")+IFERROR(Y475/H475,"0")</f>
        <v>6</v>
      </c>
      <c r="Z476" s="549">
        <f>IFERROR(IF(Z474="",0,Z474),"0")+IFERROR(IF(Z475="",0,Z475),"0")</f>
        <v>5.4120000000000001E-2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23</v>
      </c>
      <c r="Y477" s="549">
        <f>IFERROR(SUM(Y474:Y475),"0")</f>
        <v>25.200000000000003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8169.4000000000005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8343.11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8668.8487112611238</v>
      </c>
      <c r="Y493" s="549">
        <f>IFERROR(SUM(BN22:BN489),"0")</f>
        <v>8854.864999999998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15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9043.8487112611238</v>
      </c>
      <c r="Y495" s="549">
        <f>GrossWeightTotalR+PalletQtyTotalR*25</f>
        <v>9254.864999999998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1885.1216077619586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1918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17.856800000000003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288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744.3</v>
      </c>
      <c r="E502" s="46">
        <f>IFERROR(Y86*1,"0")+IFERROR(Y87*1,"0")+IFERROR(Y88*1,"0")+IFERROR(Y89*1,"0")+IFERROR(Y93*1,"0")+IFERROR(Y94*1,"0")+IFERROR(Y95*1,"0")+IFERROR(Y96*1,"0")</f>
        <v>583.02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492.3</v>
      </c>
      <c r="G502" s="46">
        <f>IFERROR(Y128*1,"0")+IFERROR(Y129*1,"0")+IFERROR(Y133*1,"0")+IFERROR(Y134*1,"0")+IFERROR(Y138*1,"0")+IFERROR(Y139*1,"0")</f>
        <v>152.16</v>
      </c>
      <c r="H502" s="46">
        <f>IFERROR(Y144*1,"0")+IFERROR(Y145*1,"0")+IFERROR(Y149*1,"0")+IFERROR(Y150*1,"0")+IFERROR(Y151*1,"0")+IFERROR(Y155*1,"0")</f>
        <v>138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417.48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939.59999999999991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22.32</v>
      </c>
      <c r="L502" s="46">
        <f>IFERROR(Y259*1,"0")+IFERROR(Y260*1,"0")+IFERROR(Y261*1,"0")+IFERROR(Y262*1,"0")+IFERROR(Y263*1,"0")</f>
        <v>205.20000000000002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38.4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1828.5500000000002</v>
      </c>
      <c r="R502" s="46">
        <f>IFERROR(Y339*1,"0")+IFERROR(Y340*1,"0")+IFERROR(Y341*1,"0")</f>
        <v>396.90000000000003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1812</v>
      </c>
      <c r="T502" s="46">
        <f>IFERROR(Y372*1,"0")+IFERROR(Y373*1,"0")+IFERROR(Y377*1,"0")+IFERROR(Y378*1,"0")+IFERROR(Y382*1,"0")+IFERROR(Y383*1,"0")+IFERROR(Y384*1,"0")</f>
        <v>127.8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4.2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127.67999999999998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25.200000000000003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