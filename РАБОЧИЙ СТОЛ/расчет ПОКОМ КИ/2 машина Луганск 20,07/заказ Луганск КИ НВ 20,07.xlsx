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575D908-511F-481F-8A47-344D13AB69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Y534" i="1" s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Z447" i="1" s="1"/>
  <c r="Y446" i="1"/>
  <c r="Y448" i="1" s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Y437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7" i="1"/>
  <c r="Y426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Y427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Y329" i="1" s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8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8" i="1" s="1"/>
  <c r="P259" i="1"/>
  <c r="X257" i="1"/>
  <c r="X256" i="1"/>
  <c r="BO255" i="1"/>
  <c r="BM255" i="1"/>
  <c r="Y255" i="1"/>
  <c r="BP255" i="1" s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M551" i="1" s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1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P45" i="1"/>
  <c r="BP44" i="1"/>
  <c r="BO44" i="1"/>
  <c r="BN44" i="1"/>
  <c r="BM44" i="1"/>
  <c r="Z44" i="1"/>
  <c r="Y44" i="1"/>
  <c r="P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45" i="1" s="1"/>
  <c r="BO23" i="1"/>
  <c r="BM23" i="1"/>
  <c r="Y23" i="1"/>
  <c r="P23" i="1"/>
  <c r="BO22" i="1"/>
  <c r="BM22" i="1"/>
  <c r="X542" i="1" s="1"/>
  <c r="Y22" i="1"/>
  <c r="Y25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BP23" i="1"/>
  <c r="BN23" i="1"/>
  <c r="Z23" i="1"/>
  <c r="Y32" i="1"/>
  <c r="BP27" i="1"/>
  <c r="BN27" i="1"/>
  <c r="Z27" i="1"/>
  <c r="BP31" i="1"/>
  <c r="BN31" i="1"/>
  <c r="Z31" i="1"/>
  <c r="Y33" i="1"/>
  <c r="Y541" i="1" s="1"/>
  <c r="Y36" i="1"/>
  <c r="BP35" i="1"/>
  <c r="BN35" i="1"/>
  <c r="Z35" i="1"/>
  <c r="Z36" i="1" s="1"/>
  <c r="Y37" i="1"/>
  <c r="C551" i="1"/>
  <c r="Y46" i="1"/>
  <c r="BP41" i="1"/>
  <c r="BN41" i="1"/>
  <c r="Z41" i="1"/>
  <c r="Z46" i="1" s="1"/>
  <c r="BP45" i="1"/>
  <c r="BN45" i="1"/>
  <c r="Z45" i="1"/>
  <c r="Y47" i="1"/>
  <c r="Y56" i="1"/>
  <c r="BP51" i="1"/>
  <c r="BN51" i="1"/>
  <c r="Z51" i="1"/>
  <c r="D551" i="1"/>
  <c r="Y55" i="1"/>
  <c r="BP60" i="1"/>
  <c r="BN60" i="1"/>
  <c r="Z60" i="1"/>
  <c r="BP64" i="1"/>
  <c r="BN64" i="1"/>
  <c r="Z64" i="1"/>
  <c r="BP72" i="1"/>
  <c r="BN72" i="1"/>
  <c r="Z72" i="1"/>
  <c r="Y79" i="1"/>
  <c r="BP89" i="1"/>
  <c r="BN89" i="1"/>
  <c r="Z89" i="1"/>
  <c r="BP97" i="1"/>
  <c r="BN97" i="1"/>
  <c r="Z97" i="1"/>
  <c r="BP106" i="1"/>
  <c r="BN106" i="1"/>
  <c r="Z106" i="1"/>
  <c r="BP114" i="1"/>
  <c r="BN114" i="1"/>
  <c r="Z114" i="1"/>
  <c r="BP122" i="1"/>
  <c r="BN122" i="1"/>
  <c r="Z122" i="1"/>
  <c r="H551" i="1"/>
  <c r="BP143" i="1"/>
  <c r="BN143" i="1"/>
  <c r="Z143" i="1"/>
  <c r="Z144" i="1" s="1"/>
  <c r="Y145" i="1"/>
  <c r="I551" i="1"/>
  <c r="Y153" i="1"/>
  <c r="BP148" i="1"/>
  <c r="BN148" i="1"/>
  <c r="Z148" i="1"/>
  <c r="Y152" i="1"/>
  <c r="Z178" i="1"/>
  <c r="Z227" i="1"/>
  <c r="H9" i="1"/>
  <c r="B551" i="1"/>
  <c r="Y24" i="1"/>
  <c r="BP29" i="1"/>
  <c r="BN29" i="1"/>
  <c r="Z29" i="1"/>
  <c r="BP43" i="1"/>
  <c r="BN43" i="1"/>
  <c r="Z43" i="1"/>
  <c r="BP53" i="1"/>
  <c r="BN53" i="1"/>
  <c r="Z53" i="1"/>
  <c r="BP62" i="1"/>
  <c r="BN62" i="1"/>
  <c r="Z62" i="1"/>
  <c r="BP66" i="1"/>
  <c r="BN66" i="1"/>
  <c r="Z66" i="1"/>
  <c r="Y68" i="1"/>
  <c r="Y75" i="1"/>
  <c r="BP70" i="1"/>
  <c r="BN70" i="1"/>
  <c r="Z70" i="1"/>
  <c r="Z74" i="1" s="1"/>
  <c r="Y74" i="1"/>
  <c r="BP78" i="1"/>
  <c r="BN78" i="1"/>
  <c r="Z78" i="1"/>
  <c r="Z79" i="1" s="1"/>
  <c r="Y80" i="1"/>
  <c r="Y85" i="1"/>
  <c r="BP82" i="1"/>
  <c r="BN82" i="1"/>
  <c r="Z82" i="1"/>
  <c r="Z84" i="1" s="1"/>
  <c r="BP91" i="1"/>
  <c r="BN91" i="1"/>
  <c r="Z91" i="1"/>
  <c r="Y93" i="1"/>
  <c r="Y100" i="1"/>
  <c r="BP95" i="1"/>
  <c r="BN95" i="1"/>
  <c r="Z95" i="1"/>
  <c r="Z99" i="1" s="1"/>
  <c r="Y99" i="1"/>
  <c r="BP104" i="1"/>
  <c r="BN104" i="1"/>
  <c r="Z104" i="1"/>
  <c r="Z109" i="1" s="1"/>
  <c r="BP108" i="1"/>
  <c r="BN108" i="1"/>
  <c r="Z108" i="1"/>
  <c r="Y110" i="1"/>
  <c r="Y117" i="1"/>
  <c r="BP112" i="1"/>
  <c r="BN112" i="1"/>
  <c r="Z112" i="1"/>
  <c r="Z117" i="1" s="1"/>
  <c r="BP116" i="1"/>
  <c r="BN116" i="1"/>
  <c r="Z116" i="1"/>
  <c r="Y118" i="1"/>
  <c r="Y125" i="1"/>
  <c r="BP120" i="1"/>
  <c r="BN120" i="1"/>
  <c r="Z120" i="1"/>
  <c r="Z124" i="1" s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Z298" i="1"/>
  <c r="Y159" i="1"/>
  <c r="Y179" i="1"/>
  <c r="Y185" i="1"/>
  <c r="Y189" i="1"/>
  <c r="Y205" i="1"/>
  <c r="Y228" i="1"/>
  <c r="Y236" i="1"/>
  <c r="Y242" i="1"/>
  <c r="Y246" i="1"/>
  <c r="Y251" i="1"/>
  <c r="Y257" i="1"/>
  <c r="Y267" i="1"/>
  <c r="Y283" i="1"/>
  <c r="Y287" i="1"/>
  <c r="Y298" i="1"/>
  <c r="Y312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51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BP387" i="1"/>
  <c r="BN387" i="1"/>
  <c r="Z387" i="1"/>
  <c r="Y389" i="1"/>
  <c r="Y394" i="1"/>
  <c r="BP391" i="1"/>
  <c r="BN391" i="1"/>
  <c r="Z391" i="1"/>
  <c r="BP399" i="1"/>
  <c r="BN399" i="1"/>
  <c r="Z399" i="1"/>
  <c r="Y401" i="1"/>
  <c r="Y407" i="1"/>
  <c r="BP404" i="1"/>
  <c r="BN404" i="1"/>
  <c r="Z404" i="1"/>
  <c r="BP414" i="1"/>
  <c r="BN414" i="1"/>
  <c r="Z414" i="1"/>
  <c r="BP418" i="1"/>
  <c r="BN418" i="1"/>
  <c r="Z418" i="1"/>
  <c r="Z432" i="1"/>
  <c r="BP430" i="1"/>
  <c r="BN430" i="1"/>
  <c r="Z430" i="1"/>
  <c r="Z453" i="1"/>
  <c r="BP451" i="1"/>
  <c r="BN451" i="1"/>
  <c r="Z451" i="1"/>
  <c r="BP461" i="1"/>
  <c r="BN461" i="1"/>
  <c r="Z461" i="1"/>
  <c r="BP479" i="1"/>
  <c r="BN479" i="1"/>
  <c r="Z479" i="1"/>
  <c r="Y481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Y501" i="1"/>
  <c r="BP505" i="1"/>
  <c r="BN505" i="1"/>
  <c r="Z505" i="1"/>
  <c r="BP509" i="1"/>
  <c r="BN509" i="1"/>
  <c r="Z509" i="1"/>
  <c r="Y511" i="1"/>
  <c r="Y516" i="1"/>
  <c r="BP515" i="1"/>
  <c r="BN515" i="1"/>
  <c r="Z515" i="1"/>
  <c r="Z516" i="1" s="1"/>
  <c r="AA551" i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25" i="1"/>
  <c r="L551" i="1"/>
  <c r="U551" i="1"/>
  <c r="X543" i="1"/>
  <c r="X544" i="1" s="1"/>
  <c r="X541" i="1"/>
  <c r="E551" i="1"/>
  <c r="Y67" i="1"/>
  <c r="F551" i="1"/>
  <c r="Y92" i="1"/>
  <c r="G551" i="1"/>
  <c r="Y109" i="1"/>
  <c r="Y134" i="1"/>
  <c r="J551" i="1"/>
  <c r="Z157" i="1"/>
  <c r="Z159" i="1" s="1"/>
  <c r="BN157" i="1"/>
  <c r="Y160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51" i="1"/>
  <c r="Z199" i="1"/>
  <c r="Z205" i="1" s="1"/>
  <c r="BN199" i="1"/>
  <c r="Z201" i="1"/>
  <c r="BN201" i="1"/>
  <c r="Z203" i="1"/>
  <c r="BN203" i="1"/>
  <c r="Y206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Z241" i="1" s="1"/>
  <c r="BN238" i="1"/>
  <c r="BP238" i="1"/>
  <c r="Z240" i="1"/>
  <c r="BN240" i="1"/>
  <c r="Z244" i="1"/>
  <c r="Z245" i="1" s="1"/>
  <c r="BN244" i="1"/>
  <c r="BP244" i="1"/>
  <c r="Z249" i="1"/>
  <c r="Z251" i="1" s="1"/>
  <c r="BN249" i="1"/>
  <c r="BP249" i="1"/>
  <c r="Y252" i="1"/>
  <c r="Z255" i="1"/>
  <c r="Z256" i="1" s="1"/>
  <c r="BN255" i="1"/>
  <c r="Z259" i="1"/>
  <c r="Z267" i="1" s="1"/>
  <c r="BN259" i="1"/>
  <c r="BP259" i="1"/>
  <c r="Z261" i="1"/>
  <c r="BN261" i="1"/>
  <c r="Z263" i="1"/>
  <c r="BN263" i="1"/>
  <c r="Z265" i="1"/>
  <c r="BN265" i="1"/>
  <c r="Z271" i="1"/>
  <c r="Z282" i="1" s="1"/>
  <c r="BN271" i="1"/>
  <c r="Z273" i="1"/>
  <c r="BN273" i="1"/>
  <c r="Z275" i="1"/>
  <c r="BN275" i="1"/>
  <c r="Z277" i="1"/>
  <c r="BN277" i="1"/>
  <c r="Z279" i="1"/>
  <c r="BN279" i="1"/>
  <c r="Z281" i="1"/>
  <c r="BN281" i="1"/>
  <c r="Z285" i="1"/>
  <c r="Z287" i="1" s="1"/>
  <c r="BN285" i="1"/>
  <c r="BP285" i="1"/>
  <c r="O551" i="1"/>
  <c r="Z292" i="1"/>
  <c r="BN292" i="1"/>
  <c r="Z294" i="1"/>
  <c r="BN294" i="1"/>
  <c r="Z296" i="1"/>
  <c r="BN296" i="1"/>
  <c r="Y299" i="1"/>
  <c r="Z310" i="1"/>
  <c r="Z312" i="1" s="1"/>
  <c r="BN310" i="1"/>
  <c r="P551" i="1"/>
  <c r="Y322" i="1"/>
  <c r="Z317" i="1"/>
  <c r="Z321" i="1" s="1"/>
  <c r="BN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Y350" i="1"/>
  <c r="T551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Y381" i="1"/>
  <c r="BP385" i="1"/>
  <c r="BN385" i="1"/>
  <c r="Z385" i="1"/>
  <c r="Z388" i="1" s="1"/>
  <c r="BP393" i="1"/>
  <c r="BN393" i="1"/>
  <c r="Z393" i="1"/>
  <c r="Y395" i="1"/>
  <c r="Y400" i="1"/>
  <c r="BP397" i="1"/>
  <c r="BN397" i="1"/>
  <c r="Z397" i="1"/>
  <c r="Z400" i="1" s="1"/>
  <c r="BP406" i="1"/>
  <c r="BN406" i="1"/>
  <c r="Z406" i="1"/>
  <c r="Y408" i="1"/>
  <c r="V551" i="1"/>
  <c r="Y421" i="1"/>
  <c r="BP412" i="1"/>
  <c r="BN412" i="1"/>
  <c r="Z412" i="1"/>
  <c r="BP416" i="1"/>
  <c r="BN416" i="1"/>
  <c r="Z416" i="1"/>
  <c r="Y420" i="1"/>
  <c r="Z426" i="1"/>
  <c r="BP424" i="1"/>
  <c r="BN424" i="1"/>
  <c r="Z424" i="1"/>
  <c r="Y433" i="1"/>
  <c r="Y432" i="1"/>
  <c r="BP436" i="1"/>
  <c r="BN436" i="1"/>
  <c r="Z436" i="1"/>
  <c r="Z437" i="1" s="1"/>
  <c r="Y438" i="1"/>
  <c r="W551" i="1"/>
  <c r="Y444" i="1"/>
  <c r="BP441" i="1"/>
  <c r="BN441" i="1"/>
  <c r="Z441" i="1"/>
  <c r="Z443" i="1" s="1"/>
  <c r="Y454" i="1"/>
  <c r="Y453" i="1"/>
  <c r="BP459" i="1"/>
  <c r="BN459" i="1"/>
  <c r="Z459" i="1"/>
  <c r="Z464" i="1" s="1"/>
  <c r="BP463" i="1"/>
  <c r="BN463" i="1"/>
  <c r="Z463" i="1"/>
  <c r="Y465" i="1"/>
  <c r="Y470" i="1"/>
  <c r="BP467" i="1"/>
  <c r="BN467" i="1"/>
  <c r="Z467" i="1"/>
  <c r="Z469" i="1" s="1"/>
  <c r="Q551" i="1"/>
  <c r="Y551" i="1"/>
  <c r="R551" i="1"/>
  <c r="Y338" i="1"/>
  <c r="X551" i="1"/>
  <c r="Y464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10" i="1"/>
  <c r="BP503" i="1"/>
  <c r="BN503" i="1"/>
  <c r="Z503" i="1"/>
  <c r="Z510" i="1" s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Z500" i="1" l="1"/>
  <c r="Y545" i="1"/>
  <c r="Z55" i="1"/>
  <c r="Z32" i="1"/>
  <c r="Y542" i="1"/>
  <c r="Z420" i="1"/>
  <c r="Z368" i="1"/>
  <c r="Z358" i="1"/>
  <c r="Z235" i="1"/>
  <c r="Z184" i="1"/>
  <c r="Z494" i="1"/>
  <c r="Z407" i="1"/>
  <c r="Z394" i="1"/>
  <c r="Z152" i="1"/>
  <c r="Z92" i="1"/>
  <c r="Z67" i="1"/>
  <c r="Y543" i="1"/>
  <c r="Z24" i="1"/>
  <c r="Z546" i="1" s="1"/>
  <c r="Y544" i="1" l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<sst xmlns="http://schemas.openxmlformats.org/spreadsheetml/2006/main" count="2448" uniqueCount="889">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</sst>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35</v>
      </c>
      <c r="Y29" s="616">
        <f>IFERROR(IF(X29="",0,CEILING((X29/$H29),1)*$H29),"")</f>
        <v>36</v>
      </c>
      <c r="Z29" s="36">
        <f>IFERROR(IF(Y29=0,"",ROUNDUP(Y29/H29,0)*0.00651),"")</f>
        <v>0.13020000000000001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61.833333333333336</v>
      </c>
      <c r="BN29" s="64">
        <f>IFERROR(Y29*I29/H29,"0")</f>
        <v>63.6</v>
      </c>
      <c r="BO29" s="64">
        <f>IFERROR(1/J29*(X29/H29),"0")</f>
        <v>0.10683760683760683</v>
      </c>
      <c r="BP29" s="64">
        <f>IFERROR(1/J29*(Y29/H29),"0")</f>
        <v>0.1098901098901099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52</v>
      </c>
      <c r="Y30" s="616">
        <f>IFERROR(IF(X30="",0,CEILING((X30/$H30),1)*$H30),"")</f>
        <v>52.2</v>
      </c>
      <c r="Z30" s="36">
        <f>IFERROR(IF(Y30=0,"",ROUNDUP(Y30/H30,0)*0.00651),"")</f>
        <v>0.18879000000000001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91.866666666666674</v>
      </c>
      <c r="BN30" s="64">
        <f>IFERROR(Y30*I30/H30,"0")</f>
        <v>92.22</v>
      </c>
      <c r="BO30" s="64">
        <f>IFERROR(1/J30*(X30/H30),"0")</f>
        <v>0.15873015873015875</v>
      </c>
      <c r="BP30" s="64">
        <f>IFERROR(1/J30*(Y30/H30),"0")</f>
        <v>0.15934065934065936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48.333333333333329</v>
      </c>
      <c r="Y32" s="617">
        <f>IFERROR(Y27/H27,"0")+IFERROR(Y28/H28,"0")+IFERROR(Y29/H29,"0")+IFERROR(Y30/H30,"0")+IFERROR(Y31/H31,"0")</f>
        <v>49</v>
      </c>
      <c r="Z32" s="617">
        <f>IFERROR(IF(Z27="",0,Z27),"0")+IFERROR(IF(Z28="",0,Z28),"0")+IFERROR(IF(Z29="",0,Z29),"0")+IFERROR(IF(Z30="",0,Z30),"0")+IFERROR(IF(Z31="",0,Z31),"0")</f>
        <v>0.31899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87</v>
      </c>
      <c r="Y33" s="617">
        <f>IFERROR(SUM(Y27:Y31),"0")</f>
        <v>88.2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978</v>
      </c>
      <c r="Y51" s="616">
        <f>IFERROR(IF(X51="",0,CEILING((X51/$H51),1)*$H51),"")</f>
        <v>982.80000000000007</v>
      </c>
      <c r="Z51" s="36">
        <f>IFERROR(IF(Y51=0,"",ROUNDUP(Y51/H51,0)*0.01898),"")</f>
        <v>1.7271799999999999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1015.1277777777779</v>
      </c>
      <c r="BN51" s="64">
        <f>IFERROR(Y51*I51/H51,"0")</f>
        <v>1020.1100000000001</v>
      </c>
      <c r="BO51" s="64">
        <f>IFERROR(1/J51*(X51/H51),"0")</f>
        <v>1.4149305555555554</v>
      </c>
      <c r="BP51" s="64">
        <f>IFERROR(1/J51*(Y51/H51),"0")</f>
        <v>1.421875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115</v>
      </c>
      <c r="Y54" s="616">
        <f>IFERROR(IF(X54="",0,CEILING((X54/$H54),1)*$H54),"")</f>
        <v>118.4</v>
      </c>
      <c r="Z54" s="36">
        <f>IFERROR(IF(Y54=0,"",ROUNDUP(Y54/H54,0)*0.00902),"")</f>
        <v>0.28864000000000001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120.9054054054054</v>
      </c>
      <c r="BN54" s="64">
        <f>IFERROR(Y54*I54/H54,"0")</f>
        <v>124.48</v>
      </c>
      <c r="BO54" s="64">
        <f>IFERROR(1/J54*(X54/H54),"0")</f>
        <v>0.23546273546273547</v>
      </c>
      <c r="BP54" s="64">
        <f>IFERROR(1/J54*(Y54/H54),"0")</f>
        <v>0.24242424242424243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121.63663663663662</v>
      </c>
      <c r="Y55" s="617">
        <f>IFERROR(Y51/H51,"0")+IFERROR(Y52/H52,"0")+IFERROR(Y53/H53,"0")+IFERROR(Y54/H54,"0")</f>
        <v>123</v>
      </c>
      <c r="Z55" s="617">
        <f>IFERROR(IF(Z51="",0,Z51),"0")+IFERROR(IF(Z52="",0,Z52),"0")+IFERROR(IF(Z53="",0,Z53),"0")+IFERROR(IF(Z54="",0,Z54),"0")</f>
        <v>2.0158199999999997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1093</v>
      </c>
      <c r="Y56" s="617">
        <f>IFERROR(SUM(Y51:Y54),"0")</f>
        <v>1101.2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123</v>
      </c>
      <c r="Y59" s="616">
        <f t="shared" ref="Y59:Y66" si="0">IFERROR(IF(X59="",0,CEILING((X59/$H59),1)*$H59),"")</f>
        <v>123.19999999999999</v>
      </c>
      <c r="Z59" s="36">
        <f>IFERROR(IF(Y59=0,"",ROUNDUP(Y59/H59,0)*0.01898),"")</f>
        <v>0.20877999999999999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127.50267857142858</v>
      </c>
      <c r="BN59" s="64">
        <f t="shared" ref="BN59:BN66" si="2">IFERROR(Y59*I59/H59,"0")</f>
        <v>127.71</v>
      </c>
      <c r="BO59" s="64">
        <f t="shared" ref="BO59:BO66" si="3">IFERROR(1/J59*(X59/H59),"0")</f>
        <v>0.17159598214285715</v>
      </c>
      <c r="BP59" s="64">
        <f t="shared" ref="BP59:BP66" si="4">IFERROR(1/J59*(Y59/H59),"0")</f>
        <v>0.171875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336</v>
      </c>
      <c r="Y61" s="616">
        <f t="shared" si="0"/>
        <v>345.6</v>
      </c>
      <c r="Z61" s="36">
        <f>IFERROR(IF(Y61=0,"",ROUNDUP(Y61/H61,0)*0.01898),"")</f>
        <v>0.60736000000000001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348.75555555555559</v>
      </c>
      <c r="BN61" s="64">
        <f t="shared" si="2"/>
        <v>358.72</v>
      </c>
      <c r="BO61" s="64">
        <f t="shared" si="3"/>
        <v>0.4861111111111111</v>
      </c>
      <c r="BP61" s="64">
        <f t="shared" si="4"/>
        <v>0.5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61</v>
      </c>
      <c r="Y64" s="616">
        <f t="shared" si="0"/>
        <v>64</v>
      </c>
      <c r="Z64" s="36">
        <f>IFERROR(IF(Y64=0,"",ROUNDUP(Y64/H64,0)*0.00902),"")</f>
        <v>0.14432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63.897500000000008</v>
      </c>
      <c r="BN64" s="64">
        <f t="shared" si="2"/>
        <v>67.040000000000006</v>
      </c>
      <c r="BO64" s="64">
        <f t="shared" si="3"/>
        <v>0.11553030303030304</v>
      </c>
      <c r="BP64" s="64">
        <f t="shared" si="4"/>
        <v>0.12121212121212122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82</v>
      </c>
      <c r="Y66" s="616">
        <f t="shared" si="0"/>
        <v>85.5</v>
      </c>
      <c r="Z66" s="36">
        <f>IFERROR(IF(Y66=0,"",ROUNDUP(Y66/H66,0)*0.00902),"")</f>
        <v>0.17138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85.462222222222238</v>
      </c>
      <c r="BN66" s="64">
        <f t="shared" si="2"/>
        <v>89.110000000000014</v>
      </c>
      <c r="BO66" s="64">
        <f t="shared" si="3"/>
        <v>0.13804713804713806</v>
      </c>
      <c r="BP66" s="64">
        <f t="shared" si="4"/>
        <v>0.14393939393939395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75.56547619047619</v>
      </c>
      <c r="Y67" s="617">
        <f>IFERROR(Y59/H59,"0")+IFERROR(Y60/H60,"0")+IFERROR(Y61/H61,"0")+IFERROR(Y62/H62,"0")+IFERROR(Y63/H63,"0")+IFERROR(Y64/H64,"0")+IFERROR(Y65/H65,"0")+IFERROR(Y66/H66,"0")</f>
        <v>78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1.13184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602</v>
      </c>
      <c r="Y68" s="617">
        <f>IFERROR(SUM(Y59:Y66),"0")</f>
        <v>618.29999999999995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245</v>
      </c>
      <c r="Y70" s="616">
        <f>IFERROR(IF(X70="",0,CEILING((X70/$H70),1)*$H70),"")</f>
        <v>248.4</v>
      </c>
      <c r="Z70" s="36">
        <f>IFERROR(IF(Y70=0,"",ROUNDUP(Y70/H70,0)*0.01898),"")</f>
        <v>0.43653999999999998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254.30092592592592</v>
      </c>
      <c r="BN70" s="64">
        <f>IFERROR(Y70*I70/H70,"0")</f>
        <v>257.83</v>
      </c>
      <c r="BO70" s="64">
        <f>IFERROR(1/J70*(X70/H70),"0")</f>
        <v>0.35445601851851849</v>
      </c>
      <c r="BP70" s="64">
        <f>IFERROR(1/J70*(Y70/H70),"0")</f>
        <v>0.359375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22.685185185185183</v>
      </c>
      <c r="Y74" s="617">
        <f>IFERROR(Y70/H70,"0")+IFERROR(Y71/H71,"0")+IFERROR(Y72/H72,"0")+IFERROR(Y73/H73,"0")</f>
        <v>23</v>
      </c>
      <c r="Z74" s="617">
        <f>IFERROR(IF(Z70="",0,Z70),"0")+IFERROR(IF(Z71="",0,Z71),"0")+IFERROR(IF(Z72="",0,Z72),"0")+IFERROR(IF(Z73="",0,Z73),"0")</f>
        <v>0.43653999999999998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245</v>
      </c>
      <c r="Y75" s="617">
        <f>IFERROR(SUM(Y70:Y73),"0")</f>
        <v>248.4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157</v>
      </c>
      <c r="Y82" s="616">
        <f>IFERROR(IF(X82="",0,CEILING((X82/$H82),1)*$H82),"")</f>
        <v>163.79999999999998</v>
      </c>
      <c r="Z82" s="36">
        <f>IFERROR(IF(Y82=0,"",ROUNDUP(Y82/H82,0)*0.01898),"")</f>
        <v>0.39857999999999999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165.25256410256412</v>
      </c>
      <c r="BN82" s="64">
        <f>IFERROR(Y82*I82/H82,"0")</f>
        <v>172.41</v>
      </c>
      <c r="BO82" s="64">
        <f>IFERROR(1/J82*(X82/H82),"0")</f>
        <v>0.31450320512820512</v>
      </c>
      <c r="BP82" s="64">
        <f>IFERROR(1/J82*(Y82/H82),"0")</f>
        <v>0.328125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20.128205128205128</v>
      </c>
      <c r="Y84" s="617">
        <f>IFERROR(Y82/H82,"0")+IFERROR(Y83/H83,"0")</f>
        <v>21</v>
      </c>
      <c r="Z84" s="617">
        <f>IFERROR(IF(Z82="",0,Z82),"0")+IFERROR(IF(Z83="",0,Z83),"0")</f>
        <v>0.39857999999999999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157</v>
      </c>
      <c r="Y85" s="617">
        <f>IFERROR(SUM(Y82:Y83),"0")</f>
        <v>163.79999999999998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246</v>
      </c>
      <c r="Y88" s="616">
        <f>IFERROR(IF(X88="",0,CEILING((X88/$H88),1)*$H88),"")</f>
        <v>248.4</v>
      </c>
      <c r="Z88" s="36">
        <f>IFERROR(IF(Y88=0,"",ROUNDUP(Y88/H88,0)*0.01898),"")</f>
        <v>0.43653999999999998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255.3388888888889</v>
      </c>
      <c r="BN88" s="64">
        <f>IFERROR(Y88*I88/H88,"0")</f>
        <v>257.83</v>
      </c>
      <c r="BO88" s="64">
        <f>IFERROR(1/J88*(X88/H88),"0")</f>
        <v>0.35590277777777773</v>
      </c>
      <c r="BP88" s="64">
        <f>IFERROR(1/J88*(Y88/H88),"0")</f>
        <v>0.359375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1</v>
      </c>
      <c r="Y89" s="616">
        <f>IFERROR(IF(X89="",0,CEILING((X89/$H89),1)*$H89),"")</f>
        <v>1.7</v>
      </c>
      <c r="Z89" s="36">
        <f>IFERROR(IF(Y89=0,"",ROUNDUP(Y89/H89,0)*0.00726),"")</f>
        <v>7.26E-3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1.0588235294117647</v>
      </c>
      <c r="BN89" s="64">
        <f>IFERROR(Y89*I89/H89,"0")</f>
        <v>1.8</v>
      </c>
      <c r="BO89" s="64">
        <f>IFERROR(1/J89*(X89/H89),"0")</f>
        <v>3.0637254901960784E-3</v>
      </c>
      <c r="BP89" s="64">
        <f>IFERROR(1/J89*(Y89/H89),"0")</f>
        <v>5.208333333333333E-3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184</v>
      </c>
      <c r="Y91" s="616">
        <f>IFERROR(IF(X91="",0,CEILING((X91/$H91),1)*$H91),"")</f>
        <v>184.5</v>
      </c>
      <c r="Z91" s="36">
        <f>IFERROR(IF(Y91=0,"",ROUNDUP(Y91/H91,0)*0.00902),"")</f>
        <v>0.36982000000000004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191.76888888888891</v>
      </c>
      <c r="BN91" s="64">
        <f>IFERROR(Y91*I91/H91,"0")</f>
        <v>192.29000000000002</v>
      </c>
      <c r="BO91" s="64">
        <f>IFERROR(1/J91*(X91/H91),"0")</f>
        <v>0.30976430976430974</v>
      </c>
      <c r="BP91" s="64">
        <f>IFERROR(1/J91*(Y91/H91),"0")</f>
        <v>0.31060606060606061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64.254901960784309</v>
      </c>
      <c r="Y92" s="617">
        <f>IFERROR(Y88/H88,"0")+IFERROR(Y89/H89,"0")+IFERROR(Y90/H90,"0")+IFERROR(Y91/H91,"0")</f>
        <v>65</v>
      </c>
      <c r="Z92" s="617">
        <f>IFERROR(IF(Z88="",0,Z88),"0")+IFERROR(IF(Z89="",0,Z89),"0")+IFERROR(IF(Z90="",0,Z90),"0")+IFERROR(IF(Z91="",0,Z91),"0")</f>
        <v>0.81362000000000001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431</v>
      </c>
      <c r="Y93" s="617">
        <f>IFERROR(SUM(Y88:Y91),"0")</f>
        <v>434.6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142</v>
      </c>
      <c r="Y95" s="616">
        <f>IFERROR(IF(X95="",0,CEILING((X95/$H95),1)*$H95),"")</f>
        <v>145.79999999999998</v>
      </c>
      <c r="Z95" s="36">
        <f>IFERROR(IF(Y95=0,"",ROUNDUP(Y95/H95,0)*0.01898),"")</f>
        <v>0.34164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150.66024691358024</v>
      </c>
      <c r="BN95" s="64">
        <f>IFERROR(Y95*I95/H95,"0")</f>
        <v>154.69199999999998</v>
      </c>
      <c r="BO95" s="64">
        <f>IFERROR(1/J95*(X95/H95),"0")</f>
        <v>0.27391975308641975</v>
      </c>
      <c r="BP95" s="64">
        <f>IFERROR(1/J95*(Y95/H95),"0")</f>
        <v>0.28125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228</v>
      </c>
      <c r="Y97" s="616">
        <f>IFERROR(IF(X97="",0,CEILING((X97/$H97),1)*$H97),"")</f>
        <v>229.50000000000003</v>
      </c>
      <c r="Z97" s="36">
        <f>IFERROR(IF(Y97=0,"",ROUNDUP(Y97/H97,0)*0.00651),"")</f>
        <v>0.55335000000000001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249.28</v>
      </c>
      <c r="BN97" s="64">
        <f>IFERROR(Y97*I97/H97,"0")</f>
        <v>250.92</v>
      </c>
      <c r="BO97" s="64">
        <f>IFERROR(1/J97*(X97/H97),"0")</f>
        <v>0.463980463980464</v>
      </c>
      <c r="BP97" s="64">
        <f>IFERROR(1/J97*(Y97/H97),"0")</f>
        <v>0.46703296703296709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101.9753086419753</v>
      </c>
      <c r="Y99" s="617">
        <f>IFERROR(Y95/H95,"0")+IFERROR(Y96/H96,"0")+IFERROR(Y97/H97,"0")+IFERROR(Y98/H98,"0")</f>
        <v>103</v>
      </c>
      <c r="Z99" s="617">
        <f>IFERROR(IF(Z95="",0,Z95),"0")+IFERROR(IF(Z96="",0,Z96),"0")+IFERROR(IF(Z97="",0,Z97),"0")+IFERROR(IF(Z98="",0,Z98),"0")</f>
        <v>0.89498999999999995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370</v>
      </c>
      <c r="Y100" s="617">
        <f>IFERROR(SUM(Y95:Y98),"0")</f>
        <v>375.3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315</v>
      </c>
      <c r="Y103" s="616">
        <f t="shared" ref="Y103:Y108" si="5">IFERROR(IF(X103="",0,CEILING((X103/$H103),1)*$H103),"")</f>
        <v>324</v>
      </c>
      <c r="Z103" s="36">
        <f>IFERROR(IF(Y103=0,"",ROUNDUP(Y103/H103,0)*0.01898),"")</f>
        <v>0.56940000000000002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326.95833333333331</v>
      </c>
      <c r="BN103" s="64">
        <f t="shared" ref="BN103:BN108" si="7">IFERROR(Y103*I103/H103,"0")</f>
        <v>336.3</v>
      </c>
      <c r="BO103" s="64">
        <f t="shared" ref="BO103:BO108" si="8">IFERROR(1/J103*(X103/H103),"0")</f>
        <v>0.45572916666666663</v>
      </c>
      <c r="BP103" s="64">
        <f t="shared" ref="BP103:BP108" si="9">IFERROR(1/J103*(Y103/H103),"0")</f>
        <v>0.46874999999999994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147</v>
      </c>
      <c r="Y107" s="616">
        <f t="shared" si="5"/>
        <v>148.5</v>
      </c>
      <c r="Z107" s="36">
        <f>IFERROR(IF(Y107=0,"",ROUNDUP(Y107/H107,0)*0.00902),"")</f>
        <v>0.29766000000000004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153.20666666666668</v>
      </c>
      <c r="BN107" s="64">
        <f t="shared" si="7"/>
        <v>154.77000000000001</v>
      </c>
      <c r="BO107" s="64">
        <f t="shared" si="8"/>
        <v>0.24747474747474746</v>
      </c>
      <c r="BP107" s="64">
        <f t="shared" si="9"/>
        <v>0.25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61.833333333333329</v>
      </c>
      <c r="Y109" s="617">
        <f>IFERROR(Y103/H103,"0")+IFERROR(Y104/H104,"0")+IFERROR(Y105/H105,"0")+IFERROR(Y106/H106,"0")+IFERROR(Y107/H107,"0")+IFERROR(Y108/H108,"0")</f>
        <v>63</v>
      </c>
      <c r="Z109" s="617">
        <f>IFERROR(IF(Z103="",0,Z103),"0")+IFERROR(IF(Z104="",0,Z104),"0")+IFERROR(IF(Z105="",0,Z105),"0")+IFERROR(IF(Z106="",0,Z106),"0")+IFERROR(IF(Z107="",0,Z107),"0")+IFERROR(IF(Z108="",0,Z108),"0")</f>
        <v>0.86706000000000005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462</v>
      </c>
      <c r="Y110" s="617">
        <f>IFERROR(SUM(Y103:Y108),"0")</f>
        <v>472.5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31</v>
      </c>
      <c r="Y112" s="616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32.176851851851858</v>
      </c>
      <c r="BN112" s="64">
        <f>IFERROR(Y112*I112/H112,"0")</f>
        <v>33.630000000000003</v>
      </c>
      <c r="BO112" s="64">
        <f>IFERROR(1/J112*(X112/H112),"0")</f>
        <v>4.4849537037037035E-2</v>
      </c>
      <c r="BP112" s="64">
        <f>IFERROR(1/J112*(Y112/H112),"0")</f>
        <v>4.6875000000000007E-2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1</v>
      </c>
      <c r="Y113" s="616">
        <f>IFERROR(IF(X113="",0,CEILING((X113/$H113),1)*$H113),"")</f>
        <v>1</v>
      </c>
      <c r="Z113" s="36">
        <f>IFERROR(IF(Y113=0,"",ROUNDUP(Y113/H113,0)*0.00358),"")</f>
        <v>3.5799999999999998E-3</v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1.21</v>
      </c>
      <c r="BN113" s="64">
        <f>IFERROR(Y113*I113/H113,"0")</f>
        <v>1.21</v>
      </c>
      <c r="BO113" s="64">
        <f>IFERROR(1/J113*(X113/H113),"0")</f>
        <v>2.5510204081632651E-3</v>
      </c>
      <c r="BP113" s="64">
        <f>IFERROR(1/J113*(Y113/H113),"0")</f>
        <v>2.5510204081632651E-3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25</v>
      </c>
      <c r="Y116" s="616">
        <f>IFERROR(IF(X116="",0,CEILING((X116/$H116),1)*$H116),"")</f>
        <v>26.4</v>
      </c>
      <c r="Z116" s="36">
        <f>IFERROR(IF(Y116=0,"",ROUNDUP(Y116/H116,0)*0.00651),"")</f>
        <v>7.1610000000000007E-2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26.875</v>
      </c>
      <c r="BN116" s="64">
        <f>IFERROR(Y116*I116/H116,"0")</f>
        <v>28.38</v>
      </c>
      <c r="BO116" s="64">
        <f>IFERROR(1/J116*(X116/H116),"0")</f>
        <v>5.7234432234432246E-2</v>
      </c>
      <c r="BP116" s="64">
        <f>IFERROR(1/J116*(Y116/H116),"0")</f>
        <v>6.0439560439560447E-2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14.287037037037038</v>
      </c>
      <c r="Y117" s="617">
        <f>IFERROR(Y112/H112,"0")+IFERROR(Y113/H113,"0")+IFERROR(Y114/H114,"0")+IFERROR(Y115/H115,"0")+IFERROR(Y116/H116,"0")</f>
        <v>15</v>
      </c>
      <c r="Z117" s="617">
        <f>IFERROR(IF(Z112="",0,Z112),"0")+IFERROR(IF(Z113="",0,Z113),"0")+IFERROR(IF(Z114="",0,Z114),"0")+IFERROR(IF(Z115="",0,Z115),"0")+IFERROR(IF(Z116="",0,Z116),"0")</f>
        <v>0.13213000000000003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57</v>
      </c>
      <c r="Y118" s="617">
        <f>IFERROR(SUM(Y112:Y116),"0")</f>
        <v>59.800000000000004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234</v>
      </c>
      <c r="Y120" s="616">
        <f>IFERROR(IF(X120="",0,CEILING((X120/$H120),1)*$H120),"")</f>
        <v>234.89999999999998</v>
      </c>
      <c r="Z120" s="36">
        <f>IFERROR(IF(Y120=0,"",ROUNDUP(Y120/H120,0)*0.01898),"")</f>
        <v>0.55042000000000002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248.09777777777776</v>
      </c>
      <c r="BN120" s="64">
        <f>IFERROR(Y120*I120/H120,"0")</f>
        <v>249.05199999999996</v>
      </c>
      <c r="BO120" s="64">
        <f>IFERROR(1/J120*(X120/H120),"0")</f>
        <v>0.4513888888888889</v>
      </c>
      <c r="BP120" s="64">
        <f>IFERROR(1/J120*(Y120/H120),"0")</f>
        <v>0.453125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249</v>
      </c>
      <c r="Y122" s="616">
        <f>IFERROR(IF(X122="",0,CEILING((X122/$H122),1)*$H122),"")</f>
        <v>251.10000000000002</v>
      </c>
      <c r="Z122" s="36">
        <f>IFERROR(IF(Y122=0,"",ROUNDUP(Y122/H122,0)*0.00651),"")</f>
        <v>0.60543000000000002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272.24</v>
      </c>
      <c r="BN122" s="64">
        <f>IFERROR(Y122*I122/H122,"0")</f>
        <v>274.536</v>
      </c>
      <c r="BO122" s="64">
        <f>IFERROR(1/J122*(X122/H122),"0")</f>
        <v>0.50671550671550669</v>
      </c>
      <c r="BP122" s="64">
        <f>IFERROR(1/J122*(Y122/H122),"0")</f>
        <v>0.51098901098901106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121.1111111111111</v>
      </c>
      <c r="Y124" s="617">
        <f>IFERROR(Y120/H120,"0")+IFERROR(Y121/H121,"0")+IFERROR(Y122/H122,"0")+IFERROR(Y123/H123,"0")</f>
        <v>122</v>
      </c>
      <c r="Z124" s="617">
        <f>IFERROR(IF(Z120="",0,Z120),"0")+IFERROR(IF(Z121="",0,Z121),"0")+IFERROR(IF(Z122="",0,Z122),"0")+IFERROR(IF(Z123="",0,Z123),"0")</f>
        <v>1.15585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483</v>
      </c>
      <c r="Y125" s="617">
        <f>IFERROR(SUM(Y120:Y123),"0")</f>
        <v>486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19</v>
      </c>
      <c r="Y137" s="616">
        <f>IFERROR(IF(X137="",0,CEILING((X137/$H137),1)*$H137),"")</f>
        <v>19.599999999999998</v>
      </c>
      <c r="Z137" s="36">
        <f>IFERROR(IF(Y137=0,"",ROUNDUP(Y137/H137,0)*0.00651),"")</f>
        <v>4.5569999999999999E-2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20.818571428571431</v>
      </c>
      <c r="BN137" s="64">
        <f>IFERROR(Y137*I137/H137,"0")</f>
        <v>21.475999999999999</v>
      </c>
      <c r="BO137" s="64">
        <f>IFERROR(1/J137*(X137/H137),"0")</f>
        <v>3.7284144427001578E-2</v>
      </c>
      <c r="BP137" s="64">
        <f>IFERROR(1/J137*(Y137/H137),"0")</f>
        <v>3.8461538461538464E-2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6.7857142857142865</v>
      </c>
      <c r="Y139" s="617">
        <f>IFERROR(Y137/H137,"0")+IFERROR(Y138/H138,"0")</f>
        <v>7</v>
      </c>
      <c r="Z139" s="617">
        <f>IFERROR(IF(Z137="",0,Z137),"0")+IFERROR(IF(Z138="",0,Z138),"0")</f>
        <v>4.5569999999999999E-2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19</v>
      </c>
      <c r="Y140" s="617">
        <f>IFERROR(SUM(Y137:Y138),"0")</f>
        <v>19.599999999999998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15</v>
      </c>
      <c r="Y142" s="616">
        <f>IFERROR(IF(X142="",0,CEILING((X142/$H142),1)*$H142),"")</f>
        <v>15.84</v>
      </c>
      <c r="Z142" s="36">
        <f>IFERROR(IF(Y142=0,"",ROUNDUP(Y142/H142,0)*0.00651),"")</f>
        <v>3.9059999999999997E-2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16.52272727272727</v>
      </c>
      <c r="BN142" s="64">
        <f>IFERROR(Y142*I142/H142,"0")</f>
        <v>17.448</v>
      </c>
      <c r="BO142" s="64">
        <f>IFERROR(1/J142*(X142/H142),"0")</f>
        <v>3.121878121878122E-2</v>
      </c>
      <c r="BP142" s="64">
        <f>IFERROR(1/J142*(Y142/H142),"0")</f>
        <v>3.2967032967032968E-2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5.6818181818181817</v>
      </c>
      <c r="Y144" s="617">
        <f>IFERROR(Y142/H142,"0")+IFERROR(Y143/H143,"0")</f>
        <v>6</v>
      </c>
      <c r="Z144" s="617">
        <f>IFERROR(IF(Z142="",0,Z142),"0")+IFERROR(IF(Z143="",0,Z143),"0")</f>
        <v>3.9059999999999997E-2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15</v>
      </c>
      <c r="Y145" s="617">
        <f>IFERROR(SUM(Y142:Y143),"0")</f>
        <v>15.84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33</v>
      </c>
      <c r="Y157" s="616">
        <f>IFERROR(IF(X157="",0,CEILING((X157/$H157),1)*$H157),"")</f>
        <v>38.400000000000006</v>
      </c>
      <c r="Z157" s="36">
        <f>IFERROR(IF(Y157=0,"",ROUNDUP(Y157/H157,0)*0.01898),"")</f>
        <v>5.6940000000000004E-2</v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34.057031250000001</v>
      </c>
      <c r="BN157" s="64">
        <f>IFERROR(Y157*I157/H157,"0")</f>
        <v>39.63000000000001</v>
      </c>
      <c r="BO157" s="64">
        <f>IFERROR(1/J157*(X157/H157),"0")</f>
        <v>4.0283203125E-2</v>
      </c>
      <c r="BP157" s="64">
        <f>IFERROR(1/J157*(Y157/H157),"0")</f>
        <v>4.6875000000000007E-2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2.578125</v>
      </c>
      <c r="Y159" s="617">
        <f>IFERROR(Y156/H156,"0")+IFERROR(Y157/H157,"0")+IFERROR(Y158/H158,"0")</f>
        <v>3.0000000000000004</v>
      </c>
      <c r="Z159" s="617">
        <f>IFERROR(IF(Z156="",0,Z156),"0")+IFERROR(IF(Z157="",0,Z157),"0")+IFERROR(IF(Z158="",0,Z158),"0")</f>
        <v>5.6940000000000004E-2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33</v>
      </c>
      <c r="Y160" s="617">
        <f>IFERROR(SUM(Y156:Y158),"0")</f>
        <v>38.400000000000006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367</v>
      </c>
      <c r="Y166" s="616">
        <f t="shared" ref="Y166:Y177" si="10">IFERROR(IF(X166="",0,CEILING((X166/$H166),1)*$H166),"")</f>
        <v>367.5</v>
      </c>
      <c r="Z166" s="36">
        <f>IFERROR(IF(Y166=0,"",ROUNDUP(Y166/H166,0)*0.00902),"")</f>
        <v>0.94710000000000005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386.92285714285714</v>
      </c>
      <c r="BN166" s="64">
        <f t="shared" ref="BN166:BN177" si="12">IFERROR(Y166*I166/H166,"0")</f>
        <v>387.45</v>
      </c>
      <c r="BO166" s="64">
        <f t="shared" ref="BO166:BO177" si="13">IFERROR(1/J166*(X166/H166),"0")</f>
        <v>0.7943722943722944</v>
      </c>
      <c r="BP166" s="64">
        <f t="shared" ref="BP166:BP177" si="14">IFERROR(1/J166*(Y166/H166),"0")</f>
        <v>0.79545454545454553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218</v>
      </c>
      <c r="Y169" s="616">
        <f t="shared" si="10"/>
        <v>220.5</v>
      </c>
      <c r="Z169" s="36">
        <f>IFERROR(IF(Y169=0,"",ROUNDUP(Y169/H169,0)*0.00902),"")</f>
        <v>0.56825999999999999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229.8342857142857</v>
      </c>
      <c r="BN169" s="64">
        <f t="shared" si="12"/>
        <v>232.47</v>
      </c>
      <c r="BO169" s="64">
        <f t="shared" si="13"/>
        <v>0.47186147186147187</v>
      </c>
      <c r="BP169" s="64">
        <f t="shared" si="14"/>
        <v>0.47727272727272729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349</v>
      </c>
      <c r="Y170" s="616">
        <f t="shared" si="10"/>
        <v>350</v>
      </c>
      <c r="Z170" s="36">
        <f>IFERROR(IF(Y170=0,"",ROUNDUP(Y170/H170,0)*0.00902),"")</f>
        <v>0.90200000000000002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367.94571428571425</v>
      </c>
      <c r="BN170" s="64">
        <f t="shared" si="12"/>
        <v>369</v>
      </c>
      <c r="BO170" s="64">
        <f t="shared" si="13"/>
        <v>0.75541125541125542</v>
      </c>
      <c r="BP170" s="64">
        <f t="shared" si="14"/>
        <v>0.75757575757575757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48</v>
      </c>
      <c r="Y172" s="616">
        <f t="shared" si="10"/>
        <v>48.72</v>
      </c>
      <c r="Z172" s="36">
        <f>IFERROR(IF(Y172=0,"",ROUNDUP(Y172/H172,0)*0.00502),"")</f>
        <v>0.14558000000000001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50.857142857142861</v>
      </c>
      <c r="BN172" s="64">
        <f t="shared" si="12"/>
        <v>51.62</v>
      </c>
      <c r="BO172" s="64">
        <f t="shared" si="13"/>
        <v>0.12210012210012212</v>
      </c>
      <c r="BP172" s="64">
        <f t="shared" si="14"/>
        <v>0.12393162393162395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32</v>
      </c>
      <c r="Y177" s="616">
        <f t="shared" si="10"/>
        <v>33.6</v>
      </c>
      <c r="Z177" s="36">
        <f>IFERROR(IF(Y177=0,"",ROUNDUP(Y177/H177,0)*0.00502),"")</f>
        <v>0.1004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33.904761904761905</v>
      </c>
      <c r="BN177" s="64">
        <f t="shared" si="12"/>
        <v>35.600000000000009</v>
      </c>
      <c r="BO177" s="64">
        <f t="shared" si="13"/>
        <v>8.1400081400081412E-2</v>
      </c>
      <c r="BP177" s="64">
        <f t="shared" si="14"/>
        <v>8.5470085470085472E-2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314.47619047619042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317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2.6633399999999998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1014</v>
      </c>
      <c r="Y179" s="617">
        <f>IFERROR(SUM(Y166:Y177),"0")</f>
        <v>1020.32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15</v>
      </c>
      <c r="Y213" s="616">
        <f t="shared" ref="Y213:Y226" si="21">IFERROR(IF(X213="",0,CEILING((X213/$H213),1)*$H213),"")</f>
        <v>16.8</v>
      </c>
      <c r="Z213" s="36">
        <f>IFERROR(IF(Y213=0,"",ROUNDUP(Y213/H213,0)*0.00902),"")</f>
        <v>3.6080000000000001E-2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15.892857142857142</v>
      </c>
      <c r="BN213" s="64">
        <f t="shared" ref="BN213:BN226" si="23">IFERROR(Y213*I213/H213,"0")</f>
        <v>17.8</v>
      </c>
      <c r="BO213" s="64">
        <f t="shared" ref="BO213:BO226" si="24">IFERROR(1/J213*(X213/H213),"0")</f>
        <v>2.7056277056277056E-2</v>
      </c>
      <c r="BP213" s="64">
        <f t="shared" ref="BP213:BP226" si="25">IFERROR(1/J213*(Y213/H213),"0")</f>
        <v>3.0303030303030304E-2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65</v>
      </c>
      <c r="Y215" s="616">
        <f t="shared" si="21"/>
        <v>67.2</v>
      </c>
      <c r="Z215" s="36">
        <f>IFERROR(IF(Y215=0,"",ROUNDUP(Y215/H215,0)*0.00902),"")</f>
        <v>0.14432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67.940476190476176</v>
      </c>
      <c r="BN215" s="64">
        <f t="shared" si="23"/>
        <v>70.239999999999995</v>
      </c>
      <c r="BO215" s="64">
        <f t="shared" si="24"/>
        <v>0.11724386724386725</v>
      </c>
      <c r="BP215" s="64">
        <f t="shared" si="25"/>
        <v>0.12121212121212122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1</v>
      </c>
      <c r="Y216" s="616">
        <f t="shared" si="21"/>
        <v>1.6</v>
      </c>
      <c r="Z216" s="36">
        <f>IFERROR(IF(Y216=0,"",ROUNDUP(Y216/H216,0)*0.00556),"")</f>
        <v>1.112E-2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1.1625000000000001</v>
      </c>
      <c r="BN216" s="64">
        <f t="shared" si="23"/>
        <v>1.86</v>
      </c>
      <c r="BO216" s="64">
        <f t="shared" si="24"/>
        <v>4.96031746031746E-3</v>
      </c>
      <c r="BP216" s="64">
        <f t="shared" si="25"/>
        <v>7.9365079365079361E-3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21</v>
      </c>
      <c r="Y217" s="616">
        <f t="shared" si="21"/>
        <v>21</v>
      </c>
      <c r="Z217" s="36">
        <f t="shared" ref="Z217:Z222" si="26">IFERROR(IF(Y217=0,"",ROUNDUP(Y217/H217,0)*0.00502),"")</f>
        <v>5.0200000000000002E-2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22.299999999999997</v>
      </c>
      <c r="BN217" s="64">
        <f t="shared" si="23"/>
        <v>22.299999999999997</v>
      </c>
      <c r="BO217" s="64">
        <f t="shared" si="24"/>
        <v>4.2735042735042736E-2</v>
      </c>
      <c r="BP217" s="64">
        <f t="shared" si="25"/>
        <v>4.2735042735042736E-2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19</v>
      </c>
      <c r="Y222" s="616">
        <f t="shared" si="21"/>
        <v>19.8</v>
      </c>
      <c r="Z222" s="36">
        <f t="shared" si="26"/>
        <v>5.5220000000000005E-2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20.372222222222224</v>
      </c>
      <c r="BN222" s="64">
        <f t="shared" si="23"/>
        <v>21.23</v>
      </c>
      <c r="BO222" s="64">
        <f t="shared" si="24"/>
        <v>4.5109211775878448E-2</v>
      </c>
      <c r="BP222" s="64">
        <f t="shared" si="25"/>
        <v>4.7008547008547015E-2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19</v>
      </c>
      <c r="Y223" s="616">
        <f t="shared" si="21"/>
        <v>19.200000000000003</v>
      </c>
      <c r="Z223" s="36">
        <f>IFERROR(IF(Y223=0,"",ROUNDUP(Y223/H223,0)*0.00417),"")</f>
        <v>0.10008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23.987500000000001</v>
      </c>
      <c r="BN223" s="64">
        <f t="shared" si="23"/>
        <v>24.240000000000002</v>
      </c>
      <c r="BO223" s="64">
        <f t="shared" si="24"/>
        <v>7.0684523809523808E-2</v>
      </c>
      <c r="BP223" s="64">
        <f t="shared" si="25"/>
        <v>7.1428571428571438E-2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96</v>
      </c>
      <c r="Y224" s="616">
        <f t="shared" si="21"/>
        <v>96.600000000000009</v>
      </c>
      <c r="Z224" s="36">
        <f>IFERROR(IF(Y224=0,"",ROUNDUP(Y224/H224,0)*0.00502),"")</f>
        <v>0.23092000000000001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100.57142857142857</v>
      </c>
      <c r="BN224" s="64">
        <f t="shared" si="23"/>
        <v>101.20000000000002</v>
      </c>
      <c r="BO224" s="64">
        <f t="shared" si="24"/>
        <v>0.19536019536019539</v>
      </c>
      <c r="BP224" s="64">
        <f t="shared" si="25"/>
        <v>0.1965811965811966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110.31746031746033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113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0.62793999999999994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236</v>
      </c>
      <c r="Y228" s="617">
        <f>IFERROR(SUM(Y213:Y226),"0")</f>
        <v>242.2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19</v>
      </c>
      <c r="Y240" s="616">
        <f>IFERROR(IF(X240="",0,CEILING((X240/$H240),1)*$H240),"")</f>
        <v>20.16</v>
      </c>
      <c r="Z240" s="36">
        <f>IFERROR(IF(Y240=0,"",ROUNDUP(Y240/H240,0)*0.0059),"")</f>
        <v>9.4399999999999998E-2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21.865079365079364</v>
      </c>
      <c r="BN240" s="64">
        <f>IFERROR(Y240*I240/H240,"0")</f>
        <v>23.2</v>
      </c>
      <c r="BO240" s="64">
        <f>IFERROR(1/J240*(X240/H240),"0")</f>
        <v>6.9811875367430914E-2</v>
      </c>
      <c r="BP240" s="64">
        <f>IFERROR(1/J240*(Y240/H240),"0")</f>
        <v>7.407407407407407E-2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15.079365079365079</v>
      </c>
      <c r="Y241" s="617">
        <f>IFERROR(Y238/H238,"0")+IFERROR(Y239/H239,"0")+IFERROR(Y240/H240,"0")</f>
        <v>16</v>
      </c>
      <c r="Z241" s="617">
        <f>IFERROR(IF(Z238="",0,Z238),"0")+IFERROR(IF(Z239="",0,Z239),"0")+IFERROR(IF(Z240="",0,Z240),"0")</f>
        <v>9.4399999999999998E-2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19</v>
      </c>
      <c r="Y242" s="617">
        <f>IFERROR(SUM(Y238:Y240),"0")</f>
        <v>20.16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4</v>
      </c>
      <c r="Y244" s="61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3.1746031746031744</v>
      </c>
      <c r="Y245" s="617">
        <f>IFERROR(Y244/H244,"0")</f>
        <v>4</v>
      </c>
      <c r="Z245" s="617">
        <f>IFERROR(IF(Z244="",0,Z244),"0")</f>
        <v>2.3599999999999999E-2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4</v>
      </c>
      <c r="Y246" s="617">
        <f>IFERROR(SUM(Y244:Y244),"0")</f>
        <v>5.04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231</v>
      </c>
      <c r="Y259" s="616">
        <f t="shared" ref="Y259:Y266" si="27">IFERROR(IF(X259="",0,CEILING((X259/$H259),1)*$H259),"")</f>
        <v>232.20000000000002</v>
      </c>
      <c r="Z259" s="36">
        <f>IFERROR(IF(Y259=0,"",ROUNDUP(Y259/H259,0)*0.00902),"")</f>
        <v>0.38785999999999998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239.12777777777777</v>
      </c>
      <c r="BN259" s="64">
        <f t="shared" ref="BN259:BN266" si="29">IFERROR(Y259*I259/H259,"0")</f>
        <v>240.37</v>
      </c>
      <c r="BO259" s="64">
        <f t="shared" ref="BO259:BO266" si="30">IFERROR(1/J259*(X259/H259),"0")</f>
        <v>0.32407407407407401</v>
      </c>
      <c r="BP259" s="64">
        <f t="shared" ref="BP259:BP266" si="31">IFERROR(1/J259*(Y259/H259),"0")</f>
        <v>0.32575757575757575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244</v>
      </c>
      <c r="Y260" s="616">
        <f t="shared" si="27"/>
        <v>248.4</v>
      </c>
      <c r="Z260" s="36">
        <f>IFERROR(IF(Y260=0,"",ROUNDUP(Y260/H260,0)*0.00902),"")</f>
        <v>0.41492000000000001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252.58518518518517</v>
      </c>
      <c r="BN260" s="64">
        <f t="shared" si="29"/>
        <v>257.14</v>
      </c>
      <c r="BO260" s="64">
        <f t="shared" si="30"/>
        <v>0.34231200897867564</v>
      </c>
      <c r="BP260" s="64">
        <f t="shared" si="31"/>
        <v>0.34848484848484851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430</v>
      </c>
      <c r="Y261" s="616">
        <f t="shared" si="27"/>
        <v>432</v>
      </c>
      <c r="Z261" s="36">
        <f>IFERROR(IF(Y261=0,"",ROUNDUP(Y261/H261,0)*0.00902),"")</f>
        <v>0.72160000000000002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445.12962962962956</v>
      </c>
      <c r="BN261" s="64">
        <f t="shared" si="29"/>
        <v>447.2</v>
      </c>
      <c r="BO261" s="64">
        <f t="shared" si="30"/>
        <v>0.60325476992143656</v>
      </c>
      <c r="BP261" s="64">
        <f t="shared" si="31"/>
        <v>0.60606060606060608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219</v>
      </c>
      <c r="Y262" s="616">
        <f t="shared" si="27"/>
        <v>221.4</v>
      </c>
      <c r="Z262" s="36">
        <f>IFERROR(IF(Y262=0,"",ROUNDUP(Y262/H262,0)*0.00902),"")</f>
        <v>0.36982000000000004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226.70555555555555</v>
      </c>
      <c r="BN262" s="64">
        <f t="shared" si="29"/>
        <v>229.18999999999997</v>
      </c>
      <c r="BO262" s="64">
        <f t="shared" si="30"/>
        <v>0.3072390572390572</v>
      </c>
      <c r="BP262" s="64">
        <f t="shared" si="31"/>
        <v>0.31060606060606061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50</v>
      </c>
      <c r="Y263" s="616">
        <f t="shared" si="27"/>
        <v>50.4</v>
      </c>
      <c r="Z263" s="36">
        <f>IFERROR(IF(Y263=0,"",ROUNDUP(Y263/H263,0)*0.00502),"")</f>
        <v>0.14056000000000002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53.611111111111107</v>
      </c>
      <c r="BN263" s="64">
        <f t="shared" si="29"/>
        <v>54.039999999999992</v>
      </c>
      <c r="BO263" s="64">
        <f t="shared" si="30"/>
        <v>0.11870845204178539</v>
      </c>
      <c r="BP263" s="64">
        <f t="shared" si="31"/>
        <v>0.11965811965811968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39</v>
      </c>
      <c r="Y264" s="616">
        <f t="shared" si="27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41.166666666666664</v>
      </c>
      <c r="BN264" s="64">
        <f t="shared" si="29"/>
        <v>41.8</v>
      </c>
      <c r="BO264" s="64">
        <f t="shared" si="30"/>
        <v>9.2592592592592601E-2</v>
      </c>
      <c r="BP264" s="64">
        <f t="shared" si="31"/>
        <v>9.401709401709403E-2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43</v>
      </c>
      <c r="Y266" s="616">
        <f t="shared" si="27"/>
        <v>43.2</v>
      </c>
      <c r="Z266" s="36">
        <f>IFERROR(IF(Y266=0,"",ROUNDUP(Y266/H266,0)*0.00502),"")</f>
        <v>0.12048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45.388888888888893</v>
      </c>
      <c r="BN266" s="64">
        <f t="shared" si="29"/>
        <v>45.6</v>
      </c>
      <c r="BO266" s="64">
        <f t="shared" si="30"/>
        <v>0.10208926875593544</v>
      </c>
      <c r="BP266" s="64">
        <f t="shared" si="31"/>
        <v>0.10256410256410257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281.48148148148147</v>
      </c>
      <c r="Y267" s="617">
        <f>IFERROR(Y259/H259,"0")+IFERROR(Y260/H260,"0")+IFERROR(Y261/H261,"0")+IFERROR(Y262/H262,"0")+IFERROR(Y263/H263,"0")+IFERROR(Y264/H264,"0")+IFERROR(Y265/H265,"0")+IFERROR(Y266/H266,"0")</f>
        <v>284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2.2656800000000006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1256</v>
      </c>
      <c r="Y268" s="617">
        <f>IFERROR(SUM(Y259:Y266),"0")</f>
        <v>1267.2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22</v>
      </c>
      <c r="Y270" s="616">
        <f t="shared" ref="Y270:Y281" si="32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23.341728395061729</v>
      </c>
      <c r="BN270" s="64">
        <f t="shared" ref="BN270:BN281" si="34">IFERROR(Y270*I270/H270,"0")</f>
        <v>25.781999999999996</v>
      </c>
      <c r="BO270" s="64">
        <f t="shared" ref="BO270:BO281" si="35">IFERROR(1/J270*(X270/H270),"0")</f>
        <v>4.2438271604938273E-2</v>
      </c>
      <c r="BP270" s="64">
        <f t="shared" ref="BP270:BP281" si="36">IFERROR(1/J270*(Y270/H270),"0")</f>
        <v>4.6875E-2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150</v>
      </c>
      <c r="Y272" s="616">
        <f t="shared" si="32"/>
        <v>156.6</v>
      </c>
      <c r="Z272" s="36">
        <f>IFERROR(IF(Y272=0,"",ROUNDUP(Y272/H272,0)*0.01898),"")</f>
        <v>0.34164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158.51724137931038</v>
      </c>
      <c r="BN272" s="64">
        <f t="shared" si="34"/>
        <v>165.49200000000002</v>
      </c>
      <c r="BO272" s="64">
        <f t="shared" si="35"/>
        <v>0.26939655172413796</v>
      </c>
      <c r="BP272" s="64">
        <f t="shared" si="36"/>
        <v>0.28125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114</v>
      </c>
      <c r="Y273" s="616">
        <f t="shared" si="32"/>
        <v>115.19999999999999</v>
      </c>
      <c r="Z273" s="36">
        <f>IFERROR(IF(Y273=0,"",ROUNDUP(Y273/H273,0)*0.00651),"")</f>
        <v>0.31247999999999998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126.825</v>
      </c>
      <c r="BN273" s="64">
        <f t="shared" si="34"/>
        <v>128.15999999999997</v>
      </c>
      <c r="BO273" s="64">
        <f t="shared" si="35"/>
        <v>0.26098901098901101</v>
      </c>
      <c r="BP273" s="64">
        <f t="shared" si="36"/>
        <v>0.26373626373626374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443</v>
      </c>
      <c r="Y276" s="616">
        <f t="shared" si="32"/>
        <v>444</v>
      </c>
      <c r="Z276" s="36">
        <f>IFERROR(IF(Y276=0,"",ROUNDUP(Y276/H276,0)*0.00651),"")</f>
        <v>1.20435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489.51500000000004</v>
      </c>
      <c r="BN276" s="64">
        <f t="shared" si="34"/>
        <v>490.62000000000006</v>
      </c>
      <c r="BO276" s="64">
        <f t="shared" si="35"/>
        <v>1.0141941391941394</v>
      </c>
      <c r="BP276" s="64">
        <f t="shared" si="36"/>
        <v>1.0164835164835166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95</v>
      </c>
      <c r="Y278" s="616">
        <f t="shared" si="32"/>
        <v>96</v>
      </c>
      <c r="Z278" s="36">
        <f>IFERROR(IF(Y278=0,"",ROUNDUP(Y278/H278,0)*0.00651),"")</f>
        <v>0.26040000000000002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104.97500000000001</v>
      </c>
      <c r="BN278" s="64">
        <f t="shared" si="34"/>
        <v>106.08000000000001</v>
      </c>
      <c r="BO278" s="64">
        <f t="shared" si="35"/>
        <v>0.21749084249084252</v>
      </c>
      <c r="BP278" s="64">
        <f t="shared" si="36"/>
        <v>0.2197802197802198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115</v>
      </c>
      <c r="Y279" s="616">
        <f t="shared" si="32"/>
        <v>115.19999999999999</v>
      </c>
      <c r="Z279" s="36">
        <f>IFERROR(IF(Y279=0,"",ROUNDUP(Y279/H279,0)*0.00651),"")</f>
        <v>0.31247999999999998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127.07500000000002</v>
      </c>
      <c r="BN279" s="64">
        <f t="shared" si="34"/>
        <v>127.29600000000001</v>
      </c>
      <c r="BO279" s="64">
        <f t="shared" si="35"/>
        <v>0.26327838827838834</v>
      </c>
      <c r="BP279" s="64">
        <f t="shared" si="36"/>
        <v>0.26373626373626374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66</v>
      </c>
      <c r="Y280" s="616">
        <f t="shared" si="32"/>
        <v>67.2</v>
      </c>
      <c r="Z280" s="36">
        <f>IFERROR(IF(Y280=0,"",ROUNDUP(Y280/H280,0)*0.00651),"")</f>
        <v>0.18228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73.094999999999999</v>
      </c>
      <c r="BN280" s="64">
        <f t="shared" si="34"/>
        <v>74.424000000000007</v>
      </c>
      <c r="BO280" s="64">
        <f t="shared" si="35"/>
        <v>0.15109890109890112</v>
      </c>
      <c r="BP280" s="64">
        <f t="shared" si="36"/>
        <v>0.15384615384615388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367.04076202639425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370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2.6705700000000001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1005</v>
      </c>
      <c r="Y283" s="617">
        <f>IFERROR(SUM(Y270:Y281),"0")</f>
        <v>1018.5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96</v>
      </c>
      <c r="Y286" s="616">
        <f>IFERROR(IF(X286="",0,CEILING((X286/$H286),1)*$H286),"")</f>
        <v>96</v>
      </c>
      <c r="Z286" s="36">
        <f>IFERROR(IF(Y286=0,"",ROUNDUP(Y286/H286,0)*0.00651),"")</f>
        <v>0.26040000000000002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106.08000000000001</v>
      </c>
      <c r="BN286" s="64">
        <f>IFERROR(Y286*I286/H286,"0")</f>
        <v>106.08000000000001</v>
      </c>
      <c r="BO286" s="64">
        <f>IFERROR(1/J286*(X286/H286),"0")</f>
        <v>0.2197802197802198</v>
      </c>
      <c r="BP286" s="64">
        <f>IFERROR(1/J286*(Y286/H286),"0")</f>
        <v>0.2197802197802198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40</v>
      </c>
      <c r="Y287" s="617">
        <f>IFERROR(Y285/H285,"0")+IFERROR(Y286/H286,"0")</f>
        <v>40</v>
      </c>
      <c r="Z287" s="617">
        <f>IFERROR(IF(Z285="",0,Z285),"0")+IFERROR(IF(Z286="",0,Z286),"0")</f>
        <v>0.26040000000000002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96</v>
      </c>
      <c r="Y288" s="617">
        <f>IFERROR(SUM(Y285:Y286),"0")</f>
        <v>96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291</v>
      </c>
      <c r="Y291" s="616">
        <f t="shared" ref="Y291:Y297" si="37">IFERROR(IF(X291="",0,CEILING((X291/$H291),1)*$H291),"")</f>
        <v>301.59999999999997</v>
      </c>
      <c r="Z291" s="36">
        <f>IFERROR(IF(Y291=0,"",ROUNDUP(Y291/H291,0)*0.01898),"")</f>
        <v>0.49348000000000003</v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301.28534482758619</v>
      </c>
      <c r="BN291" s="64">
        <f t="shared" ref="BN291:BN297" si="39">IFERROR(Y291*I291/H291,"0")</f>
        <v>312.25999999999993</v>
      </c>
      <c r="BO291" s="64">
        <f t="shared" ref="BO291:BO297" si="40">IFERROR(1/J291*(X291/H291),"0")</f>
        <v>0.39197198275862072</v>
      </c>
      <c r="BP291" s="64">
        <f t="shared" ref="BP291:BP297" si="41">IFERROR(1/J291*(Y291/H291),"0")</f>
        <v>0.40624999999999994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14</v>
      </c>
      <c r="Y297" s="616">
        <f t="shared" si="37"/>
        <v>16</v>
      </c>
      <c r="Z297" s="36">
        <f>IFERROR(IF(Y297=0,"",ROUNDUP(Y297/H297,0)*0.00902),"")</f>
        <v>3.6080000000000001E-2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14.665000000000001</v>
      </c>
      <c r="BN297" s="64">
        <f t="shared" si="39"/>
        <v>16.760000000000002</v>
      </c>
      <c r="BO297" s="64">
        <f t="shared" si="40"/>
        <v>2.6515151515151516E-2</v>
      </c>
      <c r="BP297" s="64">
        <f t="shared" si="41"/>
        <v>3.0303030303030304E-2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28.586206896551726</v>
      </c>
      <c r="Y298" s="617">
        <f>IFERROR(Y291/H291,"0")+IFERROR(Y292/H292,"0")+IFERROR(Y293/H293,"0")+IFERROR(Y294/H294,"0")+IFERROR(Y295/H295,"0")+IFERROR(Y296/H296,"0")+IFERROR(Y297/H297,"0")</f>
        <v>29.999999999999996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0.52956000000000003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305</v>
      </c>
      <c r="Y299" s="617">
        <f>IFERROR(SUM(Y291:Y297),"0")</f>
        <v>317.59999999999997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3</v>
      </c>
      <c r="Y311" s="616">
        <f>IFERROR(IF(X311="",0,CEILING((X311/$H311),1)*$H311),"")</f>
        <v>3.6</v>
      </c>
      <c r="Z311" s="36">
        <f>IFERROR(IF(Y311=0,"",ROUNDUP(Y311/H311,0)*0.0059),"")</f>
        <v>2.3599999999999999E-2</v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3.6333333333333337</v>
      </c>
      <c r="BN311" s="64">
        <f>IFERROR(Y311*I311/H311,"0")</f>
        <v>4.3600000000000003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3.333333333333333</v>
      </c>
      <c r="Y312" s="617">
        <f>IFERROR(Y309/H309,"0")+IFERROR(Y310/H310,"0")+IFERROR(Y311/H311,"0")</f>
        <v>4</v>
      </c>
      <c r="Z312" s="617">
        <f>IFERROR(IF(Z309="",0,Z309),"0")+IFERROR(IF(Z310="",0,Z310),"0")+IFERROR(IF(Z311="",0,Z311),"0")</f>
        <v>2.3599999999999999E-2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3</v>
      </c>
      <c r="Y313" s="617">
        <f>IFERROR(SUM(Y309:Y311),"0")</f>
        <v>3.6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94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103.87</v>
      </c>
      <c r="BN326" s="64">
        <f>IFERROR(Y326*I326/H326,"0")</f>
        <v>106.08000000000001</v>
      </c>
      <c r="BO326" s="64">
        <f>IFERROR(1/J326*(X326/H326),"0")</f>
        <v>0.21520146520146524</v>
      </c>
      <c r="BP326" s="64">
        <f>IFERROR(1/J326*(Y326/H326),"0")</f>
        <v>0.2197802197802198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102</v>
      </c>
      <c r="Y327" s="616">
        <f>IFERROR(IF(X327="",0,CEILING((X327/$H327),1)*$H327),"")</f>
        <v>103.2</v>
      </c>
      <c r="Z327" s="36">
        <f>IFERROR(IF(Y327=0,"",ROUNDUP(Y327/H327,0)*0.00651),"")</f>
        <v>0.27993000000000001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109.65000000000002</v>
      </c>
      <c r="BN327" s="64">
        <f>IFERROR(Y327*I327/H327,"0")</f>
        <v>110.94000000000001</v>
      </c>
      <c r="BO327" s="64">
        <f>IFERROR(1/J327*(X327/H327),"0")</f>
        <v>0.23351648351648355</v>
      </c>
      <c r="BP327" s="64">
        <f>IFERROR(1/J327*(Y327/H327),"0")</f>
        <v>0.23626373626373628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81.666666666666671</v>
      </c>
      <c r="Y328" s="617">
        <f>IFERROR(Y325/H325,"0")+IFERROR(Y326/H326,"0")+IFERROR(Y327/H327,"0")</f>
        <v>83</v>
      </c>
      <c r="Z328" s="617">
        <f>IFERROR(IF(Z325="",0,Z325),"0")+IFERROR(IF(Z326="",0,Z326),"0")+IFERROR(IF(Z327="",0,Z327),"0")</f>
        <v>0.54032999999999998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196</v>
      </c>
      <c r="Y329" s="617">
        <f>IFERROR(SUM(Y325:Y327),"0")</f>
        <v>199.2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150</v>
      </c>
      <c r="Y346" s="61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157.88461538461542</v>
      </c>
      <c r="BN346" s="64">
        <f>IFERROR(Y346*I346/H346,"0")</f>
        <v>164.20000000000005</v>
      </c>
      <c r="BO346" s="64">
        <f>IFERROR(1/J346*(X346/H346),"0")</f>
        <v>0.30048076923076922</v>
      </c>
      <c r="BP346" s="64">
        <f>IFERROR(1/J346*(Y346/H346),"0")</f>
        <v>0.3125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218</v>
      </c>
      <c r="Y347" s="616">
        <f>IFERROR(IF(X347="",0,CEILING((X347/$H347),1)*$H347),"")</f>
        <v>218.4</v>
      </c>
      <c r="Z347" s="36">
        <f>IFERROR(IF(Y347=0,"",ROUNDUP(Y347/H347,0)*0.01898),"")</f>
        <v>0.53144000000000002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229.45897435897439</v>
      </c>
      <c r="BN347" s="64">
        <f>IFERROR(Y347*I347/H347,"0")</f>
        <v>229.88000000000005</v>
      </c>
      <c r="BO347" s="64">
        <f>IFERROR(1/J347*(X347/H347),"0")</f>
        <v>0.43669871794871795</v>
      </c>
      <c r="BP347" s="64">
        <f>IFERROR(1/J347*(Y347/H347),"0")</f>
        <v>0.4375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61</v>
      </c>
      <c r="Y348" s="616">
        <f>IFERROR(IF(X348="",0,CEILING((X348/$H348),1)*$H348),"")</f>
        <v>62.4</v>
      </c>
      <c r="Z348" s="36">
        <f>IFERROR(IF(Y348=0,"",ROUNDUP(Y348/H348,0)*0.01898),"")</f>
        <v>0.15184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64.206410256410265</v>
      </c>
      <c r="BN348" s="64">
        <f>IFERROR(Y348*I348/H348,"0")</f>
        <v>65.680000000000007</v>
      </c>
      <c r="BO348" s="64">
        <f>IFERROR(1/J348*(X348/H348),"0")</f>
        <v>0.12219551282051282</v>
      </c>
      <c r="BP348" s="64">
        <f>IFERROR(1/J348*(Y348/H348),"0")</f>
        <v>0.125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55</v>
      </c>
      <c r="Y349" s="617">
        <f>IFERROR(Y346/H346,"0")+IFERROR(Y347/H347,"0")+IFERROR(Y348/H348,"0")</f>
        <v>56</v>
      </c>
      <c r="Z349" s="617">
        <f>IFERROR(IF(Z346="",0,Z346),"0")+IFERROR(IF(Z347="",0,Z347),"0")+IFERROR(IF(Z348="",0,Z348),"0")</f>
        <v>1.06288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429</v>
      </c>
      <c r="Y350" s="617">
        <f>IFERROR(SUM(Y346:Y348),"0")</f>
        <v>436.79999999999995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21</v>
      </c>
      <c r="Y362" s="616">
        <f t="shared" si="42"/>
        <v>21</v>
      </c>
      <c r="Z362" s="36">
        <f>IFERROR(IF(Y362=0,"",ROUNDUP(Y362/H362,0)*0.00902),"")</f>
        <v>4.5100000000000001E-2</v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22.25</v>
      </c>
      <c r="BN362" s="64">
        <f t="shared" si="44"/>
        <v>22.25</v>
      </c>
      <c r="BO362" s="64">
        <f t="shared" si="45"/>
        <v>3.787878787878788E-2</v>
      </c>
      <c r="BP362" s="64">
        <f t="shared" si="46"/>
        <v>3.787878787878788E-2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5</v>
      </c>
      <c r="Y368" s="617">
        <f>IFERROR(Y361/H361,"0")+IFERROR(Y362/H362,"0")+IFERROR(Y363/H363,"0")+IFERROR(Y364/H364,"0")+IFERROR(Y365/H365,"0")+IFERROR(Y366/H366,"0")+IFERROR(Y367/H367,"0")</f>
        <v>5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4.5100000000000001E-2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21</v>
      </c>
      <c r="Y369" s="617">
        <f>IFERROR(SUM(Y361:Y367),"0")</f>
        <v>21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60</v>
      </c>
      <c r="Y371" s="616">
        <f>IFERROR(IF(X371="",0,CEILING((X371/$H371),1)*$H371),"")</f>
        <v>62.4</v>
      </c>
      <c r="Z371" s="36">
        <f>IFERROR(IF(Y371=0,"",ROUNDUP(Y371/H371,0)*0.01898),"")</f>
        <v>0.15184</v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63.753846153846162</v>
      </c>
      <c r="BN371" s="64">
        <f>IFERROR(Y371*I371/H371,"0")</f>
        <v>66.304000000000002</v>
      </c>
      <c r="BO371" s="64">
        <f>IFERROR(1/J371*(X371/H371),"0")</f>
        <v>0.1201923076923077</v>
      </c>
      <c r="BP371" s="64">
        <f>IFERROR(1/J371*(Y371/H371),"0")</f>
        <v>0.125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7.6923076923076925</v>
      </c>
      <c r="Y375" s="617">
        <f>IFERROR(Y371/H371,"0")+IFERROR(Y372/H372,"0")+IFERROR(Y373/H373,"0")+IFERROR(Y374/H374,"0")</f>
        <v>8</v>
      </c>
      <c r="Z375" s="617">
        <f>IFERROR(IF(Z371="",0,Z371),"0")+IFERROR(IF(Z372="",0,Z372),"0")+IFERROR(IF(Z373="",0,Z373),"0")+IFERROR(IF(Z374="",0,Z374),"0")</f>
        <v>0.15184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60</v>
      </c>
      <c r="Y376" s="617">
        <f>IFERROR(SUM(Y371:Y374),"0")</f>
        <v>62.4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236</v>
      </c>
      <c r="Y378" s="616">
        <f>IFERROR(IF(X378="",0,CEILING((X378/$H378),1)*$H378),"")</f>
        <v>243.60000000000002</v>
      </c>
      <c r="Z378" s="36">
        <f>IFERROR(IF(Y378=0,"",ROUNDUP(Y378/H378,0)*0.01898),"")</f>
        <v>0.55042000000000002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249.87904761904761</v>
      </c>
      <c r="BN378" s="64">
        <f>IFERROR(Y378*I378/H378,"0")</f>
        <v>257.92600000000004</v>
      </c>
      <c r="BO378" s="64">
        <f>IFERROR(1/J378*(X378/H378),"0")</f>
        <v>0.43898809523809523</v>
      </c>
      <c r="BP378" s="64">
        <f>IFERROR(1/J378*(Y378/H378),"0")</f>
        <v>0.453125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700</v>
      </c>
      <c r="Y379" s="61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744.33333333333337</v>
      </c>
      <c r="BN379" s="64">
        <f>IFERROR(Y379*I379/H379,"0")</f>
        <v>746.46</v>
      </c>
      <c r="BO379" s="64">
        <f>IFERROR(1/J379*(X379/H379),"0")</f>
        <v>1.4022435897435899</v>
      </c>
      <c r="BP379" s="64">
        <f>IFERROR(1/J379*(Y379/H379),"0")</f>
        <v>1.40625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240</v>
      </c>
      <c r="Y380" s="616">
        <f>IFERROR(IF(X380="",0,CEILING((X380/$H380),1)*$H380),"")</f>
        <v>243.60000000000002</v>
      </c>
      <c r="Z380" s="36">
        <f>IFERROR(IF(Y380=0,"",ROUNDUP(Y380/H380,0)*0.01898),"")</f>
        <v>0.55042000000000002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254.1142857142857</v>
      </c>
      <c r="BN380" s="64">
        <f>IFERROR(Y380*I380/H380,"0")</f>
        <v>257.92600000000004</v>
      </c>
      <c r="BO380" s="64">
        <f>IFERROR(1/J380*(X380/H380),"0")</f>
        <v>0.4464285714285714</v>
      </c>
      <c r="BP380" s="64">
        <f>IFERROR(1/J380*(Y380/H380),"0")</f>
        <v>0.453125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146.41025641025641</v>
      </c>
      <c r="Y381" s="617">
        <f>IFERROR(Y378/H378,"0")+IFERROR(Y379/H379,"0")+IFERROR(Y380/H380,"0")</f>
        <v>148</v>
      </c>
      <c r="Z381" s="617">
        <f>IFERROR(IF(Z378="",0,Z378),"0")+IFERROR(IF(Z379="",0,Z379),"0")+IFERROR(IF(Z380="",0,Z380),"0")</f>
        <v>2.80904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1176</v>
      </c>
      <c r="Y382" s="617">
        <f>IFERROR(SUM(Y378:Y380),"0")</f>
        <v>1189.2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15</v>
      </c>
      <c r="Y385" s="61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16.13486842105263</v>
      </c>
      <c r="BN385" s="64">
        <f>IFERROR(Y385*I385/H385,"0")</f>
        <v>16.350000000000001</v>
      </c>
      <c r="BO385" s="64">
        <f>IFERROR(1/J385*(X385/H385),"0")</f>
        <v>3.7380382775119618E-2</v>
      </c>
      <c r="BP385" s="64">
        <f>IFERROR(1/J385*(Y385/H385),"0")</f>
        <v>3.787878787878788E-2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39</v>
      </c>
      <c r="Y387" s="616">
        <f>IFERROR(IF(X387="",0,CEILING((X387/$H387),1)*$H387),"")</f>
        <v>40.799999999999997</v>
      </c>
      <c r="Z387" s="36">
        <f>IFERROR(IF(Y387=0,"",ROUNDUP(Y387/H387,0)*0.00651),"")</f>
        <v>0.10416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44.047058823529412</v>
      </c>
      <c r="BN387" s="64">
        <f>IFERROR(Y387*I387/H387,"0")</f>
        <v>46.08</v>
      </c>
      <c r="BO387" s="64">
        <f>IFERROR(1/J387*(X387/H387),"0")</f>
        <v>8.4033613445378158E-2</v>
      </c>
      <c r="BP387" s="64">
        <f>IFERROR(1/J387*(Y387/H387),"0")</f>
        <v>8.7912087912087919E-2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20.228328173374614</v>
      </c>
      <c r="Y388" s="617">
        <f>IFERROR(Y384/H384,"0")+IFERROR(Y385/H385,"0")+IFERROR(Y386/H386,"0")+IFERROR(Y387/H387,"0")</f>
        <v>21</v>
      </c>
      <c r="Z388" s="617">
        <f>IFERROR(IF(Z384="",0,Z384),"0")+IFERROR(IF(Z385="",0,Z385),"0")+IFERROR(IF(Z386="",0,Z386),"0")+IFERROR(IF(Z387="",0,Z387),"0")</f>
        <v>0.14926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54</v>
      </c>
      <c r="Y389" s="617">
        <f>IFERROR(SUM(Y384:Y387),"0")</f>
        <v>56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12</v>
      </c>
      <c r="Y405" s="616">
        <f>IFERROR(IF(X405="",0,CEILING((X405/$H405),1)*$H405),"")</f>
        <v>12.600000000000001</v>
      </c>
      <c r="Z405" s="36">
        <f>IFERROR(IF(Y405=0,"",ROUNDUP(Y405/H405,0)*0.00651),"")</f>
        <v>3.9059999999999997E-2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13.439999999999998</v>
      </c>
      <c r="BN405" s="64">
        <f>IFERROR(Y405*I405/H405,"0")</f>
        <v>14.112</v>
      </c>
      <c r="BO405" s="64">
        <f>IFERROR(1/J405*(X405/H405),"0")</f>
        <v>3.1397174254317116E-2</v>
      </c>
      <c r="BP405" s="64">
        <f>IFERROR(1/J405*(Y405/H405),"0")</f>
        <v>3.2967032967032968E-2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5.7142857142857144</v>
      </c>
      <c r="Y407" s="617">
        <f>IFERROR(Y404/H404,"0")+IFERROR(Y405/H405,"0")+IFERROR(Y406/H406,"0")</f>
        <v>6</v>
      </c>
      <c r="Z407" s="617">
        <f>IFERROR(IF(Z404="",0,Z404),"0")+IFERROR(IF(Z405="",0,Z405),"0")+IFERROR(IF(Z406="",0,Z406),"0")</f>
        <v>3.9059999999999997E-2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12</v>
      </c>
      <c r="Y408" s="617">
        <f>IFERROR(SUM(Y404:Y406),"0")</f>
        <v>12.600000000000001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859</v>
      </c>
      <c r="Y413" s="616">
        <f t="shared" si="47"/>
        <v>870</v>
      </c>
      <c r="Z413" s="36">
        <f>IFERROR(IF(Y413=0,"",ROUNDUP(Y413/H413,0)*0.02175),"")</f>
        <v>1.2614999999999998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885.91533333333348</v>
      </c>
      <c r="BN413" s="64">
        <f t="shared" si="49"/>
        <v>897.2600000000001</v>
      </c>
      <c r="BO413" s="64">
        <f t="shared" si="50"/>
        <v>1.1930555555555555</v>
      </c>
      <c r="BP413" s="64">
        <f t="shared" si="51"/>
        <v>1.2083333333333333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671</v>
      </c>
      <c r="Y414" s="616">
        <f t="shared" si="47"/>
        <v>675</v>
      </c>
      <c r="Z414" s="36">
        <f>IFERROR(IF(Y414=0,"",ROUNDUP(Y414/H414,0)*0.02175),"")</f>
        <v>0.9787499999999999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692.02466666666669</v>
      </c>
      <c r="BN414" s="64">
        <f t="shared" si="49"/>
        <v>696.15</v>
      </c>
      <c r="BO414" s="64">
        <f t="shared" si="50"/>
        <v>0.93194444444444446</v>
      </c>
      <c r="BP414" s="64">
        <f t="shared" si="51"/>
        <v>0.9375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50</v>
      </c>
      <c r="Y415" s="616">
        <f t="shared" si="47"/>
        <v>60</v>
      </c>
      <c r="Z415" s="36">
        <f>IFERROR(IF(Y415=0,"",ROUNDUP(Y415/H415,0)*0.02175),"")</f>
        <v>8.6999999999999994E-2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51.56666666666667</v>
      </c>
      <c r="BN415" s="64">
        <f t="shared" si="49"/>
        <v>61.88</v>
      </c>
      <c r="BO415" s="64">
        <f t="shared" si="50"/>
        <v>6.9444444444444448E-2</v>
      </c>
      <c r="BP415" s="64">
        <f t="shared" si="51"/>
        <v>8.3333333333333329E-2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1711</v>
      </c>
      <c r="Y416" s="616">
        <f t="shared" si="47"/>
        <v>1725</v>
      </c>
      <c r="Z416" s="36">
        <f>IFERROR(IF(Y416=0,"",ROUNDUP(Y416/H416,0)*0.02175),"")</f>
        <v>2.5012499999999998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1764.6113333333335</v>
      </c>
      <c r="BN416" s="64">
        <f t="shared" si="49"/>
        <v>1779.05</v>
      </c>
      <c r="BO416" s="64">
        <f t="shared" si="50"/>
        <v>2.3763888888888887</v>
      </c>
      <c r="BP416" s="64">
        <f t="shared" si="51"/>
        <v>2.395833333333333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219.39999999999998</v>
      </c>
      <c r="Y420" s="617">
        <f>IFERROR(Y412/H412,"0")+IFERROR(Y413/H413,"0")+IFERROR(Y414/H414,"0")+IFERROR(Y415/H415,"0")+IFERROR(Y416/H416,"0")+IFERROR(Y417/H417,"0")+IFERROR(Y418/H418,"0")+IFERROR(Y419/H419,"0")</f>
        <v>222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4.8285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3291</v>
      </c>
      <c r="Y421" s="617">
        <f>IFERROR(SUM(Y412:Y419),"0")</f>
        <v>3330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2100</v>
      </c>
      <c r="Y423" s="616">
        <f>IFERROR(IF(X423="",0,CEILING((X423/$H423),1)*$H423),"")</f>
        <v>2100</v>
      </c>
      <c r="Z423" s="36">
        <f>IFERROR(IF(Y423=0,"",ROUNDUP(Y423/H423,0)*0.02175),"")</f>
        <v>3.0449999999999999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2165.8000000000002</v>
      </c>
      <c r="BN423" s="64">
        <f>IFERROR(Y423*I423/H423,"0")</f>
        <v>2165.8000000000002</v>
      </c>
      <c r="BO423" s="64">
        <f>IFERROR(1/J423*(X423/H423),"0")</f>
        <v>2.9166666666666665</v>
      </c>
      <c r="BP423" s="64">
        <f>IFERROR(1/J423*(Y423/H423),"0")</f>
        <v>2.9166666666666665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140</v>
      </c>
      <c r="Y426" s="617">
        <f>IFERROR(Y423/H423,"0")+IFERROR(Y424/H424,"0")+IFERROR(Y425/H425,"0")</f>
        <v>140</v>
      </c>
      <c r="Z426" s="617">
        <f>IFERROR(IF(Z423="",0,Z423),"0")+IFERROR(IF(Z424="",0,Z424),"0")+IFERROR(IF(Z425="",0,Z425),"0")</f>
        <v>3.0449999999999999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2100</v>
      </c>
      <c r="Y427" s="617">
        <f>IFERROR(SUM(Y423:Y425),"0")</f>
        <v>2100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113</v>
      </c>
      <c r="Y436" s="616">
        <f>IFERROR(IF(X436="",0,CEILING((X436/$H436),1)*$H436),"")</f>
        <v>117</v>
      </c>
      <c r="Z436" s="36">
        <f>IFERROR(IF(Y436=0,"",ROUNDUP(Y436/H436,0)*0.01898),"")</f>
        <v>0.24674000000000001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119.20244444444444</v>
      </c>
      <c r="BN436" s="64">
        <f>IFERROR(Y436*I436/H436,"0")</f>
        <v>123.422</v>
      </c>
      <c r="BO436" s="64">
        <f>IFERROR(1/J436*(X436/H436),"0")</f>
        <v>0.19618055555555555</v>
      </c>
      <c r="BP436" s="64">
        <f>IFERROR(1/J436*(Y436/H436),"0")</f>
        <v>0.203125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12.555555555555555</v>
      </c>
      <c r="Y437" s="617">
        <f>IFERROR(Y435/H435,"0")+IFERROR(Y436/H436,"0")</f>
        <v>13</v>
      </c>
      <c r="Z437" s="617">
        <f>IFERROR(IF(Z435="",0,Z435),"0")+IFERROR(IF(Z436="",0,Z436),"0")</f>
        <v>0.24674000000000001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113</v>
      </c>
      <c r="Y438" s="617">
        <f>IFERROR(SUM(Y435:Y436),"0")</f>
        <v>117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190</v>
      </c>
      <c r="Y450" s="616">
        <f>IFERROR(IF(X450="",0,CEILING((X450/$H450),1)*$H450),"")</f>
        <v>198</v>
      </c>
      <c r="Z450" s="36">
        <f>IFERROR(IF(Y450=0,"",ROUNDUP(Y450/H450,0)*0.01898),"")</f>
        <v>0.41755999999999999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200.42888888888888</v>
      </c>
      <c r="BN450" s="64">
        <f>IFERROR(Y450*I450/H450,"0")</f>
        <v>208.86799999999999</v>
      </c>
      <c r="BO450" s="64">
        <f>IFERROR(1/J450*(X450/H450),"0")</f>
        <v>0.3298611111111111</v>
      </c>
      <c r="BP450" s="64">
        <f>IFERROR(1/J450*(Y450/H450),"0")</f>
        <v>0.34375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21.111111111111111</v>
      </c>
      <c r="Y453" s="617">
        <f>IFERROR(Y450/H450,"0")+IFERROR(Y451/H451,"0")+IFERROR(Y452/H452,"0")</f>
        <v>22</v>
      </c>
      <c r="Z453" s="617">
        <f>IFERROR(IF(Z450="",0,Z450),"0")+IFERROR(IF(Z451="",0,Z451),"0")+IFERROR(IF(Z452="",0,Z452),"0")</f>
        <v>0.41755999999999999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190</v>
      </c>
      <c r="Y454" s="617">
        <f>IFERROR(SUM(Y450:Y452),"0")</f>
        <v>198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68</v>
      </c>
      <c r="Y485" s="616">
        <f t="shared" ref="Y485:Y493" si="57">IFERROR(IF(X485="",0,CEILING((X485/$H485),1)*$H485),"")</f>
        <v>68.64</v>
      </c>
      <c r="Z485" s="36">
        <f t="shared" ref="Z485:Z490" si="58">IFERROR(IF(Y485=0,"",ROUNDUP(Y485/H485,0)*0.01196),"")</f>
        <v>0.15548000000000001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72.507575757575751</v>
      </c>
      <c r="BN485" s="64">
        <f t="shared" ref="BN485:BN493" si="60">IFERROR(Y485*I485/H485,"0")</f>
        <v>73.19</v>
      </c>
      <c r="BO485" s="64">
        <f t="shared" ref="BO485:BO493" si="61">IFERROR(1/J485*(X485/H485),"0")</f>
        <v>0.12383449883449885</v>
      </c>
      <c r="BP485" s="64">
        <f t="shared" ref="BP485:BP493" si="62">IFERROR(1/J485*(Y485/H485),"0")</f>
        <v>0.125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79</v>
      </c>
      <c r="Y487" s="616">
        <f t="shared" si="57"/>
        <v>79.2</v>
      </c>
      <c r="Z487" s="36">
        <f t="shared" si="58"/>
        <v>0.1794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84.236742424242422</v>
      </c>
      <c r="BN487" s="64">
        <f t="shared" si="60"/>
        <v>84.45</v>
      </c>
      <c r="BO487" s="64">
        <f t="shared" si="61"/>
        <v>0.14386655011655011</v>
      </c>
      <c r="BP487" s="64">
        <f t="shared" si="62"/>
        <v>0.14423076923076925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537</v>
      </c>
      <c r="Y488" s="616">
        <f t="shared" si="57"/>
        <v>538.56000000000006</v>
      </c>
      <c r="Z488" s="36">
        <f t="shared" si="58"/>
        <v>1.2199200000000001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572.59659090909088</v>
      </c>
      <c r="BN488" s="64">
        <f t="shared" si="60"/>
        <v>574.26</v>
      </c>
      <c r="BO488" s="64">
        <f t="shared" si="61"/>
        <v>0.97792832167832167</v>
      </c>
      <c r="BP488" s="64">
        <f t="shared" si="62"/>
        <v>0.98076923076923084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176</v>
      </c>
      <c r="Y490" s="616">
        <f t="shared" si="57"/>
        <v>179.52</v>
      </c>
      <c r="Z490" s="36">
        <f t="shared" si="58"/>
        <v>0.40664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187.66666666666666</v>
      </c>
      <c r="BN490" s="64">
        <f t="shared" si="60"/>
        <v>191.42000000000002</v>
      </c>
      <c r="BO490" s="64">
        <f t="shared" si="61"/>
        <v>0.32051282051282048</v>
      </c>
      <c r="BP490" s="64">
        <f t="shared" si="62"/>
        <v>0.32692307692307693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68</v>
      </c>
      <c r="Y492" s="616">
        <f t="shared" si="57"/>
        <v>72</v>
      </c>
      <c r="Z492" s="36">
        <f>IFERROR(IF(Y492=0,"",ROUNDUP(Y492/H492,0)*0.00902),"")</f>
        <v>0.1353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97.891666666666666</v>
      </c>
      <c r="BN492" s="64">
        <f t="shared" si="60"/>
        <v>103.65</v>
      </c>
      <c r="BO492" s="64">
        <f t="shared" si="61"/>
        <v>0.10732323232323233</v>
      </c>
      <c r="BP492" s="64">
        <f t="shared" si="62"/>
        <v>0.11363636363636365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177.04545454545453</v>
      </c>
      <c r="Y494" s="617">
        <f>IFERROR(Y485/H485,"0")+IFERROR(Y486/H486,"0")+IFERROR(Y487/H487,"0")+IFERROR(Y488/H488,"0")+IFERROR(Y489/H489,"0")+IFERROR(Y490/H490,"0")+IFERROR(Y491/H491,"0")+IFERROR(Y492/H492,"0")+IFERROR(Y493/H493,"0")</f>
        <v>179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2.09674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928</v>
      </c>
      <c r="Y495" s="617">
        <f>IFERROR(SUM(Y485:Y493),"0")</f>
        <v>937.92000000000007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236</v>
      </c>
      <c r="Y497" s="616">
        <f>IFERROR(IF(X497="",0,CEILING((X497/$H497),1)*$H497),"")</f>
        <v>237.60000000000002</v>
      </c>
      <c r="Z497" s="36">
        <f>IFERROR(IF(Y497=0,"",ROUNDUP(Y497/H497,0)*0.01196),"")</f>
        <v>0.53820000000000001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251.64393939393941</v>
      </c>
      <c r="BN497" s="64">
        <f>IFERROR(Y497*I497/H497,"0")</f>
        <v>253.35</v>
      </c>
      <c r="BO497" s="64">
        <f>IFERROR(1/J497*(X497/H497),"0")</f>
        <v>0.42977855477855481</v>
      </c>
      <c r="BP497" s="64">
        <f>IFERROR(1/J497*(Y497/H497),"0")</f>
        <v>0.43269230769230771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15</v>
      </c>
      <c r="Y499" s="616">
        <f>IFERROR(IF(X499="",0,CEILING((X499/$H499),1)*$H499),"")</f>
        <v>19.2</v>
      </c>
      <c r="Z499" s="36">
        <f>IFERROR(IF(Y499=0,"",ROUNDUP(Y499/H499,0)*0.00902),"")</f>
        <v>3.6080000000000001E-2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21.593750000000004</v>
      </c>
      <c r="BN499" s="64">
        <f>IFERROR(Y499*I499/H499,"0")</f>
        <v>27.64</v>
      </c>
      <c r="BO499" s="64">
        <f>IFERROR(1/J499*(X499/H499),"0")</f>
        <v>2.3674242424242424E-2</v>
      </c>
      <c r="BP499" s="64">
        <f>IFERROR(1/J499*(Y499/H499),"0")</f>
        <v>3.0303030303030304E-2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47.821969696969695</v>
      </c>
      <c r="Y500" s="617">
        <f>IFERROR(Y497/H497,"0")+IFERROR(Y498/H498,"0")+IFERROR(Y499/H499,"0")</f>
        <v>49</v>
      </c>
      <c r="Z500" s="617">
        <f>IFERROR(IF(Z497="",0,Z497),"0")+IFERROR(IF(Z498="",0,Z498),"0")+IFERROR(IF(Z499="",0,Z499),"0")</f>
        <v>0.57428000000000001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251</v>
      </c>
      <c r="Y501" s="617">
        <f>IFERROR(SUM(Y497:Y499),"0")</f>
        <v>256.8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192</v>
      </c>
      <c r="Y504" s="616">
        <f t="shared" si="63"/>
        <v>195.36</v>
      </c>
      <c r="Z504" s="36">
        <f>IFERROR(IF(Y504=0,"",ROUNDUP(Y504/H504,0)*0.01196),"")</f>
        <v>0.44252000000000002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204.72727272727272</v>
      </c>
      <c r="BN504" s="64">
        <f t="shared" si="65"/>
        <v>208.31</v>
      </c>
      <c r="BO504" s="64">
        <f t="shared" si="66"/>
        <v>0.34965034965034963</v>
      </c>
      <c r="BP504" s="64">
        <f t="shared" si="67"/>
        <v>0.35576923076923078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448</v>
      </c>
      <c r="Y505" s="616">
        <f t="shared" si="63"/>
        <v>448.8</v>
      </c>
      <c r="Z505" s="36">
        <f>IFERROR(IF(Y505=0,"",ROUNDUP(Y505/H505,0)*0.01196),"")</f>
        <v>1.0165999999999999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477.69696969696963</v>
      </c>
      <c r="BN505" s="64">
        <f t="shared" si="65"/>
        <v>478.55</v>
      </c>
      <c r="BO505" s="64">
        <f t="shared" si="66"/>
        <v>0.81585081585081587</v>
      </c>
      <c r="BP505" s="64">
        <f t="shared" si="67"/>
        <v>0.8173076923076924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121.2121212121212</v>
      </c>
      <c r="Y510" s="617">
        <f>IFERROR(Y503/H503,"0")+IFERROR(Y504/H504,"0")+IFERROR(Y505/H505,"0")+IFERROR(Y506/H506,"0")+IFERROR(Y507/H507,"0")+IFERROR(Y508/H508,"0")+IFERROR(Y509/H509,"0")</f>
        <v>122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1.45912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640</v>
      </c>
      <c r="Y511" s="617">
        <f>IFERROR(SUM(Y503:Y509),"0")</f>
        <v>644.16000000000008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43</v>
      </c>
      <c r="Y528" s="616">
        <f>IFERROR(IF(X528="",0,CEILING((X528/$H528),1)*$H528),"")</f>
        <v>45</v>
      </c>
      <c r="Z528" s="36">
        <f>IFERROR(IF(Y528=0,"",ROUNDUP(Y528/H528,0)*0.01898),"")</f>
        <v>9.4899999999999998E-2</v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45.36022222222222</v>
      </c>
      <c r="BN528" s="64">
        <f>IFERROR(Y528*I528/H528,"0")</f>
        <v>47.47</v>
      </c>
      <c r="BO528" s="64">
        <f>IFERROR(1/J528*(X528/H528),"0")</f>
        <v>7.4652777777777776E-2</v>
      </c>
      <c r="BP528" s="64">
        <f>IFERROR(1/J528*(Y528/H528),"0")</f>
        <v>7.8125E-2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4.7777777777777777</v>
      </c>
      <c r="Y529" s="617">
        <f>IFERROR(Y528/H528,"0")</f>
        <v>5</v>
      </c>
      <c r="Z529" s="617">
        <f>IFERROR(IF(Z528="",0,Z528),"0")</f>
        <v>9.4899999999999998E-2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43</v>
      </c>
      <c r="Y530" s="617">
        <f>IFERROR(SUM(Y528:Y528),"0")</f>
        <v>45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17507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17731.439999999999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18476.16881997577</v>
      </c>
      <c r="Y542" s="617">
        <f>IFERROR(SUM(BN22:BN538),"0")</f>
        <v>18716.285999999993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30</v>
      </c>
      <c r="Y543" s="38">
        <f>ROUNDUP(SUM(BP22:BP538),0)</f>
        <v>31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19226.16881997577</v>
      </c>
      <c r="Y544" s="617">
        <f>GrossWeightTotalR+PalletQtyTotalR*25</f>
        <v>19491.285999999993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2899.4189233668703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2939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35.052470000000014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88.2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1101.2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1030.5</v>
      </c>
      <c r="F551" s="46">
        <f>IFERROR(Y88*1,"0")+IFERROR(Y89*1,"0")+IFERROR(Y90*1,"0")+IFERROR(Y91*1,"0")+IFERROR(Y95*1,"0")+IFERROR(Y96*1,"0")+IFERROR(Y97*1,"0")+IFERROR(Y98*1,"0")</f>
        <v>809.9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1018.3</v>
      </c>
      <c r="H551" s="46">
        <f>IFERROR(Y132*1,"0")+IFERROR(Y133*1,"0")+IFERROR(Y137*1,"0")+IFERROR(Y138*1,"0")+IFERROR(Y142*1,"0")+IFERROR(Y143*1,"0")</f>
        <v>48.239999999999995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1058.7199999999998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267.40000000000003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2381.6999999999998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321.2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199.2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436.79999999999995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1328.6</v>
      </c>
      <c r="U551" s="46">
        <f>IFERROR(Y404*1,"0")+IFERROR(Y405*1,"0")+IFERROR(Y406*1,"0")</f>
        <v>12.600000000000001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5547</v>
      </c>
      <c r="W551" s="46">
        <f>IFERROR(Y441*1,"0")+IFERROR(Y442*1,"0")+IFERROR(Y446*1,"0")+IFERROR(Y450*1,"0")+IFERROR(Y451*1,"0")+IFERROR(Y452*1,"0")</f>
        <v>198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1838.8799999999999</v>
      </c>
      <c r="AA551" s="46">
        <f>IFERROR(Y515*1,"0")+IFERROR(Y519*1,"0")+IFERROR(Y523*1,"0")+IFERROR(Y524*1,"0")+IFERROR(Y528*1,"0")+IFERROR(Y532*1,"0")+IFERROR(Y533*1,"0")</f>
        <v>45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