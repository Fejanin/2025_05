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5C667EFC-5741-435E-A3EB-721B83A623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8" i="1" l="1"/>
  <c r="S38" i="1" s="1"/>
  <c r="AF112" i="1" l="1"/>
  <c r="AF84" i="1"/>
  <c r="M115" i="1"/>
  <c r="S115" i="1" s="1"/>
  <c r="AF115" i="1" s="1"/>
  <c r="L115" i="1"/>
  <c r="M114" i="1"/>
  <c r="S114" i="1" s="1"/>
  <c r="AF114" i="1" s="1"/>
  <c r="L114" i="1"/>
  <c r="AF113" i="1"/>
  <c r="M113" i="1"/>
  <c r="S113" i="1" s="1"/>
  <c r="L113" i="1"/>
  <c r="M112" i="1"/>
  <c r="S112" i="1" s="1"/>
  <c r="L112" i="1"/>
  <c r="M111" i="1"/>
  <c r="S111" i="1" s="1"/>
  <c r="AF111" i="1" s="1"/>
  <c r="L111" i="1"/>
  <c r="M110" i="1"/>
  <c r="S110" i="1" s="1"/>
  <c r="T110" i="1" s="1"/>
  <c r="AF110" i="1" s="1"/>
  <c r="L110" i="1"/>
  <c r="AF109" i="1"/>
  <c r="E109" i="1"/>
  <c r="M109" i="1" s="1"/>
  <c r="S109" i="1" s="1"/>
  <c r="AF108" i="1"/>
  <c r="M108" i="1"/>
  <c r="S108" i="1" s="1"/>
  <c r="V108" i="1" s="1"/>
  <c r="L108" i="1"/>
  <c r="M107" i="1"/>
  <c r="S107" i="1" s="1"/>
  <c r="V107" i="1" s="1"/>
  <c r="L107" i="1"/>
  <c r="M106" i="1"/>
  <c r="S106" i="1" s="1"/>
  <c r="V106" i="1" s="1"/>
  <c r="L106" i="1"/>
  <c r="M105" i="1"/>
  <c r="S105" i="1" s="1"/>
  <c r="V105" i="1" s="1"/>
  <c r="L105" i="1"/>
  <c r="M104" i="1"/>
  <c r="S104" i="1" s="1"/>
  <c r="V104" i="1" s="1"/>
  <c r="L104" i="1"/>
  <c r="M103" i="1"/>
  <c r="S103" i="1" s="1"/>
  <c r="L103" i="1"/>
  <c r="M102" i="1"/>
  <c r="S102" i="1" s="1"/>
  <c r="V102" i="1" s="1"/>
  <c r="L102" i="1"/>
  <c r="M101" i="1"/>
  <c r="S101" i="1" s="1"/>
  <c r="L101" i="1"/>
  <c r="M100" i="1"/>
  <c r="S100" i="1" s="1"/>
  <c r="V100" i="1" s="1"/>
  <c r="L100" i="1"/>
  <c r="M99" i="1"/>
  <c r="S99" i="1" s="1"/>
  <c r="V99" i="1" s="1"/>
  <c r="L99" i="1"/>
  <c r="M98" i="1"/>
  <c r="S98" i="1" s="1"/>
  <c r="V98" i="1" s="1"/>
  <c r="L98" i="1"/>
  <c r="M97" i="1"/>
  <c r="S97" i="1" s="1"/>
  <c r="V97" i="1" s="1"/>
  <c r="L97" i="1"/>
  <c r="M96" i="1"/>
  <c r="S96" i="1" s="1"/>
  <c r="V96" i="1" s="1"/>
  <c r="L96" i="1"/>
  <c r="M95" i="1"/>
  <c r="S95" i="1" s="1"/>
  <c r="L95" i="1"/>
  <c r="M94" i="1"/>
  <c r="S94" i="1" s="1"/>
  <c r="V94" i="1" s="1"/>
  <c r="L94" i="1"/>
  <c r="M93" i="1"/>
  <c r="S93" i="1" s="1"/>
  <c r="L93" i="1"/>
  <c r="AF92" i="1"/>
  <c r="M92" i="1"/>
  <c r="S92" i="1" s="1"/>
  <c r="V92" i="1" s="1"/>
  <c r="L92" i="1"/>
  <c r="M91" i="1"/>
  <c r="S91" i="1" s="1"/>
  <c r="V91" i="1" s="1"/>
  <c r="L91" i="1"/>
  <c r="M90" i="1"/>
  <c r="S90" i="1" s="1"/>
  <c r="V90" i="1" s="1"/>
  <c r="L90" i="1"/>
  <c r="M89" i="1"/>
  <c r="S89" i="1" s="1"/>
  <c r="L89" i="1"/>
  <c r="M88" i="1"/>
  <c r="S88" i="1" s="1"/>
  <c r="V88" i="1" s="1"/>
  <c r="L88" i="1"/>
  <c r="M87" i="1"/>
  <c r="S87" i="1" s="1"/>
  <c r="T87" i="1" s="1"/>
  <c r="L87" i="1"/>
  <c r="M86" i="1"/>
  <c r="S86" i="1" s="1"/>
  <c r="V86" i="1" s="1"/>
  <c r="L86" i="1"/>
  <c r="M85" i="1"/>
  <c r="S85" i="1" s="1"/>
  <c r="L85" i="1"/>
  <c r="M84" i="1"/>
  <c r="S84" i="1" s="1"/>
  <c r="V84" i="1" s="1"/>
  <c r="L84" i="1"/>
  <c r="M83" i="1"/>
  <c r="S83" i="1" s="1"/>
  <c r="V83" i="1" s="1"/>
  <c r="L83" i="1"/>
  <c r="M82" i="1"/>
  <c r="S82" i="1" s="1"/>
  <c r="V82" i="1" s="1"/>
  <c r="L82" i="1"/>
  <c r="M81" i="1"/>
  <c r="S81" i="1" s="1"/>
  <c r="V81" i="1" s="1"/>
  <c r="L81" i="1"/>
  <c r="M80" i="1"/>
  <c r="S80" i="1" s="1"/>
  <c r="L80" i="1"/>
  <c r="M79" i="1"/>
  <c r="S79" i="1" s="1"/>
  <c r="L79" i="1"/>
  <c r="M78" i="1"/>
  <c r="S78" i="1" s="1"/>
  <c r="V78" i="1" s="1"/>
  <c r="L78" i="1"/>
  <c r="M77" i="1"/>
  <c r="S77" i="1" s="1"/>
  <c r="L77" i="1"/>
  <c r="M76" i="1"/>
  <c r="S76" i="1" s="1"/>
  <c r="V76" i="1" s="1"/>
  <c r="L76" i="1"/>
  <c r="M75" i="1"/>
  <c r="S75" i="1" s="1"/>
  <c r="L75" i="1"/>
  <c r="M74" i="1"/>
  <c r="S74" i="1" s="1"/>
  <c r="V74" i="1" s="1"/>
  <c r="L74" i="1"/>
  <c r="M73" i="1"/>
  <c r="S73" i="1" s="1"/>
  <c r="L73" i="1"/>
  <c r="M72" i="1"/>
  <c r="S72" i="1" s="1"/>
  <c r="V72" i="1" s="1"/>
  <c r="L72" i="1"/>
  <c r="M71" i="1"/>
  <c r="S71" i="1" s="1"/>
  <c r="L71" i="1"/>
  <c r="M70" i="1"/>
  <c r="S70" i="1" s="1"/>
  <c r="V70" i="1" s="1"/>
  <c r="L70" i="1"/>
  <c r="M69" i="1"/>
  <c r="S69" i="1" s="1"/>
  <c r="L69" i="1"/>
  <c r="M68" i="1"/>
  <c r="S68" i="1" s="1"/>
  <c r="V68" i="1" s="1"/>
  <c r="L68" i="1"/>
  <c r="M67" i="1"/>
  <c r="S67" i="1" s="1"/>
  <c r="T67" i="1" s="1"/>
  <c r="L67" i="1"/>
  <c r="M66" i="1"/>
  <c r="S66" i="1" s="1"/>
  <c r="V66" i="1" s="1"/>
  <c r="L66" i="1"/>
  <c r="M65" i="1"/>
  <c r="S65" i="1" s="1"/>
  <c r="L65" i="1"/>
  <c r="M64" i="1"/>
  <c r="S64" i="1" s="1"/>
  <c r="U64" i="1" s="1"/>
  <c r="L64" i="1"/>
  <c r="M63" i="1"/>
  <c r="S63" i="1" s="1"/>
  <c r="L63" i="1"/>
  <c r="AF62" i="1"/>
  <c r="M62" i="1"/>
  <c r="S62" i="1" s="1"/>
  <c r="L62" i="1"/>
  <c r="M61" i="1"/>
  <c r="S61" i="1" s="1"/>
  <c r="AF61" i="1" s="1"/>
  <c r="L61" i="1"/>
  <c r="M60" i="1"/>
  <c r="S60" i="1" s="1"/>
  <c r="L60" i="1"/>
  <c r="M59" i="1"/>
  <c r="S59" i="1" s="1"/>
  <c r="L59" i="1"/>
  <c r="M58" i="1"/>
  <c r="S58" i="1" s="1"/>
  <c r="AF58" i="1" s="1"/>
  <c r="L58" i="1"/>
  <c r="M57" i="1"/>
  <c r="S57" i="1" s="1"/>
  <c r="AF57" i="1" s="1"/>
  <c r="L57" i="1"/>
  <c r="M56" i="1"/>
  <c r="S56" i="1" s="1"/>
  <c r="L56" i="1"/>
  <c r="M55" i="1"/>
  <c r="S55" i="1" s="1"/>
  <c r="L55" i="1"/>
  <c r="M54" i="1"/>
  <c r="S54" i="1" s="1"/>
  <c r="T54" i="1" s="1"/>
  <c r="AF54" i="1" s="1"/>
  <c r="L54" i="1"/>
  <c r="M53" i="1"/>
  <c r="S53" i="1" s="1"/>
  <c r="AF53" i="1" s="1"/>
  <c r="L53" i="1"/>
  <c r="M52" i="1"/>
  <c r="S52" i="1" s="1"/>
  <c r="L52" i="1"/>
  <c r="M51" i="1"/>
  <c r="S51" i="1" s="1"/>
  <c r="AF51" i="1" s="1"/>
  <c r="L51" i="1"/>
  <c r="AF50" i="1"/>
  <c r="M50" i="1"/>
  <c r="S50" i="1" s="1"/>
  <c r="L50" i="1"/>
  <c r="M49" i="1"/>
  <c r="S49" i="1" s="1"/>
  <c r="AF49" i="1" s="1"/>
  <c r="L49" i="1"/>
  <c r="M48" i="1"/>
  <c r="S48" i="1" s="1"/>
  <c r="L48" i="1"/>
  <c r="M47" i="1"/>
  <c r="S47" i="1" s="1"/>
  <c r="L47" i="1"/>
  <c r="AF46" i="1"/>
  <c r="M46" i="1"/>
  <c r="S46" i="1" s="1"/>
  <c r="L46" i="1"/>
  <c r="M45" i="1"/>
  <c r="S45" i="1" s="1"/>
  <c r="AF45" i="1" s="1"/>
  <c r="L45" i="1"/>
  <c r="M44" i="1"/>
  <c r="S44" i="1" s="1"/>
  <c r="L44" i="1"/>
  <c r="M43" i="1"/>
  <c r="S43" i="1" s="1"/>
  <c r="T43" i="1" s="1"/>
  <c r="AF43" i="1" s="1"/>
  <c r="L43" i="1"/>
  <c r="M42" i="1"/>
  <c r="S42" i="1" s="1"/>
  <c r="T42" i="1" s="1"/>
  <c r="AF42" i="1" s="1"/>
  <c r="L42" i="1"/>
  <c r="M41" i="1"/>
  <c r="S41" i="1" s="1"/>
  <c r="AF41" i="1" s="1"/>
  <c r="L41" i="1"/>
  <c r="M40" i="1"/>
  <c r="S40" i="1" s="1"/>
  <c r="L40" i="1"/>
  <c r="M39" i="1"/>
  <c r="S39" i="1" s="1"/>
  <c r="L39" i="1"/>
  <c r="L38" i="1"/>
  <c r="M37" i="1"/>
  <c r="S37" i="1" s="1"/>
  <c r="T37" i="1" s="1"/>
  <c r="AF37" i="1" s="1"/>
  <c r="L37" i="1"/>
  <c r="M36" i="1"/>
  <c r="S36" i="1" s="1"/>
  <c r="L36" i="1"/>
  <c r="M35" i="1"/>
  <c r="S35" i="1" s="1"/>
  <c r="T35" i="1" s="1"/>
  <c r="AF35" i="1" s="1"/>
  <c r="L35" i="1"/>
  <c r="AF34" i="1"/>
  <c r="M34" i="1"/>
  <c r="S34" i="1" s="1"/>
  <c r="L34" i="1"/>
  <c r="M33" i="1"/>
  <c r="S33" i="1" s="1"/>
  <c r="AF33" i="1" s="1"/>
  <c r="L33" i="1"/>
  <c r="M32" i="1"/>
  <c r="S32" i="1" s="1"/>
  <c r="L32" i="1"/>
  <c r="M31" i="1"/>
  <c r="S31" i="1" s="1"/>
  <c r="L31" i="1"/>
  <c r="M30" i="1"/>
  <c r="S30" i="1" s="1"/>
  <c r="T30" i="1" s="1"/>
  <c r="AF30" i="1" s="1"/>
  <c r="L30" i="1"/>
  <c r="M29" i="1"/>
  <c r="S29" i="1" s="1"/>
  <c r="L29" i="1"/>
  <c r="M28" i="1"/>
  <c r="S28" i="1" s="1"/>
  <c r="L28" i="1"/>
  <c r="M27" i="1"/>
  <c r="S27" i="1" s="1"/>
  <c r="AF27" i="1" s="1"/>
  <c r="L27" i="1"/>
  <c r="M26" i="1"/>
  <c r="S26" i="1" s="1"/>
  <c r="L26" i="1"/>
  <c r="M25" i="1"/>
  <c r="S25" i="1" s="1"/>
  <c r="T25" i="1" s="1"/>
  <c r="AF25" i="1" s="1"/>
  <c r="L25" i="1"/>
  <c r="M24" i="1"/>
  <c r="S24" i="1" s="1"/>
  <c r="L24" i="1"/>
  <c r="M23" i="1"/>
  <c r="S23" i="1" s="1"/>
  <c r="L23" i="1"/>
  <c r="M22" i="1"/>
  <c r="S22" i="1" s="1"/>
  <c r="AF22" i="1" s="1"/>
  <c r="L22" i="1"/>
  <c r="M21" i="1"/>
  <c r="S21" i="1" s="1"/>
  <c r="AF21" i="1" s="1"/>
  <c r="L21" i="1"/>
  <c r="M20" i="1"/>
  <c r="S20" i="1" s="1"/>
  <c r="L20" i="1"/>
  <c r="M19" i="1"/>
  <c r="S19" i="1" s="1"/>
  <c r="AF19" i="1" s="1"/>
  <c r="L19" i="1"/>
  <c r="M18" i="1"/>
  <c r="S18" i="1" s="1"/>
  <c r="V18" i="1" s="1"/>
  <c r="L18" i="1"/>
  <c r="M17" i="1"/>
  <c r="S17" i="1" s="1"/>
  <c r="L17" i="1"/>
  <c r="M16" i="1"/>
  <c r="S16" i="1" s="1"/>
  <c r="V16" i="1" s="1"/>
  <c r="L16" i="1"/>
  <c r="M15" i="1"/>
  <c r="S15" i="1" s="1"/>
  <c r="L15" i="1"/>
  <c r="M14" i="1"/>
  <c r="S14" i="1" s="1"/>
  <c r="V14" i="1" s="1"/>
  <c r="L14" i="1"/>
  <c r="M13" i="1"/>
  <c r="S13" i="1" s="1"/>
  <c r="L13" i="1"/>
  <c r="M12" i="1"/>
  <c r="S12" i="1" s="1"/>
  <c r="V12" i="1" s="1"/>
  <c r="L12" i="1"/>
  <c r="M11" i="1"/>
  <c r="S11" i="1" s="1"/>
  <c r="L11" i="1"/>
  <c r="M10" i="1"/>
  <c r="S10" i="1" s="1"/>
  <c r="V10" i="1" s="1"/>
  <c r="L10" i="1"/>
  <c r="M9" i="1"/>
  <c r="S9" i="1" s="1"/>
  <c r="L9" i="1"/>
  <c r="M8" i="1"/>
  <c r="S8" i="1" s="1"/>
  <c r="V8" i="1" s="1"/>
  <c r="L8" i="1"/>
  <c r="M7" i="1"/>
  <c r="S7" i="1" s="1"/>
  <c r="L7" i="1"/>
  <c r="AF6" i="1"/>
  <c r="M6" i="1"/>
  <c r="S6" i="1" s="1"/>
  <c r="L6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K5" i="1"/>
  <c r="F5" i="1"/>
  <c r="AF38" i="1" l="1"/>
  <c r="T26" i="1"/>
  <c r="AF26" i="1" s="1"/>
  <c r="T59" i="1"/>
  <c r="AF59" i="1" s="1"/>
  <c r="AF29" i="1"/>
  <c r="V80" i="1"/>
  <c r="T80" i="1"/>
  <c r="V89" i="1"/>
  <c r="T89" i="1"/>
  <c r="T82" i="1"/>
  <c r="U82" i="1" s="1"/>
  <c r="T90" i="1"/>
  <c r="U90" i="1" s="1"/>
  <c r="T98" i="1"/>
  <c r="U98" i="1" s="1"/>
  <c r="T104" i="1"/>
  <c r="U104" i="1" s="1"/>
  <c r="U108" i="1"/>
  <c r="M5" i="1"/>
  <c r="U84" i="1"/>
  <c r="T72" i="1"/>
  <c r="U92" i="1"/>
  <c r="T100" i="1"/>
  <c r="U106" i="1"/>
  <c r="T24" i="1"/>
  <c r="AF24" i="1" s="1"/>
  <c r="T31" i="1"/>
  <c r="AF31" i="1" s="1"/>
  <c r="T40" i="1"/>
  <c r="AF40" i="1" s="1"/>
  <c r="T47" i="1"/>
  <c r="AF47" i="1" s="1"/>
  <c r="T56" i="1"/>
  <c r="AF56" i="1" s="1"/>
  <c r="T63" i="1"/>
  <c r="AF63" i="1" s="1"/>
  <c r="T28" i="1"/>
  <c r="AF28" i="1" s="1"/>
  <c r="T44" i="1"/>
  <c r="AF44" i="1" s="1"/>
  <c r="AF60" i="1"/>
  <c r="V7" i="1"/>
  <c r="T7" i="1"/>
  <c r="AF7" i="1" s="1"/>
  <c r="V11" i="1"/>
  <c r="T11" i="1"/>
  <c r="AF11" i="1" s="1"/>
  <c r="V15" i="1"/>
  <c r="T15" i="1"/>
  <c r="AF15" i="1" s="1"/>
  <c r="T20" i="1"/>
  <c r="AF20" i="1" s="1"/>
  <c r="U32" i="1"/>
  <c r="AF32" i="1"/>
  <c r="T36" i="1"/>
  <c r="AF36" i="1" s="1"/>
  <c r="AF48" i="1"/>
  <c r="AF52" i="1"/>
  <c r="V65" i="1"/>
  <c r="AF65" i="1"/>
  <c r="V69" i="1"/>
  <c r="AF69" i="1"/>
  <c r="V73" i="1"/>
  <c r="V75" i="1"/>
  <c r="V87" i="1"/>
  <c r="V93" i="1"/>
  <c r="T93" i="1"/>
  <c r="V103" i="1"/>
  <c r="AF10" i="1"/>
  <c r="T14" i="1"/>
  <c r="AF14" i="1" s="1"/>
  <c r="T23" i="1"/>
  <c r="AF23" i="1" s="1"/>
  <c r="T39" i="1"/>
  <c r="AF39" i="1" s="1"/>
  <c r="T55" i="1"/>
  <c r="AF55" i="1" s="1"/>
  <c r="T68" i="1"/>
  <c r="AF68" i="1" s="1"/>
  <c r="U88" i="1"/>
  <c r="AF88" i="1"/>
  <c r="V9" i="1"/>
  <c r="AF9" i="1"/>
  <c r="V13" i="1"/>
  <c r="AF13" i="1"/>
  <c r="V17" i="1"/>
  <c r="AF17" i="1"/>
  <c r="V67" i="1"/>
  <c r="AF67" i="1"/>
  <c r="V71" i="1"/>
  <c r="T71" i="1"/>
  <c r="V77" i="1"/>
  <c r="T77" i="1"/>
  <c r="V79" i="1"/>
  <c r="T79" i="1"/>
  <c r="V85" i="1"/>
  <c r="V95" i="1"/>
  <c r="T95" i="1"/>
  <c r="V101" i="1"/>
  <c r="T101" i="1"/>
  <c r="T8" i="1"/>
  <c r="AF8" i="1" s="1"/>
  <c r="T12" i="1"/>
  <c r="AF12" i="1" s="1"/>
  <c r="AF16" i="1"/>
  <c r="T66" i="1"/>
  <c r="AF66" i="1" s="1"/>
  <c r="AF70" i="1"/>
  <c r="U74" i="1"/>
  <c r="U78" i="1"/>
  <c r="U86" i="1"/>
  <c r="U94" i="1"/>
  <c r="T102" i="1"/>
  <c r="U102" i="1" s="1"/>
  <c r="T81" i="1"/>
  <c r="T83" i="1"/>
  <c r="T105" i="1"/>
  <c r="T107" i="1"/>
  <c r="U19" i="1"/>
  <c r="U27" i="1"/>
  <c r="U35" i="1"/>
  <c r="U43" i="1"/>
  <c r="U51" i="1"/>
  <c r="U59" i="1"/>
  <c r="AF74" i="1"/>
  <c r="AF78" i="1"/>
  <c r="AF94" i="1"/>
  <c r="AF106" i="1"/>
  <c r="U112" i="1"/>
  <c r="U21" i="1"/>
  <c r="U25" i="1"/>
  <c r="U33" i="1"/>
  <c r="U37" i="1"/>
  <c r="U41" i="1"/>
  <c r="U45" i="1"/>
  <c r="U49" i="1"/>
  <c r="U53" i="1"/>
  <c r="U57" i="1"/>
  <c r="U61" i="1"/>
  <c r="U22" i="1"/>
  <c r="V22" i="1"/>
  <c r="V26" i="1"/>
  <c r="U30" i="1"/>
  <c r="V30" i="1"/>
  <c r="U34" i="1"/>
  <c r="V34" i="1"/>
  <c r="U42" i="1"/>
  <c r="V42" i="1"/>
  <c r="U46" i="1"/>
  <c r="V46" i="1"/>
  <c r="U50" i="1"/>
  <c r="V50" i="1"/>
  <c r="U54" i="1"/>
  <c r="V54" i="1"/>
  <c r="U58" i="1"/>
  <c r="V58" i="1"/>
  <c r="U62" i="1"/>
  <c r="V62" i="1"/>
  <c r="U110" i="1"/>
  <c r="V110" i="1"/>
  <c r="U114" i="1"/>
  <c r="V114" i="1"/>
  <c r="E5" i="1"/>
  <c r="V20" i="1"/>
  <c r="V24" i="1"/>
  <c r="V28" i="1"/>
  <c r="V32" i="1"/>
  <c r="V36" i="1"/>
  <c r="V40" i="1"/>
  <c r="V44" i="1"/>
  <c r="V48" i="1"/>
  <c r="V52" i="1"/>
  <c r="V56" i="1"/>
  <c r="V60" i="1"/>
  <c r="V64" i="1"/>
  <c r="L109" i="1"/>
  <c r="L5" i="1" s="1"/>
  <c r="V112" i="1"/>
  <c r="V6" i="1"/>
  <c r="U6" i="1"/>
  <c r="U109" i="1"/>
  <c r="V109" i="1"/>
  <c r="U111" i="1"/>
  <c r="V111" i="1"/>
  <c r="U115" i="1"/>
  <c r="V115" i="1"/>
  <c r="U10" i="1"/>
  <c r="U16" i="1"/>
  <c r="U18" i="1"/>
  <c r="V19" i="1"/>
  <c r="V21" i="1"/>
  <c r="V23" i="1"/>
  <c r="V25" i="1"/>
  <c r="V27" i="1"/>
  <c r="V29" i="1"/>
  <c r="V31" i="1"/>
  <c r="V33" i="1"/>
  <c r="V35" i="1"/>
  <c r="V37" i="1"/>
  <c r="V39" i="1"/>
  <c r="V41" i="1"/>
  <c r="V43" i="1"/>
  <c r="V45" i="1"/>
  <c r="V47" i="1"/>
  <c r="V49" i="1"/>
  <c r="V51" i="1"/>
  <c r="V53" i="1"/>
  <c r="V55" i="1"/>
  <c r="V57" i="1"/>
  <c r="V59" i="1"/>
  <c r="V61" i="1"/>
  <c r="V63" i="1"/>
  <c r="U65" i="1"/>
  <c r="U69" i="1"/>
  <c r="U70" i="1"/>
  <c r="U113" i="1"/>
  <c r="V113" i="1"/>
  <c r="U26" i="1" l="1"/>
  <c r="U38" i="1"/>
  <c r="S5" i="1"/>
  <c r="V38" i="1"/>
  <c r="U29" i="1"/>
  <c r="U12" i="1"/>
  <c r="AF90" i="1"/>
  <c r="AF104" i="1"/>
  <c r="U67" i="1"/>
  <c r="AF82" i="1"/>
  <c r="U8" i="1"/>
  <c r="AF98" i="1"/>
  <c r="U68" i="1"/>
  <c r="U14" i="1"/>
  <c r="U39" i="1"/>
  <c r="U36" i="1"/>
  <c r="AF100" i="1"/>
  <c r="U100" i="1"/>
  <c r="U72" i="1"/>
  <c r="AF72" i="1"/>
  <c r="AF107" i="1"/>
  <c r="U107" i="1"/>
  <c r="AF99" i="1"/>
  <c r="U99" i="1"/>
  <c r="AF91" i="1"/>
  <c r="U91" i="1"/>
  <c r="AF83" i="1"/>
  <c r="U83" i="1"/>
  <c r="U101" i="1"/>
  <c r="AF101" i="1"/>
  <c r="U95" i="1"/>
  <c r="AF95" i="1"/>
  <c r="U85" i="1"/>
  <c r="AF85" i="1"/>
  <c r="U79" i="1"/>
  <c r="AF79" i="1"/>
  <c r="AF77" i="1"/>
  <c r="U77" i="1"/>
  <c r="AF71" i="1"/>
  <c r="U71" i="1"/>
  <c r="U96" i="1"/>
  <c r="AF96" i="1"/>
  <c r="U76" i="1"/>
  <c r="AF76" i="1"/>
  <c r="U66" i="1"/>
  <c r="U17" i="1"/>
  <c r="U15" i="1"/>
  <c r="U13" i="1"/>
  <c r="U11" i="1"/>
  <c r="U9" i="1"/>
  <c r="U7" i="1"/>
  <c r="AF102" i="1"/>
  <c r="AF86" i="1"/>
  <c r="AF105" i="1"/>
  <c r="U105" i="1"/>
  <c r="AF97" i="1"/>
  <c r="U97" i="1"/>
  <c r="AF89" i="1"/>
  <c r="U89" i="1"/>
  <c r="AF81" i="1"/>
  <c r="U81" i="1"/>
  <c r="T5" i="1"/>
  <c r="U80" i="1"/>
  <c r="AF80" i="1"/>
  <c r="U103" i="1"/>
  <c r="AF103" i="1"/>
  <c r="U93" i="1"/>
  <c r="AF93" i="1"/>
  <c r="U87" i="1"/>
  <c r="AF87" i="1"/>
  <c r="U75" i="1"/>
  <c r="AF75" i="1"/>
  <c r="U73" i="1"/>
  <c r="AF73" i="1"/>
  <c r="U55" i="1"/>
  <c r="U52" i="1"/>
  <c r="U48" i="1"/>
  <c r="U23" i="1"/>
  <c r="U20" i="1"/>
  <c r="U60" i="1"/>
  <c r="U44" i="1"/>
  <c r="U28" i="1"/>
  <c r="U63" i="1"/>
  <c r="U56" i="1"/>
  <c r="U47" i="1"/>
  <c r="U40" i="1"/>
  <c r="U31" i="1"/>
  <c r="U24" i="1"/>
  <c r="AF5" i="1" l="1"/>
</calcChain>
</file>

<file path=xl/sharedStrings.xml><?xml version="1.0" encoding="utf-8"?>
<sst xmlns="http://schemas.openxmlformats.org/spreadsheetml/2006/main" count="383" uniqueCount="259">
  <si>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</si>
  <si>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</si>
  <si>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</si>
  <si>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</si>
  <si>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</si>
  <si>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</si>
  <si>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</si>
  <si>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</si>
  <si>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</si>
  <si>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</si>
  <si>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</si>
  <si>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</si>
  <si>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</si>
  <si>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</si>
  <si>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</si>
  <si>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</si>
  <si>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</si>
  <si>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</si>
  <si>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</si>
  <si>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</si>
  <si>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</si>
  <si>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</si>
  <si>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</si>
  <si>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05,07,</t>
  </si>
  <si>
    <t>06,07,</t>
  </si>
  <si>
    <t>07,07,</t>
  </si>
  <si>
    <t>02,07,</t>
  </si>
  <si>
    <t>30,06,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</si>
  <si>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</si>
  <si>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</si>
  <si>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</si>
  <si>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</si>
  <si>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</si>
  <si>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</si>
  <si>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</si>
  <si>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</si>
  <si>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</si>
  <si>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</si>
  <si>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</si>
  <si>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</si>
  <si>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</si>
  <si>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</si>
  <si>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</si>
  <si>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</si>
  <si>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 xml:space="preserve"> 030  Сосиски Вязанка Молочные, Вязанка вискофан МГС, 0.45кг, ПОКОМ</t>
  </si>
  <si>
    <t>ВНИМАНИЕ / P003985</t>
  </si>
  <si>
    <t>03,07,26 заказали 1500 под ЮТЛ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</si>
  <si>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</si>
  <si>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</si>
  <si>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</si>
  <si>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</si>
  <si>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</si>
  <si>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</si>
  <si>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</si>
  <si>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</si>
  <si>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</si>
  <si>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</si>
  <si>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</si>
  <si>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</si>
  <si>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</si>
  <si>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</si>
  <si>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</si>
  <si>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</si>
  <si>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</si>
  <si>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</si>
  <si>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</si>
  <si>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</si>
  <si>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</si>
  <si>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</si>
  <si>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</si>
  <si>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</si>
  <si>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</si>
  <si>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</si>
  <si>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</si>
  <si>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</si>
  <si>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</si>
  <si>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</si>
  <si>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>нужно увеличить продажи!!!</t>
  </si>
  <si>
    <t xml:space="preserve"> 250  Сардельки стародворские с говядиной в обол. NDX, ВЕС. ПОКОМ</t>
  </si>
  <si>
    <t>P002536</t>
  </si>
  <si>
    <t>3500кг БРАК!!!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</si>
  <si>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</si>
  <si>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</si>
  <si>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</si>
  <si>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</si>
  <si>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</si>
  <si>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</si>
  <si>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</si>
  <si>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710шт под клиента отгрузили 02,07,26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</si>
  <si>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</si>
  <si>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</si>
  <si>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</si>
  <si>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</si>
  <si>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</si>
  <si>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</si>
  <si>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</si>
  <si>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</si>
  <si>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</si>
  <si>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</si>
  <si>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</si>
  <si>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</si>
  <si>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</si>
  <si>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</si>
  <si>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</si>
  <si>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</si>
  <si>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</si>
  <si>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500 шт попросил Хмель 03,07,26 / 1700шт под клиента отгрузили 02,07,26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</si>
  <si>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</si>
  <si>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</si>
  <si>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</si>
  <si>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</si>
  <si>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</si>
  <si>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</si>
  <si>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</si>
  <si>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</si>
  <si>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</si>
  <si>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</si>
  <si>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</si>
  <si>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</si>
  <si>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</si>
  <si>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</si>
  <si>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</si>
  <si>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</si>
  <si>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</si>
  <si>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</si>
  <si>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</si>
  <si>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</si>
  <si>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</si>
  <si>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</si>
  <si>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</si>
  <si>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</si>
  <si>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</si>
  <si>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</si>
  <si>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</si>
  <si>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</si>
  <si>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</si>
  <si>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</si>
  <si>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</si>
  <si>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</si>
  <si>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</si>
  <si>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</si>
  <si>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</si>
  <si>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</si>
  <si>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</si>
  <si>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</si>
  <si>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</si>
  <si>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</si>
  <si>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</si>
  <si>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</si>
  <si>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</si>
  <si>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</si>
  <si>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</si>
  <si>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</si>
  <si>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</si>
  <si>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</si>
  <si>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</si>
  <si>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</si>
  <si>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396  Сардельки Филейские Вязанка ТМ Вязанка в оболочке NDX  0,4 кг. ПОКОМ</t>
  </si>
  <si>
    <t>не в матрице</t>
  </si>
  <si>
    <t xml:space="preserve"> 397  Ветчина Дугушка ТМ Стародворье ТС Дугушка в полиамидной оболочке 0,6 кг. ПОКОМ</t>
  </si>
  <si>
    <t>P004923</t>
  </si>
  <si>
    <t>03,07,26 заказали 1200 под ЮТЛ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</si>
  <si>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</si>
  <si>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</si>
  <si>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</si>
  <si>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</si>
  <si>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</si>
  <si>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</si>
  <si>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</si>
  <si>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</si>
  <si>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</si>
  <si>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</si>
  <si>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</si>
  <si>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</si>
  <si>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</si>
  <si>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</si>
  <si>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</si>
  <si>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</si>
  <si>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</si>
  <si>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</si>
  <si>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</si>
  <si>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</si>
  <si>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</si>
  <si>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</si>
  <si>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</si>
  <si>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</si>
  <si>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</si>
  <si>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</si>
  <si>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</si>
  <si>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</si>
  <si>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</si>
  <si>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</si>
  <si>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</si>
  <si>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</si>
  <si>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</si>
  <si>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</si>
  <si>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</si>
  <si>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</si>
  <si>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</si>
  <si>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</si>
  <si>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</si>
  <si>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</si>
  <si>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</si>
  <si>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</si>
  <si>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</si>
  <si>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</si>
  <si>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</si>
  <si>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</si>
  <si>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</si>
  <si>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</si>
  <si>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</si>
  <si>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</si>
  <si>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</si>
  <si>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</si>
  <si>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</si>
  <si>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</si>
  <si>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</si>
  <si>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</si>
  <si>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</si>
  <si>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</si>
  <si>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</si>
  <si>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</si>
  <si>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</si>
  <si>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</si>
  <si>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</si>
  <si>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</si>
  <si>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</si>
  <si>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</si>
  <si>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</si>
  <si>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</si>
  <si>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</si>
  <si>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</si>
  <si>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</si>
  <si>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</si>
  <si>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</si>
  <si>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</si>
  <si>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</si>
  <si>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</si>
  <si>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</si>
  <si>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P004212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</si>
  <si>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</si>
  <si>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</si>
  <si>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</si>
  <si>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</si>
  <si>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</si>
  <si>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</si>
  <si>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</si>
  <si>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</si>
  <si>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</si>
  <si>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</si>
  <si>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</si>
  <si>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</si>
  <si>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</si>
  <si>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</si>
  <si>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</si>
  <si>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Колбаса Молочная Стародворская ТВ Стародворье ВЕС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</si>
  <si>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219</t>
    </r>
  </si>
  <si>
    <t>ВНИМАНИЕ / P003103</t>
  </si>
  <si>
    <t>ВНИМАНИЕ / P003260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</si>
</sst>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0" fontId="0" fillId="0" borderId="1" xfId="0"/>
    <xf numFmtId="164" fontId="4" fillId="0" borderId="1" xfId="1" applyNumberFormat="1" applyFont="1"/>
    <xf numFmtId="164" fontId="5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6" fillId="5" borderId="1" xfId="1" applyNumberFormat="1" applyFont="1" applyFill="1"/>
    <xf numFmtId="164" fontId="5" fillId="6" borderId="1" xfId="1" applyNumberFormat="1" applyFont="1" applyFill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7" customWidth="1"/>
    <col min="15" max="15" width="7" style="9" customWidth="1"/>
    <col min="16" max="20" width="7" customWidth="1"/>
    <col min="21" max="22" width="5" customWidth="1"/>
    <col min="23" max="30" width="6.7109375" customWidth="1"/>
    <col min="31" max="31" width="37.2851562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0" t="s">
        <v>22</v>
      </c>
      <c r="P4" s="1" t="s">
        <v>23</v>
      </c>
      <c r="Q4" s="1" t="s">
        <v>24</v>
      </c>
      <c r="R4" s="1" t="s">
        <v>25</v>
      </c>
      <c r="S4" s="1" t="s">
        <v>25</v>
      </c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SUM(E6:E497)</f>
        <v>67737.941999999966</v>
      </c>
      <c r="F5" s="4">
        <f>SUM(F6:F497)</f>
        <v>93651.292000000016</v>
      </c>
      <c r="G5" s="7"/>
      <c r="H5" s="1"/>
      <c r="I5" s="1"/>
      <c r="J5" s="1"/>
      <c r="K5" s="4">
        <f t="shared" ref="K5:T5" si="0">SUM(K6:K497)</f>
        <v>71058.728000000003</v>
      </c>
      <c r="L5" s="4">
        <f t="shared" si="0"/>
        <v>-3320.7860000000001</v>
      </c>
      <c r="M5" s="4">
        <f t="shared" si="0"/>
        <v>65697.083999999988</v>
      </c>
      <c r="N5" s="4">
        <f t="shared" si="0"/>
        <v>2040.8579999999999</v>
      </c>
      <c r="O5" s="4">
        <f t="shared" si="0"/>
        <v>-3500</v>
      </c>
      <c r="P5" s="4">
        <f t="shared" si="0"/>
        <v>7582.4869034341245</v>
      </c>
      <c r="Q5" s="4">
        <f t="shared" si="0"/>
        <v>20972.675272986686</v>
      </c>
      <c r="R5" s="4">
        <f t="shared" si="0"/>
        <v>20500</v>
      </c>
      <c r="S5" s="4">
        <f t="shared" si="0"/>
        <v>13139.416799999999</v>
      </c>
      <c r="T5" s="4">
        <f t="shared" si="0"/>
        <v>15174.175682888561</v>
      </c>
      <c r="U5" s="1"/>
      <c r="V5" s="1"/>
      <c r="W5" s="4">
        <f t="shared" ref="W5:AD5" si="1">SUM(W6:W497)</f>
        <v>13875.089200000004</v>
      </c>
      <c r="X5" s="4">
        <f t="shared" si="1"/>
        <v>14958.127599999994</v>
      </c>
      <c r="Y5" s="4">
        <f t="shared" si="1"/>
        <v>14634.894600000005</v>
      </c>
      <c r="Z5" s="4">
        <f t="shared" si="1"/>
        <v>14534.192399999996</v>
      </c>
      <c r="AA5" s="4">
        <f t="shared" si="1"/>
        <v>12342.7112</v>
      </c>
      <c r="AB5" s="4">
        <f t="shared" si="1"/>
        <v>13835.652000000011</v>
      </c>
      <c r="AC5" s="4">
        <f t="shared" si="1"/>
        <v>14820.930200000004</v>
      </c>
      <c r="AD5" s="4">
        <f t="shared" si="1"/>
        <v>15115.720600000011</v>
      </c>
      <c r="AE5" s="1"/>
      <c r="AF5" s="4">
        <f>SUM(AF6:AF497)</f>
        <v>11009.177993974374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929.78300000000002</v>
      </c>
      <c r="D6" s="1">
        <v>5344.9960000000001</v>
      </c>
      <c r="E6" s="1">
        <v>2194.538</v>
      </c>
      <c r="F6" s="1">
        <v>3783.681</v>
      </c>
      <c r="G6" s="7">
        <v>1</v>
      </c>
      <c r="H6" s="1"/>
      <c r="I6" s="1" t="s">
        <v>36</v>
      </c>
      <c r="J6" s="1"/>
      <c r="K6" s="1">
        <v>2316.4</v>
      </c>
      <c r="L6" s="1">
        <f t="shared" ref="L6:L37" si="2">E6-K6</f>
        <v>-121.86200000000008</v>
      </c>
      <c r="M6" s="1">
        <f t="shared" ref="M6:M37" si="3">E6-N6</f>
        <v>2194.538</v>
      </c>
      <c r="N6" s="1"/>
      <c r="O6" s="1"/>
      <c r="P6" s="1">
        <v>293.50405456050879</v>
      </c>
      <c r="Q6" s="1">
        <v>280.25920148980089</v>
      </c>
      <c r="R6" s="1">
        <v>1000</v>
      </c>
      <c r="S6" s="1">
        <f t="shared" ref="S6:S37" si="4">M6/5</f>
        <v>438.9076</v>
      </c>
      <c r="T6" s="5"/>
      <c r="U6" s="1">
        <f t="shared" ref="U6:U37" si="5">(F6+O6+P6+Q6+R6+T6)/S6</f>
        <v>12.206314623055762</v>
      </c>
      <c r="V6" s="1">
        <f t="shared" ref="V6:V37" si="6">(F6+O6+P6+Q6+R6)/S6</f>
        <v>12.206314623055762</v>
      </c>
      <c r="W6" s="1">
        <v>507.63760000000002</v>
      </c>
      <c r="X6" s="1">
        <v>550.45600000000002</v>
      </c>
      <c r="Y6" s="1">
        <v>574.12580000000003</v>
      </c>
      <c r="Z6" s="1">
        <v>568.09579999999994</v>
      </c>
      <c r="AA6" s="1">
        <v>541.78179999999998</v>
      </c>
      <c r="AB6" s="1">
        <v>554.71460000000002</v>
      </c>
      <c r="AC6" s="1">
        <v>479.79180000000002</v>
      </c>
      <c r="AD6" s="1">
        <v>563.93039999999996</v>
      </c>
      <c r="AE6" s="1"/>
      <c r="AF6" s="1">
        <f t="shared" ref="AF6:AF17" si="7">G6*T6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35</v>
      </c>
      <c r="C7" s="1">
        <v>100.33499999999999</v>
      </c>
      <c r="D7" s="1">
        <v>2079.6410000000001</v>
      </c>
      <c r="E7" s="1">
        <v>914.09900000000005</v>
      </c>
      <c r="F7" s="1">
        <v>1242.9349999999999</v>
      </c>
      <c r="G7" s="7">
        <v>1</v>
      </c>
      <c r="H7" s="1"/>
      <c r="I7" s="1" t="s">
        <v>38</v>
      </c>
      <c r="J7" s="1"/>
      <c r="K7" s="1">
        <v>843.2</v>
      </c>
      <c r="L7" s="1">
        <f t="shared" si="2"/>
        <v>70.899000000000001</v>
      </c>
      <c r="M7" s="1">
        <f t="shared" si="3"/>
        <v>914.09900000000005</v>
      </c>
      <c r="N7" s="1"/>
      <c r="O7" s="1"/>
      <c r="P7" s="1"/>
      <c r="Q7" s="1">
        <v>251.00038927600011</v>
      </c>
      <c r="R7" s="1"/>
      <c r="S7" s="1">
        <f t="shared" si="4"/>
        <v>182.81980000000001</v>
      </c>
      <c r="T7" s="5">
        <f t="shared" ref="T7:T17" si="8">11*S7-R7-Q7-P7-F7-O7</f>
        <v>517.08241072400006</v>
      </c>
      <c r="U7" s="1">
        <f t="shared" si="5"/>
        <v>11</v>
      </c>
      <c r="V7" s="1">
        <f t="shared" si="6"/>
        <v>8.1716279597505306</v>
      </c>
      <c r="W7" s="1">
        <v>175.50360000000001</v>
      </c>
      <c r="X7" s="1">
        <v>191.05959999999999</v>
      </c>
      <c r="Y7" s="1">
        <v>216.93260000000001</v>
      </c>
      <c r="Z7" s="1">
        <v>206.46279999999999</v>
      </c>
      <c r="AA7" s="1">
        <v>142.0986</v>
      </c>
      <c r="AB7" s="1">
        <v>157.10640000000001</v>
      </c>
      <c r="AC7" s="1">
        <v>162.0754</v>
      </c>
      <c r="AD7" s="1">
        <v>150.274</v>
      </c>
      <c r="AE7" s="1"/>
      <c r="AF7" s="1">
        <f t="shared" si="7"/>
        <v>517.08241072400006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35</v>
      </c>
      <c r="C8" s="1">
        <v>2098.9679999999998</v>
      </c>
      <c r="D8" s="1">
        <v>3887.4690000000001</v>
      </c>
      <c r="E8" s="1">
        <v>3027.145</v>
      </c>
      <c r="F8" s="1">
        <v>2861.3690000000001</v>
      </c>
      <c r="G8" s="7">
        <v>1</v>
      </c>
      <c r="H8" s="1"/>
      <c r="I8" s="1" t="s">
        <v>40</v>
      </c>
      <c r="J8" s="1"/>
      <c r="K8" s="1">
        <v>3088.2109999999998</v>
      </c>
      <c r="L8" s="1">
        <f t="shared" si="2"/>
        <v>-61.065999999999804</v>
      </c>
      <c r="M8" s="1">
        <f t="shared" si="3"/>
        <v>2795.5749999999998</v>
      </c>
      <c r="N8" s="1">
        <v>231.57</v>
      </c>
      <c r="O8" s="1"/>
      <c r="P8" s="1"/>
      <c r="Q8" s="1">
        <v>599.22841117999951</v>
      </c>
      <c r="R8" s="1">
        <v>1700</v>
      </c>
      <c r="S8" s="1">
        <f t="shared" si="4"/>
        <v>559.11500000000001</v>
      </c>
      <c r="T8" s="5">
        <f t="shared" si="8"/>
        <v>989.66758882000067</v>
      </c>
      <c r="U8" s="1">
        <f t="shared" si="5"/>
        <v>11</v>
      </c>
      <c r="V8" s="1">
        <f t="shared" si="6"/>
        <v>9.2299391201809993</v>
      </c>
      <c r="W8" s="1">
        <v>520.86239999999998</v>
      </c>
      <c r="X8" s="1">
        <v>595.93939999999998</v>
      </c>
      <c r="Y8" s="1">
        <v>645.5598</v>
      </c>
      <c r="Z8" s="1">
        <v>584.85239999999999</v>
      </c>
      <c r="AA8" s="1">
        <v>581.0992</v>
      </c>
      <c r="AB8" s="1">
        <v>595.59080000000006</v>
      </c>
      <c r="AC8" s="1">
        <v>611.73599999999999</v>
      </c>
      <c r="AD8" s="1">
        <v>646.25780000000009</v>
      </c>
      <c r="AE8" s="1"/>
      <c r="AF8" s="1">
        <f t="shared" si="7"/>
        <v>989.66758882000067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42</v>
      </c>
      <c r="C9" s="1"/>
      <c r="D9" s="1">
        <v>30</v>
      </c>
      <c r="E9" s="1"/>
      <c r="F9" s="1">
        <v>30</v>
      </c>
      <c r="G9" s="7">
        <v>0.4</v>
      </c>
      <c r="H9" s="1"/>
      <c r="I9" s="1" t="s">
        <v>43</v>
      </c>
      <c r="J9" s="1"/>
      <c r="K9" s="1">
        <v>3</v>
      </c>
      <c r="L9" s="1">
        <f t="shared" si="2"/>
        <v>-3</v>
      </c>
      <c r="M9" s="1">
        <f t="shared" si="3"/>
        <v>0</v>
      </c>
      <c r="N9" s="1"/>
      <c r="O9" s="1"/>
      <c r="P9" s="1"/>
      <c r="Q9" s="1">
        <v>0</v>
      </c>
      <c r="R9" s="1"/>
      <c r="S9" s="1">
        <f t="shared" si="4"/>
        <v>0</v>
      </c>
      <c r="T9" s="5"/>
      <c r="U9" s="1" t="e">
        <f t="shared" si="5"/>
        <v>#DIV/0!</v>
      </c>
      <c r="V9" s="1" t="e">
        <f t="shared" si="6"/>
        <v>#DIV/0!</v>
      </c>
      <c r="W9" s="1">
        <v>0</v>
      </c>
      <c r="X9" s="1">
        <v>0.2</v>
      </c>
      <c r="Y9" s="1">
        <v>4.2</v>
      </c>
      <c r="Z9" s="1">
        <v>5.8</v>
      </c>
      <c r="AA9" s="1">
        <v>4.4000000000000004</v>
      </c>
      <c r="AB9" s="1">
        <v>4.4000000000000004</v>
      </c>
      <c r="AC9" s="1">
        <v>2</v>
      </c>
      <c r="AD9" s="1">
        <v>3.2</v>
      </c>
      <c r="AE9" s="1"/>
      <c r="AF9" s="1">
        <f t="shared" si="7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42</v>
      </c>
      <c r="C10" s="1">
        <v>1241</v>
      </c>
      <c r="D10" s="1">
        <v>2814</v>
      </c>
      <c r="E10" s="1">
        <v>1909</v>
      </c>
      <c r="F10" s="1">
        <v>2096</v>
      </c>
      <c r="G10" s="7">
        <v>0.45</v>
      </c>
      <c r="H10" s="1"/>
      <c r="I10" s="21" t="s">
        <v>45</v>
      </c>
      <c r="J10" s="1"/>
      <c r="K10" s="1">
        <v>1989</v>
      </c>
      <c r="L10" s="1">
        <f t="shared" si="2"/>
        <v>-80</v>
      </c>
      <c r="M10" s="1">
        <f t="shared" si="3"/>
        <v>1909</v>
      </c>
      <c r="N10" s="1"/>
      <c r="O10" s="1"/>
      <c r="P10" s="1"/>
      <c r="Q10" s="1">
        <v>2100</v>
      </c>
      <c r="R10" s="1">
        <v>700</v>
      </c>
      <c r="S10" s="1">
        <f t="shared" si="4"/>
        <v>381.8</v>
      </c>
      <c r="T10" s="5">
        <v>400</v>
      </c>
      <c r="U10" s="1">
        <f t="shared" si="5"/>
        <v>13.871136720796228</v>
      </c>
      <c r="V10" s="1">
        <f t="shared" si="6"/>
        <v>12.823467784180199</v>
      </c>
      <c r="W10" s="1">
        <v>353.6</v>
      </c>
      <c r="X10" s="1">
        <v>327.60000000000002</v>
      </c>
      <c r="Y10" s="1">
        <v>392</v>
      </c>
      <c r="Z10" s="1">
        <v>376.6</v>
      </c>
      <c r="AA10" s="1">
        <v>460</v>
      </c>
      <c r="AB10" s="1">
        <v>328.2</v>
      </c>
      <c r="AC10" s="1">
        <v>407</v>
      </c>
      <c r="AD10" s="1">
        <v>312.60000000000002</v>
      </c>
      <c r="AE10" s="1" t="s">
        <v>46</v>
      </c>
      <c r="AF10" s="1">
        <f t="shared" si="7"/>
        <v>180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47</v>
      </c>
      <c r="B11" s="1" t="s">
        <v>42</v>
      </c>
      <c r="C11" s="1">
        <v>1546</v>
      </c>
      <c r="D11" s="1">
        <v>6059</v>
      </c>
      <c r="E11" s="1">
        <v>3011</v>
      </c>
      <c r="F11" s="1">
        <v>3751</v>
      </c>
      <c r="G11" s="7">
        <v>0.45</v>
      </c>
      <c r="H11" s="1"/>
      <c r="I11" s="1" t="s">
        <v>48</v>
      </c>
      <c r="J11" s="1"/>
      <c r="K11" s="1">
        <v>3160</v>
      </c>
      <c r="L11" s="1">
        <f t="shared" si="2"/>
        <v>-149</v>
      </c>
      <c r="M11" s="1">
        <f t="shared" si="3"/>
        <v>3011</v>
      </c>
      <c r="N11" s="1"/>
      <c r="O11" s="1"/>
      <c r="P11" s="1">
        <v>185.3618693362792</v>
      </c>
      <c r="Q11" s="1">
        <v>594.45468021600209</v>
      </c>
      <c r="R11" s="1">
        <v>1300</v>
      </c>
      <c r="S11" s="1">
        <f t="shared" si="4"/>
        <v>602.20000000000005</v>
      </c>
      <c r="T11" s="5">
        <f t="shared" si="8"/>
        <v>793.38345044771904</v>
      </c>
      <c r="U11" s="1">
        <f t="shared" si="5"/>
        <v>10.999999999999998</v>
      </c>
      <c r="V11" s="1">
        <f t="shared" si="6"/>
        <v>9.6825249909536364</v>
      </c>
      <c r="W11" s="1">
        <v>550.4</v>
      </c>
      <c r="X11" s="1">
        <v>621.79999999999995</v>
      </c>
      <c r="Y11" s="1">
        <v>638.6</v>
      </c>
      <c r="Z11" s="1">
        <v>583.79999999999995</v>
      </c>
      <c r="AA11" s="1">
        <v>603.6</v>
      </c>
      <c r="AB11" s="1">
        <v>534.24919999999997</v>
      </c>
      <c r="AC11" s="1">
        <v>630.20000000000005</v>
      </c>
      <c r="AD11" s="1">
        <v>547.79999999999995</v>
      </c>
      <c r="AE11" s="1"/>
      <c r="AF11" s="1">
        <f t="shared" si="7"/>
        <v>357.02255270147356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49</v>
      </c>
      <c r="B12" s="1" t="s">
        <v>42</v>
      </c>
      <c r="C12" s="1">
        <v>142</v>
      </c>
      <c r="D12" s="1">
        <v>60</v>
      </c>
      <c r="E12" s="1">
        <v>68</v>
      </c>
      <c r="F12" s="1">
        <v>134</v>
      </c>
      <c r="G12" s="7">
        <v>0.17</v>
      </c>
      <c r="H12" s="1"/>
      <c r="I12" s="1" t="s">
        <v>50</v>
      </c>
      <c r="J12" s="1"/>
      <c r="K12" s="1">
        <v>68</v>
      </c>
      <c r="L12" s="1">
        <f t="shared" si="2"/>
        <v>0</v>
      </c>
      <c r="M12" s="1">
        <f t="shared" si="3"/>
        <v>68</v>
      </c>
      <c r="N12" s="1"/>
      <c r="O12" s="1"/>
      <c r="P12" s="1"/>
      <c r="Q12" s="1">
        <v>0</v>
      </c>
      <c r="R12" s="1"/>
      <c r="S12" s="1">
        <f t="shared" si="4"/>
        <v>13.6</v>
      </c>
      <c r="T12" s="5">
        <f t="shared" si="8"/>
        <v>15.599999999999994</v>
      </c>
      <c r="U12" s="1">
        <f t="shared" si="5"/>
        <v>11</v>
      </c>
      <c r="V12" s="1">
        <f t="shared" si="6"/>
        <v>9.8529411764705888</v>
      </c>
      <c r="W12" s="1">
        <v>11.2</v>
      </c>
      <c r="X12" s="1">
        <v>12.6</v>
      </c>
      <c r="Y12" s="1">
        <v>17</v>
      </c>
      <c r="Z12" s="1">
        <v>16.2</v>
      </c>
      <c r="AA12" s="1">
        <v>14.8</v>
      </c>
      <c r="AB12" s="1">
        <v>14.8</v>
      </c>
      <c r="AC12" s="1">
        <v>35.4</v>
      </c>
      <c r="AD12" s="1">
        <v>24.2</v>
      </c>
      <c r="AE12" s="1"/>
      <c r="AF12" s="1">
        <f t="shared" si="7"/>
        <v>2.6519999999999992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51</v>
      </c>
      <c r="B13" s="1" t="s">
        <v>42</v>
      </c>
      <c r="C13" s="1">
        <v>5</v>
      </c>
      <c r="D13" s="1">
        <v>54</v>
      </c>
      <c r="E13" s="1">
        <v>2</v>
      </c>
      <c r="F13" s="1">
        <v>54</v>
      </c>
      <c r="G13" s="7">
        <v>0.3</v>
      </c>
      <c r="H13" s="1"/>
      <c r="I13" s="1" t="s">
        <v>52</v>
      </c>
      <c r="J13" s="1"/>
      <c r="K13" s="1">
        <v>18</v>
      </c>
      <c r="L13" s="1">
        <f t="shared" si="2"/>
        <v>-16</v>
      </c>
      <c r="M13" s="1">
        <f t="shared" si="3"/>
        <v>2</v>
      </c>
      <c r="N13" s="1"/>
      <c r="O13" s="1"/>
      <c r="P13" s="1"/>
      <c r="Q13" s="1">
        <v>18.599999999999991</v>
      </c>
      <c r="R13" s="1"/>
      <c r="S13" s="1">
        <f t="shared" si="4"/>
        <v>0.4</v>
      </c>
      <c r="T13" s="5"/>
      <c r="U13" s="1">
        <f t="shared" si="5"/>
        <v>181.49999999999997</v>
      </c>
      <c r="V13" s="1">
        <f t="shared" si="6"/>
        <v>181.49999999999997</v>
      </c>
      <c r="W13" s="1">
        <v>5.8</v>
      </c>
      <c r="X13" s="1">
        <v>7</v>
      </c>
      <c r="Y13" s="1">
        <v>1.6</v>
      </c>
      <c r="Z13" s="1">
        <v>-0.4</v>
      </c>
      <c r="AA13" s="1">
        <v>7</v>
      </c>
      <c r="AB13" s="1">
        <v>6.2</v>
      </c>
      <c r="AC13" s="1">
        <v>7.4</v>
      </c>
      <c r="AD13" s="1">
        <v>6.4</v>
      </c>
      <c r="AE13" s="1"/>
      <c r="AF13" s="1">
        <f t="shared" si="7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53</v>
      </c>
      <c r="B14" s="1" t="s">
        <v>42</v>
      </c>
      <c r="C14" s="1">
        <v>107</v>
      </c>
      <c r="D14" s="1">
        <v>437</v>
      </c>
      <c r="E14" s="1">
        <v>188</v>
      </c>
      <c r="F14" s="1">
        <v>356</v>
      </c>
      <c r="G14" s="7">
        <v>0.17</v>
      </c>
      <c r="H14" s="1"/>
      <c r="I14" s="1" t="s">
        <v>54</v>
      </c>
      <c r="J14" s="1"/>
      <c r="K14" s="1">
        <v>189</v>
      </c>
      <c r="L14" s="1">
        <f t="shared" si="2"/>
        <v>-1</v>
      </c>
      <c r="M14" s="1">
        <f t="shared" si="3"/>
        <v>188</v>
      </c>
      <c r="N14" s="1"/>
      <c r="O14" s="1"/>
      <c r="P14" s="1"/>
      <c r="Q14" s="1">
        <v>0</v>
      </c>
      <c r="R14" s="1"/>
      <c r="S14" s="1">
        <f t="shared" si="4"/>
        <v>37.6</v>
      </c>
      <c r="T14" s="5">
        <f t="shared" si="8"/>
        <v>57.600000000000023</v>
      </c>
      <c r="U14" s="1">
        <f t="shared" si="5"/>
        <v>11</v>
      </c>
      <c r="V14" s="1">
        <f t="shared" si="6"/>
        <v>9.4680851063829792</v>
      </c>
      <c r="W14" s="1">
        <v>35.200000000000003</v>
      </c>
      <c r="X14" s="1">
        <v>46.2</v>
      </c>
      <c r="Y14" s="1">
        <v>49.6</v>
      </c>
      <c r="Z14" s="1">
        <v>43.2</v>
      </c>
      <c r="AA14" s="1">
        <v>44</v>
      </c>
      <c r="AB14" s="1">
        <v>46.6</v>
      </c>
      <c r="AC14" s="1">
        <v>48.4</v>
      </c>
      <c r="AD14" s="1">
        <v>39.6</v>
      </c>
      <c r="AE14" s="1"/>
      <c r="AF14" s="1">
        <f t="shared" si="7"/>
        <v>9.7920000000000051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55</v>
      </c>
      <c r="B15" s="1" t="s">
        <v>35</v>
      </c>
      <c r="C15" s="1">
        <v>2515.2049999999999</v>
      </c>
      <c r="D15" s="1">
        <v>5966.0749999999998</v>
      </c>
      <c r="E15" s="1">
        <v>3785.634</v>
      </c>
      <c r="F15" s="1">
        <v>4667.5320000000002</v>
      </c>
      <c r="G15" s="7">
        <v>1</v>
      </c>
      <c r="H15" s="1"/>
      <c r="I15" s="1" t="s">
        <v>56</v>
      </c>
      <c r="J15" s="1"/>
      <c r="K15" s="1">
        <v>3667.172</v>
      </c>
      <c r="L15" s="1">
        <f t="shared" si="2"/>
        <v>118.46199999999999</v>
      </c>
      <c r="M15" s="1">
        <f t="shared" si="3"/>
        <v>3493.1120000000001</v>
      </c>
      <c r="N15" s="1">
        <v>292.52199999999999</v>
      </c>
      <c r="O15" s="1"/>
      <c r="P15" s="1">
        <v>275.90390136870622</v>
      </c>
      <c r="Q15" s="1">
        <v>774.14133773319827</v>
      </c>
      <c r="R15" s="1">
        <v>1200</v>
      </c>
      <c r="S15" s="1">
        <f t="shared" si="4"/>
        <v>698.62239999999997</v>
      </c>
      <c r="T15" s="5">
        <f t="shared" si="8"/>
        <v>767.26916089809492</v>
      </c>
      <c r="U15" s="1">
        <f t="shared" si="5"/>
        <v>11</v>
      </c>
      <c r="V15" s="1">
        <f t="shared" si="6"/>
        <v>9.9017398226880573</v>
      </c>
      <c r="W15" s="1">
        <v>743.16840000000002</v>
      </c>
      <c r="X15" s="1">
        <v>777.8900000000001</v>
      </c>
      <c r="Y15" s="1">
        <v>793.41980000000001</v>
      </c>
      <c r="Z15" s="1">
        <v>813.2912</v>
      </c>
      <c r="AA15" s="1">
        <v>705.12139999999999</v>
      </c>
      <c r="AB15" s="1">
        <v>789.39300000000003</v>
      </c>
      <c r="AC15" s="1">
        <v>802.29679999999996</v>
      </c>
      <c r="AD15" s="1">
        <v>820.04920000000004</v>
      </c>
      <c r="AE15" s="1"/>
      <c r="AF15" s="1">
        <f t="shared" si="7"/>
        <v>767.26916089809492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57</v>
      </c>
      <c r="B16" s="1" t="s">
        <v>35</v>
      </c>
      <c r="C16" s="1">
        <v>3709.1460000000002</v>
      </c>
      <c r="D16" s="1">
        <v>5167.7150000000001</v>
      </c>
      <c r="E16" s="1">
        <v>2904.49</v>
      </c>
      <c r="F16" s="1">
        <v>5884.0680000000002</v>
      </c>
      <c r="G16" s="7">
        <v>1</v>
      </c>
      <c r="H16" s="1"/>
      <c r="I16" s="1" t="s">
        <v>58</v>
      </c>
      <c r="J16" s="1"/>
      <c r="K16" s="1">
        <v>3013.5390000000002</v>
      </c>
      <c r="L16" s="1">
        <f t="shared" si="2"/>
        <v>-109.04900000000043</v>
      </c>
      <c r="M16" s="1">
        <f t="shared" si="3"/>
        <v>2665.5509999999999</v>
      </c>
      <c r="N16" s="1">
        <v>238.93899999999999</v>
      </c>
      <c r="O16" s="1"/>
      <c r="P16" s="1">
        <v>713.66208539807997</v>
      </c>
      <c r="Q16" s="1">
        <v>227.82249017599861</v>
      </c>
      <c r="R16" s="1">
        <v>200</v>
      </c>
      <c r="S16" s="1">
        <f t="shared" si="4"/>
        <v>533.11019999999996</v>
      </c>
      <c r="T16" s="5"/>
      <c r="U16" s="1">
        <f t="shared" si="5"/>
        <v>13.178424602594509</v>
      </c>
      <c r="V16" s="1">
        <f t="shared" si="6"/>
        <v>13.178424602594509</v>
      </c>
      <c r="W16" s="1">
        <v>718.05599999999993</v>
      </c>
      <c r="X16" s="1">
        <v>883.88040000000001</v>
      </c>
      <c r="Y16" s="1">
        <v>762.78340000000003</v>
      </c>
      <c r="Z16" s="1">
        <v>722.84620000000007</v>
      </c>
      <c r="AA16" s="1">
        <v>706.84280000000001</v>
      </c>
      <c r="AB16" s="1">
        <v>748.38280000000009</v>
      </c>
      <c r="AC16" s="1">
        <v>655.88239999999996</v>
      </c>
      <c r="AD16" s="1">
        <v>775.13319999999999</v>
      </c>
      <c r="AE16" s="1"/>
      <c r="AF16" s="1">
        <f t="shared" si="7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59</v>
      </c>
      <c r="B17" s="1" t="s">
        <v>35</v>
      </c>
      <c r="C17" s="1">
        <v>43.878</v>
      </c>
      <c r="D17" s="1">
        <v>656.76300000000003</v>
      </c>
      <c r="E17" s="1">
        <v>265.72399999999999</v>
      </c>
      <c r="F17" s="1">
        <v>334.03699999999998</v>
      </c>
      <c r="G17" s="7">
        <v>1</v>
      </c>
      <c r="H17" s="1"/>
      <c r="I17" s="1" t="s">
        <v>60</v>
      </c>
      <c r="J17" s="1"/>
      <c r="K17" s="1">
        <v>302.55</v>
      </c>
      <c r="L17" s="1">
        <f t="shared" si="2"/>
        <v>-36.826000000000022</v>
      </c>
      <c r="M17" s="1">
        <f t="shared" si="3"/>
        <v>265.72399999999999</v>
      </c>
      <c r="N17" s="1"/>
      <c r="O17" s="1"/>
      <c r="P17" s="1">
        <v>75.365236141509683</v>
      </c>
      <c r="Q17" s="1">
        <v>301.76082324911971</v>
      </c>
      <c r="R17" s="1"/>
      <c r="S17" s="1">
        <f t="shared" si="4"/>
        <v>53.144799999999996</v>
      </c>
      <c r="T17" s="5"/>
      <c r="U17" s="1">
        <f t="shared" si="5"/>
        <v>13.38161135973095</v>
      </c>
      <c r="V17" s="1">
        <f t="shared" si="6"/>
        <v>13.38161135973095</v>
      </c>
      <c r="W17" s="1">
        <v>67.895600000000002</v>
      </c>
      <c r="X17" s="1">
        <v>65.342600000000004</v>
      </c>
      <c r="Y17" s="1">
        <v>56.481399999999987</v>
      </c>
      <c r="Z17" s="1">
        <v>55.717200000000012</v>
      </c>
      <c r="AA17" s="1">
        <v>68.611000000000004</v>
      </c>
      <c r="AB17" s="1">
        <v>50.957799999999999</v>
      </c>
      <c r="AC17" s="1">
        <v>50.501199999999997</v>
      </c>
      <c r="AD17" s="1">
        <v>55.050800000000002</v>
      </c>
      <c r="AE17" s="1"/>
      <c r="AF17" s="1">
        <f t="shared" si="7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2" t="s">
        <v>61</v>
      </c>
      <c r="B18" s="12" t="s">
        <v>35</v>
      </c>
      <c r="C18" s="12">
        <v>23.134</v>
      </c>
      <c r="D18" s="12">
        <v>9.1159999999999997</v>
      </c>
      <c r="E18" s="15">
        <v>31.15</v>
      </c>
      <c r="F18" s="12"/>
      <c r="G18" s="13">
        <v>0</v>
      </c>
      <c r="H18" s="12"/>
      <c r="I18" s="12" t="s">
        <v>62</v>
      </c>
      <c r="J18" s="12" t="s">
        <v>63</v>
      </c>
      <c r="K18" s="12">
        <v>190</v>
      </c>
      <c r="L18" s="12">
        <f t="shared" si="2"/>
        <v>-158.85</v>
      </c>
      <c r="M18" s="12">
        <f t="shared" si="3"/>
        <v>31.15</v>
      </c>
      <c r="N18" s="12"/>
      <c r="O18" s="12"/>
      <c r="P18" s="12"/>
      <c r="Q18" s="12">
        <v>0</v>
      </c>
      <c r="R18" s="12"/>
      <c r="S18" s="12">
        <f t="shared" si="4"/>
        <v>6.2299999999999995</v>
      </c>
      <c r="T18" s="14"/>
      <c r="U18" s="12">
        <f t="shared" si="5"/>
        <v>0</v>
      </c>
      <c r="V18" s="12">
        <f t="shared" si="6"/>
        <v>0</v>
      </c>
      <c r="W18" s="12">
        <v>83.803200000000004</v>
      </c>
      <c r="X18" s="12">
        <v>150.74100000000001</v>
      </c>
      <c r="Y18" s="12">
        <v>185.3526</v>
      </c>
      <c r="Z18" s="12">
        <v>199.28919999999999</v>
      </c>
      <c r="AA18" s="12">
        <v>315.32100000000003</v>
      </c>
      <c r="AB18" s="12">
        <v>286.202</v>
      </c>
      <c r="AC18" s="12">
        <v>141.9708</v>
      </c>
      <c r="AD18" s="12">
        <v>164.84039999999999</v>
      </c>
      <c r="AE18" s="12" t="s">
        <v>64</v>
      </c>
      <c r="AF18" s="12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65</v>
      </c>
      <c r="B19" s="1" t="s">
        <v>35</v>
      </c>
      <c r="C19" s="1">
        <v>7.7380000000000004</v>
      </c>
      <c r="D19" s="1">
        <v>8.2680000000000007</v>
      </c>
      <c r="E19" s="1">
        <v>0.35</v>
      </c>
      <c r="F19" s="1">
        <v>15.656000000000001</v>
      </c>
      <c r="G19" s="7">
        <v>1</v>
      </c>
      <c r="H19" s="1"/>
      <c r="I19" s="1" t="s">
        <v>66</v>
      </c>
      <c r="J19" s="1"/>
      <c r="K19" s="1">
        <v>0.35</v>
      </c>
      <c r="L19" s="1">
        <f t="shared" si="2"/>
        <v>0</v>
      </c>
      <c r="M19" s="1">
        <f t="shared" si="3"/>
        <v>0.35</v>
      </c>
      <c r="N19" s="1"/>
      <c r="O19" s="1"/>
      <c r="P19" s="1"/>
      <c r="Q19" s="1">
        <v>0</v>
      </c>
      <c r="R19" s="1"/>
      <c r="S19" s="1">
        <f t="shared" si="4"/>
        <v>6.9999999999999993E-2</v>
      </c>
      <c r="T19" s="5"/>
      <c r="U19" s="1">
        <f t="shared" si="5"/>
        <v>223.6571428571429</v>
      </c>
      <c r="V19" s="1">
        <f t="shared" si="6"/>
        <v>223.6571428571429</v>
      </c>
      <c r="W19" s="1">
        <v>0.49559999999999998</v>
      </c>
      <c r="X19" s="1">
        <v>0.99740000000000006</v>
      </c>
      <c r="Y19" s="1">
        <v>1.117</v>
      </c>
      <c r="Z19" s="1">
        <v>0.61639999999999995</v>
      </c>
      <c r="AA19" s="1">
        <v>1.0631999999999999</v>
      </c>
      <c r="AB19" s="1">
        <v>0.13980000000000001</v>
      </c>
      <c r="AC19" s="1">
        <v>0.50239999999999996</v>
      </c>
      <c r="AD19" s="1">
        <v>1.3557999999999999</v>
      </c>
      <c r="AE19" s="16" t="s">
        <v>77</v>
      </c>
      <c r="AF19" s="1">
        <f t="shared" ref="AF19:AF63" si="9">G19*T19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67</v>
      </c>
      <c r="B20" s="1" t="s">
        <v>35</v>
      </c>
      <c r="C20" s="1">
        <v>1885.998</v>
      </c>
      <c r="D20" s="1">
        <v>9395.8970000000008</v>
      </c>
      <c r="E20" s="1">
        <v>4695.7190000000001</v>
      </c>
      <c r="F20" s="1">
        <v>5194.4629999999997</v>
      </c>
      <c r="G20" s="7">
        <v>1</v>
      </c>
      <c r="H20" s="1"/>
      <c r="I20" s="1" t="s">
        <v>68</v>
      </c>
      <c r="J20" s="1"/>
      <c r="K20" s="1">
        <v>4543.2</v>
      </c>
      <c r="L20" s="1">
        <f t="shared" si="2"/>
        <v>152.51900000000023</v>
      </c>
      <c r="M20" s="1">
        <f t="shared" si="3"/>
        <v>4695.7190000000001</v>
      </c>
      <c r="N20" s="1"/>
      <c r="O20" s="1"/>
      <c r="P20" s="1">
        <v>634.26574438765169</v>
      </c>
      <c r="Q20" s="1">
        <v>1250.7976291944019</v>
      </c>
      <c r="R20" s="1">
        <v>2000</v>
      </c>
      <c r="S20" s="1">
        <f t="shared" si="4"/>
        <v>939.14380000000006</v>
      </c>
      <c r="T20" s="5">
        <f t="shared" ref="T19:T63" si="10">11*S20-R20-Q20-P20-F20-O20</f>
        <v>1251.0554264179473</v>
      </c>
      <c r="U20" s="1">
        <f t="shared" si="5"/>
        <v>11</v>
      </c>
      <c r="V20" s="1">
        <f t="shared" si="6"/>
        <v>9.6678766058851195</v>
      </c>
      <c r="W20" s="1">
        <v>972.13600000000008</v>
      </c>
      <c r="X20" s="1">
        <v>972.09439999999995</v>
      </c>
      <c r="Y20" s="1">
        <v>939.87340000000006</v>
      </c>
      <c r="Z20" s="1">
        <v>926.64840000000004</v>
      </c>
      <c r="AA20" s="1">
        <v>875.15440000000001</v>
      </c>
      <c r="AB20" s="1">
        <v>870.96839999999997</v>
      </c>
      <c r="AC20" s="1">
        <v>923.96080000000006</v>
      </c>
      <c r="AD20" s="1">
        <v>848.45480000000009</v>
      </c>
      <c r="AE20" s="1"/>
      <c r="AF20" s="1">
        <f t="shared" si="9"/>
        <v>1251.0554264179473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69</v>
      </c>
      <c r="B21" s="1" t="s">
        <v>35</v>
      </c>
      <c r="C21" s="1">
        <v>293.70299999999997</v>
      </c>
      <c r="D21" s="1">
        <v>676.24900000000002</v>
      </c>
      <c r="E21" s="1">
        <v>457.79500000000002</v>
      </c>
      <c r="F21" s="1">
        <v>503.08600000000001</v>
      </c>
      <c r="G21" s="7">
        <v>1</v>
      </c>
      <c r="H21" s="1"/>
      <c r="I21" s="1" t="s">
        <v>70</v>
      </c>
      <c r="J21" s="1"/>
      <c r="K21" s="1">
        <v>440.05</v>
      </c>
      <c r="L21" s="1">
        <f t="shared" si="2"/>
        <v>17.745000000000005</v>
      </c>
      <c r="M21" s="1">
        <f t="shared" si="3"/>
        <v>457.79500000000002</v>
      </c>
      <c r="N21" s="1"/>
      <c r="O21" s="1"/>
      <c r="P21" s="1">
        <v>98.875973152577373</v>
      </c>
      <c r="Q21" s="1">
        <v>230.90880965228001</v>
      </c>
      <c r="R21" s="1">
        <v>200</v>
      </c>
      <c r="S21" s="1">
        <f t="shared" si="4"/>
        <v>91.558999999999997</v>
      </c>
      <c r="T21" s="5"/>
      <c r="U21" s="1">
        <f t="shared" si="5"/>
        <v>11.280931233465386</v>
      </c>
      <c r="V21" s="1">
        <f t="shared" si="6"/>
        <v>11.280931233465386</v>
      </c>
      <c r="W21" s="1">
        <v>105.01179999999999</v>
      </c>
      <c r="X21" s="1">
        <v>101.4824</v>
      </c>
      <c r="Y21" s="1">
        <v>87.5822</v>
      </c>
      <c r="Z21" s="1">
        <v>89.291799999999995</v>
      </c>
      <c r="AA21" s="1">
        <v>91.848800000000011</v>
      </c>
      <c r="AB21" s="1">
        <v>109.9436</v>
      </c>
      <c r="AC21" s="1">
        <v>85.954800000000006</v>
      </c>
      <c r="AD21" s="1">
        <v>76.566000000000003</v>
      </c>
      <c r="AE21" s="1"/>
      <c r="AF21" s="1">
        <f t="shared" si="9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71</v>
      </c>
      <c r="B22" s="1" t="s">
        <v>35</v>
      </c>
      <c r="C22" s="1">
        <v>944.13900000000001</v>
      </c>
      <c r="D22" s="1">
        <v>2004.0139999999999</v>
      </c>
      <c r="E22" s="1">
        <v>1067.501</v>
      </c>
      <c r="F22" s="1">
        <v>1868.7639999999999</v>
      </c>
      <c r="G22" s="7">
        <v>1</v>
      </c>
      <c r="H22" s="1"/>
      <c r="I22" s="1" t="s">
        <v>72</v>
      </c>
      <c r="J22" s="1"/>
      <c r="K22" s="1">
        <v>1026.9000000000001</v>
      </c>
      <c r="L22" s="1">
        <f t="shared" si="2"/>
        <v>40.600999999999885</v>
      </c>
      <c r="M22" s="1">
        <f t="shared" si="3"/>
        <v>1067.501</v>
      </c>
      <c r="N22" s="1"/>
      <c r="O22" s="1"/>
      <c r="P22" s="1">
        <v>261.27432225304779</v>
      </c>
      <c r="Q22" s="1">
        <v>393.8911313456008</v>
      </c>
      <c r="R22" s="1">
        <v>400</v>
      </c>
      <c r="S22" s="1">
        <f t="shared" si="4"/>
        <v>213.50020000000001</v>
      </c>
      <c r="T22" s="5"/>
      <c r="U22" s="1">
        <f t="shared" si="5"/>
        <v>13.695207093944868</v>
      </c>
      <c r="V22" s="1">
        <f t="shared" si="6"/>
        <v>13.695207093944868</v>
      </c>
      <c r="W22" s="1">
        <v>289.41840000000002</v>
      </c>
      <c r="X22" s="1">
        <v>307.0924</v>
      </c>
      <c r="Y22" s="1">
        <v>271.95859999999999</v>
      </c>
      <c r="Z22" s="1">
        <v>269.67360000000002</v>
      </c>
      <c r="AA22" s="1">
        <v>231.08519999999999</v>
      </c>
      <c r="AB22" s="1">
        <v>233.071</v>
      </c>
      <c r="AC22" s="1">
        <v>257.7124</v>
      </c>
      <c r="AD22" s="1">
        <v>251.00020000000001</v>
      </c>
      <c r="AE22" s="1"/>
      <c r="AF22" s="1">
        <f t="shared" si="9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73</v>
      </c>
      <c r="B23" s="1" t="s">
        <v>35</v>
      </c>
      <c r="C23" s="1">
        <v>462.68900000000002</v>
      </c>
      <c r="D23" s="1">
        <v>4102.9120000000003</v>
      </c>
      <c r="E23" s="1">
        <v>2000.171</v>
      </c>
      <c r="F23" s="1">
        <v>2541.8690000000001</v>
      </c>
      <c r="G23" s="7">
        <v>1</v>
      </c>
      <c r="H23" s="1"/>
      <c r="I23" s="1" t="s">
        <v>74</v>
      </c>
      <c r="J23" s="1"/>
      <c r="K23" s="1">
        <v>1916.15</v>
      </c>
      <c r="L23" s="1">
        <f t="shared" si="2"/>
        <v>84.020999999999958</v>
      </c>
      <c r="M23" s="1">
        <f t="shared" si="3"/>
        <v>2000.171</v>
      </c>
      <c r="N23" s="1"/>
      <c r="O23" s="1"/>
      <c r="P23" s="1"/>
      <c r="Q23" s="1">
        <v>457.78320531000048</v>
      </c>
      <c r="R23" s="1">
        <v>500</v>
      </c>
      <c r="S23" s="1">
        <f t="shared" si="4"/>
        <v>400.0342</v>
      </c>
      <c r="T23" s="5">
        <f t="shared" si="10"/>
        <v>900.72399468999902</v>
      </c>
      <c r="U23" s="1">
        <f t="shared" si="5"/>
        <v>11</v>
      </c>
      <c r="V23" s="1">
        <f t="shared" si="6"/>
        <v>8.7483825265689799</v>
      </c>
      <c r="W23" s="1">
        <v>384.5324</v>
      </c>
      <c r="X23" s="1">
        <v>404.67020000000002</v>
      </c>
      <c r="Y23" s="1">
        <v>469.15940000000001</v>
      </c>
      <c r="Z23" s="1">
        <v>501.86099999999999</v>
      </c>
      <c r="AA23" s="1">
        <v>425.32319999999999</v>
      </c>
      <c r="AB23" s="1">
        <v>412.91019999999997</v>
      </c>
      <c r="AC23" s="1">
        <v>446.06420000000003</v>
      </c>
      <c r="AD23" s="1">
        <v>403.29660000000001</v>
      </c>
      <c r="AE23" s="1"/>
      <c r="AF23" s="1">
        <f t="shared" si="9"/>
        <v>900.72399468999902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75</v>
      </c>
      <c r="B24" s="1" t="s">
        <v>35</v>
      </c>
      <c r="C24" s="1">
        <v>105.149</v>
      </c>
      <c r="D24" s="1"/>
      <c r="E24" s="1">
        <v>47.866999999999997</v>
      </c>
      <c r="F24" s="1">
        <v>57.281999999999996</v>
      </c>
      <c r="G24" s="7">
        <v>1</v>
      </c>
      <c r="H24" s="1"/>
      <c r="I24" s="1" t="s">
        <v>76</v>
      </c>
      <c r="J24" s="1"/>
      <c r="K24" s="1">
        <v>48.8</v>
      </c>
      <c r="L24" s="1">
        <f t="shared" si="2"/>
        <v>-0.93299999999999983</v>
      </c>
      <c r="M24" s="1">
        <f t="shared" si="3"/>
        <v>47.866999999999997</v>
      </c>
      <c r="N24" s="1"/>
      <c r="O24" s="1"/>
      <c r="P24" s="1"/>
      <c r="Q24" s="1">
        <v>0</v>
      </c>
      <c r="R24" s="1"/>
      <c r="S24" s="1">
        <f t="shared" si="4"/>
        <v>9.5733999999999995</v>
      </c>
      <c r="T24" s="5">
        <f t="shared" si="10"/>
        <v>48.025400000000005</v>
      </c>
      <c r="U24" s="1">
        <f t="shared" si="5"/>
        <v>11</v>
      </c>
      <c r="V24" s="1">
        <f t="shared" si="6"/>
        <v>5.9834541542189816</v>
      </c>
      <c r="W24" s="1">
        <v>1.4523999999999999</v>
      </c>
      <c r="X24" s="1">
        <v>1.8864000000000001</v>
      </c>
      <c r="Y24" s="1">
        <v>3.0478000000000001</v>
      </c>
      <c r="Z24" s="1">
        <v>2.6137999999999999</v>
      </c>
      <c r="AA24" s="1">
        <v>0.58140000000000003</v>
      </c>
      <c r="AB24" s="1">
        <v>9.3971999999999998</v>
      </c>
      <c r="AC24" s="1">
        <v>6.6224000000000007</v>
      </c>
      <c r="AD24" s="1">
        <v>11.1754</v>
      </c>
      <c r="AE24" s="1"/>
      <c r="AF24" s="1">
        <f t="shared" si="9"/>
        <v>48.025400000000005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78</v>
      </c>
      <c r="B25" s="1" t="s">
        <v>35</v>
      </c>
      <c r="C25" s="1">
        <v>3489.5309999999999</v>
      </c>
      <c r="D25" s="1">
        <v>1548.729</v>
      </c>
      <c r="E25" s="1">
        <v>1360.336</v>
      </c>
      <c r="F25" s="1">
        <v>3647.3969999999999</v>
      </c>
      <c r="G25" s="7">
        <v>1</v>
      </c>
      <c r="H25" s="1"/>
      <c r="I25" s="1" t="s">
        <v>79</v>
      </c>
      <c r="J25" s="1"/>
      <c r="K25" s="1">
        <v>2038.2460000000001</v>
      </c>
      <c r="L25" s="1">
        <f t="shared" si="2"/>
        <v>-677.91000000000008</v>
      </c>
      <c r="M25" s="1">
        <f t="shared" si="3"/>
        <v>1360.336</v>
      </c>
      <c r="N25" s="1"/>
      <c r="O25" s="1">
        <v>-3500</v>
      </c>
      <c r="P25" s="1"/>
      <c r="Q25" s="1">
        <v>700</v>
      </c>
      <c r="R25" s="1">
        <v>600</v>
      </c>
      <c r="S25" s="1">
        <f t="shared" si="4"/>
        <v>272.06720000000001</v>
      </c>
      <c r="T25" s="5">
        <f t="shared" si="10"/>
        <v>1545.3422</v>
      </c>
      <c r="U25" s="1">
        <f t="shared" si="5"/>
        <v>11</v>
      </c>
      <c r="V25" s="1">
        <f t="shared" si="6"/>
        <v>5.319998147516495</v>
      </c>
      <c r="W25" s="1">
        <v>228.89760000000001</v>
      </c>
      <c r="X25" s="1">
        <v>443.47500000000002</v>
      </c>
      <c r="Y25" s="1">
        <v>527.50740000000008</v>
      </c>
      <c r="Z25" s="1">
        <v>438.75599999999997</v>
      </c>
      <c r="AA25" s="1">
        <v>67.332399999999993</v>
      </c>
      <c r="AB25" s="1">
        <v>-3.8862000000000001</v>
      </c>
      <c r="AC25" s="1">
        <v>293.17079999999999</v>
      </c>
      <c r="AD25" s="1">
        <v>592.37</v>
      </c>
      <c r="AE25" s="11" t="s">
        <v>80</v>
      </c>
      <c r="AF25" s="1">
        <f t="shared" si="9"/>
        <v>1545.3422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81</v>
      </c>
      <c r="B26" s="1" t="s">
        <v>35</v>
      </c>
      <c r="C26" s="1"/>
      <c r="D26" s="1">
        <v>112.675</v>
      </c>
      <c r="E26" s="1">
        <v>64.412999999999997</v>
      </c>
      <c r="F26" s="1">
        <v>48.262</v>
      </c>
      <c r="G26" s="7">
        <v>1</v>
      </c>
      <c r="H26" s="1"/>
      <c r="I26" s="1" t="s">
        <v>82</v>
      </c>
      <c r="J26" s="1"/>
      <c r="K26" s="1">
        <v>66.2</v>
      </c>
      <c r="L26" s="1">
        <f t="shared" si="2"/>
        <v>-1.7870000000000061</v>
      </c>
      <c r="M26" s="1">
        <f t="shared" si="3"/>
        <v>64.412999999999997</v>
      </c>
      <c r="N26" s="1"/>
      <c r="O26" s="1"/>
      <c r="P26" s="1"/>
      <c r="Q26" s="1">
        <v>0</v>
      </c>
      <c r="R26" s="1"/>
      <c r="S26" s="1">
        <f t="shared" si="4"/>
        <v>12.8826</v>
      </c>
      <c r="T26" s="5">
        <f>10*S26-R26-Q26-P26-F26-O26</f>
        <v>80.563999999999993</v>
      </c>
      <c r="U26" s="1">
        <f t="shared" si="5"/>
        <v>10</v>
      </c>
      <c r="V26" s="1">
        <f t="shared" si="6"/>
        <v>3.746293450079953</v>
      </c>
      <c r="W26" s="1">
        <v>1.8428</v>
      </c>
      <c r="X26" s="1">
        <v>1.2907999999999999</v>
      </c>
      <c r="Y26" s="1">
        <v>8.7688000000000006</v>
      </c>
      <c r="Z26" s="1">
        <v>8.7688000000000006</v>
      </c>
      <c r="AA26" s="1">
        <v>0.80719999999999992</v>
      </c>
      <c r="AB26" s="1">
        <v>9.4638000000000009</v>
      </c>
      <c r="AC26" s="1">
        <v>4.7930000000000001</v>
      </c>
      <c r="AD26" s="1">
        <v>6.9644000000000004</v>
      </c>
      <c r="AE26" s="1"/>
      <c r="AF26" s="1">
        <f t="shared" si="9"/>
        <v>80.563999999999993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83</v>
      </c>
      <c r="B27" s="1" t="s">
        <v>35</v>
      </c>
      <c r="C27" s="1">
        <v>-652.04</v>
      </c>
      <c r="D27" s="1">
        <v>17506.420999999998</v>
      </c>
      <c r="E27" s="1">
        <v>5561.973</v>
      </c>
      <c r="F27" s="1">
        <v>11226.41</v>
      </c>
      <c r="G27" s="7">
        <v>1</v>
      </c>
      <c r="H27" s="1"/>
      <c r="I27" s="1" t="s">
        <v>84</v>
      </c>
      <c r="J27" s="1"/>
      <c r="K27" s="1">
        <v>5222.6000000000004</v>
      </c>
      <c r="L27" s="1">
        <f t="shared" si="2"/>
        <v>339.37299999999959</v>
      </c>
      <c r="M27" s="1">
        <f t="shared" si="3"/>
        <v>5561.973</v>
      </c>
      <c r="N27" s="1"/>
      <c r="O27" s="1"/>
      <c r="P27" s="1">
        <v>1674.1929935442281</v>
      </c>
      <c r="Q27" s="1">
        <v>0</v>
      </c>
      <c r="R27" s="1"/>
      <c r="S27" s="1">
        <f t="shared" si="4"/>
        <v>1112.3946000000001</v>
      </c>
      <c r="T27" s="5"/>
      <c r="U27" s="1">
        <f t="shared" si="5"/>
        <v>11.597146366535963</v>
      </c>
      <c r="V27" s="1">
        <f t="shared" si="6"/>
        <v>11.597146366535963</v>
      </c>
      <c r="W27" s="1">
        <v>1252.3152</v>
      </c>
      <c r="X27" s="1">
        <v>1806.3748000000001</v>
      </c>
      <c r="Y27" s="1">
        <v>1535.5788</v>
      </c>
      <c r="Z27" s="1">
        <v>1474.7154</v>
      </c>
      <c r="AA27" s="1">
        <v>0</v>
      </c>
      <c r="AB27" s="1">
        <v>1578.2021999999999</v>
      </c>
      <c r="AC27" s="1">
        <v>1492.6122</v>
      </c>
      <c r="AD27" s="1">
        <v>1763.4842000000001</v>
      </c>
      <c r="AE27" s="1"/>
      <c r="AF27" s="1">
        <f t="shared" si="9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85</v>
      </c>
      <c r="B28" s="1" t="s">
        <v>42</v>
      </c>
      <c r="C28" s="1">
        <v>4718</v>
      </c>
      <c r="D28" s="1">
        <v>5208</v>
      </c>
      <c r="E28" s="1">
        <v>4375</v>
      </c>
      <c r="F28" s="1">
        <v>4615</v>
      </c>
      <c r="G28" s="7">
        <v>0.4</v>
      </c>
      <c r="H28" s="1"/>
      <c r="I28" s="1" t="s">
        <v>86</v>
      </c>
      <c r="J28" s="1"/>
      <c r="K28" s="1">
        <v>4547</v>
      </c>
      <c r="L28" s="1">
        <f t="shared" si="2"/>
        <v>-172</v>
      </c>
      <c r="M28" s="1">
        <f t="shared" si="3"/>
        <v>3973</v>
      </c>
      <c r="N28" s="1">
        <v>402</v>
      </c>
      <c r="O28" s="1"/>
      <c r="P28" s="1">
        <v>237.80570799180001</v>
      </c>
      <c r="Q28" s="1">
        <v>1007.6789559600001</v>
      </c>
      <c r="R28" s="1">
        <v>1500</v>
      </c>
      <c r="S28" s="1">
        <f t="shared" si="4"/>
        <v>794.6</v>
      </c>
      <c r="T28" s="5">
        <f t="shared" si="10"/>
        <v>1380.1153360482003</v>
      </c>
      <c r="U28" s="1">
        <f t="shared" si="5"/>
        <v>11</v>
      </c>
      <c r="V28" s="1">
        <f t="shared" si="6"/>
        <v>9.2631319707422595</v>
      </c>
      <c r="W28" s="1">
        <v>770.4</v>
      </c>
      <c r="X28" s="1">
        <v>777.8</v>
      </c>
      <c r="Y28" s="1">
        <v>836.4</v>
      </c>
      <c r="Z28" s="1">
        <v>934.6</v>
      </c>
      <c r="AA28" s="1">
        <v>824.4</v>
      </c>
      <c r="AB28" s="1">
        <v>789</v>
      </c>
      <c r="AC28" s="1">
        <v>1397.2</v>
      </c>
      <c r="AD28" s="1">
        <v>1094.4000000000001</v>
      </c>
      <c r="AE28" s="1"/>
      <c r="AF28" s="1">
        <f t="shared" si="9"/>
        <v>552.04613441928018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87</v>
      </c>
      <c r="B29" s="1" t="s">
        <v>42</v>
      </c>
      <c r="C29" s="1">
        <v>400</v>
      </c>
      <c r="D29" s="1">
        <v>1301</v>
      </c>
      <c r="E29" s="1">
        <v>1424</v>
      </c>
      <c r="F29" s="1">
        <v>276</v>
      </c>
      <c r="G29" s="7">
        <v>0.45</v>
      </c>
      <c r="H29" s="1"/>
      <c r="I29" s="21" t="s">
        <v>257</v>
      </c>
      <c r="J29" s="1"/>
      <c r="K29" s="1">
        <v>2157</v>
      </c>
      <c r="L29" s="1">
        <f t="shared" si="2"/>
        <v>-733</v>
      </c>
      <c r="M29" s="1">
        <f t="shared" si="3"/>
        <v>1424</v>
      </c>
      <c r="N29" s="1"/>
      <c r="O29" s="1"/>
      <c r="P29" s="1"/>
      <c r="Q29" s="1">
        <v>600</v>
      </c>
      <c r="R29" s="1"/>
      <c r="S29" s="1">
        <f t="shared" si="4"/>
        <v>284.8</v>
      </c>
      <c r="T29" s="5">
        <v>700</v>
      </c>
      <c r="U29" s="1">
        <f t="shared" si="5"/>
        <v>5.5337078651685392</v>
      </c>
      <c r="V29" s="1">
        <f t="shared" si="6"/>
        <v>3.0758426966292132</v>
      </c>
      <c r="W29" s="1">
        <v>208.4</v>
      </c>
      <c r="X29" s="1">
        <v>87.4</v>
      </c>
      <c r="Y29" s="1">
        <v>111.2</v>
      </c>
      <c r="Z29" s="1">
        <v>94.2</v>
      </c>
      <c r="AA29" s="1">
        <v>166</v>
      </c>
      <c r="AB29" s="1">
        <v>120.8</v>
      </c>
      <c r="AC29" s="1">
        <v>153.6</v>
      </c>
      <c r="AD29" s="1">
        <v>89.2</v>
      </c>
      <c r="AE29" s="1" t="s">
        <v>88</v>
      </c>
      <c r="AF29" s="1">
        <f t="shared" si="9"/>
        <v>315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89</v>
      </c>
      <c r="B30" s="1" t="s">
        <v>42</v>
      </c>
      <c r="C30" s="1">
        <v>817</v>
      </c>
      <c r="D30" s="1">
        <v>1562</v>
      </c>
      <c r="E30" s="1">
        <v>945</v>
      </c>
      <c r="F30" s="1">
        <v>1393</v>
      </c>
      <c r="G30" s="7">
        <v>0.4</v>
      </c>
      <c r="H30" s="1"/>
      <c r="I30" s="1" t="s">
        <v>90</v>
      </c>
      <c r="J30" s="1"/>
      <c r="K30" s="1">
        <v>1012</v>
      </c>
      <c r="L30" s="1">
        <f t="shared" si="2"/>
        <v>-67</v>
      </c>
      <c r="M30" s="1">
        <f t="shared" si="3"/>
        <v>825</v>
      </c>
      <c r="N30" s="1">
        <v>120</v>
      </c>
      <c r="O30" s="1"/>
      <c r="P30" s="1">
        <v>113.39193621599991</v>
      </c>
      <c r="Q30" s="1">
        <v>211.6205552000001</v>
      </c>
      <c r="R30" s="1"/>
      <c r="S30" s="1">
        <f t="shared" si="4"/>
        <v>165</v>
      </c>
      <c r="T30" s="5">
        <f t="shared" si="10"/>
        <v>96.987508583999897</v>
      </c>
      <c r="U30" s="1">
        <f t="shared" si="5"/>
        <v>11</v>
      </c>
      <c r="V30" s="1">
        <f t="shared" si="6"/>
        <v>10.412196917672729</v>
      </c>
      <c r="W30" s="1">
        <v>174</v>
      </c>
      <c r="X30" s="1">
        <v>215.2</v>
      </c>
      <c r="Y30" s="1">
        <v>201.2</v>
      </c>
      <c r="Z30" s="1">
        <v>198.2</v>
      </c>
      <c r="AA30" s="1">
        <v>204.4</v>
      </c>
      <c r="AB30" s="1">
        <v>183.2</v>
      </c>
      <c r="AC30" s="1">
        <v>200.6</v>
      </c>
      <c r="AD30" s="1">
        <v>219</v>
      </c>
      <c r="AE30" s="1"/>
      <c r="AF30" s="1">
        <f t="shared" si="9"/>
        <v>38.795003433599959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91</v>
      </c>
      <c r="B31" s="1" t="s">
        <v>42</v>
      </c>
      <c r="C31" s="1">
        <v>284</v>
      </c>
      <c r="D31" s="1">
        <v>562</v>
      </c>
      <c r="E31" s="1">
        <v>680</v>
      </c>
      <c r="F31" s="1">
        <v>155</v>
      </c>
      <c r="G31" s="7">
        <v>0.4</v>
      </c>
      <c r="H31" s="1"/>
      <c r="I31" s="1" t="s">
        <v>92</v>
      </c>
      <c r="J31" s="1"/>
      <c r="K31" s="1">
        <v>729</v>
      </c>
      <c r="L31" s="1">
        <f t="shared" si="2"/>
        <v>-49</v>
      </c>
      <c r="M31" s="1">
        <f t="shared" si="3"/>
        <v>680</v>
      </c>
      <c r="N31" s="1"/>
      <c r="O31" s="1"/>
      <c r="P31" s="1"/>
      <c r="Q31" s="1">
        <v>298.89097599999991</v>
      </c>
      <c r="R31" s="1">
        <v>400</v>
      </c>
      <c r="S31" s="1">
        <f t="shared" si="4"/>
        <v>136</v>
      </c>
      <c r="T31" s="5">
        <f t="shared" si="10"/>
        <v>642.10902400000009</v>
      </c>
      <c r="U31" s="1">
        <f t="shared" si="5"/>
        <v>11</v>
      </c>
      <c r="V31" s="1">
        <f t="shared" si="6"/>
        <v>6.2786101176470579</v>
      </c>
      <c r="W31" s="1">
        <v>101.6</v>
      </c>
      <c r="X31" s="1">
        <v>63.2</v>
      </c>
      <c r="Y31" s="1">
        <v>73.2</v>
      </c>
      <c r="Z31" s="1">
        <v>81.8</v>
      </c>
      <c r="AA31" s="1">
        <v>99.388999999999996</v>
      </c>
      <c r="AB31" s="1">
        <v>77.164000000000001</v>
      </c>
      <c r="AC31" s="1">
        <v>80.400000000000006</v>
      </c>
      <c r="AD31" s="1">
        <v>65.2</v>
      </c>
      <c r="AE31" s="1"/>
      <c r="AF31" s="1">
        <f t="shared" si="9"/>
        <v>256.84360960000004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93</v>
      </c>
      <c r="B32" s="1" t="s">
        <v>42</v>
      </c>
      <c r="C32" s="1">
        <v>-23</v>
      </c>
      <c r="D32" s="1">
        <v>576</v>
      </c>
      <c r="E32" s="1">
        <v>195</v>
      </c>
      <c r="F32" s="1">
        <v>341</v>
      </c>
      <c r="G32" s="7">
        <v>0.1</v>
      </c>
      <c r="H32" s="1"/>
      <c r="I32" s="1" t="s">
        <v>94</v>
      </c>
      <c r="J32" s="1"/>
      <c r="K32" s="1">
        <v>195</v>
      </c>
      <c r="L32" s="1">
        <f t="shared" si="2"/>
        <v>0</v>
      </c>
      <c r="M32" s="1">
        <f t="shared" si="3"/>
        <v>195</v>
      </c>
      <c r="N32" s="1"/>
      <c r="O32" s="1"/>
      <c r="P32" s="1"/>
      <c r="Q32" s="1">
        <v>128.0721580000002</v>
      </c>
      <c r="R32" s="1"/>
      <c r="S32" s="1">
        <f t="shared" si="4"/>
        <v>39</v>
      </c>
      <c r="T32" s="5"/>
      <c r="U32" s="1">
        <f t="shared" si="5"/>
        <v>12.027491230769234</v>
      </c>
      <c r="V32" s="1">
        <f t="shared" si="6"/>
        <v>12.027491230769234</v>
      </c>
      <c r="W32" s="1">
        <v>48.2</v>
      </c>
      <c r="X32" s="1">
        <v>46.8</v>
      </c>
      <c r="Y32" s="1">
        <v>41.2</v>
      </c>
      <c r="Z32" s="1">
        <v>42.4</v>
      </c>
      <c r="AA32" s="1">
        <v>33.200000000000003</v>
      </c>
      <c r="AB32" s="1">
        <v>46.8</v>
      </c>
      <c r="AC32" s="1">
        <v>35.6</v>
      </c>
      <c r="AD32" s="1">
        <v>38</v>
      </c>
      <c r="AE32" s="1"/>
      <c r="AF32" s="1">
        <f t="shared" si="9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95</v>
      </c>
      <c r="B33" s="1" t="s">
        <v>42</v>
      </c>
      <c r="C33" s="1">
        <v>189</v>
      </c>
      <c r="D33" s="1">
        <v>1</v>
      </c>
      <c r="E33" s="1">
        <v>82</v>
      </c>
      <c r="F33" s="1">
        <v>101</v>
      </c>
      <c r="G33" s="7">
        <v>0.35</v>
      </c>
      <c r="H33" s="1"/>
      <c r="I33" s="1" t="s">
        <v>96</v>
      </c>
      <c r="J33" s="1"/>
      <c r="K33" s="1">
        <v>132</v>
      </c>
      <c r="L33" s="1">
        <f t="shared" si="2"/>
        <v>-50</v>
      </c>
      <c r="M33" s="1">
        <f t="shared" si="3"/>
        <v>82</v>
      </c>
      <c r="N33" s="1"/>
      <c r="O33" s="1"/>
      <c r="P33" s="1"/>
      <c r="Q33" s="1">
        <v>75.799999999999983</v>
      </c>
      <c r="R33" s="1"/>
      <c r="S33" s="1">
        <f t="shared" si="4"/>
        <v>16.399999999999999</v>
      </c>
      <c r="T33" s="5">
        <v>8</v>
      </c>
      <c r="U33" s="1">
        <f t="shared" si="5"/>
        <v>11.268292682926829</v>
      </c>
      <c r="V33" s="1">
        <f t="shared" si="6"/>
        <v>10.780487804878049</v>
      </c>
      <c r="W33" s="1">
        <v>18.399999999999999</v>
      </c>
      <c r="X33" s="1">
        <v>15.6</v>
      </c>
      <c r="Y33" s="1">
        <v>17.2</v>
      </c>
      <c r="Z33" s="1">
        <v>15</v>
      </c>
      <c r="AA33" s="1">
        <v>18</v>
      </c>
      <c r="AB33" s="1">
        <v>26</v>
      </c>
      <c r="AC33" s="1">
        <v>14.8</v>
      </c>
      <c r="AD33" s="1">
        <v>31.6</v>
      </c>
      <c r="AE33" s="1"/>
      <c r="AF33" s="1">
        <f t="shared" si="9"/>
        <v>2.8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97</v>
      </c>
      <c r="B34" s="1" t="s">
        <v>35</v>
      </c>
      <c r="C34" s="1">
        <v>8.6620000000000008</v>
      </c>
      <c r="D34" s="1">
        <v>34.531999999999996</v>
      </c>
      <c r="E34" s="1">
        <v>10.291</v>
      </c>
      <c r="F34" s="1">
        <v>30.911999999999999</v>
      </c>
      <c r="G34" s="7">
        <v>1</v>
      </c>
      <c r="H34" s="1"/>
      <c r="I34" s="1" t="s">
        <v>98</v>
      </c>
      <c r="J34" s="1"/>
      <c r="K34" s="1">
        <v>19.5</v>
      </c>
      <c r="L34" s="1">
        <f t="shared" si="2"/>
        <v>-9.2089999999999996</v>
      </c>
      <c r="M34" s="1">
        <f t="shared" si="3"/>
        <v>10.291</v>
      </c>
      <c r="N34" s="1"/>
      <c r="O34" s="1"/>
      <c r="P34" s="1"/>
      <c r="Q34" s="1">
        <v>0</v>
      </c>
      <c r="R34" s="1"/>
      <c r="S34" s="1">
        <f t="shared" si="4"/>
        <v>2.0582000000000003</v>
      </c>
      <c r="T34" s="5"/>
      <c r="U34" s="1">
        <f t="shared" si="5"/>
        <v>15.018948595860458</v>
      </c>
      <c r="V34" s="1">
        <f t="shared" si="6"/>
        <v>15.018948595860458</v>
      </c>
      <c r="W34" s="1">
        <v>2.5327999999999999</v>
      </c>
      <c r="X34" s="1">
        <v>3.35</v>
      </c>
      <c r="Y34" s="1">
        <v>4.3372000000000002</v>
      </c>
      <c r="Z34" s="1">
        <v>4.6543999999999999</v>
      </c>
      <c r="AA34" s="1">
        <v>4.8607999999999993</v>
      </c>
      <c r="AB34" s="1">
        <v>7.4049999999999994</v>
      </c>
      <c r="AC34" s="1">
        <v>4.3841999999999999</v>
      </c>
      <c r="AD34" s="1">
        <v>2.9196</v>
      </c>
      <c r="AE34" s="1"/>
      <c r="AF34" s="1">
        <f t="shared" si="9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99</v>
      </c>
      <c r="B35" s="1" t="s">
        <v>42</v>
      </c>
      <c r="C35" s="1">
        <v>351</v>
      </c>
      <c r="D35" s="1">
        <v>72</v>
      </c>
      <c r="E35" s="1">
        <v>399</v>
      </c>
      <c r="F35" s="1">
        <v>-2</v>
      </c>
      <c r="G35" s="7">
        <v>0.4</v>
      </c>
      <c r="H35" s="1"/>
      <c r="I35" s="1" t="s">
        <v>100</v>
      </c>
      <c r="J35" s="1"/>
      <c r="K35" s="1">
        <v>480</v>
      </c>
      <c r="L35" s="1">
        <f t="shared" si="2"/>
        <v>-81</v>
      </c>
      <c r="M35" s="1">
        <f t="shared" si="3"/>
        <v>327</v>
      </c>
      <c r="N35" s="1">
        <v>72</v>
      </c>
      <c r="O35" s="1"/>
      <c r="P35" s="1">
        <v>73.277999999999992</v>
      </c>
      <c r="Q35" s="1">
        <v>300.8</v>
      </c>
      <c r="R35" s="1">
        <v>300</v>
      </c>
      <c r="S35" s="1">
        <f t="shared" si="4"/>
        <v>65.400000000000006</v>
      </c>
      <c r="T35" s="5">
        <f t="shared" si="10"/>
        <v>47.322000000000088</v>
      </c>
      <c r="U35" s="1">
        <f t="shared" si="5"/>
        <v>11</v>
      </c>
      <c r="V35" s="1">
        <f t="shared" si="6"/>
        <v>10.276422018348622</v>
      </c>
      <c r="W35" s="1">
        <v>80.2</v>
      </c>
      <c r="X35" s="1">
        <v>44.4</v>
      </c>
      <c r="Y35" s="1">
        <v>31.2</v>
      </c>
      <c r="Z35" s="1">
        <v>40.4</v>
      </c>
      <c r="AA35" s="1">
        <v>42.6</v>
      </c>
      <c r="AB35" s="1">
        <v>61.4</v>
      </c>
      <c r="AC35" s="1">
        <v>48</v>
      </c>
      <c r="AD35" s="1">
        <v>66.599999999999994</v>
      </c>
      <c r="AE35" s="1"/>
      <c r="AF35" s="1">
        <f t="shared" si="9"/>
        <v>18.928800000000034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101</v>
      </c>
      <c r="B36" s="1" t="s">
        <v>42</v>
      </c>
      <c r="C36" s="1">
        <v>2</v>
      </c>
      <c r="D36" s="1">
        <v>600</v>
      </c>
      <c r="E36" s="1">
        <v>210</v>
      </c>
      <c r="F36" s="1">
        <v>391</v>
      </c>
      <c r="G36" s="7">
        <v>0.4</v>
      </c>
      <c r="H36" s="1"/>
      <c r="I36" s="1" t="s">
        <v>102</v>
      </c>
      <c r="J36" s="1"/>
      <c r="K36" s="1">
        <v>236</v>
      </c>
      <c r="L36" s="1">
        <f t="shared" si="2"/>
        <v>-26</v>
      </c>
      <c r="M36" s="1">
        <f t="shared" si="3"/>
        <v>210</v>
      </c>
      <c r="N36" s="1"/>
      <c r="O36" s="1"/>
      <c r="P36" s="1"/>
      <c r="Q36" s="1">
        <v>0</v>
      </c>
      <c r="R36" s="1"/>
      <c r="S36" s="1">
        <f t="shared" si="4"/>
        <v>42</v>
      </c>
      <c r="T36" s="5">
        <f t="shared" si="10"/>
        <v>71</v>
      </c>
      <c r="U36" s="1">
        <f t="shared" si="5"/>
        <v>11</v>
      </c>
      <c r="V36" s="1">
        <f t="shared" si="6"/>
        <v>9.3095238095238102</v>
      </c>
      <c r="W36" s="1">
        <v>27.6</v>
      </c>
      <c r="X36" s="1">
        <v>34.799999999999997</v>
      </c>
      <c r="Y36" s="1">
        <v>54.8</v>
      </c>
      <c r="Z36" s="1">
        <v>53.6</v>
      </c>
      <c r="AA36" s="1">
        <v>29.8</v>
      </c>
      <c r="AB36" s="1">
        <v>41.8</v>
      </c>
      <c r="AC36" s="1">
        <v>40.200000000000003</v>
      </c>
      <c r="AD36" s="1">
        <v>41.6</v>
      </c>
      <c r="AE36" s="1"/>
      <c r="AF36" s="1">
        <f t="shared" si="9"/>
        <v>28.400000000000002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103</v>
      </c>
      <c r="B37" s="1" t="s">
        <v>35</v>
      </c>
      <c r="C37" s="1">
        <v>26.263999999999999</v>
      </c>
      <c r="D37" s="1">
        <v>17.373000000000001</v>
      </c>
      <c r="E37" s="1">
        <v>30.532</v>
      </c>
      <c r="F37" s="1">
        <v>12.298</v>
      </c>
      <c r="G37" s="7">
        <v>1</v>
      </c>
      <c r="H37" s="1"/>
      <c r="I37" s="1" t="s">
        <v>104</v>
      </c>
      <c r="J37" s="1"/>
      <c r="K37" s="1">
        <v>38.200000000000003</v>
      </c>
      <c r="L37" s="1">
        <f t="shared" si="2"/>
        <v>-7.6680000000000028</v>
      </c>
      <c r="M37" s="1">
        <f t="shared" si="3"/>
        <v>30.532</v>
      </c>
      <c r="N37" s="1"/>
      <c r="O37" s="1"/>
      <c r="P37" s="1"/>
      <c r="Q37" s="1">
        <v>42.848400000000012</v>
      </c>
      <c r="R37" s="1"/>
      <c r="S37" s="1">
        <f t="shared" si="4"/>
        <v>6.1063999999999998</v>
      </c>
      <c r="T37" s="5">
        <f t="shared" si="10"/>
        <v>12.023999999999988</v>
      </c>
      <c r="U37" s="1">
        <f t="shared" si="5"/>
        <v>11</v>
      </c>
      <c r="V37" s="1">
        <f t="shared" si="6"/>
        <v>9.0309183807153168</v>
      </c>
      <c r="W37" s="1">
        <v>6.3879999999999999</v>
      </c>
      <c r="X37" s="1">
        <v>3.4708000000000001</v>
      </c>
      <c r="Y37" s="1">
        <v>4.7606000000000002</v>
      </c>
      <c r="Z37" s="1">
        <v>6.7906000000000004</v>
      </c>
      <c r="AA37" s="1">
        <v>12.0244</v>
      </c>
      <c r="AB37" s="1">
        <v>9.3468</v>
      </c>
      <c r="AC37" s="1">
        <v>10.954800000000001</v>
      </c>
      <c r="AD37" s="1">
        <v>7.3952</v>
      </c>
      <c r="AE37" s="1"/>
      <c r="AF37" s="1">
        <f t="shared" si="9"/>
        <v>12.023999999999988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105</v>
      </c>
      <c r="B38" s="1" t="s">
        <v>42</v>
      </c>
      <c r="C38" s="1">
        <v>167</v>
      </c>
      <c r="D38" s="1">
        <v>3826</v>
      </c>
      <c r="E38" s="1">
        <v>2331</v>
      </c>
      <c r="F38" s="1">
        <v>1645</v>
      </c>
      <c r="G38" s="7">
        <v>0.35</v>
      </c>
      <c r="H38" s="1"/>
      <c r="I38" s="21" t="s">
        <v>258</v>
      </c>
      <c r="J38" s="1"/>
      <c r="K38" s="1">
        <v>2357</v>
      </c>
      <c r="L38" s="1">
        <f t="shared" ref="L38:L69" si="11">E38-K38</f>
        <v>-26</v>
      </c>
      <c r="M38" s="1">
        <f>E38-N38</f>
        <v>2331</v>
      </c>
      <c r="N38" s="1"/>
      <c r="O38" s="1"/>
      <c r="P38" s="1"/>
      <c r="Q38" s="1">
        <v>500</v>
      </c>
      <c r="R38" s="1"/>
      <c r="S38" s="1">
        <f>M38/5</f>
        <v>466.2</v>
      </c>
      <c r="T38" s="5"/>
      <c r="U38" s="1">
        <f t="shared" ref="U38:U69" si="12">(F38+O38+P38+Q38+R38+T38)/S38</f>
        <v>4.6010296010296008</v>
      </c>
      <c r="V38" s="1">
        <f t="shared" ref="V38:V69" si="13">(F38+O38+P38+Q38+R38)/S38</f>
        <v>4.6010296010296008</v>
      </c>
      <c r="W38" s="1">
        <v>465.2</v>
      </c>
      <c r="X38" s="1">
        <v>121.2</v>
      </c>
      <c r="Y38" s="1">
        <v>128.6</v>
      </c>
      <c r="Z38" s="1">
        <v>118</v>
      </c>
      <c r="AA38" s="1">
        <v>217.4</v>
      </c>
      <c r="AB38" s="1">
        <v>150.19999999999999</v>
      </c>
      <c r="AC38" s="1">
        <v>101.4</v>
      </c>
      <c r="AD38" s="1">
        <v>112.2</v>
      </c>
      <c r="AE38" s="1" t="s">
        <v>106</v>
      </c>
      <c r="AF38" s="1">
        <f>G38*T38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107</v>
      </c>
      <c r="B39" s="1" t="s">
        <v>42</v>
      </c>
      <c r="C39" s="1">
        <v>186</v>
      </c>
      <c r="D39" s="1">
        <v>614</v>
      </c>
      <c r="E39" s="1">
        <v>477</v>
      </c>
      <c r="F39" s="1">
        <v>314</v>
      </c>
      <c r="G39" s="7">
        <v>0.4</v>
      </c>
      <c r="H39" s="1"/>
      <c r="I39" s="1" t="s">
        <v>108</v>
      </c>
      <c r="J39" s="1"/>
      <c r="K39" s="1">
        <v>502</v>
      </c>
      <c r="L39" s="1">
        <f t="shared" si="11"/>
        <v>-25</v>
      </c>
      <c r="M39" s="1">
        <f t="shared" ref="M38:M69" si="14">E39-N39</f>
        <v>477</v>
      </c>
      <c r="N39" s="1"/>
      <c r="O39" s="1"/>
      <c r="P39" s="1"/>
      <c r="Q39" s="1">
        <v>234.27353800000029</v>
      </c>
      <c r="R39" s="1">
        <v>200</v>
      </c>
      <c r="S39" s="1">
        <f t="shared" ref="S38:S69" si="15">M39/5</f>
        <v>95.4</v>
      </c>
      <c r="T39" s="5">
        <f t="shared" si="10"/>
        <v>301.12646199999983</v>
      </c>
      <c r="U39" s="1">
        <f t="shared" si="12"/>
        <v>11</v>
      </c>
      <c r="V39" s="1">
        <f t="shared" si="13"/>
        <v>7.8435381341719097</v>
      </c>
      <c r="W39" s="1">
        <v>87.2</v>
      </c>
      <c r="X39" s="1">
        <v>75.599999999999994</v>
      </c>
      <c r="Y39" s="1">
        <v>88.2</v>
      </c>
      <c r="Z39" s="1">
        <v>91.4</v>
      </c>
      <c r="AA39" s="1">
        <v>81.599999999999994</v>
      </c>
      <c r="AB39" s="1">
        <v>86.4</v>
      </c>
      <c r="AC39" s="1">
        <v>80.2</v>
      </c>
      <c r="AD39" s="1">
        <v>81.599999999999994</v>
      </c>
      <c r="AE39" s="1"/>
      <c r="AF39" s="1">
        <f t="shared" si="9"/>
        <v>120.45058479999994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109</v>
      </c>
      <c r="B40" s="1" t="s">
        <v>35</v>
      </c>
      <c r="C40" s="1">
        <v>123.842</v>
      </c>
      <c r="D40" s="1">
        <v>207.98099999999999</v>
      </c>
      <c r="E40" s="1">
        <v>131.715</v>
      </c>
      <c r="F40" s="1">
        <v>144.15899999999999</v>
      </c>
      <c r="G40" s="7">
        <v>1</v>
      </c>
      <c r="H40" s="1"/>
      <c r="I40" s="1" t="s">
        <v>110</v>
      </c>
      <c r="J40" s="1"/>
      <c r="K40" s="1">
        <v>151.142</v>
      </c>
      <c r="L40" s="1">
        <f t="shared" si="11"/>
        <v>-19.426999999999992</v>
      </c>
      <c r="M40" s="1">
        <f t="shared" si="14"/>
        <v>131.715</v>
      </c>
      <c r="N40" s="1"/>
      <c r="O40" s="1"/>
      <c r="P40" s="1"/>
      <c r="Q40" s="1">
        <v>30.15280000000001</v>
      </c>
      <c r="R40" s="1"/>
      <c r="S40" s="1">
        <f t="shared" si="15"/>
        <v>26.343</v>
      </c>
      <c r="T40" s="5">
        <f t="shared" si="10"/>
        <v>115.46120000000002</v>
      </c>
      <c r="U40" s="1">
        <f t="shared" si="12"/>
        <v>11.000000000000002</v>
      </c>
      <c r="V40" s="1">
        <f t="shared" si="13"/>
        <v>6.6170064153665109</v>
      </c>
      <c r="W40" s="1">
        <v>19.9468</v>
      </c>
      <c r="X40" s="1">
        <v>21.797999999999998</v>
      </c>
      <c r="Y40" s="1">
        <v>22.839600000000001</v>
      </c>
      <c r="Z40" s="1">
        <v>22.878599999999999</v>
      </c>
      <c r="AA40" s="1">
        <v>16.0274</v>
      </c>
      <c r="AB40" s="1">
        <v>26.979399999999998</v>
      </c>
      <c r="AC40" s="1">
        <v>44.077399999999997</v>
      </c>
      <c r="AD40" s="1">
        <v>26.501999999999999</v>
      </c>
      <c r="AE40" s="1"/>
      <c r="AF40" s="1">
        <f t="shared" si="9"/>
        <v>115.46120000000002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111</v>
      </c>
      <c r="B41" s="1" t="s">
        <v>35</v>
      </c>
      <c r="C41" s="1">
        <v>-20.893999999999998</v>
      </c>
      <c r="D41" s="1">
        <v>1383.223</v>
      </c>
      <c r="E41" s="1">
        <v>287.61099999999999</v>
      </c>
      <c r="F41" s="1">
        <v>912.83299999999997</v>
      </c>
      <c r="G41" s="7">
        <v>1</v>
      </c>
      <c r="H41" s="1"/>
      <c r="I41" s="1" t="s">
        <v>112</v>
      </c>
      <c r="J41" s="1"/>
      <c r="K41" s="1">
        <v>313.5</v>
      </c>
      <c r="L41" s="1">
        <f t="shared" si="11"/>
        <v>-25.88900000000001</v>
      </c>
      <c r="M41" s="1">
        <f t="shared" si="14"/>
        <v>287.61099999999999</v>
      </c>
      <c r="N41" s="1"/>
      <c r="O41" s="1"/>
      <c r="P41" s="1">
        <v>171.6293899849075</v>
      </c>
      <c r="Q41" s="1">
        <v>56.92425767827956</v>
      </c>
      <c r="R41" s="1"/>
      <c r="S41" s="1">
        <f t="shared" si="15"/>
        <v>57.522199999999998</v>
      </c>
      <c r="T41" s="5"/>
      <c r="U41" s="1">
        <f t="shared" si="12"/>
        <v>19.842541621551106</v>
      </c>
      <c r="V41" s="1">
        <f t="shared" si="13"/>
        <v>19.842541621551106</v>
      </c>
      <c r="W41" s="1">
        <v>111.0634</v>
      </c>
      <c r="X41" s="1">
        <v>151.00360000000001</v>
      </c>
      <c r="Y41" s="1">
        <v>105.7694</v>
      </c>
      <c r="Z41" s="1">
        <v>88.509799999999998</v>
      </c>
      <c r="AA41" s="1">
        <v>72.198800000000006</v>
      </c>
      <c r="AB41" s="1">
        <v>79.126999999999995</v>
      </c>
      <c r="AC41" s="1">
        <v>104.3784</v>
      </c>
      <c r="AD41" s="1">
        <v>89.689599999999999</v>
      </c>
      <c r="AE41" s="1"/>
      <c r="AF41" s="1">
        <f t="shared" si="9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113</v>
      </c>
      <c r="B42" s="1" t="s">
        <v>42</v>
      </c>
      <c r="C42" s="1">
        <v>461</v>
      </c>
      <c r="D42" s="1">
        <v>292</v>
      </c>
      <c r="E42" s="1">
        <v>510</v>
      </c>
      <c r="F42" s="1">
        <v>241</v>
      </c>
      <c r="G42" s="7">
        <v>0.45</v>
      </c>
      <c r="H42" s="1"/>
      <c r="I42" s="1" t="s">
        <v>114</v>
      </c>
      <c r="J42" s="1"/>
      <c r="K42" s="1">
        <v>524</v>
      </c>
      <c r="L42" s="1">
        <f t="shared" si="11"/>
        <v>-14</v>
      </c>
      <c r="M42" s="1">
        <f t="shared" si="14"/>
        <v>510</v>
      </c>
      <c r="N42" s="1"/>
      <c r="O42" s="1"/>
      <c r="P42" s="1">
        <v>117.6977607</v>
      </c>
      <c r="Q42" s="1">
        <v>250.62453999999991</v>
      </c>
      <c r="R42" s="1">
        <v>300</v>
      </c>
      <c r="S42" s="1">
        <f t="shared" si="15"/>
        <v>102</v>
      </c>
      <c r="T42" s="5">
        <f t="shared" si="10"/>
        <v>212.67769930000009</v>
      </c>
      <c r="U42" s="1">
        <f t="shared" si="12"/>
        <v>11</v>
      </c>
      <c r="V42" s="1">
        <f t="shared" si="13"/>
        <v>8.914924516666666</v>
      </c>
      <c r="W42" s="1">
        <v>99.8</v>
      </c>
      <c r="X42" s="1">
        <v>86.137</v>
      </c>
      <c r="Y42" s="1">
        <v>64.936999999999998</v>
      </c>
      <c r="Z42" s="1">
        <v>81.20320000000001</v>
      </c>
      <c r="AA42" s="1">
        <v>122.6</v>
      </c>
      <c r="AB42" s="1">
        <v>106.3646</v>
      </c>
      <c r="AC42" s="1">
        <v>74.2</v>
      </c>
      <c r="AD42" s="1">
        <v>95.6</v>
      </c>
      <c r="AE42" s="1"/>
      <c r="AF42" s="1">
        <f t="shared" si="9"/>
        <v>95.704964685000036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115</v>
      </c>
      <c r="B43" s="1" t="s">
        <v>42</v>
      </c>
      <c r="C43" s="1">
        <v>336</v>
      </c>
      <c r="D43" s="1">
        <v>592</v>
      </c>
      <c r="E43" s="1">
        <v>522</v>
      </c>
      <c r="F43" s="1">
        <v>405</v>
      </c>
      <c r="G43" s="7">
        <v>0.45</v>
      </c>
      <c r="H43" s="1"/>
      <c r="I43" s="1" t="s">
        <v>116</v>
      </c>
      <c r="J43" s="1"/>
      <c r="K43" s="1">
        <v>553</v>
      </c>
      <c r="L43" s="1">
        <f t="shared" si="11"/>
        <v>-31</v>
      </c>
      <c r="M43" s="1">
        <f t="shared" si="14"/>
        <v>522</v>
      </c>
      <c r="N43" s="1"/>
      <c r="O43" s="1"/>
      <c r="P43" s="1">
        <v>63.202073810000002</v>
      </c>
      <c r="Q43" s="1">
        <v>222.55568200000019</v>
      </c>
      <c r="R43" s="1">
        <v>200</v>
      </c>
      <c r="S43" s="1">
        <f t="shared" si="15"/>
        <v>104.4</v>
      </c>
      <c r="T43" s="5">
        <f t="shared" si="10"/>
        <v>257.64224418999993</v>
      </c>
      <c r="U43" s="1">
        <f t="shared" si="12"/>
        <v>11</v>
      </c>
      <c r="V43" s="1">
        <f t="shared" si="13"/>
        <v>8.5321624119731805</v>
      </c>
      <c r="W43" s="1">
        <v>96.4</v>
      </c>
      <c r="X43" s="1">
        <v>86</v>
      </c>
      <c r="Y43" s="1">
        <v>79.2</v>
      </c>
      <c r="Z43" s="1">
        <v>98.6</v>
      </c>
      <c r="AA43" s="1">
        <v>103</v>
      </c>
      <c r="AB43" s="1">
        <v>68.2</v>
      </c>
      <c r="AC43" s="1">
        <v>81.8</v>
      </c>
      <c r="AD43" s="1">
        <v>87.2</v>
      </c>
      <c r="AE43" s="1"/>
      <c r="AF43" s="1">
        <f t="shared" si="9"/>
        <v>115.93900988549997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117</v>
      </c>
      <c r="B44" s="1" t="s">
        <v>42</v>
      </c>
      <c r="C44" s="1">
        <v>52</v>
      </c>
      <c r="D44" s="1">
        <v>19</v>
      </c>
      <c r="E44" s="1">
        <v>61</v>
      </c>
      <c r="F44" s="1">
        <v>1</v>
      </c>
      <c r="G44" s="7">
        <v>0.4</v>
      </c>
      <c r="H44" s="1"/>
      <c r="I44" s="1" t="s">
        <v>118</v>
      </c>
      <c r="J44" s="1"/>
      <c r="K44" s="1">
        <v>93</v>
      </c>
      <c r="L44" s="1">
        <f t="shared" si="11"/>
        <v>-32</v>
      </c>
      <c r="M44" s="1">
        <f t="shared" si="14"/>
        <v>61</v>
      </c>
      <c r="N44" s="1"/>
      <c r="O44" s="1"/>
      <c r="P44" s="1"/>
      <c r="Q44" s="1">
        <v>92.600000000000009</v>
      </c>
      <c r="R44" s="1"/>
      <c r="S44" s="1">
        <f t="shared" si="15"/>
        <v>12.2</v>
      </c>
      <c r="T44" s="5">
        <f t="shared" si="10"/>
        <v>40.59999999999998</v>
      </c>
      <c r="U44" s="1">
        <f t="shared" si="12"/>
        <v>11</v>
      </c>
      <c r="V44" s="1">
        <f t="shared" si="13"/>
        <v>7.672131147540985</v>
      </c>
      <c r="W44" s="1">
        <v>12.4</v>
      </c>
      <c r="X44" s="1">
        <v>5</v>
      </c>
      <c r="Y44" s="1">
        <v>4.2</v>
      </c>
      <c r="Z44" s="1">
        <v>6.2</v>
      </c>
      <c r="AA44" s="1">
        <v>13.8</v>
      </c>
      <c r="AB44" s="1">
        <v>6</v>
      </c>
      <c r="AC44" s="1">
        <v>7.6</v>
      </c>
      <c r="AD44" s="1">
        <v>3.6</v>
      </c>
      <c r="AE44" s="1"/>
      <c r="AF44" s="1">
        <f t="shared" si="9"/>
        <v>16.239999999999991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119</v>
      </c>
      <c r="B45" s="1" t="s">
        <v>35</v>
      </c>
      <c r="C45" s="1">
        <v>30.754999999999999</v>
      </c>
      <c r="D45" s="1">
        <v>1055.462</v>
      </c>
      <c r="E45" s="1">
        <v>479.99799999999999</v>
      </c>
      <c r="F45" s="1">
        <v>562.44799999999998</v>
      </c>
      <c r="G45" s="7">
        <v>1</v>
      </c>
      <c r="H45" s="1"/>
      <c r="I45" s="1" t="s">
        <v>120</v>
      </c>
      <c r="J45" s="1"/>
      <c r="K45" s="1">
        <v>469</v>
      </c>
      <c r="L45" s="1">
        <f t="shared" si="11"/>
        <v>10.99799999999999</v>
      </c>
      <c r="M45" s="1">
        <f t="shared" si="14"/>
        <v>479.99799999999999</v>
      </c>
      <c r="N45" s="1"/>
      <c r="O45" s="1"/>
      <c r="P45" s="1">
        <v>72.496274195309951</v>
      </c>
      <c r="Q45" s="1">
        <v>266.52851798200032</v>
      </c>
      <c r="R45" s="1">
        <v>200</v>
      </c>
      <c r="S45" s="1">
        <f t="shared" si="15"/>
        <v>95.999600000000001</v>
      </c>
      <c r="T45" s="5"/>
      <c r="U45" s="1">
        <f t="shared" si="12"/>
        <v>11.473722725691673</v>
      </c>
      <c r="V45" s="1">
        <f t="shared" si="13"/>
        <v>11.473722725691673</v>
      </c>
      <c r="W45" s="1">
        <v>109.7628</v>
      </c>
      <c r="X45" s="1">
        <v>96.142200000000003</v>
      </c>
      <c r="Y45" s="1">
        <v>102.41540000000001</v>
      </c>
      <c r="Z45" s="1">
        <v>98.602599999999995</v>
      </c>
      <c r="AA45" s="1">
        <v>84.755600000000001</v>
      </c>
      <c r="AB45" s="1">
        <v>107.6558</v>
      </c>
      <c r="AC45" s="1">
        <v>104.7816</v>
      </c>
      <c r="AD45" s="1">
        <v>77.586399999999998</v>
      </c>
      <c r="AE45" s="1"/>
      <c r="AF45" s="1">
        <f t="shared" si="9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121</v>
      </c>
      <c r="B46" s="1" t="s">
        <v>42</v>
      </c>
      <c r="C46" s="1">
        <v>20</v>
      </c>
      <c r="D46" s="1">
        <v>450</v>
      </c>
      <c r="E46" s="1">
        <v>98</v>
      </c>
      <c r="F46" s="1">
        <v>301</v>
      </c>
      <c r="G46" s="7">
        <v>0.1</v>
      </c>
      <c r="H46" s="1"/>
      <c r="I46" s="1" t="s">
        <v>122</v>
      </c>
      <c r="J46" s="1"/>
      <c r="K46" s="1">
        <v>165</v>
      </c>
      <c r="L46" s="1">
        <f t="shared" si="11"/>
        <v>-67</v>
      </c>
      <c r="M46" s="1">
        <f t="shared" si="14"/>
        <v>98</v>
      </c>
      <c r="N46" s="1"/>
      <c r="O46" s="1"/>
      <c r="P46" s="1"/>
      <c r="Q46" s="1">
        <v>0</v>
      </c>
      <c r="R46" s="1"/>
      <c r="S46" s="1">
        <f t="shared" si="15"/>
        <v>19.600000000000001</v>
      </c>
      <c r="T46" s="5"/>
      <c r="U46" s="1">
        <f t="shared" si="12"/>
        <v>15.357142857142856</v>
      </c>
      <c r="V46" s="1">
        <f t="shared" si="13"/>
        <v>15.357142857142856</v>
      </c>
      <c r="W46" s="1">
        <v>25.6</v>
      </c>
      <c r="X46" s="1">
        <v>36</v>
      </c>
      <c r="Y46" s="1">
        <v>27.6</v>
      </c>
      <c r="Z46" s="1">
        <v>21.6</v>
      </c>
      <c r="AA46" s="1">
        <v>24</v>
      </c>
      <c r="AB46" s="1">
        <v>27.6</v>
      </c>
      <c r="AC46" s="1">
        <v>26.8</v>
      </c>
      <c r="AD46" s="1">
        <v>28.2</v>
      </c>
      <c r="AE46" s="1"/>
      <c r="AF46" s="1">
        <f t="shared" si="9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123</v>
      </c>
      <c r="B47" s="1" t="s">
        <v>35</v>
      </c>
      <c r="C47" s="1">
        <v>220.73099999999999</v>
      </c>
      <c r="D47" s="1">
        <v>1075.835</v>
      </c>
      <c r="E47" s="1">
        <v>611.16999999999996</v>
      </c>
      <c r="F47" s="1">
        <v>572.94899999999996</v>
      </c>
      <c r="G47" s="7">
        <v>1</v>
      </c>
      <c r="H47" s="1"/>
      <c r="I47" s="1" t="s">
        <v>124</v>
      </c>
      <c r="J47" s="1"/>
      <c r="K47" s="1">
        <v>603.29999999999995</v>
      </c>
      <c r="L47" s="1">
        <f t="shared" si="11"/>
        <v>7.8700000000000045</v>
      </c>
      <c r="M47" s="1">
        <f t="shared" si="14"/>
        <v>611.16999999999996</v>
      </c>
      <c r="N47" s="1"/>
      <c r="O47" s="1"/>
      <c r="P47" s="1">
        <v>100.3065207414426</v>
      </c>
      <c r="Q47" s="1">
        <v>283.45189579172012</v>
      </c>
      <c r="R47" s="1">
        <v>300</v>
      </c>
      <c r="S47" s="1">
        <f t="shared" si="15"/>
        <v>122.23399999999999</v>
      </c>
      <c r="T47" s="5">
        <f t="shared" si="10"/>
        <v>87.866583466837255</v>
      </c>
      <c r="U47" s="1">
        <f t="shared" si="12"/>
        <v>11</v>
      </c>
      <c r="V47" s="1">
        <f t="shared" si="13"/>
        <v>10.281160859770297</v>
      </c>
      <c r="W47" s="1">
        <v>127.477</v>
      </c>
      <c r="X47" s="1">
        <v>116.47839999999999</v>
      </c>
      <c r="Y47" s="1">
        <v>107.4956</v>
      </c>
      <c r="Z47" s="1">
        <v>89.548199999999994</v>
      </c>
      <c r="AA47" s="1">
        <v>78.435599999999994</v>
      </c>
      <c r="AB47" s="1">
        <v>86.919399999999996</v>
      </c>
      <c r="AC47" s="1">
        <v>118.1324</v>
      </c>
      <c r="AD47" s="1">
        <v>103.81319999999999</v>
      </c>
      <c r="AE47" s="1"/>
      <c r="AF47" s="1">
        <f t="shared" si="9"/>
        <v>87.866583466837255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125</v>
      </c>
      <c r="B48" s="1" t="s">
        <v>35</v>
      </c>
      <c r="C48" s="1">
        <v>20.49</v>
      </c>
      <c r="D48" s="1">
        <v>59.319000000000003</v>
      </c>
      <c r="E48" s="1">
        <v>35.353000000000002</v>
      </c>
      <c r="F48" s="1">
        <v>39.014000000000003</v>
      </c>
      <c r="G48" s="7">
        <v>1</v>
      </c>
      <c r="H48" s="1"/>
      <c r="I48" s="1" t="s">
        <v>126</v>
      </c>
      <c r="J48" s="1"/>
      <c r="K48" s="1">
        <v>39.6</v>
      </c>
      <c r="L48" s="1">
        <f t="shared" si="11"/>
        <v>-4.2469999999999999</v>
      </c>
      <c r="M48" s="1">
        <f t="shared" si="14"/>
        <v>35.353000000000002</v>
      </c>
      <c r="N48" s="1"/>
      <c r="O48" s="1"/>
      <c r="P48" s="1"/>
      <c r="Q48" s="1">
        <v>52.453399999999988</v>
      </c>
      <c r="R48" s="1"/>
      <c r="S48" s="1">
        <f t="shared" si="15"/>
        <v>7.0706000000000007</v>
      </c>
      <c r="T48" s="5"/>
      <c r="U48" s="1">
        <f t="shared" si="12"/>
        <v>12.936299606822615</v>
      </c>
      <c r="V48" s="1">
        <f t="shared" si="13"/>
        <v>12.936299606822615</v>
      </c>
      <c r="W48" s="1">
        <v>8.1921999999999997</v>
      </c>
      <c r="X48" s="1">
        <v>4.92</v>
      </c>
      <c r="Y48" s="1">
        <v>4.6549999999999994</v>
      </c>
      <c r="Z48" s="1">
        <v>5.2093999999999996</v>
      </c>
      <c r="AA48" s="1">
        <v>14.451599999999999</v>
      </c>
      <c r="AB48" s="1">
        <v>7.6686000000000014</v>
      </c>
      <c r="AC48" s="1">
        <v>5.4643999999999986</v>
      </c>
      <c r="AD48" s="1">
        <v>7.1104000000000003</v>
      </c>
      <c r="AE48" s="1"/>
      <c r="AF48" s="1">
        <f t="shared" si="9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127</v>
      </c>
      <c r="B49" s="1" t="s">
        <v>42</v>
      </c>
      <c r="C49" s="1">
        <v>-11</v>
      </c>
      <c r="D49" s="1">
        <v>414</v>
      </c>
      <c r="E49" s="1">
        <v>88</v>
      </c>
      <c r="F49" s="1">
        <v>300</v>
      </c>
      <c r="G49" s="7">
        <v>0.1</v>
      </c>
      <c r="H49" s="1"/>
      <c r="I49" s="1" t="s">
        <v>128</v>
      </c>
      <c r="J49" s="1"/>
      <c r="K49" s="1">
        <v>88</v>
      </c>
      <c r="L49" s="1">
        <f t="shared" si="11"/>
        <v>0</v>
      </c>
      <c r="M49" s="1">
        <f t="shared" si="14"/>
        <v>88</v>
      </c>
      <c r="N49" s="1"/>
      <c r="O49" s="1"/>
      <c r="P49" s="1"/>
      <c r="Q49" s="1">
        <v>0</v>
      </c>
      <c r="R49" s="1"/>
      <c r="S49" s="1">
        <f t="shared" si="15"/>
        <v>17.600000000000001</v>
      </c>
      <c r="T49" s="5"/>
      <c r="U49" s="1">
        <f t="shared" si="12"/>
        <v>17.045454545454543</v>
      </c>
      <c r="V49" s="1">
        <f t="shared" si="13"/>
        <v>17.045454545454543</v>
      </c>
      <c r="W49" s="1">
        <v>19.8</v>
      </c>
      <c r="X49" s="1">
        <v>31.4</v>
      </c>
      <c r="Y49" s="1">
        <v>23.4</v>
      </c>
      <c r="Z49" s="1">
        <v>19.600000000000001</v>
      </c>
      <c r="AA49" s="1">
        <v>23</v>
      </c>
      <c r="AB49" s="1">
        <v>23.6</v>
      </c>
      <c r="AC49" s="1">
        <v>20.8</v>
      </c>
      <c r="AD49" s="1">
        <v>23.6</v>
      </c>
      <c r="AE49" s="1"/>
      <c r="AF49" s="1">
        <f t="shared" si="9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129</v>
      </c>
      <c r="B50" s="1" t="s">
        <v>42</v>
      </c>
      <c r="C50" s="1">
        <v>-1</v>
      </c>
      <c r="D50" s="1">
        <v>14</v>
      </c>
      <c r="E50" s="1"/>
      <c r="F50" s="1">
        <v>13</v>
      </c>
      <c r="G50" s="7">
        <v>0.4</v>
      </c>
      <c r="H50" s="1"/>
      <c r="I50" s="1" t="s">
        <v>130</v>
      </c>
      <c r="J50" s="1"/>
      <c r="K50" s="1"/>
      <c r="L50" s="1">
        <f t="shared" si="11"/>
        <v>0</v>
      </c>
      <c r="M50" s="1">
        <f t="shared" si="14"/>
        <v>0</v>
      </c>
      <c r="N50" s="1"/>
      <c r="O50" s="1"/>
      <c r="P50" s="1"/>
      <c r="Q50" s="1">
        <v>0</v>
      </c>
      <c r="R50" s="1"/>
      <c r="S50" s="1">
        <f t="shared" si="15"/>
        <v>0</v>
      </c>
      <c r="T50" s="5"/>
      <c r="U50" s="1" t="e">
        <f t="shared" si="12"/>
        <v>#DIV/0!</v>
      </c>
      <c r="V50" s="1" t="e">
        <f t="shared" si="13"/>
        <v>#DIV/0!</v>
      </c>
      <c r="W50" s="1">
        <v>0.4</v>
      </c>
      <c r="X50" s="1">
        <v>0.4</v>
      </c>
      <c r="Y50" s="1">
        <v>0</v>
      </c>
      <c r="Z50" s="1">
        <v>0</v>
      </c>
      <c r="AA50" s="1">
        <v>0.2</v>
      </c>
      <c r="AB50" s="1">
        <v>1</v>
      </c>
      <c r="AC50" s="1">
        <v>0.8</v>
      </c>
      <c r="AD50" s="1">
        <v>0.6</v>
      </c>
      <c r="AE50" s="1"/>
      <c r="AF50" s="1">
        <f t="shared" si="9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131</v>
      </c>
      <c r="B51" s="1" t="s">
        <v>35</v>
      </c>
      <c r="C51" s="1">
        <v>234.518</v>
      </c>
      <c r="D51" s="1"/>
      <c r="E51" s="1">
        <v>71.102999999999994</v>
      </c>
      <c r="F51" s="1">
        <v>158.33600000000001</v>
      </c>
      <c r="G51" s="7">
        <v>1</v>
      </c>
      <c r="H51" s="1"/>
      <c r="I51" s="1" t="s">
        <v>132</v>
      </c>
      <c r="J51" s="1"/>
      <c r="K51" s="1">
        <v>74.599999999999994</v>
      </c>
      <c r="L51" s="1">
        <f t="shared" si="11"/>
        <v>-3.4969999999999999</v>
      </c>
      <c r="M51" s="1">
        <f t="shared" si="14"/>
        <v>71.102999999999994</v>
      </c>
      <c r="N51" s="1"/>
      <c r="O51" s="1"/>
      <c r="P51" s="1"/>
      <c r="Q51" s="1">
        <v>0</v>
      </c>
      <c r="R51" s="1"/>
      <c r="S51" s="1">
        <f t="shared" si="15"/>
        <v>14.220599999999999</v>
      </c>
      <c r="T51" s="5"/>
      <c r="U51" s="1">
        <f t="shared" si="12"/>
        <v>11.134270002672181</v>
      </c>
      <c r="V51" s="1">
        <f t="shared" si="13"/>
        <v>11.134270002672181</v>
      </c>
      <c r="W51" s="1">
        <v>11.2966</v>
      </c>
      <c r="X51" s="1">
        <v>0.4582</v>
      </c>
      <c r="Y51" s="1">
        <v>4.8795999999999999</v>
      </c>
      <c r="Z51" s="1">
        <v>24.591000000000001</v>
      </c>
      <c r="AA51" s="1">
        <v>22.217199999999998</v>
      </c>
      <c r="AB51" s="1">
        <v>17.740400000000001</v>
      </c>
      <c r="AC51" s="1">
        <v>8.1560000000000006</v>
      </c>
      <c r="AD51" s="1">
        <v>6.88</v>
      </c>
      <c r="AE51" s="1"/>
      <c r="AF51" s="1">
        <f t="shared" si="9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133</v>
      </c>
      <c r="B52" s="1" t="s">
        <v>35</v>
      </c>
      <c r="C52" s="1">
        <v>2.7690000000000001</v>
      </c>
      <c r="D52" s="1">
        <v>64.284000000000006</v>
      </c>
      <c r="E52" s="1">
        <v>1.8540000000000001</v>
      </c>
      <c r="F52" s="1">
        <v>64.284000000000006</v>
      </c>
      <c r="G52" s="7">
        <v>1</v>
      </c>
      <c r="H52" s="1"/>
      <c r="I52" s="1" t="s">
        <v>134</v>
      </c>
      <c r="J52" s="1"/>
      <c r="K52" s="1">
        <v>7.5</v>
      </c>
      <c r="L52" s="1">
        <f t="shared" si="11"/>
        <v>-5.6459999999999999</v>
      </c>
      <c r="M52" s="1">
        <f t="shared" si="14"/>
        <v>1.8540000000000001</v>
      </c>
      <c r="N52" s="1"/>
      <c r="O52" s="1"/>
      <c r="P52" s="1"/>
      <c r="Q52" s="1">
        <v>0</v>
      </c>
      <c r="R52" s="1"/>
      <c r="S52" s="1">
        <f t="shared" si="15"/>
        <v>0.37080000000000002</v>
      </c>
      <c r="T52" s="5"/>
      <c r="U52" s="1">
        <f t="shared" si="12"/>
        <v>173.36569579288027</v>
      </c>
      <c r="V52" s="1">
        <f t="shared" si="13"/>
        <v>173.36569579288027</v>
      </c>
      <c r="W52" s="1">
        <v>0.44779999999999998</v>
      </c>
      <c r="X52" s="1">
        <v>3.7235999999999998</v>
      </c>
      <c r="Y52" s="1">
        <v>8.1310000000000002</v>
      </c>
      <c r="Z52" s="1">
        <v>7.1864000000000008</v>
      </c>
      <c r="AA52" s="1">
        <v>4.3975999999999997</v>
      </c>
      <c r="AB52" s="1">
        <v>3.7995999999999999</v>
      </c>
      <c r="AC52" s="1">
        <v>5.4703999999999997</v>
      </c>
      <c r="AD52" s="1">
        <v>2.8157999999999999</v>
      </c>
      <c r="AE52" s="1"/>
      <c r="AF52" s="1">
        <f t="shared" si="9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135</v>
      </c>
      <c r="B53" s="1" t="s">
        <v>42</v>
      </c>
      <c r="C53" s="1">
        <v>454</v>
      </c>
      <c r="D53" s="1">
        <v>294</v>
      </c>
      <c r="E53" s="1">
        <v>528</v>
      </c>
      <c r="F53" s="1">
        <v>210</v>
      </c>
      <c r="G53" s="7">
        <v>0.4</v>
      </c>
      <c r="H53" s="1"/>
      <c r="I53" s="1" t="s">
        <v>136</v>
      </c>
      <c r="J53" s="1"/>
      <c r="K53" s="1">
        <v>716</v>
      </c>
      <c r="L53" s="1">
        <f t="shared" si="11"/>
        <v>-188</v>
      </c>
      <c r="M53" s="1">
        <f t="shared" si="14"/>
        <v>528</v>
      </c>
      <c r="N53" s="1"/>
      <c r="O53" s="1"/>
      <c r="P53" s="1">
        <v>117.53507999999999</v>
      </c>
      <c r="Q53" s="1">
        <v>363.17599999999982</v>
      </c>
      <c r="R53" s="1">
        <v>500</v>
      </c>
      <c r="S53" s="1">
        <f t="shared" si="15"/>
        <v>105.6</v>
      </c>
      <c r="T53" s="5"/>
      <c r="U53" s="1">
        <f t="shared" si="12"/>
        <v>11.275673106060605</v>
      </c>
      <c r="V53" s="1">
        <f t="shared" si="13"/>
        <v>11.275673106060605</v>
      </c>
      <c r="W53" s="1">
        <v>124.6</v>
      </c>
      <c r="X53" s="1">
        <v>83.8</v>
      </c>
      <c r="Y53" s="1">
        <v>22.4</v>
      </c>
      <c r="Z53" s="1">
        <v>59.2</v>
      </c>
      <c r="AA53" s="1">
        <v>122.8</v>
      </c>
      <c r="AB53" s="1">
        <v>126</v>
      </c>
      <c r="AC53" s="1">
        <v>127.8</v>
      </c>
      <c r="AD53" s="1">
        <v>117.2</v>
      </c>
      <c r="AE53" s="1"/>
      <c r="AF53" s="1">
        <f t="shared" si="9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137</v>
      </c>
      <c r="B54" s="1" t="s">
        <v>42</v>
      </c>
      <c r="C54" s="1">
        <v>252</v>
      </c>
      <c r="D54" s="1">
        <v>674</v>
      </c>
      <c r="E54" s="1">
        <v>503</v>
      </c>
      <c r="F54" s="1">
        <v>413</v>
      </c>
      <c r="G54" s="7">
        <v>0.4</v>
      </c>
      <c r="H54" s="1"/>
      <c r="I54" s="1" t="s">
        <v>138</v>
      </c>
      <c r="J54" s="1"/>
      <c r="K54" s="1">
        <v>527</v>
      </c>
      <c r="L54" s="1">
        <f t="shared" si="11"/>
        <v>-24</v>
      </c>
      <c r="M54" s="1">
        <f t="shared" si="14"/>
        <v>503</v>
      </c>
      <c r="N54" s="1"/>
      <c r="O54" s="1"/>
      <c r="P54" s="1">
        <v>70.018704724799989</v>
      </c>
      <c r="Q54" s="1">
        <v>526.04845856000009</v>
      </c>
      <c r="R54" s="1"/>
      <c r="S54" s="1">
        <f t="shared" si="15"/>
        <v>100.6</v>
      </c>
      <c r="T54" s="5">
        <f t="shared" si="10"/>
        <v>97.532836715199835</v>
      </c>
      <c r="U54" s="1">
        <f t="shared" si="12"/>
        <v>11</v>
      </c>
      <c r="V54" s="1">
        <f t="shared" si="13"/>
        <v>10.030488700644137</v>
      </c>
      <c r="W54" s="1">
        <v>103.2</v>
      </c>
      <c r="X54" s="1">
        <v>92.8</v>
      </c>
      <c r="Y54" s="1">
        <v>85.8</v>
      </c>
      <c r="Z54" s="1">
        <v>85.6</v>
      </c>
      <c r="AA54" s="1">
        <v>89</v>
      </c>
      <c r="AB54" s="1">
        <v>88</v>
      </c>
      <c r="AC54" s="1">
        <v>87</v>
      </c>
      <c r="AD54" s="1">
        <v>87.2</v>
      </c>
      <c r="AE54" s="1"/>
      <c r="AF54" s="1">
        <f t="shared" si="9"/>
        <v>39.013134686079937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139</v>
      </c>
      <c r="B55" s="1" t="s">
        <v>35</v>
      </c>
      <c r="C55" s="1">
        <v>143.38</v>
      </c>
      <c r="D55" s="1">
        <v>2.76</v>
      </c>
      <c r="E55" s="1">
        <v>90.897000000000006</v>
      </c>
      <c r="F55" s="1">
        <v>52.482999999999997</v>
      </c>
      <c r="G55" s="7">
        <v>1</v>
      </c>
      <c r="H55" s="1"/>
      <c r="I55" s="1" t="s">
        <v>140</v>
      </c>
      <c r="J55" s="1"/>
      <c r="K55" s="1">
        <v>87.2</v>
      </c>
      <c r="L55" s="1">
        <f t="shared" si="11"/>
        <v>3.6970000000000027</v>
      </c>
      <c r="M55" s="1">
        <f t="shared" si="14"/>
        <v>90.897000000000006</v>
      </c>
      <c r="N55" s="1"/>
      <c r="O55" s="1"/>
      <c r="P55" s="1"/>
      <c r="Q55" s="1">
        <v>129.82759999999999</v>
      </c>
      <c r="R55" s="1"/>
      <c r="S55" s="1">
        <f t="shared" si="15"/>
        <v>18.179400000000001</v>
      </c>
      <c r="T55" s="5">
        <f t="shared" si="10"/>
        <v>17.66280000000004</v>
      </c>
      <c r="U55" s="1">
        <f t="shared" si="12"/>
        <v>11</v>
      </c>
      <c r="V55" s="1">
        <f t="shared" si="13"/>
        <v>10.028416779431664</v>
      </c>
      <c r="W55" s="1">
        <v>18.554600000000001</v>
      </c>
      <c r="X55" s="1">
        <v>5.6436000000000002</v>
      </c>
      <c r="Y55" s="1">
        <v>0.72619999999999996</v>
      </c>
      <c r="Z55" s="1">
        <v>-0.1802</v>
      </c>
      <c r="AA55" s="1">
        <v>5.9652000000000003</v>
      </c>
      <c r="AB55" s="1">
        <v>10.678800000000001</v>
      </c>
      <c r="AC55" s="1">
        <v>7.9730000000000008</v>
      </c>
      <c r="AD55" s="1">
        <v>16.890599999999999</v>
      </c>
      <c r="AE55" s="1"/>
      <c r="AF55" s="1">
        <f t="shared" si="9"/>
        <v>17.66280000000004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141</v>
      </c>
      <c r="B56" s="1" t="s">
        <v>35</v>
      </c>
      <c r="C56" s="1">
        <v>7.21</v>
      </c>
      <c r="D56" s="1">
        <v>159.541</v>
      </c>
      <c r="E56" s="1">
        <v>73.117000000000004</v>
      </c>
      <c r="F56" s="1">
        <v>89.108999999999995</v>
      </c>
      <c r="G56" s="7">
        <v>1</v>
      </c>
      <c r="H56" s="1"/>
      <c r="I56" s="1" t="s">
        <v>142</v>
      </c>
      <c r="J56" s="1"/>
      <c r="K56" s="1">
        <v>76.7</v>
      </c>
      <c r="L56" s="1">
        <f t="shared" si="11"/>
        <v>-3.5829999999999984</v>
      </c>
      <c r="M56" s="1">
        <f t="shared" si="14"/>
        <v>73.117000000000004</v>
      </c>
      <c r="N56" s="1"/>
      <c r="O56" s="1"/>
      <c r="P56" s="1"/>
      <c r="Q56" s="1">
        <v>0</v>
      </c>
      <c r="R56" s="1"/>
      <c r="S56" s="1">
        <f t="shared" si="15"/>
        <v>14.6234</v>
      </c>
      <c r="T56" s="5">
        <f t="shared" si="10"/>
        <v>71.748400000000018</v>
      </c>
      <c r="U56" s="1">
        <f t="shared" si="12"/>
        <v>11</v>
      </c>
      <c r="V56" s="1">
        <f t="shared" si="13"/>
        <v>6.0935897260554999</v>
      </c>
      <c r="W56" s="1">
        <v>4.8811999999999998</v>
      </c>
      <c r="X56" s="1">
        <v>5.7866</v>
      </c>
      <c r="Y56" s="1">
        <v>13.375400000000001</v>
      </c>
      <c r="Z56" s="1">
        <v>12.828799999999999</v>
      </c>
      <c r="AA56" s="1">
        <v>10.311199999999999</v>
      </c>
      <c r="AB56" s="1">
        <v>15.530799999999999</v>
      </c>
      <c r="AC56" s="1">
        <v>14.7936</v>
      </c>
      <c r="AD56" s="1">
        <v>10.8622</v>
      </c>
      <c r="AE56" s="1"/>
      <c r="AF56" s="1">
        <f t="shared" si="9"/>
        <v>71.748400000000018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143</v>
      </c>
      <c r="B57" s="1" t="s">
        <v>35</v>
      </c>
      <c r="C57" s="1">
        <v>99.082999999999998</v>
      </c>
      <c r="D57" s="1">
        <v>2365.5410000000002</v>
      </c>
      <c r="E57" s="1">
        <v>472.64699999999999</v>
      </c>
      <c r="F57" s="1">
        <v>1979.7750000000001</v>
      </c>
      <c r="G57" s="7">
        <v>1</v>
      </c>
      <c r="H57" s="1"/>
      <c r="I57" s="1" t="s">
        <v>144</v>
      </c>
      <c r="J57" s="1"/>
      <c r="K57" s="1">
        <v>448.2</v>
      </c>
      <c r="L57" s="1">
        <f t="shared" si="11"/>
        <v>24.447000000000003</v>
      </c>
      <c r="M57" s="1">
        <f t="shared" si="14"/>
        <v>472.64699999999999</v>
      </c>
      <c r="N57" s="1"/>
      <c r="O57" s="1"/>
      <c r="P57" s="1"/>
      <c r="Q57" s="1">
        <v>0</v>
      </c>
      <c r="R57" s="1"/>
      <c r="S57" s="1">
        <f t="shared" si="15"/>
        <v>94.529399999999995</v>
      </c>
      <c r="T57" s="5"/>
      <c r="U57" s="1">
        <f t="shared" si="12"/>
        <v>20.94348424934465</v>
      </c>
      <c r="V57" s="1">
        <f t="shared" si="13"/>
        <v>20.94348424934465</v>
      </c>
      <c r="W57" s="1">
        <v>94.002600000000001</v>
      </c>
      <c r="X57" s="1">
        <v>120.4922</v>
      </c>
      <c r="Y57" s="1">
        <v>204.0352</v>
      </c>
      <c r="Z57" s="1">
        <v>200.19560000000001</v>
      </c>
      <c r="AA57" s="1">
        <v>168.12540000000001</v>
      </c>
      <c r="AB57" s="1">
        <v>125.8494</v>
      </c>
      <c r="AC57" s="1">
        <v>147.98500000000001</v>
      </c>
      <c r="AD57" s="1">
        <v>131.74639999999999</v>
      </c>
      <c r="AE57" s="1"/>
      <c r="AF57" s="1">
        <f t="shared" si="9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145</v>
      </c>
      <c r="B58" s="1" t="s">
        <v>35</v>
      </c>
      <c r="C58" s="1">
        <v>12.747999999999999</v>
      </c>
      <c r="D58" s="1">
        <v>114.108</v>
      </c>
      <c r="E58" s="1">
        <v>40.131</v>
      </c>
      <c r="F58" s="1">
        <v>77.930999999999997</v>
      </c>
      <c r="G58" s="7">
        <v>1</v>
      </c>
      <c r="H58" s="1"/>
      <c r="I58" s="1" t="s">
        <v>146</v>
      </c>
      <c r="J58" s="1"/>
      <c r="K58" s="1">
        <v>52.7</v>
      </c>
      <c r="L58" s="1">
        <f t="shared" si="11"/>
        <v>-12.569000000000003</v>
      </c>
      <c r="M58" s="1">
        <f t="shared" si="14"/>
        <v>40.131</v>
      </c>
      <c r="N58" s="1"/>
      <c r="O58" s="1"/>
      <c r="P58" s="1"/>
      <c r="Q58" s="1">
        <v>13.39379999999999</v>
      </c>
      <c r="R58" s="1"/>
      <c r="S58" s="1">
        <f t="shared" si="15"/>
        <v>8.0261999999999993</v>
      </c>
      <c r="T58" s="5"/>
      <c r="U58" s="1">
        <f t="shared" si="12"/>
        <v>11.378335949764519</v>
      </c>
      <c r="V58" s="1">
        <f t="shared" si="13"/>
        <v>11.378335949764519</v>
      </c>
      <c r="W58" s="1">
        <v>9.0599999999999987</v>
      </c>
      <c r="X58" s="1">
        <v>10.198</v>
      </c>
      <c r="Y58" s="1">
        <v>9.1614000000000004</v>
      </c>
      <c r="Z58" s="1">
        <v>9.3217999999999996</v>
      </c>
      <c r="AA58" s="1">
        <v>17.030799999999999</v>
      </c>
      <c r="AB58" s="1">
        <v>13.9878</v>
      </c>
      <c r="AC58" s="1">
        <v>7.6651999999999996</v>
      </c>
      <c r="AD58" s="1">
        <v>13.283799999999999</v>
      </c>
      <c r="AE58" s="1"/>
      <c r="AF58" s="1">
        <f t="shared" si="9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147</v>
      </c>
      <c r="B59" s="1" t="s">
        <v>35</v>
      </c>
      <c r="C59" s="1">
        <v>971.303</v>
      </c>
      <c r="D59" s="1">
        <v>24.009</v>
      </c>
      <c r="E59" s="1">
        <v>908.43299999999999</v>
      </c>
      <c r="F59" s="1">
        <v>40.64</v>
      </c>
      <c r="G59" s="7">
        <v>1</v>
      </c>
      <c r="H59" s="1"/>
      <c r="I59" s="1" t="s">
        <v>148</v>
      </c>
      <c r="J59" s="1"/>
      <c r="K59" s="1">
        <v>993.5</v>
      </c>
      <c r="L59" s="1">
        <f t="shared" si="11"/>
        <v>-85.067000000000007</v>
      </c>
      <c r="M59" s="1">
        <f t="shared" si="14"/>
        <v>908.43299999999999</v>
      </c>
      <c r="N59" s="1"/>
      <c r="O59" s="1"/>
      <c r="P59" s="1"/>
      <c r="Q59" s="1">
        <v>340</v>
      </c>
      <c r="R59" s="1">
        <v>400</v>
      </c>
      <c r="S59" s="1">
        <f t="shared" si="15"/>
        <v>181.6866</v>
      </c>
      <c r="T59" s="5">
        <f>9*S59-R59-Q59-P59-F59-O59</f>
        <v>854.5394</v>
      </c>
      <c r="U59" s="1">
        <f t="shared" si="12"/>
        <v>9</v>
      </c>
      <c r="V59" s="1">
        <f t="shared" si="13"/>
        <v>4.2966294707479804</v>
      </c>
      <c r="W59" s="1">
        <v>114.6506</v>
      </c>
      <c r="X59" s="1">
        <v>69.47999999999999</v>
      </c>
      <c r="Y59" s="1">
        <v>56.1828</v>
      </c>
      <c r="Z59" s="1">
        <v>55.811199999999999</v>
      </c>
      <c r="AA59" s="1">
        <v>100.8188</v>
      </c>
      <c r="AB59" s="1">
        <v>49.721200000000003</v>
      </c>
      <c r="AC59" s="1">
        <v>194.2208</v>
      </c>
      <c r="AD59" s="1">
        <v>53.8812</v>
      </c>
      <c r="AE59" s="1"/>
      <c r="AF59" s="1">
        <f t="shared" si="9"/>
        <v>854.5394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149</v>
      </c>
      <c r="B60" s="1" t="s">
        <v>42</v>
      </c>
      <c r="C60" s="1">
        <v>350</v>
      </c>
      <c r="D60" s="1">
        <v>1441</v>
      </c>
      <c r="E60" s="1">
        <v>410</v>
      </c>
      <c r="F60" s="1">
        <v>1371</v>
      </c>
      <c r="G60" s="7">
        <v>0.6</v>
      </c>
      <c r="H60" s="1"/>
      <c r="I60" s="1" t="s">
        <v>150</v>
      </c>
      <c r="J60" s="1"/>
      <c r="K60" s="1">
        <v>420</v>
      </c>
      <c r="L60" s="1">
        <f t="shared" si="11"/>
        <v>-10</v>
      </c>
      <c r="M60" s="1">
        <f t="shared" si="14"/>
        <v>410</v>
      </c>
      <c r="N60" s="1"/>
      <c r="O60" s="1"/>
      <c r="P60" s="1"/>
      <c r="Q60" s="1">
        <v>0</v>
      </c>
      <c r="R60" s="1"/>
      <c r="S60" s="1">
        <f t="shared" si="15"/>
        <v>82</v>
      </c>
      <c r="T60" s="5"/>
      <c r="U60" s="1">
        <f t="shared" si="12"/>
        <v>16.719512195121951</v>
      </c>
      <c r="V60" s="1">
        <f t="shared" si="13"/>
        <v>16.719512195121951</v>
      </c>
      <c r="W60" s="1">
        <v>93.4</v>
      </c>
      <c r="X60" s="1">
        <v>153</v>
      </c>
      <c r="Y60" s="1">
        <v>154</v>
      </c>
      <c r="Z60" s="1">
        <v>159</v>
      </c>
      <c r="AA60" s="1">
        <v>120.8</v>
      </c>
      <c r="AB60" s="1">
        <v>97.6</v>
      </c>
      <c r="AC60" s="1">
        <v>295</v>
      </c>
      <c r="AD60" s="1">
        <v>193.6</v>
      </c>
      <c r="AE60" s="1"/>
      <c r="AF60" s="1">
        <f t="shared" si="9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151</v>
      </c>
      <c r="B61" s="1" t="s">
        <v>42</v>
      </c>
      <c r="C61" s="1">
        <v>560</v>
      </c>
      <c r="D61" s="1">
        <v>544</v>
      </c>
      <c r="E61" s="1">
        <v>387</v>
      </c>
      <c r="F61" s="1">
        <v>717</v>
      </c>
      <c r="G61" s="7">
        <v>0.6</v>
      </c>
      <c r="H61" s="1"/>
      <c r="I61" s="1" t="s">
        <v>152</v>
      </c>
      <c r="J61" s="1"/>
      <c r="K61" s="1">
        <v>393</v>
      </c>
      <c r="L61" s="1">
        <f t="shared" si="11"/>
        <v>-6</v>
      </c>
      <c r="M61" s="1">
        <f t="shared" si="14"/>
        <v>387</v>
      </c>
      <c r="N61" s="1"/>
      <c r="O61" s="1"/>
      <c r="P61" s="1">
        <v>110.40197999999999</v>
      </c>
      <c r="Q61" s="1">
        <v>150</v>
      </c>
      <c r="R61" s="1"/>
      <c r="S61" s="1">
        <f t="shared" si="15"/>
        <v>77.400000000000006</v>
      </c>
      <c r="T61" s="5"/>
      <c r="U61" s="1">
        <f t="shared" si="12"/>
        <v>12.627932558139534</v>
      </c>
      <c r="V61" s="1">
        <f t="shared" si="13"/>
        <v>12.627932558139534</v>
      </c>
      <c r="W61" s="1">
        <v>92.4</v>
      </c>
      <c r="X61" s="1">
        <v>121.2</v>
      </c>
      <c r="Y61" s="1">
        <v>86.6</v>
      </c>
      <c r="Z61" s="1">
        <v>75.2</v>
      </c>
      <c r="AA61" s="1">
        <v>84.2</v>
      </c>
      <c r="AB61" s="1">
        <v>80.8</v>
      </c>
      <c r="AC61" s="1">
        <v>83</v>
      </c>
      <c r="AD61" s="1">
        <v>106.2</v>
      </c>
      <c r="AE61" s="1"/>
      <c r="AF61" s="1">
        <f t="shared" si="9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153</v>
      </c>
      <c r="B62" s="1" t="s">
        <v>42</v>
      </c>
      <c r="C62" s="1">
        <v>2</v>
      </c>
      <c r="D62" s="1">
        <v>205</v>
      </c>
      <c r="E62" s="1">
        <v>39</v>
      </c>
      <c r="F62" s="1">
        <v>163</v>
      </c>
      <c r="G62" s="7">
        <v>0.35</v>
      </c>
      <c r="H62" s="1"/>
      <c r="I62" s="1" t="s">
        <v>154</v>
      </c>
      <c r="J62" s="1"/>
      <c r="K62" s="1">
        <v>46</v>
      </c>
      <c r="L62" s="1">
        <f t="shared" si="11"/>
        <v>-7</v>
      </c>
      <c r="M62" s="1">
        <f t="shared" si="14"/>
        <v>39</v>
      </c>
      <c r="N62" s="1"/>
      <c r="O62" s="1"/>
      <c r="P62" s="1"/>
      <c r="Q62" s="1">
        <v>0</v>
      </c>
      <c r="R62" s="1"/>
      <c r="S62" s="1">
        <f t="shared" si="15"/>
        <v>7.8</v>
      </c>
      <c r="T62" s="5"/>
      <c r="U62" s="1">
        <f t="shared" si="12"/>
        <v>20.897435897435898</v>
      </c>
      <c r="V62" s="1">
        <f t="shared" si="13"/>
        <v>20.897435897435898</v>
      </c>
      <c r="W62" s="1">
        <v>5.6</v>
      </c>
      <c r="X62" s="1">
        <v>8.8000000000000007</v>
      </c>
      <c r="Y62" s="1">
        <v>17</v>
      </c>
      <c r="Z62" s="1">
        <v>11</v>
      </c>
      <c r="AA62" s="1">
        <v>5.4</v>
      </c>
      <c r="AB62" s="1">
        <v>7.6</v>
      </c>
      <c r="AC62" s="1">
        <v>11.8</v>
      </c>
      <c r="AD62" s="1">
        <v>4.8</v>
      </c>
      <c r="AE62" s="1"/>
      <c r="AF62" s="1">
        <f t="shared" si="9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155</v>
      </c>
      <c r="B63" s="1" t="s">
        <v>42</v>
      </c>
      <c r="C63" s="1">
        <v>149</v>
      </c>
      <c r="D63" s="1">
        <v>150</v>
      </c>
      <c r="E63" s="1">
        <v>150</v>
      </c>
      <c r="F63" s="1">
        <v>149</v>
      </c>
      <c r="G63" s="7">
        <v>0.37</v>
      </c>
      <c r="H63" s="1"/>
      <c r="I63" s="1" t="s">
        <v>156</v>
      </c>
      <c r="J63" s="1"/>
      <c r="K63" s="1">
        <v>158</v>
      </c>
      <c r="L63" s="1">
        <f t="shared" si="11"/>
        <v>-8</v>
      </c>
      <c r="M63" s="1">
        <f t="shared" si="14"/>
        <v>150</v>
      </c>
      <c r="N63" s="1"/>
      <c r="O63" s="1"/>
      <c r="P63" s="1"/>
      <c r="Q63" s="1">
        <v>0</v>
      </c>
      <c r="R63" s="1"/>
      <c r="S63" s="1">
        <f t="shared" si="15"/>
        <v>30</v>
      </c>
      <c r="T63" s="5">
        <f t="shared" si="10"/>
        <v>181</v>
      </c>
      <c r="U63" s="1">
        <f t="shared" si="12"/>
        <v>11</v>
      </c>
      <c r="V63" s="1">
        <f t="shared" si="13"/>
        <v>4.9666666666666668</v>
      </c>
      <c r="W63" s="1">
        <v>16.600000000000001</v>
      </c>
      <c r="X63" s="1">
        <v>15.8</v>
      </c>
      <c r="Y63" s="1">
        <v>23.6</v>
      </c>
      <c r="Z63" s="1">
        <v>31</v>
      </c>
      <c r="AA63" s="1">
        <v>21.4</v>
      </c>
      <c r="AB63" s="1">
        <v>22.4</v>
      </c>
      <c r="AC63" s="1">
        <v>30.2</v>
      </c>
      <c r="AD63" s="1">
        <v>14</v>
      </c>
      <c r="AE63" s="1"/>
      <c r="AF63" s="1">
        <f t="shared" si="9"/>
        <v>66.97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2" t="s">
        <v>157</v>
      </c>
      <c r="B64" s="12" t="s">
        <v>42</v>
      </c>
      <c r="C64" s="12"/>
      <c r="D64" s="12">
        <v>2</v>
      </c>
      <c r="E64" s="12">
        <v>2</v>
      </c>
      <c r="F64" s="12"/>
      <c r="G64" s="13">
        <v>0</v>
      </c>
      <c r="H64" s="12"/>
      <c r="I64" s="12" t="s">
        <v>158</v>
      </c>
      <c r="J64" s="12"/>
      <c r="K64" s="12">
        <v>8</v>
      </c>
      <c r="L64" s="12">
        <f t="shared" si="11"/>
        <v>-6</v>
      </c>
      <c r="M64" s="12">
        <f t="shared" si="14"/>
        <v>2</v>
      </c>
      <c r="N64" s="12"/>
      <c r="O64" s="12"/>
      <c r="P64" s="12"/>
      <c r="Q64" s="12">
        <v>0</v>
      </c>
      <c r="R64" s="12"/>
      <c r="S64" s="12">
        <f t="shared" si="15"/>
        <v>0.4</v>
      </c>
      <c r="T64" s="14"/>
      <c r="U64" s="12">
        <f t="shared" si="12"/>
        <v>0</v>
      </c>
      <c r="V64" s="12">
        <f t="shared" si="13"/>
        <v>0</v>
      </c>
      <c r="W64" s="12">
        <v>0.4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/>
      <c r="AF64" s="12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159</v>
      </c>
      <c r="B65" s="1" t="s">
        <v>42</v>
      </c>
      <c r="C65" s="1">
        <v>212</v>
      </c>
      <c r="D65" s="1">
        <v>266</v>
      </c>
      <c r="E65" s="1">
        <v>213.24700000000001</v>
      </c>
      <c r="F65" s="1">
        <v>254.75299999999999</v>
      </c>
      <c r="G65" s="7">
        <v>0.6</v>
      </c>
      <c r="H65" s="1"/>
      <c r="I65" s="1" t="s">
        <v>160</v>
      </c>
      <c r="J65" s="1"/>
      <c r="K65" s="1">
        <v>223</v>
      </c>
      <c r="L65" s="1">
        <f t="shared" si="11"/>
        <v>-9.7529999999999859</v>
      </c>
      <c r="M65" s="1">
        <f t="shared" si="14"/>
        <v>213.24700000000001</v>
      </c>
      <c r="N65" s="1"/>
      <c r="O65" s="1"/>
      <c r="P65" s="1"/>
      <c r="Q65" s="1">
        <v>1300</v>
      </c>
      <c r="R65" s="1"/>
      <c r="S65" s="1">
        <f t="shared" si="15"/>
        <v>42.6494</v>
      </c>
      <c r="T65" s="5"/>
      <c r="U65" s="1">
        <f t="shared" si="12"/>
        <v>36.454276027329811</v>
      </c>
      <c r="V65" s="1">
        <f t="shared" si="13"/>
        <v>36.454276027329811</v>
      </c>
      <c r="W65" s="1">
        <v>44.8</v>
      </c>
      <c r="X65" s="1">
        <v>51.4</v>
      </c>
      <c r="Y65" s="1">
        <v>44.4</v>
      </c>
      <c r="Z65" s="1">
        <v>22.8</v>
      </c>
      <c r="AA65" s="1">
        <v>112.8</v>
      </c>
      <c r="AB65" s="1">
        <v>42</v>
      </c>
      <c r="AC65" s="1">
        <v>61</v>
      </c>
      <c r="AD65" s="1">
        <v>15</v>
      </c>
      <c r="AE65" s="1" t="s">
        <v>161</v>
      </c>
      <c r="AF65" s="1">
        <f t="shared" ref="AF65:AF96" si="16">G65*T65</f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162</v>
      </c>
      <c r="B66" s="1" t="s">
        <v>42</v>
      </c>
      <c r="C66" s="1">
        <v>86</v>
      </c>
      <c r="D66" s="1">
        <v>72</v>
      </c>
      <c r="E66" s="1">
        <v>117</v>
      </c>
      <c r="F66" s="1"/>
      <c r="G66" s="7">
        <v>0.33</v>
      </c>
      <c r="H66" s="1"/>
      <c r="I66" s="1" t="s">
        <v>163</v>
      </c>
      <c r="J66" s="1"/>
      <c r="K66" s="1">
        <v>160</v>
      </c>
      <c r="L66" s="1">
        <f t="shared" si="11"/>
        <v>-43</v>
      </c>
      <c r="M66" s="1">
        <f t="shared" si="14"/>
        <v>117</v>
      </c>
      <c r="N66" s="1"/>
      <c r="O66" s="1"/>
      <c r="P66" s="1"/>
      <c r="Q66" s="1">
        <v>128</v>
      </c>
      <c r="R66" s="1"/>
      <c r="S66" s="1">
        <f t="shared" si="15"/>
        <v>23.4</v>
      </c>
      <c r="T66" s="5">
        <f t="shared" ref="T65:T115" si="17">11*S66-R66-Q66-P66-F66-O66</f>
        <v>129.39999999999998</v>
      </c>
      <c r="U66" s="1">
        <f t="shared" si="12"/>
        <v>11</v>
      </c>
      <c r="V66" s="1">
        <f t="shared" si="13"/>
        <v>5.4700854700854702</v>
      </c>
      <c r="W66" s="1">
        <v>19.399999999999999</v>
      </c>
      <c r="X66" s="1">
        <v>9.6</v>
      </c>
      <c r="Y66" s="1">
        <v>4.2</v>
      </c>
      <c r="Z66" s="1">
        <v>12</v>
      </c>
      <c r="AA66" s="1">
        <v>13.6</v>
      </c>
      <c r="AB66" s="1">
        <v>21</v>
      </c>
      <c r="AC66" s="1">
        <v>7</v>
      </c>
      <c r="AD66" s="1">
        <v>13.4</v>
      </c>
      <c r="AE66" s="1"/>
      <c r="AF66" s="1">
        <f t="shared" si="16"/>
        <v>42.701999999999991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164</v>
      </c>
      <c r="B67" s="1" t="s">
        <v>42</v>
      </c>
      <c r="C67" s="1">
        <v>2</v>
      </c>
      <c r="D67" s="1">
        <v>98</v>
      </c>
      <c r="E67" s="1">
        <v>57</v>
      </c>
      <c r="F67" s="1">
        <v>33</v>
      </c>
      <c r="G67" s="7">
        <v>0.4</v>
      </c>
      <c r="H67" s="1"/>
      <c r="I67" s="1" t="s">
        <v>165</v>
      </c>
      <c r="J67" s="1"/>
      <c r="K67" s="1">
        <v>88</v>
      </c>
      <c r="L67" s="1">
        <f t="shared" si="11"/>
        <v>-31</v>
      </c>
      <c r="M67" s="1">
        <f t="shared" si="14"/>
        <v>57</v>
      </c>
      <c r="N67" s="1"/>
      <c r="O67" s="1"/>
      <c r="P67" s="1"/>
      <c r="Q67" s="1">
        <v>0</v>
      </c>
      <c r="R67" s="1"/>
      <c r="S67" s="1">
        <f t="shared" si="15"/>
        <v>11.4</v>
      </c>
      <c r="T67" s="5">
        <f>9*S67-R67-Q67-P67-F67-O67</f>
        <v>69.600000000000009</v>
      </c>
      <c r="U67" s="1">
        <f t="shared" si="12"/>
        <v>9</v>
      </c>
      <c r="V67" s="1">
        <f t="shared" si="13"/>
        <v>2.8947368421052633</v>
      </c>
      <c r="W67" s="1">
        <v>6</v>
      </c>
      <c r="X67" s="1">
        <v>13.6</v>
      </c>
      <c r="Y67" s="1">
        <v>13.2</v>
      </c>
      <c r="Z67" s="1">
        <v>10.148</v>
      </c>
      <c r="AA67" s="1">
        <v>10.6</v>
      </c>
      <c r="AB67" s="1">
        <v>12.2</v>
      </c>
      <c r="AC67" s="1">
        <v>11.8</v>
      </c>
      <c r="AD67" s="1">
        <v>9.6</v>
      </c>
      <c r="AE67" s="1"/>
      <c r="AF67" s="1">
        <f t="shared" si="16"/>
        <v>27.840000000000003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166</v>
      </c>
      <c r="B68" s="1" t="s">
        <v>42</v>
      </c>
      <c r="C68" s="1"/>
      <c r="D68" s="1">
        <v>360</v>
      </c>
      <c r="E68" s="1">
        <v>150</v>
      </c>
      <c r="F68" s="1">
        <v>208</v>
      </c>
      <c r="G68" s="7">
        <v>0.35</v>
      </c>
      <c r="H68" s="1"/>
      <c r="I68" s="1" t="s">
        <v>167</v>
      </c>
      <c r="J68" s="1"/>
      <c r="K68" s="1">
        <v>166</v>
      </c>
      <c r="L68" s="1">
        <f t="shared" si="11"/>
        <v>-16</v>
      </c>
      <c r="M68" s="1">
        <f t="shared" si="14"/>
        <v>150</v>
      </c>
      <c r="N68" s="1"/>
      <c r="O68" s="1"/>
      <c r="P68" s="1"/>
      <c r="Q68" s="1">
        <v>0</v>
      </c>
      <c r="R68" s="1"/>
      <c r="S68" s="1">
        <f t="shared" si="15"/>
        <v>30</v>
      </c>
      <c r="T68" s="5">
        <f t="shared" si="17"/>
        <v>122</v>
      </c>
      <c r="U68" s="1">
        <f t="shared" si="12"/>
        <v>11</v>
      </c>
      <c r="V68" s="1">
        <f t="shared" si="13"/>
        <v>6.9333333333333336</v>
      </c>
      <c r="W68" s="1">
        <v>11.8</v>
      </c>
      <c r="X68" s="1">
        <v>22.8</v>
      </c>
      <c r="Y68" s="1">
        <v>51.8</v>
      </c>
      <c r="Z68" s="1">
        <v>47.6</v>
      </c>
      <c r="AA68" s="1">
        <v>42.2</v>
      </c>
      <c r="AB68" s="1">
        <v>31</v>
      </c>
      <c r="AC68" s="1">
        <v>28.6</v>
      </c>
      <c r="AD68" s="1">
        <v>31.6</v>
      </c>
      <c r="AE68" s="1"/>
      <c r="AF68" s="1">
        <f t="shared" si="16"/>
        <v>42.699999999999996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168</v>
      </c>
      <c r="B69" s="1" t="s">
        <v>42</v>
      </c>
      <c r="C69" s="1">
        <v>60</v>
      </c>
      <c r="D69" s="1">
        <v>1330</v>
      </c>
      <c r="E69" s="1">
        <v>353</v>
      </c>
      <c r="F69" s="1">
        <v>1014</v>
      </c>
      <c r="G69" s="7">
        <v>0.35</v>
      </c>
      <c r="H69" s="1"/>
      <c r="I69" s="1" t="s">
        <v>169</v>
      </c>
      <c r="J69" s="1"/>
      <c r="K69" s="1">
        <v>396</v>
      </c>
      <c r="L69" s="1">
        <f t="shared" si="11"/>
        <v>-43</v>
      </c>
      <c r="M69" s="1">
        <f t="shared" si="14"/>
        <v>353</v>
      </c>
      <c r="N69" s="1"/>
      <c r="O69" s="1"/>
      <c r="P69" s="1"/>
      <c r="Q69" s="1">
        <v>0</v>
      </c>
      <c r="R69" s="1"/>
      <c r="S69" s="1">
        <f t="shared" si="15"/>
        <v>70.599999999999994</v>
      </c>
      <c r="T69" s="5"/>
      <c r="U69" s="1">
        <f t="shared" si="12"/>
        <v>14.362606232294619</v>
      </c>
      <c r="V69" s="1">
        <f t="shared" si="13"/>
        <v>14.362606232294619</v>
      </c>
      <c r="W69" s="1">
        <v>69.400000000000006</v>
      </c>
      <c r="X69" s="1">
        <v>121.4</v>
      </c>
      <c r="Y69" s="1">
        <v>133.4</v>
      </c>
      <c r="Z69" s="1">
        <v>75.8</v>
      </c>
      <c r="AA69" s="1">
        <v>79.400000000000006</v>
      </c>
      <c r="AB69" s="1">
        <v>79.400000000000006</v>
      </c>
      <c r="AC69" s="1">
        <v>84.2</v>
      </c>
      <c r="AD69" s="1">
        <v>95.6</v>
      </c>
      <c r="AE69" s="1"/>
      <c r="AF69" s="1">
        <f t="shared" si="16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170</v>
      </c>
      <c r="B70" s="1" t="s">
        <v>42</v>
      </c>
      <c r="C70" s="1">
        <v>50</v>
      </c>
      <c r="D70" s="1"/>
      <c r="E70" s="1">
        <v>2</v>
      </c>
      <c r="F70" s="1">
        <v>48</v>
      </c>
      <c r="G70" s="7">
        <v>0.4</v>
      </c>
      <c r="H70" s="1"/>
      <c r="I70" s="1" t="s">
        <v>171</v>
      </c>
      <c r="J70" s="1"/>
      <c r="K70" s="1">
        <v>2</v>
      </c>
      <c r="L70" s="1">
        <f t="shared" ref="L70:L101" si="18">E70-K70</f>
        <v>0</v>
      </c>
      <c r="M70" s="1">
        <f t="shared" ref="M70:M101" si="19">E70-N70</f>
        <v>2</v>
      </c>
      <c r="N70" s="1"/>
      <c r="O70" s="1"/>
      <c r="P70" s="1"/>
      <c r="Q70" s="1">
        <v>0</v>
      </c>
      <c r="R70" s="1"/>
      <c r="S70" s="1">
        <f t="shared" ref="S70:S101" si="20">M70/5</f>
        <v>0.4</v>
      </c>
      <c r="T70" s="5"/>
      <c r="U70" s="1">
        <f t="shared" ref="U70:U101" si="21">(F70+O70+P70+Q70+R70+T70)/S70</f>
        <v>120</v>
      </c>
      <c r="V70" s="1">
        <f t="shared" ref="V70:V101" si="22">(F70+O70+P70+Q70+R70)/S70</f>
        <v>120</v>
      </c>
      <c r="W70" s="1">
        <v>0</v>
      </c>
      <c r="X70" s="1">
        <v>0</v>
      </c>
      <c r="Y70" s="1">
        <v>1</v>
      </c>
      <c r="Z70" s="1">
        <v>1</v>
      </c>
      <c r="AA70" s="1">
        <v>0</v>
      </c>
      <c r="AB70" s="1">
        <v>4.5999999999999996</v>
      </c>
      <c r="AC70" s="1">
        <v>3.4</v>
      </c>
      <c r="AD70" s="1">
        <v>5</v>
      </c>
      <c r="AE70" s="16" t="s">
        <v>77</v>
      </c>
      <c r="AF70" s="1">
        <f t="shared" si="16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172</v>
      </c>
      <c r="B71" s="1" t="s">
        <v>35</v>
      </c>
      <c r="C71" s="1">
        <v>46.423999999999999</v>
      </c>
      <c r="D71" s="1">
        <v>34.573999999999998</v>
      </c>
      <c r="E71" s="1">
        <v>34.177</v>
      </c>
      <c r="F71" s="1">
        <v>46.603000000000002</v>
      </c>
      <c r="G71" s="7">
        <v>1</v>
      </c>
      <c r="H71" s="1"/>
      <c r="I71" s="1" t="s">
        <v>173</v>
      </c>
      <c r="J71" s="1"/>
      <c r="K71" s="1">
        <v>30.7</v>
      </c>
      <c r="L71" s="1">
        <f t="shared" si="18"/>
        <v>3.4770000000000003</v>
      </c>
      <c r="M71" s="1">
        <f t="shared" si="19"/>
        <v>34.177</v>
      </c>
      <c r="N71" s="1"/>
      <c r="O71" s="1"/>
      <c r="P71" s="1"/>
      <c r="Q71" s="1">
        <v>0</v>
      </c>
      <c r="R71" s="1"/>
      <c r="S71" s="1">
        <f t="shared" si="20"/>
        <v>6.8353999999999999</v>
      </c>
      <c r="T71" s="5">
        <f t="shared" si="17"/>
        <v>28.586400000000005</v>
      </c>
      <c r="U71" s="1">
        <f t="shared" si="21"/>
        <v>11.000000000000002</v>
      </c>
      <c r="V71" s="1">
        <f t="shared" si="22"/>
        <v>6.817889223746965</v>
      </c>
      <c r="W71" s="1">
        <v>3.2829999999999999</v>
      </c>
      <c r="X71" s="1">
        <v>2.9152</v>
      </c>
      <c r="Y71" s="1">
        <v>5.6456</v>
      </c>
      <c r="Z71" s="1">
        <v>4.0502000000000002</v>
      </c>
      <c r="AA71" s="1">
        <v>5.4164000000000003</v>
      </c>
      <c r="AB71" s="1">
        <v>0.78439999999999999</v>
      </c>
      <c r="AC71" s="1">
        <v>1.3715999999999999</v>
      </c>
      <c r="AD71" s="1">
        <v>0.46479999999999999</v>
      </c>
      <c r="AE71" s="1"/>
      <c r="AF71" s="1">
        <f t="shared" si="16"/>
        <v>28.586400000000005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174</v>
      </c>
      <c r="B72" s="1" t="s">
        <v>35</v>
      </c>
      <c r="C72" s="1">
        <v>3632.3130000000001</v>
      </c>
      <c r="D72" s="1">
        <v>4813.3130000000001</v>
      </c>
      <c r="E72" s="1">
        <v>3878.1509999999998</v>
      </c>
      <c r="F72" s="1">
        <v>2960.886</v>
      </c>
      <c r="G72" s="7">
        <v>1</v>
      </c>
      <c r="H72" s="1"/>
      <c r="I72" s="1" t="s">
        <v>175</v>
      </c>
      <c r="J72" s="1"/>
      <c r="K72" s="1">
        <v>3852.99</v>
      </c>
      <c r="L72" s="1">
        <f t="shared" si="18"/>
        <v>25.161000000000058</v>
      </c>
      <c r="M72" s="1">
        <f t="shared" si="19"/>
        <v>3491.8609999999999</v>
      </c>
      <c r="N72" s="1">
        <v>386.29</v>
      </c>
      <c r="O72" s="1"/>
      <c r="P72" s="1">
        <v>274.3805727064348</v>
      </c>
      <c r="Q72" s="1">
        <v>1516.9179637070031</v>
      </c>
      <c r="R72" s="1">
        <v>2200</v>
      </c>
      <c r="S72" s="1">
        <f t="shared" si="20"/>
        <v>698.37220000000002</v>
      </c>
      <c r="T72" s="5">
        <f t="shared" si="17"/>
        <v>729.90966358656306</v>
      </c>
      <c r="U72" s="1">
        <f t="shared" si="21"/>
        <v>11.000000000000002</v>
      </c>
      <c r="V72" s="1">
        <f t="shared" si="22"/>
        <v>9.9548414676492527</v>
      </c>
      <c r="W72" s="1">
        <v>724.56380000000013</v>
      </c>
      <c r="X72" s="1">
        <v>676.86879999999996</v>
      </c>
      <c r="Y72" s="1">
        <v>668.60320000000002</v>
      </c>
      <c r="Z72" s="1">
        <v>799.48800000000006</v>
      </c>
      <c r="AA72" s="1">
        <v>781.14059999999995</v>
      </c>
      <c r="AB72" s="1">
        <v>821.63319999999999</v>
      </c>
      <c r="AC72" s="1">
        <v>754.90499999999997</v>
      </c>
      <c r="AD72" s="1">
        <v>782.39779999999996</v>
      </c>
      <c r="AE72" s="1"/>
      <c r="AF72" s="1">
        <f t="shared" si="16"/>
        <v>729.90966358656306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176</v>
      </c>
      <c r="B73" s="1" t="s">
        <v>42</v>
      </c>
      <c r="C73" s="1">
        <v>129</v>
      </c>
      <c r="D73" s="1">
        <v>485</v>
      </c>
      <c r="E73" s="1">
        <v>199</v>
      </c>
      <c r="F73" s="1">
        <v>398</v>
      </c>
      <c r="G73" s="7">
        <v>0.3</v>
      </c>
      <c r="H73" s="1"/>
      <c r="I73" s="1" t="s">
        <v>177</v>
      </c>
      <c r="J73" s="1"/>
      <c r="K73" s="1">
        <v>217</v>
      </c>
      <c r="L73" s="1">
        <f t="shared" si="18"/>
        <v>-18</v>
      </c>
      <c r="M73" s="1">
        <f t="shared" si="19"/>
        <v>199</v>
      </c>
      <c r="N73" s="1"/>
      <c r="O73" s="1"/>
      <c r="P73" s="1"/>
      <c r="Q73" s="1">
        <v>90.200000000000045</v>
      </c>
      <c r="R73" s="1"/>
      <c r="S73" s="1">
        <f t="shared" si="20"/>
        <v>39.799999999999997</v>
      </c>
      <c r="T73" s="5"/>
      <c r="U73" s="1">
        <f t="shared" si="21"/>
        <v>12.26633165829146</v>
      </c>
      <c r="V73" s="1">
        <f t="shared" si="22"/>
        <v>12.26633165829146</v>
      </c>
      <c r="W73" s="1">
        <v>42.6</v>
      </c>
      <c r="X73" s="1">
        <v>36.200000000000003</v>
      </c>
      <c r="Y73" s="1">
        <v>40.200000000000003</v>
      </c>
      <c r="Z73" s="1">
        <v>53</v>
      </c>
      <c r="AA73" s="1">
        <v>21.2</v>
      </c>
      <c r="AB73" s="1">
        <v>3.6</v>
      </c>
      <c r="AC73" s="1">
        <v>38.200000000000003</v>
      </c>
      <c r="AD73" s="1">
        <v>6</v>
      </c>
      <c r="AE73" s="1"/>
      <c r="AF73" s="1">
        <f t="shared" si="16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178</v>
      </c>
      <c r="B74" s="1" t="s">
        <v>35</v>
      </c>
      <c r="C74" s="1">
        <v>1388.396</v>
      </c>
      <c r="D74" s="1">
        <v>2013.269</v>
      </c>
      <c r="E74" s="1">
        <v>1254.546</v>
      </c>
      <c r="F74" s="1">
        <v>2109.163</v>
      </c>
      <c r="G74" s="7">
        <v>1</v>
      </c>
      <c r="H74" s="1"/>
      <c r="I74" s="1" t="s">
        <v>179</v>
      </c>
      <c r="J74" s="1"/>
      <c r="K74" s="1">
        <v>1344</v>
      </c>
      <c r="L74" s="1">
        <f t="shared" si="18"/>
        <v>-89.453999999999951</v>
      </c>
      <c r="M74" s="1">
        <f t="shared" si="19"/>
        <v>1254.546</v>
      </c>
      <c r="N74" s="1"/>
      <c r="O74" s="1"/>
      <c r="P74" s="1">
        <v>300.29472754319988</v>
      </c>
      <c r="Q74" s="1">
        <v>431.72217104000077</v>
      </c>
      <c r="R74" s="1">
        <v>700</v>
      </c>
      <c r="S74" s="1">
        <f t="shared" si="20"/>
        <v>250.9092</v>
      </c>
      <c r="T74" s="5"/>
      <c r="U74" s="1">
        <f t="shared" si="21"/>
        <v>14.113392010269854</v>
      </c>
      <c r="V74" s="1">
        <f t="shared" si="22"/>
        <v>14.113392010269854</v>
      </c>
      <c r="W74" s="1">
        <v>349.91320000000002</v>
      </c>
      <c r="X74" s="1">
        <v>349.47840000000002</v>
      </c>
      <c r="Y74" s="1">
        <v>308.02800000000002</v>
      </c>
      <c r="Z74" s="1">
        <v>301.47000000000003</v>
      </c>
      <c r="AA74" s="1">
        <v>254.72839999999999</v>
      </c>
      <c r="AB74" s="1">
        <v>276.92239999999998</v>
      </c>
      <c r="AC74" s="1">
        <v>244.89420000000001</v>
      </c>
      <c r="AD74" s="1">
        <v>319.43419999999998</v>
      </c>
      <c r="AE74" s="1"/>
      <c r="AF74" s="1">
        <f t="shared" si="16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180</v>
      </c>
      <c r="B75" s="1" t="s">
        <v>35</v>
      </c>
      <c r="C75" s="1">
        <v>6062.5420000000004</v>
      </c>
      <c r="D75" s="1">
        <v>2074.5790000000002</v>
      </c>
      <c r="E75" s="1">
        <v>3173.8870000000002</v>
      </c>
      <c r="F75" s="1">
        <v>4948.3950000000004</v>
      </c>
      <c r="G75" s="7">
        <v>1</v>
      </c>
      <c r="H75" s="1"/>
      <c r="I75" s="1" t="s">
        <v>181</v>
      </c>
      <c r="J75" s="1"/>
      <c r="K75" s="1">
        <v>3210.9</v>
      </c>
      <c r="L75" s="1">
        <f t="shared" si="18"/>
        <v>-37.01299999999992</v>
      </c>
      <c r="M75" s="1">
        <f t="shared" si="19"/>
        <v>3173.8870000000002</v>
      </c>
      <c r="N75" s="1"/>
      <c r="O75" s="1"/>
      <c r="P75" s="1">
        <v>856.66229999999996</v>
      </c>
      <c r="Q75" s="1">
        <v>879.32519999999931</v>
      </c>
      <c r="R75" s="1">
        <v>2000</v>
      </c>
      <c r="S75" s="1">
        <f t="shared" si="20"/>
        <v>634.77740000000006</v>
      </c>
      <c r="T75" s="5"/>
      <c r="U75" s="1">
        <f t="shared" si="21"/>
        <v>13.680988800168372</v>
      </c>
      <c r="V75" s="1">
        <f t="shared" si="22"/>
        <v>13.680988800168372</v>
      </c>
      <c r="W75" s="1">
        <v>822.75660000000005</v>
      </c>
      <c r="X75" s="1">
        <v>966.07039999999995</v>
      </c>
      <c r="Y75" s="1">
        <v>712.95320000000004</v>
      </c>
      <c r="Z75" s="1">
        <v>686.71839999999997</v>
      </c>
      <c r="AA75" s="1">
        <v>605.00379999999996</v>
      </c>
      <c r="AB75" s="1">
        <v>659.8646</v>
      </c>
      <c r="AC75" s="1">
        <v>643.58459999999991</v>
      </c>
      <c r="AD75" s="1">
        <v>892.06839999999988</v>
      </c>
      <c r="AE75" s="1"/>
      <c r="AF75" s="1">
        <f t="shared" si="16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182</v>
      </c>
      <c r="B76" s="1" t="s">
        <v>35</v>
      </c>
      <c r="C76" s="1">
        <v>4618.5690000000004</v>
      </c>
      <c r="D76" s="1">
        <v>4349.8410000000003</v>
      </c>
      <c r="E76" s="1">
        <v>3347.0970000000002</v>
      </c>
      <c r="F76" s="1">
        <v>4673.2939999999999</v>
      </c>
      <c r="G76" s="7">
        <v>1</v>
      </c>
      <c r="H76" s="1"/>
      <c r="I76" s="1" t="s">
        <v>183</v>
      </c>
      <c r="J76" s="1"/>
      <c r="K76" s="1">
        <v>3485.9369999999999</v>
      </c>
      <c r="L76" s="1">
        <f t="shared" si="18"/>
        <v>-138.83999999999969</v>
      </c>
      <c r="M76" s="1">
        <f t="shared" si="19"/>
        <v>3049.5600000000004</v>
      </c>
      <c r="N76" s="1">
        <v>297.53699999999998</v>
      </c>
      <c r="O76" s="1"/>
      <c r="P76" s="1">
        <v>523.70897167764247</v>
      </c>
      <c r="Q76" s="1">
        <v>369.88695024528079</v>
      </c>
      <c r="R76" s="1">
        <v>1200</v>
      </c>
      <c r="S76" s="1">
        <f t="shared" si="20"/>
        <v>609.91200000000003</v>
      </c>
      <c r="T76" s="5"/>
      <c r="U76" s="1">
        <f t="shared" si="21"/>
        <v>11.094862737448883</v>
      </c>
      <c r="V76" s="1">
        <f t="shared" si="22"/>
        <v>11.094862737448883</v>
      </c>
      <c r="W76" s="1">
        <v>659.83880000000011</v>
      </c>
      <c r="X76" s="1">
        <v>775.93799999999987</v>
      </c>
      <c r="Y76" s="1">
        <v>804.43219999999997</v>
      </c>
      <c r="Z76" s="1">
        <v>793.85979999999995</v>
      </c>
      <c r="AA76" s="1">
        <v>670.39440000000002</v>
      </c>
      <c r="AB76" s="1">
        <v>796.82820000000004</v>
      </c>
      <c r="AC76" s="1">
        <v>814.63580000000002</v>
      </c>
      <c r="AD76" s="1">
        <v>890.33680000000004</v>
      </c>
      <c r="AE76" s="1"/>
      <c r="AF76" s="1">
        <f t="shared" si="16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184</v>
      </c>
      <c r="B77" s="1" t="s">
        <v>35</v>
      </c>
      <c r="C77" s="1">
        <v>5.43</v>
      </c>
      <c r="D77" s="1">
        <v>225.22300000000001</v>
      </c>
      <c r="E77" s="1">
        <v>75.084000000000003</v>
      </c>
      <c r="F77" s="1">
        <v>155.56899999999999</v>
      </c>
      <c r="G77" s="7">
        <v>1</v>
      </c>
      <c r="H77" s="1"/>
      <c r="I77" s="1" t="s">
        <v>185</v>
      </c>
      <c r="J77" s="1"/>
      <c r="K77" s="1">
        <v>69.55</v>
      </c>
      <c r="L77" s="1">
        <f t="shared" si="18"/>
        <v>5.534000000000006</v>
      </c>
      <c r="M77" s="1">
        <f t="shared" si="19"/>
        <v>75.084000000000003</v>
      </c>
      <c r="N77" s="1"/>
      <c r="O77" s="1"/>
      <c r="P77" s="1"/>
      <c r="Q77" s="1">
        <v>0</v>
      </c>
      <c r="R77" s="1"/>
      <c r="S77" s="1">
        <f t="shared" si="20"/>
        <v>15.0168</v>
      </c>
      <c r="T77" s="5">
        <f t="shared" si="17"/>
        <v>9.6158000000000072</v>
      </c>
      <c r="U77" s="1">
        <f t="shared" si="21"/>
        <v>11</v>
      </c>
      <c r="V77" s="1">
        <f t="shared" si="22"/>
        <v>10.359663843162323</v>
      </c>
      <c r="W77" s="1">
        <v>2.4350000000000001</v>
      </c>
      <c r="X77" s="1">
        <v>1.0888</v>
      </c>
      <c r="Y77" s="1">
        <v>13.7394</v>
      </c>
      <c r="Z77" s="1">
        <v>13.4664</v>
      </c>
      <c r="AA77" s="1">
        <v>1.6126</v>
      </c>
      <c r="AB77" s="1">
        <v>5.6142000000000003</v>
      </c>
      <c r="AC77" s="1">
        <v>8.8628</v>
      </c>
      <c r="AD77" s="1">
        <v>6.5221999999999998</v>
      </c>
      <c r="AE77" s="1"/>
      <c r="AF77" s="1">
        <f t="shared" si="16"/>
        <v>9.6158000000000072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186</v>
      </c>
      <c r="B78" s="1" t="s">
        <v>35</v>
      </c>
      <c r="C78" s="1">
        <v>1090.6790000000001</v>
      </c>
      <c r="D78" s="1"/>
      <c r="E78" s="1">
        <v>2.6859999999999999</v>
      </c>
      <c r="F78" s="1">
        <v>1087.9929999999999</v>
      </c>
      <c r="G78" s="7">
        <v>1</v>
      </c>
      <c r="H78" s="1"/>
      <c r="I78" s="1"/>
      <c r="J78" s="1"/>
      <c r="K78" s="1">
        <v>2.6</v>
      </c>
      <c r="L78" s="1">
        <f t="shared" si="18"/>
        <v>8.5999999999999854E-2</v>
      </c>
      <c r="M78" s="1">
        <f t="shared" si="19"/>
        <v>2.6859999999999999</v>
      </c>
      <c r="N78" s="1"/>
      <c r="O78" s="1"/>
      <c r="P78" s="1"/>
      <c r="Q78" s="1">
        <v>0</v>
      </c>
      <c r="R78" s="1"/>
      <c r="S78" s="1">
        <f t="shared" si="20"/>
        <v>0.53720000000000001</v>
      </c>
      <c r="T78" s="5"/>
      <c r="U78" s="1">
        <f t="shared" si="21"/>
        <v>2025.3034251675351</v>
      </c>
      <c r="V78" s="1">
        <f t="shared" si="22"/>
        <v>2025.3034251675351</v>
      </c>
      <c r="W78" s="1">
        <v>1.339</v>
      </c>
      <c r="X78" s="1">
        <v>2.4163999999999999</v>
      </c>
      <c r="Y78" s="1">
        <v>1.0773999999999999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6" t="s">
        <v>77</v>
      </c>
      <c r="AF78" s="1">
        <f t="shared" si="16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187</v>
      </c>
      <c r="B79" s="1" t="s">
        <v>42</v>
      </c>
      <c r="C79" s="1">
        <v>168</v>
      </c>
      <c r="D79" s="1">
        <v>198</v>
      </c>
      <c r="E79" s="1">
        <v>141</v>
      </c>
      <c r="F79" s="1">
        <v>218</v>
      </c>
      <c r="G79" s="7">
        <v>0.3</v>
      </c>
      <c r="H79" s="1"/>
      <c r="I79" s="1" t="s">
        <v>188</v>
      </c>
      <c r="J79" s="1"/>
      <c r="K79" s="1">
        <v>148</v>
      </c>
      <c r="L79" s="1">
        <f t="shared" si="18"/>
        <v>-7</v>
      </c>
      <c r="M79" s="1">
        <f t="shared" si="19"/>
        <v>141</v>
      </c>
      <c r="N79" s="1"/>
      <c r="O79" s="1"/>
      <c r="P79" s="1"/>
      <c r="Q79" s="1">
        <v>35.799999999999947</v>
      </c>
      <c r="R79" s="1"/>
      <c r="S79" s="1">
        <f t="shared" si="20"/>
        <v>28.2</v>
      </c>
      <c r="T79" s="5">
        <f t="shared" si="17"/>
        <v>56.400000000000034</v>
      </c>
      <c r="U79" s="1">
        <f t="shared" si="21"/>
        <v>11</v>
      </c>
      <c r="V79" s="1">
        <f t="shared" si="22"/>
        <v>8.9999999999999982</v>
      </c>
      <c r="W79" s="1">
        <v>24.4</v>
      </c>
      <c r="X79" s="1">
        <v>9.8000000000000007</v>
      </c>
      <c r="Y79" s="1">
        <v>18.399999999999999</v>
      </c>
      <c r="Z79" s="1">
        <v>31.8</v>
      </c>
      <c r="AA79" s="1">
        <v>18.8</v>
      </c>
      <c r="AB79" s="1">
        <v>14.6</v>
      </c>
      <c r="AC79" s="1">
        <v>28.2</v>
      </c>
      <c r="AD79" s="1">
        <v>11.6</v>
      </c>
      <c r="AE79" s="1"/>
      <c r="AF79" s="1">
        <f t="shared" si="16"/>
        <v>16.920000000000009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189</v>
      </c>
      <c r="B80" s="1" t="s">
        <v>42</v>
      </c>
      <c r="C80" s="1">
        <v>26</v>
      </c>
      <c r="D80" s="1">
        <v>60</v>
      </c>
      <c r="E80" s="1">
        <v>68</v>
      </c>
      <c r="F80" s="1">
        <v>18</v>
      </c>
      <c r="G80" s="7">
        <v>0.3</v>
      </c>
      <c r="H80" s="1"/>
      <c r="I80" s="1" t="s">
        <v>190</v>
      </c>
      <c r="J80" s="1"/>
      <c r="K80" s="1">
        <v>71</v>
      </c>
      <c r="L80" s="1">
        <f t="shared" si="18"/>
        <v>-3</v>
      </c>
      <c r="M80" s="1">
        <f t="shared" si="19"/>
        <v>68</v>
      </c>
      <c r="N80" s="1"/>
      <c r="O80" s="1"/>
      <c r="P80" s="1"/>
      <c r="Q80" s="1">
        <v>10.599999999999991</v>
      </c>
      <c r="R80" s="1"/>
      <c r="S80" s="1">
        <f t="shared" si="20"/>
        <v>13.6</v>
      </c>
      <c r="T80" s="5">
        <f>8*S80-R80-Q80-P80-F80-O80</f>
        <v>80.2</v>
      </c>
      <c r="U80" s="1">
        <f t="shared" si="21"/>
        <v>8</v>
      </c>
      <c r="V80" s="1">
        <f t="shared" si="22"/>
        <v>2.1029411764705874</v>
      </c>
      <c r="W80" s="1">
        <v>6.8</v>
      </c>
      <c r="X80" s="1">
        <v>4.2</v>
      </c>
      <c r="Y80" s="1">
        <v>7.8</v>
      </c>
      <c r="Z80" s="1">
        <v>8.1999999999999993</v>
      </c>
      <c r="AA80" s="1">
        <v>1.4</v>
      </c>
      <c r="AB80" s="1">
        <v>7.4</v>
      </c>
      <c r="AC80" s="1">
        <v>3.4</v>
      </c>
      <c r="AD80" s="1">
        <v>6</v>
      </c>
      <c r="AE80" s="1"/>
      <c r="AF80" s="1">
        <f t="shared" si="16"/>
        <v>24.06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191</v>
      </c>
      <c r="B81" s="1" t="s">
        <v>42</v>
      </c>
      <c r="C81" s="1">
        <v>6</v>
      </c>
      <c r="D81" s="1">
        <v>203</v>
      </c>
      <c r="E81" s="1">
        <v>114</v>
      </c>
      <c r="F81" s="1">
        <v>92</v>
      </c>
      <c r="G81" s="7">
        <v>7.0000000000000007E-2</v>
      </c>
      <c r="H81" s="1"/>
      <c r="I81" s="1" t="s">
        <v>192</v>
      </c>
      <c r="J81" s="1"/>
      <c r="K81" s="1">
        <v>125</v>
      </c>
      <c r="L81" s="1">
        <f t="shared" si="18"/>
        <v>-11</v>
      </c>
      <c r="M81" s="1">
        <f t="shared" si="19"/>
        <v>114</v>
      </c>
      <c r="N81" s="1"/>
      <c r="O81" s="1"/>
      <c r="P81" s="1"/>
      <c r="Q81" s="1">
        <v>85.481288000000006</v>
      </c>
      <c r="R81" s="1"/>
      <c r="S81" s="1">
        <f t="shared" si="20"/>
        <v>22.8</v>
      </c>
      <c r="T81" s="5">
        <f t="shared" si="17"/>
        <v>73.318712000000005</v>
      </c>
      <c r="U81" s="1">
        <f t="shared" si="21"/>
        <v>11</v>
      </c>
      <c r="V81" s="1">
        <f t="shared" si="22"/>
        <v>7.7842670175438595</v>
      </c>
      <c r="W81" s="1">
        <v>19.600000000000001</v>
      </c>
      <c r="X81" s="1">
        <v>16.8</v>
      </c>
      <c r="Y81" s="1">
        <v>16</v>
      </c>
      <c r="Z81" s="1">
        <v>16.399999999999999</v>
      </c>
      <c r="AA81" s="1">
        <v>14.6</v>
      </c>
      <c r="AB81" s="1">
        <v>20.6</v>
      </c>
      <c r="AC81" s="1">
        <v>16.600000000000001</v>
      </c>
      <c r="AD81" s="1">
        <v>14.4</v>
      </c>
      <c r="AE81" s="1"/>
      <c r="AF81" s="1">
        <f t="shared" si="16"/>
        <v>5.1323098400000005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193</v>
      </c>
      <c r="B82" s="1" t="s">
        <v>42</v>
      </c>
      <c r="C82" s="1"/>
      <c r="D82" s="1">
        <v>236</v>
      </c>
      <c r="E82" s="1">
        <v>119</v>
      </c>
      <c r="F82" s="1">
        <v>114</v>
      </c>
      <c r="G82" s="7">
        <v>7.0000000000000007E-2</v>
      </c>
      <c r="H82" s="1"/>
      <c r="I82" s="1" t="s">
        <v>194</v>
      </c>
      <c r="J82" s="1"/>
      <c r="K82" s="1">
        <v>125</v>
      </c>
      <c r="L82" s="1">
        <f t="shared" si="18"/>
        <v>-6</v>
      </c>
      <c r="M82" s="1">
        <f t="shared" si="19"/>
        <v>119</v>
      </c>
      <c r="N82" s="1"/>
      <c r="O82" s="1"/>
      <c r="P82" s="1"/>
      <c r="Q82" s="1">
        <v>0</v>
      </c>
      <c r="R82" s="1"/>
      <c r="S82" s="1">
        <f t="shared" si="20"/>
        <v>23.8</v>
      </c>
      <c r="T82" s="5">
        <f t="shared" si="17"/>
        <v>147.80000000000001</v>
      </c>
      <c r="U82" s="1">
        <f t="shared" si="21"/>
        <v>11</v>
      </c>
      <c r="V82" s="1">
        <f t="shared" si="22"/>
        <v>4.7899159663865545</v>
      </c>
      <c r="W82" s="1">
        <v>7.8</v>
      </c>
      <c r="X82" s="1">
        <v>9.8000000000000007</v>
      </c>
      <c r="Y82" s="1">
        <v>23.8</v>
      </c>
      <c r="Z82" s="1">
        <v>23.6</v>
      </c>
      <c r="AA82" s="1">
        <v>18.399999999999999</v>
      </c>
      <c r="AB82" s="1">
        <v>30.6</v>
      </c>
      <c r="AC82" s="1">
        <v>19.2</v>
      </c>
      <c r="AD82" s="1">
        <v>15</v>
      </c>
      <c r="AE82" s="1"/>
      <c r="AF82" s="1">
        <f t="shared" si="16"/>
        <v>10.346000000000002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195</v>
      </c>
      <c r="B83" s="1" t="s">
        <v>42</v>
      </c>
      <c r="C83" s="1"/>
      <c r="D83" s="1">
        <v>199</v>
      </c>
      <c r="E83" s="1">
        <v>82</v>
      </c>
      <c r="F83" s="1">
        <v>115</v>
      </c>
      <c r="G83" s="7">
        <v>7.0000000000000007E-2</v>
      </c>
      <c r="H83" s="1"/>
      <c r="I83" s="1" t="s">
        <v>196</v>
      </c>
      <c r="J83" s="1"/>
      <c r="K83" s="1">
        <v>89</v>
      </c>
      <c r="L83" s="1">
        <f t="shared" si="18"/>
        <v>-7</v>
      </c>
      <c r="M83" s="1">
        <f t="shared" si="19"/>
        <v>82</v>
      </c>
      <c r="N83" s="1"/>
      <c r="O83" s="1"/>
      <c r="P83" s="1"/>
      <c r="Q83" s="1">
        <v>0</v>
      </c>
      <c r="R83" s="1"/>
      <c r="S83" s="1">
        <f t="shared" si="20"/>
        <v>16.399999999999999</v>
      </c>
      <c r="T83" s="5">
        <f t="shared" si="17"/>
        <v>65.399999999999977</v>
      </c>
      <c r="U83" s="1">
        <f t="shared" si="21"/>
        <v>11</v>
      </c>
      <c r="V83" s="1">
        <f t="shared" si="22"/>
        <v>7.01219512195122</v>
      </c>
      <c r="W83" s="1">
        <v>7</v>
      </c>
      <c r="X83" s="1">
        <v>11.2</v>
      </c>
      <c r="Y83" s="1">
        <v>16.8</v>
      </c>
      <c r="Z83" s="1">
        <v>13.8</v>
      </c>
      <c r="AA83" s="1">
        <v>14</v>
      </c>
      <c r="AB83" s="1">
        <v>15.2</v>
      </c>
      <c r="AC83" s="1">
        <v>16.600000000000001</v>
      </c>
      <c r="AD83" s="1">
        <v>12</v>
      </c>
      <c r="AE83" s="1"/>
      <c r="AF83" s="1">
        <f t="shared" si="16"/>
        <v>4.5779999999999985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197</v>
      </c>
      <c r="B84" s="1" t="s">
        <v>42</v>
      </c>
      <c r="C84" s="1">
        <v>10</v>
      </c>
      <c r="D84" s="1">
        <v>73</v>
      </c>
      <c r="E84" s="1">
        <v>13</v>
      </c>
      <c r="F84" s="1">
        <v>67</v>
      </c>
      <c r="G84" s="7">
        <v>0.05</v>
      </c>
      <c r="H84" s="1"/>
      <c r="I84" s="1" t="s">
        <v>198</v>
      </c>
      <c r="J84" s="1"/>
      <c r="K84" s="1">
        <v>39</v>
      </c>
      <c r="L84" s="1">
        <f t="shared" si="18"/>
        <v>-26</v>
      </c>
      <c r="M84" s="1">
        <f t="shared" si="19"/>
        <v>13</v>
      </c>
      <c r="N84" s="1"/>
      <c r="O84" s="1"/>
      <c r="P84" s="1"/>
      <c r="Q84" s="1">
        <v>59.199999999999989</v>
      </c>
      <c r="R84" s="1"/>
      <c r="S84" s="1">
        <f t="shared" si="20"/>
        <v>2.6</v>
      </c>
      <c r="T84" s="5"/>
      <c r="U84" s="1">
        <f t="shared" si="21"/>
        <v>48.538461538461533</v>
      </c>
      <c r="V84" s="1">
        <f t="shared" si="22"/>
        <v>48.538461538461533</v>
      </c>
      <c r="W84" s="1">
        <v>9.6</v>
      </c>
      <c r="X84" s="1">
        <v>8</v>
      </c>
      <c r="Y84" s="1">
        <v>4.4000000000000004</v>
      </c>
      <c r="Z84" s="1">
        <v>8.4</v>
      </c>
      <c r="AA84" s="1">
        <v>9.1999999999999993</v>
      </c>
      <c r="AB84" s="1">
        <v>10.6</v>
      </c>
      <c r="AC84" s="1">
        <v>6.4</v>
      </c>
      <c r="AD84" s="1">
        <v>7.6</v>
      </c>
      <c r="AE84" s="1"/>
      <c r="AF84" s="1">
        <f t="shared" si="16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8" t="s">
        <v>199</v>
      </c>
      <c r="B85" s="18" t="s">
        <v>42</v>
      </c>
      <c r="C85" s="18">
        <v>18</v>
      </c>
      <c r="D85" s="18"/>
      <c r="E85" s="18">
        <v>16</v>
      </c>
      <c r="F85" s="18"/>
      <c r="G85" s="19">
        <v>0.05</v>
      </c>
      <c r="H85" s="18"/>
      <c r="I85" s="18" t="s">
        <v>200</v>
      </c>
      <c r="J85" s="18"/>
      <c r="K85" s="18">
        <v>40</v>
      </c>
      <c r="L85" s="18">
        <f t="shared" si="18"/>
        <v>-24</v>
      </c>
      <c r="M85" s="18">
        <f t="shared" si="19"/>
        <v>16</v>
      </c>
      <c r="N85" s="18"/>
      <c r="O85" s="18"/>
      <c r="P85" s="18"/>
      <c r="Q85" s="18">
        <v>0</v>
      </c>
      <c r="R85" s="18"/>
      <c r="S85" s="18">
        <f t="shared" si="20"/>
        <v>3.2</v>
      </c>
      <c r="T85" s="20"/>
      <c r="U85" s="18">
        <f t="shared" si="21"/>
        <v>0</v>
      </c>
      <c r="V85" s="18">
        <f t="shared" si="22"/>
        <v>0</v>
      </c>
      <c r="W85" s="18">
        <v>14</v>
      </c>
      <c r="X85" s="18">
        <v>15.8</v>
      </c>
      <c r="Y85" s="18">
        <v>10.199999999999999</v>
      </c>
      <c r="Z85" s="18">
        <v>5.6</v>
      </c>
      <c r="AA85" s="18">
        <v>9.8000000000000007</v>
      </c>
      <c r="AB85" s="18">
        <v>17.399999999999999</v>
      </c>
      <c r="AC85" s="18">
        <v>10.4</v>
      </c>
      <c r="AD85" s="18">
        <v>7.6</v>
      </c>
      <c r="AE85" s="18" t="s">
        <v>201</v>
      </c>
      <c r="AF85" s="18">
        <f t="shared" si="16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8" t="s">
        <v>202</v>
      </c>
      <c r="B86" s="18" t="s">
        <v>42</v>
      </c>
      <c r="C86" s="18">
        <v>42</v>
      </c>
      <c r="D86" s="18">
        <v>56</v>
      </c>
      <c r="E86" s="18">
        <v>67</v>
      </c>
      <c r="F86" s="18">
        <v>22</v>
      </c>
      <c r="G86" s="19">
        <v>5.5E-2</v>
      </c>
      <c r="H86" s="18"/>
      <c r="I86" s="18" t="s">
        <v>203</v>
      </c>
      <c r="J86" s="18"/>
      <c r="K86" s="18">
        <v>79</v>
      </c>
      <c r="L86" s="18">
        <f t="shared" si="18"/>
        <v>-12</v>
      </c>
      <c r="M86" s="18">
        <f t="shared" si="19"/>
        <v>67</v>
      </c>
      <c r="N86" s="18"/>
      <c r="O86" s="18"/>
      <c r="P86" s="18"/>
      <c r="Q86" s="18">
        <v>0</v>
      </c>
      <c r="R86" s="18"/>
      <c r="S86" s="18">
        <f t="shared" si="20"/>
        <v>13.4</v>
      </c>
      <c r="T86" s="20"/>
      <c r="U86" s="18">
        <f t="shared" si="21"/>
        <v>1.6417910447761193</v>
      </c>
      <c r="V86" s="18">
        <f t="shared" si="22"/>
        <v>1.6417910447761193</v>
      </c>
      <c r="W86" s="18">
        <v>10.8</v>
      </c>
      <c r="X86" s="18">
        <v>10.4</v>
      </c>
      <c r="Y86" s="18">
        <v>10.4</v>
      </c>
      <c r="Z86" s="18">
        <v>8.8000000000000007</v>
      </c>
      <c r="AA86" s="18">
        <v>20.399999999999999</v>
      </c>
      <c r="AB86" s="18">
        <v>5.6</v>
      </c>
      <c r="AC86" s="18">
        <v>6.8</v>
      </c>
      <c r="AD86" s="18">
        <v>7.8</v>
      </c>
      <c r="AE86" s="18" t="s">
        <v>201</v>
      </c>
      <c r="AF86" s="18">
        <f t="shared" si="16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204</v>
      </c>
      <c r="B87" s="1" t="s">
        <v>42</v>
      </c>
      <c r="C87" s="1">
        <v>34</v>
      </c>
      <c r="D87" s="1">
        <v>30</v>
      </c>
      <c r="E87" s="1">
        <v>41</v>
      </c>
      <c r="F87" s="1">
        <v>21</v>
      </c>
      <c r="G87" s="7">
        <v>0.3</v>
      </c>
      <c r="H87" s="1"/>
      <c r="I87" s="1" t="s">
        <v>205</v>
      </c>
      <c r="J87" s="1"/>
      <c r="K87" s="1">
        <v>85</v>
      </c>
      <c r="L87" s="1">
        <f t="shared" si="18"/>
        <v>-44</v>
      </c>
      <c r="M87" s="1">
        <f t="shared" si="19"/>
        <v>41</v>
      </c>
      <c r="N87" s="1"/>
      <c r="O87" s="1"/>
      <c r="P87" s="1"/>
      <c r="Q87" s="1">
        <v>0</v>
      </c>
      <c r="R87" s="1"/>
      <c r="S87" s="1">
        <f t="shared" si="20"/>
        <v>8.1999999999999993</v>
      </c>
      <c r="T87" s="5">
        <f>9*S87-R87-Q87-P87-F87-O87</f>
        <v>52.8</v>
      </c>
      <c r="U87" s="1">
        <f t="shared" si="21"/>
        <v>9</v>
      </c>
      <c r="V87" s="1">
        <f t="shared" si="22"/>
        <v>2.5609756097560976</v>
      </c>
      <c r="W87" s="1">
        <v>3.6</v>
      </c>
      <c r="X87" s="1">
        <v>3</v>
      </c>
      <c r="Y87" s="1">
        <v>6.8</v>
      </c>
      <c r="Z87" s="1">
        <v>7.2</v>
      </c>
      <c r="AA87" s="1">
        <v>1.2</v>
      </c>
      <c r="AB87" s="1">
        <v>3.6</v>
      </c>
      <c r="AC87" s="1">
        <v>10.4</v>
      </c>
      <c r="AD87" s="1">
        <v>2</v>
      </c>
      <c r="AE87" s="1"/>
      <c r="AF87" s="1">
        <f t="shared" si="16"/>
        <v>15.839999999999998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206</v>
      </c>
      <c r="B88" s="1" t="s">
        <v>35</v>
      </c>
      <c r="C88" s="1">
        <v>6.3849999999999998</v>
      </c>
      <c r="D88" s="1">
        <v>51.301000000000002</v>
      </c>
      <c r="E88" s="1">
        <v>6.1740000000000004</v>
      </c>
      <c r="F88" s="1">
        <v>51.512</v>
      </c>
      <c r="G88" s="7">
        <v>1</v>
      </c>
      <c r="H88" s="1"/>
      <c r="I88" s="1" t="s">
        <v>207</v>
      </c>
      <c r="J88" s="1"/>
      <c r="K88" s="1">
        <v>5.2</v>
      </c>
      <c r="L88" s="1">
        <f t="shared" si="18"/>
        <v>0.9740000000000002</v>
      </c>
      <c r="M88" s="1">
        <f t="shared" si="19"/>
        <v>6.1740000000000004</v>
      </c>
      <c r="N88" s="1"/>
      <c r="O88" s="1"/>
      <c r="P88" s="1"/>
      <c r="Q88" s="1">
        <v>0</v>
      </c>
      <c r="R88" s="1"/>
      <c r="S88" s="1">
        <f t="shared" si="20"/>
        <v>1.2348000000000001</v>
      </c>
      <c r="T88" s="5"/>
      <c r="U88" s="1">
        <f t="shared" si="21"/>
        <v>41.716877227081305</v>
      </c>
      <c r="V88" s="1">
        <f t="shared" si="22"/>
        <v>41.716877227081305</v>
      </c>
      <c r="W88" s="1">
        <v>1.871</v>
      </c>
      <c r="X88" s="1">
        <v>3.4733999999999998</v>
      </c>
      <c r="Y88" s="1">
        <v>3.5244</v>
      </c>
      <c r="Z88" s="1">
        <v>3.4784000000000002</v>
      </c>
      <c r="AA88" s="1">
        <v>3.4672000000000001</v>
      </c>
      <c r="AB88" s="1">
        <v>4.1932</v>
      </c>
      <c r="AC88" s="1">
        <v>3.8694000000000002</v>
      </c>
      <c r="AD88" s="1">
        <v>1.2769999999999999</v>
      </c>
      <c r="AE88" s="1"/>
      <c r="AF88" s="1">
        <f t="shared" si="16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208</v>
      </c>
      <c r="B89" s="1" t="s">
        <v>42</v>
      </c>
      <c r="C89" s="1">
        <v>1</v>
      </c>
      <c r="D89" s="1">
        <v>50</v>
      </c>
      <c r="E89" s="1">
        <v>41</v>
      </c>
      <c r="F89" s="1">
        <v>10</v>
      </c>
      <c r="G89" s="7">
        <v>0.11</v>
      </c>
      <c r="H89" s="1"/>
      <c r="I89" s="1" t="s">
        <v>209</v>
      </c>
      <c r="J89" s="1"/>
      <c r="K89" s="1">
        <v>77</v>
      </c>
      <c r="L89" s="1">
        <f t="shared" si="18"/>
        <v>-36</v>
      </c>
      <c r="M89" s="1">
        <f t="shared" si="19"/>
        <v>41</v>
      </c>
      <c r="N89" s="1"/>
      <c r="O89" s="1"/>
      <c r="P89" s="1"/>
      <c r="Q89" s="1">
        <v>7.0000000000000071</v>
      </c>
      <c r="R89" s="1"/>
      <c r="S89" s="1">
        <f t="shared" si="20"/>
        <v>8.1999999999999993</v>
      </c>
      <c r="T89" s="5">
        <f>8*S89-R89-Q89-P89-F89-O89</f>
        <v>48.599999999999987</v>
      </c>
      <c r="U89" s="1">
        <f t="shared" si="21"/>
        <v>8</v>
      </c>
      <c r="V89" s="1">
        <f t="shared" si="22"/>
        <v>2.073170731707318</v>
      </c>
      <c r="W89" s="1">
        <v>4.2</v>
      </c>
      <c r="X89" s="1">
        <v>6.2</v>
      </c>
      <c r="Y89" s="1">
        <v>2</v>
      </c>
      <c r="Z89" s="1">
        <v>0</v>
      </c>
      <c r="AA89" s="1">
        <v>1.6</v>
      </c>
      <c r="AB89" s="1">
        <v>2.4</v>
      </c>
      <c r="AC89" s="1">
        <v>2.6</v>
      </c>
      <c r="AD89" s="1">
        <v>1.6</v>
      </c>
      <c r="AE89" s="1"/>
      <c r="AF89" s="1">
        <f t="shared" si="16"/>
        <v>5.3459999999999983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210</v>
      </c>
      <c r="B90" s="1" t="s">
        <v>42</v>
      </c>
      <c r="C90" s="1">
        <v>87</v>
      </c>
      <c r="D90" s="1">
        <v>285</v>
      </c>
      <c r="E90" s="1">
        <v>194</v>
      </c>
      <c r="F90" s="1">
        <v>166</v>
      </c>
      <c r="G90" s="7">
        <v>0.08</v>
      </c>
      <c r="H90" s="1"/>
      <c r="I90" s="1" t="s">
        <v>211</v>
      </c>
      <c r="J90" s="1"/>
      <c r="K90" s="1">
        <v>224</v>
      </c>
      <c r="L90" s="1">
        <f t="shared" si="18"/>
        <v>-30</v>
      </c>
      <c r="M90" s="1">
        <f t="shared" si="19"/>
        <v>194</v>
      </c>
      <c r="N90" s="1"/>
      <c r="O90" s="1"/>
      <c r="P90" s="1"/>
      <c r="Q90" s="1">
        <v>163.6</v>
      </c>
      <c r="R90" s="1"/>
      <c r="S90" s="1">
        <f t="shared" si="20"/>
        <v>38.799999999999997</v>
      </c>
      <c r="T90" s="5">
        <f t="shared" si="17"/>
        <v>97.199999999999932</v>
      </c>
      <c r="U90" s="1">
        <f t="shared" si="21"/>
        <v>11</v>
      </c>
      <c r="V90" s="1">
        <f t="shared" si="22"/>
        <v>8.4948453608247441</v>
      </c>
      <c r="W90" s="1">
        <v>35.200000000000003</v>
      </c>
      <c r="X90" s="1">
        <v>31.2</v>
      </c>
      <c r="Y90" s="1">
        <v>23.2</v>
      </c>
      <c r="Z90" s="1">
        <v>25.6</v>
      </c>
      <c r="AA90" s="1">
        <v>31</v>
      </c>
      <c r="AB90" s="1">
        <v>40.200000000000003</v>
      </c>
      <c r="AC90" s="1">
        <v>36.799999999999997</v>
      </c>
      <c r="AD90" s="1">
        <v>23.2</v>
      </c>
      <c r="AE90" s="1"/>
      <c r="AF90" s="1">
        <f t="shared" si="16"/>
        <v>7.7759999999999945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212</v>
      </c>
      <c r="B91" s="1" t="s">
        <v>42</v>
      </c>
      <c r="C91" s="1">
        <v>3</v>
      </c>
      <c r="D91" s="1">
        <v>461</v>
      </c>
      <c r="E91" s="1">
        <v>145</v>
      </c>
      <c r="F91" s="1">
        <v>318</v>
      </c>
      <c r="G91" s="7">
        <v>0.08</v>
      </c>
      <c r="H91" s="1"/>
      <c r="I91" s="1" t="s">
        <v>213</v>
      </c>
      <c r="J91" s="1"/>
      <c r="K91" s="1">
        <v>150</v>
      </c>
      <c r="L91" s="1">
        <f t="shared" si="18"/>
        <v>-5</v>
      </c>
      <c r="M91" s="1">
        <f t="shared" si="19"/>
        <v>145</v>
      </c>
      <c r="N91" s="1"/>
      <c r="O91" s="1"/>
      <c r="P91" s="1"/>
      <c r="Q91" s="1">
        <v>0</v>
      </c>
      <c r="R91" s="1"/>
      <c r="S91" s="1">
        <f t="shared" si="20"/>
        <v>29</v>
      </c>
      <c r="T91" s="5">
        <v>10</v>
      </c>
      <c r="U91" s="1">
        <f t="shared" si="21"/>
        <v>11.310344827586206</v>
      </c>
      <c r="V91" s="1">
        <f t="shared" si="22"/>
        <v>10.96551724137931</v>
      </c>
      <c r="W91" s="1">
        <v>16.8</v>
      </c>
      <c r="X91" s="1">
        <v>6.8</v>
      </c>
      <c r="Y91" s="1">
        <v>16.2</v>
      </c>
      <c r="Z91" s="1">
        <v>28.6</v>
      </c>
      <c r="AA91" s="1">
        <v>23</v>
      </c>
      <c r="AB91" s="1">
        <v>36.200000000000003</v>
      </c>
      <c r="AC91" s="1">
        <v>31.4</v>
      </c>
      <c r="AD91" s="1">
        <v>31.2</v>
      </c>
      <c r="AE91" s="1"/>
      <c r="AF91" s="1">
        <f t="shared" si="16"/>
        <v>0.8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214</v>
      </c>
      <c r="B92" s="1" t="s">
        <v>42</v>
      </c>
      <c r="C92" s="1">
        <v>13</v>
      </c>
      <c r="D92" s="1">
        <v>30</v>
      </c>
      <c r="E92" s="1">
        <v>7</v>
      </c>
      <c r="F92" s="1">
        <v>19</v>
      </c>
      <c r="G92" s="7">
        <v>0.17</v>
      </c>
      <c r="H92" s="1"/>
      <c r="I92" s="1" t="s">
        <v>215</v>
      </c>
      <c r="J92" s="1"/>
      <c r="K92" s="1">
        <v>49</v>
      </c>
      <c r="L92" s="1">
        <f t="shared" si="18"/>
        <v>-42</v>
      </c>
      <c r="M92" s="1">
        <f t="shared" si="19"/>
        <v>7</v>
      </c>
      <c r="N92" s="1"/>
      <c r="O92" s="1"/>
      <c r="P92" s="1"/>
      <c r="Q92" s="1">
        <v>33</v>
      </c>
      <c r="R92" s="1"/>
      <c r="S92" s="1">
        <f t="shared" si="20"/>
        <v>1.4</v>
      </c>
      <c r="T92" s="5"/>
      <c r="U92" s="1">
        <f t="shared" si="21"/>
        <v>37.142857142857146</v>
      </c>
      <c r="V92" s="1">
        <f t="shared" si="22"/>
        <v>37.142857142857146</v>
      </c>
      <c r="W92" s="1">
        <v>5</v>
      </c>
      <c r="X92" s="1">
        <v>3.2</v>
      </c>
      <c r="Y92" s="1">
        <v>-0.8</v>
      </c>
      <c r="Z92" s="1">
        <v>1.2</v>
      </c>
      <c r="AA92" s="1">
        <v>9.8000000000000007</v>
      </c>
      <c r="AB92" s="1">
        <v>6.4</v>
      </c>
      <c r="AC92" s="1">
        <v>1.2</v>
      </c>
      <c r="AD92" s="1">
        <v>3.2</v>
      </c>
      <c r="AE92" s="1"/>
      <c r="AF92" s="1">
        <f t="shared" si="16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216</v>
      </c>
      <c r="B93" s="1" t="s">
        <v>35</v>
      </c>
      <c r="C93" s="1">
        <v>219.10300000000001</v>
      </c>
      <c r="D93" s="1">
        <v>366.56599999999997</v>
      </c>
      <c r="E93" s="1">
        <v>250.33699999999999</v>
      </c>
      <c r="F93" s="1">
        <v>329.32900000000001</v>
      </c>
      <c r="G93" s="7">
        <v>1</v>
      </c>
      <c r="H93" s="1"/>
      <c r="I93" s="1" t="s">
        <v>217</v>
      </c>
      <c r="J93" s="1"/>
      <c r="K93" s="1">
        <v>260.10000000000002</v>
      </c>
      <c r="L93" s="1">
        <f t="shared" si="18"/>
        <v>-9.7630000000000337</v>
      </c>
      <c r="M93" s="1">
        <f t="shared" si="19"/>
        <v>250.33699999999999</v>
      </c>
      <c r="N93" s="1"/>
      <c r="O93" s="1"/>
      <c r="P93" s="1"/>
      <c r="Q93" s="1">
        <v>155.0318</v>
      </c>
      <c r="R93" s="1"/>
      <c r="S93" s="1">
        <f t="shared" si="20"/>
        <v>50.067399999999999</v>
      </c>
      <c r="T93" s="5">
        <f t="shared" si="17"/>
        <v>66.380600000000015</v>
      </c>
      <c r="U93" s="1">
        <f t="shared" si="21"/>
        <v>11.000000000000002</v>
      </c>
      <c r="V93" s="1">
        <f t="shared" si="22"/>
        <v>9.6741752118144753</v>
      </c>
      <c r="W93" s="1">
        <v>53.2864</v>
      </c>
      <c r="X93" s="1">
        <v>50.620199999999997</v>
      </c>
      <c r="Y93" s="1">
        <v>59.324399999999997</v>
      </c>
      <c r="Z93" s="1">
        <v>63.511800000000008</v>
      </c>
      <c r="AA93" s="1">
        <v>17.624600000000001</v>
      </c>
      <c r="AB93" s="1">
        <v>29.264800000000001</v>
      </c>
      <c r="AC93" s="1">
        <v>53.634</v>
      </c>
      <c r="AD93" s="1">
        <v>62.190800000000003</v>
      </c>
      <c r="AE93" s="1"/>
      <c r="AF93" s="1">
        <f t="shared" si="16"/>
        <v>66.380600000000015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218</v>
      </c>
      <c r="B94" s="1" t="s">
        <v>35</v>
      </c>
      <c r="C94" s="1">
        <v>168.595</v>
      </c>
      <c r="D94" s="1">
        <v>7.9870000000000001</v>
      </c>
      <c r="E94" s="1">
        <v>57.292000000000002</v>
      </c>
      <c r="F94" s="1">
        <v>109.863</v>
      </c>
      <c r="G94" s="7">
        <v>1</v>
      </c>
      <c r="H94" s="1"/>
      <c r="I94" s="1" t="s">
        <v>219</v>
      </c>
      <c r="J94" s="1"/>
      <c r="K94" s="1">
        <v>67.7</v>
      </c>
      <c r="L94" s="1">
        <f t="shared" si="18"/>
        <v>-10.408000000000001</v>
      </c>
      <c r="M94" s="1">
        <f t="shared" si="19"/>
        <v>57.292000000000002</v>
      </c>
      <c r="N94" s="1"/>
      <c r="O94" s="1"/>
      <c r="P94" s="1"/>
      <c r="Q94" s="1">
        <v>49.388999999999982</v>
      </c>
      <c r="R94" s="1"/>
      <c r="S94" s="1">
        <f t="shared" si="20"/>
        <v>11.458400000000001</v>
      </c>
      <c r="T94" s="5"/>
      <c r="U94" s="1">
        <f t="shared" si="21"/>
        <v>13.898275500942537</v>
      </c>
      <c r="V94" s="1">
        <f t="shared" si="22"/>
        <v>13.898275500942537</v>
      </c>
      <c r="W94" s="1">
        <v>14.843</v>
      </c>
      <c r="X94" s="1">
        <v>14.2028</v>
      </c>
      <c r="Y94" s="1">
        <v>11.4068</v>
      </c>
      <c r="Z94" s="1">
        <v>14.0228</v>
      </c>
      <c r="AA94" s="1">
        <v>0</v>
      </c>
      <c r="AB94" s="1">
        <v>0.7268</v>
      </c>
      <c r="AC94" s="1">
        <v>2.4918</v>
      </c>
      <c r="AD94" s="1">
        <v>5.8328000000000007</v>
      </c>
      <c r="AE94" s="1"/>
      <c r="AF94" s="1">
        <f t="shared" si="16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220</v>
      </c>
      <c r="B95" s="1" t="s">
        <v>35</v>
      </c>
      <c r="C95" s="1">
        <v>126.224</v>
      </c>
      <c r="D95" s="1">
        <v>333.68599999999998</v>
      </c>
      <c r="E95" s="1">
        <v>212.96799999999999</v>
      </c>
      <c r="F95" s="1">
        <v>238.95099999999999</v>
      </c>
      <c r="G95" s="7">
        <v>1</v>
      </c>
      <c r="H95" s="1"/>
      <c r="I95" s="1" t="s">
        <v>221</v>
      </c>
      <c r="J95" s="1"/>
      <c r="K95" s="1">
        <v>227.6</v>
      </c>
      <c r="L95" s="1">
        <f t="shared" si="18"/>
        <v>-14.632000000000005</v>
      </c>
      <c r="M95" s="1">
        <f t="shared" si="19"/>
        <v>212.96799999999999</v>
      </c>
      <c r="N95" s="1"/>
      <c r="O95" s="1"/>
      <c r="P95" s="1"/>
      <c r="Q95" s="1">
        <v>92.077200000000062</v>
      </c>
      <c r="R95" s="1"/>
      <c r="S95" s="1">
        <f t="shared" si="20"/>
        <v>42.593599999999995</v>
      </c>
      <c r="T95" s="5">
        <f t="shared" si="17"/>
        <v>137.5013999999999</v>
      </c>
      <c r="U95" s="1">
        <f t="shared" si="21"/>
        <v>11</v>
      </c>
      <c r="V95" s="1">
        <f t="shared" si="22"/>
        <v>7.7717826152285818</v>
      </c>
      <c r="W95" s="1">
        <v>39.310600000000001</v>
      </c>
      <c r="X95" s="1">
        <v>37.340800000000002</v>
      </c>
      <c r="Y95" s="1">
        <v>46.566600000000001</v>
      </c>
      <c r="Z95" s="1">
        <v>47.993400000000001</v>
      </c>
      <c r="AA95" s="1">
        <v>16.330200000000001</v>
      </c>
      <c r="AB95" s="1">
        <v>25.382400000000001</v>
      </c>
      <c r="AC95" s="1">
        <v>45.130600000000001</v>
      </c>
      <c r="AD95" s="1">
        <v>50.688400000000001</v>
      </c>
      <c r="AE95" s="1"/>
      <c r="AF95" s="1">
        <f t="shared" si="16"/>
        <v>137.5013999999999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222</v>
      </c>
      <c r="B96" s="1" t="s">
        <v>42</v>
      </c>
      <c r="C96" s="1"/>
      <c r="D96" s="1">
        <v>78</v>
      </c>
      <c r="E96" s="1">
        <v>14</v>
      </c>
      <c r="F96" s="1">
        <v>64</v>
      </c>
      <c r="G96" s="7">
        <v>0.3</v>
      </c>
      <c r="H96" s="1"/>
      <c r="I96" s="1" t="s">
        <v>223</v>
      </c>
      <c r="J96" s="1"/>
      <c r="K96" s="1">
        <v>52</v>
      </c>
      <c r="L96" s="1">
        <f t="shared" si="18"/>
        <v>-38</v>
      </c>
      <c r="M96" s="1">
        <f t="shared" si="19"/>
        <v>14</v>
      </c>
      <c r="N96" s="1"/>
      <c r="O96" s="1"/>
      <c r="P96" s="1"/>
      <c r="Q96" s="1">
        <v>0</v>
      </c>
      <c r="R96" s="1"/>
      <c r="S96" s="1">
        <f t="shared" si="20"/>
        <v>2.8</v>
      </c>
      <c r="T96" s="5"/>
      <c r="U96" s="1">
        <f t="shared" si="21"/>
        <v>22.857142857142858</v>
      </c>
      <c r="V96" s="1">
        <f t="shared" si="22"/>
        <v>22.857142857142858</v>
      </c>
      <c r="W96" s="1">
        <v>2.6</v>
      </c>
      <c r="X96" s="1">
        <v>6.4</v>
      </c>
      <c r="Y96" s="1">
        <v>8</v>
      </c>
      <c r="Z96" s="1">
        <v>8.8000000000000007</v>
      </c>
      <c r="AA96" s="1">
        <v>10.199999999999999</v>
      </c>
      <c r="AB96" s="1">
        <v>11.8</v>
      </c>
      <c r="AC96" s="1">
        <v>12.2</v>
      </c>
      <c r="AD96" s="1">
        <v>12.2</v>
      </c>
      <c r="AE96" s="1"/>
      <c r="AF96" s="1">
        <f t="shared" si="16"/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224</v>
      </c>
      <c r="B97" s="1" t="s">
        <v>35</v>
      </c>
      <c r="C97" s="1"/>
      <c r="D97" s="1">
        <v>10.94</v>
      </c>
      <c r="E97" s="1"/>
      <c r="F97" s="1">
        <v>10.94</v>
      </c>
      <c r="G97" s="7">
        <v>1</v>
      </c>
      <c r="H97" s="1"/>
      <c r="I97" s="1" t="s">
        <v>225</v>
      </c>
      <c r="J97" s="1"/>
      <c r="K97" s="1">
        <v>1.3</v>
      </c>
      <c r="L97" s="1">
        <f t="shared" si="18"/>
        <v>-1.3</v>
      </c>
      <c r="M97" s="1">
        <f t="shared" si="19"/>
        <v>0</v>
      </c>
      <c r="N97" s="1"/>
      <c r="O97" s="1"/>
      <c r="P97" s="1"/>
      <c r="Q97" s="1">
        <v>0</v>
      </c>
      <c r="R97" s="1"/>
      <c r="S97" s="1">
        <f t="shared" si="20"/>
        <v>0</v>
      </c>
      <c r="T97" s="5"/>
      <c r="U97" s="1" t="e">
        <f t="shared" si="21"/>
        <v>#DIV/0!</v>
      </c>
      <c r="V97" s="1" t="e">
        <f t="shared" si="22"/>
        <v>#DIV/0!</v>
      </c>
      <c r="W97" s="1">
        <v>0</v>
      </c>
      <c r="X97" s="1">
        <v>0</v>
      </c>
      <c r="Y97" s="1">
        <v>-0.27200000000000002</v>
      </c>
      <c r="Z97" s="1">
        <v>0</v>
      </c>
      <c r="AA97" s="1">
        <v>0</v>
      </c>
      <c r="AB97" s="1">
        <v>1.645</v>
      </c>
      <c r="AC97" s="1">
        <v>0.26779999999999998</v>
      </c>
      <c r="AD97" s="1">
        <v>0.26900000000000002</v>
      </c>
      <c r="AE97" s="1"/>
      <c r="AF97" s="1">
        <f t="shared" ref="AF97:AF115" si="23">G97*T97</f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226</v>
      </c>
      <c r="B98" s="1" t="s">
        <v>42</v>
      </c>
      <c r="C98" s="1">
        <v>147</v>
      </c>
      <c r="D98" s="1">
        <v>759</v>
      </c>
      <c r="E98" s="1">
        <v>388</v>
      </c>
      <c r="F98" s="1">
        <v>506</v>
      </c>
      <c r="G98" s="7">
        <v>0.28000000000000003</v>
      </c>
      <c r="H98" s="1"/>
      <c r="I98" s="1" t="s">
        <v>227</v>
      </c>
      <c r="J98" s="1"/>
      <c r="K98" s="1">
        <v>416</v>
      </c>
      <c r="L98" s="1">
        <f t="shared" si="18"/>
        <v>-28</v>
      </c>
      <c r="M98" s="1">
        <f t="shared" si="19"/>
        <v>388</v>
      </c>
      <c r="N98" s="1"/>
      <c r="O98" s="1"/>
      <c r="P98" s="1"/>
      <c r="Q98" s="1">
        <v>77.675314000000185</v>
      </c>
      <c r="R98" s="1"/>
      <c r="S98" s="1">
        <f t="shared" si="20"/>
        <v>77.599999999999994</v>
      </c>
      <c r="T98" s="5">
        <f t="shared" si="17"/>
        <v>269.92468599999972</v>
      </c>
      <c r="U98" s="1">
        <f t="shared" si="21"/>
        <v>11</v>
      </c>
      <c r="V98" s="1">
        <f t="shared" si="22"/>
        <v>7.521589097938147</v>
      </c>
      <c r="W98" s="1">
        <v>66.8</v>
      </c>
      <c r="X98" s="1">
        <v>79.2</v>
      </c>
      <c r="Y98" s="1">
        <v>89.4</v>
      </c>
      <c r="Z98" s="1">
        <v>80.2</v>
      </c>
      <c r="AA98" s="1">
        <v>59.4</v>
      </c>
      <c r="AB98" s="1">
        <v>84.6</v>
      </c>
      <c r="AC98" s="1">
        <v>69</v>
      </c>
      <c r="AD98" s="1">
        <v>77.400000000000006</v>
      </c>
      <c r="AE98" s="1"/>
      <c r="AF98" s="1">
        <f t="shared" si="23"/>
        <v>75.578912079999924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228</v>
      </c>
      <c r="B99" s="1" t="s">
        <v>42</v>
      </c>
      <c r="C99" s="1">
        <v>4</v>
      </c>
      <c r="D99" s="1">
        <v>201</v>
      </c>
      <c r="E99" s="1">
        <v>10</v>
      </c>
      <c r="F99" s="1">
        <v>191</v>
      </c>
      <c r="G99" s="7">
        <v>0.28000000000000003</v>
      </c>
      <c r="H99" s="1"/>
      <c r="I99" s="1"/>
      <c r="J99" s="1"/>
      <c r="K99" s="1">
        <v>185</v>
      </c>
      <c r="L99" s="1">
        <f t="shared" si="18"/>
        <v>-175</v>
      </c>
      <c r="M99" s="1">
        <f t="shared" si="19"/>
        <v>10</v>
      </c>
      <c r="N99" s="1"/>
      <c r="O99" s="1"/>
      <c r="P99" s="1">
        <v>80.90316</v>
      </c>
      <c r="Q99" s="1">
        <v>208.55199999999991</v>
      </c>
      <c r="R99" s="1"/>
      <c r="S99" s="1">
        <f t="shared" si="20"/>
        <v>2</v>
      </c>
      <c r="T99" s="5"/>
      <c r="U99" s="1">
        <f t="shared" si="21"/>
        <v>240.22757999999996</v>
      </c>
      <c r="V99" s="1">
        <f t="shared" si="22"/>
        <v>240.22757999999996</v>
      </c>
      <c r="W99" s="1">
        <v>40.4</v>
      </c>
      <c r="X99" s="1">
        <v>50.8</v>
      </c>
      <c r="Y99" s="1">
        <v>10.4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/>
      <c r="AF99" s="1">
        <f t="shared" si="23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229</v>
      </c>
      <c r="B100" s="1" t="s">
        <v>42</v>
      </c>
      <c r="C100" s="1">
        <v>24</v>
      </c>
      <c r="D100" s="1">
        <v>1203</v>
      </c>
      <c r="E100" s="1">
        <v>389</v>
      </c>
      <c r="F100" s="1">
        <v>822</v>
      </c>
      <c r="G100" s="7">
        <v>0.28000000000000003</v>
      </c>
      <c r="H100" s="1"/>
      <c r="I100" s="1" t="s">
        <v>230</v>
      </c>
      <c r="J100" s="1"/>
      <c r="K100" s="1">
        <v>425</v>
      </c>
      <c r="L100" s="1">
        <f t="shared" si="18"/>
        <v>-36</v>
      </c>
      <c r="M100" s="1">
        <f t="shared" si="19"/>
        <v>389</v>
      </c>
      <c r="N100" s="1"/>
      <c r="O100" s="1"/>
      <c r="P100" s="1"/>
      <c r="Q100" s="1">
        <v>13.026741999999791</v>
      </c>
      <c r="R100" s="1"/>
      <c r="S100" s="1">
        <f t="shared" si="20"/>
        <v>77.8</v>
      </c>
      <c r="T100" s="5">
        <f t="shared" si="17"/>
        <v>20.773258000000169</v>
      </c>
      <c r="U100" s="1">
        <f t="shared" si="21"/>
        <v>11</v>
      </c>
      <c r="V100" s="1">
        <f t="shared" si="22"/>
        <v>10.73299154241645</v>
      </c>
      <c r="W100" s="1">
        <v>86.6</v>
      </c>
      <c r="X100" s="1">
        <v>107</v>
      </c>
      <c r="Y100" s="1">
        <v>107.8</v>
      </c>
      <c r="Z100" s="1">
        <v>88.6</v>
      </c>
      <c r="AA100" s="1">
        <v>68.8</v>
      </c>
      <c r="AB100" s="1">
        <v>91</v>
      </c>
      <c r="AC100" s="1">
        <v>65.8</v>
      </c>
      <c r="AD100" s="1">
        <v>91</v>
      </c>
      <c r="AE100" s="1"/>
      <c r="AF100" s="1">
        <f t="shared" si="23"/>
        <v>5.8165122400000477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231</v>
      </c>
      <c r="B101" s="1" t="s">
        <v>42</v>
      </c>
      <c r="C101" s="1">
        <v>32</v>
      </c>
      <c r="D101" s="1">
        <v>30</v>
      </c>
      <c r="E101" s="1">
        <v>36</v>
      </c>
      <c r="F101" s="1">
        <v>26</v>
      </c>
      <c r="G101" s="7">
        <v>0.09</v>
      </c>
      <c r="H101" s="1"/>
      <c r="I101" s="1"/>
      <c r="J101" s="1"/>
      <c r="K101" s="1">
        <v>36</v>
      </c>
      <c r="L101" s="1">
        <f t="shared" si="18"/>
        <v>0</v>
      </c>
      <c r="M101" s="1">
        <f t="shared" si="19"/>
        <v>36</v>
      </c>
      <c r="N101" s="1"/>
      <c r="O101" s="1"/>
      <c r="P101" s="1"/>
      <c r="Q101" s="1">
        <v>16.400000000000009</v>
      </c>
      <c r="R101" s="1"/>
      <c r="S101" s="1">
        <f t="shared" si="20"/>
        <v>7.2</v>
      </c>
      <c r="T101" s="5">
        <f t="shared" si="17"/>
        <v>36.799999999999997</v>
      </c>
      <c r="U101" s="1">
        <f t="shared" si="21"/>
        <v>11</v>
      </c>
      <c r="V101" s="1">
        <f t="shared" si="22"/>
        <v>5.8888888888888893</v>
      </c>
      <c r="W101" s="1">
        <v>5.2</v>
      </c>
      <c r="X101" s="1">
        <v>4</v>
      </c>
      <c r="Y101" s="1">
        <v>2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/>
      <c r="AF101" s="1">
        <f t="shared" si="23"/>
        <v>3.3119999999999998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232</v>
      </c>
      <c r="B102" s="1" t="s">
        <v>35</v>
      </c>
      <c r="C102" s="1">
        <v>66.364999999999995</v>
      </c>
      <c r="D102" s="1">
        <v>107.114</v>
      </c>
      <c r="E102" s="1">
        <v>70.153999999999996</v>
      </c>
      <c r="F102" s="1">
        <v>101.57</v>
      </c>
      <c r="G102" s="7">
        <v>1</v>
      </c>
      <c r="H102" s="1"/>
      <c r="I102" s="1" t="s">
        <v>233</v>
      </c>
      <c r="J102" s="1"/>
      <c r="K102" s="1">
        <v>70</v>
      </c>
      <c r="L102" s="1">
        <f t="shared" ref="L102:L133" si="24">E102-K102</f>
        <v>0.15399999999999636</v>
      </c>
      <c r="M102" s="1">
        <f t="shared" ref="M102:M133" si="25">E102-N102</f>
        <v>70.153999999999996</v>
      </c>
      <c r="N102" s="1"/>
      <c r="O102" s="1"/>
      <c r="P102" s="1"/>
      <c r="Q102" s="1">
        <v>0</v>
      </c>
      <c r="R102" s="1"/>
      <c r="S102" s="1">
        <f t="shared" ref="S102:S115" si="26">M102/5</f>
        <v>14.030799999999999</v>
      </c>
      <c r="T102" s="5">
        <f t="shared" si="17"/>
        <v>52.768799999999999</v>
      </c>
      <c r="U102" s="1">
        <f t="shared" ref="U102:U133" si="27">(F102+O102+P102+Q102+R102+T102)/S102</f>
        <v>11</v>
      </c>
      <c r="V102" s="1">
        <f t="shared" ref="V102:V115" si="28">(F102+O102+P102+Q102+R102)/S102</f>
        <v>7.23907403711834</v>
      </c>
      <c r="W102" s="1">
        <v>8.6370000000000005</v>
      </c>
      <c r="X102" s="1">
        <v>10.106199999999999</v>
      </c>
      <c r="Y102" s="1">
        <v>14.573</v>
      </c>
      <c r="Z102" s="1">
        <v>12.059799999999999</v>
      </c>
      <c r="AA102" s="1">
        <v>8.6370000000000005</v>
      </c>
      <c r="AB102" s="1">
        <v>17.559000000000001</v>
      </c>
      <c r="AC102" s="1">
        <v>22.036200000000001</v>
      </c>
      <c r="AD102" s="1">
        <v>12.86</v>
      </c>
      <c r="AE102" s="1"/>
      <c r="AF102" s="1">
        <f t="shared" si="23"/>
        <v>52.768799999999999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234</v>
      </c>
      <c r="B103" s="1" t="s">
        <v>35</v>
      </c>
      <c r="C103" s="1">
        <v>12.456</v>
      </c>
      <c r="D103" s="1">
        <v>271.91500000000002</v>
      </c>
      <c r="E103" s="1">
        <v>23.132000000000001</v>
      </c>
      <c r="F103" s="1">
        <v>256.84899999999999</v>
      </c>
      <c r="G103" s="7">
        <v>1</v>
      </c>
      <c r="H103" s="1"/>
      <c r="I103" s="1" t="s">
        <v>235</v>
      </c>
      <c r="J103" s="1"/>
      <c r="K103" s="1">
        <v>40.200000000000003</v>
      </c>
      <c r="L103" s="1">
        <f t="shared" si="24"/>
        <v>-17.068000000000001</v>
      </c>
      <c r="M103" s="1">
        <f t="shared" si="25"/>
        <v>23.132000000000001</v>
      </c>
      <c r="N103" s="1"/>
      <c r="O103" s="1"/>
      <c r="P103" s="1"/>
      <c r="Q103" s="1">
        <v>0</v>
      </c>
      <c r="R103" s="1"/>
      <c r="S103" s="1">
        <f t="shared" si="26"/>
        <v>4.6264000000000003</v>
      </c>
      <c r="T103" s="5"/>
      <c r="U103" s="1">
        <f t="shared" si="27"/>
        <v>55.518113435932904</v>
      </c>
      <c r="V103" s="1">
        <f t="shared" si="28"/>
        <v>55.518113435932904</v>
      </c>
      <c r="W103" s="1">
        <v>9.5132000000000012</v>
      </c>
      <c r="X103" s="1">
        <v>20.629000000000001</v>
      </c>
      <c r="Y103" s="1">
        <v>24.804400000000001</v>
      </c>
      <c r="Z103" s="1">
        <v>17.557400000000001</v>
      </c>
      <c r="AA103" s="1">
        <v>6.492</v>
      </c>
      <c r="AB103" s="1">
        <v>11.9696</v>
      </c>
      <c r="AC103" s="1">
        <v>26.448</v>
      </c>
      <c r="AD103" s="1">
        <v>13.8512</v>
      </c>
      <c r="AE103" s="1"/>
      <c r="AF103" s="1">
        <f t="shared" si="23"/>
        <v>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236</v>
      </c>
      <c r="B104" s="1" t="s">
        <v>42</v>
      </c>
      <c r="C104" s="1">
        <v>37</v>
      </c>
      <c r="D104" s="1">
        <v>30</v>
      </c>
      <c r="E104" s="1">
        <v>28</v>
      </c>
      <c r="F104" s="1">
        <v>39</v>
      </c>
      <c r="G104" s="7">
        <v>0.09</v>
      </c>
      <c r="H104" s="1"/>
      <c r="I104" s="1"/>
      <c r="J104" s="1"/>
      <c r="K104" s="1">
        <v>28</v>
      </c>
      <c r="L104" s="1">
        <f t="shared" si="24"/>
        <v>0</v>
      </c>
      <c r="M104" s="1">
        <f t="shared" si="25"/>
        <v>28</v>
      </c>
      <c r="N104" s="1"/>
      <c r="O104" s="1"/>
      <c r="P104" s="1"/>
      <c r="Q104" s="1">
        <v>0</v>
      </c>
      <c r="R104" s="1"/>
      <c r="S104" s="1">
        <f t="shared" si="26"/>
        <v>5.6</v>
      </c>
      <c r="T104" s="5">
        <f t="shared" si="17"/>
        <v>22.599999999999994</v>
      </c>
      <c r="U104" s="1">
        <f t="shared" si="27"/>
        <v>11</v>
      </c>
      <c r="V104" s="1">
        <f t="shared" si="28"/>
        <v>6.9642857142857144</v>
      </c>
      <c r="W104" s="1">
        <v>3</v>
      </c>
      <c r="X104" s="1">
        <v>3</v>
      </c>
      <c r="Y104" s="1">
        <v>2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/>
      <c r="AF104" s="1">
        <f t="shared" si="23"/>
        <v>2.0339999999999994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237</v>
      </c>
      <c r="B105" s="1" t="s">
        <v>42</v>
      </c>
      <c r="C105" s="1">
        <v>29</v>
      </c>
      <c r="D105" s="1">
        <v>30</v>
      </c>
      <c r="E105" s="1">
        <v>27</v>
      </c>
      <c r="F105" s="1">
        <v>31</v>
      </c>
      <c r="G105" s="7">
        <v>0.09</v>
      </c>
      <c r="H105" s="1"/>
      <c r="I105" s="1"/>
      <c r="J105" s="1"/>
      <c r="K105" s="1">
        <v>38</v>
      </c>
      <c r="L105" s="1">
        <f t="shared" si="24"/>
        <v>-11</v>
      </c>
      <c r="M105" s="1">
        <f t="shared" si="25"/>
        <v>27</v>
      </c>
      <c r="N105" s="1"/>
      <c r="O105" s="1"/>
      <c r="P105" s="1"/>
      <c r="Q105" s="1">
        <v>0</v>
      </c>
      <c r="R105" s="1"/>
      <c r="S105" s="1">
        <f t="shared" si="26"/>
        <v>5.4</v>
      </c>
      <c r="T105" s="5">
        <f t="shared" si="17"/>
        <v>28.400000000000006</v>
      </c>
      <c r="U105" s="1">
        <f t="shared" si="27"/>
        <v>11</v>
      </c>
      <c r="V105" s="1">
        <f t="shared" si="28"/>
        <v>5.7407407407407405</v>
      </c>
      <c r="W105" s="1">
        <v>3.2</v>
      </c>
      <c r="X105" s="1">
        <v>2</v>
      </c>
      <c r="Y105" s="1">
        <v>2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/>
      <c r="AF105" s="1">
        <f t="shared" si="23"/>
        <v>2.5560000000000005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238</v>
      </c>
      <c r="B106" s="1" t="s">
        <v>35</v>
      </c>
      <c r="C106" s="1"/>
      <c r="D106" s="1">
        <v>174.268</v>
      </c>
      <c r="E106" s="1">
        <v>31.844000000000001</v>
      </c>
      <c r="F106" s="1">
        <v>142.42400000000001</v>
      </c>
      <c r="G106" s="7">
        <v>1</v>
      </c>
      <c r="H106" s="1"/>
      <c r="I106" s="1" t="s">
        <v>239</v>
      </c>
      <c r="J106" s="1"/>
      <c r="K106" s="1">
        <v>30.1</v>
      </c>
      <c r="L106" s="1">
        <f t="shared" si="24"/>
        <v>1.7439999999999998</v>
      </c>
      <c r="M106" s="1">
        <f t="shared" si="25"/>
        <v>31.844000000000001</v>
      </c>
      <c r="N106" s="1"/>
      <c r="O106" s="1"/>
      <c r="P106" s="1"/>
      <c r="Q106" s="1">
        <v>100</v>
      </c>
      <c r="R106" s="1"/>
      <c r="S106" s="1">
        <f t="shared" si="26"/>
        <v>6.3688000000000002</v>
      </c>
      <c r="T106" s="5"/>
      <c r="U106" s="1">
        <f t="shared" si="27"/>
        <v>38.064313528451201</v>
      </c>
      <c r="V106" s="1">
        <f t="shared" si="28"/>
        <v>38.064313528451201</v>
      </c>
      <c r="W106" s="1">
        <v>0</v>
      </c>
      <c r="X106" s="1">
        <v>0.2742</v>
      </c>
      <c r="Y106" s="1">
        <v>0.2742</v>
      </c>
      <c r="Z106" s="1">
        <v>0</v>
      </c>
      <c r="AA106" s="1">
        <v>1.9238</v>
      </c>
      <c r="AB106" s="1">
        <v>15.334</v>
      </c>
      <c r="AC106" s="1">
        <v>10.6714</v>
      </c>
      <c r="AD106" s="1">
        <v>0</v>
      </c>
      <c r="AE106" s="1"/>
      <c r="AF106" s="1">
        <f t="shared" si="23"/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240</v>
      </c>
      <c r="B107" s="1" t="s">
        <v>35</v>
      </c>
      <c r="C107" s="1">
        <v>706.803</v>
      </c>
      <c r="D107" s="1">
        <v>214.23500000000001</v>
      </c>
      <c r="E107" s="1">
        <v>540.32799999999997</v>
      </c>
      <c r="F107" s="1">
        <v>377.28199999999998</v>
      </c>
      <c r="G107" s="7">
        <v>1</v>
      </c>
      <c r="H107" s="1"/>
      <c r="I107" s="1" t="s">
        <v>241</v>
      </c>
      <c r="J107" s="1"/>
      <c r="K107" s="1">
        <v>530.44100000000003</v>
      </c>
      <c r="L107" s="1">
        <f t="shared" si="24"/>
        <v>9.8869999999999436</v>
      </c>
      <c r="M107" s="1">
        <f t="shared" si="25"/>
        <v>540.32799999999997</v>
      </c>
      <c r="N107" s="1"/>
      <c r="O107" s="1"/>
      <c r="P107" s="1">
        <v>86.367563000000018</v>
      </c>
      <c r="Q107" s="1">
        <v>227.20479999999961</v>
      </c>
      <c r="R107" s="1">
        <v>300</v>
      </c>
      <c r="S107" s="1">
        <f t="shared" si="26"/>
        <v>108.06559999999999</v>
      </c>
      <c r="T107" s="5">
        <f t="shared" si="17"/>
        <v>197.86723700000022</v>
      </c>
      <c r="U107" s="1">
        <f t="shared" si="27"/>
        <v>11</v>
      </c>
      <c r="V107" s="1">
        <f t="shared" si="28"/>
        <v>9.169008111739533</v>
      </c>
      <c r="W107" s="1">
        <v>110.3446</v>
      </c>
      <c r="X107" s="1">
        <v>88.266400000000004</v>
      </c>
      <c r="Y107" s="1">
        <v>50.457000000000001</v>
      </c>
      <c r="Z107" s="1">
        <v>79.408600000000007</v>
      </c>
      <c r="AA107" s="1">
        <v>43.247599999999998</v>
      </c>
      <c r="AB107" s="1">
        <v>66.809400000000011</v>
      </c>
      <c r="AC107" s="1">
        <v>66.981399999999994</v>
      </c>
      <c r="AD107" s="1">
        <v>119.91800000000001</v>
      </c>
      <c r="AE107" s="1"/>
      <c r="AF107" s="1">
        <f t="shared" si="23"/>
        <v>197.86723700000022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242</v>
      </c>
      <c r="B108" s="1" t="s">
        <v>35</v>
      </c>
      <c r="C108" s="1">
        <v>47.825000000000003</v>
      </c>
      <c r="D108" s="1">
        <v>123.614</v>
      </c>
      <c r="E108" s="1">
        <v>23.123999999999999</v>
      </c>
      <c r="F108" s="1">
        <v>148.315</v>
      </c>
      <c r="G108" s="7">
        <v>1</v>
      </c>
      <c r="H108" s="1"/>
      <c r="I108" s="1" t="s">
        <v>243</v>
      </c>
      <c r="J108" s="1"/>
      <c r="K108" s="1">
        <v>24.8</v>
      </c>
      <c r="L108" s="1">
        <f t="shared" si="24"/>
        <v>-1.6760000000000019</v>
      </c>
      <c r="M108" s="1">
        <f t="shared" si="25"/>
        <v>23.123999999999999</v>
      </c>
      <c r="N108" s="1"/>
      <c r="O108" s="1"/>
      <c r="P108" s="1"/>
      <c r="Q108" s="1">
        <v>100</v>
      </c>
      <c r="R108" s="1"/>
      <c r="S108" s="1">
        <f t="shared" si="26"/>
        <v>4.6247999999999996</v>
      </c>
      <c r="T108" s="5"/>
      <c r="U108" s="1">
        <f t="shared" si="27"/>
        <v>53.692051548175058</v>
      </c>
      <c r="V108" s="1">
        <f t="shared" si="28"/>
        <v>53.692051548175058</v>
      </c>
      <c r="W108" s="1">
        <v>1.9012</v>
      </c>
      <c r="X108" s="1">
        <v>0.27400000000000002</v>
      </c>
      <c r="Y108" s="1">
        <v>0</v>
      </c>
      <c r="Z108" s="1">
        <v>0.54699999999999993</v>
      </c>
      <c r="AA108" s="1">
        <v>1.3692</v>
      </c>
      <c r="AB108" s="1">
        <v>0.8276</v>
      </c>
      <c r="AC108" s="1">
        <v>1.8240000000000001</v>
      </c>
      <c r="AD108" s="1">
        <v>4.4535999999999998</v>
      </c>
      <c r="AE108" s="1"/>
      <c r="AF108" s="1">
        <f t="shared" si="23"/>
        <v>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63</v>
      </c>
      <c r="B109" s="1" t="s">
        <v>35</v>
      </c>
      <c r="C109" s="1">
        <v>693.1</v>
      </c>
      <c r="D109" s="1">
        <v>1283.48</v>
      </c>
      <c r="E109" s="15">
        <f>69.217+E18</f>
        <v>100.36699999999999</v>
      </c>
      <c r="F109" s="1">
        <v>1907.3630000000001</v>
      </c>
      <c r="G109" s="7">
        <v>1</v>
      </c>
      <c r="H109" s="1"/>
      <c r="I109" s="1" t="s">
        <v>244</v>
      </c>
      <c r="J109" s="1"/>
      <c r="K109" s="1">
        <v>70</v>
      </c>
      <c r="L109" s="1">
        <f t="shared" si="24"/>
        <v>30.36699999999999</v>
      </c>
      <c r="M109" s="1">
        <f t="shared" si="25"/>
        <v>100.36699999999999</v>
      </c>
      <c r="N109" s="1"/>
      <c r="O109" s="1"/>
      <c r="P109" s="1"/>
      <c r="Q109" s="1">
        <v>0</v>
      </c>
      <c r="R109" s="1"/>
      <c r="S109" s="1">
        <f t="shared" si="26"/>
        <v>20.073399999999999</v>
      </c>
      <c r="T109" s="5"/>
      <c r="U109" s="1">
        <f t="shared" si="27"/>
        <v>95.019428696683178</v>
      </c>
      <c r="V109" s="1">
        <f t="shared" si="28"/>
        <v>95.019428696683178</v>
      </c>
      <c r="W109" s="1">
        <v>94.601399999999998</v>
      </c>
      <c r="X109" s="1">
        <v>159.07579999999999</v>
      </c>
      <c r="Y109" s="1">
        <v>185.3526</v>
      </c>
      <c r="Z109" s="1">
        <v>199.28919999999999</v>
      </c>
      <c r="AA109" s="1">
        <v>315.32100000000003</v>
      </c>
      <c r="AB109" s="1">
        <v>286.202</v>
      </c>
      <c r="AC109" s="1">
        <v>141.9708</v>
      </c>
      <c r="AD109" s="1">
        <v>164.84039999999999</v>
      </c>
      <c r="AE109" s="17" t="s">
        <v>256</v>
      </c>
      <c r="AF109" s="1">
        <f t="shared" si="23"/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245</v>
      </c>
      <c r="B110" s="1" t="s">
        <v>42</v>
      </c>
      <c r="C110" s="1">
        <v>76</v>
      </c>
      <c r="D110" s="1">
        <v>311</v>
      </c>
      <c r="E110" s="1">
        <v>179</v>
      </c>
      <c r="F110" s="1">
        <v>195</v>
      </c>
      <c r="G110" s="7">
        <v>0.3</v>
      </c>
      <c r="H110" s="1"/>
      <c r="I110" s="1" t="s">
        <v>246</v>
      </c>
      <c r="J110" s="1"/>
      <c r="K110" s="1">
        <v>193</v>
      </c>
      <c r="L110" s="1">
        <f t="shared" si="24"/>
        <v>-14</v>
      </c>
      <c r="M110" s="1">
        <f t="shared" si="25"/>
        <v>179</v>
      </c>
      <c r="N110" s="1"/>
      <c r="O110" s="1"/>
      <c r="P110" s="1"/>
      <c r="Q110" s="1">
        <v>150.19999999999999</v>
      </c>
      <c r="R110" s="1"/>
      <c r="S110" s="1">
        <f t="shared" si="26"/>
        <v>35.799999999999997</v>
      </c>
      <c r="T110" s="5">
        <f t="shared" si="17"/>
        <v>48.599999999999966</v>
      </c>
      <c r="U110" s="1">
        <f t="shared" si="27"/>
        <v>11</v>
      </c>
      <c r="V110" s="1">
        <f t="shared" si="28"/>
        <v>9.6424581005586596</v>
      </c>
      <c r="W110" s="1">
        <v>35.6</v>
      </c>
      <c r="X110" s="1">
        <v>31</v>
      </c>
      <c r="Y110" s="1">
        <v>35.799999999999997</v>
      </c>
      <c r="Z110" s="1">
        <v>40</v>
      </c>
      <c r="AA110" s="1">
        <v>28.6</v>
      </c>
      <c r="AB110" s="1">
        <v>33.799999999999997</v>
      </c>
      <c r="AC110" s="1">
        <v>35.4</v>
      </c>
      <c r="AD110" s="1">
        <v>30.6</v>
      </c>
      <c r="AE110" s="1"/>
      <c r="AF110" s="1">
        <f t="shared" si="23"/>
        <v>14.579999999999989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247</v>
      </c>
      <c r="B111" s="1" t="s">
        <v>42</v>
      </c>
      <c r="C111" s="1">
        <v>130</v>
      </c>
      <c r="D111" s="1">
        <v>86</v>
      </c>
      <c r="E111" s="1">
        <v>119</v>
      </c>
      <c r="F111" s="1">
        <v>84</v>
      </c>
      <c r="G111" s="7">
        <v>0.3</v>
      </c>
      <c r="H111" s="1"/>
      <c r="I111" s="1" t="s">
        <v>248</v>
      </c>
      <c r="J111" s="1"/>
      <c r="K111" s="1">
        <v>133</v>
      </c>
      <c r="L111" s="1">
        <f t="shared" si="24"/>
        <v>-14</v>
      </c>
      <c r="M111" s="1">
        <f t="shared" si="25"/>
        <v>119</v>
      </c>
      <c r="N111" s="1"/>
      <c r="O111" s="1"/>
      <c r="P111" s="1"/>
      <c r="Q111" s="1">
        <v>174.6</v>
      </c>
      <c r="R111" s="1"/>
      <c r="S111" s="1">
        <f t="shared" si="26"/>
        <v>23.8</v>
      </c>
      <c r="T111" s="5">
        <v>10</v>
      </c>
      <c r="U111" s="1">
        <f t="shared" si="27"/>
        <v>11.285714285714286</v>
      </c>
      <c r="V111" s="1">
        <f t="shared" si="28"/>
        <v>10.865546218487395</v>
      </c>
      <c r="W111" s="1">
        <v>26.2</v>
      </c>
      <c r="X111" s="1">
        <v>17.8</v>
      </c>
      <c r="Y111" s="1">
        <v>7.4</v>
      </c>
      <c r="Z111" s="1">
        <v>16</v>
      </c>
      <c r="AA111" s="1">
        <v>17.399999999999999</v>
      </c>
      <c r="AB111" s="1">
        <v>24.6</v>
      </c>
      <c r="AC111" s="1">
        <v>19.8</v>
      </c>
      <c r="AD111" s="1">
        <v>20.6</v>
      </c>
      <c r="AE111" s="1"/>
      <c r="AF111" s="1">
        <f t="shared" si="23"/>
        <v>3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249</v>
      </c>
      <c r="B112" s="1" t="s">
        <v>35</v>
      </c>
      <c r="C112" s="1">
        <v>121.358</v>
      </c>
      <c r="D112" s="1">
        <v>22.059000000000001</v>
      </c>
      <c r="E112" s="1">
        <v>62.59</v>
      </c>
      <c r="F112" s="1">
        <v>80.826999999999998</v>
      </c>
      <c r="G112" s="7">
        <v>1</v>
      </c>
      <c r="H112" s="1"/>
      <c r="I112" s="1" t="s">
        <v>250</v>
      </c>
      <c r="J112" s="1"/>
      <c r="K112" s="1">
        <v>58.4</v>
      </c>
      <c r="L112" s="1">
        <f t="shared" si="24"/>
        <v>4.1900000000000048</v>
      </c>
      <c r="M112" s="1">
        <f t="shared" si="25"/>
        <v>62.59</v>
      </c>
      <c r="N112" s="1"/>
      <c r="O112" s="1"/>
      <c r="P112" s="1"/>
      <c r="Q112" s="1">
        <v>127.01519999999999</v>
      </c>
      <c r="R112" s="1"/>
      <c r="S112" s="1">
        <f t="shared" si="26"/>
        <v>12.518000000000001</v>
      </c>
      <c r="T112" s="5"/>
      <c r="U112" s="1">
        <f t="shared" si="27"/>
        <v>16.603467007509185</v>
      </c>
      <c r="V112" s="1">
        <f t="shared" si="28"/>
        <v>16.603467007509185</v>
      </c>
      <c r="W112" s="1">
        <v>18.366</v>
      </c>
      <c r="X112" s="1">
        <v>10.7338</v>
      </c>
      <c r="Y112" s="1">
        <v>3.254</v>
      </c>
      <c r="Z112" s="1">
        <v>12.4718</v>
      </c>
      <c r="AA112" s="1">
        <v>9.9214000000000002</v>
      </c>
      <c r="AB112" s="1">
        <v>8.9459999999999997</v>
      </c>
      <c r="AC112" s="1">
        <v>7.6662000000000008</v>
      </c>
      <c r="AD112" s="1">
        <v>8.5355999999999987</v>
      </c>
      <c r="AE112" s="1"/>
      <c r="AF112" s="1">
        <f t="shared" si="23"/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251</v>
      </c>
      <c r="B113" s="1" t="s">
        <v>42</v>
      </c>
      <c r="C113" s="1"/>
      <c r="D113" s="1">
        <v>187</v>
      </c>
      <c r="E113" s="1">
        <v>49</v>
      </c>
      <c r="F113" s="1">
        <v>136</v>
      </c>
      <c r="G113" s="7">
        <v>0.3</v>
      </c>
      <c r="H113" s="1"/>
      <c r="I113" s="1" t="s">
        <v>252</v>
      </c>
      <c r="J113" s="1"/>
      <c r="K113" s="1">
        <v>54</v>
      </c>
      <c r="L113" s="1">
        <f t="shared" si="24"/>
        <v>-5</v>
      </c>
      <c r="M113" s="1">
        <f t="shared" si="25"/>
        <v>49</v>
      </c>
      <c r="N113" s="1"/>
      <c r="O113" s="1"/>
      <c r="P113" s="1"/>
      <c r="Q113" s="1">
        <v>0</v>
      </c>
      <c r="R113" s="1"/>
      <c r="S113" s="1">
        <f t="shared" si="26"/>
        <v>9.8000000000000007</v>
      </c>
      <c r="T113" s="5"/>
      <c r="U113" s="1">
        <f t="shared" si="27"/>
        <v>13.877551020408163</v>
      </c>
      <c r="V113" s="1">
        <f t="shared" si="28"/>
        <v>13.877551020408163</v>
      </c>
      <c r="W113" s="1">
        <v>6.4</v>
      </c>
      <c r="X113" s="1">
        <v>5.6</v>
      </c>
      <c r="Y113" s="1">
        <v>9.4</v>
      </c>
      <c r="Z113" s="1">
        <v>13.4</v>
      </c>
      <c r="AA113" s="1">
        <v>10.8</v>
      </c>
      <c r="AB113" s="1">
        <v>11.6</v>
      </c>
      <c r="AC113" s="1">
        <v>12.2</v>
      </c>
      <c r="AD113" s="1">
        <v>8.8000000000000007</v>
      </c>
      <c r="AE113" s="1"/>
      <c r="AF113" s="1">
        <f t="shared" si="23"/>
        <v>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253</v>
      </c>
      <c r="B114" s="1" t="s">
        <v>42</v>
      </c>
      <c r="C114" s="1">
        <v>-11</v>
      </c>
      <c r="D114" s="1">
        <v>61</v>
      </c>
      <c r="E114" s="1">
        <v>-2</v>
      </c>
      <c r="F114" s="1">
        <v>50</v>
      </c>
      <c r="G114" s="7">
        <v>0.12</v>
      </c>
      <c r="H114" s="1"/>
      <c r="I114" s="1" t="s">
        <v>254</v>
      </c>
      <c r="J114" s="1"/>
      <c r="K114" s="1"/>
      <c r="L114" s="1">
        <f t="shared" si="24"/>
        <v>-2</v>
      </c>
      <c r="M114" s="1">
        <f t="shared" si="25"/>
        <v>-2</v>
      </c>
      <c r="N114" s="1"/>
      <c r="O114" s="1"/>
      <c r="P114" s="1"/>
      <c r="Q114" s="1">
        <v>12.400000000000009</v>
      </c>
      <c r="R114" s="1"/>
      <c r="S114" s="1">
        <f t="shared" si="26"/>
        <v>-0.4</v>
      </c>
      <c r="T114" s="5"/>
      <c r="U114" s="1">
        <f t="shared" si="27"/>
        <v>-156</v>
      </c>
      <c r="V114" s="1">
        <f t="shared" si="28"/>
        <v>-156</v>
      </c>
      <c r="W114" s="1">
        <v>4.2</v>
      </c>
      <c r="X114" s="1">
        <v>4.8</v>
      </c>
      <c r="Y114" s="1">
        <v>0.6</v>
      </c>
      <c r="Z114" s="1">
        <v>3.8</v>
      </c>
      <c r="AA114" s="1">
        <v>5.4</v>
      </c>
      <c r="AB114" s="1">
        <v>5.8</v>
      </c>
      <c r="AC114" s="1">
        <v>7.8</v>
      </c>
      <c r="AD114" s="1">
        <v>3.2</v>
      </c>
      <c r="AE114" s="1"/>
      <c r="AF114" s="1">
        <f t="shared" si="23"/>
        <v>0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255</v>
      </c>
      <c r="B115" s="1" t="s">
        <v>35</v>
      </c>
      <c r="C115" s="1">
        <v>86.429000000000002</v>
      </c>
      <c r="D115" s="1"/>
      <c r="E115" s="1"/>
      <c r="F115" s="1">
        <v>86.429000000000002</v>
      </c>
      <c r="G115" s="7">
        <v>1</v>
      </c>
      <c r="H115" s="1"/>
      <c r="I115" s="1"/>
      <c r="J115" s="1"/>
      <c r="K115" s="1"/>
      <c r="L115" s="1">
        <f t="shared" si="24"/>
        <v>0</v>
      </c>
      <c r="M115" s="1">
        <f t="shared" si="25"/>
        <v>0</v>
      </c>
      <c r="N115" s="1"/>
      <c r="O115" s="1"/>
      <c r="P115" s="1"/>
      <c r="Q115" s="1">
        <v>0</v>
      </c>
      <c r="R115" s="1"/>
      <c r="S115" s="1">
        <f t="shared" si="26"/>
        <v>0</v>
      </c>
      <c r="T115" s="5"/>
      <c r="U115" s="1" t="e">
        <f t="shared" si="27"/>
        <v>#DIV/0!</v>
      </c>
      <c r="V115" s="1" t="e">
        <f t="shared" si="28"/>
        <v>#DIV/0!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6" t="s">
        <v>77</v>
      </c>
      <c r="AF115" s="1">
        <f t="shared" si="23"/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F11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2026-07-07T10:45:26Z</dcterms:created>
  <dcterms:modified xsi:type="dcterms:W3CDTF">2026-07-07T11:28:13Z</dcterms:modified>
</cp:coreProperties>
</file>