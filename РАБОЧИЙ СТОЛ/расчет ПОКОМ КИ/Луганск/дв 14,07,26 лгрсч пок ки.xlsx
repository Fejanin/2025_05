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Луганск\"/>
    </mc:Choice>
  </mc:AlternateContent>
  <xr:revisionPtr revIDLastSave="0" documentId="13_ncr:1_{601C6C6A-F71D-4852-9D9B-5722FC206C5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6" i="1"/>
  <c r="AL5" i="1" l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6" i="1"/>
  <c r="S60" i="1"/>
  <c r="AI60" i="1" s="1"/>
  <c r="S82" i="1"/>
  <c r="AI82" i="1" s="1"/>
  <c r="S102" i="1"/>
  <c r="AI102" i="1" s="1"/>
  <c r="R11" i="1"/>
  <c r="S11" i="1" s="1"/>
  <c r="AI11" i="1" s="1"/>
  <c r="R12" i="1"/>
  <c r="S12" i="1" s="1"/>
  <c r="AI12" i="1" s="1"/>
  <c r="R15" i="1"/>
  <c r="S15" i="1" s="1"/>
  <c r="AI15" i="1" s="1"/>
  <c r="R16" i="1"/>
  <c r="S16" i="1" s="1"/>
  <c r="AI16" i="1" s="1"/>
  <c r="R20" i="1"/>
  <c r="S20" i="1" s="1"/>
  <c r="AI20" i="1" s="1"/>
  <c r="R24" i="1"/>
  <c r="S24" i="1" s="1"/>
  <c r="AI24" i="1" s="1"/>
  <c r="R28" i="1"/>
  <c r="S28" i="1" s="1"/>
  <c r="AI28" i="1" s="1"/>
  <c r="R37" i="1"/>
  <c r="S37" i="1" s="1"/>
  <c r="AI37" i="1" s="1"/>
  <c r="R39" i="1"/>
  <c r="S39" i="1" s="1"/>
  <c r="AI39" i="1" s="1"/>
  <c r="R41" i="1"/>
  <c r="S41" i="1" s="1"/>
  <c r="AI41" i="1" s="1"/>
  <c r="R51" i="1"/>
  <c r="S51" i="1" s="1"/>
  <c r="AI51" i="1" s="1"/>
  <c r="R55" i="1"/>
  <c r="S55" i="1" s="1"/>
  <c r="AI55" i="1" s="1"/>
  <c r="R57" i="1"/>
  <c r="S57" i="1" s="1"/>
  <c r="AI57" i="1" s="1"/>
  <c r="R60" i="1"/>
  <c r="R63" i="1"/>
  <c r="S63" i="1" s="1"/>
  <c r="AI63" i="1" s="1"/>
  <c r="R70" i="1"/>
  <c r="S70" i="1" s="1"/>
  <c r="AI70" i="1" s="1"/>
  <c r="R79" i="1"/>
  <c r="S79" i="1" s="1"/>
  <c r="AI79" i="1" s="1"/>
  <c r="R82" i="1"/>
  <c r="R85" i="1"/>
  <c r="S85" i="1" s="1"/>
  <c r="AI85" i="1" s="1"/>
  <c r="R91" i="1"/>
  <c r="S91" i="1" s="1"/>
  <c r="AI91" i="1" s="1"/>
  <c r="R92" i="1"/>
  <c r="S92" i="1" s="1"/>
  <c r="AI92" i="1" s="1"/>
  <c r="R93" i="1"/>
  <c r="S93" i="1" s="1"/>
  <c r="AI93" i="1" s="1"/>
  <c r="R97" i="1"/>
  <c r="S97" i="1" s="1"/>
  <c r="AI97" i="1" s="1"/>
  <c r="R100" i="1"/>
  <c r="S100" i="1" s="1"/>
  <c r="AI100" i="1" s="1"/>
  <c r="R101" i="1"/>
  <c r="S101" i="1" s="1"/>
  <c r="AI101" i="1" s="1"/>
  <c r="R102" i="1"/>
  <c r="R103" i="1"/>
  <c r="S103" i="1" s="1"/>
  <c r="AI103" i="1" s="1"/>
  <c r="R105" i="1"/>
  <c r="S105" i="1" s="1"/>
  <c r="AI105" i="1" s="1"/>
  <c r="R108" i="1"/>
  <c r="S108" i="1" s="1"/>
  <c r="AI108" i="1" s="1"/>
  <c r="R112" i="1"/>
  <c r="S112" i="1" s="1"/>
  <c r="AI112" i="1" s="1"/>
  <c r="R116" i="1"/>
  <c r="S116" i="1" s="1"/>
  <c r="AI116" i="1" s="1"/>
  <c r="R125" i="1"/>
  <c r="S125" i="1" s="1"/>
  <c r="AI125" i="1" s="1"/>
  <c r="R126" i="1"/>
  <c r="S126" i="1" s="1"/>
  <c r="AI126" i="1" s="1"/>
  <c r="AK5" i="1" l="1"/>
  <c r="AJ5" i="1"/>
  <c r="T5" i="1"/>
  <c r="U5" i="1"/>
  <c r="P126" i="1" l="1"/>
  <c r="W126" i="1" s="1"/>
  <c r="L126" i="1"/>
  <c r="P125" i="1"/>
  <c r="L125" i="1"/>
  <c r="P124" i="1"/>
  <c r="W124" i="1" s="1"/>
  <c r="L124" i="1"/>
  <c r="P123" i="1"/>
  <c r="L123" i="1"/>
  <c r="P122" i="1"/>
  <c r="W122" i="1" s="1"/>
  <c r="L122" i="1"/>
  <c r="P121" i="1"/>
  <c r="L121" i="1"/>
  <c r="F120" i="1"/>
  <c r="E120" i="1"/>
  <c r="P120" i="1" s="1"/>
  <c r="P119" i="1"/>
  <c r="L119" i="1"/>
  <c r="P118" i="1"/>
  <c r="W118" i="1" s="1"/>
  <c r="L118" i="1"/>
  <c r="P117" i="1"/>
  <c r="L117" i="1"/>
  <c r="P116" i="1"/>
  <c r="W116" i="1" s="1"/>
  <c r="L116" i="1"/>
  <c r="P115" i="1"/>
  <c r="L115" i="1"/>
  <c r="P114" i="1"/>
  <c r="W114" i="1" s="1"/>
  <c r="L114" i="1"/>
  <c r="P113" i="1"/>
  <c r="L113" i="1"/>
  <c r="P112" i="1"/>
  <c r="W112" i="1" s="1"/>
  <c r="L112" i="1"/>
  <c r="P111" i="1"/>
  <c r="L111" i="1"/>
  <c r="P110" i="1"/>
  <c r="W110" i="1" s="1"/>
  <c r="L110" i="1"/>
  <c r="P109" i="1"/>
  <c r="L109" i="1"/>
  <c r="P108" i="1"/>
  <c r="W108" i="1" s="1"/>
  <c r="L108" i="1"/>
  <c r="P107" i="1"/>
  <c r="L107" i="1"/>
  <c r="P106" i="1"/>
  <c r="W106" i="1" s="1"/>
  <c r="L106" i="1"/>
  <c r="P105" i="1"/>
  <c r="L105" i="1"/>
  <c r="P104" i="1"/>
  <c r="W104" i="1" s="1"/>
  <c r="L104" i="1"/>
  <c r="P103" i="1"/>
  <c r="L103" i="1"/>
  <c r="P102" i="1"/>
  <c r="W102" i="1" s="1"/>
  <c r="L102" i="1"/>
  <c r="P101" i="1"/>
  <c r="L101" i="1"/>
  <c r="P100" i="1"/>
  <c r="W100" i="1" s="1"/>
  <c r="L100" i="1"/>
  <c r="P99" i="1"/>
  <c r="L99" i="1"/>
  <c r="P98" i="1"/>
  <c r="W98" i="1" s="1"/>
  <c r="L98" i="1"/>
  <c r="P97" i="1"/>
  <c r="L97" i="1"/>
  <c r="P96" i="1"/>
  <c r="W96" i="1" s="1"/>
  <c r="L96" i="1"/>
  <c r="P95" i="1"/>
  <c r="L95" i="1"/>
  <c r="F95" i="1"/>
  <c r="P94" i="1"/>
  <c r="Q94" i="1" s="1"/>
  <c r="R94" i="1" s="1"/>
  <c r="S94" i="1" s="1"/>
  <c r="AI94" i="1" s="1"/>
  <c r="L94" i="1"/>
  <c r="P93" i="1"/>
  <c r="V93" i="1" s="1"/>
  <c r="L93" i="1"/>
  <c r="P92" i="1"/>
  <c r="W92" i="1" s="1"/>
  <c r="L92" i="1"/>
  <c r="P91" i="1"/>
  <c r="L91" i="1"/>
  <c r="P90" i="1"/>
  <c r="W90" i="1" s="1"/>
  <c r="L90" i="1"/>
  <c r="P89" i="1"/>
  <c r="Q89" i="1" s="1"/>
  <c r="L89" i="1"/>
  <c r="P88" i="1"/>
  <c r="W88" i="1" s="1"/>
  <c r="L88" i="1"/>
  <c r="P87" i="1"/>
  <c r="Q87" i="1" s="1"/>
  <c r="R87" i="1" s="1"/>
  <c r="S87" i="1" s="1"/>
  <c r="AI87" i="1" s="1"/>
  <c r="L87" i="1"/>
  <c r="P86" i="1"/>
  <c r="L86" i="1"/>
  <c r="P85" i="1"/>
  <c r="L85" i="1"/>
  <c r="P84" i="1"/>
  <c r="W84" i="1" s="1"/>
  <c r="L84" i="1"/>
  <c r="P83" i="1"/>
  <c r="Q83" i="1" s="1"/>
  <c r="R83" i="1" s="1"/>
  <c r="S83" i="1" s="1"/>
  <c r="AI83" i="1" s="1"/>
  <c r="L83" i="1"/>
  <c r="P82" i="1"/>
  <c r="L82" i="1"/>
  <c r="P81" i="1"/>
  <c r="Q81" i="1" s="1"/>
  <c r="R81" i="1" s="1"/>
  <c r="S81" i="1" s="1"/>
  <c r="AI81" i="1" s="1"/>
  <c r="L81" i="1"/>
  <c r="P80" i="1"/>
  <c r="L80" i="1"/>
  <c r="P79" i="1"/>
  <c r="L79" i="1"/>
  <c r="P78" i="1"/>
  <c r="L78" i="1"/>
  <c r="P77" i="1"/>
  <c r="Q77" i="1" s="1"/>
  <c r="R77" i="1" s="1"/>
  <c r="S77" i="1" s="1"/>
  <c r="AI77" i="1" s="1"/>
  <c r="L77" i="1"/>
  <c r="P76" i="1"/>
  <c r="L76" i="1"/>
  <c r="P75" i="1"/>
  <c r="L75" i="1"/>
  <c r="P74" i="1"/>
  <c r="L74" i="1"/>
  <c r="P73" i="1"/>
  <c r="Q73" i="1" s="1"/>
  <c r="R73" i="1" s="1"/>
  <c r="S73" i="1" s="1"/>
  <c r="AI73" i="1" s="1"/>
  <c r="L73" i="1"/>
  <c r="P72" i="1"/>
  <c r="L72" i="1"/>
  <c r="P71" i="1"/>
  <c r="Q71" i="1" s="1"/>
  <c r="R71" i="1" s="1"/>
  <c r="S71" i="1" s="1"/>
  <c r="AI71" i="1" s="1"/>
  <c r="L71" i="1"/>
  <c r="P70" i="1"/>
  <c r="L70" i="1"/>
  <c r="P69" i="1"/>
  <c r="Q69" i="1" s="1"/>
  <c r="R69" i="1" s="1"/>
  <c r="S69" i="1" s="1"/>
  <c r="AI69" i="1" s="1"/>
  <c r="L69" i="1"/>
  <c r="P68" i="1"/>
  <c r="L68" i="1"/>
  <c r="P67" i="1"/>
  <c r="L67" i="1"/>
  <c r="P66" i="1"/>
  <c r="L66" i="1"/>
  <c r="P65" i="1"/>
  <c r="Q65" i="1" s="1"/>
  <c r="R65" i="1" s="1"/>
  <c r="S65" i="1" s="1"/>
  <c r="AI65" i="1" s="1"/>
  <c r="L65" i="1"/>
  <c r="P64" i="1"/>
  <c r="L64" i="1"/>
  <c r="P63" i="1"/>
  <c r="L63" i="1"/>
  <c r="P62" i="1"/>
  <c r="L62" i="1"/>
  <c r="P61" i="1"/>
  <c r="Q61" i="1" s="1"/>
  <c r="R61" i="1" s="1"/>
  <c r="S61" i="1" s="1"/>
  <c r="AI61" i="1" s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Q53" i="1" s="1"/>
  <c r="R53" i="1" s="1"/>
  <c r="S53" i="1" s="1"/>
  <c r="AI53" i="1" s="1"/>
  <c r="L53" i="1"/>
  <c r="P52" i="1"/>
  <c r="L52" i="1"/>
  <c r="P51" i="1"/>
  <c r="L51" i="1"/>
  <c r="P50" i="1"/>
  <c r="L50" i="1"/>
  <c r="P49" i="1"/>
  <c r="Q49" i="1" s="1"/>
  <c r="R49" i="1" s="1"/>
  <c r="S49" i="1" s="1"/>
  <c r="AI49" i="1" s="1"/>
  <c r="L49" i="1"/>
  <c r="P48" i="1"/>
  <c r="L48" i="1"/>
  <c r="P47" i="1"/>
  <c r="Q47" i="1" s="1"/>
  <c r="L47" i="1"/>
  <c r="P46" i="1"/>
  <c r="L46" i="1"/>
  <c r="P45" i="1"/>
  <c r="Q45" i="1" s="1"/>
  <c r="R45" i="1" s="1"/>
  <c r="S45" i="1" s="1"/>
  <c r="AI45" i="1" s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Q34" i="1" s="1"/>
  <c r="L34" i="1"/>
  <c r="P33" i="1"/>
  <c r="Q33" i="1" s="1"/>
  <c r="R33" i="1" s="1"/>
  <c r="S33" i="1" s="1"/>
  <c r="AI33" i="1" s="1"/>
  <c r="L33" i="1"/>
  <c r="P32" i="1"/>
  <c r="L32" i="1"/>
  <c r="P31" i="1"/>
  <c r="Q31" i="1" s="1"/>
  <c r="L31" i="1"/>
  <c r="P30" i="1"/>
  <c r="L30" i="1"/>
  <c r="P29" i="1"/>
  <c r="Q29" i="1" s="1"/>
  <c r="R29" i="1" s="1"/>
  <c r="S29" i="1" s="1"/>
  <c r="AI29" i="1" s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Q22" i="1" s="1"/>
  <c r="R22" i="1" s="1"/>
  <c r="S22" i="1" s="1"/>
  <c r="AI22" i="1" s="1"/>
  <c r="L22" i="1"/>
  <c r="P21" i="1"/>
  <c r="L21" i="1"/>
  <c r="P20" i="1"/>
  <c r="W20" i="1" s="1"/>
  <c r="L20" i="1"/>
  <c r="P19" i="1"/>
  <c r="Q19" i="1" s="1"/>
  <c r="R19" i="1" s="1"/>
  <c r="S19" i="1" s="1"/>
  <c r="AI19" i="1" s="1"/>
  <c r="L19" i="1"/>
  <c r="P18" i="1"/>
  <c r="L18" i="1"/>
  <c r="P17" i="1"/>
  <c r="L17" i="1"/>
  <c r="P16" i="1"/>
  <c r="V16" i="1" s="1"/>
  <c r="L16" i="1"/>
  <c r="P15" i="1"/>
  <c r="V15" i="1" s="1"/>
  <c r="L15" i="1"/>
  <c r="P14" i="1"/>
  <c r="L14" i="1"/>
  <c r="P13" i="1"/>
  <c r="W13" i="1" s="1"/>
  <c r="L13" i="1"/>
  <c r="P12" i="1"/>
  <c r="V12" i="1" s="1"/>
  <c r="L12" i="1"/>
  <c r="P11" i="1"/>
  <c r="L11" i="1"/>
  <c r="P10" i="1"/>
  <c r="L10" i="1"/>
  <c r="P9" i="1"/>
  <c r="L9" i="1"/>
  <c r="P8" i="1"/>
  <c r="Q8" i="1" s="1"/>
  <c r="L8" i="1"/>
  <c r="P7" i="1"/>
  <c r="L7" i="1"/>
  <c r="P6" i="1"/>
  <c r="Q6" i="1" s="1"/>
  <c r="R6" i="1" s="1"/>
  <c r="S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AI6" i="1" l="1"/>
  <c r="R8" i="1"/>
  <c r="S8" i="1" s="1"/>
  <c r="AI8" i="1" s="1"/>
  <c r="R31" i="1"/>
  <c r="S31" i="1" s="1"/>
  <c r="AI31" i="1" s="1"/>
  <c r="R34" i="1"/>
  <c r="S34" i="1" s="1"/>
  <c r="AI34" i="1" s="1"/>
  <c r="R47" i="1"/>
  <c r="S47" i="1" s="1"/>
  <c r="AI47" i="1" s="1"/>
  <c r="R89" i="1"/>
  <c r="S89" i="1" s="1"/>
  <c r="AI89" i="1" s="1"/>
  <c r="Q120" i="1"/>
  <c r="R120" i="1" s="1"/>
  <c r="S120" i="1" s="1"/>
  <c r="AI120" i="1" s="1"/>
  <c r="Q84" i="1"/>
  <c r="R84" i="1" s="1"/>
  <c r="S84" i="1" s="1"/>
  <c r="AI84" i="1" s="1"/>
  <c r="W15" i="1"/>
  <c r="Q104" i="1"/>
  <c r="R104" i="1" s="1"/>
  <c r="S104" i="1" s="1"/>
  <c r="AI104" i="1" s="1"/>
  <c r="Q114" i="1"/>
  <c r="Q122" i="1"/>
  <c r="R122" i="1" s="1"/>
  <c r="S122" i="1" s="1"/>
  <c r="AI122" i="1" s="1"/>
  <c r="P5" i="1"/>
  <c r="Q95" i="1"/>
  <c r="R95" i="1" s="1"/>
  <c r="S95" i="1" s="1"/>
  <c r="AI95" i="1" s="1"/>
  <c r="V102" i="1"/>
  <c r="Q106" i="1"/>
  <c r="R106" i="1" s="1"/>
  <c r="S106" i="1" s="1"/>
  <c r="AI106" i="1" s="1"/>
  <c r="Q110" i="1"/>
  <c r="Q118" i="1"/>
  <c r="Q124" i="1"/>
  <c r="R124" i="1" s="1"/>
  <c r="S124" i="1" s="1"/>
  <c r="AI124" i="1" s="1"/>
  <c r="W11" i="1"/>
  <c r="W18" i="1"/>
  <c r="Q18" i="1"/>
  <c r="W23" i="1"/>
  <c r="Q23" i="1"/>
  <c r="W25" i="1"/>
  <c r="Q25" i="1"/>
  <c r="R25" i="1" s="1"/>
  <c r="S25" i="1" s="1"/>
  <c r="AI25" i="1" s="1"/>
  <c r="W27" i="1"/>
  <c r="Q27" i="1"/>
  <c r="R27" i="1" s="1"/>
  <c r="S27" i="1" s="1"/>
  <c r="AI27" i="1" s="1"/>
  <c r="W32" i="1"/>
  <c r="Q32" i="1"/>
  <c r="R32" i="1" s="1"/>
  <c r="S32" i="1" s="1"/>
  <c r="AI32" i="1" s="1"/>
  <c r="W34" i="1"/>
  <c r="W36" i="1"/>
  <c r="Q36" i="1"/>
  <c r="W40" i="1"/>
  <c r="Q40" i="1"/>
  <c r="R40" i="1" s="1"/>
  <c r="S40" i="1" s="1"/>
  <c r="AI40" i="1" s="1"/>
  <c r="W42" i="1"/>
  <c r="Q42" i="1"/>
  <c r="R42" i="1" s="1"/>
  <c r="S42" i="1" s="1"/>
  <c r="AI42" i="1" s="1"/>
  <c r="W44" i="1"/>
  <c r="Q44" i="1"/>
  <c r="R44" i="1" s="1"/>
  <c r="S44" i="1" s="1"/>
  <c r="AI44" i="1" s="1"/>
  <c r="W48" i="1"/>
  <c r="Q48" i="1"/>
  <c r="R48" i="1" s="1"/>
  <c r="S48" i="1" s="1"/>
  <c r="AI48" i="1" s="1"/>
  <c r="W50" i="1"/>
  <c r="Q50" i="1"/>
  <c r="R50" i="1" s="1"/>
  <c r="S50" i="1" s="1"/>
  <c r="AI50" i="1" s="1"/>
  <c r="W52" i="1"/>
  <c r="Q52" i="1"/>
  <c r="R52" i="1" s="1"/>
  <c r="S52" i="1" s="1"/>
  <c r="AI52" i="1" s="1"/>
  <c r="W56" i="1"/>
  <c r="Q56" i="1"/>
  <c r="R56" i="1" s="1"/>
  <c r="S56" i="1" s="1"/>
  <c r="AI56" i="1" s="1"/>
  <c r="W58" i="1"/>
  <c r="Q58" i="1"/>
  <c r="R58" i="1" s="1"/>
  <c r="S58" i="1" s="1"/>
  <c r="AI58" i="1" s="1"/>
  <c r="W60" i="1"/>
  <c r="W64" i="1"/>
  <c r="Q64" i="1"/>
  <c r="R64" i="1" s="1"/>
  <c r="S64" i="1" s="1"/>
  <c r="AI64" i="1" s="1"/>
  <c r="W66" i="1"/>
  <c r="Q66" i="1"/>
  <c r="R66" i="1" s="1"/>
  <c r="S66" i="1" s="1"/>
  <c r="AI66" i="1" s="1"/>
  <c r="W68" i="1"/>
  <c r="Q68" i="1"/>
  <c r="R68" i="1" s="1"/>
  <c r="S68" i="1" s="1"/>
  <c r="AI68" i="1" s="1"/>
  <c r="W72" i="1"/>
  <c r="Q72" i="1"/>
  <c r="R72" i="1" s="1"/>
  <c r="S72" i="1" s="1"/>
  <c r="AI72" i="1" s="1"/>
  <c r="W74" i="1"/>
  <c r="Q74" i="1"/>
  <c r="R74" i="1" s="1"/>
  <c r="S74" i="1" s="1"/>
  <c r="AI74" i="1" s="1"/>
  <c r="W76" i="1"/>
  <c r="Q76" i="1"/>
  <c r="R76" i="1" s="1"/>
  <c r="S76" i="1" s="1"/>
  <c r="AI76" i="1" s="1"/>
  <c r="W80" i="1"/>
  <c r="Q80" i="1"/>
  <c r="R80" i="1" s="1"/>
  <c r="S80" i="1" s="1"/>
  <c r="AI80" i="1" s="1"/>
  <c r="W82" i="1"/>
  <c r="V103" i="1"/>
  <c r="Q107" i="1"/>
  <c r="R107" i="1" s="1"/>
  <c r="S107" i="1" s="1"/>
  <c r="AI107" i="1" s="1"/>
  <c r="Q117" i="1"/>
  <c r="R117" i="1" s="1"/>
  <c r="S117" i="1" s="1"/>
  <c r="AI117" i="1" s="1"/>
  <c r="Q121" i="1"/>
  <c r="R121" i="1" s="1"/>
  <c r="S121" i="1" s="1"/>
  <c r="AI121" i="1" s="1"/>
  <c r="V125" i="1"/>
  <c r="Q13" i="1"/>
  <c r="R13" i="1" s="1"/>
  <c r="S13" i="1" s="1"/>
  <c r="AI13" i="1" s="1"/>
  <c r="Q98" i="1"/>
  <c r="R98" i="1" s="1"/>
  <c r="S98" i="1" s="1"/>
  <c r="AI98" i="1" s="1"/>
  <c r="E5" i="1"/>
  <c r="W7" i="1"/>
  <c r="Q7" i="1"/>
  <c r="V8" i="1"/>
  <c r="W9" i="1"/>
  <c r="Q9" i="1"/>
  <c r="R9" i="1" s="1"/>
  <c r="S9" i="1" s="1"/>
  <c r="AI9" i="1" s="1"/>
  <c r="W14" i="1"/>
  <c r="Q14" i="1"/>
  <c r="R14" i="1" s="1"/>
  <c r="S14" i="1" s="1"/>
  <c r="AI14" i="1" s="1"/>
  <c r="V19" i="1"/>
  <c r="W21" i="1"/>
  <c r="Q21" i="1"/>
  <c r="R21" i="1" s="1"/>
  <c r="S21" i="1" s="1"/>
  <c r="AI21" i="1" s="1"/>
  <c r="V29" i="1"/>
  <c r="W30" i="1"/>
  <c r="Q30" i="1"/>
  <c r="R30" i="1" s="1"/>
  <c r="S30" i="1" s="1"/>
  <c r="AI30" i="1" s="1"/>
  <c r="V37" i="1"/>
  <c r="W38" i="1"/>
  <c r="Q38" i="1"/>
  <c r="V45" i="1"/>
  <c r="W46" i="1"/>
  <c r="Q46" i="1"/>
  <c r="R46" i="1" s="1"/>
  <c r="S46" i="1" s="1"/>
  <c r="AI46" i="1" s="1"/>
  <c r="V53" i="1"/>
  <c r="W54" i="1"/>
  <c r="Q54" i="1"/>
  <c r="R54" i="1" s="1"/>
  <c r="S54" i="1" s="1"/>
  <c r="AI54" i="1" s="1"/>
  <c r="V61" i="1"/>
  <c r="W62" i="1"/>
  <c r="Q62" i="1"/>
  <c r="R62" i="1" s="1"/>
  <c r="S62" i="1" s="1"/>
  <c r="AI62" i="1" s="1"/>
  <c r="V69" i="1"/>
  <c r="W70" i="1"/>
  <c r="V77" i="1"/>
  <c r="W78" i="1"/>
  <c r="Q78" i="1"/>
  <c r="R78" i="1" s="1"/>
  <c r="S78" i="1" s="1"/>
  <c r="AI78" i="1" s="1"/>
  <c r="V85" i="1"/>
  <c r="W86" i="1"/>
  <c r="Q86" i="1"/>
  <c r="R86" i="1" s="1"/>
  <c r="S86" i="1" s="1"/>
  <c r="AI86" i="1" s="1"/>
  <c r="V94" i="1"/>
  <c r="Q119" i="1"/>
  <c r="R119" i="1" s="1"/>
  <c r="S119" i="1" s="1"/>
  <c r="AI119" i="1" s="1"/>
  <c r="Q123" i="1"/>
  <c r="R123" i="1" s="1"/>
  <c r="S123" i="1" s="1"/>
  <c r="AI123" i="1" s="1"/>
  <c r="Q10" i="1"/>
  <c r="Q17" i="1"/>
  <c r="Q26" i="1"/>
  <c r="R26" i="1" s="1"/>
  <c r="S26" i="1" s="1"/>
  <c r="AI26" i="1" s="1"/>
  <c r="Q35" i="1"/>
  <c r="R35" i="1" s="1"/>
  <c r="S35" i="1" s="1"/>
  <c r="AI35" i="1" s="1"/>
  <c r="Q43" i="1"/>
  <c r="R43" i="1" s="1"/>
  <c r="S43" i="1" s="1"/>
  <c r="AI43" i="1" s="1"/>
  <c r="Q59" i="1"/>
  <c r="R59" i="1" s="1"/>
  <c r="S59" i="1" s="1"/>
  <c r="AI59" i="1" s="1"/>
  <c r="Q67" i="1"/>
  <c r="R67" i="1" s="1"/>
  <c r="S67" i="1" s="1"/>
  <c r="AI67" i="1" s="1"/>
  <c r="Q75" i="1"/>
  <c r="R75" i="1" s="1"/>
  <c r="S75" i="1" s="1"/>
  <c r="AI75" i="1" s="1"/>
  <c r="Q96" i="1"/>
  <c r="R96" i="1" s="1"/>
  <c r="S96" i="1" s="1"/>
  <c r="AI96" i="1" s="1"/>
  <c r="V83" i="1"/>
  <c r="V91" i="1"/>
  <c r="W120" i="1"/>
  <c r="Q88" i="1"/>
  <c r="Q90" i="1"/>
  <c r="Q99" i="1"/>
  <c r="R99" i="1" s="1"/>
  <c r="S99" i="1" s="1"/>
  <c r="AI99" i="1" s="1"/>
  <c r="Q109" i="1"/>
  <c r="R109" i="1" s="1"/>
  <c r="S109" i="1" s="1"/>
  <c r="AI109" i="1" s="1"/>
  <c r="Q111" i="1"/>
  <c r="R111" i="1" s="1"/>
  <c r="S111" i="1" s="1"/>
  <c r="AI111" i="1" s="1"/>
  <c r="Q113" i="1"/>
  <c r="R113" i="1" s="1"/>
  <c r="S113" i="1" s="1"/>
  <c r="AI113" i="1" s="1"/>
  <c r="Q115" i="1"/>
  <c r="R115" i="1" s="1"/>
  <c r="S115" i="1" s="1"/>
  <c r="AI115" i="1" s="1"/>
  <c r="V22" i="1"/>
  <c r="V24" i="1"/>
  <c r="V31" i="1"/>
  <c r="V33" i="1"/>
  <c r="V39" i="1"/>
  <c r="V41" i="1"/>
  <c r="V47" i="1"/>
  <c r="V49" i="1"/>
  <c r="V55" i="1"/>
  <c r="V57" i="1"/>
  <c r="V63" i="1"/>
  <c r="V65" i="1"/>
  <c r="V71" i="1"/>
  <c r="V73" i="1"/>
  <c r="V79" i="1"/>
  <c r="V81" i="1"/>
  <c r="V87" i="1"/>
  <c r="V89" i="1"/>
  <c r="V6" i="1"/>
  <c r="F5" i="1"/>
  <c r="W17" i="1"/>
  <c r="W19" i="1"/>
  <c r="V20" i="1"/>
  <c r="V60" i="1"/>
  <c r="V92" i="1"/>
  <c r="W94" i="1"/>
  <c r="V100" i="1"/>
  <c r="V116" i="1"/>
  <c r="V120" i="1"/>
  <c r="W121" i="1"/>
  <c r="W123" i="1"/>
  <c r="W125" i="1"/>
  <c r="V126" i="1"/>
  <c r="V28" i="1"/>
  <c r="W28" i="1"/>
  <c r="W6" i="1"/>
  <c r="W8" i="1"/>
  <c r="W10" i="1"/>
  <c r="W12" i="1"/>
  <c r="W16" i="1"/>
  <c r="W22" i="1"/>
  <c r="W24" i="1"/>
  <c r="W26" i="1"/>
  <c r="W29" i="1"/>
  <c r="W31" i="1"/>
  <c r="W33" i="1"/>
  <c r="W35" i="1"/>
  <c r="W37" i="1"/>
  <c r="W39" i="1"/>
  <c r="W41" i="1"/>
  <c r="W43" i="1"/>
  <c r="W45" i="1"/>
  <c r="W47" i="1"/>
  <c r="W49" i="1"/>
  <c r="W51" i="1"/>
  <c r="W53" i="1"/>
  <c r="W55" i="1"/>
  <c r="W57" i="1"/>
  <c r="W59" i="1"/>
  <c r="W61" i="1"/>
  <c r="W63" i="1"/>
  <c r="W65" i="1"/>
  <c r="W67" i="1"/>
  <c r="W69" i="1"/>
  <c r="W71" i="1"/>
  <c r="W73" i="1"/>
  <c r="W75" i="1"/>
  <c r="W77" i="1"/>
  <c r="W79" i="1"/>
  <c r="W81" i="1"/>
  <c r="W83" i="1"/>
  <c r="W85" i="1"/>
  <c r="W87" i="1"/>
  <c r="W89" i="1"/>
  <c r="W91" i="1"/>
  <c r="W93" i="1"/>
  <c r="W95" i="1"/>
  <c r="W97" i="1"/>
  <c r="W99" i="1"/>
  <c r="W101" i="1"/>
  <c r="W103" i="1"/>
  <c r="W105" i="1"/>
  <c r="W107" i="1"/>
  <c r="W109" i="1"/>
  <c r="W111" i="1"/>
  <c r="W113" i="1"/>
  <c r="W115" i="1"/>
  <c r="W117" i="1"/>
  <c r="W119" i="1"/>
  <c r="L120" i="1"/>
  <c r="L5" i="1" s="1"/>
  <c r="R88" i="1" l="1"/>
  <c r="S88" i="1" s="1"/>
  <c r="AI88" i="1" s="1"/>
  <c r="R10" i="1"/>
  <c r="S10" i="1" s="1"/>
  <c r="AI10" i="1" s="1"/>
  <c r="R23" i="1"/>
  <c r="S23" i="1" s="1"/>
  <c r="AI23" i="1" s="1"/>
  <c r="R18" i="1"/>
  <c r="S18" i="1" s="1"/>
  <c r="AI18" i="1" s="1"/>
  <c r="R90" i="1"/>
  <c r="S90" i="1" s="1"/>
  <c r="AI90" i="1" s="1"/>
  <c r="R17" i="1"/>
  <c r="S17" i="1" s="1"/>
  <c r="AI17" i="1" s="1"/>
  <c r="R38" i="1"/>
  <c r="S38" i="1" s="1"/>
  <c r="AI38" i="1" s="1"/>
  <c r="R7" i="1"/>
  <c r="S7" i="1" s="1"/>
  <c r="R36" i="1"/>
  <c r="S36" i="1" s="1"/>
  <c r="AI36" i="1" s="1"/>
  <c r="V118" i="1"/>
  <c r="R118" i="1"/>
  <c r="S118" i="1" s="1"/>
  <c r="AI118" i="1" s="1"/>
  <c r="V110" i="1"/>
  <c r="R110" i="1"/>
  <c r="S110" i="1" s="1"/>
  <c r="AI110" i="1" s="1"/>
  <c r="V114" i="1"/>
  <c r="R114" i="1"/>
  <c r="S114" i="1" s="1"/>
  <c r="AI114" i="1" s="1"/>
  <c r="V80" i="1"/>
  <c r="V40" i="1"/>
  <c r="V95" i="1"/>
  <c r="V88" i="1"/>
  <c r="V72" i="1"/>
  <c r="V48" i="1"/>
  <c r="V27" i="1"/>
  <c r="V9" i="1"/>
  <c r="V13" i="1"/>
  <c r="V115" i="1"/>
  <c r="V124" i="1"/>
  <c r="V122" i="1"/>
  <c r="V108" i="1"/>
  <c r="V99" i="1"/>
  <c r="V121" i="1"/>
  <c r="V117" i="1"/>
  <c r="V107" i="1"/>
  <c r="V106" i="1"/>
  <c r="V104" i="1"/>
  <c r="V76" i="1"/>
  <c r="V64" i="1"/>
  <c r="V56" i="1"/>
  <c r="V44" i="1"/>
  <c r="V32" i="1"/>
  <c r="V23" i="1"/>
  <c r="V111" i="1"/>
  <c r="V105" i="1"/>
  <c r="V101" i="1"/>
  <c r="V90" i="1"/>
  <c r="V86" i="1"/>
  <c r="V70" i="1"/>
  <c r="V54" i="1"/>
  <c r="V38" i="1"/>
  <c r="V21" i="1"/>
  <c r="V7" i="1"/>
  <c r="V74" i="1"/>
  <c r="V67" i="1"/>
  <c r="V58" i="1"/>
  <c r="V51" i="1"/>
  <c r="V42" i="1"/>
  <c r="V35" i="1"/>
  <c r="V25" i="1"/>
  <c r="V17" i="1"/>
  <c r="V112" i="1"/>
  <c r="V96" i="1"/>
  <c r="V84" i="1"/>
  <c r="V68" i="1"/>
  <c r="V52" i="1"/>
  <c r="V36" i="1"/>
  <c r="V18" i="1"/>
  <c r="Q5" i="1"/>
  <c r="V113" i="1"/>
  <c r="V109" i="1"/>
  <c r="V97" i="1"/>
  <c r="V123" i="1"/>
  <c r="V119" i="1"/>
  <c r="V78" i="1"/>
  <c r="V62" i="1"/>
  <c r="V46" i="1"/>
  <c r="V30" i="1"/>
  <c r="V14" i="1"/>
  <c r="V98" i="1"/>
  <c r="V82" i="1"/>
  <c r="V75" i="1"/>
  <c r="V66" i="1"/>
  <c r="V59" i="1"/>
  <c r="V50" i="1"/>
  <c r="V43" i="1"/>
  <c r="V34" i="1"/>
  <c r="V26" i="1"/>
  <c r="V11" i="1"/>
  <c r="V10" i="1"/>
  <c r="AI7" i="1" l="1"/>
  <c r="S5" i="1"/>
  <c r="R5" i="1"/>
  <c r="AI5" i="1"/>
</calcChain>
</file>

<file path=xl/sharedStrings.xml><?xml version="1.0" encoding="utf-8"?>
<sst xmlns="http://schemas.openxmlformats.org/spreadsheetml/2006/main" count="438" uniqueCount="289">
  <si>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</si>
  <si>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</si>
  <si>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</si>
  <si>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</si>
  <si>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</si>
  <si>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</si>
  <si>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</si>
  <si>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</si>
  <si>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</si>
  <si>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</si>
  <si>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</si>
  <si>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</si>
  <si>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</si>
  <si>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</si>
  <si>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</si>
  <si>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</si>
  <si>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</si>
  <si>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</si>
  <si>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</si>
  <si>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</si>
  <si>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</si>
  <si>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</si>
  <si>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13,07,</t>
  </si>
  <si>
    <t>14,07,</t>
  </si>
  <si>
    <t>09,07,</t>
  </si>
  <si>
    <t>07,07,</t>
  </si>
  <si>
    <t>02,07,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</si>
  <si>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</si>
  <si>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</si>
  <si>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</si>
  <si>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</si>
  <si>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</si>
  <si>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</si>
  <si>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</si>
  <si>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</si>
  <si>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</si>
  <si>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</si>
  <si>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</si>
  <si>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</si>
  <si>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</si>
  <si>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</si>
  <si>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</si>
  <si>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</si>
  <si>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</si>
  <si>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</si>
  <si>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</si>
  <si>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</si>
  <si>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</si>
  <si>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>нужно увеличить продажи!!!</t>
  </si>
  <si>
    <t xml:space="preserve"> 057  Колбаса Докторская Дугушка, вектор 0.4 кг, ТМ Стародворье    ПОКОМ</t>
  </si>
  <si>
    <t>не в матрице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</si>
  <si>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</si>
  <si>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</si>
  <si>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</si>
  <si>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</si>
  <si>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</si>
  <si>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</si>
  <si>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</si>
  <si>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108  Сосиски С сыром,  0.42кг,ядрена копоть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</si>
  <si>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</si>
  <si>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</si>
  <si>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</si>
  <si>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</si>
  <si>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</si>
  <si>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</si>
  <si>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</si>
  <si>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</si>
  <si>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</si>
  <si>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</si>
  <si>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</si>
  <si>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</si>
  <si>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</si>
  <si>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</si>
  <si>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>нужно увеличить продажи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</si>
  <si>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</si>
  <si>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</si>
  <si>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</si>
  <si>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</si>
  <si>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</si>
  <si>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</si>
  <si>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</si>
  <si>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</si>
  <si>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</si>
  <si>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</si>
  <si>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246  Колбаса Стародворская ТМ Стародворье ТС Старый двор, ПОКОМ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</si>
  <si>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</si>
  <si>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</si>
  <si>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</si>
  <si>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</si>
  <si>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</si>
  <si>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</si>
  <si>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</si>
  <si>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</si>
  <si>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</si>
  <si>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</si>
  <si>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</si>
  <si>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</si>
  <si>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</si>
  <si>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</si>
  <si>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</si>
  <si>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</si>
  <si>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</si>
  <si>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</si>
  <si>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</si>
  <si>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</si>
  <si>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</si>
  <si>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</si>
  <si>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</si>
  <si>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</si>
  <si>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</si>
  <si>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</si>
  <si>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</si>
  <si>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</si>
  <si>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</si>
  <si>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</si>
  <si>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</si>
  <si>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</si>
  <si>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</si>
  <si>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</si>
  <si>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</si>
  <si>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</si>
  <si>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</si>
  <si>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</si>
  <si>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</si>
  <si>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</si>
  <si>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</si>
  <si>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</si>
  <si>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</si>
  <si>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</si>
  <si>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</si>
  <si>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</si>
  <si>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</si>
  <si>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</si>
  <si>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</si>
  <si>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</si>
  <si>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</si>
  <si>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</si>
  <si>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</si>
  <si>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</si>
  <si>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</si>
  <si>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</si>
  <si>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</si>
  <si>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</si>
  <si>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</si>
  <si>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</si>
  <si>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</si>
  <si>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</si>
  <si>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</si>
  <si>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</si>
  <si>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</si>
  <si>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</si>
  <si>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</si>
  <si>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</si>
  <si>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</si>
  <si>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</si>
  <si>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</si>
  <si>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</si>
  <si>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</si>
  <si>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</si>
  <si>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</si>
  <si>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</si>
  <si>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</si>
  <si>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</si>
  <si>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</si>
  <si>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</si>
  <si>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</si>
  <si>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</si>
  <si>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</si>
  <si>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</si>
  <si>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</si>
  <si>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</si>
  <si>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</si>
  <si>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</si>
  <si>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</si>
  <si>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</si>
  <si>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</si>
  <si>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</si>
  <si>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</si>
  <si>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</si>
  <si>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</si>
  <si>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</si>
  <si>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</si>
  <si>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</si>
  <si>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</si>
  <si>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</si>
  <si>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</si>
  <si>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</si>
  <si>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</si>
  <si>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</si>
  <si>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</si>
  <si>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</si>
  <si>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</si>
  <si>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</si>
  <si>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</si>
  <si>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</si>
  <si>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</si>
  <si>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</si>
  <si>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</si>
  <si>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</si>
  <si>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</si>
  <si>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</si>
  <si>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</si>
  <si>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</si>
  <si>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</si>
  <si>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</si>
  <si>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</si>
  <si>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</si>
  <si>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</si>
  <si>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</si>
  <si>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</si>
  <si>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</si>
  <si>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</si>
  <si>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</si>
  <si>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</si>
  <si>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</si>
  <si>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</si>
  <si>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</si>
  <si>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</si>
  <si>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</si>
  <si>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</si>
  <si>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</si>
  <si>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</si>
  <si>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</si>
  <si>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</si>
  <si>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</si>
  <si>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</si>
  <si>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</si>
  <si>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</si>
  <si>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</si>
  <si>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</si>
  <si>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</si>
  <si>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</si>
  <si>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</si>
  <si>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</si>
  <si>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</si>
  <si>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</si>
  <si>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</si>
  <si>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</si>
  <si>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</si>
  <si>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</si>
  <si>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</si>
  <si>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</si>
  <si>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</si>
  <si>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</si>
  <si>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>21 шт в уценку 30,06,26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</si>
  <si>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</si>
  <si>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</si>
  <si>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</si>
  <si>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</si>
  <si>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</si>
  <si>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</si>
  <si>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</si>
  <si>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</si>
  <si>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</si>
  <si>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</si>
  <si>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</si>
  <si>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</si>
  <si>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</si>
  <si>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</si>
  <si>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</si>
  <si>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</si>
  <si>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</si>
  <si>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</si>
  <si>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</si>
  <si>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</si>
  <si>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</si>
  <si>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</si>
  <si>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</si>
  <si>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</si>
  <si>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</si>
  <si>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</si>
  <si>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</si>
  <si>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</si>
  <si>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</si>
  <si>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</si>
  <si>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</si>
  <si>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</si>
  <si>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</si>
  <si>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</si>
  <si>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</si>
  <si>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</si>
  <si>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</si>
  <si>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помощь Донецку</t>
  </si>
  <si>
    <t>итого</t>
  </si>
  <si>
    <t>заказ</t>
  </si>
  <si>
    <t>18,07,</t>
  </si>
  <si>
    <t>18,07,(2)</t>
  </si>
  <si>
    <t>19,07,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</si>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</sst>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1" fillId="0" borderId="1" xfId="1" applyNumberFormat="1"/>
    <xf numFmtId="2" fontId="0" fillId="0" borderId="0" xfId="0" applyNumberFormat="1" applyBorder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1"/>
  <sheetViews>
    <sheetView tabSelected="1" zoomScale="85" workbookViewId="0">
      <pane xSplit="2" ySplit="5" topLeftCell="D6" activePane="bottomRight" state="frozen"/>
      <selection pane="topRight"/>
      <selection pane="bottomLeft"/>
      <selection pane="bottomRight" activeCell="AL6" sqref="AL6:AL12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7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1" width="7" customWidth="1"/>
    <col min="22" max="23" width="5" customWidth="1"/>
    <col min="24" max="32" width="6.7109375" customWidth="1"/>
    <col min="33" max="33" width="6" customWidth="1"/>
    <col min="34" max="34" width="31" customWidth="1"/>
    <col min="35" max="37" width="7" customWidth="1"/>
    <col min="38" max="38" width="8.42578125" customWidth="1"/>
    <col min="39" max="51" width="3" customWidth="1"/>
  </cols>
  <sheetData>
    <row r="1" spans="1:51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8">
        <v>1.38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288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>
        <v>17200</v>
      </c>
      <c r="AJ2" s="1">
        <v>12218</v>
      </c>
      <c r="AK2" s="1">
        <v>8400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283</v>
      </c>
      <c r="S3" s="3" t="s">
        <v>284</v>
      </c>
      <c r="T3" s="3" t="s">
        <v>284</v>
      </c>
      <c r="U3" s="3" t="s">
        <v>284</v>
      </c>
      <c r="V3" s="2" t="s">
        <v>17</v>
      </c>
      <c r="W3" s="2" t="s">
        <v>18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20</v>
      </c>
      <c r="AI3" s="2" t="s">
        <v>21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 t="s">
        <v>285</v>
      </c>
      <c r="T4" s="1" t="s">
        <v>286</v>
      </c>
      <c r="U4" s="1" t="s">
        <v>287</v>
      </c>
      <c r="V4" s="1"/>
      <c r="W4" s="1"/>
      <c r="X4" s="1" t="s">
        <v>24</v>
      </c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/>
      <c r="AI4" s="1" t="s">
        <v>285</v>
      </c>
      <c r="AJ4" s="1" t="s">
        <v>286</v>
      </c>
      <c r="AK4" s="1" t="s">
        <v>287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SUM(E6:E491)</f>
        <v>56650.567000000003</v>
      </c>
      <c r="F5" s="4">
        <f>SUM(F6:F491)</f>
        <v>68278.81600000005</v>
      </c>
      <c r="G5" s="6"/>
      <c r="H5" s="1"/>
      <c r="I5" s="1"/>
      <c r="J5" s="1"/>
      <c r="K5" s="4">
        <f t="shared" ref="K5:U5" si="0">SUM(K6:K491)</f>
        <v>57260.882000000005</v>
      </c>
      <c r="L5" s="4">
        <f t="shared" si="0"/>
        <v>-610.31500000000074</v>
      </c>
      <c r="M5" s="4">
        <f t="shared" si="0"/>
        <v>0</v>
      </c>
      <c r="N5" s="4">
        <f t="shared" si="0"/>
        <v>0</v>
      </c>
      <c r="O5" s="4">
        <f t="shared" si="0"/>
        <v>21850.769755000012</v>
      </c>
      <c r="P5" s="4">
        <f t="shared" si="0"/>
        <v>11330.113399999998</v>
      </c>
      <c r="Q5" s="4">
        <f t="shared" si="0"/>
        <v>35301.168884999992</v>
      </c>
      <c r="R5" s="4">
        <f t="shared" si="0"/>
        <v>44452.90467299999</v>
      </c>
      <c r="S5" s="4">
        <f t="shared" si="0"/>
        <v>21452.904672999975</v>
      </c>
      <c r="T5" s="4">
        <f t="shared" si="0"/>
        <v>14000</v>
      </c>
      <c r="U5" s="4">
        <f t="shared" si="0"/>
        <v>9000</v>
      </c>
      <c r="V5" s="1"/>
      <c r="W5" s="1"/>
      <c r="X5" s="4">
        <f t="shared" ref="X5:AG5" si="1">SUM(X6:X491)</f>
        <v>10868.862599999995</v>
      </c>
      <c r="Y5" s="4">
        <f t="shared" si="1"/>
        <v>10230.688399999999</v>
      </c>
      <c r="Z5" s="4">
        <f t="shared" si="1"/>
        <v>10557.787400000001</v>
      </c>
      <c r="AA5" s="4">
        <f t="shared" si="1"/>
        <v>11206.347200000004</v>
      </c>
      <c r="AB5" s="4">
        <f t="shared" si="1"/>
        <v>10686.677200000006</v>
      </c>
      <c r="AC5" s="4">
        <f t="shared" si="1"/>
        <v>10948.348200000002</v>
      </c>
      <c r="AD5" s="4">
        <f t="shared" si="1"/>
        <v>11385.260799999998</v>
      </c>
      <c r="AE5" s="4">
        <f t="shared" si="1"/>
        <v>10613.700400000002</v>
      </c>
      <c r="AF5" s="4">
        <f t="shared" si="1"/>
        <v>10551.016599999999</v>
      </c>
      <c r="AG5" s="4">
        <f t="shared" si="1"/>
        <v>9872.011800000002</v>
      </c>
      <c r="AH5" s="1"/>
      <c r="AI5" s="4">
        <f>SUM(AI6:AI491)</f>
        <v>17206</v>
      </c>
      <c r="AJ5" s="4">
        <f t="shared" ref="AJ5:AL5" si="2">SUM(AJ6:AJ491)</f>
        <v>12212</v>
      </c>
      <c r="AK5" s="4">
        <f t="shared" si="2"/>
        <v>8400</v>
      </c>
      <c r="AL5" s="4">
        <f t="shared" si="2"/>
        <v>8871.1719999999987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4823.759</v>
      </c>
      <c r="D6" s="1">
        <v>1857.3779999999999</v>
      </c>
      <c r="E6" s="1">
        <v>2658.9110000000001</v>
      </c>
      <c r="F6" s="1">
        <v>3883.165</v>
      </c>
      <c r="G6" s="6">
        <v>1</v>
      </c>
      <c r="H6" s="1">
        <v>50</v>
      </c>
      <c r="I6" s="1" t="s">
        <v>36</v>
      </c>
      <c r="J6" s="1"/>
      <c r="K6" s="1">
        <v>2600.75</v>
      </c>
      <c r="L6" s="1">
        <f t="shared" ref="L6:L37" si="3">E6-K6</f>
        <v>58.161000000000058</v>
      </c>
      <c r="M6" s="1"/>
      <c r="N6" s="1"/>
      <c r="O6" s="1">
        <v>133.33322000000041</v>
      </c>
      <c r="P6" s="1">
        <f t="shared" ref="P6:P37" si="4">E6/5</f>
        <v>531.78219999999999</v>
      </c>
      <c r="Q6" s="5">
        <f>11*P6-O6-F6</f>
        <v>1833.1059799999994</v>
      </c>
      <c r="R6" s="5">
        <f>Q6+$R$1*P6</f>
        <v>2566.9654159999991</v>
      </c>
      <c r="S6" s="5">
        <f>R6-T6-U6</f>
        <v>866.9654159999991</v>
      </c>
      <c r="T6" s="5">
        <v>700</v>
      </c>
      <c r="U6" s="5">
        <v>1000</v>
      </c>
      <c r="V6" s="1">
        <f t="shared" ref="V6:V37" si="5">(F6+O6+Q6)/P6</f>
        <v>11</v>
      </c>
      <c r="W6" s="1">
        <f t="shared" ref="W6:W37" si="6">(F6+O6)/P6</f>
        <v>7.5529008304527689</v>
      </c>
      <c r="X6" s="1">
        <v>520.48940000000005</v>
      </c>
      <c r="Y6" s="1">
        <v>518.05520000000001</v>
      </c>
      <c r="Z6" s="1">
        <v>649.26400000000001</v>
      </c>
      <c r="AA6" s="1">
        <v>693.28</v>
      </c>
      <c r="AB6" s="1">
        <v>574.93340000000001</v>
      </c>
      <c r="AC6" s="1">
        <v>571.3528</v>
      </c>
      <c r="AD6" s="1">
        <v>644.19260000000008</v>
      </c>
      <c r="AE6" s="1">
        <v>519.64480000000003</v>
      </c>
      <c r="AF6" s="1">
        <v>522.90699999999993</v>
      </c>
      <c r="AG6" s="1">
        <v>560.63319999999999</v>
      </c>
      <c r="AH6" s="1"/>
      <c r="AI6" s="1">
        <f>ROUND(G6*S6,0)</f>
        <v>867</v>
      </c>
      <c r="AJ6" s="1">
        <f>ROUND(G6*T6,0)</f>
        <v>700</v>
      </c>
      <c r="AK6" s="1">
        <f>ROUND(G6*U6,0)</f>
        <v>1000</v>
      </c>
      <c r="AL6" s="1">
        <f>P6*G6</f>
        <v>531.78219999999999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1100.624</v>
      </c>
      <c r="D7" s="1">
        <v>1737.7239999999999</v>
      </c>
      <c r="E7" s="1">
        <v>1154.7349999999999</v>
      </c>
      <c r="F7" s="1">
        <v>1596.7439999999999</v>
      </c>
      <c r="G7" s="6">
        <v>1</v>
      </c>
      <c r="H7" s="1">
        <v>45</v>
      </c>
      <c r="I7" s="1" t="s">
        <v>38</v>
      </c>
      <c r="J7" s="1"/>
      <c r="K7" s="1">
        <v>1132.1500000000001</v>
      </c>
      <c r="L7" s="1">
        <f t="shared" si="3"/>
        <v>22.584999999999809</v>
      </c>
      <c r="M7" s="1"/>
      <c r="N7" s="1"/>
      <c r="O7" s="1">
        <v>255.00436560000119</v>
      </c>
      <c r="P7" s="1">
        <f t="shared" si="4"/>
        <v>230.94699999999997</v>
      </c>
      <c r="Q7" s="5">
        <f t="shared" ref="Q7:Q10" si="7">11*P7-O7-F7</f>
        <v>688.66863439999884</v>
      </c>
      <c r="R7" s="5">
        <f t="shared" ref="R7:R8" si="8">Q7+$R$1*P7</f>
        <v>1007.3754943999988</v>
      </c>
      <c r="S7" s="5">
        <f t="shared" ref="S7:S70" si="9">R7-T7-U7</f>
        <v>507.37549439999884</v>
      </c>
      <c r="T7" s="5">
        <v>500</v>
      </c>
      <c r="U7" s="5"/>
      <c r="V7" s="1">
        <f t="shared" si="5"/>
        <v>11</v>
      </c>
      <c r="W7" s="1">
        <f t="shared" si="6"/>
        <v>8.0180663338341756</v>
      </c>
      <c r="X7" s="1">
        <v>231.88659999999999</v>
      </c>
      <c r="Y7" s="1">
        <v>229.16200000000001</v>
      </c>
      <c r="Z7" s="1">
        <v>245.24719999999999</v>
      </c>
      <c r="AA7" s="1">
        <v>248.6404</v>
      </c>
      <c r="AB7" s="1">
        <v>233.95959999999999</v>
      </c>
      <c r="AC7" s="1">
        <v>237.83580000000001</v>
      </c>
      <c r="AD7" s="1">
        <v>203.35040000000001</v>
      </c>
      <c r="AE7" s="1">
        <v>182.13740000000001</v>
      </c>
      <c r="AF7" s="1">
        <v>185.8854</v>
      </c>
      <c r="AG7" s="1">
        <v>186.2038</v>
      </c>
      <c r="AH7" s="1"/>
      <c r="AI7" s="1">
        <f t="shared" ref="AI7:AI70" si="10">ROUND(G7*S7,0)</f>
        <v>507</v>
      </c>
      <c r="AJ7" s="1">
        <f t="shared" ref="AJ7:AJ70" si="11">ROUND(G7*T7,0)</f>
        <v>500</v>
      </c>
      <c r="AK7" s="1">
        <f t="shared" ref="AK7:AK70" si="12">ROUND(G7*U7,0)</f>
        <v>0</v>
      </c>
      <c r="AL7" s="1">
        <f t="shared" ref="AL7:AL70" si="13">P7*G7</f>
        <v>230.94699999999997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35</v>
      </c>
      <c r="C8" s="1">
        <v>1564.723</v>
      </c>
      <c r="D8" s="1">
        <v>1433.692</v>
      </c>
      <c r="E8" s="1">
        <v>1162.454</v>
      </c>
      <c r="F8" s="1">
        <v>1744.0709999999999</v>
      </c>
      <c r="G8" s="6">
        <v>1</v>
      </c>
      <c r="H8" s="1">
        <v>45</v>
      </c>
      <c r="I8" s="1" t="s">
        <v>40</v>
      </c>
      <c r="J8" s="1"/>
      <c r="K8" s="1">
        <v>1146.45</v>
      </c>
      <c r="L8" s="1">
        <f t="shared" si="3"/>
        <v>16.003999999999905</v>
      </c>
      <c r="M8" s="1"/>
      <c r="N8" s="1"/>
      <c r="O8" s="1">
        <v>19.565239200001539</v>
      </c>
      <c r="P8" s="1">
        <f t="shared" si="4"/>
        <v>232.49079999999998</v>
      </c>
      <c r="Q8" s="5">
        <f t="shared" si="7"/>
        <v>793.76256079999848</v>
      </c>
      <c r="R8" s="5">
        <f t="shared" si="8"/>
        <v>1114.5998647999984</v>
      </c>
      <c r="S8" s="5">
        <f t="shared" si="9"/>
        <v>614.59986479999839</v>
      </c>
      <c r="T8" s="5">
        <v>500</v>
      </c>
      <c r="U8" s="5"/>
      <c r="V8" s="1">
        <f t="shared" si="5"/>
        <v>11</v>
      </c>
      <c r="W8" s="1">
        <f t="shared" si="6"/>
        <v>7.5858323821845923</v>
      </c>
      <c r="X8" s="1">
        <v>229.34979999999999</v>
      </c>
      <c r="Y8" s="1">
        <v>233.9804</v>
      </c>
      <c r="Z8" s="1">
        <v>252.5744</v>
      </c>
      <c r="AA8" s="1">
        <v>250.4272</v>
      </c>
      <c r="AB8" s="1">
        <v>136.15100000000001</v>
      </c>
      <c r="AC8" s="1">
        <v>145.13079999999999</v>
      </c>
      <c r="AD8" s="1">
        <v>215.2072</v>
      </c>
      <c r="AE8" s="1">
        <v>199.28120000000001</v>
      </c>
      <c r="AF8" s="1">
        <v>203.77680000000001</v>
      </c>
      <c r="AG8" s="1">
        <v>217.57159999999999</v>
      </c>
      <c r="AH8" s="1"/>
      <c r="AI8" s="1">
        <f t="shared" si="10"/>
        <v>615</v>
      </c>
      <c r="AJ8" s="1">
        <f t="shared" si="11"/>
        <v>500</v>
      </c>
      <c r="AK8" s="1">
        <f t="shared" si="12"/>
        <v>0</v>
      </c>
      <c r="AL8" s="1">
        <f t="shared" si="13"/>
        <v>232.49079999999998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796</v>
      </c>
      <c r="D9" s="1">
        <v>588</v>
      </c>
      <c r="E9" s="1">
        <v>545</v>
      </c>
      <c r="F9" s="1">
        <v>789</v>
      </c>
      <c r="G9" s="6">
        <v>0.45</v>
      </c>
      <c r="H9" s="1">
        <v>45</v>
      </c>
      <c r="I9" s="1" t="s">
        <v>43</v>
      </c>
      <c r="J9" s="1"/>
      <c r="K9" s="1">
        <v>574</v>
      </c>
      <c r="L9" s="1">
        <f t="shared" si="3"/>
        <v>-29</v>
      </c>
      <c r="M9" s="1"/>
      <c r="N9" s="1"/>
      <c r="O9" s="1">
        <v>400.26400000000012</v>
      </c>
      <c r="P9" s="1">
        <f t="shared" si="4"/>
        <v>109</v>
      </c>
      <c r="Q9" s="5">
        <f t="shared" si="7"/>
        <v>9.7359999999998763</v>
      </c>
      <c r="R9" s="5">
        <f t="shared" ref="R9:R70" si="14">Q9</f>
        <v>9.7359999999998763</v>
      </c>
      <c r="S9" s="5">
        <f t="shared" si="9"/>
        <v>9.7359999999998763</v>
      </c>
      <c r="T9" s="5"/>
      <c r="U9" s="5"/>
      <c r="V9" s="1">
        <f t="shared" si="5"/>
        <v>11</v>
      </c>
      <c r="W9" s="1">
        <f t="shared" si="6"/>
        <v>10.910678899082569</v>
      </c>
      <c r="X9" s="1">
        <v>123.6</v>
      </c>
      <c r="Y9" s="1">
        <v>123.8</v>
      </c>
      <c r="Z9" s="1">
        <v>115.4</v>
      </c>
      <c r="AA9" s="1">
        <v>118.8</v>
      </c>
      <c r="AB9" s="1">
        <v>111.6</v>
      </c>
      <c r="AC9" s="1">
        <v>102.4</v>
      </c>
      <c r="AD9" s="1">
        <v>102.8</v>
      </c>
      <c r="AE9" s="1">
        <v>107.2</v>
      </c>
      <c r="AF9" s="1">
        <v>111</v>
      </c>
      <c r="AG9" s="1">
        <v>107</v>
      </c>
      <c r="AH9" s="1"/>
      <c r="AI9" s="1">
        <f t="shared" si="10"/>
        <v>4</v>
      </c>
      <c r="AJ9" s="1">
        <f t="shared" si="11"/>
        <v>0</v>
      </c>
      <c r="AK9" s="1">
        <f t="shared" si="12"/>
        <v>0</v>
      </c>
      <c r="AL9" s="1">
        <f t="shared" si="13"/>
        <v>49.050000000000004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1177</v>
      </c>
      <c r="D10" s="1">
        <v>1760</v>
      </c>
      <c r="E10" s="1">
        <v>1038</v>
      </c>
      <c r="F10" s="1">
        <v>1812</v>
      </c>
      <c r="G10" s="6">
        <v>0.45</v>
      </c>
      <c r="H10" s="1">
        <v>45</v>
      </c>
      <c r="I10" s="1" t="s">
        <v>45</v>
      </c>
      <c r="J10" s="1"/>
      <c r="K10" s="1">
        <v>1075</v>
      </c>
      <c r="L10" s="1">
        <f t="shared" si="3"/>
        <v>-37</v>
      </c>
      <c r="M10" s="1"/>
      <c r="N10" s="1"/>
      <c r="O10" s="1">
        <v>90.72400000000016</v>
      </c>
      <c r="P10" s="1">
        <f t="shared" si="4"/>
        <v>207.6</v>
      </c>
      <c r="Q10" s="5">
        <f t="shared" si="7"/>
        <v>380.87599999999975</v>
      </c>
      <c r="R10" s="5">
        <f>Q10+$R$1*P10</f>
        <v>667.36399999999969</v>
      </c>
      <c r="S10" s="5">
        <f t="shared" si="9"/>
        <v>667.36399999999969</v>
      </c>
      <c r="T10" s="5"/>
      <c r="U10" s="5"/>
      <c r="V10" s="1">
        <f t="shared" si="5"/>
        <v>11</v>
      </c>
      <c r="W10" s="1">
        <f t="shared" si="6"/>
        <v>9.1653371868978812</v>
      </c>
      <c r="X10" s="1">
        <v>228.4</v>
      </c>
      <c r="Y10" s="1">
        <v>239.6</v>
      </c>
      <c r="Z10" s="1">
        <v>198.8</v>
      </c>
      <c r="AA10" s="1">
        <v>201.8</v>
      </c>
      <c r="AB10" s="1">
        <v>207.4</v>
      </c>
      <c r="AC10" s="1">
        <v>205.4</v>
      </c>
      <c r="AD10" s="1">
        <v>203.4</v>
      </c>
      <c r="AE10" s="1">
        <v>195</v>
      </c>
      <c r="AF10" s="1">
        <v>200.4</v>
      </c>
      <c r="AG10" s="1">
        <v>230.2</v>
      </c>
      <c r="AH10" s="1"/>
      <c r="AI10" s="1">
        <f t="shared" si="10"/>
        <v>300</v>
      </c>
      <c r="AJ10" s="1">
        <f t="shared" si="11"/>
        <v>0</v>
      </c>
      <c r="AK10" s="1">
        <f t="shared" si="12"/>
        <v>0</v>
      </c>
      <c r="AL10" s="1">
        <f t="shared" si="13"/>
        <v>93.42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220</v>
      </c>
      <c r="D11" s="1"/>
      <c r="E11" s="1">
        <v>64</v>
      </c>
      <c r="F11" s="1">
        <v>156</v>
      </c>
      <c r="G11" s="6">
        <v>0.17</v>
      </c>
      <c r="H11" s="1">
        <v>180</v>
      </c>
      <c r="I11" s="1" t="s">
        <v>47</v>
      </c>
      <c r="J11" s="1"/>
      <c r="K11" s="1">
        <v>64</v>
      </c>
      <c r="L11" s="1">
        <f t="shared" si="3"/>
        <v>0</v>
      </c>
      <c r="M11" s="1"/>
      <c r="N11" s="1"/>
      <c r="O11" s="1"/>
      <c r="P11" s="1">
        <f t="shared" si="4"/>
        <v>12.8</v>
      </c>
      <c r="Q11" s="5"/>
      <c r="R11" s="5">
        <f t="shared" si="14"/>
        <v>0</v>
      </c>
      <c r="S11" s="5">
        <f t="shared" si="9"/>
        <v>0</v>
      </c>
      <c r="T11" s="5"/>
      <c r="U11" s="5"/>
      <c r="V11" s="1">
        <f t="shared" si="5"/>
        <v>12.1875</v>
      </c>
      <c r="W11" s="1">
        <f t="shared" si="6"/>
        <v>12.1875</v>
      </c>
      <c r="X11" s="1">
        <v>7.4</v>
      </c>
      <c r="Y11" s="1">
        <v>8.6</v>
      </c>
      <c r="Z11" s="1">
        <v>18.2</v>
      </c>
      <c r="AA11" s="1">
        <v>20.6</v>
      </c>
      <c r="AB11" s="1">
        <v>16</v>
      </c>
      <c r="AC11" s="1">
        <v>15</v>
      </c>
      <c r="AD11" s="1">
        <v>21.2</v>
      </c>
      <c r="AE11" s="1">
        <v>10</v>
      </c>
      <c r="AF11" s="1">
        <v>12.8</v>
      </c>
      <c r="AG11" s="1">
        <v>13.4</v>
      </c>
      <c r="AH11" s="13" t="s">
        <v>73</v>
      </c>
      <c r="AI11" s="1">
        <f t="shared" si="10"/>
        <v>0</v>
      </c>
      <c r="AJ11" s="1">
        <f t="shared" si="11"/>
        <v>0</v>
      </c>
      <c r="AK11" s="1">
        <f t="shared" si="12"/>
        <v>0</v>
      </c>
      <c r="AL11" s="1">
        <f t="shared" si="13"/>
        <v>2.1760000000000002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9" t="s">
        <v>49</v>
      </c>
      <c r="B12" s="9" t="s">
        <v>42</v>
      </c>
      <c r="C12" s="9">
        <v>-47</v>
      </c>
      <c r="D12" s="9"/>
      <c r="E12" s="9"/>
      <c r="F12" s="9">
        <v>-47</v>
      </c>
      <c r="G12" s="10">
        <v>0</v>
      </c>
      <c r="H12" s="9"/>
      <c r="I12" s="9" t="s">
        <v>50</v>
      </c>
      <c r="J12" s="9"/>
      <c r="K12" s="9"/>
      <c r="L12" s="9">
        <f t="shared" si="3"/>
        <v>0</v>
      </c>
      <c r="M12" s="9"/>
      <c r="N12" s="9"/>
      <c r="O12" s="9"/>
      <c r="P12" s="9">
        <f t="shared" si="4"/>
        <v>0</v>
      </c>
      <c r="Q12" s="11"/>
      <c r="R12" s="5">
        <f t="shared" si="14"/>
        <v>0</v>
      </c>
      <c r="S12" s="5">
        <f t="shared" si="9"/>
        <v>0</v>
      </c>
      <c r="T12" s="11"/>
      <c r="U12" s="11"/>
      <c r="V12" s="9" t="e">
        <f t="shared" si="5"/>
        <v>#DIV/0!</v>
      </c>
      <c r="W12" s="9" t="e">
        <f t="shared" si="6"/>
        <v>#DIV/0!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/>
      <c r="AI12" s="1">
        <f t="shared" si="10"/>
        <v>0</v>
      </c>
      <c r="AJ12" s="1">
        <f t="shared" si="11"/>
        <v>0</v>
      </c>
      <c r="AK12" s="1">
        <f t="shared" si="12"/>
        <v>0</v>
      </c>
      <c r="AL12" s="1">
        <f t="shared" si="13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51</v>
      </c>
      <c r="B13" s="1" t="s">
        <v>42</v>
      </c>
      <c r="C13" s="1">
        <v>93</v>
      </c>
      <c r="D13" s="1">
        <v>36</v>
      </c>
      <c r="E13" s="1">
        <v>97</v>
      </c>
      <c r="F13" s="1">
        <v>21</v>
      </c>
      <c r="G13" s="6">
        <v>0.3</v>
      </c>
      <c r="H13" s="1">
        <v>40</v>
      </c>
      <c r="I13" s="1" t="s">
        <v>52</v>
      </c>
      <c r="J13" s="1"/>
      <c r="K13" s="1">
        <v>112</v>
      </c>
      <c r="L13" s="1">
        <f t="shared" si="3"/>
        <v>-15</v>
      </c>
      <c r="M13" s="1"/>
      <c r="N13" s="1"/>
      <c r="O13" s="1">
        <v>166.4</v>
      </c>
      <c r="P13" s="1">
        <f t="shared" si="4"/>
        <v>19.399999999999999</v>
      </c>
      <c r="Q13" s="5">
        <f t="shared" ref="Q13:Q14" si="15">11*P13-O13-F13</f>
        <v>25.999999999999972</v>
      </c>
      <c r="R13" s="5">
        <f t="shared" si="14"/>
        <v>25.999999999999972</v>
      </c>
      <c r="S13" s="5">
        <f t="shared" si="9"/>
        <v>25.999999999999972</v>
      </c>
      <c r="T13" s="5"/>
      <c r="U13" s="5"/>
      <c r="V13" s="1">
        <f t="shared" si="5"/>
        <v>11</v>
      </c>
      <c r="W13" s="1">
        <f t="shared" si="6"/>
        <v>9.6597938144329909</v>
      </c>
      <c r="X13" s="1">
        <v>23</v>
      </c>
      <c r="Y13" s="1">
        <v>10.8</v>
      </c>
      <c r="Z13" s="1">
        <v>11.6</v>
      </c>
      <c r="AA13" s="1">
        <v>7.8</v>
      </c>
      <c r="AB13" s="1">
        <v>7.8</v>
      </c>
      <c r="AC13" s="1">
        <v>17.8</v>
      </c>
      <c r="AD13" s="1">
        <v>20.399999999999999</v>
      </c>
      <c r="AE13" s="1">
        <v>12.8</v>
      </c>
      <c r="AF13" s="1">
        <v>11.6</v>
      </c>
      <c r="AG13" s="1">
        <v>6.4</v>
      </c>
      <c r="AH13" s="1"/>
      <c r="AI13" s="1">
        <f t="shared" si="10"/>
        <v>8</v>
      </c>
      <c r="AJ13" s="1">
        <f t="shared" si="11"/>
        <v>0</v>
      </c>
      <c r="AK13" s="1">
        <f t="shared" si="12"/>
        <v>0</v>
      </c>
      <c r="AL13" s="1">
        <f t="shared" si="13"/>
        <v>5.8199999999999994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53</v>
      </c>
      <c r="B14" s="1" t="s">
        <v>42</v>
      </c>
      <c r="C14" s="1">
        <v>291</v>
      </c>
      <c r="D14" s="1">
        <v>245</v>
      </c>
      <c r="E14" s="1">
        <v>197</v>
      </c>
      <c r="F14" s="1">
        <v>332</v>
      </c>
      <c r="G14" s="6">
        <v>0.17</v>
      </c>
      <c r="H14" s="1">
        <v>180</v>
      </c>
      <c r="I14" s="1" t="s">
        <v>54</v>
      </c>
      <c r="J14" s="1"/>
      <c r="K14" s="1">
        <v>200</v>
      </c>
      <c r="L14" s="1">
        <f t="shared" si="3"/>
        <v>-3</v>
      </c>
      <c r="M14" s="1"/>
      <c r="N14" s="1"/>
      <c r="O14" s="1">
        <v>35.200000000000053</v>
      </c>
      <c r="P14" s="1">
        <f t="shared" si="4"/>
        <v>39.4</v>
      </c>
      <c r="Q14" s="5">
        <f t="shared" si="15"/>
        <v>66.199999999999932</v>
      </c>
      <c r="R14" s="5">
        <f t="shared" si="14"/>
        <v>66.199999999999932</v>
      </c>
      <c r="S14" s="5">
        <f t="shared" si="9"/>
        <v>66.199999999999932</v>
      </c>
      <c r="T14" s="5"/>
      <c r="U14" s="5"/>
      <c r="V14" s="1">
        <f t="shared" si="5"/>
        <v>11</v>
      </c>
      <c r="W14" s="1">
        <f t="shared" si="6"/>
        <v>9.3197969543147217</v>
      </c>
      <c r="X14" s="1">
        <v>40.6</v>
      </c>
      <c r="Y14" s="1">
        <v>41</v>
      </c>
      <c r="Z14" s="1">
        <v>51</v>
      </c>
      <c r="AA14" s="1">
        <v>48.8</v>
      </c>
      <c r="AB14" s="1">
        <v>47</v>
      </c>
      <c r="AC14" s="1">
        <v>49.8</v>
      </c>
      <c r="AD14" s="1">
        <v>50.4</v>
      </c>
      <c r="AE14" s="1">
        <v>45.6</v>
      </c>
      <c r="AF14" s="1">
        <v>52.4</v>
      </c>
      <c r="AG14" s="1">
        <v>40.200000000000003</v>
      </c>
      <c r="AH14" s="1"/>
      <c r="AI14" s="1">
        <f t="shared" si="10"/>
        <v>11</v>
      </c>
      <c r="AJ14" s="1">
        <f t="shared" si="11"/>
        <v>0</v>
      </c>
      <c r="AK14" s="1">
        <f t="shared" si="12"/>
        <v>0</v>
      </c>
      <c r="AL14" s="1">
        <f t="shared" si="13"/>
        <v>6.6980000000000004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9" t="s">
        <v>55</v>
      </c>
      <c r="B15" s="9" t="s">
        <v>42</v>
      </c>
      <c r="C15" s="9">
        <v>-2</v>
      </c>
      <c r="D15" s="9"/>
      <c r="E15" s="9"/>
      <c r="F15" s="12">
        <v>-2</v>
      </c>
      <c r="G15" s="10">
        <v>0</v>
      </c>
      <c r="H15" s="9"/>
      <c r="I15" s="9" t="s">
        <v>56</v>
      </c>
      <c r="J15" s="9" t="s">
        <v>57</v>
      </c>
      <c r="K15" s="9"/>
      <c r="L15" s="9">
        <f t="shared" si="3"/>
        <v>0</v>
      </c>
      <c r="M15" s="9"/>
      <c r="N15" s="9"/>
      <c r="O15" s="9"/>
      <c r="P15" s="9">
        <f t="shared" si="4"/>
        <v>0</v>
      </c>
      <c r="Q15" s="11"/>
      <c r="R15" s="5">
        <f t="shared" si="14"/>
        <v>0</v>
      </c>
      <c r="S15" s="5">
        <f t="shared" si="9"/>
        <v>0</v>
      </c>
      <c r="T15" s="11"/>
      <c r="U15" s="11"/>
      <c r="V15" s="9" t="e">
        <f t="shared" si="5"/>
        <v>#DIV/0!</v>
      </c>
      <c r="W15" s="9" t="e">
        <f t="shared" si="6"/>
        <v>#DIV/0!</v>
      </c>
      <c r="X15" s="9">
        <v>0</v>
      </c>
      <c r="Y15" s="9">
        <v>0</v>
      </c>
      <c r="Z15" s="9">
        <v>0.4</v>
      </c>
      <c r="AA15" s="9">
        <v>0.4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/>
      <c r="AI15" s="1">
        <f t="shared" si="10"/>
        <v>0</v>
      </c>
      <c r="AJ15" s="1">
        <f t="shared" si="11"/>
        <v>0</v>
      </c>
      <c r="AK15" s="1">
        <f t="shared" si="12"/>
        <v>0</v>
      </c>
      <c r="AL15" s="1">
        <f t="shared" si="13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9" t="s">
        <v>58</v>
      </c>
      <c r="B16" s="9" t="s">
        <v>42</v>
      </c>
      <c r="C16" s="9"/>
      <c r="D16" s="9"/>
      <c r="E16" s="9">
        <v>1</v>
      </c>
      <c r="F16" s="9">
        <v>-1</v>
      </c>
      <c r="G16" s="10">
        <v>0</v>
      </c>
      <c r="H16" s="9"/>
      <c r="I16" s="9" t="s">
        <v>50</v>
      </c>
      <c r="J16" s="9"/>
      <c r="K16" s="9">
        <v>1</v>
      </c>
      <c r="L16" s="9">
        <f t="shared" si="3"/>
        <v>0</v>
      </c>
      <c r="M16" s="9"/>
      <c r="N16" s="9"/>
      <c r="O16" s="9"/>
      <c r="P16" s="9">
        <f t="shared" si="4"/>
        <v>0.2</v>
      </c>
      <c r="Q16" s="11"/>
      <c r="R16" s="5">
        <f t="shared" si="14"/>
        <v>0</v>
      </c>
      <c r="S16" s="5">
        <f t="shared" si="9"/>
        <v>0</v>
      </c>
      <c r="T16" s="11"/>
      <c r="U16" s="11"/>
      <c r="V16" s="9">
        <f t="shared" si="5"/>
        <v>-5</v>
      </c>
      <c r="W16" s="9">
        <f t="shared" si="6"/>
        <v>-5</v>
      </c>
      <c r="X16" s="9">
        <v>0</v>
      </c>
      <c r="Y16" s="9">
        <v>0</v>
      </c>
      <c r="Z16" s="9">
        <v>0.4</v>
      </c>
      <c r="AA16" s="9">
        <v>0.4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/>
      <c r="AI16" s="1">
        <f t="shared" si="10"/>
        <v>0</v>
      </c>
      <c r="AJ16" s="1">
        <f t="shared" si="11"/>
        <v>0</v>
      </c>
      <c r="AK16" s="1">
        <f t="shared" si="12"/>
        <v>0</v>
      </c>
      <c r="AL16" s="1">
        <f t="shared" si="13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59</v>
      </c>
      <c r="B17" s="1" t="s">
        <v>35</v>
      </c>
      <c r="C17" s="1">
        <v>1650.4639999999999</v>
      </c>
      <c r="D17" s="1">
        <v>1131.1500000000001</v>
      </c>
      <c r="E17" s="1">
        <v>1176.1790000000001</v>
      </c>
      <c r="F17" s="1">
        <v>1557.8130000000001</v>
      </c>
      <c r="G17" s="6">
        <v>1</v>
      </c>
      <c r="H17" s="1">
        <v>70</v>
      </c>
      <c r="I17" s="1" t="s">
        <v>60</v>
      </c>
      <c r="J17" s="1"/>
      <c r="K17" s="1">
        <v>1142.8969999999999</v>
      </c>
      <c r="L17" s="1">
        <f t="shared" si="3"/>
        <v>33.282000000000153</v>
      </c>
      <c r="M17" s="1"/>
      <c r="N17" s="1"/>
      <c r="O17" s="1">
        <v>347.15072620000069</v>
      </c>
      <c r="P17" s="1">
        <f t="shared" si="4"/>
        <v>235.23580000000001</v>
      </c>
      <c r="Q17" s="5">
        <f t="shared" ref="Q17:Q19" si="16">11*P17-O17-F17</f>
        <v>682.63007379999908</v>
      </c>
      <c r="R17" s="5">
        <f t="shared" ref="R17:R18" si="17">Q17+$R$1*P17</f>
        <v>1007.2554777999991</v>
      </c>
      <c r="S17" s="5">
        <f t="shared" si="9"/>
        <v>507.25547779999908</v>
      </c>
      <c r="T17" s="5">
        <v>500</v>
      </c>
      <c r="U17" s="5"/>
      <c r="V17" s="1">
        <f t="shared" si="5"/>
        <v>10.999999999999998</v>
      </c>
      <c r="W17" s="1">
        <f t="shared" si="6"/>
        <v>8.0981029511664495</v>
      </c>
      <c r="X17" s="1">
        <v>236.49680000000001</v>
      </c>
      <c r="Y17" s="1">
        <v>223.6362</v>
      </c>
      <c r="Z17" s="1">
        <v>225.66139999999999</v>
      </c>
      <c r="AA17" s="1">
        <v>232.34639999999999</v>
      </c>
      <c r="AB17" s="1">
        <v>227.69319999999999</v>
      </c>
      <c r="AC17" s="1">
        <v>227.4924</v>
      </c>
      <c r="AD17" s="1">
        <v>237.53</v>
      </c>
      <c r="AE17" s="1">
        <v>219.251</v>
      </c>
      <c r="AF17" s="1">
        <v>202.10759999999999</v>
      </c>
      <c r="AG17" s="1">
        <v>185.697</v>
      </c>
      <c r="AH17" s="1"/>
      <c r="AI17" s="1">
        <f t="shared" si="10"/>
        <v>507</v>
      </c>
      <c r="AJ17" s="1">
        <f t="shared" si="11"/>
        <v>500</v>
      </c>
      <c r="AK17" s="1">
        <f t="shared" si="12"/>
        <v>0</v>
      </c>
      <c r="AL17" s="1">
        <f t="shared" si="13"/>
        <v>235.23580000000001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61</v>
      </c>
      <c r="B18" s="1" t="s">
        <v>35</v>
      </c>
      <c r="C18" s="1">
        <v>6261.82</v>
      </c>
      <c r="D18" s="1">
        <v>1396.999</v>
      </c>
      <c r="E18" s="1">
        <v>3626.8139999999999</v>
      </c>
      <c r="F18" s="1">
        <v>3842.4</v>
      </c>
      <c r="G18" s="6">
        <v>1</v>
      </c>
      <c r="H18" s="1">
        <v>50</v>
      </c>
      <c r="I18" s="1" t="s">
        <v>62</v>
      </c>
      <c r="J18" s="1"/>
      <c r="K18" s="1">
        <v>3636.6</v>
      </c>
      <c r="L18" s="1">
        <f t="shared" si="3"/>
        <v>-9.7860000000000582</v>
      </c>
      <c r="M18" s="1"/>
      <c r="N18" s="1"/>
      <c r="O18" s="1">
        <v>663.26584000000094</v>
      </c>
      <c r="P18" s="1">
        <f t="shared" si="4"/>
        <v>725.36279999999999</v>
      </c>
      <c r="Q18" s="5">
        <f t="shared" si="16"/>
        <v>3473.3249599999986</v>
      </c>
      <c r="R18" s="5">
        <f t="shared" si="17"/>
        <v>4474.3256239999982</v>
      </c>
      <c r="S18" s="5">
        <f t="shared" si="9"/>
        <v>1474.3256239999982</v>
      </c>
      <c r="T18" s="5">
        <v>1000</v>
      </c>
      <c r="U18" s="5">
        <v>2000</v>
      </c>
      <c r="V18" s="1">
        <f t="shared" si="5"/>
        <v>11</v>
      </c>
      <c r="W18" s="1">
        <f t="shared" si="6"/>
        <v>6.211603131563959</v>
      </c>
      <c r="X18" s="1">
        <v>627.70680000000004</v>
      </c>
      <c r="Y18" s="1">
        <v>599.94200000000001</v>
      </c>
      <c r="Z18" s="1">
        <v>727.9</v>
      </c>
      <c r="AA18" s="1">
        <v>787.52279999999996</v>
      </c>
      <c r="AB18" s="1">
        <v>702.96499999999992</v>
      </c>
      <c r="AC18" s="1">
        <v>706.26260000000002</v>
      </c>
      <c r="AD18" s="1">
        <v>695.55</v>
      </c>
      <c r="AE18" s="1">
        <v>651.36379999999997</v>
      </c>
      <c r="AF18" s="1">
        <v>603.72360000000003</v>
      </c>
      <c r="AG18" s="1">
        <v>601.0258</v>
      </c>
      <c r="AH18" s="1"/>
      <c r="AI18" s="1">
        <f t="shared" si="10"/>
        <v>1474</v>
      </c>
      <c r="AJ18" s="1">
        <f t="shared" si="11"/>
        <v>1000</v>
      </c>
      <c r="AK18" s="1">
        <f t="shared" si="12"/>
        <v>2000</v>
      </c>
      <c r="AL18" s="1">
        <f t="shared" si="13"/>
        <v>725.36279999999999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63</v>
      </c>
      <c r="B19" s="1" t="s">
        <v>35</v>
      </c>
      <c r="C19" s="1">
        <v>163.43100000000001</v>
      </c>
      <c r="D19" s="1">
        <v>52.901000000000003</v>
      </c>
      <c r="E19" s="1">
        <v>108.864</v>
      </c>
      <c r="F19" s="1">
        <v>89.358999999999995</v>
      </c>
      <c r="G19" s="6">
        <v>1</v>
      </c>
      <c r="H19" s="1">
        <v>60</v>
      </c>
      <c r="I19" s="1" t="s">
        <v>64</v>
      </c>
      <c r="J19" s="1"/>
      <c r="K19" s="1">
        <v>107.79</v>
      </c>
      <c r="L19" s="1">
        <f t="shared" si="3"/>
        <v>1.0739999999999981</v>
      </c>
      <c r="M19" s="1"/>
      <c r="N19" s="1"/>
      <c r="O19" s="1">
        <v>39.780203999999941</v>
      </c>
      <c r="P19" s="1">
        <f t="shared" si="4"/>
        <v>21.7728</v>
      </c>
      <c r="Q19" s="5">
        <f t="shared" si="16"/>
        <v>110.36159600000006</v>
      </c>
      <c r="R19" s="5">
        <f t="shared" si="14"/>
        <v>110.36159600000006</v>
      </c>
      <c r="S19" s="5">
        <f t="shared" si="9"/>
        <v>110.36159600000006</v>
      </c>
      <c r="T19" s="5"/>
      <c r="U19" s="5"/>
      <c r="V19" s="1">
        <f t="shared" si="5"/>
        <v>11.000000000000002</v>
      </c>
      <c r="W19" s="1">
        <f t="shared" si="6"/>
        <v>5.93121711493239</v>
      </c>
      <c r="X19" s="1">
        <v>17.471399999999999</v>
      </c>
      <c r="Y19" s="1">
        <v>18.394600000000001</v>
      </c>
      <c r="Z19" s="1">
        <v>18.616199999999999</v>
      </c>
      <c r="AA19" s="1">
        <v>20.011800000000001</v>
      </c>
      <c r="AB19" s="1">
        <v>18.930399999999999</v>
      </c>
      <c r="AC19" s="1">
        <v>18.580200000000001</v>
      </c>
      <c r="AD19" s="1">
        <v>20.035399999999999</v>
      </c>
      <c r="AE19" s="1">
        <v>20.866599999999998</v>
      </c>
      <c r="AF19" s="1">
        <v>19.458200000000001</v>
      </c>
      <c r="AG19" s="1">
        <v>20.536799999999999</v>
      </c>
      <c r="AH19" s="1"/>
      <c r="AI19" s="1">
        <f t="shared" si="10"/>
        <v>110</v>
      </c>
      <c r="AJ19" s="1">
        <f t="shared" si="11"/>
        <v>0</v>
      </c>
      <c r="AK19" s="1">
        <f t="shared" si="12"/>
        <v>0</v>
      </c>
      <c r="AL19" s="1">
        <f t="shared" si="13"/>
        <v>21.7728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9" t="s">
        <v>65</v>
      </c>
      <c r="B20" s="9" t="s">
        <v>35</v>
      </c>
      <c r="C20" s="9">
        <v>-26.027999999999999</v>
      </c>
      <c r="D20" s="9"/>
      <c r="E20" s="12">
        <v>-2.61</v>
      </c>
      <c r="F20" s="12">
        <v>-26.027999999999999</v>
      </c>
      <c r="G20" s="10">
        <v>0</v>
      </c>
      <c r="H20" s="9"/>
      <c r="I20" s="9" t="s">
        <v>66</v>
      </c>
      <c r="J20" s="9" t="s">
        <v>67</v>
      </c>
      <c r="K20" s="9">
        <v>7.5</v>
      </c>
      <c r="L20" s="9">
        <f t="shared" si="3"/>
        <v>-10.11</v>
      </c>
      <c r="M20" s="9"/>
      <c r="N20" s="9"/>
      <c r="O20" s="9"/>
      <c r="P20" s="9">
        <f t="shared" si="4"/>
        <v>-0.52200000000000002</v>
      </c>
      <c r="Q20" s="11"/>
      <c r="R20" s="5">
        <f t="shared" si="14"/>
        <v>0</v>
      </c>
      <c r="S20" s="5">
        <f t="shared" si="9"/>
        <v>0</v>
      </c>
      <c r="T20" s="11"/>
      <c r="U20" s="11"/>
      <c r="V20" s="9">
        <f t="shared" si="5"/>
        <v>49.862068965517238</v>
      </c>
      <c r="W20" s="9">
        <f t="shared" si="6"/>
        <v>49.862068965517238</v>
      </c>
      <c r="X20" s="9">
        <v>-0.28520000000000001</v>
      </c>
      <c r="Y20" s="9">
        <v>1.2378</v>
      </c>
      <c r="Z20" s="9">
        <v>1.2250000000000001</v>
      </c>
      <c r="AA20" s="9">
        <v>97.994200000000006</v>
      </c>
      <c r="AB20" s="9">
        <v>239.58519999999999</v>
      </c>
      <c r="AC20" s="9">
        <v>238.46119999999999</v>
      </c>
      <c r="AD20" s="9">
        <v>236.93719999999999</v>
      </c>
      <c r="AE20" s="9">
        <v>215.0558</v>
      </c>
      <c r="AF20" s="9">
        <v>271.11599999999999</v>
      </c>
      <c r="AG20" s="9">
        <v>330.86259999999999</v>
      </c>
      <c r="AH20" s="9" t="s">
        <v>68</v>
      </c>
      <c r="AI20" s="1">
        <f t="shared" si="10"/>
        <v>0</v>
      </c>
      <c r="AJ20" s="1">
        <f t="shared" si="11"/>
        <v>0</v>
      </c>
      <c r="AK20" s="1">
        <f t="shared" si="12"/>
        <v>0</v>
      </c>
      <c r="AL20" s="1">
        <f t="shared" si="13"/>
        <v>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69</v>
      </c>
      <c r="B21" s="1" t="s">
        <v>35</v>
      </c>
      <c r="C21" s="1">
        <v>109.35299999999999</v>
      </c>
      <c r="D21" s="1">
        <v>78.498999999999995</v>
      </c>
      <c r="E21" s="1">
        <v>75.406999999999996</v>
      </c>
      <c r="F21" s="1">
        <v>102.39700000000001</v>
      </c>
      <c r="G21" s="6">
        <v>1</v>
      </c>
      <c r="H21" s="1">
        <v>60</v>
      </c>
      <c r="I21" s="1" t="s">
        <v>70</v>
      </c>
      <c r="J21" s="1"/>
      <c r="K21" s="1">
        <v>72.75</v>
      </c>
      <c r="L21" s="1">
        <f t="shared" si="3"/>
        <v>2.6569999999999965</v>
      </c>
      <c r="M21" s="1"/>
      <c r="N21" s="1"/>
      <c r="O21" s="1"/>
      <c r="P21" s="1">
        <f t="shared" si="4"/>
        <v>15.081399999999999</v>
      </c>
      <c r="Q21" s="5">
        <f t="shared" ref="Q21:Q27" si="18">11*P21-O21-F21</f>
        <v>63.49839999999999</v>
      </c>
      <c r="R21" s="5">
        <f t="shared" si="14"/>
        <v>63.49839999999999</v>
      </c>
      <c r="S21" s="5">
        <f t="shared" si="9"/>
        <v>63.49839999999999</v>
      </c>
      <c r="T21" s="5"/>
      <c r="U21" s="5"/>
      <c r="V21" s="1">
        <f t="shared" si="5"/>
        <v>11</v>
      </c>
      <c r="W21" s="1">
        <f t="shared" si="6"/>
        <v>6.7896216531621745</v>
      </c>
      <c r="X21" s="1">
        <v>11.555400000000001</v>
      </c>
      <c r="Y21" s="1">
        <v>13.023999999999999</v>
      </c>
      <c r="Z21" s="1">
        <v>16.781600000000001</v>
      </c>
      <c r="AA21" s="1">
        <v>17.526199999999999</v>
      </c>
      <c r="AB21" s="1">
        <v>17.302800000000001</v>
      </c>
      <c r="AC21" s="1">
        <v>16.8828</v>
      </c>
      <c r="AD21" s="1">
        <v>13.7104</v>
      </c>
      <c r="AE21" s="1">
        <v>15.188800000000001</v>
      </c>
      <c r="AF21" s="1">
        <v>13.726800000000001</v>
      </c>
      <c r="AG21" s="1">
        <v>14.6448</v>
      </c>
      <c r="AH21" s="1"/>
      <c r="AI21" s="1">
        <f t="shared" si="10"/>
        <v>63</v>
      </c>
      <c r="AJ21" s="1">
        <f t="shared" si="11"/>
        <v>0</v>
      </c>
      <c r="AK21" s="1">
        <f t="shared" si="12"/>
        <v>0</v>
      </c>
      <c r="AL21" s="1">
        <f t="shared" si="13"/>
        <v>15.081399999999999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71</v>
      </c>
      <c r="B22" s="1" t="s">
        <v>35</v>
      </c>
      <c r="C22" s="1">
        <v>13.526999999999999</v>
      </c>
      <c r="D22" s="1"/>
      <c r="E22" s="1">
        <v>6.2030000000000003</v>
      </c>
      <c r="F22" s="1">
        <v>7.3239999999999998</v>
      </c>
      <c r="G22" s="6">
        <v>1</v>
      </c>
      <c r="H22" s="1">
        <v>180</v>
      </c>
      <c r="I22" s="1" t="s">
        <v>72</v>
      </c>
      <c r="J22" s="1"/>
      <c r="K22" s="1">
        <v>5.92</v>
      </c>
      <c r="L22" s="1">
        <f t="shared" si="3"/>
        <v>0.28300000000000036</v>
      </c>
      <c r="M22" s="1"/>
      <c r="N22" s="1"/>
      <c r="O22" s="1"/>
      <c r="P22" s="1">
        <f t="shared" si="4"/>
        <v>1.2406000000000001</v>
      </c>
      <c r="Q22" s="5">
        <f t="shared" si="18"/>
        <v>6.3226000000000013</v>
      </c>
      <c r="R22" s="5">
        <f t="shared" si="14"/>
        <v>6.3226000000000013</v>
      </c>
      <c r="S22" s="5">
        <f t="shared" si="9"/>
        <v>6.3226000000000013</v>
      </c>
      <c r="T22" s="5"/>
      <c r="U22" s="5"/>
      <c r="V22" s="1">
        <f t="shared" si="5"/>
        <v>11</v>
      </c>
      <c r="W22" s="1">
        <f t="shared" si="6"/>
        <v>5.9035950346606469</v>
      </c>
      <c r="X22" s="1">
        <v>0.79459999999999997</v>
      </c>
      <c r="Y22" s="1">
        <v>0.72240000000000004</v>
      </c>
      <c r="Z22" s="1">
        <v>1.2132000000000001</v>
      </c>
      <c r="AA22" s="1">
        <v>1.4932000000000001</v>
      </c>
      <c r="AB22" s="1">
        <v>2.0506000000000002</v>
      </c>
      <c r="AC22" s="1">
        <v>2.9308000000000001</v>
      </c>
      <c r="AD22" s="1">
        <v>1.6524000000000001</v>
      </c>
      <c r="AE22" s="1">
        <v>0.63919999999999999</v>
      </c>
      <c r="AF22" s="1">
        <v>1.3564000000000001</v>
      </c>
      <c r="AG22" s="1">
        <v>0.28339999999999999</v>
      </c>
      <c r="AH22" s="1"/>
      <c r="AI22" s="1">
        <f t="shared" si="10"/>
        <v>6</v>
      </c>
      <c r="AJ22" s="1">
        <f t="shared" si="11"/>
        <v>0</v>
      </c>
      <c r="AK22" s="1">
        <f t="shared" si="12"/>
        <v>0</v>
      </c>
      <c r="AL22" s="1">
        <f t="shared" si="13"/>
        <v>1.2406000000000001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74</v>
      </c>
      <c r="B23" s="1" t="s">
        <v>35</v>
      </c>
      <c r="C23" s="1">
        <v>1312.229</v>
      </c>
      <c r="D23" s="1">
        <v>2230.835</v>
      </c>
      <c r="E23" s="1">
        <v>1501.0329999999999</v>
      </c>
      <c r="F23" s="1">
        <v>1945.934</v>
      </c>
      <c r="G23" s="6">
        <v>1</v>
      </c>
      <c r="H23" s="1">
        <v>60</v>
      </c>
      <c r="I23" s="1" t="s">
        <v>75</v>
      </c>
      <c r="J23" s="1"/>
      <c r="K23" s="1">
        <v>1459.7850000000001</v>
      </c>
      <c r="L23" s="1">
        <f t="shared" si="3"/>
        <v>41.24799999999982</v>
      </c>
      <c r="M23" s="1"/>
      <c r="N23" s="1"/>
      <c r="O23" s="1">
        <v>362.09445820000019</v>
      </c>
      <c r="P23" s="1">
        <f t="shared" si="4"/>
        <v>300.20659999999998</v>
      </c>
      <c r="Q23" s="5">
        <f t="shared" si="18"/>
        <v>994.24414179999962</v>
      </c>
      <c r="R23" s="5">
        <f>Q23+$R$1*P23</f>
        <v>1408.5292497999994</v>
      </c>
      <c r="S23" s="5">
        <f t="shared" si="9"/>
        <v>708.52924979999943</v>
      </c>
      <c r="T23" s="5">
        <v>700</v>
      </c>
      <c r="U23" s="5"/>
      <c r="V23" s="1">
        <f t="shared" si="5"/>
        <v>11.000000000000002</v>
      </c>
      <c r="W23" s="1">
        <f t="shared" si="6"/>
        <v>7.6881336326383245</v>
      </c>
      <c r="X23" s="1">
        <v>291.22340000000003</v>
      </c>
      <c r="Y23" s="1">
        <v>269.3802</v>
      </c>
      <c r="Z23" s="1">
        <v>282.6694</v>
      </c>
      <c r="AA23" s="1">
        <v>300.6986</v>
      </c>
      <c r="AB23" s="1">
        <v>288.55360000000002</v>
      </c>
      <c r="AC23" s="1">
        <v>287.4658</v>
      </c>
      <c r="AD23" s="1">
        <v>298.57600000000002</v>
      </c>
      <c r="AE23" s="1">
        <v>292.4074</v>
      </c>
      <c r="AF23" s="1">
        <v>447.34460000000001</v>
      </c>
      <c r="AG23" s="1">
        <v>272.43639999999999</v>
      </c>
      <c r="AH23" s="1"/>
      <c r="AI23" s="1">
        <f t="shared" si="10"/>
        <v>709</v>
      </c>
      <c r="AJ23" s="1">
        <f t="shared" si="11"/>
        <v>700</v>
      </c>
      <c r="AK23" s="1">
        <f t="shared" si="12"/>
        <v>0</v>
      </c>
      <c r="AL23" s="1">
        <f t="shared" si="13"/>
        <v>300.20659999999998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76</v>
      </c>
      <c r="B24" s="1" t="s">
        <v>35</v>
      </c>
      <c r="C24" s="1">
        <v>121.35</v>
      </c>
      <c r="D24" s="1">
        <v>396.26</v>
      </c>
      <c r="E24" s="1">
        <v>162.08199999999999</v>
      </c>
      <c r="F24" s="1">
        <v>347.60300000000001</v>
      </c>
      <c r="G24" s="6">
        <v>1</v>
      </c>
      <c r="H24" s="1">
        <v>70</v>
      </c>
      <c r="I24" s="1" t="s">
        <v>77</v>
      </c>
      <c r="J24" s="1"/>
      <c r="K24" s="1">
        <v>158.86000000000001</v>
      </c>
      <c r="L24" s="1">
        <f t="shared" si="3"/>
        <v>3.22199999999998</v>
      </c>
      <c r="M24" s="1"/>
      <c r="N24" s="1"/>
      <c r="O24" s="1">
        <v>159.42819999999989</v>
      </c>
      <c r="P24" s="1">
        <f t="shared" si="4"/>
        <v>32.416399999999996</v>
      </c>
      <c r="Q24" s="5"/>
      <c r="R24" s="5">
        <f t="shared" si="14"/>
        <v>0</v>
      </c>
      <c r="S24" s="5">
        <f t="shared" si="9"/>
        <v>0</v>
      </c>
      <c r="T24" s="5"/>
      <c r="U24" s="5"/>
      <c r="V24" s="1">
        <f t="shared" si="5"/>
        <v>15.641193963549313</v>
      </c>
      <c r="W24" s="1">
        <f t="shared" si="6"/>
        <v>15.641193963549313</v>
      </c>
      <c r="X24" s="1">
        <v>50.782600000000002</v>
      </c>
      <c r="Y24" s="1">
        <v>51.17</v>
      </c>
      <c r="Z24" s="1">
        <v>32.328000000000003</v>
      </c>
      <c r="AA24" s="1">
        <v>30.726199999999999</v>
      </c>
      <c r="AB24" s="1">
        <v>33.437800000000003</v>
      </c>
      <c r="AC24" s="1">
        <v>35.513399999999997</v>
      </c>
      <c r="AD24" s="1">
        <v>47.424599999999998</v>
      </c>
      <c r="AE24" s="1">
        <v>33.419400000000003</v>
      </c>
      <c r="AF24" s="1">
        <v>40.244399999999999</v>
      </c>
      <c r="AG24" s="1">
        <v>24.884799999999998</v>
      </c>
      <c r="AH24" s="1"/>
      <c r="AI24" s="1">
        <f t="shared" si="10"/>
        <v>0</v>
      </c>
      <c r="AJ24" s="1">
        <f t="shared" si="11"/>
        <v>0</v>
      </c>
      <c r="AK24" s="1">
        <f t="shared" si="12"/>
        <v>0</v>
      </c>
      <c r="AL24" s="1">
        <f t="shared" si="13"/>
        <v>32.416399999999996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78</v>
      </c>
      <c r="B25" s="1" t="s">
        <v>35</v>
      </c>
      <c r="C25" s="1">
        <v>686.15800000000002</v>
      </c>
      <c r="D25" s="1">
        <v>369.56900000000002</v>
      </c>
      <c r="E25" s="1">
        <v>503.536</v>
      </c>
      <c r="F25" s="1">
        <v>525.43899999999996</v>
      </c>
      <c r="G25" s="6">
        <v>1</v>
      </c>
      <c r="H25" s="1">
        <v>70</v>
      </c>
      <c r="I25" s="1" t="s">
        <v>79</v>
      </c>
      <c r="J25" s="1"/>
      <c r="K25" s="1">
        <v>486.053</v>
      </c>
      <c r="L25" s="1">
        <f t="shared" si="3"/>
        <v>17.483000000000004</v>
      </c>
      <c r="M25" s="1"/>
      <c r="N25" s="1"/>
      <c r="O25" s="1">
        <v>390.16771999999969</v>
      </c>
      <c r="P25" s="1">
        <f t="shared" si="4"/>
        <v>100.7072</v>
      </c>
      <c r="Q25" s="5">
        <f t="shared" si="18"/>
        <v>192.17248000000029</v>
      </c>
      <c r="R25" s="5">
        <f t="shared" si="14"/>
        <v>192.17248000000029</v>
      </c>
      <c r="S25" s="5">
        <f t="shared" si="9"/>
        <v>192.17248000000029</v>
      </c>
      <c r="T25" s="5"/>
      <c r="U25" s="5"/>
      <c r="V25" s="1">
        <f t="shared" si="5"/>
        <v>11</v>
      </c>
      <c r="W25" s="1">
        <f t="shared" si="6"/>
        <v>9.0917702011375514</v>
      </c>
      <c r="X25" s="1">
        <v>100.1114</v>
      </c>
      <c r="Y25" s="1">
        <v>93.316600000000008</v>
      </c>
      <c r="Z25" s="1">
        <v>89.801999999999992</v>
      </c>
      <c r="AA25" s="1">
        <v>94.597799999999992</v>
      </c>
      <c r="AB25" s="1">
        <v>107.1392</v>
      </c>
      <c r="AC25" s="1">
        <v>102.1832</v>
      </c>
      <c r="AD25" s="1">
        <v>88.741799999999998</v>
      </c>
      <c r="AE25" s="1">
        <v>100.90600000000001</v>
      </c>
      <c r="AF25" s="1">
        <v>90.298000000000002</v>
      </c>
      <c r="AG25" s="1">
        <v>94.878799999999998</v>
      </c>
      <c r="AH25" s="1"/>
      <c r="AI25" s="1">
        <f t="shared" si="10"/>
        <v>192</v>
      </c>
      <c r="AJ25" s="1">
        <f t="shared" si="11"/>
        <v>0</v>
      </c>
      <c r="AK25" s="1">
        <f t="shared" si="12"/>
        <v>0</v>
      </c>
      <c r="AL25" s="1">
        <f t="shared" si="13"/>
        <v>100.7072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80</v>
      </c>
      <c r="B26" s="1" t="s">
        <v>35</v>
      </c>
      <c r="C26" s="1">
        <v>804.00900000000001</v>
      </c>
      <c r="D26" s="1">
        <v>596.44600000000003</v>
      </c>
      <c r="E26" s="1">
        <v>650.89700000000005</v>
      </c>
      <c r="F26" s="1">
        <v>714.48800000000006</v>
      </c>
      <c r="G26" s="6">
        <v>1</v>
      </c>
      <c r="H26" s="1">
        <v>70</v>
      </c>
      <c r="I26" s="1" t="s">
        <v>81</v>
      </c>
      <c r="J26" s="1"/>
      <c r="K26" s="1">
        <v>634.41999999999996</v>
      </c>
      <c r="L26" s="1">
        <f t="shared" si="3"/>
        <v>16.477000000000089</v>
      </c>
      <c r="M26" s="1"/>
      <c r="N26" s="1"/>
      <c r="O26" s="1">
        <v>314.43807199999992</v>
      </c>
      <c r="P26" s="1">
        <f t="shared" si="4"/>
        <v>130.17940000000002</v>
      </c>
      <c r="Q26" s="5">
        <f t="shared" si="18"/>
        <v>403.04732800000011</v>
      </c>
      <c r="R26" s="5">
        <f t="shared" si="14"/>
        <v>403.04732800000011</v>
      </c>
      <c r="S26" s="5">
        <f t="shared" si="9"/>
        <v>203.04732800000011</v>
      </c>
      <c r="T26" s="5">
        <v>200</v>
      </c>
      <c r="U26" s="5"/>
      <c r="V26" s="1">
        <f t="shared" si="5"/>
        <v>11</v>
      </c>
      <c r="W26" s="1">
        <f t="shared" si="6"/>
        <v>7.9039085446698927</v>
      </c>
      <c r="X26" s="1">
        <v>121.59180000000001</v>
      </c>
      <c r="Y26" s="1">
        <v>124.3712</v>
      </c>
      <c r="Z26" s="1">
        <v>128.39340000000001</v>
      </c>
      <c r="AA26" s="1">
        <v>130.5224</v>
      </c>
      <c r="AB26" s="1">
        <v>134.06620000000001</v>
      </c>
      <c r="AC26" s="1">
        <v>134.50720000000001</v>
      </c>
      <c r="AD26" s="1">
        <v>124.1892</v>
      </c>
      <c r="AE26" s="1">
        <v>123.4182</v>
      </c>
      <c r="AF26" s="1">
        <v>126.0162</v>
      </c>
      <c r="AG26" s="1">
        <v>117.33159999999999</v>
      </c>
      <c r="AH26" s="1"/>
      <c r="AI26" s="1">
        <f t="shared" si="10"/>
        <v>203</v>
      </c>
      <c r="AJ26" s="1">
        <f t="shared" si="11"/>
        <v>200</v>
      </c>
      <c r="AK26" s="1">
        <f t="shared" si="12"/>
        <v>0</v>
      </c>
      <c r="AL26" s="1">
        <f t="shared" si="13"/>
        <v>130.17940000000002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82</v>
      </c>
      <c r="B27" s="1" t="s">
        <v>35</v>
      </c>
      <c r="C27" s="1">
        <v>82.741</v>
      </c>
      <c r="D27" s="1">
        <v>87.828000000000003</v>
      </c>
      <c r="E27" s="1">
        <v>83.025999999999996</v>
      </c>
      <c r="F27" s="1">
        <v>87.543000000000006</v>
      </c>
      <c r="G27" s="6">
        <v>1</v>
      </c>
      <c r="H27" s="1">
        <v>40</v>
      </c>
      <c r="I27" s="1" t="s">
        <v>83</v>
      </c>
      <c r="J27" s="1"/>
      <c r="K27" s="1">
        <v>81.849999999999994</v>
      </c>
      <c r="L27" s="1">
        <f t="shared" si="3"/>
        <v>1.1760000000000019</v>
      </c>
      <c r="M27" s="1"/>
      <c r="N27" s="1"/>
      <c r="O27" s="1">
        <v>15.17099999999999</v>
      </c>
      <c r="P27" s="1">
        <f t="shared" si="4"/>
        <v>16.6052</v>
      </c>
      <c r="Q27" s="5">
        <f t="shared" si="18"/>
        <v>79.94319999999999</v>
      </c>
      <c r="R27" s="5">
        <f t="shared" si="14"/>
        <v>79.94319999999999</v>
      </c>
      <c r="S27" s="5">
        <f t="shared" si="9"/>
        <v>79.94319999999999</v>
      </c>
      <c r="T27" s="5"/>
      <c r="U27" s="5"/>
      <c r="V27" s="1">
        <f t="shared" si="5"/>
        <v>11</v>
      </c>
      <c r="W27" s="1">
        <f t="shared" si="6"/>
        <v>6.1856526871100614</v>
      </c>
      <c r="X27" s="1">
        <v>15.1754</v>
      </c>
      <c r="Y27" s="1">
        <v>15.175800000000001</v>
      </c>
      <c r="Z27" s="1">
        <v>1.0192000000000001</v>
      </c>
      <c r="AA27" s="1">
        <v>0.87319999999999998</v>
      </c>
      <c r="AB27" s="1">
        <v>19.434200000000001</v>
      </c>
      <c r="AC27" s="1">
        <v>19.8704</v>
      </c>
      <c r="AD27" s="1">
        <v>14.194000000000001</v>
      </c>
      <c r="AE27" s="1">
        <v>12.7166</v>
      </c>
      <c r="AF27" s="1">
        <v>15.875400000000001</v>
      </c>
      <c r="AG27" s="1">
        <v>2.7593999999999999</v>
      </c>
      <c r="AH27" s="1"/>
      <c r="AI27" s="1">
        <f t="shared" si="10"/>
        <v>80</v>
      </c>
      <c r="AJ27" s="1">
        <f t="shared" si="11"/>
        <v>0</v>
      </c>
      <c r="AK27" s="1">
        <f t="shared" si="12"/>
        <v>0</v>
      </c>
      <c r="AL27" s="1">
        <f t="shared" si="13"/>
        <v>16.6052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9" t="s">
        <v>84</v>
      </c>
      <c r="B28" s="9" t="s">
        <v>35</v>
      </c>
      <c r="C28" s="9">
        <v>-1.758</v>
      </c>
      <c r="D28" s="9"/>
      <c r="E28" s="9"/>
      <c r="F28" s="9">
        <v>-1.758</v>
      </c>
      <c r="G28" s="10">
        <v>0</v>
      </c>
      <c r="H28" s="9"/>
      <c r="I28" s="9" t="s">
        <v>50</v>
      </c>
      <c r="J28" s="9"/>
      <c r="K28" s="9"/>
      <c r="L28" s="9">
        <f t="shared" si="3"/>
        <v>0</v>
      </c>
      <c r="M28" s="9"/>
      <c r="N28" s="9"/>
      <c r="O28" s="9"/>
      <c r="P28" s="9">
        <f t="shared" si="4"/>
        <v>0</v>
      </c>
      <c r="Q28" s="11"/>
      <c r="R28" s="5">
        <f t="shared" si="14"/>
        <v>0</v>
      </c>
      <c r="S28" s="5">
        <f t="shared" si="9"/>
        <v>0</v>
      </c>
      <c r="T28" s="11"/>
      <c r="U28" s="11"/>
      <c r="V28" s="9" t="e">
        <f t="shared" si="5"/>
        <v>#DIV/0!</v>
      </c>
      <c r="W28" s="9" t="e">
        <f t="shared" si="6"/>
        <v>#DIV/0!</v>
      </c>
      <c r="X28" s="9">
        <v>0</v>
      </c>
      <c r="Y28" s="9">
        <v>0.35160000000000002</v>
      </c>
      <c r="Z28" s="9">
        <v>0.35160000000000002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/>
      <c r="AI28" s="1">
        <f t="shared" si="10"/>
        <v>0</v>
      </c>
      <c r="AJ28" s="1">
        <f t="shared" si="11"/>
        <v>0</v>
      </c>
      <c r="AK28" s="1">
        <f t="shared" si="12"/>
        <v>0</v>
      </c>
      <c r="AL28" s="1">
        <f t="shared" si="13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85</v>
      </c>
      <c r="B29" s="1" t="s">
        <v>35</v>
      </c>
      <c r="C29" s="1">
        <v>163.28200000000001</v>
      </c>
      <c r="D29" s="1">
        <v>337.27199999999999</v>
      </c>
      <c r="E29" s="1">
        <v>238.381</v>
      </c>
      <c r="F29" s="1">
        <v>215.96899999999999</v>
      </c>
      <c r="G29" s="6">
        <v>1</v>
      </c>
      <c r="H29" s="1">
        <v>30</v>
      </c>
      <c r="I29" s="1" t="s">
        <v>86</v>
      </c>
      <c r="J29" s="1"/>
      <c r="K29" s="1">
        <v>243.5</v>
      </c>
      <c r="L29" s="1">
        <f t="shared" si="3"/>
        <v>-5.1189999999999998</v>
      </c>
      <c r="M29" s="1"/>
      <c r="N29" s="1"/>
      <c r="O29" s="1">
        <v>58.642199999999953</v>
      </c>
      <c r="P29" s="1">
        <f t="shared" si="4"/>
        <v>47.676200000000001</v>
      </c>
      <c r="Q29" s="5">
        <f t="shared" ref="Q29:Q90" si="19">11*P29-O29-F29</f>
        <v>249.82700000000011</v>
      </c>
      <c r="R29" s="5">
        <f t="shared" si="14"/>
        <v>249.82700000000011</v>
      </c>
      <c r="S29" s="5">
        <f t="shared" si="9"/>
        <v>149.82700000000011</v>
      </c>
      <c r="T29" s="5">
        <v>100</v>
      </c>
      <c r="U29" s="5"/>
      <c r="V29" s="1">
        <f t="shared" si="5"/>
        <v>11</v>
      </c>
      <c r="W29" s="1">
        <f t="shared" si="6"/>
        <v>5.759922141445835</v>
      </c>
      <c r="X29" s="1">
        <v>38.641599999999997</v>
      </c>
      <c r="Y29" s="1">
        <v>41.4846</v>
      </c>
      <c r="Z29" s="1">
        <v>49.220399999999998</v>
      </c>
      <c r="AA29" s="1">
        <v>39.5886</v>
      </c>
      <c r="AB29" s="1">
        <v>39.668999999999997</v>
      </c>
      <c r="AC29" s="1">
        <v>49.674999999999997</v>
      </c>
      <c r="AD29" s="1">
        <v>52.338000000000001</v>
      </c>
      <c r="AE29" s="1">
        <v>27.1648</v>
      </c>
      <c r="AF29" s="1">
        <v>58.104599999999998</v>
      </c>
      <c r="AG29" s="1">
        <v>48.681800000000003</v>
      </c>
      <c r="AH29" s="1"/>
      <c r="AI29" s="1">
        <f t="shared" si="10"/>
        <v>150</v>
      </c>
      <c r="AJ29" s="1">
        <f t="shared" si="11"/>
        <v>100</v>
      </c>
      <c r="AK29" s="1">
        <f t="shared" si="12"/>
        <v>0</v>
      </c>
      <c r="AL29" s="1">
        <f t="shared" si="13"/>
        <v>47.676200000000001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87</v>
      </c>
      <c r="B30" s="1" t="s">
        <v>35</v>
      </c>
      <c r="C30" s="1">
        <v>162.97</v>
      </c>
      <c r="D30" s="1">
        <v>286.48700000000002</v>
      </c>
      <c r="E30" s="1">
        <v>194.922</v>
      </c>
      <c r="F30" s="1">
        <v>227.357</v>
      </c>
      <c r="G30" s="6">
        <v>1</v>
      </c>
      <c r="H30" s="1">
        <v>40</v>
      </c>
      <c r="I30" s="1" t="s">
        <v>88</v>
      </c>
      <c r="J30" s="1"/>
      <c r="K30" s="1">
        <v>188.50800000000001</v>
      </c>
      <c r="L30" s="1">
        <f t="shared" si="3"/>
        <v>6.4139999999999873</v>
      </c>
      <c r="M30" s="1"/>
      <c r="N30" s="1"/>
      <c r="O30" s="1">
        <v>94.776812000000064</v>
      </c>
      <c r="P30" s="1">
        <f t="shared" si="4"/>
        <v>38.984400000000001</v>
      </c>
      <c r="Q30" s="5">
        <f t="shared" si="19"/>
        <v>106.69458799999992</v>
      </c>
      <c r="R30" s="5">
        <f t="shared" si="14"/>
        <v>106.69458799999992</v>
      </c>
      <c r="S30" s="5">
        <f t="shared" si="9"/>
        <v>106.69458799999992</v>
      </c>
      <c r="T30" s="5"/>
      <c r="U30" s="5"/>
      <c r="V30" s="1">
        <f t="shared" si="5"/>
        <v>11</v>
      </c>
      <c r="W30" s="1">
        <f t="shared" si="6"/>
        <v>8.2631465919701217</v>
      </c>
      <c r="X30" s="1">
        <v>38.6952</v>
      </c>
      <c r="Y30" s="1">
        <v>38.327599999999997</v>
      </c>
      <c r="Z30" s="1">
        <v>37.422600000000003</v>
      </c>
      <c r="AA30" s="1">
        <v>35.545999999999999</v>
      </c>
      <c r="AB30" s="1">
        <v>35.754199999999997</v>
      </c>
      <c r="AC30" s="1">
        <v>41.111800000000002</v>
      </c>
      <c r="AD30" s="1">
        <v>39.163600000000002</v>
      </c>
      <c r="AE30" s="1">
        <v>39.311599999999999</v>
      </c>
      <c r="AF30" s="1">
        <v>44.979199999999999</v>
      </c>
      <c r="AG30" s="1">
        <v>40.587400000000002</v>
      </c>
      <c r="AH30" s="1"/>
      <c r="AI30" s="1">
        <f t="shared" si="10"/>
        <v>107</v>
      </c>
      <c r="AJ30" s="1">
        <f t="shared" si="11"/>
        <v>0</v>
      </c>
      <c r="AK30" s="1">
        <f t="shared" si="12"/>
        <v>0</v>
      </c>
      <c r="AL30" s="1">
        <f t="shared" si="13"/>
        <v>38.984400000000001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89</v>
      </c>
      <c r="B31" s="1" t="s">
        <v>35</v>
      </c>
      <c r="C31" s="1">
        <v>3420.9369999999999</v>
      </c>
      <c r="D31" s="1">
        <v>1624.1569999999999</v>
      </c>
      <c r="E31" s="1">
        <v>2092.8820000000001</v>
      </c>
      <c r="F31" s="1">
        <v>2744.7</v>
      </c>
      <c r="G31" s="6">
        <v>1</v>
      </c>
      <c r="H31" s="1">
        <v>30</v>
      </c>
      <c r="I31" s="1" t="s">
        <v>90</v>
      </c>
      <c r="J31" s="1"/>
      <c r="K31" s="1">
        <v>2084.4059999999999</v>
      </c>
      <c r="L31" s="1">
        <f t="shared" si="3"/>
        <v>8.4760000000001128</v>
      </c>
      <c r="M31" s="1"/>
      <c r="N31" s="1"/>
      <c r="O31" s="1">
        <v>240.01018000000019</v>
      </c>
      <c r="P31" s="1">
        <f t="shared" si="4"/>
        <v>418.57640000000004</v>
      </c>
      <c r="Q31" s="5">
        <f t="shared" si="19"/>
        <v>1619.63022</v>
      </c>
      <c r="R31" s="5">
        <f>Q31+$R$1*P31</f>
        <v>2197.265652</v>
      </c>
      <c r="S31" s="5">
        <f t="shared" si="9"/>
        <v>697.26565200000005</v>
      </c>
      <c r="T31" s="5">
        <v>500</v>
      </c>
      <c r="U31" s="5">
        <v>1000</v>
      </c>
      <c r="V31" s="1">
        <f t="shared" si="5"/>
        <v>11</v>
      </c>
      <c r="W31" s="1">
        <f t="shared" si="6"/>
        <v>7.130622223326494</v>
      </c>
      <c r="X31" s="1">
        <v>396.39859999999999</v>
      </c>
      <c r="Y31" s="1">
        <v>378.3732</v>
      </c>
      <c r="Z31" s="1">
        <v>434.29799999999989</v>
      </c>
      <c r="AA31" s="1">
        <v>450.32920000000001</v>
      </c>
      <c r="AB31" s="1">
        <v>429.97359999999998</v>
      </c>
      <c r="AC31" s="1">
        <v>432.92399999999998</v>
      </c>
      <c r="AD31" s="1">
        <v>405.47739999999999</v>
      </c>
      <c r="AE31" s="1">
        <v>435.78019999999998</v>
      </c>
      <c r="AF31" s="1">
        <v>124.8952</v>
      </c>
      <c r="AG31" s="1">
        <v>358.11079999999998</v>
      </c>
      <c r="AH31" s="1"/>
      <c r="AI31" s="1">
        <f t="shared" si="10"/>
        <v>697</v>
      </c>
      <c r="AJ31" s="1">
        <f t="shared" si="11"/>
        <v>500</v>
      </c>
      <c r="AK31" s="1">
        <f t="shared" si="12"/>
        <v>1000</v>
      </c>
      <c r="AL31" s="1">
        <f t="shared" si="13"/>
        <v>418.57640000000004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91</v>
      </c>
      <c r="B32" s="1" t="s">
        <v>35</v>
      </c>
      <c r="C32" s="1">
        <v>34.917000000000002</v>
      </c>
      <c r="D32" s="1"/>
      <c r="E32" s="1">
        <v>27.87</v>
      </c>
      <c r="F32" s="1">
        <v>3.7930000000000001</v>
      </c>
      <c r="G32" s="6">
        <v>1</v>
      </c>
      <c r="H32" s="1">
        <v>45</v>
      </c>
      <c r="I32" s="1" t="s">
        <v>92</v>
      </c>
      <c r="J32" s="1"/>
      <c r="K32" s="1">
        <v>153.6</v>
      </c>
      <c r="L32" s="1">
        <f t="shared" si="3"/>
        <v>-125.72999999999999</v>
      </c>
      <c r="M32" s="1"/>
      <c r="N32" s="1"/>
      <c r="O32" s="1">
        <v>38.073</v>
      </c>
      <c r="P32" s="1">
        <f t="shared" si="4"/>
        <v>5.5739999999999998</v>
      </c>
      <c r="Q32" s="5">
        <f t="shared" si="19"/>
        <v>19.448</v>
      </c>
      <c r="R32" s="5">
        <f t="shared" si="14"/>
        <v>19.448</v>
      </c>
      <c r="S32" s="5">
        <f t="shared" si="9"/>
        <v>19.448</v>
      </c>
      <c r="T32" s="5"/>
      <c r="U32" s="5"/>
      <c r="V32" s="1">
        <f t="shared" si="5"/>
        <v>11</v>
      </c>
      <c r="W32" s="1">
        <f t="shared" si="6"/>
        <v>7.5109436670254759</v>
      </c>
      <c r="X32" s="1">
        <v>5.3944000000000001</v>
      </c>
      <c r="Y32" s="1">
        <v>2.9910000000000001</v>
      </c>
      <c r="Z32" s="1">
        <v>3.278</v>
      </c>
      <c r="AA32" s="1">
        <v>2.6667999999999998</v>
      </c>
      <c r="AB32" s="1">
        <v>3.2280000000000002</v>
      </c>
      <c r="AC32" s="1">
        <v>5.8651999999999997</v>
      </c>
      <c r="AD32" s="1">
        <v>6.367</v>
      </c>
      <c r="AE32" s="1">
        <v>2.5865999999999998</v>
      </c>
      <c r="AF32" s="1">
        <v>5.8648000000000007</v>
      </c>
      <c r="AG32" s="1">
        <v>4.6718000000000002</v>
      </c>
      <c r="AH32" s="1"/>
      <c r="AI32" s="1">
        <f t="shared" si="10"/>
        <v>19</v>
      </c>
      <c r="AJ32" s="1">
        <f t="shared" si="11"/>
        <v>0</v>
      </c>
      <c r="AK32" s="1">
        <f t="shared" si="12"/>
        <v>0</v>
      </c>
      <c r="AL32" s="1">
        <f t="shared" si="13"/>
        <v>5.5739999999999998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93</v>
      </c>
      <c r="B33" s="1" t="s">
        <v>35</v>
      </c>
      <c r="C33" s="1">
        <v>-0.158</v>
      </c>
      <c r="D33" s="1">
        <v>80.012</v>
      </c>
      <c r="E33" s="1">
        <v>41.256</v>
      </c>
      <c r="F33" s="1">
        <v>35.865000000000002</v>
      </c>
      <c r="G33" s="6">
        <v>1</v>
      </c>
      <c r="H33" s="1">
        <v>40</v>
      </c>
      <c r="I33" s="1" t="s">
        <v>94</v>
      </c>
      <c r="J33" s="1"/>
      <c r="K33" s="1">
        <v>71</v>
      </c>
      <c r="L33" s="1">
        <f t="shared" si="3"/>
        <v>-29.744</v>
      </c>
      <c r="M33" s="1"/>
      <c r="N33" s="1"/>
      <c r="O33" s="1">
        <v>14.06239999999999</v>
      </c>
      <c r="P33" s="1">
        <f t="shared" si="4"/>
        <v>8.2512000000000008</v>
      </c>
      <c r="Q33" s="5">
        <f t="shared" si="19"/>
        <v>40.835800000000013</v>
      </c>
      <c r="R33" s="5">
        <f t="shared" si="14"/>
        <v>40.835800000000013</v>
      </c>
      <c r="S33" s="5">
        <f t="shared" si="9"/>
        <v>40.835800000000013</v>
      </c>
      <c r="T33" s="5"/>
      <c r="U33" s="5"/>
      <c r="V33" s="1">
        <f t="shared" si="5"/>
        <v>11</v>
      </c>
      <c r="W33" s="1">
        <f t="shared" si="6"/>
        <v>6.0509259259259247</v>
      </c>
      <c r="X33" s="1">
        <v>7.6128</v>
      </c>
      <c r="Y33" s="1">
        <v>9.6614000000000004</v>
      </c>
      <c r="Z33" s="1">
        <v>3.0419999999999998</v>
      </c>
      <c r="AA33" s="1">
        <v>1.1419999999999999</v>
      </c>
      <c r="AB33" s="1">
        <v>3.5891999999999999</v>
      </c>
      <c r="AC33" s="1">
        <v>5.0362</v>
      </c>
      <c r="AD33" s="1">
        <v>22.971</v>
      </c>
      <c r="AE33" s="1">
        <v>8.7968000000000011</v>
      </c>
      <c r="AF33" s="1">
        <v>17.3094</v>
      </c>
      <c r="AG33" s="1">
        <v>3.5762</v>
      </c>
      <c r="AH33" s="1"/>
      <c r="AI33" s="1">
        <f t="shared" si="10"/>
        <v>41</v>
      </c>
      <c r="AJ33" s="1">
        <f t="shared" si="11"/>
        <v>0</v>
      </c>
      <c r="AK33" s="1">
        <f t="shared" si="12"/>
        <v>0</v>
      </c>
      <c r="AL33" s="1">
        <f t="shared" si="13"/>
        <v>8.2512000000000008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95</v>
      </c>
      <c r="B34" s="1" t="s">
        <v>35</v>
      </c>
      <c r="C34" s="1">
        <v>4078.1280000000002</v>
      </c>
      <c r="D34" s="1">
        <v>604.19399999999996</v>
      </c>
      <c r="E34" s="1">
        <v>3856.3380000000002</v>
      </c>
      <c r="F34" s="1">
        <v>510.476</v>
      </c>
      <c r="G34" s="6">
        <v>1</v>
      </c>
      <c r="H34" s="1">
        <v>40</v>
      </c>
      <c r="I34" s="1" t="s">
        <v>96</v>
      </c>
      <c r="J34" s="1"/>
      <c r="K34" s="1">
        <v>3602.8040000000001</v>
      </c>
      <c r="L34" s="1">
        <f t="shared" si="3"/>
        <v>253.53400000000011</v>
      </c>
      <c r="M34" s="1"/>
      <c r="N34" s="1"/>
      <c r="O34" s="1">
        <v>2713.2853</v>
      </c>
      <c r="P34" s="1">
        <f t="shared" si="4"/>
        <v>771.26760000000002</v>
      </c>
      <c r="Q34" s="5">
        <f>9*P34-O34-F34</f>
        <v>3717.6471000000006</v>
      </c>
      <c r="R34" s="5">
        <f>Q34+$R$1*P34</f>
        <v>4781.9963880000005</v>
      </c>
      <c r="S34" s="5">
        <f t="shared" si="9"/>
        <v>1481.9963880000005</v>
      </c>
      <c r="T34" s="5">
        <v>1300</v>
      </c>
      <c r="U34" s="5">
        <v>2000</v>
      </c>
      <c r="V34" s="1">
        <f t="shared" si="5"/>
        <v>9</v>
      </c>
      <c r="W34" s="1">
        <f t="shared" si="6"/>
        <v>4.1798220228621039</v>
      </c>
      <c r="X34" s="1">
        <v>511.33100000000002</v>
      </c>
      <c r="Y34" s="1">
        <v>199.14580000000001</v>
      </c>
      <c r="Z34" s="1">
        <v>179.42859999999999</v>
      </c>
      <c r="AA34" s="1">
        <v>420.00200000000012</v>
      </c>
      <c r="AB34" s="1">
        <v>606.72160000000008</v>
      </c>
      <c r="AC34" s="1">
        <v>622.55079999999998</v>
      </c>
      <c r="AD34" s="1">
        <v>626.69579999999996</v>
      </c>
      <c r="AE34" s="1">
        <v>559.12</v>
      </c>
      <c r="AF34" s="1">
        <v>613.54840000000002</v>
      </c>
      <c r="AG34" s="1">
        <v>0</v>
      </c>
      <c r="AH34" s="1"/>
      <c r="AI34" s="1">
        <f t="shared" si="10"/>
        <v>1482</v>
      </c>
      <c r="AJ34" s="1">
        <f t="shared" si="11"/>
        <v>1300</v>
      </c>
      <c r="AK34" s="1">
        <f t="shared" si="12"/>
        <v>2000</v>
      </c>
      <c r="AL34" s="1">
        <f t="shared" si="13"/>
        <v>771.26760000000002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97</v>
      </c>
      <c r="B35" s="1" t="s">
        <v>35</v>
      </c>
      <c r="C35" s="1">
        <v>367.488</v>
      </c>
      <c r="D35" s="1">
        <v>212.917</v>
      </c>
      <c r="E35" s="1">
        <v>233.876</v>
      </c>
      <c r="F35" s="1">
        <v>304.68</v>
      </c>
      <c r="G35" s="6">
        <v>1</v>
      </c>
      <c r="H35" s="1">
        <v>30</v>
      </c>
      <c r="I35" s="1" t="s">
        <v>98</v>
      </c>
      <c r="J35" s="1"/>
      <c r="K35" s="1">
        <v>229.9</v>
      </c>
      <c r="L35" s="1">
        <f t="shared" si="3"/>
        <v>3.9759999999999991</v>
      </c>
      <c r="M35" s="1"/>
      <c r="N35" s="1"/>
      <c r="O35" s="1">
        <v>35.02406400000001</v>
      </c>
      <c r="P35" s="1">
        <f t="shared" si="4"/>
        <v>46.775199999999998</v>
      </c>
      <c r="Q35" s="5">
        <f t="shared" si="19"/>
        <v>174.82313599999998</v>
      </c>
      <c r="R35" s="5">
        <f t="shared" si="14"/>
        <v>174.82313599999998</v>
      </c>
      <c r="S35" s="5">
        <f t="shared" si="9"/>
        <v>174.82313599999998</v>
      </c>
      <c r="T35" s="5"/>
      <c r="U35" s="5"/>
      <c r="V35" s="1">
        <f t="shared" si="5"/>
        <v>11</v>
      </c>
      <c r="W35" s="1">
        <f t="shared" si="6"/>
        <v>7.2624823410696271</v>
      </c>
      <c r="X35" s="1">
        <v>42.855600000000003</v>
      </c>
      <c r="Y35" s="1">
        <v>50.501600000000003</v>
      </c>
      <c r="Z35" s="1">
        <v>53.412799999999997</v>
      </c>
      <c r="AA35" s="1">
        <v>50.7288</v>
      </c>
      <c r="AB35" s="1">
        <v>48.586599999999997</v>
      </c>
      <c r="AC35" s="1">
        <v>45.2286</v>
      </c>
      <c r="AD35" s="1">
        <v>43.9176</v>
      </c>
      <c r="AE35" s="1">
        <v>47.580399999999997</v>
      </c>
      <c r="AF35" s="1">
        <v>39.325000000000003</v>
      </c>
      <c r="AG35" s="1">
        <v>43.793599999999998</v>
      </c>
      <c r="AH35" s="1"/>
      <c r="AI35" s="1">
        <f t="shared" si="10"/>
        <v>175</v>
      </c>
      <c r="AJ35" s="1">
        <f t="shared" si="11"/>
        <v>0</v>
      </c>
      <c r="AK35" s="1">
        <f t="shared" si="12"/>
        <v>0</v>
      </c>
      <c r="AL35" s="1">
        <f t="shared" si="13"/>
        <v>46.775199999999998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99</v>
      </c>
      <c r="B36" s="1" t="s">
        <v>42</v>
      </c>
      <c r="C36" s="1">
        <v>6639</v>
      </c>
      <c r="D36" s="1">
        <v>3687</v>
      </c>
      <c r="E36" s="1">
        <v>4469</v>
      </c>
      <c r="F36" s="1">
        <v>5530</v>
      </c>
      <c r="G36" s="6">
        <v>0.4</v>
      </c>
      <c r="H36" s="1">
        <v>45</v>
      </c>
      <c r="I36" s="1" t="s">
        <v>100</v>
      </c>
      <c r="J36" s="1"/>
      <c r="K36" s="1">
        <v>4527</v>
      </c>
      <c r="L36" s="1">
        <f t="shared" si="3"/>
        <v>-58</v>
      </c>
      <c r="M36" s="1"/>
      <c r="N36" s="1"/>
      <c r="O36" s="1">
        <v>1754.1206000000041</v>
      </c>
      <c r="P36" s="1">
        <f t="shared" si="4"/>
        <v>893.8</v>
      </c>
      <c r="Q36" s="5">
        <f t="shared" si="19"/>
        <v>2547.6793999999954</v>
      </c>
      <c r="R36" s="5">
        <f>Q36+$R$1*P36</f>
        <v>3781.1233999999949</v>
      </c>
      <c r="S36" s="5">
        <f t="shared" si="9"/>
        <v>1481.1233999999949</v>
      </c>
      <c r="T36" s="5">
        <v>1300</v>
      </c>
      <c r="U36" s="5">
        <v>1000</v>
      </c>
      <c r="V36" s="1">
        <f t="shared" si="5"/>
        <v>11</v>
      </c>
      <c r="W36" s="1">
        <f t="shared" si="6"/>
        <v>8.1496090848064497</v>
      </c>
      <c r="X36" s="1">
        <v>890.8</v>
      </c>
      <c r="Y36" s="1">
        <v>822.8</v>
      </c>
      <c r="Z36" s="1">
        <v>878.2</v>
      </c>
      <c r="AA36" s="1">
        <v>947.2</v>
      </c>
      <c r="AB36" s="1">
        <v>847.2</v>
      </c>
      <c r="AC36" s="1">
        <v>844.8</v>
      </c>
      <c r="AD36" s="1">
        <v>866.6</v>
      </c>
      <c r="AE36" s="1">
        <v>846.4</v>
      </c>
      <c r="AF36" s="1">
        <v>855.4</v>
      </c>
      <c r="AG36" s="1">
        <v>803.6</v>
      </c>
      <c r="AH36" s="1"/>
      <c r="AI36" s="1">
        <f t="shared" si="10"/>
        <v>592</v>
      </c>
      <c r="AJ36" s="1">
        <f t="shared" si="11"/>
        <v>520</v>
      </c>
      <c r="AK36" s="1">
        <f t="shared" si="12"/>
        <v>400</v>
      </c>
      <c r="AL36" s="1">
        <f t="shared" si="13"/>
        <v>357.52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101</v>
      </c>
      <c r="B37" s="1" t="s">
        <v>42</v>
      </c>
      <c r="C37" s="1">
        <v>540</v>
      </c>
      <c r="D37" s="1">
        <v>590</v>
      </c>
      <c r="E37" s="1">
        <v>480</v>
      </c>
      <c r="F37" s="1">
        <v>613</v>
      </c>
      <c r="G37" s="6">
        <v>0.45</v>
      </c>
      <c r="H37" s="1">
        <v>50</v>
      </c>
      <c r="I37" s="1" t="s">
        <v>102</v>
      </c>
      <c r="J37" s="1"/>
      <c r="K37" s="1">
        <v>524</v>
      </c>
      <c r="L37" s="1">
        <f t="shared" si="3"/>
        <v>-44</v>
      </c>
      <c r="M37" s="1"/>
      <c r="N37" s="1"/>
      <c r="O37" s="1">
        <v>448.63799999999969</v>
      </c>
      <c r="P37" s="1">
        <f t="shared" si="4"/>
        <v>96</v>
      </c>
      <c r="Q37" s="5"/>
      <c r="R37" s="5">
        <f t="shared" si="14"/>
        <v>0</v>
      </c>
      <c r="S37" s="5">
        <f t="shared" si="9"/>
        <v>0</v>
      </c>
      <c r="T37" s="5"/>
      <c r="U37" s="5"/>
      <c r="V37" s="1">
        <f t="shared" si="5"/>
        <v>11.058729166666664</v>
      </c>
      <c r="W37" s="1">
        <f t="shared" si="6"/>
        <v>11.058729166666664</v>
      </c>
      <c r="X37" s="1">
        <v>109.6</v>
      </c>
      <c r="Y37" s="1">
        <v>100.2</v>
      </c>
      <c r="Z37" s="1">
        <v>83.2</v>
      </c>
      <c r="AA37" s="1">
        <v>89.6</v>
      </c>
      <c r="AB37" s="1">
        <v>100.4</v>
      </c>
      <c r="AC37" s="1">
        <v>92.2</v>
      </c>
      <c r="AD37" s="1">
        <v>86.8</v>
      </c>
      <c r="AE37" s="1">
        <v>84.4</v>
      </c>
      <c r="AF37" s="1">
        <v>80.599999999999994</v>
      </c>
      <c r="AG37" s="1">
        <v>83.2</v>
      </c>
      <c r="AH37" s="1"/>
      <c r="AI37" s="1">
        <f t="shared" si="10"/>
        <v>0</v>
      </c>
      <c r="AJ37" s="1">
        <f t="shared" si="11"/>
        <v>0</v>
      </c>
      <c r="AK37" s="1">
        <f t="shared" si="12"/>
        <v>0</v>
      </c>
      <c r="AL37" s="1">
        <f t="shared" si="13"/>
        <v>43.2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103</v>
      </c>
      <c r="B38" s="1" t="s">
        <v>42</v>
      </c>
      <c r="C38" s="1">
        <v>1148</v>
      </c>
      <c r="D38" s="1">
        <v>1491</v>
      </c>
      <c r="E38" s="1">
        <v>1186</v>
      </c>
      <c r="F38" s="1">
        <v>1380</v>
      </c>
      <c r="G38" s="6">
        <v>0.4</v>
      </c>
      <c r="H38" s="1">
        <v>45</v>
      </c>
      <c r="I38" s="1" t="s">
        <v>104</v>
      </c>
      <c r="J38" s="1"/>
      <c r="K38" s="1">
        <v>1208</v>
      </c>
      <c r="L38" s="1">
        <f t="shared" ref="L38:L69" si="20">E38-K38</f>
        <v>-22</v>
      </c>
      <c r="M38" s="1"/>
      <c r="N38" s="1"/>
      <c r="O38" s="1">
        <v>405.55080000000089</v>
      </c>
      <c r="P38" s="1">
        <f t="shared" ref="P38:P69" si="21">E38/5</f>
        <v>237.2</v>
      </c>
      <c r="Q38" s="5">
        <f t="shared" si="19"/>
        <v>823.64919999999893</v>
      </c>
      <c r="R38" s="5">
        <f>Q38+$R$1*P38</f>
        <v>1150.9851999999989</v>
      </c>
      <c r="S38" s="5">
        <f t="shared" si="9"/>
        <v>650.98519999999894</v>
      </c>
      <c r="T38" s="5">
        <v>500</v>
      </c>
      <c r="U38" s="5"/>
      <c r="V38" s="1">
        <f t="shared" ref="V38:V69" si="22">(F38+O38+Q38)/P38</f>
        <v>11</v>
      </c>
      <c r="W38" s="1">
        <f t="shared" ref="W38:W69" si="23">(F38+O38)/P38</f>
        <v>7.5276172006745403</v>
      </c>
      <c r="X38" s="1">
        <v>222</v>
      </c>
      <c r="Y38" s="1">
        <v>213.2</v>
      </c>
      <c r="Z38" s="1">
        <v>223.6</v>
      </c>
      <c r="AA38" s="1">
        <v>220.6</v>
      </c>
      <c r="AB38" s="1">
        <v>223.6</v>
      </c>
      <c r="AC38" s="1">
        <v>229.8</v>
      </c>
      <c r="AD38" s="1">
        <v>232.6</v>
      </c>
      <c r="AE38" s="1">
        <v>209</v>
      </c>
      <c r="AF38" s="1">
        <v>207.6</v>
      </c>
      <c r="AG38" s="1">
        <v>267.8</v>
      </c>
      <c r="AH38" s="1"/>
      <c r="AI38" s="1">
        <f t="shared" si="10"/>
        <v>260</v>
      </c>
      <c r="AJ38" s="1">
        <f t="shared" si="11"/>
        <v>200</v>
      </c>
      <c r="AK38" s="1">
        <f t="shared" si="12"/>
        <v>0</v>
      </c>
      <c r="AL38" s="1">
        <f t="shared" si="13"/>
        <v>94.88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105</v>
      </c>
      <c r="B39" s="1" t="s">
        <v>42</v>
      </c>
      <c r="C39" s="1">
        <v>48</v>
      </c>
      <c r="D39" s="1"/>
      <c r="E39" s="1">
        <v>13</v>
      </c>
      <c r="F39" s="1">
        <v>35</v>
      </c>
      <c r="G39" s="6">
        <v>0.4</v>
      </c>
      <c r="H39" s="1">
        <v>40</v>
      </c>
      <c r="I39" s="1" t="s">
        <v>106</v>
      </c>
      <c r="J39" s="1"/>
      <c r="K39" s="1">
        <v>13</v>
      </c>
      <c r="L39" s="1">
        <f t="shared" si="20"/>
        <v>0</v>
      </c>
      <c r="M39" s="1"/>
      <c r="N39" s="1"/>
      <c r="O39" s="1"/>
      <c r="P39" s="1">
        <f t="shared" si="21"/>
        <v>2.6</v>
      </c>
      <c r="Q39" s="5"/>
      <c r="R39" s="5">
        <f t="shared" si="14"/>
        <v>0</v>
      </c>
      <c r="S39" s="5">
        <f t="shared" si="9"/>
        <v>0</v>
      </c>
      <c r="T39" s="5"/>
      <c r="U39" s="5"/>
      <c r="V39" s="1">
        <f t="shared" si="22"/>
        <v>13.461538461538462</v>
      </c>
      <c r="W39" s="1">
        <f t="shared" si="23"/>
        <v>13.461538461538462</v>
      </c>
      <c r="X39" s="1">
        <v>0.2</v>
      </c>
      <c r="Y39" s="1">
        <v>0.4</v>
      </c>
      <c r="Z39" s="1">
        <v>1</v>
      </c>
      <c r="AA39" s="1">
        <v>3.8</v>
      </c>
      <c r="AB39" s="1">
        <v>3.8</v>
      </c>
      <c r="AC39" s="1">
        <v>0.6</v>
      </c>
      <c r="AD39" s="1">
        <v>0.2</v>
      </c>
      <c r="AE39" s="1">
        <v>1.8</v>
      </c>
      <c r="AF39" s="1">
        <v>1.2</v>
      </c>
      <c r="AG39" s="1">
        <v>0.6</v>
      </c>
      <c r="AH39" s="1"/>
      <c r="AI39" s="1">
        <f t="shared" si="10"/>
        <v>0</v>
      </c>
      <c r="AJ39" s="1">
        <f t="shared" si="11"/>
        <v>0</v>
      </c>
      <c r="AK39" s="1">
        <f t="shared" si="12"/>
        <v>0</v>
      </c>
      <c r="AL39" s="1">
        <f t="shared" si="13"/>
        <v>1.04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107</v>
      </c>
      <c r="B40" s="1" t="s">
        <v>35</v>
      </c>
      <c r="C40" s="1">
        <v>152.58699999999999</v>
      </c>
      <c r="D40" s="1">
        <v>605.08399999999995</v>
      </c>
      <c r="E40" s="1">
        <v>273.29399999999998</v>
      </c>
      <c r="F40" s="1">
        <v>463.815</v>
      </c>
      <c r="G40" s="6">
        <v>1</v>
      </c>
      <c r="H40" s="1">
        <v>45</v>
      </c>
      <c r="I40" s="1" t="s">
        <v>108</v>
      </c>
      <c r="J40" s="1"/>
      <c r="K40" s="1">
        <v>259</v>
      </c>
      <c r="L40" s="1">
        <f t="shared" si="20"/>
        <v>14.293999999999983</v>
      </c>
      <c r="M40" s="1"/>
      <c r="N40" s="1"/>
      <c r="O40" s="1">
        <v>124.0046780000001</v>
      </c>
      <c r="P40" s="1">
        <f t="shared" si="21"/>
        <v>54.658799999999999</v>
      </c>
      <c r="Q40" s="5">
        <f t="shared" si="19"/>
        <v>13.427121999999883</v>
      </c>
      <c r="R40" s="5">
        <f t="shared" si="14"/>
        <v>13.427121999999883</v>
      </c>
      <c r="S40" s="5">
        <f t="shared" si="9"/>
        <v>13.427121999999883</v>
      </c>
      <c r="T40" s="5"/>
      <c r="U40" s="5"/>
      <c r="V40" s="1">
        <f t="shared" si="22"/>
        <v>10.999999999999998</v>
      </c>
      <c r="W40" s="1">
        <f t="shared" si="23"/>
        <v>10.754346564505626</v>
      </c>
      <c r="X40" s="1">
        <v>61.988999999999997</v>
      </c>
      <c r="Y40" s="1">
        <v>65.972999999999999</v>
      </c>
      <c r="Z40" s="1">
        <v>63.581400000000002</v>
      </c>
      <c r="AA40" s="1">
        <v>50.510399999999997</v>
      </c>
      <c r="AB40" s="1">
        <v>50.273200000000003</v>
      </c>
      <c r="AC40" s="1">
        <v>57.129399999999997</v>
      </c>
      <c r="AD40" s="1">
        <v>54.578599999999987</v>
      </c>
      <c r="AE40" s="1">
        <v>50.101999999999997</v>
      </c>
      <c r="AF40" s="1">
        <v>52.311999999999998</v>
      </c>
      <c r="AG40" s="1">
        <v>42.671799999999998</v>
      </c>
      <c r="AH40" s="1"/>
      <c r="AI40" s="1">
        <f t="shared" si="10"/>
        <v>13</v>
      </c>
      <c r="AJ40" s="1">
        <f t="shared" si="11"/>
        <v>0</v>
      </c>
      <c r="AK40" s="1">
        <f t="shared" si="12"/>
        <v>0</v>
      </c>
      <c r="AL40" s="1">
        <f t="shared" si="13"/>
        <v>54.658799999999999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109</v>
      </c>
      <c r="B41" s="1" t="s">
        <v>42</v>
      </c>
      <c r="C41" s="1">
        <v>1878</v>
      </c>
      <c r="D41" s="1"/>
      <c r="E41" s="1">
        <v>266</v>
      </c>
      <c r="F41" s="1">
        <v>1586</v>
      </c>
      <c r="G41" s="6">
        <v>0.1</v>
      </c>
      <c r="H41" s="1">
        <v>731</v>
      </c>
      <c r="I41" s="1" t="s">
        <v>110</v>
      </c>
      <c r="J41" s="1"/>
      <c r="K41" s="1">
        <v>267</v>
      </c>
      <c r="L41" s="1">
        <f t="shared" si="20"/>
        <v>-1</v>
      </c>
      <c r="M41" s="1"/>
      <c r="N41" s="1"/>
      <c r="O41" s="1"/>
      <c r="P41" s="1">
        <f t="shared" si="21"/>
        <v>53.2</v>
      </c>
      <c r="Q41" s="5"/>
      <c r="R41" s="5">
        <f t="shared" si="14"/>
        <v>0</v>
      </c>
      <c r="S41" s="5">
        <f t="shared" si="9"/>
        <v>0</v>
      </c>
      <c r="T41" s="5"/>
      <c r="U41" s="5"/>
      <c r="V41" s="1">
        <f t="shared" si="22"/>
        <v>29.81203007518797</v>
      </c>
      <c r="W41" s="1">
        <f t="shared" si="23"/>
        <v>29.81203007518797</v>
      </c>
      <c r="X41" s="1">
        <v>56.4</v>
      </c>
      <c r="Y41" s="1">
        <v>54</v>
      </c>
      <c r="Z41" s="1">
        <v>48.6</v>
      </c>
      <c r="AA41" s="1">
        <v>61.8</v>
      </c>
      <c r="AB41" s="1">
        <v>66</v>
      </c>
      <c r="AC41" s="1">
        <v>51</v>
      </c>
      <c r="AD41" s="1">
        <v>44.4</v>
      </c>
      <c r="AE41" s="1">
        <v>57.4</v>
      </c>
      <c r="AF41" s="1">
        <v>49.2</v>
      </c>
      <c r="AG41" s="1">
        <v>42.2</v>
      </c>
      <c r="AH41" s="14" t="s">
        <v>48</v>
      </c>
      <c r="AI41" s="1">
        <f t="shared" si="10"/>
        <v>0</v>
      </c>
      <c r="AJ41" s="1">
        <f t="shared" si="11"/>
        <v>0</v>
      </c>
      <c r="AK41" s="1">
        <f t="shared" si="12"/>
        <v>0</v>
      </c>
      <c r="AL41" s="1">
        <f t="shared" si="13"/>
        <v>5.32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111</v>
      </c>
      <c r="B42" s="1" t="s">
        <v>42</v>
      </c>
      <c r="C42" s="1">
        <v>85</v>
      </c>
      <c r="D42" s="1">
        <v>480</v>
      </c>
      <c r="E42" s="1">
        <v>278</v>
      </c>
      <c r="F42" s="1">
        <v>243</v>
      </c>
      <c r="G42" s="6">
        <v>0.35</v>
      </c>
      <c r="H42" s="1">
        <v>40</v>
      </c>
      <c r="I42" s="1" t="s">
        <v>112</v>
      </c>
      <c r="J42" s="1"/>
      <c r="K42" s="1">
        <v>317</v>
      </c>
      <c r="L42" s="1">
        <f t="shared" si="20"/>
        <v>-39</v>
      </c>
      <c r="M42" s="1"/>
      <c r="N42" s="1"/>
      <c r="O42" s="1">
        <v>229.34400000000011</v>
      </c>
      <c r="P42" s="1">
        <f t="shared" si="21"/>
        <v>55.6</v>
      </c>
      <c r="Q42" s="5">
        <f t="shared" si="19"/>
        <v>139.25599999999991</v>
      </c>
      <c r="R42" s="5">
        <f t="shared" si="14"/>
        <v>139.25599999999991</v>
      </c>
      <c r="S42" s="5">
        <f t="shared" si="9"/>
        <v>139.25599999999991</v>
      </c>
      <c r="T42" s="5"/>
      <c r="U42" s="5"/>
      <c r="V42" s="1">
        <f t="shared" si="22"/>
        <v>11</v>
      </c>
      <c r="W42" s="1">
        <f t="shared" si="23"/>
        <v>8.4953956834532391</v>
      </c>
      <c r="X42" s="1">
        <v>56.6</v>
      </c>
      <c r="Y42" s="1">
        <v>52.8</v>
      </c>
      <c r="Z42" s="1">
        <v>57</v>
      </c>
      <c r="AA42" s="1">
        <v>43</v>
      </c>
      <c r="AB42" s="1">
        <v>47.6</v>
      </c>
      <c r="AC42" s="1">
        <v>54.6</v>
      </c>
      <c r="AD42" s="1">
        <v>47.6</v>
      </c>
      <c r="AE42" s="1">
        <v>45</v>
      </c>
      <c r="AF42" s="1">
        <v>46.8</v>
      </c>
      <c r="AG42" s="1">
        <v>52.2</v>
      </c>
      <c r="AH42" s="1"/>
      <c r="AI42" s="1">
        <f t="shared" si="10"/>
        <v>49</v>
      </c>
      <c r="AJ42" s="1">
        <f t="shared" si="11"/>
        <v>0</v>
      </c>
      <c r="AK42" s="1">
        <f t="shared" si="12"/>
        <v>0</v>
      </c>
      <c r="AL42" s="1">
        <f t="shared" si="13"/>
        <v>19.46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113</v>
      </c>
      <c r="B43" s="1" t="s">
        <v>35</v>
      </c>
      <c r="C43" s="1">
        <v>36.880000000000003</v>
      </c>
      <c r="D43" s="1">
        <v>39.008000000000003</v>
      </c>
      <c r="E43" s="1">
        <v>53.109000000000002</v>
      </c>
      <c r="F43" s="1">
        <v>16.292000000000002</v>
      </c>
      <c r="G43" s="6">
        <v>1</v>
      </c>
      <c r="H43" s="1">
        <v>40</v>
      </c>
      <c r="I43" s="1" t="s">
        <v>114</v>
      </c>
      <c r="J43" s="1"/>
      <c r="K43" s="1">
        <v>56.55</v>
      </c>
      <c r="L43" s="1">
        <f t="shared" si="20"/>
        <v>-3.4409999999999954</v>
      </c>
      <c r="M43" s="1"/>
      <c r="N43" s="1"/>
      <c r="O43" s="1">
        <v>49.414399999999993</v>
      </c>
      <c r="P43" s="1">
        <f t="shared" si="21"/>
        <v>10.6218</v>
      </c>
      <c r="Q43" s="5">
        <f t="shared" si="19"/>
        <v>51.133399999999995</v>
      </c>
      <c r="R43" s="5">
        <f t="shared" si="14"/>
        <v>51.133399999999995</v>
      </c>
      <c r="S43" s="5">
        <f t="shared" si="9"/>
        <v>51.133399999999995</v>
      </c>
      <c r="T43" s="5"/>
      <c r="U43" s="5"/>
      <c r="V43" s="1">
        <f t="shared" si="22"/>
        <v>11</v>
      </c>
      <c r="W43" s="1">
        <f t="shared" si="23"/>
        <v>6.1859948407991112</v>
      </c>
      <c r="X43" s="1">
        <v>8.5141999999999989</v>
      </c>
      <c r="Y43" s="1">
        <v>5.8933999999999997</v>
      </c>
      <c r="Z43" s="1">
        <v>7.8151999999999999</v>
      </c>
      <c r="AA43" s="1">
        <v>7.2846000000000002</v>
      </c>
      <c r="AB43" s="1">
        <v>9.9352</v>
      </c>
      <c r="AC43" s="1">
        <v>11.954800000000001</v>
      </c>
      <c r="AD43" s="1">
        <v>9.5638000000000005</v>
      </c>
      <c r="AE43" s="1">
        <v>10.995200000000001</v>
      </c>
      <c r="AF43" s="1">
        <v>10.239599999999999</v>
      </c>
      <c r="AG43" s="1">
        <v>13.516400000000001</v>
      </c>
      <c r="AH43" s="1"/>
      <c r="AI43" s="1">
        <f t="shared" si="10"/>
        <v>51</v>
      </c>
      <c r="AJ43" s="1">
        <f t="shared" si="11"/>
        <v>0</v>
      </c>
      <c r="AK43" s="1">
        <f t="shared" si="12"/>
        <v>0</v>
      </c>
      <c r="AL43" s="1">
        <f t="shared" si="13"/>
        <v>10.6218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115</v>
      </c>
      <c r="B44" s="1" t="s">
        <v>42</v>
      </c>
      <c r="C44" s="1">
        <v>285</v>
      </c>
      <c r="D44" s="1">
        <v>2</v>
      </c>
      <c r="E44" s="1">
        <v>193</v>
      </c>
      <c r="F44" s="1">
        <v>85</v>
      </c>
      <c r="G44" s="6">
        <v>0.4</v>
      </c>
      <c r="H44" s="1">
        <v>40</v>
      </c>
      <c r="I44" s="1" t="s">
        <v>116</v>
      </c>
      <c r="J44" s="1"/>
      <c r="K44" s="1">
        <v>200</v>
      </c>
      <c r="L44" s="1">
        <f t="shared" si="20"/>
        <v>-7</v>
      </c>
      <c r="M44" s="1"/>
      <c r="N44" s="1"/>
      <c r="O44" s="1">
        <v>148.9919999999999</v>
      </c>
      <c r="P44" s="1">
        <f t="shared" si="21"/>
        <v>38.6</v>
      </c>
      <c r="Q44" s="5">
        <f t="shared" si="19"/>
        <v>190.60800000000012</v>
      </c>
      <c r="R44" s="5">
        <f t="shared" si="14"/>
        <v>190.60800000000012</v>
      </c>
      <c r="S44" s="5">
        <f t="shared" si="9"/>
        <v>190.60800000000012</v>
      </c>
      <c r="T44" s="5"/>
      <c r="U44" s="5"/>
      <c r="V44" s="1">
        <f t="shared" si="22"/>
        <v>11</v>
      </c>
      <c r="W44" s="1">
        <f t="shared" si="23"/>
        <v>6.0619689119170959</v>
      </c>
      <c r="X44" s="1">
        <v>36.200000000000003</v>
      </c>
      <c r="Y44" s="1">
        <v>42.2</v>
      </c>
      <c r="Z44" s="1">
        <v>47.8</v>
      </c>
      <c r="AA44" s="1">
        <v>56.4</v>
      </c>
      <c r="AB44" s="1">
        <v>47.8</v>
      </c>
      <c r="AC44" s="1">
        <v>38</v>
      </c>
      <c r="AD44" s="1">
        <v>48.6</v>
      </c>
      <c r="AE44" s="1">
        <v>34.4</v>
      </c>
      <c r="AF44" s="1">
        <v>41</v>
      </c>
      <c r="AG44" s="1">
        <v>34.200000000000003</v>
      </c>
      <c r="AH44" s="1"/>
      <c r="AI44" s="1">
        <f t="shared" si="10"/>
        <v>76</v>
      </c>
      <c r="AJ44" s="1">
        <f t="shared" si="11"/>
        <v>0</v>
      </c>
      <c r="AK44" s="1">
        <f t="shared" si="12"/>
        <v>0</v>
      </c>
      <c r="AL44" s="1">
        <f t="shared" si="13"/>
        <v>15.440000000000001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117</v>
      </c>
      <c r="B45" s="1" t="s">
        <v>42</v>
      </c>
      <c r="C45" s="1">
        <v>360</v>
      </c>
      <c r="D45" s="1">
        <v>92</v>
      </c>
      <c r="E45" s="1">
        <v>177</v>
      </c>
      <c r="F45" s="1">
        <v>267</v>
      </c>
      <c r="G45" s="6">
        <v>0.4</v>
      </c>
      <c r="H45" s="1">
        <v>45</v>
      </c>
      <c r="I45" s="1" t="s">
        <v>118</v>
      </c>
      <c r="J45" s="1"/>
      <c r="K45" s="1">
        <v>183</v>
      </c>
      <c r="L45" s="1">
        <f t="shared" si="20"/>
        <v>-6</v>
      </c>
      <c r="M45" s="1"/>
      <c r="N45" s="1"/>
      <c r="O45" s="1">
        <v>77.596000000000004</v>
      </c>
      <c r="P45" s="1">
        <f t="shared" si="21"/>
        <v>35.4</v>
      </c>
      <c r="Q45" s="5">
        <f t="shared" si="19"/>
        <v>44.803999999999974</v>
      </c>
      <c r="R45" s="5">
        <f t="shared" si="14"/>
        <v>44.803999999999974</v>
      </c>
      <c r="S45" s="5">
        <f t="shared" si="9"/>
        <v>44.803999999999974</v>
      </c>
      <c r="T45" s="5"/>
      <c r="U45" s="5"/>
      <c r="V45" s="1">
        <f t="shared" si="22"/>
        <v>11</v>
      </c>
      <c r="W45" s="1">
        <f t="shared" si="23"/>
        <v>9.7343502824858756</v>
      </c>
      <c r="X45" s="1">
        <v>36</v>
      </c>
      <c r="Y45" s="1">
        <v>40</v>
      </c>
      <c r="Z45" s="1">
        <v>40.200000000000003</v>
      </c>
      <c r="AA45" s="1">
        <v>48.2</v>
      </c>
      <c r="AB45" s="1">
        <v>44.4</v>
      </c>
      <c r="AC45" s="1">
        <v>32.799999999999997</v>
      </c>
      <c r="AD45" s="1">
        <v>37.200000000000003</v>
      </c>
      <c r="AE45" s="1">
        <v>42.8</v>
      </c>
      <c r="AF45" s="1">
        <v>45.6</v>
      </c>
      <c r="AG45" s="1">
        <v>32.6</v>
      </c>
      <c r="AH45" s="1"/>
      <c r="AI45" s="1">
        <f t="shared" si="10"/>
        <v>18</v>
      </c>
      <c r="AJ45" s="1">
        <f t="shared" si="11"/>
        <v>0</v>
      </c>
      <c r="AK45" s="1">
        <f t="shared" si="12"/>
        <v>0</v>
      </c>
      <c r="AL45" s="1">
        <f t="shared" si="13"/>
        <v>14.16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119</v>
      </c>
      <c r="B46" s="1" t="s">
        <v>35</v>
      </c>
      <c r="C46" s="1">
        <v>197.15600000000001</v>
      </c>
      <c r="D46" s="1">
        <v>93.888999999999996</v>
      </c>
      <c r="E46" s="1">
        <v>129.18600000000001</v>
      </c>
      <c r="F46" s="1">
        <v>143.202</v>
      </c>
      <c r="G46" s="6">
        <v>1</v>
      </c>
      <c r="H46" s="1">
        <v>40</v>
      </c>
      <c r="I46" s="1" t="s">
        <v>120</v>
      </c>
      <c r="J46" s="1"/>
      <c r="K46" s="1">
        <v>140.02699999999999</v>
      </c>
      <c r="L46" s="1">
        <f t="shared" si="20"/>
        <v>-10.84099999999998</v>
      </c>
      <c r="M46" s="1"/>
      <c r="N46" s="1"/>
      <c r="O46" s="1">
        <v>16.56859999999995</v>
      </c>
      <c r="P46" s="1">
        <f t="shared" si="21"/>
        <v>25.837200000000003</v>
      </c>
      <c r="Q46" s="5">
        <f t="shared" si="19"/>
        <v>124.43860000000006</v>
      </c>
      <c r="R46" s="5">
        <f t="shared" si="14"/>
        <v>124.43860000000006</v>
      </c>
      <c r="S46" s="5">
        <f t="shared" si="9"/>
        <v>124.43860000000006</v>
      </c>
      <c r="T46" s="5"/>
      <c r="U46" s="5"/>
      <c r="V46" s="1">
        <f t="shared" si="22"/>
        <v>11</v>
      </c>
      <c r="W46" s="1">
        <f t="shared" si="23"/>
        <v>6.1837428204294556</v>
      </c>
      <c r="X46" s="1">
        <v>21.918800000000001</v>
      </c>
      <c r="Y46" s="1">
        <v>21.019200000000001</v>
      </c>
      <c r="Z46" s="1">
        <v>27.880800000000001</v>
      </c>
      <c r="AA46" s="1">
        <v>26.376999999999999</v>
      </c>
      <c r="AB46" s="1">
        <v>22.745999999999999</v>
      </c>
      <c r="AC46" s="1">
        <v>24.5078</v>
      </c>
      <c r="AD46" s="1">
        <v>27.916</v>
      </c>
      <c r="AE46" s="1">
        <v>25.068000000000001</v>
      </c>
      <c r="AF46" s="1">
        <v>26.6584</v>
      </c>
      <c r="AG46" s="1">
        <v>31.678000000000001</v>
      </c>
      <c r="AH46" s="1"/>
      <c r="AI46" s="1">
        <f t="shared" si="10"/>
        <v>124</v>
      </c>
      <c r="AJ46" s="1">
        <f t="shared" si="11"/>
        <v>0</v>
      </c>
      <c r="AK46" s="1">
        <f t="shared" si="12"/>
        <v>0</v>
      </c>
      <c r="AL46" s="1">
        <f t="shared" si="13"/>
        <v>25.837200000000003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121</v>
      </c>
      <c r="B47" s="1" t="s">
        <v>42</v>
      </c>
      <c r="C47" s="1">
        <v>1194</v>
      </c>
      <c r="D47" s="1">
        <v>2931</v>
      </c>
      <c r="E47" s="1">
        <v>1475</v>
      </c>
      <c r="F47" s="1">
        <v>2554</v>
      </c>
      <c r="G47" s="6">
        <v>0.35</v>
      </c>
      <c r="H47" s="1">
        <v>40</v>
      </c>
      <c r="I47" s="1" t="s">
        <v>122</v>
      </c>
      <c r="J47" s="1"/>
      <c r="K47" s="1">
        <v>1501</v>
      </c>
      <c r="L47" s="1">
        <f t="shared" si="20"/>
        <v>-26</v>
      </c>
      <c r="M47" s="1"/>
      <c r="N47" s="1"/>
      <c r="O47" s="1">
        <v>59.718599999999242</v>
      </c>
      <c r="P47" s="1">
        <f t="shared" si="21"/>
        <v>295</v>
      </c>
      <c r="Q47" s="5">
        <f t="shared" si="19"/>
        <v>631.28140000000076</v>
      </c>
      <c r="R47" s="5">
        <f>Q47+$R$1*P47</f>
        <v>1038.3814000000007</v>
      </c>
      <c r="S47" s="5">
        <f t="shared" si="9"/>
        <v>538.38140000000067</v>
      </c>
      <c r="T47" s="5">
        <v>500</v>
      </c>
      <c r="U47" s="5"/>
      <c r="V47" s="1">
        <f t="shared" si="22"/>
        <v>11</v>
      </c>
      <c r="W47" s="1">
        <f t="shared" si="23"/>
        <v>8.8600630508474545</v>
      </c>
      <c r="X47" s="1">
        <v>315.2</v>
      </c>
      <c r="Y47" s="1">
        <v>312.39999999999998</v>
      </c>
      <c r="Z47" s="1">
        <v>340.2</v>
      </c>
      <c r="AA47" s="1">
        <v>330.4</v>
      </c>
      <c r="AB47" s="1">
        <v>325.60000000000002</v>
      </c>
      <c r="AC47" s="1">
        <v>357.4</v>
      </c>
      <c r="AD47" s="1">
        <v>342.4</v>
      </c>
      <c r="AE47" s="1">
        <v>291.8</v>
      </c>
      <c r="AF47" s="1">
        <v>366.2</v>
      </c>
      <c r="AG47" s="1">
        <v>446.2</v>
      </c>
      <c r="AH47" s="1"/>
      <c r="AI47" s="1">
        <f t="shared" si="10"/>
        <v>188</v>
      </c>
      <c r="AJ47" s="1">
        <f t="shared" si="11"/>
        <v>175</v>
      </c>
      <c r="AK47" s="1">
        <f t="shared" si="12"/>
        <v>0</v>
      </c>
      <c r="AL47" s="1">
        <f t="shared" si="13"/>
        <v>103.25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123</v>
      </c>
      <c r="B48" s="1" t="s">
        <v>42</v>
      </c>
      <c r="C48" s="1">
        <v>536</v>
      </c>
      <c r="D48" s="1">
        <v>433</v>
      </c>
      <c r="E48" s="1">
        <v>596</v>
      </c>
      <c r="F48" s="1">
        <v>342</v>
      </c>
      <c r="G48" s="6">
        <v>0.4</v>
      </c>
      <c r="H48" s="1">
        <v>40</v>
      </c>
      <c r="I48" s="1" t="s">
        <v>124</v>
      </c>
      <c r="J48" s="1"/>
      <c r="K48" s="1">
        <v>613</v>
      </c>
      <c r="L48" s="1">
        <f t="shared" si="20"/>
        <v>-17</v>
      </c>
      <c r="M48" s="1"/>
      <c r="N48" s="1"/>
      <c r="O48" s="1">
        <v>759.26999999999953</v>
      </c>
      <c r="P48" s="1">
        <f t="shared" si="21"/>
        <v>119.2</v>
      </c>
      <c r="Q48" s="5">
        <f t="shared" si="19"/>
        <v>209.93000000000052</v>
      </c>
      <c r="R48" s="5">
        <f t="shared" si="14"/>
        <v>209.93000000000052</v>
      </c>
      <c r="S48" s="5">
        <f t="shared" si="9"/>
        <v>109.93000000000052</v>
      </c>
      <c r="T48" s="5">
        <v>100</v>
      </c>
      <c r="U48" s="5"/>
      <c r="V48" s="1">
        <f t="shared" si="22"/>
        <v>11</v>
      </c>
      <c r="W48" s="1">
        <f t="shared" si="23"/>
        <v>9.2388422818791902</v>
      </c>
      <c r="X48" s="1">
        <v>124</v>
      </c>
      <c r="Y48" s="1">
        <v>124</v>
      </c>
      <c r="Z48" s="1">
        <v>125.6</v>
      </c>
      <c r="AA48" s="1">
        <v>124.2</v>
      </c>
      <c r="AB48" s="1">
        <v>123.2</v>
      </c>
      <c r="AC48" s="1">
        <v>114.6</v>
      </c>
      <c r="AD48" s="1">
        <v>108.4</v>
      </c>
      <c r="AE48" s="1">
        <v>112.4</v>
      </c>
      <c r="AF48" s="1">
        <v>102.4</v>
      </c>
      <c r="AG48" s="1">
        <v>113.2</v>
      </c>
      <c r="AH48" s="1"/>
      <c r="AI48" s="1">
        <f t="shared" si="10"/>
        <v>44</v>
      </c>
      <c r="AJ48" s="1">
        <f t="shared" si="11"/>
        <v>40</v>
      </c>
      <c r="AK48" s="1">
        <f t="shared" si="12"/>
        <v>0</v>
      </c>
      <c r="AL48" s="1">
        <f t="shared" si="13"/>
        <v>47.680000000000007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125</v>
      </c>
      <c r="B49" s="1" t="s">
        <v>35</v>
      </c>
      <c r="C49" s="1">
        <v>85.497</v>
      </c>
      <c r="D49" s="1">
        <v>984.20100000000002</v>
      </c>
      <c r="E49" s="1">
        <v>523.98199999999997</v>
      </c>
      <c r="F49" s="1">
        <v>518.30200000000002</v>
      </c>
      <c r="G49" s="6">
        <v>1</v>
      </c>
      <c r="H49" s="1">
        <v>50</v>
      </c>
      <c r="I49" s="1" t="s">
        <v>126</v>
      </c>
      <c r="J49" s="1"/>
      <c r="K49" s="1">
        <v>515.20000000000005</v>
      </c>
      <c r="L49" s="1">
        <f t="shared" si="20"/>
        <v>8.7819999999999254</v>
      </c>
      <c r="M49" s="1"/>
      <c r="N49" s="1"/>
      <c r="O49" s="1">
        <v>306.81942000000009</v>
      </c>
      <c r="P49" s="1">
        <f t="shared" si="21"/>
        <v>104.79639999999999</v>
      </c>
      <c r="Q49" s="5">
        <f t="shared" si="19"/>
        <v>327.63897999999983</v>
      </c>
      <c r="R49" s="5">
        <f t="shared" si="14"/>
        <v>327.63897999999983</v>
      </c>
      <c r="S49" s="5">
        <f t="shared" si="9"/>
        <v>177.63897999999983</v>
      </c>
      <c r="T49" s="5">
        <v>150</v>
      </c>
      <c r="U49" s="5"/>
      <c r="V49" s="1">
        <f t="shared" si="22"/>
        <v>11.000000000000002</v>
      </c>
      <c r="W49" s="1">
        <f t="shared" si="23"/>
        <v>7.873566458389794</v>
      </c>
      <c r="X49" s="1">
        <v>96.198999999999998</v>
      </c>
      <c r="Y49" s="1">
        <v>92.049199999999999</v>
      </c>
      <c r="Z49" s="1">
        <v>107.1942</v>
      </c>
      <c r="AA49" s="1">
        <v>100.47280000000001</v>
      </c>
      <c r="AB49" s="1">
        <v>94.212999999999994</v>
      </c>
      <c r="AC49" s="1">
        <v>105.2924</v>
      </c>
      <c r="AD49" s="1">
        <v>90.395600000000002</v>
      </c>
      <c r="AE49" s="1">
        <v>87.028800000000004</v>
      </c>
      <c r="AF49" s="1">
        <v>82.031399999999991</v>
      </c>
      <c r="AG49" s="1">
        <v>93.462000000000003</v>
      </c>
      <c r="AH49" s="1"/>
      <c r="AI49" s="1">
        <f t="shared" si="10"/>
        <v>178</v>
      </c>
      <c r="AJ49" s="1">
        <f t="shared" si="11"/>
        <v>150</v>
      </c>
      <c r="AK49" s="1">
        <f t="shared" si="12"/>
        <v>0</v>
      </c>
      <c r="AL49" s="1">
        <f t="shared" si="13"/>
        <v>104.79639999999999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127</v>
      </c>
      <c r="B50" s="1" t="s">
        <v>35</v>
      </c>
      <c r="C50" s="1">
        <v>685.61900000000003</v>
      </c>
      <c r="D50" s="1">
        <v>609.26599999999996</v>
      </c>
      <c r="E50" s="1">
        <v>585.50699999999995</v>
      </c>
      <c r="F50" s="1">
        <v>669.68600000000004</v>
      </c>
      <c r="G50" s="6">
        <v>1</v>
      </c>
      <c r="H50" s="1">
        <v>50</v>
      </c>
      <c r="I50" s="1" t="s">
        <v>128</v>
      </c>
      <c r="J50" s="1"/>
      <c r="K50" s="1">
        <v>569.75</v>
      </c>
      <c r="L50" s="1">
        <f t="shared" si="20"/>
        <v>15.756999999999948</v>
      </c>
      <c r="M50" s="1"/>
      <c r="N50" s="1"/>
      <c r="O50" s="1">
        <v>364.10905800000029</v>
      </c>
      <c r="P50" s="1">
        <f t="shared" si="21"/>
        <v>117.10139999999998</v>
      </c>
      <c r="Q50" s="5">
        <f t="shared" si="19"/>
        <v>254.32034199999964</v>
      </c>
      <c r="R50" s="5">
        <f t="shared" si="14"/>
        <v>254.32034199999964</v>
      </c>
      <c r="S50" s="5">
        <f t="shared" si="9"/>
        <v>154.32034199999964</v>
      </c>
      <c r="T50" s="5">
        <v>100</v>
      </c>
      <c r="U50" s="5"/>
      <c r="V50" s="1">
        <f t="shared" si="22"/>
        <v>11.000000000000004</v>
      </c>
      <c r="W50" s="1">
        <f t="shared" si="23"/>
        <v>8.8282040863730114</v>
      </c>
      <c r="X50" s="1">
        <v>120.026</v>
      </c>
      <c r="Y50" s="1">
        <v>114.6662</v>
      </c>
      <c r="Z50" s="1">
        <v>108.624</v>
      </c>
      <c r="AA50" s="1">
        <v>114.25920000000001</v>
      </c>
      <c r="AB50" s="1">
        <v>125.9438</v>
      </c>
      <c r="AC50" s="1">
        <v>125.8948</v>
      </c>
      <c r="AD50" s="1">
        <v>120.74460000000001</v>
      </c>
      <c r="AE50" s="1">
        <v>111.24639999999999</v>
      </c>
      <c r="AF50" s="1">
        <v>115.67</v>
      </c>
      <c r="AG50" s="1">
        <v>116.90860000000001</v>
      </c>
      <c r="AH50" s="1"/>
      <c r="AI50" s="1">
        <f t="shared" si="10"/>
        <v>154</v>
      </c>
      <c r="AJ50" s="1">
        <f t="shared" si="11"/>
        <v>100</v>
      </c>
      <c r="AK50" s="1">
        <f t="shared" si="12"/>
        <v>0</v>
      </c>
      <c r="AL50" s="1">
        <f t="shared" si="13"/>
        <v>117.10139999999998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129</v>
      </c>
      <c r="B51" s="1" t="s">
        <v>35</v>
      </c>
      <c r="C51" s="1">
        <v>1.5149999999999999</v>
      </c>
      <c r="D51" s="1">
        <v>78.680000000000007</v>
      </c>
      <c r="E51" s="1">
        <v>20.193000000000001</v>
      </c>
      <c r="F51" s="1">
        <v>58.284999999999997</v>
      </c>
      <c r="G51" s="6">
        <v>1</v>
      </c>
      <c r="H51" s="1">
        <v>45</v>
      </c>
      <c r="I51" s="1" t="s">
        <v>130</v>
      </c>
      <c r="J51" s="1"/>
      <c r="K51" s="1">
        <v>21.1</v>
      </c>
      <c r="L51" s="1">
        <f t="shared" si="20"/>
        <v>-0.90700000000000003</v>
      </c>
      <c r="M51" s="1"/>
      <c r="N51" s="1"/>
      <c r="O51" s="1">
        <v>39.649800000000013</v>
      </c>
      <c r="P51" s="1">
        <f t="shared" si="21"/>
        <v>4.0386000000000006</v>
      </c>
      <c r="Q51" s="5"/>
      <c r="R51" s="5">
        <f t="shared" si="14"/>
        <v>0</v>
      </c>
      <c r="S51" s="5">
        <f t="shared" si="9"/>
        <v>0</v>
      </c>
      <c r="T51" s="5"/>
      <c r="U51" s="5"/>
      <c r="V51" s="1">
        <f t="shared" si="22"/>
        <v>24.249690486802354</v>
      </c>
      <c r="W51" s="1">
        <f t="shared" si="23"/>
        <v>24.249690486802354</v>
      </c>
      <c r="X51" s="1">
        <v>8.4756</v>
      </c>
      <c r="Y51" s="1">
        <v>8.1896000000000004</v>
      </c>
      <c r="Z51" s="1">
        <v>1.7692000000000001</v>
      </c>
      <c r="AA51" s="1">
        <v>4.5528000000000004</v>
      </c>
      <c r="AB51" s="1">
        <v>10.3088</v>
      </c>
      <c r="AC51" s="1">
        <v>9.6738</v>
      </c>
      <c r="AD51" s="1">
        <v>5.3747999999999996</v>
      </c>
      <c r="AE51" s="1">
        <v>3.0819999999999999</v>
      </c>
      <c r="AF51" s="1">
        <v>8.1113999999999997</v>
      </c>
      <c r="AG51" s="1">
        <v>4.7472000000000003</v>
      </c>
      <c r="AH51" s="1"/>
      <c r="AI51" s="1">
        <f t="shared" si="10"/>
        <v>0</v>
      </c>
      <c r="AJ51" s="1">
        <f t="shared" si="11"/>
        <v>0</v>
      </c>
      <c r="AK51" s="1">
        <f t="shared" si="12"/>
        <v>0</v>
      </c>
      <c r="AL51" s="1">
        <f t="shared" si="13"/>
        <v>4.0386000000000006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131</v>
      </c>
      <c r="B52" s="1" t="s">
        <v>42</v>
      </c>
      <c r="C52" s="1">
        <v>148</v>
      </c>
      <c r="D52" s="1">
        <v>620</v>
      </c>
      <c r="E52" s="1">
        <v>340</v>
      </c>
      <c r="F52" s="1">
        <v>394</v>
      </c>
      <c r="G52" s="6">
        <v>0.45</v>
      </c>
      <c r="H52" s="1">
        <v>50</v>
      </c>
      <c r="I52" s="1" t="s">
        <v>132</v>
      </c>
      <c r="J52" s="1"/>
      <c r="K52" s="1">
        <v>338</v>
      </c>
      <c r="L52" s="1">
        <f t="shared" si="20"/>
        <v>2</v>
      </c>
      <c r="M52" s="1"/>
      <c r="N52" s="1"/>
      <c r="O52" s="1">
        <v>109.7060000000001</v>
      </c>
      <c r="P52" s="1">
        <f t="shared" si="21"/>
        <v>68</v>
      </c>
      <c r="Q52" s="5">
        <f t="shared" si="19"/>
        <v>244.29399999999987</v>
      </c>
      <c r="R52" s="5">
        <f t="shared" si="14"/>
        <v>244.29399999999987</v>
      </c>
      <c r="S52" s="5">
        <f t="shared" si="9"/>
        <v>144.29399999999987</v>
      </c>
      <c r="T52" s="5">
        <v>100</v>
      </c>
      <c r="U52" s="5"/>
      <c r="V52" s="1">
        <f t="shared" si="22"/>
        <v>11</v>
      </c>
      <c r="W52" s="1">
        <f t="shared" si="23"/>
        <v>7.4074411764705905</v>
      </c>
      <c r="X52" s="1">
        <v>62</v>
      </c>
      <c r="Y52" s="1">
        <v>67.599999999999994</v>
      </c>
      <c r="Z52" s="1">
        <v>61.8</v>
      </c>
      <c r="AA52" s="1">
        <v>46</v>
      </c>
      <c r="AB52" s="1">
        <v>54.8</v>
      </c>
      <c r="AC52" s="1">
        <v>66.400000000000006</v>
      </c>
      <c r="AD52" s="1">
        <v>62.4</v>
      </c>
      <c r="AE52" s="1">
        <v>53.8</v>
      </c>
      <c r="AF52" s="1">
        <v>60.6</v>
      </c>
      <c r="AG52" s="1">
        <v>76</v>
      </c>
      <c r="AH52" s="1"/>
      <c r="AI52" s="1">
        <f t="shared" si="10"/>
        <v>65</v>
      </c>
      <c r="AJ52" s="1">
        <f t="shared" si="11"/>
        <v>45</v>
      </c>
      <c r="AK52" s="1">
        <f t="shared" si="12"/>
        <v>0</v>
      </c>
      <c r="AL52" s="1">
        <f t="shared" si="13"/>
        <v>30.6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133</v>
      </c>
      <c r="B53" s="1" t="s">
        <v>42</v>
      </c>
      <c r="C53" s="1">
        <v>655</v>
      </c>
      <c r="D53" s="1">
        <v>510</v>
      </c>
      <c r="E53" s="1">
        <v>545</v>
      </c>
      <c r="F53" s="1">
        <v>584</v>
      </c>
      <c r="G53" s="6">
        <v>0.45</v>
      </c>
      <c r="H53" s="1">
        <v>50</v>
      </c>
      <c r="I53" s="1" t="s">
        <v>134</v>
      </c>
      <c r="J53" s="1"/>
      <c r="K53" s="1">
        <v>568</v>
      </c>
      <c r="L53" s="1">
        <f t="shared" si="20"/>
        <v>-23</v>
      </c>
      <c r="M53" s="1"/>
      <c r="N53" s="1"/>
      <c r="O53" s="1">
        <v>399.2</v>
      </c>
      <c r="P53" s="1">
        <f t="shared" si="21"/>
        <v>109</v>
      </c>
      <c r="Q53" s="5">
        <f t="shared" si="19"/>
        <v>215.79999999999995</v>
      </c>
      <c r="R53" s="5">
        <f t="shared" si="14"/>
        <v>215.79999999999995</v>
      </c>
      <c r="S53" s="5">
        <f t="shared" si="9"/>
        <v>115.79999999999995</v>
      </c>
      <c r="T53" s="5">
        <v>100</v>
      </c>
      <c r="U53" s="5"/>
      <c r="V53" s="1">
        <f t="shared" si="22"/>
        <v>11</v>
      </c>
      <c r="W53" s="1">
        <f t="shared" si="23"/>
        <v>9.0201834862385333</v>
      </c>
      <c r="X53" s="1">
        <v>109</v>
      </c>
      <c r="Y53" s="1">
        <v>103.8</v>
      </c>
      <c r="Z53" s="1">
        <v>93</v>
      </c>
      <c r="AA53" s="1">
        <v>100</v>
      </c>
      <c r="AB53" s="1">
        <v>100.8</v>
      </c>
      <c r="AC53" s="1">
        <v>89</v>
      </c>
      <c r="AD53" s="1">
        <v>96.8</v>
      </c>
      <c r="AE53" s="1">
        <v>83.8</v>
      </c>
      <c r="AF53" s="1">
        <v>86</v>
      </c>
      <c r="AG53" s="1">
        <v>94.2</v>
      </c>
      <c r="AH53" s="1"/>
      <c r="AI53" s="1">
        <f t="shared" si="10"/>
        <v>52</v>
      </c>
      <c r="AJ53" s="1">
        <f t="shared" si="11"/>
        <v>45</v>
      </c>
      <c r="AK53" s="1">
        <f t="shared" si="12"/>
        <v>0</v>
      </c>
      <c r="AL53" s="1">
        <f t="shared" si="13"/>
        <v>49.050000000000004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135</v>
      </c>
      <c r="B54" s="1" t="s">
        <v>42</v>
      </c>
      <c r="C54" s="1">
        <v>229</v>
      </c>
      <c r="D54" s="1">
        <v>150</v>
      </c>
      <c r="E54" s="1">
        <v>138</v>
      </c>
      <c r="F54" s="1">
        <v>235</v>
      </c>
      <c r="G54" s="6">
        <v>0.4</v>
      </c>
      <c r="H54" s="1">
        <v>40</v>
      </c>
      <c r="I54" s="1" t="s">
        <v>136</v>
      </c>
      <c r="J54" s="1"/>
      <c r="K54" s="1">
        <v>143</v>
      </c>
      <c r="L54" s="1">
        <f t="shared" si="20"/>
        <v>-5</v>
      </c>
      <c r="M54" s="1"/>
      <c r="N54" s="1"/>
      <c r="O54" s="1"/>
      <c r="P54" s="1">
        <f t="shared" si="21"/>
        <v>27.6</v>
      </c>
      <c r="Q54" s="5">
        <f t="shared" si="19"/>
        <v>68.600000000000023</v>
      </c>
      <c r="R54" s="5">
        <f t="shared" si="14"/>
        <v>68.600000000000023</v>
      </c>
      <c r="S54" s="5">
        <f t="shared" si="9"/>
        <v>68.600000000000023</v>
      </c>
      <c r="T54" s="5"/>
      <c r="U54" s="5"/>
      <c r="V54" s="1">
        <f t="shared" si="22"/>
        <v>11</v>
      </c>
      <c r="W54" s="1">
        <f t="shared" si="23"/>
        <v>8.5144927536231876</v>
      </c>
      <c r="X54" s="1">
        <v>19.600000000000001</v>
      </c>
      <c r="Y54" s="1">
        <v>18.600000000000001</v>
      </c>
      <c r="Z54" s="1">
        <v>31.4</v>
      </c>
      <c r="AA54" s="1">
        <v>27.6</v>
      </c>
      <c r="AB54" s="1">
        <v>19.2</v>
      </c>
      <c r="AC54" s="1">
        <v>22</v>
      </c>
      <c r="AD54" s="1">
        <v>27.6</v>
      </c>
      <c r="AE54" s="1">
        <v>20.6</v>
      </c>
      <c r="AF54" s="1">
        <v>31.2</v>
      </c>
      <c r="AG54" s="1">
        <v>22</v>
      </c>
      <c r="AH54" s="1"/>
      <c r="AI54" s="1">
        <f t="shared" si="10"/>
        <v>27</v>
      </c>
      <c r="AJ54" s="1">
        <f t="shared" si="11"/>
        <v>0</v>
      </c>
      <c r="AK54" s="1">
        <f t="shared" si="12"/>
        <v>0</v>
      </c>
      <c r="AL54" s="1">
        <f t="shared" si="13"/>
        <v>11.040000000000001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137</v>
      </c>
      <c r="B55" s="1" t="s">
        <v>42</v>
      </c>
      <c r="C55" s="1">
        <v>58</v>
      </c>
      <c r="D55" s="1">
        <v>36</v>
      </c>
      <c r="E55" s="1">
        <v>56</v>
      </c>
      <c r="F55" s="1">
        <v>32</v>
      </c>
      <c r="G55" s="6">
        <v>0.4</v>
      </c>
      <c r="H55" s="1">
        <v>40</v>
      </c>
      <c r="I55" s="1" t="s">
        <v>138</v>
      </c>
      <c r="J55" s="1"/>
      <c r="K55" s="1">
        <v>62</v>
      </c>
      <c r="L55" s="1">
        <f t="shared" si="20"/>
        <v>-6</v>
      </c>
      <c r="M55" s="1"/>
      <c r="N55" s="1"/>
      <c r="O55" s="1">
        <v>90.800000000000026</v>
      </c>
      <c r="P55" s="1">
        <f t="shared" si="21"/>
        <v>11.2</v>
      </c>
      <c r="Q55" s="5"/>
      <c r="R55" s="5">
        <f t="shared" si="14"/>
        <v>0</v>
      </c>
      <c r="S55" s="5">
        <f t="shared" si="9"/>
        <v>0</v>
      </c>
      <c r="T55" s="5"/>
      <c r="U55" s="5"/>
      <c r="V55" s="1">
        <f t="shared" si="22"/>
        <v>10.964285714285717</v>
      </c>
      <c r="W55" s="1">
        <f t="shared" si="23"/>
        <v>10.964285714285717</v>
      </c>
      <c r="X55" s="1">
        <v>12.4</v>
      </c>
      <c r="Y55" s="1">
        <v>14.4</v>
      </c>
      <c r="Z55" s="1">
        <v>12.8</v>
      </c>
      <c r="AA55" s="1">
        <v>10</v>
      </c>
      <c r="AB55" s="1">
        <v>8.8000000000000007</v>
      </c>
      <c r="AC55" s="1">
        <v>7.8</v>
      </c>
      <c r="AD55" s="1">
        <v>12.4</v>
      </c>
      <c r="AE55" s="1">
        <v>10.6</v>
      </c>
      <c r="AF55" s="1">
        <v>10.8</v>
      </c>
      <c r="AG55" s="1">
        <v>8.6</v>
      </c>
      <c r="AH55" s="1"/>
      <c r="AI55" s="1">
        <f t="shared" si="10"/>
        <v>0</v>
      </c>
      <c r="AJ55" s="1">
        <f t="shared" si="11"/>
        <v>0</v>
      </c>
      <c r="AK55" s="1">
        <f t="shared" si="12"/>
        <v>0</v>
      </c>
      <c r="AL55" s="1">
        <f t="shared" si="13"/>
        <v>4.4799999999999995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139</v>
      </c>
      <c r="B56" s="1" t="s">
        <v>35</v>
      </c>
      <c r="C56" s="1">
        <v>972.91399999999999</v>
      </c>
      <c r="D56" s="1">
        <v>573.22500000000002</v>
      </c>
      <c r="E56" s="1">
        <v>710.35699999999997</v>
      </c>
      <c r="F56" s="1">
        <v>780.58799999999997</v>
      </c>
      <c r="G56" s="6">
        <v>1</v>
      </c>
      <c r="H56" s="1">
        <v>50</v>
      </c>
      <c r="I56" s="1" t="s">
        <v>140</v>
      </c>
      <c r="J56" s="1"/>
      <c r="K56" s="1">
        <v>711.41</v>
      </c>
      <c r="L56" s="1">
        <f t="shared" si="20"/>
        <v>-1.0529999999999973</v>
      </c>
      <c r="M56" s="1"/>
      <c r="N56" s="1"/>
      <c r="O56" s="1">
        <v>418.70994000000059</v>
      </c>
      <c r="P56" s="1">
        <f t="shared" si="21"/>
        <v>142.07139999999998</v>
      </c>
      <c r="Q56" s="5">
        <f t="shared" si="19"/>
        <v>363.48745999999915</v>
      </c>
      <c r="R56" s="5">
        <f t="shared" si="14"/>
        <v>363.48745999999915</v>
      </c>
      <c r="S56" s="5">
        <f t="shared" si="9"/>
        <v>213.48745999999915</v>
      </c>
      <c r="T56" s="5">
        <v>150</v>
      </c>
      <c r="U56" s="5"/>
      <c r="V56" s="1">
        <f t="shared" si="22"/>
        <v>11</v>
      </c>
      <c r="W56" s="1">
        <f t="shared" si="23"/>
        <v>8.4415156041258186</v>
      </c>
      <c r="X56" s="1">
        <v>139.2654</v>
      </c>
      <c r="Y56" s="1">
        <v>135.7242</v>
      </c>
      <c r="Z56" s="1">
        <v>150.4196</v>
      </c>
      <c r="AA56" s="1">
        <v>157.773</v>
      </c>
      <c r="AB56" s="1">
        <v>158.69540000000001</v>
      </c>
      <c r="AC56" s="1">
        <v>162.9692</v>
      </c>
      <c r="AD56" s="1">
        <v>150.57419999999999</v>
      </c>
      <c r="AE56" s="1">
        <v>145.5796</v>
      </c>
      <c r="AF56" s="1">
        <v>128.56299999999999</v>
      </c>
      <c r="AG56" s="1">
        <v>143.541</v>
      </c>
      <c r="AH56" s="1"/>
      <c r="AI56" s="1">
        <f t="shared" si="10"/>
        <v>213</v>
      </c>
      <c r="AJ56" s="1">
        <f t="shared" si="11"/>
        <v>150</v>
      </c>
      <c r="AK56" s="1">
        <f t="shared" si="12"/>
        <v>0</v>
      </c>
      <c r="AL56" s="1">
        <f t="shared" si="13"/>
        <v>142.07139999999998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141</v>
      </c>
      <c r="B57" s="1" t="s">
        <v>42</v>
      </c>
      <c r="C57" s="1">
        <v>1020</v>
      </c>
      <c r="D57" s="1"/>
      <c r="E57" s="1">
        <v>162</v>
      </c>
      <c r="F57" s="1">
        <v>838</v>
      </c>
      <c r="G57" s="6">
        <v>0.1</v>
      </c>
      <c r="H57" s="1">
        <v>731</v>
      </c>
      <c r="I57" s="1" t="s">
        <v>142</v>
      </c>
      <c r="J57" s="1"/>
      <c r="K57" s="1">
        <v>162</v>
      </c>
      <c r="L57" s="1">
        <f t="shared" si="20"/>
        <v>0</v>
      </c>
      <c r="M57" s="1"/>
      <c r="N57" s="1"/>
      <c r="O57" s="1"/>
      <c r="P57" s="1">
        <f t="shared" si="21"/>
        <v>32.4</v>
      </c>
      <c r="Q57" s="5"/>
      <c r="R57" s="5">
        <f t="shared" si="14"/>
        <v>0</v>
      </c>
      <c r="S57" s="5">
        <f t="shared" si="9"/>
        <v>0</v>
      </c>
      <c r="T57" s="5"/>
      <c r="U57" s="5"/>
      <c r="V57" s="1">
        <f t="shared" si="22"/>
        <v>25.8641975308642</v>
      </c>
      <c r="W57" s="1">
        <f t="shared" si="23"/>
        <v>25.8641975308642</v>
      </c>
      <c r="X57" s="1">
        <v>36.4</v>
      </c>
      <c r="Y57" s="1">
        <v>33.4</v>
      </c>
      <c r="Z57" s="1">
        <v>29</v>
      </c>
      <c r="AA57" s="1">
        <v>31.2</v>
      </c>
      <c r="AB57" s="1">
        <v>33.799999999999997</v>
      </c>
      <c r="AC57" s="1">
        <v>31</v>
      </c>
      <c r="AD57" s="1">
        <v>35.6</v>
      </c>
      <c r="AE57" s="1">
        <v>31.6</v>
      </c>
      <c r="AF57" s="1">
        <v>34</v>
      </c>
      <c r="AG57" s="1">
        <v>29.6</v>
      </c>
      <c r="AH57" s="14" t="s">
        <v>48</v>
      </c>
      <c r="AI57" s="1">
        <f t="shared" si="10"/>
        <v>0</v>
      </c>
      <c r="AJ57" s="1">
        <f t="shared" si="11"/>
        <v>0</v>
      </c>
      <c r="AK57" s="1">
        <f t="shared" si="12"/>
        <v>0</v>
      </c>
      <c r="AL57" s="1">
        <f t="shared" si="13"/>
        <v>3.24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143</v>
      </c>
      <c r="B58" s="1" t="s">
        <v>35</v>
      </c>
      <c r="C58" s="1">
        <v>507.72500000000002</v>
      </c>
      <c r="D58" s="1">
        <v>1517.1289999999999</v>
      </c>
      <c r="E58" s="1">
        <v>909.40099999999995</v>
      </c>
      <c r="F58" s="1">
        <v>1080.98</v>
      </c>
      <c r="G58" s="6">
        <v>1</v>
      </c>
      <c r="H58" s="1">
        <v>50</v>
      </c>
      <c r="I58" s="1" t="s">
        <v>144</v>
      </c>
      <c r="J58" s="1"/>
      <c r="K58" s="1">
        <v>884.75</v>
      </c>
      <c r="L58" s="1">
        <f t="shared" si="20"/>
        <v>24.650999999999954</v>
      </c>
      <c r="M58" s="1"/>
      <c r="N58" s="1"/>
      <c r="O58" s="1">
        <v>528.82902199999944</v>
      </c>
      <c r="P58" s="1">
        <f t="shared" si="21"/>
        <v>181.8802</v>
      </c>
      <c r="Q58" s="5">
        <f t="shared" si="19"/>
        <v>390.87317800000051</v>
      </c>
      <c r="R58" s="5">
        <f t="shared" si="14"/>
        <v>390.87317800000051</v>
      </c>
      <c r="S58" s="5">
        <f t="shared" si="9"/>
        <v>190.87317800000051</v>
      </c>
      <c r="T58" s="5">
        <v>200</v>
      </c>
      <c r="U58" s="5"/>
      <c r="V58" s="1">
        <f t="shared" si="22"/>
        <v>11</v>
      </c>
      <c r="W58" s="1">
        <f t="shared" si="23"/>
        <v>8.8509305685830526</v>
      </c>
      <c r="X58" s="1">
        <v>201.43039999999999</v>
      </c>
      <c r="Y58" s="1">
        <v>197.81720000000001</v>
      </c>
      <c r="Z58" s="1">
        <v>133.85419999999999</v>
      </c>
      <c r="AA58" s="1">
        <v>120.19540000000001</v>
      </c>
      <c r="AB58" s="1">
        <v>164.78899999999999</v>
      </c>
      <c r="AC58" s="1">
        <v>169.20179999999999</v>
      </c>
      <c r="AD58" s="1">
        <v>170.42339999999999</v>
      </c>
      <c r="AE58" s="1">
        <v>132.49619999999999</v>
      </c>
      <c r="AF58" s="1">
        <v>135.11699999999999</v>
      </c>
      <c r="AG58" s="1">
        <v>134.7492</v>
      </c>
      <c r="AH58" s="1"/>
      <c r="AI58" s="1">
        <f t="shared" si="10"/>
        <v>191</v>
      </c>
      <c r="AJ58" s="1">
        <f t="shared" si="11"/>
        <v>200</v>
      </c>
      <c r="AK58" s="1">
        <f t="shared" si="12"/>
        <v>0</v>
      </c>
      <c r="AL58" s="1">
        <f t="shared" si="13"/>
        <v>181.8802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145</v>
      </c>
      <c r="B59" s="1" t="s">
        <v>35</v>
      </c>
      <c r="C59" s="1">
        <v>131.239</v>
      </c>
      <c r="D59" s="1">
        <v>113.86799999999999</v>
      </c>
      <c r="E59" s="1">
        <v>99.418000000000006</v>
      </c>
      <c r="F59" s="1">
        <v>138.33799999999999</v>
      </c>
      <c r="G59" s="6">
        <v>1</v>
      </c>
      <c r="H59" s="1">
        <v>55</v>
      </c>
      <c r="I59" s="1" t="s">
        <v>146</v>
      </c>
      <c r="J59" s="1"/>
      <c r="K59" s="1">
        <v>96.4</v>
      </c>
      <c r="L59" s="1">
        <f t="shared" si="20"/>
        <v>3.0180000000000007</v>
      </c>
      <c r="M59" s="1"/>
      <c r="N59" s="1"/>
      <c r="O59" s="1">
        <v>55.562044000000043</v>
      </c>
      <c r="P59" s="1">
        <f t="shared" si="21"/>
        <v>19.883600000000001</v>
      </c>
      <c r="Q59" s="5">
        <f t="shared" si="19"/>
        <v>24.819555999999977</v>
      </c>
      <c r="R59" s="5">
        <f t="shared" si="14"/>
        <v>24.819555999999977</v>
      </c>
      <c r="S59" s="5">
        <f t="shared" si="9"/>
        <v>24.819555999999977</v>
      </c>
      <c r="T59" s="5"/>
      <c r="U59" s="5"/>
      <c r="V59" s="1">
        <f t="shared" si="22"/>
        <v>11</v>
      </c>
      <c r="W59" s="1">
        <f t="shared" si="23"/>
        <v>9.7517574282323132</v>
      </c>
      <c r="X59" s="1">
        <v>22.8446</v>
      </c>
      <c r="Y59" s="1">
        <v>22.9194</v>
      </c>
      <c r="Z59" s="1">
        <v>20.6586</v>
      </c>
      <c r="AA59" s="1">
        <v>19.6098</v>
      </c>
      <c r="AB59" s="1">
        <v>22.2102</v>
      </c>
      <c r="AC59" s="1">
        <v>19.939399999999999</v>
      </c>
      <c r="AD59" s="1">
        <v>13.745200000000001</v>
      </c>
      <c r="AE59" s="1">
        <v>23.980599999999999</v>
      </c>
      <c r="AF59" s="1">
        <v>17.0306</v>
      </c>
      <c r="AG59" s="1">
        <v>20.233799999999999</v>
      </c>
      <c r="AH59" s="1"/>
      <c r="AI59" s="1">
        <f t="shared" si="10"/>
        <v>25</v>
      </c>
      <c r="AJ59" s="1">
        <f t="shared" si="11"/>
        <v>0</v>
      </c>
      <c r="AK59" s="1">
        <f t="shared" si="12"/>
        <v>0</v>
      </c>
      <c r="AL59" s="1">
        <f t="shared" si="13"/>
        <v>19.883600000000001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147</v>
      </c>
      <c r="B60" s="1" t="s">
        <v>42</v>
      </c>
      <c r="C60" s="1">
        <v>633</v>
      </c>
      <c r="D60" s="1"/>
      <c r="E60" s="1">
        <v>132</v>
      </c>
      <c r="F60" s="1">
        <v>487</v>
      </c>
      <c r="G60" s="6">
        <v>0.1</v>
      </c>
      <c r="H60" s="1">
        <v>731</v>
      </c>
      <c r="I60" s="1" t="s">
        <v>148</v>
      </c>
      <c r="J60" s="1"/>
      <c r="K60" s="1">
        <v>132</v>
      </c>
      <c r="L60" s="1">
        <f t="shared" si="20"/>
        <v>0</v>
      </c>
      <c r="M60" s="1"/>
      <c r="N60" s="1"/>
      <c r="O60" s="1"/>
      <c r="P60" s="1">
        <f t="shared" si="21"/>
        <v>26.4</v>
      </c>
      <c r="Q60" s="5"/>
      <c r="R60" s="5">
        <f t="shared" si="14"/>
        <v>0</v>
      </c>
      <c r="S60" s="5">
        <f t="shared" si="9"/>
        <v>0</v>
      </c>
      <c r="T60" s="5"/>
      <c r="U60" s="5"/>
      <c r="V60" s="1">
        <f t="shared" si="22"/>
        <v>18.446969696969699</v>
      </c>
      <c r="W60" s="1">
        <f t="shared" si="23"/>
        <v>18.446969696969699</v>
      </c>
      <c r="X60" s="1">
        <v>35</v>
      </c>
      <c r="Y60" s="1">
        <v>34.4</v>
      </c>
      <c r="Z60" s="1">
        <v>28.6</v>
      </c>
      <c r="AA60" s="1">
        <v>33.6</v>
      </c>
      <c r="AB60" s="1">
        <v>33.6</v>
      </c>
      <c r="AC60" s="1">
        <v>24.6</v>
      </c>
      <c r="AD60" s="1">
        <v>28.8</v>
      </c>
      <c r="AE60" s="1">
        <v>29.8</v>
      </c>
      <c r="AF60" s="1">
        <v>29.8</v>
      </c>
      <c r="AG60" s="1">
        <v>27.2</v>
      </c>
      <c r="AH60" s="14" t="s">
        <v>48</v>
      </c>
      <c r="AI60" s="1">
        <f t="shared" si="10"/>
        <v>0</v>
      </c>
      <c r="AJ60" s="1">
        <f t="shared" si="11"/>
        <v>0</v>
      </c>
      <c r="AK60" s="1">
        <f t="shared" si="12"/>
        <v>0</v>
      </c>
      <c r="AL60" s="1">
        <f t="shared" si="13"/>
        <v>2.64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149</v>
      </c>
      <c r="B61" s="1" t="s">
        <v>42</v>
      </c>
      <c r="C61" s="1">
        <v>396</v>
      </c>
      <c r="D61" s="1">
        <v>110</v>
      </c>
      <c r="E61" s="1">
        <v>261</v>
      </c>
      <c r="F61" s="1">
        <v>241</v>
      </c>
      <c r="G61" s="6">
        <v>0.4</v>
      </c>
      <c r="H61" s="1">
        <v>50</v>
      </c>
      <c r="I61" s="1" t="s">
        <v>150</v>
      </c>
      <c r="J61" s="1"/>
      <c r="K61" s="1">
        <v>264</v>
      </c>
      <c r="L61" s="1">
        <f t="shared" si="20"/>
        <v>-3</v>
      </c>
      <c r="M61" s="1"/>
      <c r="N61" s="1"/>
      <c r="O61" s="1">
        <v>190.542</v>
      </c>
      <c r="P61" s="1">
        <f t="shared" si="21"/>
        <v>52.2</v>
      </c>
      <c r="Q61" s="5">
        <f t="shared" si="19"/>
        <v>142.65800000000002</v>
      </c>
      <c r="R61" s="5">
        <f t="shared" si="14"/>
        <v>142.65800000000002</v>
      </c>
      <c r="S61" s="5">
        <f t="shared" si="9"/>
        <v>142.65800000000002</v>
      </c>
      <c r="T61" s="5"/>
      <c r="U61" s="5"/>
      <c r="V61" s="1">
        <f t="shared" si="22"/>
        <v>11</v>
      </c>
      <c r="W61" s="1">
        <f t="shared" si="23"/>
        <v>8.2670881226053634</v>
      </c>
      <c r="X61" s="1">
        <v>44.4</v>
      </c>
      <c r="Y61" s="1">
        <v>44</v>
      </c>
      <c r="Z61" s="1">
        <v>44</v>
      </c>
      <c r="AA61" s="1">
        <v>47</v>
      </c>
      <c r="AB61" s="1">
        <v>54.8</v>
      </c>
      <c r="AC61" s="1">
        <v>46.8</v>
      </c>
      <c r="AD61" s="1">
        <v>39.6</v>
      </c>
      <c r="AE61" s="1">
        <v>51</v>
      </c>
      <c r="AF61" s="1">
        <v>57</v>
      </c>
      <c r="AG61" s="1">
        <v>54.8</v>
      </c>
      <c r="AH61" s="1"/>
      <c r="AI61" s="1">
        <f t="shared" si="10"/>
        <v>57</v>
      </c>
      <c r="AJ61" s="1">
        <f t="shared" si="11"/>
        <v>0</v>
      </c>
      <c r="AK61" s="1">
        <f t="shared" si="12"/>
        <v>0</v>
      </c>
      <c r="AL61" s="1">
        <f t="shared" si="13"/>
        <v>20.880000000000003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151</v>
      </c>
      <c r="B62" s="1" t="s">
        <v>35</v>
      </c>
      <c r="C62" s="1">
        <v>50.454000000000001</v>
      </c>
      <c r="D62" s="1">
        <v>24.88</v>
      </c>
      <c r="E62" s="1">
        <v>49.518999999999998</v>
      </c>
      <c r="F62" s="1">
        <v>24.434000000000001</v>
      </c>
      <c r="G62" s="6">
        <v>1</v>
      </c>
      <c r="H62" s="1">
        <v>40</v>
      </c>
      <c r="I62" s="1" t="s">
        <v>152</v>
      </c>
      <c r="J62" s="1"/>
      <c r="K62" s="1">
        <v>49.1</v>
      </c>
      <c r="L62" s="1">
        <f t="shared" si="20"/>
        <v>0.41899999999999693</v>
      </c>
      <c r="M62" s="1"/>
      <c r="N62" s="1"/>
      <c r="O62" s="1">
        <v>60.987799999999993</v>
      </c>
      <c r="P62" s="1">
        <f t="shared" si="21"/>
        <v>9.9038000000000004</v>
      </c>
      <c r="Q62" s="5">
        <f t="shared" si="19"/>
        <v>23.520000000000007</v>
      </c>
      <c r="R62" s="5">
        <f t="shared" si="14"/>
        <v>23.520000000000007</v>
      </c>
      <c r="S62" s="5">
        <f t="shared" si="9"/>
        <v>23.520000000000007</v>
      </c>
      <c r="T62" s="5"/>
      <c r="U62" s="5"/>
      <c r="V62" s="1">
        <f t="shared" si="22"/>
        <v>11</v>
      </c>
      <c r="W62" s="1">
        <f t="shared" si="23"/>
        <v>8.6251539813001052</v>
      </c>
      <c r="X62" s="1">
        <v>9.5695999999999994</v>
      </c>
      <c r="Y62" s="1">
        <v>6.2734000000000014</v>
      </c>
      <c r="Z62" s="1">
        <v>4.3106</v>
      </c>
      <c r="AA62" s="1">
        <v>9.2512000000000008</v>
      </c>
      <c r="AB62" s="1">
        <v>10.3636</v>
      </c>
      <c r="AC62" s="1">
        <v>7.3794000000000004</v>
      </c>
      <c r="AD62" s="1">
        <v>6.3710000000000004</v>
      </c>
      <c r="AE62" s="1">
        <v>7.6786000000000003</v>
      </c>
      <c r="AF62" s="1">
        <v>9.9830000000000005</v>
      </c>
      <c r="AG62" s="1">
        <v>10.106199999999999</v>
      </c>
      <c r="AH62" s="1"/>
      <c r="AI62" s="1">
        <f t="shared" si="10"/>
        <v>24</v>
      </c>
      <c r="AJ62" s="1">
        <f t="shared" si="11"/>
        <v>0</v>
      </c>
      <c r="AK62" s="1">
        <f t="shared" si="12"/>
        <v>0</v>
      </c>
      <c r="AL62" s="1">
        <f t="shared" si="13"/>
        <v>9.9038000000000004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153</v>
      </c>
      <c r="B63" s="1" t="s">
        <v>35</v>
      </c>
      <c r="C63" s="1">
        <v>29</v>
      </c>
      <c r="D63" s="1"/>
      <c r="E63" s="1"/>
      <c r="F63" s="1">
        <v>27.645</v>
      </c>
      <c r="G63" s="6">
        <v>1</v>
      </c>
      <c r="H63" s="1">
        <v>40</v>
      </c>
      <c r="I63" s="1" t="s">
        <v>154</v>
      </c>
      <c r="J63" s="1"/>
      <c r="K63" s="1">
        <v>20.9</v>
      </c>
      <c r="L63" s="1">
        <f t="shared" si="20"/>
        <v>-20.9</v>
      </c>
      <c r="M63" s="1"/>
      <c r="N63" s="1"/>
      <c r="O63" s="1"/>
      <c r="P63" s="1">
        <f t="shared" si="21"/>
        <v>0</v>
      </c>
      <c r="Q63" s="5"/>
      <c r="R63" s="5">
        <f t="shared" si="14"/>
        <v>0</v>
      </c>
      <c r="S63" s="5">
        <f t="shared" si="9"/>
        <v>0</v>
      </c>
      <c r="T63" s="5"/>
      <c r="U63" s="5"/>
      <c r="V63" s="1" t="e">
        <f t="shared" si="22"/>
        <v>#DIV/0!</v>
      </c>
      <c r="W63" s="1" t="e">
        <f t="shared" si="23"/>
        <v>#DIV/0!</v>
      </c>
      <c r="X63" s="1">
        <v>0.27100000000000002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1.6514</v>
      </c>
      <c r="AE63" s="1">
        <v>0</v>
      </c>
      <c r="AF63" s="1">
        <v>-4.4400000000000002E-2</v>
      </c>
      <c r="AG63" s="1">
        <v>0.80199999999999994</v>
      </c>
      <c r="AH63" s="14" t="s">
        <v>48</v>
      </c>
      <c r="AI63" s="1">
        <f t="shared" si="10"/>
        <v>0</v>
      </c>
      <c r="AJ63" s="1">
        <f t="shared" si="11"/>
        <v>0</v>
      </c>
      <c r="AK63" s="1">
        <f t="shared" si="12"/>
        <v>0</v>
      </c>
      <c r="AL63" s="1">
        <f t="shared" si="13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155</v>
      </c>
      <c r="B64" s="1" t="s">
        <v>42</v>
      </c>
      <c r="C64" s="1">
        <v>583</v>
      </c>
      <c r="D64" s="1">
        <v>1218</v>
      </c>
      <c r="E64" s="1">
        <v>824</v>
      </c>
      <c r="F64" s="1">
        <v>937</v>
      </c>
      <c r="G64" s="6">
        <v>0.4</v>
      </c>
      <c r="H64" s="1">
        <v>40</v>
      </c>
      <c r="I64" s="1" t="s">
        <v>156</v>
      </c>
      <c r="J64" s="1"/>
      <c r="K64" s="1">
        <v>842</v>
      </c>
      <c r="L64" s="1">
        <f t="shared" si="20"/>
        <v>-18</v>
      </c>
      <c r="M64" s="1"/>
      <c r="N64" s="1"/>
      <c r="O64" s="1">
        <v>612.88400000000047</v>
      </c>
      <c r="P64" s="1">
        <f t="shared" si="21"/>
        <v>164.8</v>
      </c>
      <c r="Q64" s="5">
        <f t="shared" si="19"/>
        <v>262.91599999999971</v>
      </c>
      <c r="R64" s="5">
        <f t="shared" si="14"/>
        <v>262.91599999999971</v>
      </c>
      <c r="S64" s="5">
        <f t="shared" si="9"/>
        <v>162.91599999999971</v>
      </c>
      <c r="T64" s="5">
        <v>100</v>
      </c>
      <c r="U64" s="5"/>
      <c r="V64" s="1">
        <f t="shared" si="22"/>
        <v>11</v>
      </c>
      <c r="W64" s="1">
        <f t="shared" si="23"/>
        <v>9.4046359223300993</v>
      </c>
      <c r="X64" s="1">
        <v>173.8</v>
      </c>
      <c r="Y64" s="1">
        <v>160</v>
      </c>
      <c r="Z64" s="1">
        <v>166</v>
      </c>
      <c r="AA64" s="1">
        <v>117.8</v>
      </c>
      <c r="AB64" s="1">
        <v>1.8</v>
      </c>
      <c r="AC64" s="1">
        <v>59.2</v>
      </c>
      <c r="AD64" s="1">
        <v>173.6</v>
      </c>
      <c r="AE64" s="1">
        <v>160.4</v>
      </c>
      <c r="AF64" s="1">
        <v>155.80000000000001</v>
      </c>
      <c r="AG64" s="1">
        <v>160.80000000000001</v>
      </c>
      <c r="AH64" s="1"/>
      <c r="AI64" s="1">
        <f t="shared" si="10"/>
        <v>65</v>
      </c>
      <c r="AJ64" s="1">
        <f t="shared" si="11"/>
        <v>40</v>
      </c>
      <c r="AK64" s="1">
        <f t="shared" si="12"/>
        <v>0</v>
      </c>
      <c r="AL64" s="1">
        <f t="shared" si="13"/>
        <v>65.92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157</v>
      </c>
      <c r="B65" s="1" t="s">
        <v>42</v>
      </c>
      <c r="C65" s="1">
        <v>638</v>
      </c>
      <c r="D65" s="1">
        <v>684</v>
      </c>
      <c r="E65" s="1">
        <v>677</v>
      </c>
      <c r="F65" s="1">
        <v>618</v>
      </c>
      <c r="G65" s="6">
        <v>0.4</v>
      </c>
      <c r="H65" s="1">
        <v>40</v>
      </c>
      <c r="I65" s="1" t="s">
        <v>158</v>
      </c>
      <c r="J65" s="1"/>
      <c r="K65" s="1">
        <v>685</v>
      </c>
      <c r="L65" s="1">
        <f t="shared" si="20"/>
        <v>-8</v>
      </c>
      <c r="M65" s="1"/>
      <c r="N65" s="1"/>
      <c r="O65" s="1">
        <v>500.61200000000031</v>
      </c>
      <c r="P65" s="1">
        <f t="shared" si="21"/>
        <v>135.4</v>
      </c>
      <c r="Q65" s="5">
        <f t="shared" si="19"/>
        <v>370.78799999999978</v>
      </c>
      <c r="R65" s="5">
        <f t="shared" si="14"/>
        <v>370.78799999999978</v>
      </c>
      <c r="S65" s="5">
        <f t="shared" si="9"/>
        <v>220.78799999999978</v>
      </c>
      <c r="T65" s="5">
        <v>150</v>
      </c>
      <c r="U65" s="5"/>
      <c r="V65" s="1">
        <f t="shared" si="22"/>
        <v>11</v>
      </c>
      <c r="W65" s="1">
        <f t="shared" si="23"/>
        <v>8.2615361890694263</v>
      </c>
      <c r="X65" s="1">
        <v>128.80000000000001</v>
      </c>
      <c r="Y65" s="1">
        <v>117.6</v>
      </c>
      <c r="Z65" s="1">
        <v>112</v>
      </c>
      <c r="AA65" s="1">
        <v>118.8</v>
      </c>
      <c r="AB65" s="1">
        <v>136</v>
      </c>
      <c r="AC65" s="1">
        <v>111.2</v>
      </c>
      <c r="AD65" s="1">
        <v>98.8</v>
      </c>
      <c r="AE65" s="1">
        <v>106.6</v>
      </c>
      <c r="AF65" s="1">
        <v>101.8</v>
      </c>
      <c r="AG65" s="1">
        <v>102</v>
      </c>
      <c r="AH65" s="1"/>
      <c r="AI65" s="1">
        <f t="shared" si="10"/>
        <v>88</v>
      </c>
      <c r="AJ65" s="1">
        <f t="shared" si="11"/>
        <v>60</v>
      </c>
      <c r="AK65" s="1">
        <f t="shared" si="12"/>
        <v>0</v>
      </c>
      <c r="AL65" s="1">
        <f t="shared" si="13"/>
        <v>54.160000000000004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159</v>
      </c>
      <c r="B66" s="1" t="s">
        <v>35</v>
      </c>
      <c r="C66" s="1">
        <v>378.68099999999998</v>
      </c>
      <c r="D66" s="1">
        <v>247.642</v>
      </c>
      <c r="E66" s="1">
        <v>294.90899999999999</v>
      </c>
      <c r="F66" s="1">
        <v>317.77800000000002</v>
      </c>
      <c r="G66" s="6">
        <v>1</v>
      </c>
      <c r="H66" s="1">
        <v>40</v>
      </c>
      <c r="I66" s="1" t="s">
        <v>160</v>
      </c>
      <c r="J66" s="1"/>
      <c r="K66" s="1">
        <v>283.35000000000002</v>
      </c>
      <c r="L66" s="1">
        <f t="shared" si="20"/>
        <v>11.558999999999969</v>
      </c>
      <c r="M66" s="1"/>
      <c r="N66" s="1"/>
      <c r="O66" s="1">
        <v>123.73573399999989</v>
      </c>
      <c r="P66" s="1">
        <f t="shared" si="21"/>
        <v>58.9818</v>
      </c>
      <c r="Q66" s="5">
        <f t="shared" si="19"/>
        <v>207.28606600000012</v>
      </c>
      <c r="R66" s="5">
        <f t="shared" si="14"/>
        <v>207.28606600000012</v>
      </c>
      <c r="S66" s="5">
        <f t="shared" si="9"/>
        <v>107.28606600000012</v>
      </c>
      <c r="T66" s="5">
        <v>100</v>
      </c>
      <c r="U66" s="5"/>
      <c r="V66" s="1">
        <f t="shared" si="22"/>
        <v>11</v>
      </c>
      <c r="W66" s="1">
        <f t="shared" si="23"/>
        <v>7.4855927421679214</v>
      </c>
      <c r="X66" s="1">
        <v>54.386400000000002</v>
      </c>
      <c r="Y66" s="1">
        <v>55.517999999999986</v>
      </c>
      <c r="Z66" s="1">
        <v>56.362400000000001</v>
      </c>
      <c r="AA66" s="1">
        <v>55.415399999999998</v>
      </c>
      <c r="AB66" s="1">
        <v>51.524800000000013</v>
      </c>
      <c r="AC66" s="1">
        <v>54.320799999999998</v>
      </c>
      <c r="AD66" s="1">
        <v>57.605800000000002</v>
      </c>
      <c r="AE66" s="1">
        <v>53.382199999999997</v>
      </c>
      <c r="AF66" s="1">
        <v>54.1158</v>
      </c>
      <c r="AG66" s="1">
        <v>52.272000000000013</v>
      </c>
      <c r="AH66" s="1"/>
      <c r="AI66" s="1">
        <f t="shared" si="10"/>
        <v>107</v>
      </c>
      <c r="AJ66" s="1">
        <f t="shared" si="11"/>
        <v>100</v>
      </c>
      <c r="AK66" s="1">
        <f t="shared" si="12"/>
        <v>0</v>
      </c>
      <c r="AL66" s="1">
        <f t="shared" si="13"/>
        <v>58.9818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161</v>
      </c>
      <c r="B67" s="1" t="s">
        <v>35</v>
      </c>
      <c r="C67" s="1">
        <v>39.448</v>
      </c>
      <c r="D67" s="1">
        <v>797.11800000000005</v>
      </c>
      <c r="E67" s="1">
        <v>329.048</v>
      </c>
      <c r="F67" s="1">
        <v>479.70400000000001</v>
      </c>
      <c r="G67" s="6">
        <v>1</v>
      </c>
      <c r="H67" s="1">
        <v>40</v>
      </c>
      <c r="I67" s="1" t="s">
        <v>162</v>
      </c>
      <c r="J67" s="1"/>
      <c r="K67" s="1">
        <v>351.7</v>
      </c>
      <c r="L67" s="1">
        <f t="shared" si="20"/>
        <v>-22.651999999999987</v>
      </c>
      <c r="M67" s="1"/>
      <c r="N67" s="1"/>
      <c r="O67" s="1"/>
      <c r="P67" s="1">
        <f t="shared" si="21"/>
        <v>65.809600000000003</v>
      </c>
      <c r="Q67" s="5">
        <f t="shared" si="19"/>
        <v>244.20160000000004</v>
      </c>
      <c r="R67" s="5">
        <f t="shared" si="14"/>
        <v>244.20160000000004</v>
      </c>
      <c r="S67" s="5">
        <f t="shared" si="9"/>
        <v>144.20160000000004</v>
      </c>
      <c r="T67" s="5">
        <v>100</v>
      </c>
      <c r="U67" s="5"/>
      <c r="V67" s="1">
        <f t="shared" si="22"/>
        <v>11</v>
      </c>
      <c r="W67" s="1">
        <f t="shared" si="23"/>
        <v>7.2892708662565946</v>
      </c>
      <c r="X67" s="1">
        <v>65.876199999999997</v>
      </c>
      <c r="Y67" s="1">
        <v>82.411199999999994</v>
      </c>
      <c r="Z67" s="1">
        <v>48.477800000000002</v>
      </c>
      <c r="AA67" s="1">
        <v>36.398000000000003</v>
      </c>
      <c r="AB67" s="1">
        <v>60.998600000000003</v>
      </c>
      <c r="AC67" s="1">
        <v>63.899800000000013</v>
      </c>
      <c r="AD67" s="1">
        <v>60.8812</v>
      </c>
      <c r="AE67" s="1">
        <v>55.814999999999998</v>
      </c>
      <c r="AF67" s="1">
        <v>57.039200000000008</v>
      </c>
      <c r="AG67" s="1">
        <v>47.7986</v>
      </c>
      <c r="AH67" s="1"/>
      <c r="AI67" s="1">
        <f t="shared" si="10"/>
        <v>144</v>
      </c>
      <c r="AJ67" s="1">
        <f t="shared" si="11"/>
        <v>100</v>
      </c>
      <c r="AK67" s="1">
        <f t="shared" si="12"/>
        <v>0</v>
      </c>
      <c r="AL67" s="1">
        <f t="shared" si="13"/>
        <v>65.809600000000003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163</v>
      </c>
      <c r="B68" s="1" t="s">
        <v>35</v>
      </c>
      <c r="C68" s="1">
        <v>1360.04</v>
      </c>
      <c r="D68" s="1">
        <v>440.84100000000001</v>
      </c>
      <c r="E68" s="1">
        <v>795.82600000000002</v>
      </c>
      <c r="F68" s="1">
        <v>911.221</v>
      </c>
      <c r="G68" s="6">
        <v>1</v>
      </c>
      <c r="H68" s="1">
        <v>40</v>
      </c>
      <c r="I68" s="1" t="s">
        <v>164</v>
      </c>
      <c r="J68" s="1"/>
      <c r="K68" s="1">
        <v>768.9</v>
      </c>
      <c r="L68" s="1">
        <f t="shared" si="20"/>
        <v>26.926000000000045</v>
      </c>
      <c r="M68" s="1"/>
      <c r="N68" s="1"/>
      <c r="O68" s="1">
        <v>424.42939999999999</v>
      </c>
      <c r="P68" s="1">
        <f t="shared" si="21"/>
        <v>159.1652</v>
      </c>
      <c r="Q68" s="5">
        <f t="shared" si="19"/>
        <v>415.16679999999997</v>
      </c>
      <c r="R68" s="5">
        <f t="shared" si="14"/>
        <v>415.16679999999997</v>
      </c>
      <c r="S68" s="5">
        <f t="shared" si="9"/>
        <v>215.16679999999997</v>
      </c>
      <c r="T68" s="5">
        <v>200</v>
      </c>
      <c r="U68" s="5"/>
      <c r="V68" s="1">
        <f t="shared" si="22"/>
        <v>11</v>
      </c>
      <c r="W68" s="1">
        <f t="shared" si="23"/>
        <v>8.3915981634176315</v>
      </c>
      <c r="X68" s="1">
        <v>160.1902</v>
      </c>
      <c r="Y68" s="1">
        <v>149.44159999999999</v>
      </c>
      <c r="Z68" s="1">
        <v>190.0198</v>
      </c>
      <c r="AA68" s="1">
        <v>208.4572</v>
      </c>
      <c r="AB68" s="1">
        <v>162.64080000000001</v>
      </c>
      <c r="AC68" s="1">
        <v>146.6738</v>
      </c>
      <c r="AD68" s="1">
        <v>139.87819999999999</v>
      </c>
      <c r="AE68" s="1">
        <v>156.87700000000001</v>
      </c>
      <c r="AF68" s="1">
        <v>160.44999999999999</v>
      </c>
      <c r="AG68" s="1">
        <v>156.79820000000001</v>
      </c>
      <c r="AH68" s="1"/>
      <c r="AI68" s="1">
        <f t="shared" si="10"/>
        <v>215</v>
      </c>
      <c r="AJ68" s="1">
        <f t="shared" si="11"/>
        <v>200</v>
      </c>
      <c r="AK68" s="1">
        <f t="shared" si="12"/>
        <v>0</v>
      </c>
      <c r="AL68" s="1">
        <f t="shared" si="13"/>
        <v>159.1652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165</v>
      </c>
      <c r="B69" s="1" t="s">
        <v>35</v>
      </c>
      <c r="C69" s="1">
        <v>317.89600000000002</v>
      </c>
      <c r="D69" s="1">
        <v>192.82400000000001</v>
      </c>
      <c r="E69" s="1">
        <v>279.64499999999998</v>
      </c>
      <c r="F69" s="1">
        <v>172.02600000000001</v>
      </c>
      <c r="G69" s="6">
        <v>1</v>
      </c>
      <c r="H69" s="1">
        <v>40</v>
      </c>
      <c r="I69" s="1" t="s">
        <v>166</v>
      </c>
      <c r="J69" s="1"/>
      <c r="K69" s="1">
        <v>277.2</v>
      </c>
      <c r="L69" s="1">
        <f t="shared" si="20"/>
        <v>2.4449999999999932</v>
      </c>
      <c r="M69" s="1"/>
      <c r="N69" s="1"/>
      <c r="O69" s="1">
        <v>102.3401320000001</v>
      </c>
      <c r="P69" s="1">
        <f t="shared" si="21"/>
        <v>55.928999999999995</v>
      </c>
      <c r="Q69" s="5">
        <f t="shared" si="19"/>
        <v>340.85286799999977</v>
      </c>
      <c r="R69" s="5">
        <f t="shared" si="14"/>
        <v>340.85286799999977</v>
      </c>
      <c r="S69" s="5">
        <f t="shared" si="9"/>
        <v>190.85286799999977</v>
      </c>
      <c r="T69" s="5">
        <v>150</v>
      </c>
      <c r="U69" s="5"/>
      <c r="V69" s="1">
        <f t="shared" si="22"/>
        <v>10.999999999999998</v>
      </c>
      <c r="W69" s="1">
        <f t="shared" si="23"/>
        <v>4.905614833091958</v>
      </c>
      <c r="X69" s="1">
        <v>43.223999999999997</v>
      </c>
      <c r="Y69" s="1">
        <v>44.775199999999998</v>
      </c>
      <c r="Z69" s="1">
        <v>49.704599999999999</v>
      </c>
      <c r="AA69" s="1">
        <v>48.999200000000002</v>
      </c>
      <c r="AB69" s="1">
        <v>42.549799999999998</v>
      </c>
      <c r="AC69" s="1">
        <v>40.731400000000001</v>
      </c>
      <c r="AD69" s="1">
        <v>43.162799999999997</v>
      </c>
      <c r="AE69" s="1">
        <v>43.538400000000003</v>
      </c>
      <c r="AF69" s="1">
        <v>48.677199999999999</v>
      </c>
      <c r="AG69" s="1">
        <v>49.616799999999998</v>
      </c>
      <c r="AH69" s="1"/>
      <c r="AI69" s="1">
        <f t="shared" si="10"/>
        <v>191</v>
      </c>
      <c r="AJ69" s="1">
        <f t="shared" si="11"/>
        <v>150</v>
      </c>
      <c r="AK69" s="1">
        <f t="shared" si="12"/>
        <v>0</v>
      </c>
      <c r="AL69" s="1">
        <f t="shared" si="13"/>
        <v>55.928999999999995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167</v>
      </c>
      <c r="B70" s="1" t="s">
        <v>42</v>
      </c>
      <c r="C70" s="1">
        <v>25</v>
      </c>
      <c r="D70" s="1"/>
      <c r="E70" s="1">
        <v>5</v>
      </c>
      <c r="F70" s="1">
        <v>20</v>
      </c>
      <c r="G70" s="6">
        <v>0.6</v>
      </c>
      <c r="H70" s="1">
        <v>70</v>
      </c>
      <c r="I70" s="1" t="s">
        <v>168</v>
      </c>
      <c r="J70" s="1"/>
      <c r="K70" s="1">
        <v>13</v>
      </c>
      <c r="L70" s="1">
        <f t="shared" ref="L70:L101" si="24">E70-K70</f>
        <v>-8</v>
      </c>
      <c r="M70" s="1"/>
      <c r="N70" s="1"/>
      <c r="O70" s="1"/>
      <c r="P70" s="1">
        <f t="shared" ref="P70:P101" si="25">E70/5</f>
        <v>1</v>
      </c>
      <c r="Q70" s="5"/>
      <c r="R70" s="5">
        <f t="shared" si="14"/>
        <v>0</v>
      </c>
      <c r="S70" s="5">
        <f t="shared" si="9"/>
        <v>0</v>
      </c>
      <c r="T70" s="5"/>
      <c r="U70" s="5"/>
      <c r="V70" s="1">
        <f t="shared" ref="V70:V101" si="26">(F70+O70+Q70)/P70</f>
        <v>20</v>
      </c>
      <c r="W70" s="1">
        <f t="shared" ref="W70:W101" si="27">(F70+O70)/P70</f>
        <v>20</v>
      </c>
      <c r="X70" s="1">
        <v>0.8</v>
      </c>
      <c r="Y70" s="1">
        <v>1.4</v>
      </c>
      <c r="Z70" s="1">
        <v>1.8</v>
      </c>
      <c r="AA70" s="1">
        <v>2.2000000000000002</v>
      </c>
      <c r="AB70" s="1">
        <v>1.8</v>
      </c>
      <c r="AC70" s="1">
        <v>2</v>
      </c>
      <c r="AD70" s="1">
        <v>2</v>
      </c>
      <c r="AE70" s="1">
        <v>0.6</v>
      </c>
      <c r="AF70" s="1">
        <v>2.2000000000000002</v>
      </c>
      <c r="AG70" s="1">
        <v>1.4</v>
      </c>
      <c r="AH70" s="14" t="s">
        <v>48</v>
      </c>
      <c r="AI70" s="1">
        <f t="shared" si="10"/>
        <v>0</v>
      </c>
      <c r="AJ70" s="1">
        <f t="shared" si="11"/>
        <v>0</v>
      </c>
      <c r="AK70" s="1">
        <f t="shared" si="12"/>
        <v>0</v>
      </c>
      <c r="AL70" s="1">
        <f t="shared" si="13"/>
        <v>0.6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169</v>
      </c>
      <c r="B71" s="1" t="s">
        <v>35</v>
      </c>
      <c r="C71" s="1">
        <v>989.43100000000004</v>
      </c>
      <c r="D71" s="1">
        <v>2.74</v>
      </c>
      <c r="E71" s="1">
        <v>313.50599999999997</v>
      </c>
      <c r="F71" s="1">
        <v>368.16500000000002</v>
      </c>
      <c r="G71" s="6">
        <v>1</v>
      </c>
      <c r="H71" s="1">
        <v>30</v>
      </c>
      <c r="I71" s="1" t="s">
        <v>170</v>
      </c>
      <c r="J71" s="1"/>
      <c r="K71" s="1">
        <v>381.9</v>
      </c>
      <c r="L71" s="1">
        <f t="shared" si="24"/>
        <v>-68.394000000000005</v>
      </c>
      <c r="M71" s="1"/>
      <c r="N71" s="1"/>
      <c r="O71" s="1">
        <v>200.8364</v>
      </c>
      <c r="P71" s="1">
        <f t="shared" si="25"/>
        <v>62.701199999999993</v>
      </c>
      <c r="Q71" s="5">
        <f t="shared" si="19"/>
        <v>120.71179999999987</v>
      </c>
      <c r="R71" s="5">
        <f t="shared" ref="R71:R126" si="28">Q71</f>
        <v>120.71179999999987</v>
      </c>
      <c r="S71" s="5">
        <f t="shared" ref="S71:S126" si="29">R71-T71-U71</f>
        <v>120.71179999999987</v>
      </c>
      <c r="T71" s="5"/>
      <c r="U71" s="5"/>
      <c r="V71" s="1">
        <f t="shared" si="26"/>
        <v>11</v>
      </c>
      <c r="W71" s="1">
        <f t="shared" si="27"/>
        <v>9.0748087755896236</v>
      </c>
      <c r="X71" s="1">
        <v>68.597200000000001</v>
      </c>
      <c r="Y71" s="1">
        <v>68.655000000000001</v>
      </c>
      <c r="Z71" s="1">
        <v>75.647000000000006</v>
      </c>
      <c r="AA71" s="1">
        <v>85.370399999999989</v>
      </c>
      <c r="AB71" s="1">
        <v>94.19919999999999</v>
      </c>
      <c r="AC71" s="1">
        <v>102.74299999999999</v>
      </c>
      <c r="AD71" s="1">
        <v>104.8986</v>
      </c>
      <c r="AE71" s="1">
        <v>110.6538</v>
      </c>
      <c r="AF71" s="1">
        <v>118.0592</v>
      </c>
      <c r="AG71" s="1">
        <v>2.9167999999999998</v>
      </c>
      <c r="AH71" s="1"/>
      <c r="AI71" s="1">
        <f t="shared" ref="AI71:AI126" si="30">ROUND(G71*S71,0)</f>
        <v>121</v>
      </c>
      <c r="AJ71" s="1">
        <f t="shared" ref="AJ71:AJ126" si="31">ROUND(G71*T71,0)</f>
        <v>0</v>
      </c>
      <c r="AK71" s="1">
        <f t="shared" ref="AK71:AK126" si="32">ROUND(G71*U71,0)</f>
        <v>0</v>
      </c>
      <c r="AL71" s="1">
        <f t="shared" ref="AL71:AL126" si="33">P71*G71</f>
        <v>62.701199999999993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171</v>
      </c>
      <c r="B72" s="1" t="s">
        <v>42</v>
      </c>
      <c r="C72" s="1">
        <v>153</v>
      </c>
      <c r="D72" s="1">
        <v>80</v>
      </c>
      <c r="E72" s="1">
        <v>112</v>
      </c>
      <c r="F72" s="1">
        <v>114</v>
      </c>
      <c r="G72" s="6">
        <v>0.6</v>
      </c>
      <c r="H72" s="1">
        <v>60</v>
      </c>
      <c r="I72" s="1" t="s">
        <v>172</v>
      </c>
      <c r="J72" s="1"/>
      <c r="K72" s="1">
        <v>119</v>
      </c>
      <c r="L72" s="1">
        <f t="shared" si="24"/>
        <v>-7</v>
      </c>
      <c r="M72" s="1"/>
      <c r="N72" s="1"/>
      <c r="O72" s="1">
        <v>91.200000000000017</v>
      </c>
      <c r="P72" s="1">
        <f t="shared" si="25"/>
        <v>22.4</v>
      </c>
      <c r="Q72" s="5">
        <f t="shared" si="19"/>
        <v>41.19999999999996</v>
      </c>
      <c r="R72" s="5">
        <f t="shared" si="28"/>
        <v>41.19999999999996</v>
      </c>
      <c r="S72" s="5">
        <f t="shared" si="29"/>
        <v>41.19999999999996</v>
      </c>
      <c r="T72" s="5"/>
      <c r="U72" s="5"/>
      <c r="V72" s="1">
        <f t="shared" si="26"/>
        <v>11</v>
      </c>
      <c r="W72" s="1">
        <f t="shared" si="27"/>
        <v>9.1607142857142865</v>
      </c>
      <c r="X72" s="1">
        <v>20.6</v>
      </c>
      <c r="Y72" s="1">
        <v>18.399999999999999</v>
      </c>
      <c r="Z72" s="1">
        <v>20</v>
      </c>
      <c r="AA72" s="1">
        <v>22.2</v>
      </c>
      <c r="AB72" s="1">
        <v>23.4</v>
      </c>
      <c r="AC72" s="1">
        <v>26.6</v>
      </c>
      <c r="AD72" s="1">
        <v>23.6</v>
      </c>
      <c r="AE72" s="1">
        <v>21.8</v>
      </c>
      <c r="AF72" s="1">
        <v>27.6</v>
      </c>
      <c r="AG72" s="1">
        <v>24.8</v>
      </c>
      <c r="AH72" s="1"/>
      <c r="AI72" s="1">
        <f t="shared" si="30"/>
        <v>25</v>
      </c>
      <c r="AJ72" s="1">
        <f t="shared" si="31"/>
        <v>0</v>
      </c>
      <c r="AK72" s="1">
        <f t="shared" si="32"/>
        <v>0</v>
      </c>
      <c r="AL72" s="1">
        <f t="shared" si="33"/>
        <v>13.44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173</v>
      </c>
      <c r="B73" s="1" t="s">
        <v>42</v>
      </c>
      <c r="C73" s="1">
        <v>61</v>
      </c>
      <c r="D73" s="1"/>
      <c r="E73" s="1">
        <v>36</v>
      </c>
      <c r="F73" s="1">
        <v>24</v>
      </c>
      <c r="G73" s="6">
        <v>0.6</v>
      </c>
      <c r="H73" s="1">
        <v>60</v>
      </c>
      <c r="I73" s="1" t="s">
        <v>174</v>
      </c>
      <c r="J73" s="1"/>
      <c r="K73" s="1">
        <v>36</v>
      </c>
      <c r="L73" s="1">
        <f t="shared" si="24"/>
        <v>0</v>
      </c>
      <c r="M73" s="1"/>
      <c r="N73" s="1"/>
      <c r="O73" s="1">
        <v>37.800000000000011</v>
      </c>
      <c r="P73" s="1">
        <f t="shared" si="25"/>
        <v>7.2</v>
      </c>
      <c r="Q73" s="5">
        <f t="shared" si="19"/>
        <v>17.399999999999991</v>
      </c>
      <c r="R73" s="5">
        <f t="shared" si="28"/>
        <v>17.399999999999991</v>
      </c>
      <c r="S73" s="5">
        <f t="shared" si="29"/>
        <v>17.399999999999991</v>
      </c>
      <c r="T73" s="5"/>
      <c r="U73" s="5"/>
      <c r="V73" s="1">
        <f t="shared" si="26"/>
        <v>11</v>
      </c>
      <c r="W73" s="1">
        <f t="shared" si="27"/>
        <v>8.5833333333333339</v>
      </c>
      <c r="X73" s="1">
        <v>6.4</v>
      </c>
      <c r="Y73" s="1">
        <v>5.6</v>
      </c>
      <c r="Z73" s="1">
        <v>5.6</v>
      </c>
      <c r="AA73" s="1">
        <v>6.8</v>
      </c>
      <c r="AB73" s="1">
        <v>6.6</v>
      </c>
      <c r="AC73" s="1">
        <v>3.6</v>
      </c>
      <c r="AD73" s="1">
        <v>4.8</v>
      </c>
      <c r="AE73" s="1">
        <v>5.2</v>
      </c>
      <c r="AF73" s="1">
        <v>6.8</v>
      </c>
      <c r="AG73" s="1">
        <v>4.5999999999999996</v>
      </c>
      <c r="AH73" s="1"/>
      <c r="AI73" s="1">
        <f t="shared" si="30"/>
        <v>10</v>
      </c>
      <c r="AJ73" s="1">
        <f t="shared" si="31"/>
        <v>0</v>
      </c>
      <c r="AK73" s="1">
        <f t="shared" si="32"/>
        <v>0</v>
      </c>
      <c r="AL73" s="1">
        <f t="shared" si="33"/>
        <v>4.32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175</v>
      </c>
      <c r="B74" s="1" t="s">
        <v>42</v>
      </c>
      <c r="C74" s="1">
        <v>50</v>
      </c>
      <c r="D74" s="1">
        <v>208</v>
      </c>
      <c r="E74" s="1">
        <v>123</v>
      </c>
      <c r="F74" s="1">
        <v>122</v>
      </c>
      <c r="G74" s="6">
        <v>0.4</v>
      </c>
      <c r="H74" s="1">
        <v>90</v>
      </c>
      <c r="I74" s="1" t="s">
        <v>176</v>
      </c>
      <c r="J74" s="1"/>
      <c r="K74" s="1">
        <v>125</v>
      </c>
      <c r="L74" s="1">
        <f t="shared" si="24"/>
        <v>-2</v>
      </c>
      <c r="M74" s="1"/>
      <c r="N74" s="1"/>
      <c r="O74" s="1">
        <v>74.400000000000034</v>
      </c>
      <c r="P74" s="1">
        <f t="shared" si="25"/>
        <v>24.6</v>
      </c>
      <c r="Q74" s="5">
        <f t="shared" si="19"/>
        <v>74.199999999999989</v>
      </c>
      <c r="R74" s="5">
        <f t="shared" si="28"/>
        <v>74.199999999999989</v>
      </c>
      <c r="S74" s="5">
        <f t="shared" si="29"/>
        <v>74.199999999999989</v>
      </c>
      <c r="T74" s="5"/>
      <c r="U74" s="5"/>
      <c r="V74" s="1">
        <f t="shared" si="26"/>
        <v>11</v>
      </c>
      <c r="W74" s="1">
        <f t="shared" si="27"/>
        <v>7.9837398373983746</v>
      </c>
      <c r="X74" s="1">
        <v>23.8</v>
      </c>
      <c r="Y74" s="1">
        <v>22.8</v>
      </c>
      <c r="Z74" s="1">
        <v>18.8</v>
      </c>
      <c r="AA74" s="1">
        <v>16.399999999999999</v>
      </c>
      <c r="AB74" s="1">
        <v>18.2</v>
      </c>
      <c r="AC74" s="1">
        <v>24.4</v>
      </c>
      <c r="AD74" s="1">
        <v>22.6</v>
      </c>
      <c r="AE74" s="1">
        <v>17.2</v>
      </c>
      <c r="AF74" s="1">
        <v>23</v>
      </c>
      <c r="AG74" s="1">
        <v>18.2</v>
      </c>
      <c r="AH74" s="1"/>
      <c r="AI74" s="1">
        <f t="shared" si="30"/>
        <v>30</v>
      </c>
      <c r="AJ74" s="1">
        <f t="shared" si="31"/>
        <v>0</v>
      </c>
      <c r="AK74" s="1">
        <f t="shared" si="32"/>
        <v>0</v>
      </c>
      <c r="AL74" s="1">
        <f t="shared" si="33"/>
        <v>9.8400000000000016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177</v>
      </c>
      <c r="B75" s="1" t="s">
        <v>42</v>
      </c>
      <c r="C75" s="1">
        <v>47</v>
      </c>
      <c r="D75" s="1">
        <v>304</v>
      </c>
      <c r="E75" s="1">
        <v>126</v>
      </c>
      <c r="F75" s="1">
        <v>214</v>
      </c>
      <c r="G75" s="6">
        <v>0.33</v>
      </c>
      <c r="H75" s="1">
        <v>60</v>
      </c>
      <c r="I75" s="1" t="s">
        <v>178</v>
      </c>
      <c r="J75" s="1"/>
      <c r="K75" s="1">
        <v>141</v>
      </c>
      <c r="L75" s="1">
        <f t="shared" si="24"/>
        <v>-15</v>
      </c>
      <c r="M75" s="1"/>
      <c r="N75" s="1"/>
      <c r="O75" s="1">
        <v>34.199999999999989</v>
      </c>
      <c r="P75" s="1">
        <f t="shared" si="25"/>
        <v>25.2</v>
      </c>
      <c r="Q75" s="5">
        <f t="shared" si="19"/>
        <v>29</v>
      </c>
      <c r="R75" s="5">
        <f t="shared" si="28"/>
        <v>29</v>
      </c>
      <c r="S75" s="5">
        <f t="shared" si="29"/>
        <v>29</v>
      </c>
      <c r="T75" s="5"/>
      <c r="U75" s="5"/>
      <c r="V75" s="1">
        <f t="shared" si="26"/>
        <v>11</v>
      </c>
      <c r="W75" s="1">
        <f t="shared" si="27"/>
        <v>9.8492063492063497</v>
      </c>
      <c r="X75" s="1">
        <v>29</v>
      </c>
      <c r="Y75" s="1">
        <v>31.6</v>
      </c>
      <c r="Z75" s="1">
        <v>21.4</v>
      </c>
      <c r="AA75" s="1">
        <v>17</v>
      </c>
      <c r="AB75" s="1">
        <v>21.6</v>
      </c>
      <c r="AC75" s="1">
        <v>27.8</v>
      </c>
      <c r="AD75" s="1">
        <v>25.2</v>
      </c>
      <c r="AE75" s="1">
        <v>21.6</v>
      </c>
      <c r="AF75" s="1">
        <v>27.8</v>
      </c>
      <c r="AG75" s="1">
        <v>19.399999999999999</v>
      </c>
      <c r="AH75" s="1"/>
      <c r="AI75" s="1">
        <f t="shared" si="30"/>
        <v>10</v>
      </c>
      <c r="AJ75" s="1">
        <f t="shared" si="31"/>
        <v>0</v>
      </c>
      <c r="AK75" s="1">
        <f t="shared" si="32"/>
        <v>0</v>
      </c>
      <c r="AL75" s="1">
        <f t="shared" si="33"/>
        <v>8.3160000000000007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179</v>
      </c>
      <c r="B76" s="1" t="s">
        <v>42</v>
      </c>
      <c r="C76" s="1">
        <v>42</v>
      </c>
      <c r="D76" s="1">
        <v>144</v>
      </c>
      <c r="E76" s="1">
        <v>63</v>
      </c>
      <c r="F76" s="1">
        <v>118</v>
      </c>
      <c r="G76" s="6">
        <v>0.35</v>
      </c>
      <c r="H76" s="1">
        <v>90</v>
      </c>
      <c r="I76" s="1" t="s">
        <v>180</v>
      </c>
      <c r="J76" s="1"/>
      <c r="K76" s="1">
        <v>88</v>
      </c>
      <c r="L76" s="1">
        <f t="shared" si="24"/>
        <v>-25</v>
      </c>
      <c r="M76" s="1"/>
      <c r="N76" s="1"/>
      <c r="O76" s="1"/>
      <c r="P76" s="1">
        <f t="shared" si="25"/>
        <v>12.6</v>
      </c>
      <c r="Q76" s="5">
        <f t="shared" si="19"/>
        <v>20.599999999999994</v>
      </c>
      <c r="R76" s="5">
        <f t="shared" si="28"/>
        <v>20.599999999999994</v>
      </c>
      <c r="S76" s="5">
        <f t="shared" si="29"/>
        <v>20.599999999999994</v>
      </c>
      <c r="T76" s="5"/>
      <c r="U76" s="5"/>
      <c r="V76" s="1">
        <f t="shared" si="26"/>
        <v>11</v>
      </c>
      <c r="W76" s="1">
        <f t="shared" si="27"/>
        <v>9.3650793650793656</v>
      </c>
      <c r="X76" s="1">
        <v>8.6</v>
      </c>
      <c r="Y76" s="1">
        <v>12.6</v>
      </c>
      <c r="Z76" s="1">
        <v>17</v>
      </c>
      <c r="AA76" s="1">
        <v>9.8000000000000007</v>
      </c>
      <c r="AB76" s="1">
        <v>8.1999999999999993</v>
      </c>
      <c r="AC76" s="1">
        <v>14.6</v>
      </c>
      <c r="AD76" s="1">
        <v>10.8</v>
      </c>
      <c r="AE76" s="1">
        <v>9</v>
      </c>
      <c r="AF76" s="1">
        <v>11.6</v>
      </c>
      <c r="AG76" s="1">
        <v>7.2</v>
      </c>
      <c r="AH76" s="1"/>
      <c r="AI76" s="1">
        <f t="shared" si="30"/>
        <v>7</v>
      </c>
      <c r="AJ76" s="1">
        <f t="shared" si="31"/>
        <v>0</v>
      </c>
      <c r="AK76" s="1">
        <f t="shared" si="32"/>
        <v>0</v>
      </c>
      <c r="AL76" s="1">
        <f t="shared" si="33"/>
        <v>4.4099999999999993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181</v>
      </c>
      <c r="B77" s="1" t="s">
        <v>42</v>
      </c>
      <c r="C77" s="1">
        <v>855</v>
      </c>
      <c r="D77" s="1">
        <v>350</v>
      </c>
      <c r="E77" s="1">
        <v>548</v>
      </c>
      <c r="F77" s="1">
        <v>638</v>
      </c>
      <c r="G77" s="6">
        <v>0.37</v>
      </c>
      <c r="H77" s="1">
        <v>50</v>
      </c>
      <c r="I77" s="1" t="s">
        <v>182</v>
      </c>
      <c r="J77" s="1"/>
      <c r="K77" s="1">
        <v>550</v>
      </c>
      <c r="L77" s="1">
        <f t="shared" si="24"/>
        <v>-2</v>
      </c>
      <c r="M77" s="1"/>
      <c r="N77" s="1"/>
      <c r="O77" s="1">
        <v>342.904</v>
      </c>
      <c r="P77" s="1">
        <f t="shared" si="25"/>
        <v>109.6</v>
      </c>
      <c r="Q77" s="5">
        <f t="shared" si="19"/>
        <v>224.69599999999991</v>
      </c>
      <c r="R77" s="5">
        <f t="shared" si="28"/>
        <v>224.69599999999991</v>
      </c>
      <c r="S77" s="5">
        <f t="shared" si="29"/>
        <v>124.69599999999991</v>
      </c>
      <c r="T77" s="5">
        <v>100</v>
      </c>
      <c r="U77" s="5"/>
      <c r="V77" s="1">
        <f t="shared" si="26"/>
        <v>11</v>
      </c>
      <c r="W77" s="1">
        <f t="shared" si="27"/>
        <v>8.9498540145985412</v>
      </c>
      <c r="X77" s="1">
        <v>106.2</v>
      </c>
      <c r="Y77" s="1">
        <v>107.6</v>
      </c>
      <c r="Z77" s="1">
        <v>106.8</v>
      </c>
      <c r="AA77" s="1">
        <v>116.8</v>
      </c>
      <c r="AB77" s="1">
        <v>116</v>
      </c>
      <c r="AC77" s="1">
        <v>112.8</v>
      </c>
      <c r="AD77" s="1">
        <v>115.4</v>
      </c>
      <c r="AE77" s="1">
        <v>108</v>
      </c>
      <c r="AF77" s="1">
        <v>105</v>
      </c>
      <c r="AG77" s="1">
        <v>118</v>
      </c>
      <c r="AH77" s="1"/>
      <c r="AI77" s="1">
        <f t="shared" si="30"/>
        <v>46</v>
      </c>
      <c r="AJ77" s="1">
        <f t="shared" si="31"/>
        <v>37</v>
      </c>
      <c r="AK77" s="1">
        <f t="shared" si="32"/>
        <v>0</v>
      </c>
      <c r="AL77" s="1">
        <f t="shared" si="33"/>
        <v>40.552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183</v>
      </c>
      <c r="B78" s="1" t="s">
        <v>42</v>
      </c>
      <c r="C78" s="1">
        <v>287</v>
      </c>
      <c r="D78" s="1"/>
      <c r="E78" s="1">
        <v>122</v>
      </c>
      <c r="F78" s="1">
        <v>165</v>
      </c>
      <c r="G78" s="6">
        <v>0.6</v>
      </c>
      <c r="H78" s="1">
        <v>70</v>
      </c>
      <c r="I78" s="1" t="s">
        <v>184</v>
      </c>
      <c r="J78" s="1"/>
      <c r="K78" s="1">
        <v>122</v>
      </c>
      <c r="L78" s="1">
        <f t="shared" si="24"/>
        <v>0</v>
      </c>
      <c r="M78" s="1"/>
      <c r="N78" s="1"/>
      <c r="O78" s="1">
        <v>67.200000000000045</v>
      </c>
      <c r="P78" s="1">
        <f t="shared" si="25"/>
        <v>24.4</v>
      </c>
      <c r="Q78" s="5">
        <f t="shared" si="19"/>
        <v>36.199999999999932</v>
      </c>
      <c r="R78" s="5">
        <f t="shared" si="28"/>
        <v>36.199999999999932</v>
      </c>
      <c r="S78" s="5">
        <f t="shared" si="29"/>
        <v>36.199999999999932</v>
      </c>
      <c r="T78" s="5"/>
      <c r="U78" s="5"/>
      <c r="V78" s="1">
        <f t="shared" si="26"/>
        <v>11</v>
      </c>
      <c r="W78" s="1">
        <f t="shared" si="27"/>
        <v>9.5163934426229524</v>
      </c>
      <c r="X78" s="1">
        <v>23.6</v>
      </c>
      <c r="Y78" s="1">
        <v>16.2</v>
      </c>
      <c r="Z78" s="1">
        <v>17.600000000000001</v>
      </c>
      <c r="AA78" s="1">
        <v>25.8</v>
      </c>
      <c r="AB78" s="1">
        <v>31.2</v>
      </c>
      <c r="AC78" s="1">
        <v>25.4</v>
      </c>
      <c r="AD78" s="1">
        <v>25.4</v>
      </c>
      <c r="AE78" s="1">
        <v>23.2</v>
      </c>
      <c r="AF78" s="1">
        <v>21.8</v>
      </c>
      <c r="AG78" s="1">
        <v>24.6</v>
      </c>
      <c r="AH78" s="1"/>
      <c r="AI78" s="1">
        <f t="shared" si="30"/>
        <v>22</v>
      </c>
      <c r="AJ78" s="1">
        <f t="shared" si="31"/>
        <v>0</v>
      </c>
      <c r="AK78" s="1">
        <f t="shared" si="32"/>
        <v>0</v>
      </c>
      <c r="AL78" s="1">
        <f t="shared" si="33"/>
        <v>14.639999999999999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185</v>
      </c>
      <c r="B79" s="1" t="s">
        <v>42</v>
      </c>
      <c r="C79" s="1">
        <v>38</v>
      </c>
      <c r="D79" s="1">
        <v>36</v>
      </c>
      <c r="E79" s="1">
        <v>42</v>
      </c>
      <c r="F79" s="1">
        <v>29</v>
      </c>
      <c r="G79" s="6">
        <v>0.33</v>
      </c>
      <c r="H79" s="1">
        <v>40</v>
      </c>
      <c r="I79" s="1" t="s">
        <v>186</v>
      </c>
      <c r="J79" s="1"/>
      <c r="K79" s="1">
        <v>45</v>
      </c>
      <c r="L79" s="1">
        <f t="shared" si="24"/>
        <v>-3</v>
      </c>
      <c r="M79" s="1"/>
      <c r="N79" s="1"/>
      <c r="O79" s="1">
        <v>67.199999999999989</v>
      </c>
      <c r="P79" s="1">
        <f t="shared" si="25"/>
        <v>8.4</v>
      </c>
      <c r="Q79" s="5"/>
      <c r="R79" s="5">
        <f t="shared" si="28"/>
        <v>0</v>
      </c>
      <c r="S79" s="5">
        <f t="shared" si="29"/>
        <v>0</v>
      </c>
      <c r="T79" s="5"/>
      <c r="U79" s="5"/>
      <c r="V79" s="1">
        <f t="shared" si="26"/>
        <v>11.452380952380951</v>
      </c>
      <c r="W79" s="1">
        <f t="shared" si="27"/>
        <v>11.452380952380951</v>
      </c>
      <c r="X79" s="1">
        <v>9.8000000000000007</v>
      </c>
      <c r="Y79" s="1">
        <v>6.4</v>
      </c>
      <c r="Z79" s="1">
        <v>3.8</v>
      </c>
      <c r="AA79" s="1">
        <v>3.6</v>
      </c>
      <c r="AB79" s="1">
        <v>6.2</v>
      </c>
      <c r="AC79" s="1">
        <v>9.1999999999999993</v>
      </c>
      <c r="AD79" s="1">
        <v>10.4</v>
      </c>
      <c r="AE79" s="1">
        <v>8</v>
      </c>
      <c r="AF79" s="1">
        <v>10</v>
      </c>
      <c r="AG79" s="1">
        <v>11.8</v>
      </c>
      <c r="AH79" s="1"/>
      <c r="AI79" s="1">
        <f t="shared" si="30"/>
        <v>0</v>
      </c>
      <c r="AJ79" s="1">
        <f t="shared" si="31"/>
        <v>0</v>
      </c>
      <c r="AK79" s="1">
        <f t="shared" si="32"/>
        <v>0</v>
      </c>
      <c r="AL79" s="1">
        <f t="shared" si="33"/>
        <v>2.7720000000000002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187</v>
      </c>
      <c r="B80" s="1" t="s">
        <v>42</v>
      </c>
      <c r="C80" s="1">
        <v>342</v>
      </c>
      <c r="D80" s="1">
        <v>240</v>
      </c>
      <c r="E80" s="1">
        <v>287</v>
      </c>
      <c r="F80" s="1">
        <v>287</v>
      </c>
      <c r="G80" s="6">
        <v>0.4</v>
      </c>
      <c r="H80" s="1">
        <v>55</v>
      </c>
      <c r="I80" s="1" t="s">
        <v>188</v>
      </c>
      <c r="J80" s="1"/>
      <c r="K80" s="1">
        <v>292</v>
      </c>
      <c r="L80" s="1">
        <f t="shared" si="24"/>
        <v>-5</v>
      </c>
      <c r="M80" s="1"/>
      <c r="N80" s="1"/>
      <c r="O80" s="1">
        <v>238.27400000000009</v>
      </c>
      <c r="P80" s="1">
        <f t="shared" si="25"/>
        <v>57.4</v>
      </c>
      <c r="Q80" s="5">
        <f t="shared" si="19"/>
        <v>106.12599999999986</v>
      </c>
      <c r="R80" s="5">
        <f t="shared" si="28"/>
        <v>106.12599999999986</v>
      </c>
      <c r="S80" s="5">
        <f t="shared" si="29"/>
        <v>106.12599999999986</v>
      </c>
      <c r="T80" s="5"/>
      <c r="U80" s="5"/>
      <c r="V80" s="1">
        <f t="shared" si="26"/>
        <v>11</v>
      </c>
      <c r="W80" s="1">
        <f t="shared" si="27"/>
        <v>9.1511149825783988</v>
      </c>
      <c r="X80" s="1">
        <v>54</v>
      </c>
      <c r="Y80" s="1">
        <v>51.8</v>
      </c>
      <c r="Z80" s="1">
        <v>54.2</v>
      </c>
      <c r="AA80" s="1">
        <v>54.4</v>
      </c>
      <c r="AB80" s="1">
        <v>55</v>
      </c>
      <c r="AC80" s="1">
        <v>43.8</v>
      </c>
      <c r="AD80" s="1">
        <v>42</v>
      </c>
      <c r="AE80" s="1">
        <v>50.4</v>
      </c>
      <c r="AF80" s="1">
        <v>51.4</v>
      </c>
      <c r="AG80" s="1">
        <v>57.8</v>
      </c>
      <c r="AH80" s="1"/>
      <c r="AI80" s="1">
        <f t="shared" si="30"/>
        <v>42</v>
      </c>
      <c r="AJ80" s="1">
        <f t="shared" si="31"/>
        <v>0</v>
      </c>
      <c r="AK80" s="1">
        <f t="shared" si="32"/>
        <v>0</v>
      </c>
      <c r="AL80" s="1">
        <f t="shared" si="33"/>
        <v>22.96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189</v>
      </c>
      <c r="B81" s="1" t="s">
        <v>42</v>
      </c>
      <c r="C81" s="1">
        <v>107</v>
      </c>
      <c r="D81" s="1">
        <v>15</v>
      </c>
      <c r="E81" s="1">
        <v>112</v>
      </c>
      <c r="F81" s="1">
        <v>2</v>
      </c>
      <c r="G81" s="6">
        <v>0.35</v>
      </c>
      <c r="H81" s="1">
        <v>40</v>
      </c>
      <c r="I81" s="1" t="s">
        <v>190</v>
      </c>
      <c r="J81" s="1"/>
      <c r="K81" s="1">
        <v>143</v>
      </c>
      <c r="L81" s="1">
        <f t="shared" si="24"/>
        <v>-31</v>
      </c>
      <c r="M81" s="1"/>
      <c r="N81" s="1"/>
      <c r="O81" s="1">
        <v>200</v>
      </c>
      <c r="P81" s="1">
        <f t="shared" si="25"/>
        <v>22.4</v>
      </c>
      <c r="Q81" s="5">
        <f t="shared" si="19"/>
        <v>44.399999999999977</v>
      </c>
      <c r="R81" s="5">
        <f t="shared" si="28"/>
        <v>44.399999999999977</v>
      </c>
      <c r="S81" s="5">
        <f t="shared" si="29"/>
        <v>44.399999999999977</v>
      </c>
      <c r="T81" s="5"/>
      <c r="U81" s="5"/>
      <c r="V81" s="1">
        <f t="shared" si="26"/>
        <v>11</v>
      </c>
      <c r="W81" s="1">
        <f t="shared" si="27"/>
        <v>9.0178571428571441</v>
      </c>
      <c r="X81" s="1">
        <v>27</v>
      </c>
      <c r="Y81" s="1">
        <v>19.399999999999999</v>
      </c>
      <c r="Z81" s="1">
        <v>20.6</v>
      </c>
      <c r="AA81" s="1">
        <v>15.8</v>
      </c>
      <c r="AB81" s="1">
        <v>16</v>
      </c>
      <c r="AC81" s="1">
        <v>24</v>
      </c>
      <c r="AD81" s="1">
        <v>24.2</v>
      </c>
      <c r="AE81" s="1">
        <v>23.8</v>
      </c>
      <c r="AF81" s="1">
        <v>27.4</v>
      </c>
      <c r="AG81" s="1">
        <v>25</v>
      </c>
      <c r="AH81" s="1"/>
      <c r="AI81" s="1">
        <f t="shared" si="30"/>
        <v>16</v>
      </c>
      <c r="AJ81" s="1">
        <f t="shared" si="31"/>
        <v>0</v>
      </c>
      <c r="AK81" s="1">
        <f t="shared" si="32"/>
        <v>0</v>
      </c>
      <c r="AL81" s="1">
        <f t="shared" si="33"/>
        <v>7.839999999999999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191</v>
      </c>
      <c r="B82" s="1" t="s">
        <v>42</v>
      </c>
      <c r="C82" s="1">
        <v>35</v>
      </c>
      <c r="D82" s="1">
        <v>567</v>
      </c>
      <c r="E82" s="1">
        <v>172</v>
      </c>
      <c r="F82" s="1">
        <v>424</v>
      </c>
      <c r="G82" s="6">
        <v>0.35</v>
      </c>
      <c r="H82" s="1">
        <v>45</v>
      </c>
      <c r="I82" s="1" t="s">
        <v>192</v>
      </c>
      <c r="J82" s="1"/>
      <c r="K82" s="1">
        <v>278</v>
      </c>
      <c r="L82" s="1">
        <f t="shared" si="24"/>
        <v>-106</v>
      </c>
      <c r="M82" s="1"/>
      <c r="N82" s="1"/>
      <c r="O82" s="1">
        <v>171.59999999999991</v>
      </c>
      <c r="P82" s="1">
        <f t="shared" si="25"/>
        <v>34.4</v>
      </c>
      <c r="Q82" s="5"/>
      <c r="R82" s="5">
        <f t="shared" si="28"/>
        <v>0</v>
      </c>
      <c r="S82" s="5">
        <f t="shared" si="29"/>
        <v>0</v>
      </c>
      <c r="T82" s="5"/>
      <c r="U82" s="5"/>
      <c r="V82" s="1">
        <f t="shared" si="26"/>
        <v>17.313953488372093</v>
      </c>
      <c r="W82" s="1">
        <f t="shared" si="27"/>
        <v>17.313953488372093</v>
      </c>
      <c r="X82" s="1">
        <v>61.8</v>
      </c>
      <c r="Y82" s="1">
        <v>73.8</v>
      </c>
      <c r="Z82" s="1">
        <v>32.200000000000003</v>
      </c>
      <c r="AA82" s="1">
        <v>16</v>
      </c>
      <c r="AB82" s="1">
        <v>38.799999999999997</v>
      </c>
      <c r="AC82" s="1">
        <v>54.6</v>
      </c>
      <c r="AD82" s="1">
        <v>69.400000000000006</v>
      </c>
      <c r="AE82" s="1">
        <v>48.8</v>
      </c>
      <c r="AF82" s="1">
        <v>45.8</v>
      </c>
      <c r="AG82" s="1">
        <v>39.200000000000003</v>
      </c>
      <c r="AH82" s="1"/>
      <c r="AI82" s="1">
        <f t="shared" si="30"/>
        <v>0</v>
      </c>
      <c r="AJ82" s="1">
        <f t="shared" si="31"/>
        <v>0</v>
      </c>
      <c r="AK82" s="1">
        <f t="shared" si="32"/>
        <v>0</v>
      </c>
      <c r="AL82" s="1">
        <f t="shared" si="33"/>
        <v>12.04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193</v>
      </c>
      <c r="B83" s="1" t="s">
        <v>42</v>
      </c>
      <c r="C83" s="1">
        <v>101</v>
      </c>
      <c r="D83" s="1">
        <v>150</v>
      </c>
      <c r="E83" s="1">
        <v>121</v>
      </c>
      <c r="F83" s="1">
        <v>130</v>
      </c>
      <c r="G83" s="6">
        <v>0.4</v>
      </c>
      <c r="H83" s="1">
        <v>55</v>
      </c>
      <c r="I83" s="1" t="s">
        <v>194</v>
      </c>
      <c r="J83" s="1"/>
      <c r="K83" s="1">
        <v>121</v>
      </c>
      <c r="L83" s="1">
        <f t="shared" si="24"/>
        <v>0</v>
      </c>
      <c r="M83" s="1"/>
      <c r="N83" s="1"/>
      <c r="O83" s="1">
        <v>42.599999999999973</v>
      </c>
      <c r="P83" s="1">
        <f t="shared" si="25"/>
        <v>24.2</v>
      </c>
      <c r="Q83" s="5">
        <f t="shared" si="19"/>
        <v>93.600000000000023</v>
      </c>
      <c r="R83" s="5">
        <f t="shared" si="28"/>
        <v>93.600000000000023</v>
      </c>
      <c r="S83" s="5">
        <f t="shared" si="29"/>
        <v>93.600000000000023</v>
      </c>
      <c r="T83" s="5"/>
      <c r="U83" s="5"/>
      <c r="V83" s="1">
        <f t="shared" si="26"/>
        <v>11</v>
      </c>
      <c r="W83" s="1">
        <f t="shared" si="27"/>
        <v>7.1322314049586764</v>
      </c>
      <c r="X83" s="1">
        <v>23.4</v>
      </c>
      <c r="Y83" s="1">
        <v>22.2</v>
      </c>
      <c r="Z83" s="1">
        <v>1</v>
      </c>
      <c r="AA83" s="1">
        <v>1</v>
      </c>
      <c r="AB83" s="1">
        <v>20.8</v>
      </c>
      <c r="AC83" s="1">
        <v>22.4</v>
      </c>
      <c r="AD83" s="1">
        <v>22.8</v>
      </c>
      <c r="AE83" s="1">
        <v>14.4</v>
      </c>
      <c r="AF83" s="1">
        <v>21.2</v>
      </c>
      <c r="AG83" s="1">
        <v>6</v>
      </c>
      <c r="AH83" s="1"/>
      <c r="AI83" s="1">
        <f t="shared" si="30"/>
        <v>37</v>
      </c>
      <c r="AJ83" s="1">
        <f t="shared" si="31"/>
        <v>0</v>
      </c>
      <c r="AK83" s="1">
        <f t="shared" si="32"/>
        <v>0</v>
      </c>
      <c r="AL83" s="1">
        <f t="shared" si="33"/>
        <v>9.68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195</v>
      </c>
      <c r="B84" s="1" t="s">
        <v>35</v>
      </c>
      <c r="C84" s="1">
        <v>34.584000000000003</v>
      </c>
      <c r="D84" s="1"/>
      <c r="E84" s="1">
        <v>32.290999999999997</v>
      </c>
      <c r="F84" s="1">
        <v>8.0000000000000002E-3</v>
      </c>
      <c r="G84" s="6">
        <v>1</v>
      </c>
      <c r="H84" s="1">
        <v>55</v>
      </c>
      <c r="I84" s="1" t="s">
        <v>196</v>
      </c>
      <c r="J84" s="1"/>
      <c r="K84" s="1">
        <v>31.2</v>
      </c>
      <c r="L84" s="1">
        <f t="shared" si="24"/>
        <v>1.0909999999999975</v>
      </c>
      <c r="M84" s="1"/>
      <c r="N84" s="1"/>
      <c r="O84" s="1"/>
      <c r="P84" s="1">
        <f t="shared" si="25"/>
        <v>6.4581999999999997</v>
      </c>
      <c r="Q84" s="5">
        <f>6*P84-O84-F84</f>
        <v>38.741199999999999</v>
      </c>
      <c r="R84" s="5">
        <f t="shared" si="28"/>
        <v>38.741199999999999</v>
      </c>
      <c r="S84" s="5">
        <f t="shared" si="29"/>
        <v>38.741199999999999</v>
      </c>
      <c r="T84" s="5"/>
      <c r="U84" s="5"/>
      <c r="V84" s="1">
        <f t="shared" si="26"/>
        <v>6.0000000000000009</v>
      </c>
      <c r="W84" s="1">
        <f t="shared" si="27"/>
        <v>1.2387352513084141E-3</v>
      </c>
      <c r="X84" s="1">
        <v>25.799199999999999</v>
      </c>
      <c r="Y84" s="1">
        <v>24.057600000000001</v>
      </c>
      <c r="Z84" s="1">
        <v>4.6172000000000004</v>
      </c>
      <c r="AA84" s="1">
        <v>3.7582</v>
      </c>
      <c r="AB84" s="1">
        <v>3.1760000000000002</v>
      </c>
      <c r="AC84" s="1">
        <v>1.129</v>
      </c>
      <c r="AD84" s="1">
        <v>1.6768000000000001</v>
      </c>
      <c r="AE84" s="1">
        <v>0.54480000000000006</v>
      </c>
      <c r="AF84" s="1">
        <v>2.4318</v>
      </c>
      <c r="AG84" s="1">
        <v>0</v>
      </c>
      <c r="AH84" s="1"/>
      <c r="AI84" s="1">
        <f t="shared" si="30"/>
        <v>39</v>
      </c>
      <c r="AJ84" s="1">
        <f t="shared" si="31"/>
        <v>0</v>
      </c>
      <c r="AK84" s="1">
        <f t="shared" si="32"/>
        <v>0</v>
      </c>
      <c r="AL84" s="1">
        <f t="shared" si="33"/>
        <v>6.4581999999999997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197</v>
      </c>
      <c r="B85" s="1" t="s">
        <v>42</v>
      </c>
      <c r="C85" s="1">
        <v>10</v>
      </c>
      <c r="D85" s="1">
        <v>40</v>
      </c>
      <c r="E85" s="1">
        <v>13</v>
      </c>
      <c r="F85" s="1">
        <v>36</v>
      </c>
      <c r="G85" s="6">
        <v>0.4</v>
      </c>
      <c r="H85" s="1">
        <v>55</v>
      </c>
      <c r="I85" s="1" t="s">
        <v>198</v>
      </c>
      <c r="J85" s="1"/>
      <c r="K85" s="1">
        <v>16</v>
      </c>
      <c r="L85" s="1">
        <f t="shared" si="24"/>
        <v>-3</v>
      </c>
      <c r="M85" s="1"/>
      <c r="N85" s="1"/>
      <c r="O85" s="1">
        <v>14.60000000000001</v>
      </c>
      <c r="P85" s="1">
        <f t="shared" si="25"/>
        <v>2.6</v>
      </c>
      <c r="Q85" s="5"/>
      <c r="R85" s="5">
        <f t="shared" si="28"/>
        <v>0</v>
      </c>
      <c r="S85" s="5">
        <f t="shared" si="29"/>
        <v>0</v>
      </c>
      <c r="T85" s="5"/>
      <c r="U85" s="5"/>
      <c r="V85" s="1">
        <f t="shared" si="26"/>
        <v>19.461538461538463</v>
      </c>
      <c r="W85" s="1">
        <f t="shared" si="27"/>
        <v>19.461538461538463</v>
      </c>
      <c r="X85" s="1">
        <v>4.4000000000000004</v>
      </c>
      <c r="Y85" s="1">
        <v>4</v>
      </c>
      <c r="Z85" s="1">
        <v>3.4</v>
      </c>
      <c r="AA85" s="1">
        <v>2</v>
      </c>
      <c r="AB85" s="1">
        <v>0</v>
      </c>
      <c r="AC85" s="1">
        <v>2.4</v>
      </c>
      <c r="AD85" s="1">
        <v>4</v>
      </c>
      <c r="AE85" s="1">
        <v>5.2</v>
      </c>
      <c r="AF85" s="1">
        <v>3.2</v>
      </c>
      <c r="AG85" s="1">
        <v>4</v>
      </c>
      <c r="AH85" s="1"/>
      <c r="AI85" s="1">
        <f t="shared" si="30"/>
        <v>0</v>
      </c>
      <c r="AJ85" s="1">
        <f t="shared" si="31"/>
        <v>0</v>
      </c>
      <c r="AK85" s="1">
        <f t="shared" si="32"/>
        <v>0</v>
      </c>
      <c r="AL85" s="1">
        <f t="shared" si="33"/>
        <v>1.04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199</v>
      </c>
      <c r="B86" s="1" t="s">
        <v>35</v>
      </c>
      <c r="C86" s="1">
        <v>352.214</v>
      </c>
      <c r="D86" s="1">
        <v>150.18799999999999</v>
      </c>
      <c r="E86" s="1">
        <v>226.47900000000001</v>
      </c>
      <c r="F86" s="1">
        <v>275.22899999999998</v>
      </c>
      <c r="G86" s="6">
        <v>1</v>
      </c>
      <c r="H86" s="1">
        <v>55</v>
      </c>
      <c r="I86" s="1" t="s">
        <v>200</v>
      </c>
      <c r="J86" s="1"/>
      <c r="K86" s="1">
        <v>222.75</v>
      </c>
      <c r="L86" s="1">
        <f t="shared" si="24"/>
        <v>3.7290000000000134</v>
      </c>
      <c r="M86" s="1"/>
      <c r="N86" s="1"/>
      <c r="O86" s="1">
        <v>107.6746000000001</v>
      </c>
      <c r="P86" s="1">
        <f t="shared" si="25"/>
        <v>45.2958</v>
      </c>
      <c r="Q86" s="5">
        <f t="shared" si="19"/>
        <v>115.35019999999992</v>
      </c>
      <c r="R86" s="5">
        <f t="shared" si="28"/>
        <v>115.35019999999992</v>
      </c>
      <c r="S86" s="5">
        <f t="shared" si="29"/>
        <v>115.35019999999992</v>
      </c>
      <c r="T86" s="5"/>
      <c r="U86" s="5"/>
      <c r="V86" s="1">
        <f t="shared" si="26"/>
        <v>11</v>
      </c>
      <c r="W86" s="1">
        <f t="shared" si="27"/>
        <v>8.4534018606581647</v>
      </c>
      <c r="X86" s="1">
        <v>39.439800000000012</v>
      </c>
      <c r="Y86" s="1">
        <v>39.754800000000003</v>
      </c>
      <c r="Z86" s="1">
        <v>43.838200000000001</v>
      </c>
      <c r="AA86" s="1">
        <v>48.463799999999999</v>
      </c>
      <c r="AB86" s="1">
        <v>47.909399999999998</v>
      </c>
      <c r="AC86" s="1">
        <v>41.079799999999999</v>
      </c>
      <c r="AD86" s="1">
        <v>44.04</v>
      </c>
      <c r="AE86" s="1">
        <v>53.181399999999996</v>
      </c>
      <c r="AF86" s="1">
        <v>55.588000000000001</v>
      </c>
      <c r="AG86" s="1">
        <v>70.816200000000009</v>
      </c>
      <c r="AH86" s="1"/>
      <c r="AI86" s="1">
        <f t="shared" si="30"/>
        <v>115</v>
      </c>
      <c r="AJ86" s="1">
        <f t="shared" si="31"/>
        <v>0</v>
      </c>
      <c r="AK86" s="1">
        <f t="shared" si="32"/>
        <v>0</v>
      </c>
      <c r="AL86" s="1">
        <f t="shared" si="33"/>
        <v>45.2958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201</v>
      </c>
      <c r="B87" s="1" t="s">
        <v>35</v>
      </c>
      <c r="C87" s="1">
        <v>1701.52</v>
      </c>
      <c r="D87" s="1">
        <v>496.74</v>
      </c>
      <c r="E87" s="1">
        <v>855.56399999999996</v>
      </c>
      <c r="F87" s="1">
        <v>1300.337</v>
      </c>
      <c r="G87" s="6">
        <v>1</v>
      </c>
      <c r="H87" s="1">
        <v>60</v>
      </c>
      <c r="I87" s="1" t="s">
        <v>202</v>
      </c>
      <c r="J87" s="1"/>
      <c r="K87" s="1">
        <v>860.73</v>
      </c>
      <c r="L87" s="1">
        <f t="shared" si="24"/>
        <v>-5.1660000000000537</v>
      </c>
      <c r="M87" s="1"/>
      <c r="N87" s="1"/>
      <c r="O87" s="1">
        <v>63.697599999999973</v>
      </c>
      <c r="P87" s="1">
        <f t="shared" si="25"/>
        <v>171.11279999999999</v>
      </c>
      <c r="Q87" s="5">
        <f t="shared" si="19"/>
        <v>518.20620000000008</v>
      </c>
      <c r="R87" s="5">
        <f t="shared" si="28"/>
        <v>518.20620000000008</v>
      </c>
      <c r="S87" s="5">
        <f t="shared" si="29"/>
        <v>268.20620000000008</v>
      </c>
      <c r="T87" s="5">
        <v>250</v>
      </c>
      <c r="U87" s="5"/>
      <c r="V87" s="1">
        <f t="shared" si="26"/>
        <v>11</v>
      </c>
      <c r="W87" s="1">
        <f t="shared" si="27"/>
        <v>7.9715520989662956</v>
      </c>
      <c r="X87" s="1">
        <v>160.2638</v>
      </c>
      <c r="Y87" s="1">
        <v>168.82660000000001</v>
      </c>
      <c r="Z87" s="1">
        <v>205.5204</v>
      </c>
      <c r="AA87" s="1">
        <v>213.1044</v>
      </c>
      <c r="AB87" s="1">
        <v>188.45419999999999</v>
      </c>
      <c r="AC87" s="1">
        <v>180.20160000000001</v>
      </c>
      <c r="AD87" s="1">
        <v>190.19540000000001</v>
      </c>
      <c r="AE87" s="1">
        <v>178.114</v>
      </c>
      <c r="AF87" s="1">
        <v>183.27199999999999</v>
      </c>
      <c r="AG87" s="1">
        <v>191.50040000000001</v>
      </c>
      <c r="AH87" s="1"/>
      <c r="AI87" s="1">
        <f t="shared" si="30"/>
        <v>268</v>
      </c>
      <c r="AJ87" s="1">
        <f t="shared" si="31"/>
        <v>250</v>
      </c>
      <c r="AK87" s="1">
        <f t="shared" si="32"/>
        <v>0</v>
      </c>
      <c r="AL87" s="1">
        <f t="shared" si="33"/>
        <v>171.11279999999999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203</v>
      </c>
      <c r="B88" s="1" t="s">
        <v>35</v>
      </c>
      <c r="C88" s="1">
        <v>3006.9850000000001</v>
      </c>
      <c r="D88" s="1">
        <v>2009.6869999999999</v>
      </c>
      <c r="E88" s="1">
        <v>2126.3290000000002</v>
      </c>
      <c r="F88" s="1">
        <v>2763.0309999999999</v>
      </c>
      <c r="G88" s="6">
        <v>1</v>
      </c>
      <c r="H88" s="1">
        <v>60</v>
      </c>
      <c r="I88" s="1" t="s">
        <v>204</v>
      </c>
      <c r="J88" s="1"/>
      <c r="K88" s="1">
        <v>2143.4</v>
      </c>
      <c r="L88" s="1">
        <f t="shared" si="24"/>
        <v>-17.070999999999913</v>
      </c>
      <c r="M88" s="1"/>
      <c r="N88" s="1"/>
      <c r="O88" s="1">
        <v>68.213587600002029</v>
      </c>
      <c r="P88" s="1">
        <f t="shared" si="25"/>
        <v>425.26580000000001</v>
      </c>
      <c r="Q88" s="5">
        <f t="shared" si="19"/>
        <v>1846.6792123999985</v>
      </c>
      <c r="R88" s="5">
        <f t="shared" ref="R88:R90" si="34">Q88+$R$1*P88</f>
        <v>2433.5460163999987</v>
      </c>
      <c r="S88" s="5">
        <f t="shared" si="29"/>
        <v>733.54601639999873</v>
      </c>
      <c r="T88" s="5">
        <v>700</v>
      </c>
      <c r="U88" s="5">
        <v>1000</v>
      </c>
      <c r="V88" s="1">
        <f t="shared" si="26"/>
        <v>11</v>
      </c>
      <c r="W88" s="1">
        <f t="shared" si="27"/>
        <v>6.6575882368156618</v>
      </c>
      <c r="X88" s="1">
        <v>383.94839999999999</v>
      </c>
      <c r="Y88" s="1">
        <v>385.58100000000002</v>
      </c>
      <c r="Z88" s="1">
        <v>416.45319999999998</v>
      </c>
      <c r="AA88" s="1">
        <v>410.62759999999997</v>
      </c>
      <c r="AB88" s="1">
        <v>387.19619999999998</v>
      </c>
      <c r="AC88" s="1">
        <v>392.48200000000003</v>
      </c>
      <c r="AD88" s="1">
        <v>416.58600000000001</v>
      </c>
      <c r="AE88" s="1">
        <v>357.05779999999999</v>
      </c>
      <c r="AF88" s="1">
        <v>324.1216</v>
      </c>
      <c r="AG88" s="1">
        <v>309.94779999999997</v>
      </c>
      <c r="AH88" s="1"/>
      <c r="AI88" s="1">
        <f t="shared" si="30"/>
        <v>734</v>
      </c>
      <c r="AJ88" s="1">
        <f t="shared" si="31"/>
        <v>700</v>
      </c>
      <c r="AK88" s="1">
        <f t="shared" si="32"/>
        <v>1000</v>
      </c>
      <c r="AL88" s="1">
        <f t="shared" si="33"/>
        <v>425.26580000000001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205</v>
      </c>
      <c r="B89" s="1" t="s">
        <v>35</v>
      </c>
      <c r="C89" s="1">
        <v>3929.7440000000001</v>
      </c>
      <c r="D89" s="1">
        <v>2890.1909999999998</v>
      </c>
      <c r="E89" s="1">
        <v>2568.1149999999998</v>
      </c>
      <c r="F89" s="1">
        <v>4133.598</v>
      </c>
      <c r="G89" s="6">
        <v>1</v>
      </c>
      <c r="H89" s="1">
        <v>60</v>
      </c>
      <c r="I89" s="1" t="s">
        <v>206</v>
      </c>
      <c r="J89" s="1"/>
      <c r="K89" s="1">
        <v>2589</v>
      </c>
      <c r="L89" s="1">
        <f t="shared" si="24"/>
        <v>-20.885000000000218</v>
      </c>
      <c r="M89" s="1"/>
      <c r="N89" s="1"/>
      <c r="O89" s="1">
        <v>546.3971930000007</v>
      </c>
      <c r="P89" s="1">
        <f t="shared" si="25"/>
        <v>513.62299999999993</v>
      </c>
      <c r="Q89" s="5">
        <f t="shared" si="19"/>
        <v>969.8578069999985</v>
      </c>
      <c r="R89" s="5">
        <f t="shared" si="34"/>
        <v>1678.6575469999984</v>
      </c>
      <c r="S89" s="5">
        <f t="shared" si="29"/>
        <v>878.65754699999843</v>
      </c>
      <c r="T89" s="5">
        <v>800</v>
      </c>
      <c r="U89" s="5"/>
      <c r="V89" s="1">
        <f t="shared" si="26"/>
        <v>11</v>
      </c>
      <c r="W89" s="1">
        <f t="shared" si="27"/>
        <v>9.1117321323227376</v>
      </c>
      <c r="X89" s="1">
        <v>557.21199999999999</v>
      </c>
      <c r="Y89" s="1">
        <v>534.47</v>
      </c>
      <c r="Z89" s="1">
        <v>581.125</v>
      </c>
      <c r="AA89" s="1">
        <v>584.60559999999998</v>
      </c>
      <c r="AB89" s="1">
        <v>463.70979999999997</v>
      </c>
      <c r="AC89" s="1">
        <v>449.28960000000001</v>
      </c>
      <c r="AD89" s="1">
        <v>497.07560000000001</v>
      </c>
      <c r="AE89" s="1">
        <v>432.53879999999998</v>
      </c>
      <c r="AF89" s="1">
        <v>381.64859999999999</v>
      </c>
      <c r="AG89" s="1">
        <v>308.89019999999999</v>
      </c>
      <c r="AH89" s="1"/>
      <c r="AI89" s="1">
        <f t="shared" si="30"/>
        <v>879</v>
      </c>
      <c r="AJ89" s="1">
        <f t="shared" si="31"/>
        <v>800</v>
      </c>
      <c r="AK89" s="1">
        <f t="shared" si="32"/>
        <v>0</v>
      </c>
      <c r="AL89" s="1">
        <f t="shared" si="33"/>
        <v>513.62299999999993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207</v>
      </c>
      <c r="B90" s="1" t="s">
        <v>35</v>
      </c>
      <c r="C90" s="1">
        <v>4124.9849999999997</v>
      </c>
      <c r="D90" s="1">
        <v>3039.538</v>
      </c>
      <c r="E90" s="1">
        <v>3066.6729999999998</v>
      </c>
      <c r="F90" s="1">
        <v>3945.3739999999998</v>
      </c>
      <c r="G90" s="6">
        <v>1</v>
      </c>
      <c r="H90" s="1">
        <v>60</v>
      </c>
      <c r="I90" s="1" t="s">
        <v>208</v>
      </c>
      <c r="J90" s="1"/>
      <c r="K90" s="1">
        <v>3073.4</v>
      </c>
      <c r="L90" s="1">
        <f t="shared" si="24"/>
        <v>-6.7270000000003165</v>
      </c>
      <c r="M90" s="1"/>
      <c r="N90" s="1"/>
      <c r="O90" s="1">
        <v>874.87618119999934</v>
      </c>
      <c r="P90" s="1">
        <f t="shared" si="25"/>
        <v>613.33459999999991</v>
      </c>
      <c r="Q90" s="5">
        <f t="shared" si="19"/>
        <v>1926.4304187999996</v>
      </c>
      <c r="R90" s="5">
        <f t="shared" si="34"/>
        <v>2772.8321667999994</v>
      </c>
      <c r="S90" s="5">
        <f t="shared" si="29"/>
        <v>772.83216679999941</v>
      </c>
      <c r="T90" s="5">
        <v>1000</v>
      </c>
      <c r="U90" s="5">
        <v>1000</v>
      </c>
      <c r="V90" s="1">
        <f t="shared" si="26"/>
        <v>11</v>
      </c>
      <c r="W90" s="1">
        <f t="shared" si="27"/>
        <v>7.8590873255805231</v>
      </c>
      <c r="X90" s="1">
        <v>604.15620000000001</v>
      </c>
      <c r="Y90" s="1">
        <v>555.69460000000004</v>
      </c>
      <c r="Z90" s="1">
        <v>579.61239999999998</v>
      </c>
      <c r="AA90" s="1">
        <v>611.62079999999992</v>
      </c>
      <c r="AB90" s="1">
        <v>529.55100000000004</v>
      </c>
      <c r="AC90" s="1">
        <v>545.48260000000005</v>
      </c>
      <c r="AD90" s="1">
        <v>597.17640000000006</v>
      </c>
      <c r="AE90" s="1">
        <v>524.64340000000004</v>
      </c>
      <c r="AF90" s="1">
        <v>488.06000000000012</v>
      </c>
      <c r="AG90" s="1">
        <v>542.36059999999998</v>
      </c>
      <c r="AH90" s="1"/>
      <c r="AI90" s="1">
        <f t="shared" si="30"/>
        <v>773</v>
      </c>
      <c r="AJ90" s="1">
        <f t="shared" si="31"/>
        <v>1000</v>
      </c>
      <c r="AK90" s="1">
        <f t="shared" si="32"/>
        <v>1000</v>
      </c>
      <c r="AL90" s="1">
        <f t="shared" si="33"/>
        <v>613.33459999999991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209</v>
      </c>
      <c r="B91" s="1" t="s">
        <v>35</v>
      </c>
      <c r="C91" s="1">
        <v>35.406999999999996</v>
      </c>
      <c r="D91" s="1">
        <v>130</v>
      </c>
      <c r="E91" s="1">
        <v>23.03</v>
      </c>
      <c r="F91" s="1">
        <v>141.02699999999999</v>
      </c>
      <c r="G91" s="6">
        <v>1</v>
      </c>
      <c r="H91" s="1">
        <v>55</v>
      </c>
      <c r="I91" s="1" t="s">
        <v>210</v>
      </c>
      <c r="J91" s="1"/>
      <c r="K91" s="1">
        <v>25.1</v>
      </c>
      <c r="L91" s="1">
        <f t="shared" si="24"/>
        <v>-2.0700000000000003</v>
      </c>
      <c r="M91" s="1"/>
      <c r="N91" s="1"/>
      <c r="O91" s="1">
        <v>72.310400000000001</v>
      </c>
      <c r="P91" s="1">
        <f t="shared" si="25"/>
        <v>4.6059999999999999</v>
      </c>
      <c r="Q91" s="5"/>
      <c r="R91" s="5">
        <f t="shared" si="28"/>
        <v>0</v>
      </c>
      <c r="S91" s="5">
        <f t="shared" si="29"/>
        <v>0</v>
      </c>
      <c r="T91" s="5"/>
      <c r="U91" s="5"/>
      <c r="V91" s="1">
        <f t="shared" si="26"/>
        <v>46.317281806339558</v>
      </c>
      <c r="W91" s="1">
        <f t="shared" si="27"/>
        <v>46.317281806339558</v>
      </c>
      <c r="X91" s="1">
        <v>19.7072</v>
      </c>
      <c r="Y91" s="1">
        <v>20.521999999999998</v>
      </c>
      <c r="Z91" s="1">
        <v>0.54480000000000006</v>
      </c>
      <c r="AA91" s="1">
        <v>0.27479999999999999</v>
      </c>
      <c r="AB91" s="1">
        <v>9.0836000000000006</v>
      </c>
      <c r="AC91" s="1">
        <v>8.8087999999999997</v>
      </c>
      <c r="AD91" s="1">
        <v>9.4116</v>
      </c>
      <c r="AE91" s="1">
        <v>8.0733999999999995</v>
      </c>
      <c r="AF91" s="1">
        <v>7.2638000000000007</v>
      </c>
      <c r="AG91" s="1">
        <v>0.80359999999999998</v>
      </c>
      <c r="AH91" s="14" t="s">
        <v>48</v>
      </c>
      <c r="AI91" s="1">
        <f t="shared" si="30"/>
        <v>0</v>
      </c>
      <c r="AJ91" s="1">
        <f t="shared" si="31"/>
        <v>0</v>
      </c>
      <c r="AK91" s="1">
        <f t="shared" si="32"/>
        <v>0</v>
      </c>
      <c r="AL91" s="1">
        <f t="shared" si="33"/>
        <v>4.6059999999999999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211</v>
      </c>
      <c r="B92" s="1" t="s">
        <v>35</v>
      </c>
      <c r="C92" s="1">
        <v>27.821000000000002</v>
      </c>
      <c r="D92" s="1">
        <v>32.475000000000001</v>
      </c>
      <c r="E92" s="1">
        <v>20.555</v>
      </c>
      <c r="F92" s="1">
        <v>38.401000000000003</v>
      </c>
      <c r="G92" s="6">
        <v>1</v>
      </c>
      <c r="H92" s="1">
        <v>55</v>
      </c>
      <c r="I92" s="1" t="s">
        <v>212</v>
      </c>
      <c r="J92" s="1"/>
      <c r="K92" s="1">
        <v>20.8</v>
      </c>
      <c r="L92" s="1">
        <f t="shared" si="24"/>
        <v>-0.24500000000000099</v>
      </c>
      <c r="M92" s="1"/>
      <c r="N92" s="1"/>
      <c r="O92" s="1">
        <v>15.228039999999989</v>
      </c>
      <c r="P92" s="1">
        <f t="shared" si="25"/>
        <v>4.1109999999999998</v>
      </c>
      <c r="Q92" s="5"/>
      <c r="R92" s="5">
        <f t="shared" si="28"/>
        <v>0</v>
      </c>
      <c r="S92" s="5">
        <f t="shared" si="29"/>
        <v>0</v>
      </c>
      <c r="T92" s="5"/>
      <c r="U92" s="5"/>
      <c r="V92" s="1">
        <f t="shared" si="26"/>
        <v>13.045254196059352</v>
      </c>
      <c r="W92" s="1">
        <f t="shared" si="27"/>
        <v>13.045254196059352</v>
      </c>
      <c r="X92" s="1">
        <v>5.1212</v>
      </c>
      <c r="Y92" s="1">
        <v>5.0456000000000003</v>
      </c>
      <c r="Z92" s="1">
        <v>4.5573999999999986</v>
      </c>
      <c r="AA92" s="1">
        <v>4.0289999999999999</v>
      </c>
      <c r="AB92" s="1">
        <v>4.6223999999999998</v>
      </c>
      <c r="AC92" s="1">
        <v>5.1738</v>
      </c>
      <c r="AD92" s="1">
        <v>6.4451999999999998</v>
      </c>
      <c r="AE92" s="1">
        <v>3.7486000000000002</v>
      </c>
      <c r="AF92" s="1">
        <v>6.1978</v>
      </c>
      <c r="AG92" s="1">
        <v>5.0119999999999996</v>
      </c>
      <c r="AH92" s="1"/>
      <c r="AI92" s="1">
        <f t="shared" si="30"/>
        <v>0</v>
      </c>
      <c r="AJ92" s="1">
        <f t="shared" si="31"/>
        <v>0</v>
      </c>
      <c r="AK92" s="1">
        <f t="shared" si="32"/>
        <v>0</v>
      </c>
      <c r="AL92" s="1">
        <f t="shared" si="33"/>
        <v>4.1109999999999998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9" t="s">
        <v>213</v>
      </c>
      <c r="B93" s="9" t="s">
        <v>35</v>
      </c>
      <c r="C93" s="9"/>
      <c r="D93" s="9">
        <v>403.15499999999997</v>
      </c>
      <c r="E93" s="9">
        <v>5.3470000000000004</v>
      </c>
      <c r="F93" s="9">
        <v>395.029</v>
      </c>
      <c r="G93" s="10">
        <v>0</v>
      </c>
      <c r="H93" s="9"/>
      <c r="I93" s="9" t="s">
        <v>50</v>
      </c>
      <c r="J93" s="9"/>
      <c r="K93" s="9">
        <v>4.8</v>
      </c>
      <c r="L93" s="9">
        <f t="shared" si="24"/>
        <v>0.5470000000000006</v>
      </c>
      <c r="M93" s="9"/>
      <c r="N93" s="9"/>
      <c r="O93" s="9"/>
      <c r="P93" s="9">
        <f t="shared" si="25"/>
        <v>1.0694000000000001</v>
      </c>
      <c r="Q93" s="11"/>
      <c r="R93" s="5">
        <f t="shared" si="28"/>
        <v>0</v>
      </c>
      <c r="S93" s="5">
        <f t="shared" si="29"/>
        <v>0</v>
      </c>
      <c r="T93" s="11"/>
      <c r="U93" s="11"/>
      <c r="V93" s="9">
        <f t="shared" si="26"/>
        <v>369.39311763605758</v>
      </c>
      <c r="W93" s="9">
        <f t="shared" si="27"/>
        <v>369.39311763605758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 t="s">
        <v>282</v>
      </c>
      <c r="AI93" s="1">
        <f t="shared" si="30"/>
        <v>0</v>
      </c>
      <c r="AJ93" s="1">
        <f t="shared" si="31"/>
        <v>0</v>
      </c>
      <c r="AK93" s="1">
        <f t="shared" si="32"/>
        <v>0</v>
      </c>
      <c r="AL93" s="1">
        <f t="shared" si="33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214</v>
      </c>
      <c r="B94" s="1" t="s">
        <v>42</v>
      </c>
      <c r="C94" s="1">
        <v>324</v>
      </c>
      <c r="D94" s="1">
        <v>104</v>
      </c>
      <c r="E94" s="1">
        <v>209</v>
      </c>
      <c r="F94" s="1">
        <v>186</v>
      </c>
      <c r="G94" s="6">
        <v>0.3</v>
      </c>
      <c r="H94" s="1">
        <v>40</v>
      </c>
      <c r="I94" s="1" t="s">
        <v>215</v>
      </c>
      <c r="J94" s="1"/>
      <c r="K94" s="1">
        <v>232</v>
      </c>
      <c r="L94" s="1">
        <f t="shared" si="24"/>
        <v>-23</v>
      </c>
      <c r="M94" s="1"/>
      <c r="N94" s="1"/>
      <c r="O94" s="1">
        <v>179.58800000000011</v>
      </c>
      <c r="P94" s="1">
        <f t="shared" si="25"/>
        <v>41.8</v>
      </c>
      <c r="Q94" s="5">
        <f t="shared" ref="Q94:Q124" si="35">11*P94-O94-F94</f>
        <v>94.211999999999875</v>
      </c>
      <c r="R94" s="5">
        <f t="shared" si="28"/>
        <v>94.211999999999875</v>
      </c>
      <c r="S94" s="5">
        <f t="shared" si="29"/>
        <v>94.211999999999875</v>
      </c>
      <c r="T94" s="5"/>
      <c r="U94" s="5"/>
      <c r="V94" s="1">
        <f t="shared" si="26"/>
        <v>11</v>
      </c>
      <c r="W94" s="1">
        <f t="shared" si="27"/>
        <v>8.7461244019138782</v>
      </c>
      <c r="X94" s="1">
        <v>41.6</v>
      </c>
      <c r="Y94" s="1">
        <v>37.4</v>
      </c>
      <c r="Z94" s="1">
        <v>36.6</v>
      </c>
      <c r="AA94" s="1">
        <v>44.6</v>
      </c>
      <c r="AB94" s="1">
        <v>40</v>
      </c>
      <c r="AC94" s="1">
        <v>20</v>
      </c>
      <c r="AD94" s="1">
        <v>30.8</v>
      </c>
      <c r="AE94" s="1">
        <v>34.200000000000003</v>
      </c>
      <c r="AF94" s="1">
        <v>33</v>
      </c>
      <c r="AG94" s="1">
        <v>36.6</v>
      </c>
      <c r="AH94" s="1"/>
      <c r="AI94" s="1">
        <f t="shared" si="30"/>
        <v>28</v>
      </c>
      <c r="AJ94" s="1">
        <f t="shared" si="31"/>
        <v>0</v>
      </c>
      <c r="AK94" s="1">
        <f t="shared" si="32"/>
        <v>0</v>
      </c>
      <c r="AL94" s="1">
        <f t="shared" si="33"/>
        <v>12.54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57</v>
      </c>
      <c r="B95" s="1" t="s">
        <v>42</v>
      </c>
      <c r="C95" s="1">
        <v>188</v>
      </c>
      <c r="D95" s="1">
        <v>200</v>
      </c>
      <c r="E95" s="1">
        <v>175</v>
      </c>
      <c r="F95" s="12">
        <f>206+F15</f>
        <v>204</v>
      </c>
      <c r="G95" s="6">
        <v>0.3</v>
      </c>
      <c r="H95" s="1">
        <v>40</v>
      </c>
      <c r="I95" s="1" t="s">
        <v>216</v>
      </c>
      <c r="J95" s="1"/>
      <c r="K95" s="1">
        <v>221</v>
      </c>
      <c r="L95" s="1">
        <f t="shared" si="24"/>
        <v>-46</v>
      </c>
      <c r="M95" s="1"/>
      <c r="N95" s="1"/>
      <c r="O95" s="1">
        <v>117.1999999999999</v>
      </c>
      <c r="P95" s="1">
        <f t="shared" si="25"/>
        <v>35</v>
      </c>
      <c r="Q95" s="5">
        <f t="shared" si="35"/>
        <v>63.800000000000068</v>
      </c>
      <c r="R95" s="5">
        <f t="shared" si="28"/>
        <v>63.800000000000068</v>
      </c>
      <c r="S95" s="5">
        <f t="shared" si="29"/>
        <v>63.800000000000068</v>
      </c>
      <c r="T95" s="5"/>
      <c r="U95" s="5"/>
      <c r="V95" s="1">
        <f t="shared" si="26"/>
        <v>11</v>
      </c>
      <c r="W95" s="1">
        <f t="shared" si="27"/>
        <v>9.1771428571428544</v>
      </c>
      <c r="X95" s="1">
        <v>38.799999999999997</v>
      </c>
      <c r="Y95" s="1">
        <v>41.6</v>
      </c>
      <c r="Z95" s="1">
        <v>11.8</v>
      </c>
      <c r="AA95" s="1">
        <v>3.2</v>
      </c>
      <c r="AB95" s="1">
        <v>15.2</v>
      </c>
      <c r="AC95" s="1">
        <v>21.8</v>
      </c>
      <c r="AD95" s="1">
        <v>36.6</v>
      </c>
      <c r="AE95" s="1">
        <v>18.399999999999999</v>
      </c>
      <c r="AF95" s="1">
        <v>27.8</v>
      </c>
      <c r="AG95" s="1">
        <v>17.600000000000001</v>
      </c>
      <c r="AH95" s="1"/>
      <c r="AI95" s="1">
        <f t="shared" si="30"/>
        <v>19</v>
      </c>
      <c r="AJ95" s="1">
        <f t="shared" si="31"/>
        <v>0</v>
      </c>
      <c r="AK95" s="1">
        <f t="shared" si="32"/>
        <v>0</v>
      </c>
      <c r="AL95" s="1">
        <f t="shared" si="33"/>
        <v>10.5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217</v>
      </c>
      <c r="B96" s="1" t="s">
        <v>42</v>
      </c>
      <c r="C96" s="1">
        <v>119</v>
      </c>
      <c r="D96" s="1">
        <v>18</v>
      </c>
      <c r="E96" s="1">
        <v>51</v>
      </c>
      <c r="F96" s="1">
        <v>77</v>
      </c>
      <c r="G96" s="6">
        <v>7.0000000000000007E-2</v>
      </c>
      <c r="H96" s="1">
        <v>60</v>
      </c>
      <c r="I96" s="1" t="s">
        <v>218</v>
      </c>
      <c r="J96" s="1"/>
      <c r="K96" s="1">
        <v>54</v>
      </c>
      <c r="L96" s="1">
        <f t="shared" si="24"/>
        <v>-3</v>
      </c>
      <c r="M96" s="1"/>
      <c r="N96" s="1"/>
      <c r="O96" s="1">
        <v>10.59999999999998</v>
      </c>
      <c r="P96" s="1">
        <f t="shared" si="25"/>
        <v>10.199999999999999</v>
      </c>
      <c r="Q96" s="5">
        <f t="shared" si="35"/>
        <v>24.600000000000009</v>
      </c>
      <c r="R96" s="5">
        <f t="shared" si="28"/>
        <v>24.600000000000009</v>
      </c>
      <c r="S96" s="5">
        <f t="shared" si="29"/>
        <v>24.600000000000009</v>
      </c>
      <c r="T96" s="5"/>
      <c r="U96" s="5"/>
      <c r="V96" s="1">
        <f t="shared" si="26"/>
        <v>11</v>
      </c>
      <c r="W96" s="1">
        <f t="shared" si="27"/>
        <v>8.588235294117645</v>
      </c>
      <c r="X96" s="1">
        <v>10.199999999999999</v>
      </c>
      <c r="Y96" s="1">
        <v>11.8</v>
      </c>
      <c r="Z96" s="1">
        <v>10.199999999999999</v>
      </c>
      <c r="AA96" s="1">
        <v>4</v>
      </c>
      <c r="AB96" s="1">
        <v>-1.4</v>
      </c>
      <c r="AC96" s="1">
        <v>1.6</v>
      </c>
      <c r="AD96" s="1">
        <v>9.8000000000000007</v>
      </c>
      <c r="AE96" s="1">
        <v>13.8</v>
      </c>
      <c r="AF96" s="1">
        <v>10.8</v>
      </c>
      <c r="AG96" s="1">
        <v>9.1999999999999993</v>
      </c>
      <c r="AH96" s="1"/>
      <c r="AI96" s="1">
        <f t="shared" si="30"/>
        <v>2</v>
      </c>
      <c r="AJ96" s="1">
        <f t="shared" si="31"/>
        <v>0</v>
      </c>
      <c r="AK96" s="1">
        <f t="shared" si="32"/>
        <v>0</v>
      </c>
      <c r="AL96" s="1">
        <f t="shared" si="33"/>
        <v>0.71399999999999997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219</v>
      </c>
      <c r="B97" s="1" t="s">
        <v>42</v>
      </c>
      <c r="C97" s="1">
        <v>163</v>
      </c>
      <c r="D97" s="1">
        <v>182</v>
      </c>
      <c r="E97" s="1">
        <v>187</v>
      </c>
      <c r="F97" s="1">
        <v>140</v>
      </c>
      <c r="G97" s="6">
        <v>7.0000000000000007E-2</v>
      </c>
      <c r="H97" s="1">
        <v>90</v>
      </c>
      <c r="I97" s="1" t="s">
        <v>220</v>
      </c>
      <c r="J97" s="1"/>
      <c r="K97" s="1">
        <v>192</v>
      </c>
      <c r="L97" s="1">
        <f t="shared" si="24"/>
        <v>-5</v>
      </c>
      <c r="M97" s="1"/>
      <c r="N97" s="1"/>
      <c r="O97" s="1">
        <v>277.99999999999989</v>
      </c>
      <c r="P97" s="1">
        <f t="shared" si="25"/>
        <v>37.4</v>
      </c>
      <c r="Q97" s="5"/>
      <c r="R97" s="5">
        <f t="shared" si="28"/>
        <v>0</v>
      </c>
      <c r="S97" s="5">
        <f t="shared" si="29"/>
        <v>0</v>
      </c>
      <c r="T97" s="5"/>
      <c r="U97" s="5"/>
      <c r="V97" s="1">
        <f t="shared" si="26"/>
        <v>11.176470588235292</v>
      </c>
      <c r="W97" s="1">
        <f t="shared" si="27"/>
        <v>11.176470588235292</v>
      </c>
      <c r="X97" s="1">
        <v>44.8</v>
      </c>
      <c r="Y97" s="1">
        <v>41</v>
      </c>
      <c r="Z97" s="1">
        <v>36.200000000000003</v>
      </c>
      <c r="AA97" s="1">
        <v>28.2</v>
      </c>
      <c r="AB97" s="1">
        <v>16.600000000000001</v>
      </c>
      <c r="AC97" s="1">
        <v>26.4</v>
      </c>
      <c r="AD97" s="1">
        <v>44.2</v>
      </c>
      <c r="AE97" s="1">
        <v>27</v>
      </c>
      <c r="AF97" s="1">
        <v>28.4</v>
      </c>
      <c r="AG97" s="1">
        <v>35</v>
      </c>
      <c r="AH97" s="1"/>
      <c r="AI97" s="1">
        <f t="shared" si="30"/>
        <v>0</v>
      </c>
      <c r="AJ97" s="1">
        <f t="shared" si="31"/>
        <v>0</v>
      </c>
      <c r="AK97" s="1">
        <f t="shared" si="32"/>
        <v>0</v>
      </c>
      <c r="AL97" s="1">
        <f t="shared" si="33"/>
        <v>2.6180000000000003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221</v>
      </c>
      <c r="B98" s="1" t="s">
        <v>42</v>
      </c>
      <c r="C98" s="1">
        <v>168</v>
      </c>
      <c r="D98" s="1">
        <v>146</v>
      </c>
      <c r="E98" s="1">
        <v>122</v>
      </c>
      <c r="F98" s="1">
        <v>175</v>
      </c>
      <c r="G98" s="6">
        <v>7.0000000000000007E-2</v>
      </c>
      <c r="H98" s="1">
        <v>90</v>
      </c>
      <c r="I98" s="1" t="s">
        <v>222</v>
      </c>
      <c r="J98" s="1"/>
      <c r="K98" s="1">
        <v>128</v>
      </c>
      <c r="L98" s="1">
        <f t="shared" si="24"/>
        <v>-6</v>
      </c>
      <c r="M98" s="1"/>
      <c r="N98" s="1"/>
      <c r="O98" s="1">
        <v>76.411999999999978</v>
      </c>
      <c r="P98" s="1">
        <f t="shared" si="25"/>
        <v>24.4</v>
      </c>
      <c r="Q98" s="5">
        <f t="shared" si="35"/>
        <v>16.988</v>
      </c>
      <c r="R98" s="5">
        <f t="shared" si="28"/>
        <v>16.988</v>
      </c>
      <c r="S98" s="5">
        <f t="shared" si="29"/>
        <v>16.988</v>
      </c>
      <c r="T98" s="5"/>
      <c r="U98" s="5"/>
      <c r="V98" s="1">
        <f t="shared" si="26"/>
        <v>11</v>
      </c>
      <c r="W98" s="1">
        <f t="shared" si="27"/>
        <v>10.303770491803279</v>
      </c>
      <c r="X98" s="1">
        <v>26.8</v>
      </c>
      <c r="Y98" s="1">
        <v>27</v>
      </c>
      <c r="Z98" s="1">
        <v>26.4</v>
      </c>
      <c r="AA98" s="1">
        <v>25.4</v>
      </c>
      <c r="AB98" s="1">
        <v>19.399999999999999</v>
      </c>
      <c r="AC98" s="1">
        <v>21.4</v>
      </c>
      <c r="AD98" s="1">
        <v>29.6</v>
      </c>
      <c r="AE98" s="1">
        <v>22</v>
      </c>
      <c r="AF98" s="1">
        <v>21.6</v>
      </c>
      <c r="AG98" s="1">
        <v>24.6</v>
      </c>
      <c r="AH98" s="1"/>
      <c r="AI98" s="1">
        <f t="shared" si="30"/>
        <v>1</v>
      </c>
      <c r="AJ98" s="1">
        <f t="shared" si="31"/>
        <v>0</v>
      </c>
      <c r="AK98" s="1">
        <f t="shared" si="32"/>
        <v>0</v>
      </c>
      <c r="AL98" s="1">
        <f t="shared" si="33"/>
        <v>1.708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223</v>
      </c>
      <c r="B99" s="1" t="s">
        <v>42</v>
      </c>
      <c r="C99" s="1">
        <v>170</v>
      </c>
      <c r="D99" s="1">
        <v>54</v>
      </c>
      <c r="E99" s="1">
        <v>92</v>
      </c>
      <c r="F99" s="1">
        <v>122</v>
      </c>
      <c r="G99" s="6">
        <v>0.05</v>
      </c>
      <c r="H99" s="1">
        <v>90</v>
      </c>
      <c r="I99" s="1" t="s">
        <v>224</v>
      </c>
      <c r="J99" s="1"/>
      <c r="K99" s="1">
        <v>93</v>
      </c>
      <c r="L99" s="1">
        <f t="shared" si="24"/>
        <v>-1</v>
      </c>
      <c r="M99" s="1"/>
      <c r="N99" s="1"/>
      <c r="O99" s="1">
        <v>34.399999999999977</v>
      </c>
      <c r="P99" s="1">
        <f t="shared" si="25"/>
        <v>18.399999999999999</v>
      </c>
      <c r="Q99" s="5">
        <f t="shared" si="35"/>
        <v>46</v>
      </c>
      <c r="R99" s="5">
        <f t="shared" si="28"/>
        <v>46</v>
      </c>
      <c r="S99" s="5">
        <f t="shared" si="29"/>
        <v>46</v>
      </c>
      <c r="T99" s="5"/>
      <c r="U99" s="5"/>
      <c r="V99" s="1">
        <f t="shared" si="26"/>
        <v>11</v>
      </c>
      <c r="W99" s="1">
        <f t="shared" si="27"/>
        <v>8.5</v>
      </c>
      <c r="X99" s="1">
        <v>18.2</v>
      </c>
      <c r="Y99" s="1">
        <v>16.8</v>
      </c>
      <c r="Z99" s="1">
        <v>18.600000000000001</v>
      </c>
      <c r="AA99" s="1">
        <v>20.2</v>
      </c>
      <c r="AB99" s="1">
        <v>18.600000000000001</v>
      </c>
      <c r="AC99" s="1">
        <v>18</v>
      </c>
      <c r="AD99" s="1">
        <v>13.2</v>
      </c>
      <c r="AE99" s="1">
        <v>18.8</v>
      </c>
      <c r="AF99" s="1">
        <v>17.2</v>
      </c>
      <c r="AG99" s="1">
        <v>11.2</v>
      </c>
      <c r="AH99" s="1"/>
      <c r="AI99" s="1">
        <f t="shared" si="30"/>
        <v>2</v>
      </c>
      <c r="AJ99" s="1">
        <f t="shared" si="31"/>
        <v>0</v>
      </c>
      <c r="AK99" s="1">
        <f t="shared" si="32"/>
        <v>0</v>
      </c>
      <c r="AL99" s="1">
        <f t="shared" si="33"/>
        <v>0.91999999999999993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5" t="s">
        <v>225</v>
      </c>
      <c r="B100" s="15" t="s">
        <v>42</v>
      </c>
      <c r="C100" s="15">
        <v>-1</v>
      </c>
      <c r="D100" s="15"/>
      <c r="E100" s="15"/>
      <c r="F100" s="15">
        <v>-1</v>
      </c>
      <c r="G100" s="16">
        <v>5.5E-2</v>
      </c>
      <c r="H100" s="15"/>
      <c r="I100" s="15" t="s">
        <v>226</v>
      </c>
      <c r="J100" s="15"/>
      <c r="K100" s="15"/>
      <c r="L100" s="15">
        <f t="shared" si="24"/>
        <v>0</v>
      </c>
      <c r="M100" s="15"/>
      <c r="N100" s="15"/>
      <c r="O100" s="15"/>
      <c r="P100" s="15">
        <f t="shared" si="25"/>
        <v>0</v>
      </c>
      <c r="Q100" s="17"/>
      <c r="R100" s="5">
        <f t="shared" si="28"/>
        <v>0</v>
      </c>
      <c r="S100" s="5">
        <f t="shared" si="29"/>
        <v>0</v>
      </c>
      <c r="T100" s="17"/>
      <c r="U100" s="17"/>
      <c r="V100" s="15" t="e">
        <f t="shared" si="26"/>
        <v>#DIV/0!</v>
      </c>
      <c r="W100" s="15" t="e">
        <f t="shared" si="27"/>
        <v>#DIV/0!</v>
      </c>
      <c r="X100" s="15">
        <v>-0.2</v>
      </c>
      <c r="Y100" s="15">
        <v>-0.2</v>
      </c>
      <c r="Z100" s="15">
        <v>3.2</v>
      </c>
      <c r="AA100" s="15">
        <v>9</v>
      </c>
      <c r="AB100" s="15">
        <v>15.8</v>
      </c>
      <c r="AC100" s="15">
        <v>17.2</v>
      </c>
      <c r="AD100" s="15">
        <v>14.2</v>
      </c>
      <c r="AE100" s="15">
        <v>14</v>
      </c>
      <c r="AF100" s="15">
        <v>11.2</v>
      </c>
      <c r="AG100" s="15">
        <v>11.8</v>
      </c>
      <c r="AH100" s="15" t="s">
        <v>227</v>
      </c>
      <c r="AI100" s="1">
        <f t="shared" si="30"/>
        <v>0</v>
      </c>
      <c r="AJ100" s="1">
        <f t="shared" si="31"/>
        <v>0</v>
      </c>
      <c r="AK100" s="1">
        <f t="shared" si="32"/>
        <v>0</v>
      </c>
      <c r="AL100" s="1">
        <f t="shared" si="33"/>
        <v>0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5" t="s">
        <v>228</v>
      </c>
      <c r="B101" s="15" t="s">
        <v>42</v>
      </c>
      <c r="C101" s="15">
        <v>93</v>
      </c>
      <c r="D101" s="15"/>
      <c r="E101" s="15">
        <v>70</v>
      </c>
      <c r="F101" s="15">
        <v>7</v>
      </c>
      <c r="G101" s="16">
        <v>5.5E-2</v>
      </c>
      <c r="H101" s="15"/>
      <c r="I101" s="15" t="s">
        <v>229</v>
      </c>
      <c r="J101" s="15"/>
      <c r="K101" s="15">
        <v>84</v>
      </c>
      <c r="L101" s="15">
        <f t="shared" si="24"/>
        <v>-14</v>
      </c>
      <c r="M101" s="15"/>
      <c r="N101" s="15"/>
      <c r="O101" s="15"/>
      <c r="P101" s="15">
        <f t="shared" si="25"/>
        <v>14</v>
      </c>
      <c r="Q101" s="17"/>
      <c r="R101" s="5">
        <f t="shared" si="28"/>
        <v>0</v>
      </c>
      <c r="S101" s="5">
        <f t="shared" si="29"/>
        <v>0</v>
      </c>
      <c r="T101" s="17"/>
      <c r="U101" s="17"/>
      <c r="V101" s="15">
        <f t="shared" si="26"/>
        <v>0.5</v>
      </c>
      <c r="W101" s="15">
        <f t="shared" si="27"/>
        <v>0.5</v>
      </c>
      <c r="X101" s="15">
        <v>12.4</v>
      </c>
      <c r="Y101" s="15">
        <v>11.8</v>
      </c>
      <c r="Z101" s="15">
        <v>13.8</v>
      </c>
      <c r="AA101" s="15">
        <v>13.2</v>
      </c>
      <c r="AB101" s="15">
        <v>8.4</v>
      </c>
      <c r="AC101" s="15">
        <v>10.199999999999999</v>
      </c>
      <c r="AD101" s="15">
        <v>12.8</v>
      </c>
      <c r="AE101" s="15">
        <v>10.8</v>
      </c>
      <c r="AF101" s="15">
        <v>9.8000000000000007</v>
      </c>
      <c r="AG101" s="15">
        <v>7.6</v>
      </c>
      <c r="AH101" s="15" t="s">
        <v>227</v>
      </c>
      <c r="AI101" s="1">
        <f t="shared" si="30"/>
        <v>0</v>
      </c>
      <c r="AJ101" s="1">
        <f t="shared" si="31"/>
        <v>0</v>
      </c>
      <c r="AK101" s="1">
        <f t="shared" si="32"/>
        <v>0</v>
      </c>
      <c r="AL101" s="1">
        <f t="shared" si="33"/>
        <v>0.77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230</v>
      </c>
      <c r="B102" s="1" t="s">
        <v>42</v>
      </c>
      <c r="C102" s="1">
        <v>36</v>
      </c>
      <c r="D102" s="1"/>
      <c r="E102" s="1">
        <v>5</v>
      </c>
      <c r="F102" s="1">
        <v>31</v>
      </c>
      <c r="G102" s="6">
        <v>0.4</v>
      </c>
      <c r="H102" s="1">
        <v>60</v>
      </c>
      <c r="I102" s="1" t="s">
        <v>231</v>
      </c>
      <c r="J102" s="1"/>
      <c r="K102" s="1">
        <v>5</v>
      </c>
      <c r="L102" s="1">
        <f t="shared" ref="L102:L126" si="36">E102-K102</f>
        <v>0</v>
      </c>
      <c r="M102" s="1"/>
      <c r="N102" s="1"/>
      <c r="O102" s="1"/>
      <c r="P102" s="1">
        <f t="shared" ref="P102:P126" si="37">E102/5</f>
        <v>1</v>
      </c>
      <c r="Q102" s="5"/>
      <c r="R102" s="5">
        <f t="shared" si="28"/>
        <v>0</v>
      </c>
      <c r="S102" s="5">
        <f t="shared" si="29"/>
        <v>0</v>
      </c>
      <c r="T102" s="5"/>
      <c r="U102" s="5"/>
      <c r="V102" s="1">
        <f t="shared" ref="V102:V126" si="38">(F102+O102+Q102)/P102</f>
        <v>31</v>
      </c>
      <c r="W102" s="1">
        <f t="shared" ref="W102:W126" si="39">(F102+O102)/P102</f>
        <v>31</v>
      </c>
      <c r="X102" s="1">
        <v>0.6</v>
      </c>
      <c r="Y102" s="1">
        <v>0.8</v>
      </c>
      <c r="Z102" s="1">
        <v>0.8</v>
      </c>
      <c r="AA102" s="1">
        <v>2</v>
      </c>
      <c r="AB102" s="1">
        <v>2</v>
      </c>
      <c r="AC102" s="1">
        <v>0.8</v>
      </c>
      <c r="AD102" s="1">
        <v>1.6</v>
      </c>
      <c r="AE102" s="1">
        <v>0.4</v>
      </c>
      <c r="AF102" s="1">
        <v>0.6</v>
      </c>
      <c r="AG102" s="1">
        <v>-0.4</v>
      </c>
      <c r="AH102" s="14" t="s">
        <v>48</v>
      </c>
      <c r="AI102" s="1">
        <f t="shared" si="30"/>
        <v>0</v>
      </c>
      <c r="AJ102" s="1">
        <f t="shared" si="31"/>
        <v>0</v>
      </c>
      <c r="AK102" s="1">
        <f t="shared" si="32"/>
        <v>0</v>
      </c>
      <c r="AL102" s="1">
        <f t="shared" si="33"/>
        <v>0.4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232</v>
      </c>
      <c r="B103" s="1" t="s">
        <v>42</v>
      </c>
      <c r="C103" s="1">
        <v>150</v>
      </c>
      <c r="D103" s="1">
        <v>342</v>
      </c>
      <c r="E103" s="1">
        <v>171</v>
      </c>
      <c r="F103" s="1">
        <v>305</v>
      </c>
      <c r="G103" s="6">
        <v>0.3</v>
      </c>
      <c r="H103" s="1">
        <v>40</v>
      </c>
      <c r="I103" s="1" t="s">
        <v>233</v>
      </c>
      <c r="J103" s="1"/>
      <c r="K103" s="1">
        <v>179</v>
      </c>
      <c r="L103" s="1">
        <f t="shared" si="36"/>
        <v>-8</v>
      </c>
      <c r="M103" s="1"/>
      <c r="N103" s="1"/>
      <c r="O103" s="1">
        <v>124.1999999999999</v>
      </c>
      <c r="P103" s="1">
        <f t="shared" si="37"/>
        <v>34.200000000000003</v>
      </c>
      <c r="Q103" s="5"/>
      <c r="R103" s="5">
        <f t="shared" si="28"/>
        <v>0</v>
      </c>
      <c r="S103" s="5">
        <f t="shared" si="29"/>
        <v>0</v>
      </c>
      <c r="T103" s="5"/>
      <c r="U103" s="5"/>
      <c r="V103" s="1">
        <f t="shared" si="38"/>
        <v>12.549707602339177</v>
      </c>
      <c r="W103" s="1">
        <f t="shared" si="39"/>
        <v>12.549707602339177</v>
      </c>
      <c r="X103" s="1">
        <v>48.4</v>
      </c>
      <c r="Y103" s="1">
        <v>53.4</v>
      </c>
      <c r="Z103" s="1">
        <v>14.4</v>
      </c>
      <c r="AA103" s="1">
        <v>11.4</v>
      </c>
      <c r="AB103" s="1">
        <v>33.4</v>
      </c>
      <c r="AC103" s="1">
        <v>28</v>
      </c>
      <c r="AD103" s="1">
        <v>24.6</v>
      </c>
      <c r="AE103" s="1">
        <v>25</v>
      </c>
      <c r="AF103" s="1">
        <v>21.8</v>
      </c>
      <c r="AG103" s="1">
        <v>18.399999999999999</v>
      </c>
      <c r="AH103" s="1"/>
      <c r="AI103" s="1">
        <f t="shared" si="30"/>
        <v>0</v>
      </c>
      <c r="AJ103" s="1">
        <f t="shared" si="31"/>
        <v>0</v>
      </c>
      <c r="AK103" s="1">
        <f t="shared" si="32"/>
        <v>0</v>
      </c>
      <c r="AL103" s="1">
        <f t="shared" si="33"/>
        <v>10.26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234</v>
      </c>
      <c r="B104" s="1" t="s">
        <v>35</v>
      </c>
      <c r="C104" s="1">
        <v>79.441000000000003</v>
      </c>
      <c r="D104" s="1">
        <v>153.63900000000001</v>
      </c>
      <c r="E104" s="1">
        <v>101.658</v>
      </c>
      <c r="F104" s="1">
        <v>124.95399999999999</v>
      </c>
      <c r="G104" s="6">
        <v>1</v>
      </c>
      <c r="H104" s="1">
        <v>55</v>
      </c>
      <c r="I104" s="1" t="s">
        <v>235</v>
      </c>
      <c r="J104" s="1"/>
      <c r="K104" s="1">
        <v>88.6</v>
      </c>
      <c r="L104" s="1">
        <f t="shared" si="36"/>
        <v>13.058000000000007</v>
      </c>
      <c r="M104" s="1"/>
      <c r="N104" s="1"/>
      <c r="O104" s="1">
        <v>18.018599999999989</v>
      </c>
      <c r="P104" s="1">
        <f t="shared" si="37"/>
        <v>20.331600000000002</v>
      </c>
      <c r="Q104" s="5">
        <f t="shared" si="35"/>
        <v>80.675000000000026</v>
      </c>
      <c r="R104" s="5">
        <f t="shared" si="28"/>
        <v>80.675000000000026</v>
      </c>
      <c r="S104" s="5">
        <f t="shared" si="29"/>
        <v>80.675000000000026</v>
      </c>
      <c r="T104" s="5"/>
      <c r="U104" s="5"/>
      <c r="V104" s="1">
        <f t="shared" si="38"/>
        <v>11</v>
      </c>
      <c r="W104" s="1">
        <f t="shared" si="39"/>
        <v>7.0320387967498847</v>
      </c>
      <c r="X104" s="1">
        <v>17.024799999999999</v>
      </c>
      <c r="Y104" s="1">
        <v>19.844799999999999</v>
      </c>
      <c r="Z104" s="1">
        <v>21.769400000000001</v>
      </c>
      <c r="AA104" s="1">
        <v>15.845800000000001</v>
      </c>
      <c r="AB104" s="1">
        <v>21.074000000000002</v>
      </c>
      <c r="AC104" s="1">
        <v>24.769600000000001</v>
      </c>
      <c r="AD104" s="1">
        <v>22.8644</v>
      </c>
      <c r="AE104" s="1">
        <v>19.228400000000001</v>
      </c>
      <c r="AF104" s="1">
        <v>15.1296</v>
      </c>
      <c r="AG104" s="1">
        <v>30.543399999999998</v>
      </c>
      <c r="AH104" s="1"/>
      <c r="AI104" s="1">
        <f t="shared" si="30"/>
        <v>81</v>
      </c>
      <c r="AJ104" s="1">
        <f t="shared" si="31"/>
        <v>0</v>
      </c>
      <c r="AK104" s="1">
        <f t="shared" si="32"/>
        <v>0</v>
      </c>
      <c r="AL104" s="1">
        <f t="shared" si="33"/>
        <v>20.331600000000002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236</v>
      </c>
      <c r="B105" s="1" t="s">
        <v>42</v>
      </c>
      <c r="C105" s="1">
        <v>23</v>
      </c>
      <c r="D105" s="1"/>
      <c r="E105" s="1">
        <v>8</v>
      </c>
      <c r="F105" s="1">
        <v>13</v>
      </c>
      <c r="G105" s="6">
        <v>0.1</v>
      </c>
      <c r="H105" s="1">
        <v>30</v>
      </c>
      <c r="I105" s="1" t="s">
        <v>237</v>
      </c>
      <c r="J105" s="1"/>
      <c r="K105" s="1">
        <v>9</v>
      </c>
      <c r="L105" s="1">
        <f t="shared" si="36"/>
        <v>-1</v>
      </c>
      <c r="M105" s="1"/>
      <c r="N105" s="1"/>
      <c r="O105" s="1"/>
      <c r="P105" s="1">
        <f t="shared" si="37"/>
        <v>1.6</v>
      </c>
      <c r="Q105" s="5">
        <v>6</v>
      </c>
      <c r="R105" s="5">
        <f t="shared" si="28"/>
        <v>6</v>
      </c>
      <c r="S105" s="5">
        <f t="shared" si="29"/>
        <v>6</v>
      </c>
      <c r="T105" s="5"/>
      <c r="U105" s="5"/>
      <c r="V105" s="1">
        <f t="shared" si="38"/>
        <v>11.875</v>
      </c>
      <c r="W105" s="1">
        <f t="shared" si="39"/>
        <v>8.125</v>
      </c>
      <c r="X105" s="1">
        <v>1.4</v>
      </c>
      <c r="Y105" s="1">
        <v>1.4</v>
      </c>
      <c r="Z105" s="1">
        <v>2.2000000000000002</v>
      </c>
      <c r="AA105" s="1">
        <v>3.2</v>
      </c>
      <c r="AB105" s="1">
        <v>1.8</v>
      </c>
      <c r="AC105" s="1">
        <v>0.8</v>
      </c>
      <c r="AD105" s="1">
        <v>1.8</v>
      </c>
      <c r="AE105" s="1">
        <v>1.6</v>
      </c>
      <c r="AF105" s="1">
        <v>0</v>
      </c>
      <c r="AG105" s="1">
        <v>1.8</v>
      </c>
      <c r="AH105" s="1"/>
      <c r="AI105" s="1">
        <f t="shared" si="30"/>
        <v>1</v>
      </c>
      <c r="AJ105" s="1">
        <f t="shared" si="31"/>
        <v>0</v>
      </c>
      <c r="AK105" s="1">
        <f t="shared" si="32"/>
        <v>0</v>
      </c>
      <c r="AL105" s="1">
        <f t="shared" si="33"/>
        <v>0.16000000000000003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238</v>
      </c>
      <c r="B106" s="1" t="s">
        <v>42</v>
      </c>
      <c r="C106" s="1">
        <v>232</v>
      </c>
      <c r="D106" s="1">
        <v>350</v>
      </c>
      <c r="E106" s="1">
        <v>254</v>
      </c>
      <c r="F106" s="1">
        <v>288</v>
      </c>
      <c r="G106" s="6">
        <v>0.08</v>
      </c>
      <c r="H106" s="1">
        <v>45</v>
      </c>
      <c r="I106" s="1" t="s">
        <v>239</v>
      </c>
      <c r="J106" s="1"/>
      <c r="K106" s="1">
        <v>266</v>
      </c>
      <c r="L106" s="1">
        <f t="shared" si="36"/>
        <v>-12</v>
      </c>
      <c r="M106" s="1"/>
      <c r="N106" s="1"/>
      <c r="O106" s="1">
        <v>196.26799999999989</v>
      </c>
      <c r="P106" s="1">
        <f t="shared" si="37"/>
        <v>50.8</v>
      </c>
      <c r="Q106" s="5">
        <f t="shared" si="35"/>
        <v>74.532000000000039</v>
      </c>
      <c r="R106" s="5">
        <f t="shared" si="28"/>
        <v>74.532000000000039</v>
      </c>
      <c r="S106" s="5">
        <f t="shared" si="29"/>
        <v>74.532000000000039</v>
      </c>
      <c r="T106" s="5"/>
      <c r="U106" s="5"/>
      <c r="V106" s="1">
        <f t="shared" si="38"/>
        <v>11</v>
      </c>
      <c r="W106" s="1">
        <f t="shared" si="39"/>
        <v>9.5328346456692898</v>
      </c>
      <c r="X106" s="1">
        <v>54</v>
      </c>
      <c r="Y106" s="1">
        <v>50</v>
      </c>
      <c r="Z106" s="1">
        <v>41.4</v>
      </c>
      <c r="AA106" s="1">
        <v>40.6</v>
      </c>
      <c r="AB106" s="1">
        <v>39.6</v>
      </c>
      <c r="AC106" s="1">
        <v>39.4</v>
      </c>
      <c r="AD106" s="1">
        <v>42.4</v>
      </c>
      <c r="AE106" s="1">
        <v>36.4</v>
      </c>
      <c r="AF106" s="1">
        <v>40</v>
      </c>
      <c r="AG106" s="1">
        <v>36.6</v>
      </c>
      <c r="AH106" s="1"/>
      <c r="AI106" s="1">
        <f t="shared" si="30"/>
        <v>6</v>
      </c>
      <c r="AJ106" s="1">
        <f t="shared" si="31"/>
        <v>0</v>
      </c>
      <c r="AK106" s="1">
        <f t="shared" si="32"/>
        <v>0</v>
      </c>
      <c r="AL106" s="1">
        <f t="shared" si="33"/>
        <v>4.0640000000000001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240</v>
      </c>
      <c r="B107" s="1" t="s">
        <v>42</v>
      </c>
      <c r="C107" s="1">
        <v>106</v>
      </c>
      <c r="D107" s="1">
        <v>320</v>
      </c>
      <c r="E107" s="1">
        <v>193</v>
      </c>
      <c r="F107" s="1">
        <v>214</v>
      </c>
      <c r="G107" s="6">
        <v>0.08</v>
      </c>
      <c r="H107" s="1">
        <v>45</v>
      </c>
      <c r="I107" s="1" t="s">
        <v>241</v>
      </c>
      <c r="J107" s="1"/>
      <c r="K107" s="1">
        <v>200</v>
      </c>
      <c r="L107" s="1">
        <f t="shared" si="36"/>
        <v>-7</v>
      </c>
      <c r="M107" s="1"/>
      <c r="N107" s="1"/>
      <c r="O107" s="1">
        <v>158.16399999999999</v>
      </c>
      <c r="P107" s="1">
        <f t="shared" si="37"/>
        <v>38.6</v>
      </c>
      <c r="Q107" s="5">
        <f t="shared" si="35"/>
        <v>52.436000000000035</v>
      </c>
      <c r="R107" s="5">
        <f t="shared" si="28"/>
        <v>52.436000000000035</v>
      </c>
      <c r="S107" s="5">
        <f t="shared" si="29"/>
        <v>52.436000000000035</v>
      </c>
      <c r="T107" s="5"/>
      <c r="U107" s="5"/>
      <c r="V107" s="1">
        <f t="shared" si="38"/>
        <v>11</v>
      </c>
      <c r="W107" s="1">
        <f t="shared" si="39"/>
        <v>9.6415544041450776</v>
      </c>
      <c r="X107" s="1">
        <v>40.6</v>
      </c>
      <c r="Y107" s="1">
        <v>35.200000000000003</v>
      </c>
      <c r="Z107" s="1">
        <v>30.6</v>
      </c>
      <c r="AA107" s="1">
        <v>23.8</v>
      </c>
      <c r="AB107" s="1">
        <v>11.2</v>
      </c>
      <c r="AC107" s="1">
        <v>20.8</v>
      </c>
      <c r="AD107" s="1">
        <v>34.4</v>
      </c>
      <c r="AE107" s="1">
        <v>20</v>
      </c>
      <c r="AF107" s="1">
        <v>28.2</v>
      </c>
      <c r="AG107" s="1">
        <v>14</v>
      </c>
      <c r="AH107" s="1"/>
      <c r="AI107" s="1">
        <f t="shared" si="30"/>
        <v>4</v>
      </c>
      <c r="AJ107" s="1">
        <f t="shared" si="31"/>
        <v>0</v>
      </c>
      <c r="AK107" s="1">
        <f t="shared" si="32"/>
        <v>0</v>
      </c>
      <c r="AL107" s="1">
        <f t="shared" si="33"/>
        <v>3.0880000000000001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242</v>
      </c>
      <c r="B108" s="1" t="s">
        <v>42</v>
      </c>
      <c r="C108" s="1">
        <v>20</v>
      </c>
      <c r="D108" s="1"/>
      <c r="E108" s="1">
        <v>3</v>
      </c>
      <c r="F108" s="1">
        <v>6</v>
      </c>
      <c r="G108" s="6">
        <v>0.17</v>
      </c>
      <c r="H108" s="1">
        <v>30</v>
      </c>
      <c r="I108" s="1" t="s">
        <v>243</v>
      </c>
      <c r="J108" s="1"/>
      <c r="K108" s="1">
        <v>4</v>
      </c>
      <c r="L108" s="1">
        <f t="shared" si="36"/>
        <v>-1</v>
      </c>
      <c r="M108" s="1"/>
      <c r="N108" s="1"/>
      <c r="O108" s="1"/>
      <c r="P108" s="1">
        <f t="shared" si="37"/>
        <v>0.6</v>
      </c>
      <c r="Q108" s="5">
        <v>6</v>
      </c>
      <c r="R108" s="5">
        <f t="shared" si="28"/>
        <v>6</v>
      </c>
      <c r="S108" s="5">
        <f t="shared" si="29"/>
        <v>6</v>
      </c>
      <c r="T108" s="5"/>
      <c r="U108" s="5"/>
      <c r="V108" s="1">
        <f t="shared" si="38"/>
        <v>20</v>
      </c>
      <c r="W108" s="1">
        <f t="shared" si="39"/>
        <v>10</v>
      </c>
      <c r="X108" s="1">
        <v>0.2</v>
      </c>
      <c r="Y108" s="1">
        <v>1</v>
      </c>
      <c r="Z108" s="1">
        <v>2</v>
      </c>
      <c r="AA108" s="1">
        <v>3</v>
      </c>
      <c r="AB108" s="1">
        <v>1.6</v>
      </c>
      <c r="AC108" s="1">
        <v>1.4</v>
      </c>
      <c r="AD108" s="1">
        <v>-0.4</v>
      </c>
      <c r="AE108" s="1">
        <v>2</v>
      </c>
      <c r="AF108" s="1">
        <v>0.8</v>
      </c>
      <c r="AG108" s="1">
        <v>3.4</v>
      </c>
      <c r="AH108" s="1" t="s">
        <v>244</v>
      </c>
      <c r="AI108" s="1">
        <f t="shared" si="30"/>
        <v>1</v>
      </c>
      <c r="AJ108" s="1">
        <f t="shared" si="31"/>
        <v>0</v>
      </c>
      <c r="AK108" s="1">
        <f t="shared" si="32"/>
        <v>0</v>
      </c>
      <c r="AL108" s="1">
        <f t="shared" si="33"/>
        <v>0.10200000000000001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245</v>
      </c>
      <c r="B109" s="1" t="s">
        <v>35</v>
      </c>
      <c r="C109" s="1">
        <v>536.12</v>
      </c>
      <c r="D109" s="1">
        <v>163.47900000000001</v>
      </c>
      <c r="E109" s="1">
        <v>353.48899999999998</v>
      </c>
      <c r="F109" s="1">
        <v>297.08300000000003</v>
      </c>
      <c r="G109" s="6">
        <v>1</v>
      </c>
      <c r="H109" s="1">
        <v>40</v>
      </c>
      <c r="I109" s="1" t="s">
        <v>246</v>
      </c>
      <c r="J109" s="1"/>
      <c r="K109" s="1">
        <v>369.3</v>
      </c>
      <c r="L109" s="1">
        <f t="shared" si="36"/>
        <v>-15.811000000000035</v>
      </c>
      <c r="M109" s="1"/>
      <c r="N109" s="1"/>
      <c r="O109" s="1">
        <v>121.7221239999997</v>
      </c>
      <c r="P109" s="1">
        <f t="shared" si="37"/>
        <v>70.697800000000001</v>
      </c>
      <c r="Q109" s="5">
        <f t="shared" si="35"/>
        <v>358.87067600000029</v>
      </c>
      <c r="R109" s="5">
        <f t="shared" si="28"/>
        <v>358.87067600000029</v>
      </c>
      <c r="S109" s="5">
        <f t="shared" si="29"/>
        <v>208.87067600000029</v>
      </c>
      <c r="T109" s="5">
        <v>150</v>
      </c>
      <c r="U109" s="5"/>
      <c r="V109" s="1">
        <f t="shared" si="38"/>
        <v>11</v>
      </c>
      <c r="W109" s="1">
        <f t="shared" si="39"/>
        <v>5.9238777444276876</v>
      </c>
      <c r="X109" s="1">
        <v>58.890599999999992</v>
      </c>
      <c r="Y109" s="1">
        <v>61.716999999999999</v>
      </c>
      <c r="Z109" s="1">
        <v>68.288199999999989</v>
      </c>
      <c r="AA109" s="1">
        <v>71.225800000000007</v>
      </c>
      <c r="AB109" s="1">
        <v>70.763800000000003</v>
      </c>
      <c r="AC109" s="1">
        <v>70.212599999999995</v>
      </c>
      <c r="AD109" s="1">
        <v>71.038399999999996</v>
      </c>
      <c r="AE109" s="1">
        <v>80.659400000000005</v>
      </c>
      <c r="AF109" s="1">
        <v>61.707599999999999</v>
      </c>
      <c r="AG109" s="1">
        <v>44.884399999999999</v>
      </c>
      <c r="AH109" s="1"/>
      <c r="AI109" s="1">
        <f t="shared" si="30"/>
        <v>209</v>
      </c>
      <c r="AJ109" s="1">
        <f t="shared" si="31"/>
        <v>150</v>
      </c>
      <c r="AK109" s="1">
        <f t="shared" si="32"/>
        <v>0</v>
      </c>
      <c r="AL109" s="1">
        <f t="shared" si="33"/>
        <v>70.697800000000001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247</v>
      </c>
      <c r="B110" s="1" t="s">
        <v>35</v>
      </c>
      <c r="C110" s="1">
        <v>449.59399999999999</v>
      </c>
      <c r="D110" s="1">
        <v>0.72199999999999998</v>
      </c>
      <c r="E110" s="1">
        <v>219.47800000000001</v>
      </c>
      <c r="F110" s="1">
        <v>194.05199999999999</v>
      </c>
      <c r="G110" s="6">
        <v>1</v>
      </c>
      <c r="H110" s="1">
        <v>40</v>
      </c>
      <c r="I110" s="1" t="s">
        <v>248</v>
      </c>
      <c r="J110" s="1"/>
      <c r="K110" s="1">
        <v>225</v>
      </c>
      <c r="L110" s="1">
        <f t="shared" si="36"/>
        <v>-5.5219999999999914</v>
      </c>
      <c r="M110" s="1"/>
      <c r="N110" s="1"/>
      <c r="O110" s="1">
        <v>95.34680000000003</v>
      </c>
      <c r="P110" s="1">
        <f t="shared" si="37"/>
        <v>43.895600000000002</v>
      </c>
      <c r="Q110" s="5">
        <f t="shared" si="35"/>
        <v>193.4528</v>
      </c>
      <c r="R110" s="5">
        <f t="shared" si="28"/>
        <v>193.4528</v>
      </c>
      <c r="S110" s="5">
        <f t="shared" si="29"/>
        <v>193.4528</v>
      </c>
      <c r="T110" s="5"/>
      <c r="U110" s="5"/>
      <c r="V110" s="1">
        <f t="shared" si="38"/>
        <v>11.000000000000002</v>
      </c>
      <c r="W110" s="1">
        <f t="shared" si="39"/>
        <v>6.5928885810878546</v>
      </c>
      <c r="X110" s="1">
        <v>38.950400000000002</v>
      </c>
      <c r="Y110" s="1">
        <v>37.585000000000001</v>
      </c>
      <c r="Z110" s="1">
        <v>40.150599999999997</v>
      </c>
      <c r="AA110" s="1">
        <v>43.5214</v>
      </c>
      <c r="AB110" s="1">
        <v>32.672199999999997</v>
      </c>
      <c r="AC110" s="1">
        <v>29.6248</v>
      </c>
      <c r="AD110" s="1">
        <v>36.467200000000012</v>
      </c>
      <c r="AE110" s="1">
        <v>30.478999999999999</v>
      </c>
      <c r="AF110" s="1">
        <v>4.1673999999999998</v>
      </c>
      <c r="AG110" s="1">
        <v>0</v>
      </c>
      <c r="AH110" s="1"/>
      <c r="AI110" s="1">
        <f t="shared" si="30"/>
        <v>193</v>
      </c>
      <c r="AJ110" s="1">
        <f t="shared" si="31"/>
        <v>0</v>
      </c>
      <c r="AK110" s="1">
        <f t="shared" si="32"/>
        <v>0</v>
      </c>
      <c r="AL110" s="1">
        <f t="shared" si="33"/>
        <v>43.895600000000002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249</v>
      </c>
      <c r="B111" s="1" t="s">
        <v>35</v>
      </c>
      <c r="C111" s="1">
        <v>827.86400000000003</v>
      </c>
      <c r="D111" s="1">
        <v>57.082999999999998</v>
      </c>
      <c r="E111" s="1">
        <v>462.57</v>
      </c>
      <c r="F111" s="1">
        <v>380.21100000000001</v>
      </c>
      <c r="G111" s="6">
        <v>1</v>
      </c>
      <c r="H111" s="1">
        <v>40</v>
      </c>
      <c r="I111" s="1" t="s">
        <v>250</v>
      </c>
      <c r="J111" s="1"/>
      <c r="K111" s="1">
        <v>473.2</v>
      </c>
      <c r="L111" s="1">
        <f t="shared" si="36"/>
        <v>-10.629999999999995</v>
      </c>
      <c r="M111" s="1"/>
      <c r="N111" s="1"/>
      <c r="O111" s="1">
        <v>214.50319999999991</v>
      </c>
      <c r="P111" s="1">
        <f t="shared" si="37"/>
        <v>92.513999999999996</v>
      </c>
      <c r="Q111" s="5">
        <f t="shared" si="35"/>
        <v>422.9398000000001</v>
      </c>
      <c r="R111" s="5">
        <f t="shared" si="28"/>
        <v>422.9398000000001</v>
      </c>
      <c r="S111" s="5">
        <f t="shared" si="29"/>
        <v>222.9398000000001</v>
      </c>
      <c r="T111" s="5">
        <v>200</v>
      </c>
      <c r="U111" s="5"/>
      <c r="V111" s="1">
        <f t="shared" si="38"/>
        <v>11</v>
      </c>
      <c r="W111" s="1">
        <f t="shared" si="39"/>
        <v>6.4283697602525018</v>
      </c>
      <c r="X111" s="1">
        <v>78.795199999999994</v>
      </c>
      <c r="Y111" s="1">
        <v>78.278199999999998</v>
      </c>
      <c r="Z111" s="1">
        <v>85.24199999999999</v>
      </c>
      <c r="AA111" s="1">
        <v>105.099</v>
      </c>
      <c r="AB111" s="1">
        <v>107.1344</v>
      </c>
      <c r="AC111" s="1">
        <v>87.789999999999992</v>
      </c>
      <c r="AD111" s="1">
        <v>86.225400000000008</v>
      </c>
      <c r="AE111" s="1">
        <v>98.287000000000006</v>
      </c>
      <c r="AF111" s="1">
        <v>71.201400000000007</v>
      </c>
      <c r="AG111" s="1">
        <v>44.640799999999999</v>
      </c>
      <c r="AH111" s="1"/>
      <c r="AI111" s="1">
        <f t="shared" si="30"/>
        <v>223</v>
      </c>
      <c r="AJ111" s="1">
        <f t="shared" si="31"/>
        <v>200</v>
      </c>
      <c r="AK111" s="1">
        <f t="shared" si="32"/>
        <v>0</v>
      </c>
      <c r="AL111" s="1">
        <f t="shared" si="33"/>
        <v>92.513999999999996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251</v>
      </c>
      <c r="B112" s="1" t="s">
        <v>35</v>
      </c>
      <c r="C112" s="1">
        <v>-8.2010000000000005</v>
      </c>
      <c r="D112" s="1">
        <v>21.555</v>
      </c>
      <c r="E112" s="1">
        <v>1.456</v>
      </c>
      <c r="F112" s="1">
        <v>11.898</v>
      </c>
      <c r="G112" s="6">
        <v>1</v>
      </c>
      <c r="H112" s="1">
        <v>55</v>
      </c>
      <c r="I112" s="1" t="s">
        <v>252</v>
      </c>
      <c r="J112" s="1"/>
      <c r="K112" s="1">
        <v>1.3</v>
      </c>
      <c r="L112" s="1">
        <f t="shared" si="36"/>
        <v>0.15599999999999992</v>
      </c>
      <c r="M112" s="1"/>
      <c r="N112" s="1"/>
      <c r="O112" s="1">
        <v>16</v>
      </c>
      <c r="P112" s="1">
        <f t="shared" si="37"/>
        <v>0.29120000000000001</v>
      </c>
      <c r="Q112" s="5"/>
      <c r="R112" s="5">
        <f t="shared" si="28"/>
        <v>0</v>
      </c>
      <c r="S112" s="5">
        <f t="shared" si="29"/>
        <v>0</v>
      </c>
      <c r="T112" s="5"/>
      <c r="U112" s="5"/>
      <c r="V112" s="1">
        <f t="shared" si="38"/>
        <v>95.803571428571416</v>
      </c>
      <c r="W112" s="1">
        <f t="shared" si="39"/>
        <v>95.803571428571416</v>
      </c>
      <c r="X112" s="1">
        <v>3.2582</v>
      </c>
      <c r="Y112" s="1">
        <v>3.821800000000001</v>
      </c>
      <c r="Z112" s="1">
        <v>0.56359999999999999</v>
      </c>
      <c r="AA112" s="1">
        <v>0.55679999999999996</v>
      </c>
      <c r="AB112" s="1">
        <v>1.0944</v>
      </c>
      <c r="AC112" s="1">
        <v>0.83119999999999994</v>
      </c>
      <c r="AD112" s="1">
        <v>0.29360000000000003</v>
      </c>
      <c r="AE112" s="1">
        <v>1.629</v>
      </c>
      <c r="AF112" s="1">
        <v>0.5514</v>
      </c>
      <c r="AG112" s="1">
        <v>0.27600000000000002</v>
      </c>
      <c r="AH112" s="1" t="s">
        <v>253</v>
      </c>
      <c r="AI112" s="1">
        <f t="shared" si="30"/>
        <v>0</v>
      </c>
      <c r="AJ112" s="1">
        <f t="shared" si="31"/>
        <v>0</v>
      </c>
      <c r="AK112" s="1">
        <f t="shared" si="32"/>
        <v>0</v>
      </c>
      <c r="AL112" s="1">
        <f t="shared" si="33"/>
        <v>0.29120000000000001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254</v>
      </c>
      <c r="B113" s="1" t="s">
        <v>42</v>
      </c>
      <c r="C113" s="1">
        <v>531</v>
      </c>
      <c r="D113" s="1">
        <v>174</v>
      </c>
      <c r="E113" s="1">
        <v>337</v>
      </c>
      <c r="F113" s="1">
        <v>314</v>
      </c>
      <c r="G113" s="6">
        <v>0.28000000000000003</v>
      </c>
      <c r="H113" s="1">
        <v>40</v>
      </c>
      <c r="I113" s="1" t="s">
        <v>255</v>
      </c>
      <c r="J113" s="1"/>
      <c r="K113" s="1">
        <v>362</v>
      </c>
      <c r="L113" s="1">
        <f t="shared" si="36"/>
        <v>-25</v>
      </c>
      <c r="M113" s="1"/>
      <c r="N113" s="1"/>
      <c r="O113" s="1">
        <v>142.84400000000011</v>
      </c>
      <c r="P113" s="1">
        <f t="shared" si="37"/>
        <v>67.400000000000006</v>
      </c>
      <c r="Q113" s="5">
        <f t="shared" si="35"/>
        <v>284.55600000000004</v>
      </c>
      <c r="R113" s="5">
        <f t="shared" si="28"/>
        <v>284.55600000000004</v>
      </c>
      <c r="S113" s="5">
        <f t="shared" si="29"/>
        <v>284.55600000000004</v>
      </c>
      <c r="T113" s="5"/>
      <c r="U113" s="5"/>
      <c r="V113" s="1">
        <f t="shared" si="38"/>
        <v>11</v>
      </c>
      <c r="W113" s="1">
        <f t="shared" si="39"/>
        <v>6.7781008902077158</v>
      </c>
      <c r="X113" s="1">
        <v>57.4</v>
      </c>
      <c r="Y113" s="1">
        <v>60.6</v>
      </c>
      <c r="Z113" s="1">
        <v>65.400000000000006</v>
      </c>
      <c r="AA113" s="1">
        <v>69.8</v>
      </c>
      <c r="AB113" s="1">
        <v>65.2</v>
      </c>
      <c r="AC113" s="1">
        <v>64.8</v>
      </c>
      <c r="AD113" s="1">
        <v>73.2</v>
      </c>
      <c r="AE113" s="1">
        <v>83</v>
      </c>
      <c r="AF113" s="1">
        <v>91.8</v>
      </c>
      <c r="AG113" s="1">
        <v>49.6</v>
      </c>
      <c r="AH113" s="1"/>
      <c r="AI113" s="1">
        <f t="shared" si="30"/>
        <v>80</v>
      </c>
      <c r="AJ113" s="1">
        <f t="shared" si="31"/>
        <v>0</v>
      </c>
      <c r="AK113" s="1">
        <f t="shared" si="32"/>
        <v>0</v>
      </c>
      <c r="AL113" s="1">
        <f t="shared" si="33"/>
        <v>18.872000000000003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256</v>
      </c>
      <c r="B114" s="1" t="s">
        <v>42</v>
      </c>
      <c r="C114" s="1">
        <v>560</v>
      </c>
      <c r="D114" s="1">
        <v>90</v>
      </c>
      <c r="E114" s="1">
        <v>364</v>
      </c>
      <c r="F114" s="1">
        <v>230</v>
      </c>
      <c r="G114" s="6">
        <v>0.28000000000000003</v>
      </c>
      <c r="H114" s="1">
        <v>40</v>
      </c>
      <c r="I114" s="1" t="s">
        <v>257</v>
      </c>
      <c r="J114" s="1"/>
      <c r="K114" s="1">
        <v>395</v>
      </c>
      <c r="L114" s="1">
        <f t="shared" si="36"/>
        <v>-31</v>
      </c>
      <c r="M114" s="1"/>
      <c r="N114" s="1"/>
      <c r="O114" s="1">
        <v>258.19999999999987</v>
      </c>
      <c r="P114" s="1">
        <f t="shared" si="37"/>
        <v>72.8</v>
      </c>
      <c r="Q114" s="5">
        <f t="shared" si="35"/>
        <v>312.60000000000014</v>
      </c>
      <c r="R114" s="5">
        <f t="shared" si="28"/>
        <v>312.60000000000014</v>
      </c>
      <c r="S114" s="5">
        <f t="shared" si="29"/>
        <v>312.60000000000014</v>
      </c>
      <c r="T114" s="5"/>
      <c r="U114" s="5"/>
      <c r="V114" s="1">
        <f t="shared" si="38"/>
        <v>11</v>
      </c>
      <c r="W114" s="1">
        <f t="shared" si="39"/>
        <v>6.7060439560439544</v>
      </c>
      <c r="X114" s="1">
        <v>61.4</v>
      </c>
      <c r="Y114" s="1">
        <v>55.6</v>
      </c>
      <c r="Z114" s="1">
        <v>59</v>
      </c>
      <c r="AA114" s="1">
        <v>71.599999999999994</v>
      </c>
      <c r="AB114" s="1">
        <v>69.2</v>
      </c>
      <c r="AC114" s="1">
        <v>65</v>
      </c>
      <c r="AD114" s="1">
        <v>76.2</v>
      </c>
      <c r="AE114" s="1">
        <v>80.2</v>
      </c>
      <c r="AF114" s="1">
        <v>90.8</v>
      </c>
      <c r="AG114" s="1">
        <v>25.2</v>
      </c>
      <c r="AH114" s="1"/>
      <c r="AI114" s="1">
        <f t="shared" si="30"/>
        <v>88</v>
      </c>
      <c r="AJ114" s="1">
        <f t="shared" si="31"/>
        <v>0</v>
      </c>
      <c r="AK114" s="1">
        <f t="shared" si="32"/>
        <v>0</v>
      </c>
      <c r="AL114" s="1">
        <f t="shared" si="33"/>
        <v>20.384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258</v>
      </c>
      <c r="B115" s="1" t="s">
        <v>35</v>
      </c>
      <c r="C115" s="1">
        <v>338.95100000000002</v>
      </c>
      <c r="D115" s="1">
        <v>58.935000000000002</v>
      </c>
      <c r="E115" s="1">
        <v>197.03200000000001</v>
      </c>
      <c r="F115" s="1">
        <v>183.685</v>
      </c>
      <c r="G115" s="6">
        <v>1</v>
      </c>
      <c r="H115" s="1">
        <v>60</v>
      </c>
      <c r="I115" s="1" t="s">
        <v>259</v>
      </c>
      <c r="J115" s="1"/>
      <c r="K115" s="1">
        <v>199.7</v>
      </c>
      <c r="L115" s="1">
        <f t="shared" si="36"/>
        <v>-2.6679999999999779</v>
      </c>
      <c r="M115" s="1"/>
      <c r="N115" s="1"/>
      <c r="O115" s="1">
        <v>108.297</v>
      </c>
      <c r="P115" s="1">
        <f t="shared" si="37"/>
        <v>39.406400000000005</v>
      </c>
      <c r="Q115" s="5">
        <f t="shared" si="35"/>
        <v>141.48840000000001</v>
      </c>
      <c r="R115" s="5">
        <f t="shared" si="28"/>
        <v>141.48840000000001</v>
      </c>
      <c r="S115" s="5">
        <f t="shared" si="29"/>
        <v>141.48840000000001</v>
      </c>
      <c r="T115" s="5"/>
      <c r="U115" s="5"/>
      <c r="V115" s="1">
        <f t="shared" si="38"/>
        <v>10.999999999999998</v>
      </c>
      <c r="W115" s="1">
        <f t="shared" si="39"/>
        <v>7.4095070851435283</v>
      </c>
      <c r="X115" s="1">
        <v>36.651000000000003</v>
      </c>
      <c r="Y115" s="1">
        <v>34.523000000000003</v>
      </c>
      <c r="Z115" s="1">
        <v>40.992800000000003</v>
      </c>
      <c r="AA115" s="1">
        <v>43.077399999999997</v>
      </c>
      <c r="AB115" s="1">
        <v>21.758600000000001</v>
      </c>
      <c r="AC115" s="1">
        <v>36.654000000000003</v>
      </c>
      <c r="AD115" s="1">
        <v>43.590400000000002</v>
      </c>
      <c r="AE115" s="1">
        <v>50.267399999999988</v>
      </c>
      <c r="AF115" s="1">
        <v>55.062600000000003</v>
      </c>
      <c r="AG115" s="1">
        <v>68.036000000000001</v>
      </c>
      <c r="AH115" s="1"/>
      <c r="AI115" s="1">
        <f t="shared" si="30"/>
        <v>141</v>
      </c>
      <c r="AJ115" s="1">
        <f t="shared" si="31"/>
        <v>0</v>
      </c>
      <c r="AK115" s="1">
        <f t="shared" si="32"/>
        <v>0</v>
      </c>
      <c r="AL115" s="1">
        <f t="shared" si="33"/>
        <v>39.406400000000005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260</v>
      </c>
      <c r="B116" s="1" t="s">
        <v>35</v>
      </c>
      <c r="C116" s="1">
        <v>385.714</v>
      </c>
      <c r="D116" s="1"/>
      <c r="E116" s="1">
        <v>91.486999999999995</v>
      </c>
      <c r="F116" s="1">
        <v>282.90899999999999</v>
      </c>
      <c r="G116" s="6">
        <v>1</v>
      </c>
      <c r="H116" s="1">
        <v>50</v>
      </c>
      <c r="I116" s="1" t="s">
        <v>261</v>
      </c>
      <c r="J116" s="1"/>
      <c r="K116" s="1">
        <v>94.5</v>
      </c>
      <c r="L116" s="1">
        <f t="shared" si="36"/>
        <v>-3.0130000000000052</v>
      </c>
      <c r="M116" s="1"/>
      <c r="N116" s="1"/>
      <c r="O116" s="1"/>
      <c r="P116" s="1">
        <f t="shared" si="37"/>
        <v>18.2974</v>
      </c>
      <c r="Q116" s="5"/>
      <c r="R116" s="5">
        <f t="shared" si="28"/>
        <v>0</v>
      </c>
      <c r="S116" s="5">
        <f t="shared" si="29"/>
        <v>0</v>
      </c>
      <c r="T116" s="5"/>
      <c r="U116" s="5"/>
      <c r="V116" s="1">
        <f t="shared" si="38"/>
        <v>15.461704941685705</v>
      </c>
      <c r="W116" s="1">
        <f t="shared" si="39"/>
        <v>15.461704941685705</v>
      </c>
      <c r="X116" s="1">
        <v>13.1578</v>
      </c>
      <c r="Y116" s="1">
        <v>13.4122</v>
      </c>
      <c r="Z116" s="1">
        <v>14.643800000000001</v>
      </c>
      <c r="AA116" s="1">
        <v>18.419</v>
      </c>
      <c r="AB116" s="1">
        <v>17.446000000000002</v>
      </c>
      <c r="AC116" s="1">
        <v>19.5992</v>
      </c>
      <c r="AD116" s="1">
        <v>31.039400000000001</v>
      </c>
      <c r="AE116" s="1">
        <v>37.197400000000002</v>
      </c>
      <c r="AF116" s="1">
        <v>20.194800000000001</v>
      </c>
      <c r="AG116" s="1">
        <v>26.484400000000001</v>
      </c>
      <c r="AH116" s="14" t="s">
        <v>48</v>
      </c>
      <c r="AI116" s="1">
        <f t="shared" si="30"/>
        <v>0</v>
      </c>
      <c r="AJ116" s="1">
        <f t="shared" si="31"/>
        <v>0</v>
      </c>
      <c r="AK116" s="1">
        <f t="shared" si="32"/>
        <v>0</v>
      </c>
      <c r="AL116" s="1">
        <f t="shared" si="33"/>
        <v>18.2974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262</v>
      </c>
      <c r="B117" s="1" t="s">
        <v>35</v>
      </c>
      <c r="C117" s="1">
        <v>501.995</v>
      </c>
      <c r="D117" s="1">
        <v>65.75</v>
      </c>
      <c r="E117" s="1">
        <v>294.75900000000001</v>
      </c>
      <c r="F117" s="1">
        <v>240.744</v>
      </c>
      <c r="G117" s="6">
        <v>1</v>
      </c>
      <c r="H117" s="1">
        <v>60</v>
      </c>
      <c r="I117" s="1" t="s">
        <v>263</v>
      </c>
      <c r="J117" s="1"/>
      <c r="K117" s="1">
        <v>284.399</v>
      </c>
      <c r="L117" s="1">
        <f t="shared" si="36"/>
        <v>10.360000000000014</v>
      </c>
      <c r="M117" s="1"/>
      <c r="N117" s="1"/>
      <c r="O117" s="1">
        <v>258.25439999999992</v>
      </c>
      <c r="P117" s="1">
        <f t="shared" si="37"/>
        <v>58.951800000000006</v>
      </c>
      <c r="Q117" s="5">
        <f t="shared" si="35"/>
        <v>149.47140000000016</v>
      </c>
      <c r="R117" s="5">
        <f t="shared" si="28"/>
        <v>149.47140000000016</v>
      </c>
      <c r="S117" s="5">
        <f t="shared" si="29"/>
        <v>149.47140000000016</v>
      </c>
      <c r="T117" s="5"/>
      <c r="U117" s="5"/>
      <c r="V117" s="1">
        <f t="shared" si="38"/>
        <v>11</v>
      </c>
      <c r="W117" s="1">
        <f t="shared" si="39"/>
        <v>8.4645150784199963</v>
      </c>
      <c r="X117" s="1">
        <v>56.642000000000003</v>
      </c>
      <c r="Y117" s="1">
        <v>48.368200000000002</v>
      </c>
      <c r="Z117" s="1">
        <v>57.312800000000003</v>
      </c>
      <c r="AA117" s="1">
        <v>62.732199999999999</v>
      </c>
      <c r="AB117" s="1">
        <v>62.818399999999997</v>
      </c>
      <c r="AC117" s="1">
        <v>59.040599999999998</v>
      </c>
      <c r="AD117" s="1">
        <v>62.59</v>
      </c>
      <c r="AE117" s="1">
        <v>60.839799999999997</v>
      </c>
      <c r="AF117" s="1">
        <v>49.282799999999988</v>
      </c>
      <c r="AG117" s="1">
        <v>29.3202</v>
      </c>
      <c r="AH117" s="1"/>
      <c r="AI117" s="1">
        <f t="shared" si="30"/>
        <v>149</v>
      </c>
      <c r="AJ117" s="1">
        <f t="shared" si="31"/>
        <v>0</v>
      </c>
      <c r="AK117" s="1">
        <f t="shared" si="32"/>
        <v>0</v>
      </c>
      <c r="AL117" s="1">
        <f t="shared" si="33"/>
        <v>58.951800000000006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264</v>
      </c>
      <c r="B118" s="1" t="s">
        <v>35</v>
      </c>
      <c r="C118" s="1">
        <v>765.66600000000005</v>
      </c>
      <c r="D118" s="1">
        <v>1.373</v>
      </c>
      <c r="E118" s="1">
        <v>407.46600000000001</v>
      </c>
      <c r="F118" s="1">
        <v>314.74400000000003</v>
      </c>
      <c r="G118" s="6">
        <v>1</v>
      </c>
      <c r="H118" s="1">
        <v>60</v>
      </c>
      <c r="I118" s="1" t="s">
        <v>265</v>
      </c>
      <c r="J118" s="1"/>
      <c r="K118" s="1">
        <v>397.173</v>
      </c>
      <c r="L118" s="1">
        <f t="shared" si="36"/>
        <v>10.293000000000006</v>
      </c>
      <c r="M118" s="1"/>
      <c r="N118" s="1"/>
      <c r="O118" s="1">
        <v>238.20779999999999</v>
      </c>
      <c r="P118" s="1">
        <f t="shared" si="37"/>
        <v>81.493200000000002</v>
      </c>
      <c r="Q118" s="5">
        <f t="shared" si="35"/>
        <v>343.47339999999997</v>
      </c>
      <c r="R118" s="5">
        <f t="shared" si="28"/>
        <v>343.47339999999997</v>
      </c>
      <c r="S118" s="5">
        <f t="shared" si="29"/>
        <v>243.47339999999997</v>
      </c>
      <c r="T118" s="5">
        <v>100</v>
      </c>
      <c r="U118" s="5"/>
      <c r="V118" s="1">
        <f t="shared" si="38"/>
        <v>11</v>
      </c>
      <c r="W118" s="1">
        <f t="shared" si="39"/>
        <v>6.7852507939312732</v>
      </c>
      <c r="X118" s="1">
        <v>70.010400000000004</v>
      </c>
      <c r="Y118" s="1">
        <v>61.485999999999997</v>
      </c>
      <c r="Z118" s="1">
        <v>75.655000000000001</v>
      </c>
      <c r="AA118" s="1">
        <v>87.415199999999999</v>
      </c>
      <c r="AB118" s="1">
        <v>84.498999999999995</v>
      </c>
      <c r="AC118" s="1">
        <v>80.06280000000001</v>
      </c>
      <c r="AD118" s="1">
        <v>88.82419999999999</v>
      </c>
      <c r="AE118" s="1">
        <v>81.487200000000001</v>
      </c>
      <c r="AF118" s="1">
        <v>75.265200000000007</v>
      </c>
      <c r="AG118" s="1">
        <v>72.069800000000001</v>
      </c>
      <c r="AH118" s="1"/>
      <c r="AI118" s="1">
        <f t="shared" si="30"/>
        <v>243</v>
      </c>
      <c r="AJ118" s="1">
        <f t="shared" si="31"/>
        <v>100</v>
      </c>
      <c r="AK118" s="1">
        <f t="shared" si="32"/>
        <v>0</v>
      </c>
      <c r="AL118" s="1">
        <f t="shared" si="33"/>
        <v>81.493200000000002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266</v>
      </c>
      <c r="B119" s="1" t="s">
        <v>35</v>
      </c>
      <c r="C119" s="1">
        <v>256.476</v>
      </c>
      <c r="D119" s="1">
        <v>9.8339999999999996</v>
      </c>
      <c r="E119" s="1">
        <v>166.98500000000001</v>
      </c>
      <c r="F119" s="1">
        <v>73.444999999999993</v>
      </c>
      <c r="G119" s="6">
        <v>1</v>
      </c>
      <c r="H119" s="1">
        <v>60</v>
      </c>
      <c r="I119" s="1" t="s">
        <v>267</v>
      </c>
      <c r="J119" s="1"/>
      <c r="K119" s="1">
        <v>164.8</v>
      </c>
      <c r="L119" s="1">
        <f t="shared" si="36"/>
        <v>2.1850000000000023</v>
      </c>
      <c r="M119" s="1"/>
      <c r="N119" s="1"/>
      <c r="O119" s="1">
        <v>149.57859999999999</v>
      </c>
      <c r="P119" s="1">
        <f t="shared" si="37"/>
        <v>33.397000000000006</v>
      </c>
      <c r="Q119" s="5">
        <f t="shared" si="35"/>
        <v>144.34340000000009</v>
      </c>
      <c r="R119" s="5">
        <f t="shared" si="28"/>
        <v>144.34340000000009</v>
      </c>
      <c r="S119" s="5">
        <f t="shared" si="29"/>
        <v>144.34340000000009</v>
      </c>
      <c r="T119" s="5"/>
      <c r="U119" s="5"/>
      <c r="V119" s="1">
        <f t="shared" si="38"/>
        <v>11</v>
      </c>
      <c r="W119" s="1">
        <f t="shared" si="39"/>
        <v>6.6779531095607378</v>
      </c>
      <c r="X119" s="1">
        <v>28.143799999999999</v>
      </c>
      <c r="Y119" s="1">
        <v>21.887799999999999</v>
      </c>
      <c r="Z119" s="1">
        <v>25.122</v>
      </c>
      <c r="AA119" s="1">
        <v>29.194600000000001</v>
      </c>
      <c r="AB119" s="1">
        <v>30.5456</v>
      </c>
      <c r="AC119" s="1">
        <v>28.908799999999999</v>
      </c>
      <c r="AD119" s="1">
        <v>27.003599999999999</v>
      </c>
      <c r="AE119" s="1">
        <v>30.353000000000002</v>
      </c>
      <c r="AF119" s="1">
        <v>24.422799999999999</v>
      </c>
      <c r="AG119" s="1">
        <v>37.625399999999999</v>
      </c>
      <c r="AH119" s="1"/>
      <c r="AI119" s="1">
        <f t="shared" si="30"/>
        <v>144</v>
      </c>
      <c r="AJ119" s="1">
        <f t="shared" si="31"/>
        <v>0</v>
      </c>
      <c r="AK119" s="1">
        <f t="shared" si="32"/>
        <v>0</v>
      </c>
      <c r="AL119" s="1">
        <f t="shared" si="33"/>
        <v>33.397000000000006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67</v>
      </c>
      <c r="B120" s="1" t="s">
        <v>35</v>
      </c>
      <c r="C120" s="1">
        <v>1549.7280000000001</v>
      </c>
      <c r="D120" s="1">
        <v>5.0199999999999996</v>
      </c>
      <c r="E120" s="12">
        <f>966.47+E20</f>
        <v>963.86</v>
      </c>
      <c r="F120" s="12">
        <f>481.214+F20</f>
        <v>455.18599999999998</v>
      </c>
      <c r="G120" s="6">
        <v>1</v>
      </c>
      <c r="H120" s="1">
        <v>60</v>
      </c>
      <c r="I120" s="1" t="s">
        <v>268</v>
      </c>
      <c r="J120" s="1"/>
      <c r="K120" s="1">
        <v>974.9</v>
      </c>
      <c r="L120" s="1">
        <f t="shared" si="36"/>
        <v>-11.039999999999964</v>
      </c>
      <c r="M120" s="1"/>
      <c r="N120" s="1"/>
      <c r="O120" s="1">
        <v>48.446599999999989</v>
      </c>
      <c r="P120" s="1">
        <f t="shared" si="37"/>
        <v>192.77199999999999</v>
      </c>
      <c r="Q120" s="5">
        <f>9*P120-O120-F120</f>
        <v>1231.3154</v>
      </c>
      <c r="R120" s="5">
        <f t="shared" si="28"/>
        <v>1231.3154</v>
      </c>
      <c r="S120" s="5">
        <f t="shared" si="29"/>
        <v>531.31539999999995</v>
      </c>
      <c r="T120" s="5">
        <v>700</v>
      </c>
      <c r="U120" s="5"/>
      <c r="V120" s="1">
        <f t="shared" si="38"/>
        <v>9</v>
      </c>
      <c r="W120" s="1">
        <f t="shared" si="39"/>
        <v>2.6125817027369118</v>
      </c>
      <c r="X120" s="1">
        <v>106.2038</v>
      </c>
      <c r="Y120" s="1">
        <v>76.627399999999994</v>
      </c>
      <c r="Z120" s="1">
        <v>49.574399999999997</v>
      </c>
      <c r="AA120" s="1">
        <v>119.9166</v>
      </c>
      <c r="AB120" s="1">
        <v>0</v>
      </c>
      <c r="AC120" s="1">
        <v>238.46119999999999</v>
      </c>
      <c r="AD120" s="1">
        <v>236.93719999999999</v>
      </c>
      <c r="AE120" s="1">
        <v>215.0558</v>
      </c>
      <c r="AF120" s="1">
        <v>271.11599999999999</v>
      </c>
      <c r="AG120" s="1">
        <v>330.86259999999999</v>
      </c>
      <c r="AH120" s="1" t="s">
        <v>269</v>
      </c>
      <c r="AI120" s="1">
        <f t="shared" si="30"/>
        <v>531</v>
      </c>
      <c r="AJ120" s="1">
        <f t="shared" si="31"/>
        <v>700</v>
      </c>
      <c r="AK120" s="1">
        <f t="shared" si="32"/>
        <v>0</v>
      </c>
      <c r="AL120" s="1">
        <f t="shared" si="33"/>
        <v>192.77199999999999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270</v>
      </c>
      <c r="B121" s="1" t="s">
        <v>42</v>
      </c>
      <c r="C121" s="1">
        <v>515</v>
      </c>
      <c r="D121" s="1">
        <v>232</v>
      </c>
      <c r="E121" s="1">
        <v>357</v>
      </c>
      <c r="F121" s="1">
        <v>357</v>
      </c>
      <c r="G121" s="6">
        <v>0.3</v>
      </c>
      <c r="H121" s="1">
        <v>40</v>
      </c>
      <c r="I121" s="1" t="s">
        <v>271</v>
      </c>
      <c r="J121" s="1"/>
      <c r="K121" s="1">
        <v>380</v>
      </c>
      <c r="L121" s="1">
        <f t="shared" si="36"/>
        <v>-23</v>
      </c>
      <c r="M121" s="1"/>
      <c r="N121" s="1"/>
      <c r="O121" s="1">
        <v>206.11199999999999</v>
      </c>
      <c r="P121" s="1">
        <f t="shared" si="37"/>
        <v>71.400000000000006</v>
      </c>
      <c r="Q121" s="5">
        <f t="shared" si="35"/>
        <v>222.28800000000012</v>
      </c>
      <c r="R121" s="5">
        <f t="shared" si="28"/>
        <v>222.28800000000012</v>
      </c>
      <c r="S121" s="5">
        <f t="shared" si="29"/>
        <v>222.28800000000012</v>
      </c>
      <c r="T121" s="5"/>
      <c r="U121" s="5"/>
      <c r="V121" s="1">
        <f t="shared" si="38"/>
        <v>11</v>
      </c>
      <c r="W121" s="1">
        <f t="shared" si="39"/>
        <v>7.8867226890756292</v>
      </c>
      <c r="X121" s="1">
        <v>66.400000000000006</v>
      </c>
      <c r="Y121" s="1">
        <v>66</v>
      </c>
      <c r="Z121" s="1">
        <v>67.599999999999994</v>
      </c>
      <c r="AA121" s="1">
        <v>70.400000000000006</v>
      </c>
      <c r="AB121" s="1">
        <v>67.2</v>
      </c>
      <c r="AC121" s="1">
        <v>36.6</v>
      </c>
      <c r="AD121" s="1">
        <v>50</v>
      </c>
      <c r="AE121" s="1">
        <v>65.2</v>
      </c>
      <c r="AF121" s="1">
        <v>55</v>
      </c>
      <c r="AG121" s="1">
        <v>55.4</v>
      </c>
      <c r="AH121" s="1"/>
      <c r="AI121" s="1">
        <f t="shared" si="30"/>
        <v>67</v>
      </c>
      <c r="AJ121" s="1">
        <f t="shared" si="31"/>
        <v>0</v>
      </c>
      <c r="AK121" s="1">
        <f t="shared" si="32"/>
        <v>0</v>
      </c>
      <c r="AL121" s="1">
        <f t="shared" si="33"/>
        <v>21.42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272</v>
      </c>
      <c r="B122" s="1" t="s">
        <v>42</v>
      </c>
      <c r="C122" s="1">
        <v>438</v>
      </c>
      <c r="D122" s="1">
        <v>184</v>
      </c>
      <c r="E122" s="1">
        <v>296</v>
      </c>
      <c r="F122" s="1">
        <v>295</v>
      </c>
      <c r="G122" s="6">
        <v>0.3</v>
      </c>
      <c r="H122" s="1">
        <v>40</v>
      </c>
      <c r="I122" s="1" t="s">
        <v>273</v>
      </c>
      <c r="J122" s="1"/>
      <c r="K122" s="1">
        <v>318</v>
      </c>
      <c r="L122" s="1">
        <f t="shared" si="36"/>
        <v>-22</v>
      </c>
      <c r="M122" s="1"/>
      <c r="N122" s="1"/>
      <c r="O122" s="1">
        <v>206</v>
      </c>
      <c r="P122" s="1">
        <f t="shared" si="37"/>
        <v>59.2</v>
      </c>
      <c r="Q122" s="5">
        <f t="shared" si="35"/>
        <v>150.20000000000005</v>
      </c>
      <c r="R122" s="5">
        <f t="shared" si="28"/>
        <v>150.20000000000005</v>
      </c>
      <c r="S122" s="5">
        <f t="shared" si="29"/>
        <v>150.20000000000005</v>
      </c>
      <c r="T122" s="5"/>
      <c r="U122" s="5"/>
      <c r="V122" s="1">
        <f t="shared" si="38"/>
        <v>11</v>
      </c>
      <c r="W122" s="1">
        <f t="shared" si="39"/>
        <v>8.4628378378378368</v>
      </c>
      <c r="X122" s="1">
        <v>57</v>
      </c>
      <c r="Y122" s="1">
        <v>54</v>
      </c>
      <c r="Z122" s="1">
        <v>52.6</v>
      </c>
      <c r="AA122" s="1">
        <v>60</v>
      </c>
      <c r="AB122" s="1">
        <v>57.4</v>
      </c>
      <c r="AC122" s="1">
        <v>27.2</v>
      </c>
      <c r="AD122" s="1">
        <v>27.4</v>
      </c>
      <c r="AE122" s="1">
        <v>49.2</v>
      </c>
      <c r="AF122" s="1">
        <v>39</v>
      </c>
      <c r="AG122" s="1">
        <v>43</v>
      </c>
      <c r="AH122" s="1"/>
      <c r="AI122" s="1">
        <f t="shared" si="30"/>
        <v>45</v>
      </c>
      <c r="AJ122" s="1">
        <f t="shared" si="31"/>
        <v>0</v>
      </c>
      <c r="AK122" s="1">
        <f t="shared" si="32"/>
        <v>0</v>
      </c>
      <c r="AL122" s="1">
        <f t="shared" si="33"/>
        <v>17.760000000000002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274</v>
      </c>
      <c r="B123" s="1" t="s">
        <v>35</v>
      </c>
      <c r="C123" s="1">
        <v>203.3</v>
      </c>
      <c r="D123" s="1">
        <v>406.61500000000001</v>
      </c>
      <c r="E123" s="1">
        <v>273.988</v>
      </c>
      <c r="F123" s="1">
        <v>326.07600000000002</v>
      </c>
      <c r="G123" s="6">
        <v>1</v>
      </c>
      <c r="H123" s="1">
        <v>50</v>
      </c>
      <c r="I123" s="1" t="s">
        <v>275</v>
      </c>
      <c r="J123" s="1"/>
      <c r="K123" s="1">
        <v>262.10000000000002</v>
      </c>
      <c r="L123" s="1">
        <f t="shared" si="36"/>
        <v>11.887999999999977</v>
      </c>
      <c r="M123" s="1"/>
      <c r="N123" s="1"/>
      <c r="O123" s="1">
        <v>47.877599999999923</v>
      </c>
      <c r="P123" s="1">
        <f t="shared" si="37"/>
        <v>54.797600000000003</v>
      </c>
      <c r="Q123" s="5">
        <f t="shared" si="35"/>
        <v>228.82000000000005</v>
      </c>
      <c r="R123" s="5">
        <f t="shared" si="28"/>
        <v>228.82000000000005</v>
      </c>
      <c r="S123" s="5">
        <f t="shared" si="29"/>
        <v>228.82000000000005</v>
      </c>
      <c r="T123" s="5"/>
      <c r="U123" s="5"/>
      <c r="V123" s="1">
        <f t="shared" si="38"/>
        <v>11</v>
      </c>
      <c r="W123" s="1">
        <f t="shared" si="39"/>
        <v>6.8242696760442048</v>
      </c>
      <c r="X123" s="1">
        <v>47.229799999999997</v>
      </c>
      <c r="Y123" s="1">
        <v>50.653799999999997</v>
      </c>
      <c r="Z123" s="1">
        <v>59.935799999999993</v>
      </c>
      <c r="AA123" s="1">
        <v>60.668999999999997</v>
      </c>
      <c r="AB123" s="1">
        <v>68.052400000000006</v>
      </c>
      <c r="AC123" s="1">
        <v>60.573599999999999</v>
      </c>
      <c r="AD123" s="1">
        <v>45.3932</v>
      </c>
      <c r="AE123" s="1">
        <v>56.154400000000003</v>
      </c>
      <c r="AF123" s="1">
        <v>58.054999999999993</v>
      </c>
      <c r="AG123" s="1">
        <v>50.147799999999997</v>
      </c>
      <c r="AH123" s="1"/>
      <c r="AI123" s="1">
        <f t="shared" si="30"/>
        <v>229</v>
      </c>
      <c r="AJ123" s="1">
        <f t="shared" si="31"/>
        <v>0</v>
      </c>
      <c r="AK123" s="1">
        <f t="shared" si="32"/>
        <v>0</v>
      </c>
      <c r="AL123" s="1">
        <f t="shared" si="33"/>
        <v>54.797600000000003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276</v>
      </c>
      <c r="B124" s="1" t="s">
        <v>42</v>
      </c>
      <c r="C124" s="1">
        <v>122</v>
      </c>
      <c r="D124" s="1">
        <v>528</v>
      </c>
      <c r="E124" s="1">
        <v>258</v>
      </c>
      <c r="F124" s="1">
        <v>359</v>
      </c>
      <c r="G124" s="6">
        <v>0.3</v>
      </c>
      <c r="H124" s="1">
        <v>40</v>
      </c>
      <c r="I124" s="1" t="s">
        <v>277</v>
      </c>
      <c r="J124" s="1"/>
      <c r="K124" s="1">
        <v>283</v>
      </c>
      <c r="L124" s="1">
        <f t="shared" si="36"/>
        <v>-25</v>
      </c>
      <c r="M124" s="1"/>
      <c r="N124" s="1"/>
      <c r="O124" s="1">
        <v>186.12199999999979</v>
      </c>
      <c r="P124" s="1">
        <f t="shared" si="37"/>
        <v>51.6</v>
      </c>
      <c r="Q124" s="5">
        <f t="shared" si="35"/>
        <v>22.478000000000236</v>
      </c>
      <c r="R124" s="5">
        <f t="shared" si="28"/>
        <v>22.478000000000236</v>
      </c>
      <c r="S124" s="5">
        <f t="shared" si="29"/>
        <v>22.478000000000236</v>
      </c>
      <c r="T124" s="5"/>
      <c r="U124" s="5"/>
      <c r="V124" s="1">
        <f t="shared" si="38"/>
        <v>11.000000000000002</v>
      </c>
      <c r="W124" s="1">
        <f t="shared" si="39"/>
        <v>10.564379844961238</v>
      </c>
      <c r="X124" s="1">
        <v>59.6</v>
      </c>
      <c r="Y124" s="1">
        <v>56.6</v>
      </c>
      <c r="Z124" s="1">
        <v>60</v>
      </c>
      <c r="AA124" s="1">
        <v>48.6</v>
      </c>
      <c r="AB124" s="1">
        <v>42</v>
      </c>
      <c r="AC124" s="1">
        <v>55.6</v>
      </c>
      <c r="AD124" s="1">
        <v>54.4</v>
      </c>
      <c r="AE124" s="1">
        <v>44</v>
      </c>
      <c r="AF124" s="1">
        <v>55.2</v>
      </c>
      <c r="AG124" s="1">
        <v>45.8</v>
      </c>
      <c r="AH124" s="1"/>
      <c r="AI124" s="1">
        <f t="shared" si="30"/>
        <v>7</v>
      </c>
      <c r="AJ124" s="1">
        <f t="shared" si="31"/>
        <v>0</v>
      </c>
      <c r="AK124" s="1">
        <f t="shared" si="32"/>
        <v>0</v>
      </c>
      <c r="AL124" s="1">
        <f t="shared" si="33"/>
        <v>15.48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278</v>
      </c>
      <c r="B125" s="1" t="s">
        <v>42</v>
      </c>
      <c r="C125" s="1">
        <v>37</v>
      </c>
      <c r="D125" s="1">
        <v>60</v>
      </c>
      <c r="E125" s="1">
        <v>28</v>
      </c>
      <c r="F125" s="1">
        <v>67</v>
      </c>
      <c r="G125" s="6">
        <v>0.12</v>
      </c>
      <c r="H125" s="1">
        <v>45</v>
      </c>
      <c r="I125" s="1" t="s">
        <v>279</v>
      </c>
      <c r="J125" s="1"/>
      <c r="K125" s="1">
        <v>51</v>
      </c>
      <c r="L125" s="1">
        <f t="shared" si="36"/>
        <v>-23</v>
      </c>
      <c r="M125" s="1"/>
      <c r="N125" s="1"/>
      <c r="O125" s="1">
        <v>41.200000000000017</v>
      </c>
      <c r="P125" s="1">
        <f t="shared" si="37"/>
        <v>5.6</v>
      </c>
      <c r="Q125" s="5"/>
      <c r="R125" s="5">
        <f t="shared" si="28"/>
        <v>0</v>
      </c>
      <c r="S125" s="5">
        <f t="shared" si="29"/>
        <v>0</v>
      </c>
      <c r="T125" s="5"/>
      <c r="U125" s="5"/>
      <c r="V125" s="1">
        <f t="shared" si="38"/>
        <v>19.321428571428577</v>
      </c>
      <c r="W125" s="1">
        <f t="shared" si="39"/>
        <v>19.321428571428577</v>
      </c>
      <c r="X125" s="1">
        <v>9.8000000000000007</v>
      </c>
      <c r="Y125" s="1">
        <v>9.6</v>
      </c>
      <c r="Z125" s="1">
        <v>6</v>
      </c>
      <c r="AA125" s="1">
        <v>2.8</v>
      </c>
      <c r="AB125" s="1">
        <v>-0.2</v>
      </c>
      <c r="AC125" s="1">
        <v>4</v>
      </c>
      <c r="AD125" s="1">
        <v>6.4</v>
      </c>
      <c r="AE125" s="1">
        <v>2.6</v>
      </c>
      <c r="AF125" s="1">
        <v>5.4</v>
      </c>
      <c r="AG125" s="1">
        <v>0.2</v>
      </c>
      <c r="AH125" s="13" t="s">
        <v>73</v>
      </c>
      <c r="AI125" s="1">
        <f t="shared" si="30"/>
        <v>0</v>
      </c>
      <c r="AJ125" s="1">
        <f t="shared" si="31"/>
        <v>0</v>
      </c>
      <c r="AK125" s="1">
        <f t="shared" si="32"/>
        <v>0</v>
      </c>
      <c r="AL125" s="1">
        <f t="shared" si="33"/>
        <v>0.67199999999999993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9" t="s">
        <v>280</v>
      </c>
      <c r="B126" s="9" t="s">
        <v>42</v>
      </c>
      <c r="C126" s="9">
        <v>-1</v>
      </c>
      <c r="D126" s="9"/>
      <c r="E126" s="9"/>
      <c r="F126" s="9">
        <v>-1</v>
      </c>
      <c r="G126" s="10">
        <v>0</v>
      </c>
      <c r="H126" s="9"/>
      <c r="I126" s="9" t="s">
        <v>281</v>
      </c>
      <c r="J126" s="9"/>
      <c r="K126" s="9"/>
      <c r="L126" s="9">
        <f t="shared" si="36"/>
        <v>0</v>
      </c>
      <c r="M126" s="9"/>
      <c r="N126" s="9"/>
      <c r="O126" s="9"/>
      <c r="P126" s="9">
        <f t="shared" si="37"/>
        <v>0</v>
      </c>
      <c r="Q126" s="11"/>
      <c r="R126" s="5">
        <f t="shared" si="28"/>
        <v>0</v>
      </c>
      <c r="S126" s="5">
        <f t="shared" si="29"/>
        <v>0</v>
      </c>
      <c r="T126" s="11"/>
      <c r="U126" s="11"/>
      <c r="V126" s="9" t="e">
        <f t="shared" si="38"/>
        <v>#DIV/0!</v>
      </c>
      <c r="W126" s="9" t="e">
        <f t="shared" si="39"/>
        <v>#DIV/0!</v>
      </c>
      <c r="X126" s="9">
        <v>0</v>
      </c>
      <c r="Y126" s="9">
        <v>0</v>
      </c>
      <c r="Z126" s="9">
        <v>0</v>
      </c>
      <c r="AA126" s="9">
        <v>0</v>
      </c>
      <c r="AB126" s="9">
        <v>0.2</v>
      </c>
      <c r="AC126" s="9">
        <v>0.2</v>
      </c>
      <c r="AD126" s="9">
        <v>0</v>
      </c>
      <c r="AE126" s="9">
        <v>0</v>
      </c>
      <c r="AF126" s="9">
        <v>0</v>
      </c>
      <c r="AG126" s="9">
        <v>0</v>
      </c>
      <c r="AH126" s="9"/>
      <c r="AI126" s="1">
        <f t="shared" si="30"/>
        <v>0</v>
      </c>
      <c r="AJ126" s="1">
        <f t="shared" si="31"/>
        <v>0</v>
      </c>
      <c r="AK126" s="1">
        <f t="shared" si="32"/>
        <v>0</v>
      </c>
      <c r="AL126" s="1">
        <f t="shared" si="33"/>
        <v>0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</sheetData>
  <autoFilter ref="A3:AI12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2026-07-14T11:22:49Z</dcterms:created>
  <dcterms:modified xsi:type="dcterms:W3CDTF">2026-07-16T11:30:03Z</dcterms:modified>
</cp:coreProperties>
</file>