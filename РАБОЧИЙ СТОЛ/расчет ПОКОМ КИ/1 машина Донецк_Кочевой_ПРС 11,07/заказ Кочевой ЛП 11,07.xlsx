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1 машина Донецк_Кочевой 11,07\"/>
    </mc:Choice>
  </mc:AlternateContent>
  <xr:revisionPtr revIDLastSave="0" documentId="13_ncr:1_{DB7BB8F5-0FA9-457D-964F-EC4F854E150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P435" i="2"/>
  <c r="BO434" i="2"/>
  <c r="BM434" i="2"/>
  <c r="Y434" i="2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Y343" i="2" s="1"/>
  <c r="P340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375" i="2" l="1"/>
  <c r="Z172" i="2"/>
  <c r="BN172" i="2"/>
  <c r="Z460" i="2"/>
  <c r="Z462" i="2" s="1"/>
  <c r="Z82" i="2"/>
  <c r="Z265" i="2"/>
  <c r="BN265" i="2"/>
  <c r="BP239" i="2"/>
  <c r="Y427" i="2"/>
  <c r="BP500" i="2"/>
  <c r="Y138" i="2"/>
  <c r="Y207" i="2"/>
  <c r="Y25" i="2"/>
  <c r="Z78" i="2"/>
  <c r="Z136" i="2"/>
  <c r="Y166" i="2"/>
  <c r="Z214" i="2"/>
  <c r="BN214" i="2"/>
  <c r="Z255" i="2"/>
  <c r="BN255" i="2"/>
  <c r="Z333" i="2"/>
  <c r="Z355" i="2"/>
  <c r="BN355" i="2"/>
  <c r="Z387" i="2"/>
  <c r="Y421" i="2"/>
  <c r="Z425" i="2"/>
  <c r="Z479" i="2"/>
  <c r="BP497" i="2"/>
  <c r="BP32" i="2"/>
  <c r="BN55" i="2"/>
  <c r="BN66" i="2"/>
  <c r="Z66" i="2"/>
  <c r="BP89" i="2"/>
  <c r="BN89" i="2"/>
  <c r="Z89" i="2"/>
  <c r="BN108" i="2"/>
  <c r="BN123" i="2"/>
  <c r="BN169" i="2"/>
  <c r="Z169" i="2"/>
  <c r="BN174" i="2"/>
  <c r="BP174" i="2"/>
  <c r="BN184" i="2"/>
  <c r="BP184" i="2"/>
  <c r="Y195" i="2"/>
  <c r="Z193" i="2"/>
  <c r="Z194" i="2" s="1"/>
  <c r="BP204" i="2"/>
  <c r="BN204" i="2"/>
  <c r="Z204" i="2"/>
  <c r="BN219" i="2"/>
  <c r="BP219" i="2"/>
  <c r="BP225" i="2"/>
  <c r="BN225" i="2"/>
  <c r="Z225" i="2"/>
  <c r="BP232" i="2"/>
  <c r="BN232" i="2"/>
  <c r="Z232" i="2"/>
  <c r="BN250" i="2"/>
  <c r="BN260" i="2"/>
  <c r="BN272" i="2"/>
  <c r="BP272" i="2"/>
  <c r="BN278" i="2"/>
  <c r="BN293" i="2"/>
  <c r="BP293" i="2"/>
  <c r="Y303" i="2"/>
  <c r="Y302" i="2"/>
  <c r="BN301" i="2"/>
  <c r="BN325" i="2"/>
  <c r="BN334" i="2"/>
  <c r="Z334" i="2"/>
  <c r="BP347" i="2"/>
  <c r="BN347" i="2"/>
  <c r="Z347" i="2"/>
  <c r="BP367" i="2"/>
  <c r="Z367" i="2"/>
  <c r="BP401" i="2"/>
  <c r="BN401" i="2"/>
  <c r="Z401" i="2"/>
  <c r="BN410" i="2"/>
  <c r="BN452" i="2"/>
  <c r="BP471" i="2"/>
  <c r="BN471" i="2"/>
  <c r="Z471" i="2"/>
  <c r="BP485" i="2"/>
  <c r="BN485" i="2"/>
  <c r="Z485" i="2"/>
  <c r="BN502" i="2"/>
  <c r="Z502" i="2"/>
  <c r="BN517" i="2"/>
  <c r="X538" i="2"/>
  <c r="Z32" i="2"/>
  <c r="Z43" i="2"/>
  <c r="BN43" i="2"/>
  <c r="BN46" i="2"/>
  <c r="Y67" i="2"/>
  <c r="BP66" i="2"/>
  <c r="BN71" i="2"/>
  <c r="BN115" i="2"/>
  <c r="Y131" i="2"/>
  <c r="BP169" i="2"/>
  <c r="BP170" i="2"/>
  <c r="BN170" i="2"/>
  <c r="Z170" i="2"/>
  <c r="BN215" i="2"/>
  <c r="BN240" i="2"/>
  <c r="BN285" i="2"/>
  <c r="BN311" i="2"/>
  <c r="Y337" i="2"/>
  <c r="BP334" i="2"/>
  <c r="BP336" i="2"/>
  <c r="BN336" i="2"/>
  <c r="Z336" i="2"/>
  <c r="BN341" i="2"/>
  <c r="BP341" i="2"/>
  <c r="BN358" i="2"/>
  <c r="BN385" i="2"/>
  <c r="BP385" i="2"/>
  <c r="BN418" i="2"/>
  <c r="Y431" i="2"/>
  <c r="Y430" i="2"/>
  <c r="Z429" i="2"/>
  <c r="Z430" i="2" s="1"/>
  <c r="BP435" i="2"/>
  <c r="Z435" i="2"/>
  <c r="BP454" i="2"/>
  <c r="Z454" i="2"/>
  <c r="BN470" i="2"/>
  <c r="Z470" i="2"/>
  <c r="BN483" i="2"/>
  <c r="Z483" i="2"/>
  <c r="Z512" i="2"/>
  <c r="Z513" i="2" s="1"/>
  <c r="Y513" i="2"/>
  <c r="BN512" i="2"/>
  <c r="BP78" i="2"/>
  <c r="BN118" i="2"/>
  <c r="BN125" i="2"/>
  <c r="BP136" i="2"/>
  <c r="BN175" i="2"/>
  <c r="Y186" i="2"/>
  <c r="BN182" i="2"/>
  <c r="BN189" i="2"/>
  <c r="BN199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474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Z84" i="2" s="1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457" i="2" l="1"/>
  <c r="Z389" i="2"/>
  <c r="Z395" i="2"/>
  <c r="Z298" i="2"/>
  <c r="Z110" i="2"/>
  <c r="Z421" i="2"/>
  <c r="Z402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473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<sst xmlns="http://schemas.openxmlformats.org/spreadsheetml/2006/main" count="4047" uniqueCount="860">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</sst>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AA540" sqref="AA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/>
      <c r="I5" s="961"/>
      <c r="J5" s="961"/>
      <c r="K5" s="961"/>
      <c r="L5" s="961"/>
      <c r="M5" s="961"/>
      <c r="N5" s="72"/>
      <c r="P5" s="27" t="s">
        <v>4</v>
      </c>
      <c r="Q5" s="963">
        <v>46219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Четверг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0.41666666666666669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0</v>
      </c>
      <c r="Y56" s="43">
        <f>IFERROR(Y52/H52,"0")+IFERROR(Y53/H53,"0")+IFERROR(Y54/H54,"0")+IFERROR(Y55/H55,"0")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0</v>
      </c>
      <c r="Y57" s="43">
        <f>IFERROR(SUM(Y52:Y55),"0")</f>
        <v>0</v>
      </c>
      <c r="Z57" s="42"/>
      <c r="AA57" s="67"/>
      <c r="AB57" s="67"/>
      <c r="AC57" s="67"/>
    </row>
    <row r="58" spans="1:68" ht="16.5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0</v>
      </c>
      <c r="Y67" s="43">
        <f>IFERROR(Y60/H60,"0")+IFERROR(Y61/H61,"0")+IFERROR(Y62/H62,"0")+IFERROR(Y63/H63,"0")+IFERROR(Y64/H64,"0")+IFERROR(Y65/H65,"0")+IFERROR(Y66/H66,"0")</f>
        <v>0</v>
      </c>
      <c r="Z67" s="43">
        <f>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0</v>
      </c>
      <c r="Y68" s="43">
        <f>IFERROR(SUM(Y60:Y66),"0")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100</v>
      </c>
      <c r="Y346" s="55">
        <f>IFERROR(IF(X346="",0,CEILING((X346/$H346),1)*$H346),"")</f>
        <v>101.39999999999999</v>
      </c>
      <c r="Z346" s="41">
        <f>IFERROR(IF(Y346=0,"",ROUNDUP(Y346/H346,0)*0.01898),"")</f>
        <v>0.24674000000000001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105.25641025641028</v>
      </c>
      <c r="BN346" s="78">
        <f>IFERROR(Y346*I346/H346,"0")</f>
        <v>106.73</v>
      </c>
      <c r="BO346" s="78">
        <f>IFERROR(1/J346*(X346/H346),"0")</f>
        <v>0.20032051282051283</v>
      </c>
      <c r="BP346" s="78">
        <f>IFERROR(1/J346*(Y346/H346),"0")</f>
        <v>0.203125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12.820512820512821</v>
      </c>
      <c r="Y349" s="43">
        <f>IFERROR(Y346/H346,"0")+IFERROR(Y347/H347,"0")+IFERROR(Y348/H348,"0")</f>
        <v>13</v>
      </c>
      <c r="Z349" s="43">
        <f>IFERROR(IF(Z346="",0,Z346),"0")+IFERROR(IF(Z347="",0,Z347),"0")+IFERROR(IF(Z348="",0,Z348),"0")</f>
        <v>0.24674000000000001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100</v>
      </c>
      <c r="Y350" s="43">
        <f>IFERROR(SUM(Y346:Y348),"0")</f>
        <v>101.39999999999999</v>
      </c>
      <c r="Z350" s="42"/>
      <c r="AA350" s="67"/>
      <c r="AB350" s="67"/>
      <c r="AC350" s="67"/>
    </row>
    <row r="351" spans="1:68" ht="16.5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63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0</v>
      </c>
      <c r="BN408" s="78">
        <f t="shared" si="65"/>
        <v>0</v>
      </c>
      <c r="BO408" s="78">
        <f t="shared" si="66"/>
        <v>0</v>
      </c>
      <c r="BP408" s="78">
        <f t="shared" si="67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2500</v>
      </c>
      <c r="Y410" s="55">
        <f t="shared" si="63"/>
        <v>2505</v>
      </c>
      <c r="Z410" s="41">
        <f>IFERROR(IF(Y410=0,"",ROUNDUP(Y410/H410,0)*0.02175),"")</f>
        <v>3.6322499999999995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2578.3333333333335</v>
      </c>
      <c r="BN410" s="78">
        <f t="shared" si="65"/>
        <v>2583.4899999999998</v>
      </c>
      <c r="BO410" s="78">
        <f t="shared" si="66"/>
        <v>3.4722222222222219</v>
      </c>
      <c r="BP410" s="78">
        <f t="shared" si="67"/>
        <v>3.4791666666666665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166.66666666666666</v>
      </c>
      <c r="Y415" s="43">
        <f>IFERROR(Y407/H407,"0")+IFERROR(Y408/H408,"0")+IFERROR(Y409/H409,"0")+IFERROR(Y410/H410,"0")+IFERROR(Y411/H411,"0")+IFERROR(Y412/H412,"0")+IFERROR(Y413/H413,"0")+IFERROR(Y414/H414,"0")</f>
        <v>167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3.6322499999999995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2500</v>
      </c>
      <c r="Y416" s="43">
        <f>IFERROR(SUM(Y407:Y414),"0")</f>
        <v>2505</v>
      </c>
      <c r="Z416" s="42"/>
      <c r="AA416" s="67"/>
      <c r="AB416" s="67"/>
      <c r="AC416" s="67"/>
    </row>
    <row r="417" spans="1:68" ht="14.25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 t="shared" si="74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0</v>
      </c>
      <c r="BN483" s="78">
        <f t="shared" si="76"/>
        <v>0</v>
      </c>
      <c r="BO483" s="78">
        <f t="shared" si="77"/>
        <v>0</v>
      </c>
      <c r="BP483" s="78">
        <f t="shared" si="78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1300</v>
      </c>
      <c r="Y490" s="55">
        <f>IFERROR(IF(X490="",0,CEILING((X490/$H490),1)*$H490),"")</f>
        <v>1304.1600000000001</v>
      </c>
      <c r="Z490" s="41">
        <f>IFERROR(IF(Y490=0,"",ROUNDUP(Y490/H490,0)*0.01196),"")</f>
        <v>2.9541200000000001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1386.1742424242423</v>
      </c>
      <c r="BN490" s="78">
        <f>IFERROR(Y490*I490/H490,"0")</f>
        <v>1390.61</v>
      </c>
      <c r="BO490" s="78">
        <f>IFERROR(1/J490*(X490/H490),"0")</f>
        <v>2.3674242424242422</v>
      </c>
      <c r="BP490" s="78">
        <f>IFERROR(1/J490*(Y490/H490),"0")</f>
        <v>2.375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246.21212121212119</v>
      </c>
      <c r="Y493" s="43">
        <f>IFERROR(Y490/H490,"0")+IFERROR(Y491/H491,"0")+IFERROR(Y492/H492,"0")</f>
        <v>247</v>
      </c>
      <c r="Z493" s="43">
        <f>IFERROR(IF(Z490="",0,Z490),"0")+IFERROR(IF(Z491="",0,Z491),"0")+IFERROR(IF(Z492="",0,Z492),"0")</f>
        <v>2.9541200000000001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1300</v>
      </c>
      <c r="Y494" s="43">
        <f>IFERROR(SUM(Y490:Y492),"0")</f>
        <v>1304.1600000000001</v>
      </c>
      <c r="Z494" s="42"/>
      <c r="AA494" s="67"/>
      <c r="AB494" s="67"/>
      <c r="AC494" s="67"/>
    </row>
    <row r="495" spans="1:68" ht="14.25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3900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3910.5600000000004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4069.7639860139861</v>
      </c>
      <c r="Y535" s="43">
        <f>IFERROR(SUM(BN22:BN531),"0")</f>
        <v>4080.83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7</v>
      </c>
      <c r="Y536" s="44">
        <f>ROUNDUP(SUM(BP22:BP531),0)</f>
        <v>7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4244.7639860139861</v>
      </c>
      <c r="Y537" s="43">
        <f>GrossWeightTotalR+PalletQtyTotalR*25</f>
        <v>4255.83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425.69930069930069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427</v>
      </c>
      <c r="Z538" s="42"/>
      <c r="AA538" s="67"/>
      <c r="AB538" s="67"/>
      <c r="AC538" s="67"/>
    </row>
    <row r="539" spans="1:68" ht="14.25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6.8331099999999996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0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0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101.39999999999999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2505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1304.1600000000001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2026-07-08T09:42:17Z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