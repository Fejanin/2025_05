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38DF181-7D0D-4FF7-9789-8F17A129BF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Y526" i="1" s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Y466" i="1"/>
  <c r="X466" i="1"/>
  <c r="BP465" i="1"/>
  <c r="BO465" i="1"/>
  <c r="BN465" i="1"/>
  <c r="BM465" i="1"/>
  <c r="Z465" i="1"/>
  <c r="Z466" i="1" s="1"/>
  <c r="Y465" i="1"/>
  <c r="Y467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Y462" i="1" s="1"/>
  <c r="P459" i="1"/>
  <c r="X457" i="1"/>
  <c r="X456" i="1"/>
  <c r="BO455" i="1"/>
  <c r="BM455" i="1"/>
  <c r="Y455" i="1"/>
  <c r="BP455" i="1" s="1"/>
  <c r="P455" i="1"/>
  <c r="BP454" i="1"/>
  <c r="BO454" i="1"/>
  <c r="BN454" i="1"/>
  <c r="BM454" i="1"/>
  <c r="Z454" i="1"/>
  <c r="Y454" i="1"/>
  <c r="P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Y446" i="1" s="1"/>
  <c r="P442" i="1"/>
  <c r="X440" i="1"/>
  <c r="Y439" i="1"/>
  <c r="X439" i="1"/>
  <c r="BP438" i="1"/>
  <c r="BO438" i="1"/>
  <c r="BN438" i="1"/>
  <c r="BM438" i="1"/>
  <c r="Z438" i="1"/>
  <c r="Z439" i="1" s="1"/>
  <c r="Y438" i="1"/>
  <c r="Y440" i="1" s="1"/>
  <c r="P438" i="1"/>
  <c r="X436" i="1"/>
  <c r="X435" i="1"/>
  <c r="BP434" i="1"/>
  <c r="BO434" i="1"/>
  <c r="BN434" i="1"/>
  <c r="BM434" i="1"/>
  <c r="Z434" i="1"/>
  <c r="Y434" i="1"/>
  <c r="P434" i="1"/>
  <c r="BO433" i="1"/>
  <c r="BM433" i="1"/>
  <c r="Y433" i="1"/>
  <c r="W543" i="1" s="1"/>
  <c r="P433" i="1"/>
  <c r="X430" i="1"/>
  <c r="X429" i="1"/>
  <c r="BO428" i="1"/>
  <c r="BM428" i="1"/>
  <c r="Y428" i="1"/>
  <c r="Y429" i="1" s="1"/>
  <c r="P428" i="1"/>
  <c r="X426" i="1"/>
  <c r="X425" i="1"/>
  <c r="BO424" i="1"/>
  <c r="BM424" i="1"/>
  <c r="Y424" i="1"/>
  <c r="BP424" i="1" s="1"/>
  <c r="P424" i="1"/>
  <c r="BP423" i="1"/>
  <c r="BO423" i="1"/>
  <c r="BN423" i="1"/>
  <c r="BM423" i="1"/>
  <c r="Z423" i="1"/>
  <c r="Y423" i="1"/>
  <c r="Y425" i="1" s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Y421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V543" i="1" s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Y401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8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43" i="1" s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Y328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Z310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Y283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N234" i="1"/>
  <c r="BM234" i="1"/>
  <c r="Z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35" i="1" s="1"/>
  <c r="P231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8" i="1" s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Y206" i="1" s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X190" i="1"/>
  <c r="BP189" i="1"/>
  <c r="BO189" i="1"/>
  <c r="BN189" i="1"/>
  <c r="BM189" i="1"/>
  <c r="Z189" i="1"/>
  <c r="Y189" i="1"/>
  <c r="P189" i="1"/>
  <c r="BO188" i="1"/>
  <c r="BM188" i="1"/>
  <c r="Y188" i="1"/>
  <c r="Y191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Y179" i="1" s="1"/>
  <c r="P168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I543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Y128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20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7" i="1"/>
  <c r="X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43" i="1" s="1"/>
  <c r="P52" i="1"/>
  <c r="X48" i="1"/>
  <c r="X47" i="1"/>
  <c r="BO46" i="1"/>
  <c r="BM46" i="1"/>
  <c r="Y46" i="1"/>
  <c r="BP46" i="1" s="1"/>
  <c r="P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C543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F10" i="1" s="1"/>
  <c r="D7" i="1"/>
  <c r="Q6" i="1"/>
  <c r="P2" i="1"/>
  <c r="H9" i="1" l="1"/>
  <c r="A10" i="1"/>
  <c r="Y24" i="1"/>
  <c r="Y34" i="1"/>
  <c r="Y38" i="1"/>
  <c r="Y48" i="1"/>
  <c r="Y56" i="1"/>
  <c r="Y67" i="1"/>
  <c r="Y75" i="1"/>
  <c r="Y79" i="1"/>
  <c r="Y85" i="1"/>
  <c r="Y92" i="1"/>
  <c r="Y100" i="1"/>
  <c r="Y111" i="1"/>
  <c r="Y121" i="1"/>
  <c r="Y127" i="1"/>
  <c r="Y138" i="1"/>
  <c r="Y142" i="1"/>
  <c r="Y148" i="1"/>
  <c r="Y155" i="1"/>
  <c r="Y162" i="1"/>
  <c r="Y166" i="1"/>
  <c r="Y180" i="1"/>
  <c r="Y186" i="1"/>
  <c r="Y190" i="1"/>
  <c r="Y229" i="1"/>
  <c r="BP240" i="1"/>
  <c r="BN240" i="1"/>
  <c r="Z240" i="1"/>
  <c r="Y245" i="1"/>
  <c r="BP244" i="1"/>
  <c r="BN244" i="1"/>
  <c r="Z244" i="1"/>
  <c r="Z245" i="1" s="1"/>
  <c r="Y246" i="1"/>
  <c r="M543" i="1"/>
  <c r="Y251" i="1"/>
  <c r="Y252" i="1"/>
  <c r="BP249" i="1"/>
  <c r="BN249" i="1"/>
  <c r="Z249" i="1"/>
  <c r="Z251" i="1" s="1"/>
  <c r="F9" i="1"/>
  <c r="J9" i="1"/>
  <c r="Z22" i="1"/>
  <c r="Z24" i="1" s="1"/>
  <c r="BN22" i="1"/>
  <c r="BP22" i="1"/>
  <c r="X537" i="1"/>
  <c r="Y25" i="1"/>
  <c r="Z28" i="1"/>
  <c r="Z33" i="1" s="1"/>
  <c r="BN28" i="1"/>
  <c r="Z30" i="1"/>
  <c r="BN30" i="1"/>
  <c r="Z32" i="1"/>
  <c r="BN32" i="1"/>
  <c r="Z36" i="1"/>
  <c r="Z37" i="1" s="1"/>
  <c r="BN36" i="1"/>
  <c r="BP36" i="1"/>
  <c r="Z42" i="1"/>
  <c r="BN42" i="1"/>
  <c r="BP42" i="1"/>
  <c r="Z44" i="1"/>
  <c r="BN44" i="1"/>
  <c r="Z46" i="1"/>
  <c r="BN46" i="1"/>
  <c r="Y47" i="1"/>
  <c r="Z52" i="1"/>
  <c r="BN52" i="1"/>
  <c r="BP52" i="1"/>
  <c r="Z54" i="1"/>
  <c r="BN54" i="1"/>
  <c r="Y57" i="1"/>
  <c r="E543" i="1"/>
  <c r="Z61" i="1"/>
  <c r="Z67" i="1" s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10" i="1" s="1"/>
  <c r="BN103" i="1"/>
  <c r="BP103" i="1"/>
  <c r="Z105" i="1"/>
  <c r="BN105" i="1"/>
  <c r="Z107" i="1"/>
  <c r="BN107" i="1"/>
  <c r="Z109" i="1"/>
  <c r="BN109" i="1"/>
  <c r="Y110" i="1"/>
  <c r="Z113" i="1"/>
  <c r="Z120" i="1" s="1"/>
  <c r="BN113" i="1"/>
  <c r="BP113" i="1"/>
  <c r="Z115" i="1"/>
  <c r="BN115" i="1"/>
  <c r="Z117" i="1"/>
  <c r="BN117" i="1"/>
  <c r="Z119" i="1"/>
  <c r="BN119" i="1"/>
  <c r="Z123" i="1"/>
  <c r="BN123" i="1"/>
  <c r="BP123" i="1"/>
  <c r="Z125" i="1"/>
  <c r="BN125" i="1"/>
  <c r="H543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BN151" i="1"/>
  <c r="BP151" i="1"/>
  <c r="Z153" i="1"/>
  <c r="BN153" i="1"/>
  <c r="Y156" i="1"/>
  <c r="J543" i="1"/>
  <c r="Z160" i="1"/>
  <c r="Z161" i="1" s="1"/>
  <c r="BN160" i="1"/>
  <c r="Y161" i="1"/>
  <c r="Z164" i="1"/>
  <c r="Z165" i="1" s="1"/>
  <c r="BN164" i="1"/>
  <c r="BP164" i="1"/>
  <c r="Z168" i="1"/>
  <c r="Z179" i="1" s="1"/>
  <c r="BN168" i="1"/>
  <c r="BP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90" i="1" s="1"/>
  <c r="BN188" i="1"/>
  <c r="BP188" i="1"/>
  <c r="K543" i="1"/>
  <c r="Z200" i="1"/>
  <c r="Z206" i="1" s="1"/>
  <c r="BN200" i="1"/>
  <c r="Z202" i="1"/>
  <c r="BN202" i="1"/>
  <c r="Z204" i="1"/>
  <c r="BN204" i="1"/>
  <c r="Y207" i="1"/>
  <c r="L543" i="1"/>
  <c r="Y212" i="1"/>
  <c r="Z215" i="1"/>
  <c r="Z228" i="1" s="1"/>
  <c r="BN215" i="1"/>
  <c r="Z217" i="1"/>
  <c r="BN217" i="1"/>
  <c r="Z219" i="1"/>
  <c r="BN219" i="1"/>
  <c r="Z221" i="1"/>
  <c r="BN221" i="1"/>
  <c r="Z223" i="1"/>
  <c r="BN223" i="1"/>
  <c r="Z225" i="1"/>
  <c r="BN225" i="1"/>
  <c r="Z227" i="1"/>
  <c r="BN227" i="1"/>
  <c r="Z231" i="1"/>
  <c r="BN231" i="1"/>
  <c r="BP231" i="1"/>
  <c r="Z233" i="1"/>
  <c r="BN233" i="1"/>
  <c r="Y236" i="1"/>
  <c r="Y241" i="1"/>
  <c r="BP238" i="1"/>
  <c r="BN238" i="1"/>
  <c r="Z238" i="1"/>
  <c r="Z241" i="1" s="1"/>
  <c r="Z255" i="1"/>
  <c r="Z256" i="1" s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Z282" i="1" s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43" i="1"/>
  <c r="Z292" i="1"/>
  <c r="Z298" i="1" s="1"/>
  <c r="BN292" i="1"/>
  <c r="Z294" i="1"/>
  <c r="BN294" i="1"/>
  <c r="Z296" i="1"/>
  <c r="BN296" i="1"/>
  <c r="Y299" i="1"/>
  <c r="Y313" i="1"/>
  <c r="BP319" i="1"/>
  <c r="BN319" i="1"/>
  <c r="Z319" i="1"/>
  <c r="Y329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Y298" i="1"/>
  <c r="Z312" i="1"/>
  <c r="BP310" i="1"/>
  <c r="BN310" i="1"/>
  <c r="Y312" i="1"/>
  <c r="Z321" i="1"/>
  <c r="BP317" i="1"/>
  <c r="BN317" i="1"/>
  <c r="Z317" i="1"/>
  <c r="Y321" i="1"/>
  <c r="BP326" i="1"/>
  <c r="BN326" i="1"/>
  <c r="Z326" i="1"/>
  <c r="Z328" i="1" s="1"/>
  <c r="BP335" i="1"/>
  <c r="BN335" i="1"/>
  <c r="Z335" i="1"/>
  <c r="BP348" i="1"/>
  <c r="BN348" i="1"/>
  <c r="Z348" i="1"/>
  <c r="Y350" i="1"/>
  <c r="Y359" i="1"/>
  <c r="Y369" i="1"/>
  <c r="Y375" i="1"/>
  <c r="Y381" i="1"/>
  <c r="Y389" i="1"/>
  <c r="Y395" i="1"/>
  <c r="Y402" i="1"/>
  <c r="Y414" i="1"/>
  <c r="Y420" i="1"/>
  <c r="Y426" i="1"/>
  <c r="Y430" i="1"/>
  <c r="Y435" i="1"/>
  <c r="Y445" i="1"/>
  <c r="Y457" i="1"/>
  <c r="Y461" i="1"/>
  <c r="BP471" i="1"/>
  <c r="BN471" i="1"/>
  <c r="Z471" i="1"/>
  <c r="Y473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3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Q543" i="1"/>
  <c r="U543" i="1"/>
  <c r="Y543" i="1"/>
  <c r="P543" i="1"/>
  <c r="Y322" i="1"/>
  <c r="R543" i="1"/>
  <c r="Y338" i="1"/>
  <c r="Z353" i="1"/>
  <c r="Z358" i="1" s="1"/>
  <c r="BN353" i="1"/>
  <c r="BP353" i="1"/>
  <c r="Z355" i="1"/>
  <c r="BN355" i="1"/>
  <c r="Z357" i="1"/>
  <c r="BN357" i="1"/>
  <c r="Y358" i="1"/>
  <c r="Z361" i="1"/>
  <c r="Z368" i="1" s="1"/>
  <c r="BN361" i="1"/>
  <c r="BP361" i="1"/>
  <c r="Z363" i="1"/>
  <c r="BN363" i="1"/>
  <c r="Z365" i="1"/>
  <c r="BN365" i="1"/>
  <c r="Z367" i="1"/>
  <c r="BN367" i="1"/>
  <c r="Z371" i="1"/>
  <c r="BN371" i="1"/>
  <c r="BP371" i="1"/>
  <c r="Z373" i="1"/>
  <c r="BN373" i="1"/>
  <c r="Z379" i="1"/>
  <c r="Z381" i="1" s="1"/>
  <c r="BN379" i="1"/>
  <c r="Z385" i="1"/>
  <c r="Z388" i="1" s="1"/>
  <c r="BN385" i="1"/>
  <c r="Z387" i="1"/>
  <c r="BN387" i="1"/>
  <c r="Z391" i="1"/>
  <c r="Z394" i="1" s="1"/>
  <c r="BN391" i="1"/>
  <c r="BP391" i="1"/>
  <c r="Z393" i="1"/>
  <c r="BN393" i="1"/>
  <c r="Z398" i="1"/>
  <c r="BN398" i="1"/>
  <c r="BP398" i="1"/>
  <c r="Z400" i="1"/>
  <c r="BN400" i="1"/>
  <c r="Z406" i="1"/>
  <c r="Z414" i="1" s="1"/>
  <c r="BN406" i="1"/>
  <c r="BP406" i="1"/>
  <c r="Z408" i="1"/>
  <c r="BN408" i="1"/>
  <c r="Z410" i="1"/>
  <c r="BN410" i="1"/>
  <c r="Z412" i="1"/>
  <c r="BN412" i="1"/>
  <c r="Y415" i="1"/>
  <c r="Z418" i="1"/>
  <c r="Z420" i="1" s="1"/>
  <c r="BN418" i="1"/>
  <c r="Z424" i="1"/>
  <c r="Z425" i="1" s="1"/>
  <c r="BN424" i="1"/>
  <c r="Z428" i="1"/>
  <c r="Z429" i="1" s="1"/>
  <c r="BN428" i="1"/>
  <c r="BP428" i="1"/>
  <c r="Z433" i="1"/>
  <c r="Z435" i="1" s="1"/>
  <c r="BN433" i="1"/>
  <c r="BP433" i="1"/>
  <c r="Y436" i="1"/>
  <c r="Z443" i="1"/>
  <c r="Z445" i="1" s="1"/>
  <c r="BN443" i="1"/>
  <c r="X543" i="1"/>
  <c r="Z451" i="1"/>
  <c r="Z456" i="1" s="1"/>
  <c r="BN451" i="1"/>
  <c r="Z453" i="1"/>
  <c r="BN453" i="1"/>
  <c r="Z455" i="1"/>
  <c r="BN455" i="1"/>
  <c r="Y456" i="1"/>
  <c r="Z459" i="1"/>
  <c r="Z461" i="1" s="1"/>
  <c r="BN459" i="1"/>
  <c r="BP459" i="1"/>
  <c r="Y472" i="1"/>
  <c r="BP469" i="1"/>
  <c r="BN469" i="1"/>
  <c r="Z469" i="1"/>
  <c r="Z472" i="1" s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BP499" i="1"/>
  <c r="BN499" i="1"/>
  <c r="Z499" i="1"/>
  <c r="Y517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AA543" i="1"/>
  <c r="Z502" i="1" l="1"/>
  <c r="Z401" i="1"/>
  <c r="Z375" i="1"/>
  <c r="Z492" i="1"/>
  <c r="Z267" i="1"/>
  <c r="Z235" i="1"/>
  <c r="Z185" i="1"/>
  <c r="Z155" i="1"/>
  <c r="Z127" i="1"/>
  <c r="Z56" i="1"/>
  <c r="Z47" i="1"/>
  <c r="Z538" i="1" s="1"/>
  <c r="Y533" i="1"/>
  <c r="Y535" i="1"/>
  <c r="Z486" i="1"/>
  <c r="Z349" i="1"/>
  <c r="Y534" i="1"/>
  <c r="Y536" i="1" s="1"/>
  <c r="Y537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<sst xmlns="http://schemas.openxmlformats.org/spreadsheetml/2006/main" count="2407" uniqueCount="872">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</sst>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82" t="s">
        <v>0</v>
      </c>
      <c r="E1" s="638"/>
      <c r="F1" s="638"/>
      <c r="G1" s="12" t="s">
        <v>1</v>
      </c>
      <c r="H1" s="682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5"/>
      <c r="R2" s="615"/>
      <c r="S2" s="615"/>
      <c r="T2" s="615"/>
      <c r="U2" s="615"/>
      <c r="V2" s="615"/>
      <c r="W2" s="615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5"/>
      <c r="Q3" s="615"/>
      <c r="R3" s="615"/>
      <c r="S3" s="615"/>
      <c r="T3" s="615"/>
      <c r="U3" s="615"/>
      <c r="V3" s="615"/>
      <c r="W3" s="615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27" t="s">
        <v>8</v>
      </c>
      <c r="B5" s="654"/>
      <c r="C5" s="655"/>
      <c r="D5" s="687"/>
      <c r="E5" s="688"/>
      <c r="F5" s="915" t="s">
        <v>9</v>
      </c>
      <c r="G5" s="655"/>
      <c r="H5" s="687"/>
      <c r="I5" s="847"/>
      <c r="J5" s="847"/>
      <c r="K5" s="847"/>
      <c r="L5" s="847"/>
      <c r="M5" s="688"/>
      <c r="N5" s="58"/>
      <c r="P5" s="24" t="s">
        <v>10</v>
      </c>
      <c r="Q5" s="927">
        <v>46214</v>
      </c>
      <c r="R5" s="725"/>
      <c r="T5" s="771" t="s">
        <v>11</v>
      </c>
      <c r="U5" s="772"/>
      <c r="V5" s="773" t="s">
        <v>12</v>
      </c>
      <c r="W5" s="725"/>
      <c r="AB5" s="51"/>
      <c r="AC5" s="51"/>
      <c r="AD5" s="51"/>
      <c r="AE5" s="51"/>
    </row>
    <row r="6" spans="1:32" s="599" customFormat="1" ht="24" customHeight="1" x14ac:dyDescent="0.2">
      <c r="A6" s="727" t="s">
        <v>13</v>
      </c>
      <c r="B6" s="654"/>
      <c r="C6" s="655"/>
      <c r="D6" s="850"/>
      <c r="E6" s="851"/>
      <c r="F6" s="851"/>
      <c r="G6" s="851"/>
      <c r="H6" s="851"/>
      <c r="I6" s="851"/>
      <c r="J6" s="851"/>
      <c r="K6" s="851"/>
      <c r="L6" s="851"/>
      <c r="M6" s="725"/>
      <c r="N6" s="59"/>
      <c r="P6" s="24" t="s">
        <v>14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610"/>
      <c r="T6" s="781" t="s">
        <v>15</v>
      </c>
      <c r="U6" s="772"/>
      <c r="V6" s="834" t="s">
        <v>16</v>
      </c>
      <c r="W6" s="658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67">
        <f>IFERROR(VLOOKUP(DeliveryAddress,Table,3,0),1)</f>
        <v>1</v>
      </c>
      <c r="E7" s="668"/>
      <c r="F7" s="668"/>
      <c r="G7" s="668"/>
      <c r="H7" s="668"/>
      <c r="I7" s="668"/>
      <c r="J7" s="668"/>
      <c r="K7" s="668"/>
      <c r="L7" s="668"/>
      <c r="M7" s="669"/>
      <c r="N7" s="60"/>
      <c r="P7" s="24"/>
      <c r="Q7" s="42"/>
      <c r="R7" s="42"/>
      <c r="T7" s="615"/>
      <c r="U7" s="772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55" t="s">
        <v>17</v>
      </c>
      <c r="B8" s="623"/>
      <c r="C8" s="624"/>
      <c r="D8" s="675"/>
      <c r="E8" s="676"/>
      <c r="F8" s="676"/>
      <c r="G8" s="676"/>
      <c r="H8" s="676"/>
      <c r="I8" s="676"/>
      <c r="J8" s="676"/>
      <c r="K8" s="676"/>
      <c r="L8" s="676"/>
      <c r="M8" s="677"/>
      <c r="N8" s="61"/>
      <c r="P8" s="24" t="s">
        <v>18</v>
      </c>
      <c r="Q8" s="735">
        <v>0.41666666666666669</v>
      </c>
      <c r="R8" s="669"/>
      <c r="T8" s="615"/>
      <c r="U8" s="772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5"/>
      <c r="C9" s="615"/>
      <c r="D9" s="746"/>
      <c r="E9" s="626"/>
      <c r="F9" s="7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5"/>
      <c r="H9" s="625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62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597"/>
      <c r="P9" s="26" t="s">
        <v>19</v>
      </c>
      <c r="Q9" s="721"/>
      <c r="R9" s="722"/>
      <c r="T9" s="615"/>
      <c r="U9" s="772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5"/>
      <c r="C10" s="615"/>
      <c r="D10" s="746"/>
      <c r="E10" s="626"/>
      <c r="F10" s="7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5"/>
      <c r="H10" s="825" t="str">
        <f>IFERROR(VLOOKUP($D$10,Proxy,2,FALSE),"")</f>
        <v/>
      </c>
      <c r="I10" s="615"/>
      <c r="J10" s="615"/>
      <c r="K10" s="615"/>
      <c r="L10" s="615"/>
      <c r="M10" s="615"/>
      <c r="N10" s="598"/>
      <c r="P10" s="26" t="s">
        <v>20</v>
      </c>
      <c r="Q10" s="782"/>
      <c r="R10" s="783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4"/>
      <c r="R11" s="725"/>
      <c r="U11" s="24" t="s">
        <v>25</v>
      </c>
      <c r="V11" s="876" t="s">
        <v>26</v>
      </c>
      <c r="W11" s="722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7" t="s">
        <v>27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28</v>
      </c>
      <c r="Q12" s="735"/>
      <c r="R12" s="669"/>
      <c r="S12" s="23"/>
      <c r="U12" s="24"/>
      <c r="V12" s="638"/>
      <c r="W12" s="615"/>
      <c r="AB12" s="51"/>
      <c r="AC12" s="51"/>
      <c r="AD12" s="51"/>
      <c r="AE12" s="51"/>
    </row>
    <row r="13" spans="1:32" s="599" customFormat="1" ht="23.25" customHeight="1" x14ac:dyDescent="0.2">
      <c r="A13" s="767" t="s">
        <v>29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30</v>
      </c>
      <c r="Q13" s="876"/>
      <c r="R13" s="7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7" t="s">
        <v>31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802" t="s">
        <v>32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55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6"/>
      <c r="Q16" s="756"/>
      <c r="R16" s="756"/>
      <c r="S16" s="756"/>
      <c r="T16" s="75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44" t="s">
        <v>36</v>
      </c>
      <c r="D17" s="651" t="s">
        <v>37</v>
      </c>
      <c r="E17" s="705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04"/>
      <c r="R17" s="704"/>
      <c r="S17" s="704"/>
      <c r="T17" s="705"/>
      <c r="U17" s="953" t="s">
        <v>49</v>
      </c>
      <c r="V17" s="655"/>
      <c r="W17" s="651" t="s">
        <v>50</v>
      </c>
      <c r="X17" s="651" t="s">
        <v>51</v>
      </c>
      <c r="Y17" s="951" t="s">
        <v>52</v>
      </c>
      <c r="Z17" s="845" t="s">
        <v>53</v>
      </c>
      <c r="AA17" s="823" t="s">
        <v>54</v>
      </c>
      <c r="AB17" s="823" t="s">
        <v>55</v>
      </c>
      <c r="AC17" s="823" t="s">
        <v>56</v>
      </c>
      <c r="AD17" s="823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06"/>
      <c r="E18" s="708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06"/>
      <c r="Q18" s="707"/>
      <c r="R18" s="707"/>
      <c r="S18" s="707"/>
      <c r="T18" s="708"/>
      <c r="U18" s="67" t="s">
        <v>59</v>
      </c>
      <c r="V18" s="67" t="s">
        <v>60</v>
      </c>
      <c r="W18" s="652"/>
      <c r="X18" s="652"/>
      <c r="Y18" s="952"/>
      <c r="Z18" s="846"/>
      <c r="AA18" s="824"/>
      <c r="AB18" s="824"/>
      <c r="AC18" s="824"/>
      <c r="AD18" s="912"/>
      <c r="AE18" s="913"/>
      <c r="AF18" s="914"/>
      <c r="AG18" s="66"/>
      <c r="BD18" s="65"/>
    </row>
    <row r="19" spans="1:68" ht="27.75" customHeight="1" x14ac:dyDescent="0.2">
      <c r="A19" s="627" t="s">
        <v>61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48"/>
      <c r="AB19" s="48"/>
      <c r="AC19" s="48"/>
    </row>
    <row r="20" spans="1:68" ht="16.5" customHeight="1" x14ac:dyDescent="0.25">
      <c r="A20" s="648" t="s">
        <v>61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00"/>
      <c r="AB20" s="600"/>
      <c r="AC20" s="600"/>
    </row>
    <row r="21" spans="1:68" ht="14.25" customHeight="1" x14ac:dyDescent="0.25">
      <c r="A21" s="614" t="s">
        <v>62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01"/>
      <c r="AB21" s="601"/>
      <c r="AC21" s="60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9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20"/>
      <c r="P24" s="622" t="s">
        <v>72</v>
      </c>
      <c r="Q24" s="623"/>
      <c r="R24" s="623"/>
      <c r="S24" s="623"/>
      <c r="T24" s="623"/>
      <c r="U24" s="623"/>
      <c r="V24" s="624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20"/>
      <c r="P25" s="622" t="s">
        <v>72</v>
      </c>
      <c r="Q25" s="623"/>
      <c r="R25" s="623"/>
      <c r="S25" s="623"/>
      <c r="T25" s="623"/>
      <c r="U25" s="623"/>
      <c r="V25" s="624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4" t="s">
        <v>74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01"/>
      <c r="AB26" s="601"/>
      <c r="AC26" s="60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9">
        <v>4680115887657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9">
        <v>4680115887619</v>
      </c>
      <c r="E32" s="61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9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20"/>
      <c r="P33" s="622" t="s">
        <v>72</v>
      </c>
      <c r="Q33" s="623"/>
      <c r="R33" s="623"/>
      <c r="S33" s="623"/>
      <c r="T33" s="623"/>
      <c r="U33" s="623"/>
      <c r="V33" s="624"/>
      <c r="W33" s="37" t="s">
        <v>73</v>
      </c>
      <c r="X33" s="607">
        <f>IFERROR(X27/H27,"0")+IFERROR(X28/H28,"0")+IFERROR(X29/H29,"0")+IFERROR(X30/H30,"0")+IFERROR(X31/H31,"0")+IFERROR(X32/H32,"0")</f>
        <v>0</v>
      </c>
      <c r="Y33" s="607">
        <f>IFERROR(Y27/H27,"0")+IFERROR(Y28/H28,"0")+IFERROR(Y29/H29,"0")+IFERROR(Y30/H30,"0")+IFERROR(Y31/H31,"0")+IFERROR(Y32/H32,"0")</f>
        <v>0</v>
      </c>
      <c r="Z33" s="607">
        <f>IFERROR(IF(Z27="",0,Z27),"0")+IFERROR(IF(Z28="",0,Z28),"0")+IFERROR(IF(Z29="",0,Z29),"0")+IFERROR(IF(Z30="",0,Z30),"0")+IFERROR(IF(Z31="",0,Z31),"0")+IFERROR(IF(Z32="",0,Z32),"0")</f>
        <v>0</v>
      </c>
      <c r="AA33" s="608"/>
      <c r="AB33" s="608"/>
      <c r="AC33" s="608"/>
    </row>
    <row r="34" spans="1:68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20"/>
      <c r="P34" s="622" t="s">
        <v>72</v>
      </c>
      <c r="Q34" s="623"/>
      <c r="R34" s="623"/>
      <c r="S34" s="623"/>
      <c r="T34" s="623"/>
      <c r="U34" s="623"/>
      <c r="V34" s="624"/>
      <c r="W34" s="37" t="s">
        <v>67</v>
      </c>
      <c r="X34" s="607">
        <f>IFERROR(SUM(X27:X32),"0")</f>
        <v>0</v>
      </c>
      <c r="Y34" s="607">
        <f>IFERROR(SUM(Y27:Y32),"0")</f>
        <v>0</v>
      </c>
      <c r="Z34" s="37"/>
      <c r="AA34" s="608"/>
      <c r="AB34" s="608"/>
      <c r="AC34" s="608"/>
    </row>
    <row r="35" spans="1:68" ht="14.25" customHeight="1" x14ac:dyDescent="0.25">
      <c r="A35" s="614" t="s">
        <v>95</v>
      </c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  <c r="O35" s="615"/>
      <c r="P35" s="615"/>
      <c r="Q35" s="615"/>
      <c r="R35" s="615"/>
      <c r="S35" s="615"/>
      <c r="T35" s="615"/>
      <c r="U35" s="615"/>
      <c r="V35" s="615"/>
      <c r="W35" s="615"/>
      <c r="X35" s="615"/>
      <c r="Y35" s="615"/>
      <c r="Z35" s="615"/>
      <c r="AA35" s="601"/>
      <c r="AB35" s="601"/>
      <c r="AC35" s="601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9">
        <v>4607091388503</v>
      </c>
      <c r="E36" s="61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9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20"/>
      <c r="P37" s="622" t="s">
        <v>72</v>
      </c>
      <c r="Q37" s="623"/>
      <c r="R37" s="623"/>
      <c r="S37" s="623"/>
      <c r="T37" s="623"/>
      <c r="U37" s="623"/>
      <c r="V37" s="624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20"/>
      <c r="P38" s="622" t="s">
        <v>72</v>
      </c>
      <c r="Q38" s="623"/>
      <c r="R38" s="623"/>
      <c r="S38" s="623"/>
      <c r="T38" s="623"/>
      <c r="U38" s="623"/>
      <c r="V38" s="624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customHeight="1" x14ac:dyDescent="0.2">
      <c r="A39" s="627" t="s">
        <v>101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48"/>
      <c r="AB39" s="48"/>
      <c r="AC39" s="48"/>
    </row>
    <row r="40" spans="1:68" ht="16.5" customHeight="1" x14ac:dyDescent="0.25">
      <c r="A40" s="648" t="s">
        <v>102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00"/>
      <c r="AB40" s="600"/>
      <c r="AC40" s="600"/>
    </row>
    <row r="41" spans="1:68" ht="14.25" customHeight="1" x14ac:dyDescent="0.25">
      <c r="A41" s="614" t="s">
        <v>74</v>
      </c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01"/>
      <c r="AB41" s="601"/>
      <c r="AC41" s="601"/>
    </row>
    <row r="42" spans="1:68" ht="27" customHeight="1" x14ac:dyDescent="0.25">
      <c r="A42" s="54" t="s">
        <v>103</v>
      </c>
      <c r="B42" s="54" t="s">
        <v>104</v>
      </c>
      <c r="C42" s="31">
        <v>4301052187</v>
      </c>
      <c r="D42" s="609">
        <v>4680115889354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4301052198</v>
      </c>
      <c r="D43" s="609">
        <v>4680115888463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4301052202</v>
      </c>
      <c r="D44" s="609">
        <v>4680115888494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4301052184</v>
      </c>
      <c r="D45" s="609">
        <v>4680115888272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customHeight="1" x14ac:dyDescent="0.25">
      <c r="A46" s="54" t="s">
        <v>116</v>
      </c>
      <c r="B46" s="54" t="s">
        <v>117</v>
      </c>
      <c r="C46" s="31">
        <v>4301052188</v>
      </c>
      <c r="D46" s="609">
        <v>4680115888364</v>
      </c>
      <c r="E46" s="61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619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20"/>
      <c r="P47" s="622" t="s">
        <v>72</v>
      </c>
      <c r="Q47" s="623"/>
      <c r="R47" s="623"/>
      <c r="S47" s="623"/>
      <c r="T47" s="623"/>
      <c r="U47" s="623"/>
      <c r="V47" s="624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x14ac:dyDescent="0.2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  <c r="O48" s="620"/>
      <c r="P48" s="622" t="s">
        <v>72</v>
      </c>
      <c r="Q48" s="623"/>
      <c r="R48" s="623"/>
      <c r="S48" s="623"/>
      <c r="T48" s="623"/>
      <c r="U48" s="623"/>
      <c r="V48" s="624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customHeight="1" x14ac:dyDescent="0.2">
      <c r="A49" s="627" t="s">
        <v>119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48"/>
      <c r="AB49" s="48"/>
      <c r="AC49" s="48"/>
    </row>
    <row r="50" spans="1:68" ht="16.5" customHeight="1" x14ac:dyDescent="0.25">
      <c r="A50" s="648" t="s">
        <v>120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00"/>
      <c r="AB50" s="600"/>
      <c r="AC50" s="600"/>
    </row>
    <row r="51" spans="1:68" ht="14.25" customHeight="1" x14ac:dyDescent="0.25">
      <c r="A51" s="614" t="s">
        <v>121</v>
      </c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01"/>
      <c r="AB51" s="601"/>
      <c r="AC51" s="601"/>
    </row>
    <row r="52" spans="1:68" ht="16.5" customHeight="1" x14ac:dyDescent="0.25">
      <c r="A52" s="54" t="s">
        <v>122</v>
      </c>
      <c r="B52" s="54" t="s">
        <v>123</v>
      </c>
      <c r="C52" s="31">
        <v>4301011380</v>
      </c>
      <c r="D52" s="609">
        <v>4607091385670</v>
      </c>
      <c r="E52" s="61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4301012053</v>
      </c>
      <c r="D53" s="609">
        <v>4680115887725</v>
      </c>
      <c r="E53" s="61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4301011382</v>
      </c>
      <c r="D54" s="609">
        <v>4607091385687</v>
      </c>
      <c r="E54" s="61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09">
        <v>4680115882539</v>
      </c>
      <c r="E55" s="61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0</v>
      </c>
      <c r="Y55" s="606">
        <f>IFERROR(IF(X55="",0,CEILING((X55/$H55),1)*$H55),"")</f>
        <v>0</v>
      </c>
      <c r="Z55" s="36" t="str">
        <f>IFERROR(IF(Y55=0,"",ROUNDUP(Y55/H55,0)*0.00902),"")</f>
        <v/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0</v>
      </c>
      <c r="BN55" s="64">
        <f>IFERROR(Y55*I55/H55,"0")</f>
        <v>0</v>
      </c>
      <c r="BO55" s="64">
        <f>IFERROR(1/J55*(X55/H55),"0")</f>
        <v>0</v>
      </c>
      <c r="BP55" s="64">
        <f>IFERROR(1/J55*(Y55/H55),"0")</f>
        <v>0</v>
      </c>
    </row>
    <row r="56" spans="1:68" x14ac:dyDescent="0.2">
      <c r="A56" s="619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20"/>
      <c r="P56" s="622" t="s">
        <v>72</v>
      </c>
      <c r="Q56" s="623"/>
      <c r="R56" s="623"/>
      <c r="S56" s="623"/>
      <c r="T56" s="623"/>
      <c r="U56" s="623"/>
      <c r="V56" s="624"/>
      <c r="W56" s="37" t="s">
        <v>73</v>
      </c>
      <c r="X56" s="607">
        <f>IFERROR(X52/H52,"0")+IFERROR(X53/H53,"0")+IFERROR(X54/H54,"0")+IFERROR(X55/H55,"0")</f>
        <v>0</v>
      </c>
      <c r="Y56" s="607">
        <f>IFERROR(Y52/H52,"0")+IFERROR(Y53/H53,"0")+IFERROR(Y54/H54,"0")+IFERROR(Y55/H55,"0")</f>
        <v>0</v>
      </c>
      <c r="Z56" s="607">
        <f>IFERROR(IF(Z52="",0,Z52),"0")+IFERROR(IF(Z53="",0,Z53),"0")+IFERROR(IF(Z54="",0,Z54),"0")+IFERROR(IF(Z55="",0,Z55),"0")</f>
        <v>0</v>
      </c>
      <c r="AA56" s="608"/>
      <c r="AB56" s="608"/>
      <c r="AC56" s="608"/>
    </row>
    <row r="57" spans="1:68" x14ac:dyDescent="0.2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20"/>
      <c r="P57" s="622" t="s">
        <v>72</v>
      </c>
      <c r="Q57" s="623"/>
      <c r="R57" s="623"/>
      <c r="S57" s="623"/>
      <c r="T57" s="623"/>
      <c r="U57" s="623"/>
      <c r="V57" s="624"/>
      <c r="W57" s="37" t="s">
        <v>67</v>
      </c>
      <c r="X57" s="607">
        <f>IFERROR(SUM(X52:X55),"0")</f>
        <v>0</v>
      </c>
      <c r="Y57" s="607">
        <f>IFERROR(SUM(Y52:Y55),"0")</f>
        <v>0</v>
      </c>
      <c r="Z57" s="37"/>
      <c r="AA57" s="608"/>
      <c r="AB57" s="608"/>
      <c r="AC57" s="608"/>
    </row>
    <row r="58" spans="1:68" ht="16.5" customHeight="1" x14ac:dyDescent="0.25">
      <c r="A58" s="648" t="s">
        <v>136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00"/>
      <c r="AB58" s="600"/>
      <c r="AC58" s="600"/>
    </row>
    <row r="59" spans="1:68" ht="14.25" customHeight="1" x14ac:dyDescent="0.25">
      <c r="A59" s="614" t="s">
        <v>121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01"/>
      <c r="AB59" s="601"/>
      <c r="AC59" s="601"/>
    </row>
    <row r="60" spans="1:68" ht="27" customHeight="1" x14ac:dyDescent="0.25">
      <c r="A60" s="54" t="s">
        <v>137</v>
      </c>
      <c r="B60" s="54" t="s">
        <v>138</v>
      </c>
      <c r="C60" s="31">
        <v>4301012030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customHeight="1" x14ac:dyDescent="0.25">
      <c r="A61" s="54" t="s">
        <v>137</v>
      </c>
      <c r="B61" s="54" t="s">
        <v>140</v>
      </c>
      <c r="C61" s="31">
        <v>4301012161</v>
      </c>
      <c r="D61" s="609">
        <v>4680115885882</v>
      </c>
      <c r="E61" s="61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4301011816</v>
      </c>
      <c r="D62" s="609">
        <v>4680115881426</v>
      </c>
      <c r="E62" s="61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4301011386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7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148</v>
      </c>
      <c r="B64" s="54" t="s">
        <v>149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16</v>
      </c>
      <c r="Y66" s="606">
        <f t="shared" si="6"/>
        <v>18</v>
      </c>
      <c r="Z66" s="36">
        <f>IFERROR(IF(Y66=0,"",ROUNDUP(Y66/H66,0)*0.00902),"")</f>
        <v>3.6080000000000001E-2</v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16.675555555555558</v>
      </c>
      <c r="BN66" s="64">
        <f t="shared" si="8"/>
        <v>18.760000000000002</v>
      </c>
      <c r="BO66" s="64">
        <f t="shared" si="9"/>
        <v>2.6936026936026935E-2</v>
      </c>
      <c r="BP66" s="64">
        <f t="shared" si="10"/>
        <v>3.0303030303030304E-2</v>
      </c>
    </row>
    <row r="67" spans="1:68" x14ac:dyDescent="0.2">
      <c r="A67" s="619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20"/>
      <c r="P67" s="622" t="s">
        <v>72</v>
      </c>
      <c r="Q67" s="623"/>
      <c r="R67" s="623"/>
      <c r="S67" s="623"/>
      <c r="T67" s="623"/>
      <c r="U67" s="623"/>
      <c r="V67" s="624"/>
      <c r="W67" s="37" t="s">
        <v>73</v>
      </c>
      <c r="X67" s="607">
        <f>IFERROR(X60/H60,"0")+IFERROR(X61/H61,"0")+IFERROR(X62/H62,"0")+IFERROR(X63/H63,"0")+IFERROR(X64/H64,"0")+IFERROR(X65/H65,"0")+IFERROR(X66/H66,"0")</f>
        <v>3.5555555555555554</v>
      </c>
      <c r="Y67" s="607">
        <f>IFERROR(Y60/H60,"0")+IFERROR(Y61/H61,"0")+IFERROR(Y62/H62,"0")+IFERROR(Y63/H63,"0")+IFERROR(Y64/H64,"0")+IFERROR(Y65/H65,"0")+IFERROR(Y66/H66,"0")</f>
        <v>4</v>
      </c>
      <c r="Z67" s="607">
        <f>IFERROR(IF(Z60="",0,Z60),"0")+IFERROR(IF(Z61="",0,Z61),"0")+IFERROR(IF(Z62="",0,Z62),"0")+IFERROR(IF(Z63="",0,Z63),"0")+IFERROR(IF(Z64="",0,Z64),"0")+IFERROR(IF(Z65="",0,Z65),"0")+IFERROR(IF(Z66="",0,Z66),"0")</f>
        <v>3.6080000000000001E-2</v>
      </c>
      <c r="AA67" s="608"/>
      <c r="AB67" s="608"/>
      <c r="AC67" s="608"/>
    </row>
    <row r="68" spans="1:68" x14ac:dyDescent="0.2">
      <c r="A68" s="615"/>
      <c r="B68" s="615"/>
      <c r="C68" s="615"/>
      <c r="D68" s="615"/>
      <c r="E68" s="615"/>
      <c r="F68" s="615"/>
      <c r="G68" s="615"/>
      <c r="H68" s="615"/>
      <c r="I68" s="615"/>
      <c r="J68" s="615"/>
      <c r="K68" s="615"/>
      <c r="L68" s="615"/>
      <c r="M68" s="615"/>
      <c r="N68" s="615"/>
      <c r="O68" s="620"/>
      <c r="P68" s="622" t="s">
        <v>72</v>
      </c>
      <c r="Q68" s="623"/>
      <c r="R68" s="623"/>
      <c r="S68" s="623"/>
      <c r="T68" s="623"/>
      <c r="U68" s="623"/>
      <c r="V68" s="624"/>
      <c r="W68" s="37" t="s">
        <v>67</v>
      </c>
      <c r="X68" s="607">
        <f>IFERROR(SUM(X60:X66),"0")</f>
        <v>16</v>
      </c>
      <c r="Y68" s="607">
        <f>IFERROR(SUM(Y60:Y66),"0")</f>
        <v>18</v>
      </c>
      <c r="Z68" s="37"/>
      <c r="AA68" s="608"/>
      <c r="AB68" s="608"/>
      <c r="AC68" s="608"/>
    </row>
    <row r="69" spans="1:68" ht="14.25" customHeight="1" x14ac:dyDescent="0.25">
      <c r="A69" s="614" t="s">
        <v>156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160</v>
      </c>
      <c r="B71" s="54" t="s">
        <v>161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162</v>
      </c>
      <c r="B72" s="54" t="s">
        <v>163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165</v>
      </c>
      <c r="B73" s="54" t="s">
        <v>166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9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20"/>
      <c r="P74" s="622" t="s">
        <v>72</v>
      </c>
      <c r="Q74" s="623"/>
      <c r="R74" s="623"/>
      <c r="S74" s="623"/>
      <c r="T74" s="623"/>
      <c r="U74" s="623"/>
      <c r="V74" s="624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5"/>
      <c r="B75" s="615"/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  <c r="O75" s="620"/>
      <c r="P75" s="622" t="s">
        <v>72</v>
      </c>
      <c r="Q75" s="623"/>
      <c r="R75" s="623"/>
      <c r="S75" s="623"/>
      <c r="T75" s="623"/>
      <c r="U75" s="623"/>
      <c r="V75" s="624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4" t="s">
        <v>74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01"/>
      <c r="AB76" s="601"/>
      <c r="AC76" s="60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170</v>
      </c>
      <c r="B78" s="54" t="s">
        <v>171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9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20"/>
      <c r="P79" s="622" t="s">
        <v>72</v>
      </c>
      <c r="Q79" s="623"/>
      <c r="R79" s="623"/>
      <c r="S79" s="623"/>
      <c r="T79" s="623"/>
      <c r="U79" s="623"/>
      <c r="V79" s="624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5"/>
      <c r="B80" s="615"/>
      <c r="C80" s="615"/>
      <c r="D80" s="615"/>
      <c r="E80" s="615"/>
      <c r="F80" s="615"/>
      <c r="G80" s="615"/>
      <c r="H80" s="615"/>
      <c r="I80" s="615"/>
      <c r="J80" s="615"/>
      <c r="K80" s="615"/>
      <c r="L80" s="615"/>
      <c r="M80" s="615"/>
      <c r="N80" s="615"/>
      <c r="O80" s="620"/>
      <c r="P80" s="622" t="s">
        <v>72</v>
      </c>
      <c r="Q80" s="623"/>
      <c r="R80" s="623"/>
      <c r="S80" s="623"/>
      <c r="T80" s="623"/>
      <c r="U80" s="623"/>
      <c r="V80" s="624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4" t="s">
        <v>173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177</v>
      </c>
      <c r="B83" s="54" t="s">
        <v>178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9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20"/>
      <c r="P84" s="622" t="s">
        <v>72</v>
      </c>
      <c r="Q84" s="623"/>
      <c r="R84" s="623"/>
      <c r="S84" s="623"/>
      <c r="T84" s="623"/>
      <c r="U84" s="623"/>
      <c r="V84" s="624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5"/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20"/>
      <c r="P85" s="622" t="s">
        <v>72</v>
      </c>
      <c r="Q85" s="623"/>
      <c r="R85" s="623"/>
      <c r="S85" s="623"/>
      <c r="T85" s="623"/>
      <c r="U85" s="623"/>
      <c r="V85" s="624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48" t="s">
        <v>180</v>
      </c>
      <c r="B86" s="615"/>
      <c r="C86" s="615"/>
      <c r="D86" s="615"/>
      <c r="E86" s="615"/>
      <c r="F86" s="615"/>
      <c r="G86" s="615"/>
      <c r="H86" s="615"/>
      <c r="I86" s="615"/>
      <c r="J86" s="615"/>
      <c r="K86" s="615"/>
      <c r="L86" s="615"/>
      <c r="M86" s="615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615"/>
      <c r="Y86" s="615"/>
      <c r="Z86" s="615"/>
      <c r="AA86" s="600"/>
      <c r="AB86" s="600"/>
      <c r="AC86" s="600"/>
    </row>
    <row r="87" spans="1:68" ht="14.25" customHeight="1" x14ac:dyDescent="0.25">
      <c r="A87" s="614" t="s">
        <v>121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01"/>
      <c r="AB87" s="601"/>
      <c r="AC87" s="601"/>
    </row>
    <row r="88" spans="1:68" ht="27" customHeight="1" x14ac:dyDescent="0.25">
      <c r="A88" s="54" t="s">
        <v>181</v>
      </c>
      <c r="B88" s="54" t="s">
        <v>182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9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19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20"/>
      <c r="P92" s="622" t="s">
        <v>72</v>
      </c>
      <c r="Q92" s="623"/>
      <c r="R92" s="623"/>
      <c r="S92" s="623"/>
      <c r="T92" s="623"/>
      <c r="U92" s="623"/>
      <c r="V92" s="624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x14ac:dyDescent="0.2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20"/>
      <c r="P93" s="622" t="s">
        <v>72</v>
      </c>
      <c r="Q93" s="623"/>
      <c r="R93" s="623"/>
      <c r="S93" s="623"/>
      <c r="T93" s="623"/>
      <c r="U93" s="623"/>
      <c r="V93" s="624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customHeight="1" x14ac:dyDescent="0.25">
      <c r="A94" s="614" t="s">
        <v>74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8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0</v>
      </c>
      <c r="Y95" s="60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246</v>
      </c>
      <c r="Y97" s="606">
        <f>IFERROR(IF(X97="",0,CEILING((X97/$H97),1)*$H97),"")</f>
        <v>248.4</v>
      </c>
      <c r="Z97" s="36">
        <f>IFERROR(IF(Y97=0,"",ROUNDUP(Y97/H97,0)*0.00651),"")</f>
        <v>0.59892000000000001</v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268.95999999999998</v>
      </c>
      <c r="BN97" s="64">
        <f>IFERROR(Y97*I97/H97,"0")</f>
        <v>271.584</v>
      </c>
      <c r="BO97" s="64">
        <f>IFERROR(1/J97*(X97/H97),"0")</f>
        <v>0.50061050061050061</v>
      </c>
      <c r="BP97" s="64">
        <f>IFERROR(1/J97*(Y97/H97),"0")</f>
        <v>0.50549450549450559</v>
      </c>
    </row>
    <row r="98" spans="1:68" ht="16.5" customHeight="1" x14ac:dyDescent="0.25">
      <c r="A98" s="54" t="s">
        <v>198</v>
      </c>
      <c r="B98" s="54" t="s">
        <v>199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9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20"/>
      <c r="P99" s="622" t="s">
        <v>72</v>
      </c>
      <c r="Q99" s="623"/>
      <c r="R99" s="623"/>
      <c r="S99" s="623"/>
      <c r="T99" s="623"/>
      <c r="U99" s="623"/>
      <c r="V99" s="624"/>
      <c r="W99" s="37" t="s">
        <v>73</v>
      </c>
      <c r="X99" s="607">
        <f>IFERROR(X95/H95,"0")+IFERROR(X96/H96,"0")+IFERROR(X97/H97,"0")+IFERROR(X98/H98,"0")</f>
        <v>91.1111111111111</v>
      </c>
      <c r="Y99" s="607">
        <f>IFERROR(Y95/H95,"0")+IFERROR(Y96/H96,"0")+IFERROR(Y97/H97,"0")+IFERROR(Y98/H98,"0")</f>
        <v>92</v>
      </c>
      <c r="Z99" s="607">
        <f>IFERROR(IF(Z95="",0,Z95),"0")+IFERROR(IF(Z96="",0,Z96),"0")+IFERROR(IF(Z97="",0,Z97),"0")+IFERROR(IF(Z98="",0,Z98),"0")</f>
        <v>0.59892000000000001</v>
      </c>
      <c r="AA99" s="608"/>
      <c r="AB99" s="608"/>
      <c r="AC99" s="608"/>
    </row>
    <row r="100" spans="1:68" x14ac:dyDescent="0.2">
      <c r="A100" s="615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20"/>
      <c r="P100" s="622" t="s">
        <v>72</v>
      </c>
      <c r="Q100" s="623"/>
      <c r="R100" s="623"/>
      <c r="S100" s="623"/>
      <c r="T100" s="623"/>
      <c r="U100" s="623"/>
      <c r="V100" s="624"/>
      <c r="W100" s="37" t="s">
        <v>67</v>
      </c>
      <c r="X100" s="607">
        <f>IFERROR(SUM(X95:X98),"0")</f>
        <v>246</v>
      </c>
      <c r="Y100" s="607">
        <f>IFERROR(SUM(Y95:Y98),"0")</f>
        <v>248.4</v>
      </c>
      <c r="Z100" s="37"/>
      <c r="AA100" s="608"/>
      <c r="AB100" s="608"/>
      <c r="AC100" s="608"/>
    </row>
    <row r="101" spans="1:68" ht="16.5" customHeight="1" x14ac:dyDescent="0.25">
      <c r="A101" s="648" t="s">
        <v>201</v>
      </c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M101" s="615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615"/>
      <c r="Y101" s="615"/>
      <c r="Z101" s="615"/>
      <c r="AA101" s="600"/>
      <c r="AB101" s="600"/>
      <c r="AC101" s="600"/>
    </row>
    <row r="102" spans="1:68" ht="14.25" customHeight="1" x14ac:dyDescent="0.25">
      <c r="A102" s="614" t="s">
        <v>121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6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9" si="11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0</v>
      </c>
      <c r="BN103" s="64">
        <f t="shared" ref="BN103:BN109" si="13">IFERROR(Y103*I103/H103,"0")</f>
        <v>0</v>
      </c>
      <c r="BO103" s="64">
        <f t="shared" ref="BO103:BO109" si="14">IFERROR(1/J103*(X103/H103),"0")</f>
        <v>0</v>
      </c>
      <c r="BP103" s="64">
        <f t="shared" ref="BP103:BP109" si="15">IFERROR(1/J103*(Y103/H103),"0")</f>
        <v>0</v>
      </c>
    </row>
    <row r="104" spans="1:68" ht="27" customHeight="1" x14ac:dyDescent="0.25">
      <c r="A104" s="54" t="s">
        <v>205</v>
      </c>
      <c r="B104" s="54" t="s">
        <v>206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208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customHeight="1" x14ac:dyDescent="0.25">
      <c r="A106" s="54" t="s">
        <v>209</v>
      </c>
      <c r="B106" s="54" t="s">
        <v>210</v>
      </c>
      <c r="C106" s="31">
        <v>4301012226</v>
      </c>
      <c r="D106" s="609">
        <v>4680115887749</v>
      </c>
      <c r="E106" s="61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211</v>
      </c>
      <c r="B107" s="54" t="s">
        <v>212</v>
      </c>
      <c r="C107" s="31">
        <v>4301011417</v>
      </c>
      <c r="D107" s="609">
        <v>4680115880269</v>
      </c>
      <c r="E107" s="61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09">
        <v>4680115880429</v>
      </c>
      <c r="E108" s="61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99</v>
      </c>
      <c r="Y108" s="606">
        <f t="shared" si="11"/>
        <v>99</v>
      </c>
      <c r="Z108" s="36">
        <f>IFERROR(IF(Y108=0,"",ROUNDUP(Y108/H108,0)*0.00902),"")</f>
        <v>0.19844000000000001</v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103.18</v>
      </c>
      <c r="BN108" s="64">
        <f t="shared" si="13"/>
        <v>103.18</v>
      </c>
      <c r="BO108" s="64">
        <f t="shared" si="14"/>
        <v>0.16666666666666669</v>
      </c>
      <c r="BP108" s="64">
        <f t="shared" si="15"/>
        <v>0.16666666666666669</v>
      </c>
    </row>
    <row r="109" spans="1:68" ht="37.5" customHeight="1" x14ac:dyDescent="0.25">
      <c r="A109" s="54" t="s">
        <v>215</v>
      </c>
      <c r="B109" s="54" t="s">
        <v>216</v>
      </c>
      <c r="C109" s="31">
        <v>4301011462</v>
      </c>
      <c r="D109" s="609">
        <v>4680115881457</v>
      </c>
      <c r="E109" s="61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9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20"/>
      <c r="P110" s="622" t="s">
        <v>72</v>
      </c>
      <c r="Q110" s="623"/>
      <c r="R110" s="623"/>
      <c r="S110" s="623"/>
      <c r="T110" s="623"/>
      <c r="U110" s="623"/>
      <c r="V110" s="624"/>
      <c r="W110" s="37" t="s">
        <v>73</v>
      </c>
      <c r="X110" s="607">
        <f>IFERROR(X103/H103,"0")+IFERROR(X104/H104,"0")+IFERROR(X105/H105,"0")+IFERROR(X106/H106,"0")+IFERROR(X107/H107,"0")+IFERROR(X108/H108,"0")+IFERROR(X109/H109,"0")</f>
        <v>22</v>
      </c>
      <c r="Y110" s="607">
        <f>IFERROR(Y103/H103,"0")+IFERROR(Y104/H104,"0")+IFERROR(Y105/H105,"0")+IFERROR(Y106/H106,"0")+IFERROR(Y107/H107,"0")+IFERROR(Y108/H108,"0")+IFERROR(Y109/H109,"0")</f>
        <v>22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0.19844000000000001</v>
      </c>
      <c r="AA110" s="608"/>
      <c r="AB110" s="608"/>
      <c r="AC110" s="608"/>
    </row>
    <row r="111" spans="1:68" x14ac:dyDescent="0.2">
      <c r="A111" s="615"/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20"/>
      <c r="P111" s="622" t="s">
        <v>72</v>
      </c>
      <c r="Q111" s="623"/>
      <c r="R111" s="623"/>
      <c r="S111" s="623"/>
      <c r="T111" s="623"/>
      <c r="U111" s="623"/>
      <c r="V111" s="624"/>
      <c r="W111" s="37" t="s">
        <v>67</v>
      </c>
      <c r="X111" s="607">
        <f>IFERROR(SUM(X103:X109),"0")</f>
        <v>99</v>
      </c>
      <c r="Y111" s="607">
        <f>IFERROR(SUM(Y103:Y109),"0")</f>
        <v>99</v>
      </c>
      <c r="Z111" s="37"/>
      <c r="AA111" s="608"/>
      <c r="AB111" s="608"/>
      <c r="AC111" s="608"/>
    </row>
    <row r="112" spans="1:68" ht="14.25" customHeight="1" x14ac:dyDescent="0.25">
      <c r="A112" s="614" t="s">
        <v>156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23</v>
      </c>
      <c r="Y113" s="606">
        <f t="shared" ref="Y113:Y119" si="16">IFERROR(IF(X113="",0,CEILING((X113/$H113),1)*$H113),"")</f>
        <v>32.400000000000006</v>
      </c>
      <c r="Z113" s="36">
        <f>IFERROR(IF(Y113=0,"",ROUNDUP(Y113/H113,0)*0.01898),"")</f>
        <v>5.6940000000000004E-2</v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23.87314814814815</v>
      </c>
      <c r="BN113" s="64">
        <f t="shared" ref="BN113:BN119" si="18">IFERROR(Y113*I113/H113,"0")</f>
        <v>33.630000000000003</v>
      </c>
      <c r="BO113" s="64">
        <f t="shared" ref="BO113:BO119" si="19">IFERROR(1/J113*(X113/H113),"0")</f>
        <v>3.3275462962962958E-2</v>
      </c>
      <c r="BP113" s="64">
        <f t="shared" ref="BP113:BP119" si="20">IFERROR(1/J113*(Y113/H113),"0")</f>
        <v>4.6875000000000007E-2</v>
      </c>
    </row>
    <row r="114" spans="1:68" ht="27" customHeight="1" x14ac:dyDescent="0.25">
      <c r="A114" s="54" t="s">
        <v>217</v>
      </c>
      <c r="B114" s="54" t="s">
        <v>220</v>
      </c>
      <c r="C114" s="31">
        <v>4301020391</v>
      </c>
      <c r="D114" s="609">
        <v>4680115881488</v>
      </c>
      <c r="E114" s="61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4301020186</v>
      </c>
      <c r="D115" s="609">
        <v>4680115887664</v>
      </c>
      <c r="E115" s="61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222</v>
      </c>
      <c r="B116" s="54" t="s">
        <v>226</v>
      </c>
      <c r="C116" s="31">
        <v>4301020430</v>
      </c>
      <c r="D116" s="609">
        <v>4680115887664</v>
      </c>
      <c r="E116" s="61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6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4301020393</v>
      </c>
      <c r="D117" s="609">
        <v>4680115882775</v>
      </c>
      <c r="E117" s="61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t="27" customHeight="1" x14ac:dyDescent="0.25">
      <c r="A119" s="54" t="s">
        <v>229</v>
      </c>
      <c r="B119" s="54" t="s">
        <v>231</v>
      </c>
      <c r="C119" s="31">
        <v>4301020392</v>
      </c>
      <c r="D119" s="609">
        <v>4680115880658</v>
      </c>
      <c r="E119" s="61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9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20"/>
      <c r="P120" s="622" t="s">
        <v>72</v>
      </c>
      <c r="Q120" s="623"/>
      <c r="R120" s="623"/>
      <c r="S120" s="623"/>
      <c r="T120" s="623"/>
      <c r="U120" s="623"/>
      <c r="V120" s="624"/>
      <c r="W120" s="37" t="s">
        <v>73</v>
      </c>
      <c r="X120" s="607">
        <f>IFERROR(X113/H113,"0")+IFERROR(X114/H114,"0")+IFERROR(X115/H115,"0")+IFERROR(X116/H116,"0")+IFERROR(X117/H117,"0")+IFERROR(X118/H118,"0")+IFERROR(X119/H119,"0")</f>
        <v>2.1296296296296293</v>
      </c>
      <c r="Y120" s="607">
        <f>IFERROR(Y113/H113,"0")+IFERROR(Y114/H114,"0")+IFERROR(Y115/H115,"0")+IFERROR(Y116/H116,"0")+IFERROR(Y117/H117,"0")+IFERROR(Y118/H118,"0")+IFERROR(Y119/H119,"0")</f>
        <v>3.0000000000000004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5.6940000000000004E-2</v>
      </c>
      <c r="AA120" s="608"/>
      <c r="AB120" s="608"/>
      <c r="AC120" s="608"/>
    </row>
    <row r="121" spans="1:68" x14ac:dyDescent="0.2">
      <c r="A121" s="615"/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20"/>
      <c r="P121" s="622" t="s">
        <v>72</v>
      </c>
      <c r="Q121" s="623"/>
      <c r="R121" s="623"/>
      <c r="S121" s="623"/>
      <c r="T121" s="623"/>
      <c r="U121" s="623"/>
      <c r="V121" s="624"/>
      <c r="W121" s="37" t="s">
        <v>67</v>
      </c>
      <c r="X121" s="607">
        <f>IFERROR(SUM(X113:X119),"0")</f>
        <v>23</v>
      </c>
      <c r="Y121" s="607">
        <f>IFERROR(SUM(Y113:Y119),"0")</f>
        <v>32.400000000000006</v>
      </c>
      <c r="Z121" s="37"/>
      <c r="AA121" s="608"/>
      <c r="AB121" s="608"/>
      <c r="AC121" s="608"/>
    </row>
    <row r="122" spans="1:68" ht="14.25" customHeight="1" x14ac:dyDescent="0.25">
      <c r="A122" s="614" t="s">
        <v>74</v>
      </c>
      <c r="B122" s="615"/>
      <c r="C122" s="615"/>
      <c r="D122" s="615"/>
      <c r="E122" s="615"/>
      <c r="F122" s="615"/>
      <c r="G122" s="615"/>
      <c r="H122" s="615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5"/>
      <c r="T122" s="615"/>
      <c r="U122" s="615"/>
      <c r="V122" s="615"/>
      <c r="W122" s="615"/>
      <c r="X122" s="615"/>
      <c r="Y122" s="615"/>
      <c r="Z122" s="615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09">
        <v>4607091385168</v>
      </c>
      <c r="E123" s="61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235</v>
      </c>
      <c r="B124" s="54" t="s">
        <v>236</v>
      </c>
      <c r="C124" s="31">
        <v>4301051730</v>
      </c>
      <c r="D124" s="609">
        <v>4607091383256</v>
      </c>
      <c r="E124" s="61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09">
        <v>4607091385748</v>
      </c>
      <c r="E125" s="61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77</v>
      </c>
      <c r="Y125" s="606">
        <f>IFERROR(IF(X125="",0,CEILING((X125/$H125),1)*$H125),"")</f>
        <v>78.300000000000011</v>
      </c>
      <c r="Z125" s="36">
        <f>IFERROR(IF(Y125=0,"",ROUNDUP(Y125/H125,0)*0.00651),"")</f>
        <v>0.18879000000000001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84.186666666666667</v>
      </c>
      <c r="BN125" s="64">
        <f>IFERROR(Y125*I125/H125,"0")</f>
        <v>85.608000000000004</v>
      </c>
      <c r="BO125" s="64">
        <f>IFERROR(1/J125*(X125/H125),"0")</f>
        <v>0.15669515669515668</v>
      </c>
      <c r="BP125" s="64">
        <f>IFERROR(1/J125*(Y125/H125),"0")</f>
        <v>0.15934065934065939</v>
      </c>
    </row>
    <row r="126" spans="1:68" ht="16.5" customHeight="1" x14ac:dyDescent="0.25">
      <c r="A126" s="54" t="s">
        <v>239</v>
      </c>
      <c r="B126" s="54" t="s">
        <v>240</v>
      </c>
      <c r="C126" s="31">
        <v>4301051740</v>
      </c>
      <c r="D126" s="609">
        <v>4680115884533</v>
      </c>
      <c r="E126" s="61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9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20"/>
      <c r="P127" s="622" t="s">
        <v>72</v>
      </c>
      <c r="Q127" s="623"/>
      <c r="R127" s="623"/>
      <c r="S127" s="623"/>
      <c r="T127" s="623"/>
      <c r="U127" s="623"/>
      <c r="V127" s="624"/>
      <c r="W127" s="37" t="s">
        <v>73</v>
      </c>
      <c r="X127" s="607">
        <f>IFERROR(X123/H123,"0")+IFERROR(X124/H124,"0")+IFERROR(X125/H125,"0")+IFERROR(X126/H126,"0")</f>
        <v>28.518518518518515</v>
      </c>
      <c r="Y127" s="607">
        <f>IFERROR(Y123/H123,"0")+IFERROR(Y124/H124,"0")+IFERROR(Y125/H125,"0")+IFERROR(Y126/H126,"0")</f>
        <v>29.000000000000004</v>
      </c>
      <c r="Z127" s="607">
        <f>IFERROR(IF(Z123="",0,Z123),"0")+IFERROR(IF(Z124="",0,Z124),"0")+IFERROR(IF(Z125="",0,Z125),"0")+IFERROR(IF(Z126="",0,Z126),"0")</f>
        <v>0.18879000000000001</v>
      </c>
      <c r="AA127" s="608"/>
      <c r="AB127" s="608"/>
      <c r="AC127" s="608"/>
    </row>
    <row r="128" spans="1:68" x14ac:dyDescent="0.2">
      <c r="A128" s="615"/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20"/>
      <c r="P128" s="622" t="s">
        <v>72</v>
      </c>
      <c r="Q128" s="623"/>
      <c r="R128" s="623"/>
      <c r="S128" s="623"/>
      <c r="T128" s="623"/>
      <c r="U128" s="623"/>
      <c r="V128" s="624"/>
      <c r="W128" s="37" t="s">
        <v>67</v>
      </c>
      <c r="X128" s="607">
        <f>IFERROR(SUM(X123:X126),"0")</f>
        <v>77</v>
      </c>
      <c r="Y128" s="607">
        <f>IFERROR(SUM(Y123:Y126),"0")</f>
        <v>78.300000000000011</v>
      </c>
      <c r="Z128" s="37"/>
      <c r="AA128" s="608"/>
      <c r="AB128" s="608"/>
      <c r="AC128" s="608"/>
    </row>
    <row r="129" spans="1:68" ht="14.25" customHeight="1" x14ac:dyDescent="0.25">
      <c r="A129" s="614" t="s">
        <v>173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09">
        <v>4680115880238</v>
      </c>
      <c r="E130" s="61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11</v>
      </c>
      <c r="Y130" s="606">
        <f>IFERROR(IF(X130="",0,CEILING((X130/$H130),1)*$H130),"")</f>
        <v>11.879999999999999</v>
      </c>
      <c r="Z130" s="36">
        <f>IFERROR(IF(Y130=0,"",ROUNDUP(Y130/H130,0)*0.00651),"")</f>
        <v>3.9059999999999997E-2</v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12.433333333333334</v>
      </c>
      <c r="BN130" s="64">
        <f>IFERROR(Y130*I130/H130,"0")</f>
        <v>13.427999999999999</v>
      </c>
      <c r="BO130" s="64">
        <f>IFERROR(1/J130*(X130/H130),"0")</f>
        <v>3.0525030525030528E-2</v>
      </c>
      <c r="BP130" s="64">
        <f>IFERROR(1/J130*(Y130/H130),"0")</f>
        <v>3.2967032967032968E-2</v>
      </c>
    </row>
    <row r="131" spans="1:68" x14ac:dyDescent="0.2">
      <c r="A131" s="619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20"/>
      <c r="P131" s="622" t="s">
        <v>72</v>
      </c>
      <c r="Q131" s="623"/>
      <c r="R131" s="623"/>
      <c r="S131" s="623"/>
      <c r="T131" s="623"/>
      <c r="U131" s="623"/>
      <c r="V131" s="624"/>
      <c r="W131" s="37" t="s">
        <v>73</v>
      </c>
      <c r="X131" s="607">
        <f>IFERROR(X130/H130,"0")</f>
        <v>5.5555555555555554</v>
      </c>
      <c r="Y131" s="607">
        <f>IFERROR(Y130/H130,"0")</f>
        <v>5.9999999999999991</v>
      </c>
      <c r="Z131" s="607">
        <f>IFERROR(IF(Z130="",0,Z130),"0")</f>
        <v>3.9059999999999997E-2</v>
      </c>
      <c r="AA131" s="608"/>
      <c r="AB131" s="608"/>
      <c r="AC131" s="608"/>
    </row>
    <row r="132" spans="1:68" x14ac:dyDescent="0.2">
      <c r="A132" s="615"/>
      <c r="B132" s="615"/>
      <c r="C132" s="615"/>
      <c r="D132" s="615"/>
      <c r="E132" s="615"/>
      <c r="F132" s="615"/>
      <c r="G132" s="615"/>
      <c r="H132" s="615"/>
      <c r="I132" s="615"/>
      <c r="J132" s="615"/>
      <c r="K132" s="615"/>
      <c r="L132" s="615"/>
      <c r="M132" s="615"/>
      <c r="N132" s="615"/>
      <c r="O132" s="620"/>
      <c r="P132" s="622" t="s">
        <v>72</v>
      </c>
      <c r="Q132" s="623"/>
      <c r="R132" s="623"/>
      <c r="S132" s="623"/>
      <c r="T132" s="623"/>
      <c r="U132" s="623"/>
      <c r="V132" s="624"/>
      <c r="W132" s="37" t="s">
        <v>67</v>
      </c>
      <c r="X132" s="607">
        <f>IFERROR(SUM(X130:X130),"0")</f>
        <v>11</v>
      </c>
      <c r="Y132" s="607">
        <f>IFERROR(SUM(Y130:Y130),"0")</f>
        <v>11.879999999999999</v>
      </c>
      <c r="Z132" s="37"/>
      <c r="AA132" s="608"/>
      <c r="AB132" s="608"/>
      <c r="AC132" s="608"/>
    </row>
    <row r="133" spans="1:68" ht="16.5" customHeight="1" x14ac:dyDescent="0.25">
      <c r="A133" s="648" t="s">
        <v>245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00"/>
      <c r="AB133" s="600"/>
      <c r="AC133" s="600"/>
    </row>
    <row r="134" spans="1:68" ht="14.25" customHeight="1" x14ac:dyDescent="0.25">
      <c r="A134" s="614" t="s">
        <v>121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14</v>
      </c>
      <c r="Y135" s="606">
        <f>IFERROR(IF(X135="",0,CEILING((X135/$H135),1)*$H135),"")</f>
        <v>16</v>
      </c>
      <c r="Z135" s="36">
        <f>IFERROR(IF(Y135=0,"",ROUNDUP(Y135/H135,0)*0.00651),"")</f>
        <v>3.2550000000000003E-2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14.7875</v>
      </c>
      <c r="BN135" s="64">
        <f>IFERROR(Y135*I135/H135,"0")</f>
        <v>16.899999999999999</v>
      </c>
      <c r="BO135" s="64">
        <f>IFERROR(1/J135*(X135/H135),"0")</f>
        <v>2.403846153846154E-2</v>
      </c>
      <c r="BP135" s="64">
        <f>IFERROR(1/J135*(Y135/H135),"0")</f>
        <v>2.7472527472527476E-2</v>
      </c>
    </row>
    <row r="136" spans="1:68" ht="27" customHeight="1" x14ac:dyDescent="0.25">
      <c r="A136" s="54" t="s">
        <v>246</v>
      </c>
      <c r="B136" s="54" t="s">
        <v>249</v>
      </c>
      <c r="C136" s="31">
        <v>4301011564</v>
      </c>
      <c r="D136" s="609">
        <v>4680115882577</v>
      </c>
      <c r="E136" s="61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9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20"/>
      <c r="P137" s="622" t="s">
        <v>72</v>
      </c>
      <c r="Q137" s="623"/>
      <c r="R137" s="623"/>
      <c r="S137" s="623"/>
      <c r="T137" s="623"/>
      <c r="U137" s="623"/>
      <c r="V137" s="624"/>
      <c r="W137" s="37" t="s">
        <v>73</v>
      </c>
      <c r="X137" s="607">
        <f>IFERROR(X135/H135,"0")+IFERROR(X136/H136,"0")</f>
        <v>4.375</v>
      </c>
      <c r="Y137" s="607">
        <f>IFERROR(Y135/H135,"0")+IFERROR(Y136/H136,"0")</f>
        <v>5</v>
      </c>
      <c r="Z137" s="607">
        <f>IFERROR(IF(Z135="",0,Z135),"0")+IFERROR(IF(Z136="",0,Z136),"0")</f>
        <v>3.2550000000000003E-2</v>
      </c>
      <c r="AA137" s="608"/>
      <c r="AB137" s="608"/>
      <c r="AC137" s="608"/>
    </row>
    <row r="138" spans="1:68" x14ac:dyDescent="0.2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20"/>
      <c r="P138" s="622" t="s">
        <v>72</v>
      </c>
      <c r="Q138" s="623"/>
      <c r="R138" s="623"/>
      <c r="S138" s="623"/>
      <c r="T138" s="623"/>
      <c r="U138" s="623"/>
      <c r="V138" s="624"/>
      <c r="W138" s="37" t="s">
        <v>67</v>
      </c>
      <c r="X138" s="607">
        <f>IFERROR(SUM(X135:X136),"0")</f>
        <v>14</v>
      </c>
      <c r="Y138" s="607">
        <f>IFERROR(SUM(Y135:Y136),"0")</f>
        <v>16</v>
      </c>
      <c r="Z138" s="37"/>
      <c r="AA138" s="608"/>
      <c r="AB138" s="608"/>
      <c r="AC138" s="608"/>
    </row>
    <row r="139" spans="1:68" ht="14.25" customHeight="1" x14ac:dyDescent="0.25">
      <c r="A139" s="614" t="s">
        <v>62</v>
      </c>
      <c r="B139" s="615"/>
      <c r="C139" s="615"/>
      <c r="D139" s="615"/>
      <c r="E139" s="615"/>
      <c r="F139" s="615"/>
      <c r="G139" s="615"/>
      <c r="H139" s="615"/>
      <c r="I139" s="615"/>
      <c r="J139" s="615"/>
      <c r="K139" s="615"/>
      <c r="L139" s="615"/>
      <c r="M139" s="615"/>
      <c r="N139" s="615"/>
      <c r="O139" s="615"/>
      <c r="P139" s="615"/>
      <c r="Q139" s="615"/>
      <c r="R139" s="615"/>
      <c r="S139" s="615"/>
      <c r="T139" s="615"/>
      <c r="U139" s="615"/>
      <c r="V139" s="615"/>
      <c r="W139" s="615"/>
      <c r="X139" s="615"/>
      <c r="Y139" s="615"/>
      <c r="Z139" s="615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68</v>
      </c>
      <c r="Y140" s="606">
        <f>IFERROR(IF(X140="",0,CEILING((X140/$H140),1)*$H140),"")</f>
        <v>70</v>
      </c>
      <c r="Z140" s="36">
        <f>IFERROR(IF(Y140=0,"",ROUNDUP(Y140/H140,0)*0.00651),"")</f>
        <v>0.16275000000000001</v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74.508571428571429</v>
      </c>
      <c r="BN140" s="64">
        <f>IFERROR(Y140*I140/H140,"0")</f>
        <v>76.7</v>
      </c>
      <c r="BO140" s="64">
        <f>IFERROR(1/J140*(X140/H140),"0")</f>
        <v>0.13343799058084774</v>
      </c>
      <c r="BP140" s="64">
        <f>IFERROR(1/J140*(Y140/H140),"0")</f>
        <v>0.13736263736263737</v>
      </c>
    </row>
    <row r="141" spans="1:68" ht="27" customHeight="1" x14ac:dyDescent="0.25">
      <c r="A141" s="54" t="s">
        <v>250</v>
      </c>
      <c r="B141" s="54" t="s">
        <v>253</v>
      </c>
      <c r="C141" s="31">
        <v>4301031235</v>
      </c>
      <c r="D141" s="609">
        <v>4680115883444</v>
      </c>
      <c r="E141" s="61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9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20"/>
      <c r="P142" s="622" t="s">
        <v>72</v>
      </c>
      <c r="Q142" s="623"/>
      <c r="R142" s="623"/>
      <c r="S142" s="623"/>
      <c r="T142" s="623"/>
      <c r="U142" s="623"/>
      <c r="V142" s="624"/>
      <c r="W142" s="37" t="s">
        <v>73</v>
      </c>
      <c r="X142" s="607">
        <f>IFERROR(X140/H140,"0")+IFERROR(X141/H141,"0")</f>
        <v>24.285714285714288</v>
      </c>
      <c r="Y142" s="607">
        <f>IFERROR(Y140/H140,"0")+IFERROR(Y141/H141,"0")</f>
        <v>25</v>
      </c>
      <c r="Z142" s="607">
        <f>IFERROR(IF(Z140="",0,Z140),"0")+IFERROR(IF(Z141="",0,Z141),"0")</f>
        <v>0.16275000000000001</v>
      </c>
      <c r="AA142" s="608"/>
      <c r="AB142" s="608"/>
      <c r="AC142" s="608"/>
    </row>
    <row r="143" spans="1:68" x14ac:dyDescent="0.2">
      <c r="A143" s="615"/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20"/>
      <c r="P143" s="622" t="s">
        <v>72</v>
      </c>
      <c r="Q143" s="623"/>
      <c r="R143" s="623"/>
      <c r="S143" s="623"/>
      <c r="T143" s="623"/>
      <c r="U143" s="623"/>
      <c r="V143" s="624"/>
      <c r="W143" s="37" t="s">
        <v>67</v>
      </c>
      <c r="X143" s="607">
        <f>IFERROR(SUM(X140:X141),"0")</f>
        <v>68</v>
      </c>
      <c r="Y143" s="607">
        <f>IFERROR(SUM(Y140:Y141),"0")</f>
        <v>70</v>
      </c>
      <c r="Z143" s="37"/>
      <c r="AA143" s="608"/>
      <c r="AB143" s="608"/>
      <c r="AC143" s="608"/>
    </row>
    <row r="144" spans="1:68" ht="14.25" customHeight="1" x14ac:dyDescent="0.25">
      <c r="A144" s="614" t="s">
        <v>74</v>
      </c>
      <c r="B144" s="615"/>
      <c r="C144" s="615"/>
      <c r="D144" s="615"/>
      <c r="E144" s="615"/>
      <c r="F144" s="615"/>
      <c r="G144" s="615"/>
      <c r="H144" s="615"/>
      <c r="I144" s="615"/>
      <c r="J144" s="615"/>
      <c r="K144" s="615"/>
      <c r="L144" s="615"/>
      <c r="M144" s="615"/>
      <c r="N144" s="615"/>
      <c r="O144" s="615"/>
      <c r="P144" s="615"/>
      <c r="Q144" s="615"/>
      <c r="R144" s="615"/>
      <c r="S144" s="615"/>
      <c r="T144" s="615"/>
      <c r="U144" s="615"/>
      <c r="V144" s="615"/>
      <c r="W144" s="615"/>
      <c r="X144" s="615"/>
      <c r="Y144" s="615"/>
      <c r="Z144" s="615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2</v>
      </c>
      <c r="Y145" s="606">
        <f>IFERROR(IF(X145="",0,CEILING((X145/$H145),1)*$H145),"")</f>
        <v>2.64</v>
      </c>
      <c r="Z145" s="36">
        <f>IFERROR(IF(Y145=0,"",ROUNDUP(Y145/H145,0)*0.00651),"")</f>
        <v>6.5100000000000002E-3</v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2.2030303030303027</v>
      </c>
      <c r="BN145" s="64">
        <f>IFERROR(Y145*I145/H145,"0")</f>
        <v>2.9079999999999999</v>
      </c>
      <c r="BO145" s="64">
        <f>IFERROR(1/J145*(X145/H145),"0")</f>
        <v>4.1625041625041629E-3</v>
      </c>
      <c r="BP145" s="64">
        <f>IFERROR(1/J145*(Y145/H145),"0")</f>
        <v>5.4945054945054949E-3</v>
      </c>
    </row>
    <row r="146" spans="1:68" ht="16.5" customHeight="1" x14ac:dyDescent="0.25">
      <c r="A146" s="54" t="s">
        <v>254</v>
      </c>
      <c r="B146" s="54" t="s">
        <v>256</v>
      </c>
      <c r="C146" s="31">
        <v>4301051477</v>
      </c>
      <c r="D146" s="609">
        <v>4680115882584</v>
      </c>
      <c r="E146" s="61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9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20"/>
      <c r="P147" s="622" t="s">
        <v>72</v>
      </c>
      <c r="Q147" s="623"/>
      <c r="R147" s="623"/>
      <c r="S147" s="623"/>
      <c r="T147" s="623"/>
      <c r="U147" s="623"/>
      <c r="V147" s="624"/>
      <c r="W147" s="37" t="s">
        <v>73</v>
      </c>
      <c r="X147" s="607">
        <f>IFERROR(X145/H145,"0")+IFERROR(X146/H146,"0")</f>
        <v>0.75757575757575757</v>
      </c>
      <c r="Y147" s="607">
        <f>IFERROR(Y145/H145,"0")+IFERROR(Y146/H146,"0")</f>
        <v>1</v>
      </c>
      <c r="Z147" s="607">
        <f>IFERROR(IF(Z145="",0,Z145),"0")+IFERROR(IF(Z146="",0,Z146),"0")</f>
        <v>6.5100000000000002E-3</v>
      </c>
      <c r="AA147" s="608"/>
      <c r="AB147" s="608"/>
      <c r="AC147" s="608"/>
    </row>
    <row r="148" spans="1:68" x14ac:dyDescent="0.2">
      <c r="A148" s="615"/>
      <c r="B148" s="615"/>
      <c r="C148" s="615"/>
      <c r="D148" s="615"/>
      <c r="E148" s="615"/>
      <c r="F148" s="615"/>
      <c r="G148" s="615"/>
      <c r="H148" s="615"/>
      <c r="I148" s="615"/>
      <c r="J148" s="615"/>
      <c r="K148" s="615"/>
      <c r="L148" s="615"/>
      <c r="M148" s="615"/>
      <c r="N148" s="615"/>
      <c r="O148" s="620"/>
      <c r="P148" s="622" t="s">
        <v>72</v>
      </c>
      <c r="Q148" s="623"/>
      <c r="R148" s="623"/>
      <c r="S148" s="623"/>
      <c r="T148" s="623"/>
      <c r="U148" s="623"/>
      <c r="V148" s="624"/>
      <c r="W148" s="37" t="s">
        <v>67</v>
      </c>
      <c r="X148" s="607">
        <f>IFERROR(SUM(X145:X146),"0")</f>
        <v>2</v>
      </c>
      <c r="Y148" s="607">
        <f>IFERROR(SUM(Y145:Y146),"0")</f>
        <v>2.64</v>
      </c>
      <c r="Z148" s="37"/>
      <c r="AA148" s="608"/>
      <c r="AB148" s="608"/>
      <c r="AC148" s="608"/>
    </row>
    <row r="149" spans="1:68" ht="16.5" customHeight="1" x14ac:dyDescent="0.25">
      <c r="A149" s="648" t="s">
        <v>257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00"/>
      <c r="AB149" s="600"/>
      <c r="AC149" s="600"/>
    </row>
    <row r="150" spans="1:68" ht="14.25" customHeight="1" x14ac:dyDescent="0.25">
      <c r="A150" s="614" t="s">
        <v>74</v>
      </c>
      <c r="B150" s="615"/>
      <c r="C150" s="615"/>
      <c r="D150" s="615"/>
      <c r="E150" s="615"/>
      <c r="F150" s="615"/>
      <c r="G150" s="615"/>
      <c r="H150" s="615"/>
      <c r="I150" s="615"/>
      <c r="J150" s="615"/>
      <c r="K150" s="615"/>
      <c r="L150" s="615"/>
      <c r="M150" s="615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615"/>
      <c r="Y150" s="615"/>
      <c r="Z150" s="615"/>
      <c r="AA150" s="601"/>
      <c r="AB150" s="601"/>
      <c r="AC150" s="601"/>
    </row>
    <row r="151" spans="1:68" ht="27" customHeight="1" x14ac:dyDescent="0.25">
      <c r="A151" s="54" t="s">
        <v>258</v>
      </c>
      <c r="B151" s="54" t="s">
        <v>259</v>
      </c>
      <c r="C151" s="31">
        <v>4301052174</v>
      </c>
      <c r="D151" s="609">
        <v>4680115888203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4301052172</v>
      </c>
      <c r="D152" s="609">
        <v>4680115888180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4301052173</v>
      </c>
      <c r="D153" s="609">
        <v>4680115888197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267</v>
      </c>
      <c r="B154" s="54" t="s">
        <v>268</v>
      </c>
      <c r="C154" s="31">
        <v>4301052175</v>
      </c>
      <c r="D154" s="609">
        <v>4680115888210</v>
      </c>
      <c r="E154" s="61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619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20"/>
      <c r="P155" s="622" t="s">
        <v>72</v>
      </c>
      <c r="Q155" s="623"/>
      <c r="R155" s="623"/>
      <c r="S155" s="623"/>
      <c r="T155" s="623"/>
      <c r="U155" s="623"/>
      <c r="V155" s="624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x14ac:dyDescent="0.2">
      <c r="A156" s="615"/>
      <c r="B156" s="615"/>
      <c r="C156" s="615"/>
      <c r="D156" s="615"/>
      <c r="E156" s="615"/>
      <c r="F156" s="615"/>
      <c r="G156" s="615"/>
      <c r="H156" s="615"/>
      <c r="I156" s="615"/>
      <c r="J156" s="615"/>
      <c r="K156" s="615"/>
      <c r="L156" s="615"/>
      <c r="M156" s="615"/>
      <c r="N156" s="615"/>
      <c r="O156" s="620"/>
      <c r="P156" s="622" t="s">
        <v>72</v>
      </c>
      <c r="Q156" s="623"/>
      <c r="R156" s="623"/>
      <c r="S156" s="623"/>
      <c r="T156" s="623"/>
      <c r="U156" s="623"/>
      <c r="V156" s="624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customHeight="1" x14ac:dyDescent="0.25">
      <c r="A157" s="648" t="s">
        <v>119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00"/>
      <c r="AB157" s="600"/>
      <c r="AC157" s="600"/>
    </row>
    <row r="158" spans="1:68" ht="14.25" customHeight="1" x14ac:dyDescent="0.25">
      <c r="A158" s="614" t="s">
        <v>121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01"/>
      <c r="AB158" s="601"/>
      <c r="AC158" s="601"/>
    </row>
    <row r="159" spans="1:68" ht="27" customHeight="1" x14ac:dyDescent="0.25">
      <c r="A159" s="54" t="s">
        <v>270</v>
      </c>
      <c r="B159" s="54" t="s">
        <v>271</v>
      </c>
      <c r="C159" s="31">
        <v>4301012244</v>
      </c>
      <c r="D159" s="609">
        <v>4680115887374</v>
      </c>
      <c r="E159" s="61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8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273</v>
      </c>
      <c r="B160" s="54" t="s">
        <v>274</v>
      </c>
      <c r="C160" s="31">
        <v>4301011705</v>
      </c>
      <c r="D160" s="609">
        <v>4607091384604</v>
      </c>
      <c r="E160" s="61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19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20"/>
      <c r="P161" s="622" t="s">
        <v>72</v>
      </c>
      <c r="Q161" s="623"/>
      <c r="R161" s="623"/>
      <c r="S161" s="623"/>
      <c r="T161" s="623"/>
      <c r="U161" s="623"/>
      <c r="V161" s="624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x14ac:dyDescent="0.2">
      <c r="A162" s="615"/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20"/>
      <c r="P162" s="622" t="s">
        <v>72</v>
      </c>
      <c r="Q162" s="623"/>
      <c r="R162" s="623"/>
      <c r="S162" s="623"/>
      <c r="T162" s="623"/>
      <c r="U162" s="623"/>
      <c r="V162" s="624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customHeight="1" x14ac:dyDescent="0.25">
      <c r="A163" s="614" t="s">
        <v>156</v>
      </c>
      <c r="B163" s="615"/>
      <c r="C163" s="615"/>
      <c r="D163" s="615"/>
      <c r="E163" s="615"/>
      <c r="F163" s="615"/>
      <c r="G163" s="615"/>
      <c r="H163" s="615"/>
      <c r="I163" s="615"/>
      <c r="J163" s="615"/>
      <c r="K163" s="615"/>
      <c r="L163" s="615"/>
      <c r="M163" s="615"/>
      <c r="N163" s="615"/>
      <c r="O163" s="615"/>
      <c r="P163" s="615"/>
      <c r="Q163" s="615"/>
      <c r="R163" s="615"/>
      <c r="S163" s="615"/>
      <c r="T163" s="615"/>
      <c r="U163" s="615"/>
      <c r="V163" s="615"/>
      <c r="W163" s="615"/>
      <c r="X163" s="615"/>
      <c r="Y163" s="615"/>
      <c r="Z163" s="615"/>
      <c r="AA163" s="601"/>
      <c r="AB163" s="601"/>
      <c r="AC163" s="601"/>
    </row>
    <row r="164" spans="1:68" ht="16.5" customHeight="1" x14ac:dyDescent="0.25">
      <c r="A164" s="54" t="s">
        <v>276</v>
      </c>
      <c r="B164" s="54" t="s">
        <v>277</v>
      </c>
      <c r="C164" s="31">
        <v>4301020410</v>
      </c>
      <c r="D164" s="609">
        <v>4680115887695</v>
      </c>
      <c r="E164" s="61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86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19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20"/>
      <c r="P165" s="622" t="s">
        <v>72</v>
      </c>
      <c r="Q165" s="623"/>
      <c r="R165" s="623"/>
      <c r="S165" s="623"/>
      <c r="T165" s="623"/>
      <c r="U165" s="623"/>
      <c r="V165" s="624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x14ac:dyDescent="0.2">
      <c r="A166" s="615"/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20"/>
      <c r="P166" s="622" t="s">
        <v>72</v>
      </c>
      <c r="Q166" s="623"/>
      <c r="R166" s="623"/>
      <c r="S166" s="623"/>
      <c r="T166" s="623"/>
      <c r="U166" s="623"/>
      <c r="V166" s="624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customHeight="1" x14ac:dyDescent="0.25">
      <c r="A167" s="614" t="s">
        <v>62</v>
      </c>
      <c r="B167" s="615"/>
      <c r="C167" s="615"/>
      <c r="D167" s="615"/>
      <c r="E167" s="615"/>
      <c r="F167" s="615"/>
      <c r="G167" s="615"/>
      <c r="H167" s="615"/>
      <c r="I167" s="615"/>
      <c r="J167" s="615"/>
      <c r="K167" s="615"/>
      <c r="L167" s="615"/>
      <c r="M167" s="615"/>
      <c r="N167" s="615"/>
      <c r="O167" s="615"/>
      <c r="P167" s="615"/>
      <c r="Q167" s="615"/>
      <c r="R167" s="615"/>
      <c r="S167" s="615"/>
      <c r="T167" s="615"/>
      <c r="U167" s="615"/>
      <c r="V167" s="615"/>
      <c r="W167" s="615"/>
      <c r="X167" s="615"/>
      <c r="Y167" s="615"/>
      <c r="Z167" s="615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09">
        <v>4680115887428</v>
      </c>
      <c r="E168" s="61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ref="Y168:Y178" si="21"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0</v>
      </c>
      <c r="BN168" s="64">
        <f t="shared" ref="BN168:BN178" si="23">IFERROR(Y168*I168/H168,"0")</f>
        <v>0</v>
      </c>
      <c r="BO168" s="64">
        <f t="shared" ref="BO168:BO178" si="24">IFERROR(1/J168*(X168/H168),"0")</f>
        <v>0</v>
      </c>
      <c r="BP168" s="64">
        <f t="shared" ref="BP168:BP178" si="25">IFERROR(1/J168*(Y168/H168),"0")</f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4301030963</v>
      </c>
      <c r="D169" s="609">
        <v>4607091382426</v>
      </c>
      <c r="E169" s="61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4301031498</v>
      </c>
      <c r="D170" s="609">
        <v>4680115887398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09">
        <v>4680115887336</v>
      </c>
      <c r="E171" s="61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8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108</v>
      </c>
      <c r="Y171" s="606">
        <f t="shared" si="21"/>
        <v>108.5</v>
      </c>
      <c r="Z171" s="36">
        <f>IFERROR(IF(Y171=0,"",ROUNDUP(Y171/H171,0)*0.00902),"")</f>
        <v>0.27961999999999998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113.86285714285714</v>
      </c>
      <c r="BN171" s="64">
        <f t="shared" si="23"/>
        <v>114.39</v>
      </c>
      <c r="BO171" s="64">
        <f t="shared" si="24"/>
        <v>0.23376623376623379</v>
      </c>
      <c r="BP171" s="64">
        <f t="shared" si="25"/>
        <v>0.23484848484848486</v>
      </c>
    </row>
    <row r="172" spans="1:68" ht="16.5" customHeight="1" x14ac:dyDescent="0.25">
      <c r="A172" s="54" t="s">
        <v>291</v>
      </c>
      <c r="B172" s="54" t="s">
        <v>292</v>
      </c>
      <c r="C172" s="31">
        <v>4301032049</v>
      </c>
      <c r="D172" s="609">
        <v>4680115887787</v>
      </c>
      <c r="E172" s="61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3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09">
        <v>4680115887503</v>
      </c>
      <c r="E173" s="61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21"/>
        <v>0</v>
      </c>
      <c r="Z173" s="36" t="str">
        <f>IFERROR(IF(Y173=0,"",ROUNDUP(Y173/H173,0)*0.00502),"")</f>
        <v/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296</v>
      </c>
      <c r="B174" s="54" t="s">
        <v>297</v>
      </c>
      <c r="C174" s="31">
        <v>4301031389</v>
      </c>
      <c r="D174" s="609">
        <v>4680115887763</v>
      </c>
      <c r="E174" s="61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299</v>
      </c>
      <c r="C175" s="31">
        <v>4301031510</v>
      </c>
      <c r="D175" s="609">
        <v>4680115887763</v>
      </c>
      <c r="E175" s="61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4301031454</v>
      </c>
      <c r="D176" s="609">
        <v>4680115887480</v>
      </c>
      <c r="E176" s="61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7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52</v>
      </c>
      <c r="Y176" s="606">
        <f t="shared" si="21"/>
        <v>52.08</v>
      </c>
      <c r="Z176" s="36">
        <f>IFERROR(IF(Y176=0,"",ROUNDUP(Y176/H176,0)*0.00502),"")</f>
        <v>0.15562000000000001</v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55.095238095238102</v>
      </c>
      <c r="BN176" s="64">
        <f t="shared" si="23"/>
        <v>55.18</v>
      </c>
      <c r="BO176" s="64">
        <f t="shared" si="24"/>
        <v>0.1322751322751323</v>
      </c>
      <c r="BP176" s="64">
        <f t="shared" si="25"/>
        <v>0.13247863247863248</v>
      </c>
    </row>
    <row r="177" spans="1:68" ht="27" customHeight="1" x14ac:dyDescent="0.25">
      <c r="A177" s="54" t="s">
        <v>302</v>
      </c>
      <c r="B177" s="54" t="s">
        <v>303</v>
      </c>
      <c r="C177" s="31">
        <v>4301031434</v>
      </c>
      <c r="D177" s="609">
        <v>4680115888067</v>
      </c>
      <c r="E177" s="61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09">
        <v>4680115887435</v>
      </c>
      <c r="E178" s="61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0</v>
      </c>
      <c r="Y178" s="606">
        <f t="shared" si="21"/>
        <v>0</v>
      </c>
      <c r="Z178" s="36" t="str">
        <f>IFERROR(IF(Y178=0,"",ROUNDUP(Y178/H178,0)*0.00502),"")</f>
        <v/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x14ac:dyDescent="0.2">
      <c r="A179" s="619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20"/>
      <c r="P179" s="622" t="s">
        <v>72</v>
      </c>
      <c r="Q179" s="623"/>
      <c r="R179" s="623"/>
      <c r="S179" s="623"/>
      <c r="T179" s="623"/>
      <c r="U179" s="623"/>
      <c r="V179" s="624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61.80952380952381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62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0.43523999999999996</v>
      </c>
      <c r="AA179" s="608"/>
      <c r="AB179" s="608"/>
      <c r="AC179" s="608"/>
    </row>
    <row r="180" spans="1:68" x14ac:dyDescent="0.2">
      <c r="A180" s="615"/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20"/>
      <c r="P180" s="622" t="s">
        <v>72</v>
      </c>
      <c r="Q180" s="623"/>
      <c r="R180" s="623"/>
      <c r="S180" s="623"/>
      <c r="T180" s="623"/>
      <c r="U180" s="623"/>
      <c r="V180" s="624"/>
      <c r="W180" s="37" t="s">
        <v>67</v>
      </c>
      <c r="X180" s="607">
        <f>IFERROR(SUM(X168:X178),"0")</f>
        <v>160</v>
      </c>
      <c r="Y180" s="607">
        <f>IFERROR(SUM(Y168:Y178),"0")</f>
        <v>160.57999999999998</v>
      </c>
      <c r="Z180" s="37"/>
      <c r="AA180" s="608"/>
      <c r="AB180" s="608"/>
      <c r="AC180" s="608"/>
    </row>
    <row r="181" spans="1:68" ht="14.25" customHeight="1" x14ac:dyDescent="0.25">
      <c r="A181" s="614" t="s">
        <v>74</v>
      </c>
      <c r="B181" s="615"/>
      <c r="C181" s="615"/>
      <c r="D181" s="615"/>
      <c r="E181" s="615"/>
      <c r="F181" s="615"/>
      <c r="G181" s="615"/>
      <c r="H181" s="615"/>
      <c r="I181" s="615"/>
      <c r="J181" s="615"/>
      <c r="K181" s="615"/>
      <c r="L181" s="615"/>
      <c r="M181" s="615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615"/>
      <c r="Y181" s="615"/>
      <c r="Z181" s="615"/>
      <c r="AA181" s="601"/>
      <c r="AB181" s="601"/>
      <c r="AC181" s="601"/>
    </row>
    <row r="182" spans="1:68" ht="16.5" customHeight="1" x14ac:dyDescent="0.25">
      <c r="A182" s="54" t="s">
        <v>307</v>
      </c>
      <c r="B182" s="54" t="s">
        <v>308</v>
      </c>
      <c r="C182" s="31">
        <v>4301052193</v>
      </c>
      <c r="D182" s="609">
        <v>4680115888395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310</v>
      </c>
      <c r="B183" s="54" t="s">
        <v>311</v>
      </c>
      <c r="C183" s="31">
        <v>4301052191</v>
      </c>
      <c r="D183" s="609">
        <v>4680115888371</v>
      </c>
      <c r="E183" s="61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313</v>
      </c>
      <c r="B184" s="54" t="s">
        <v>314</v>
      </c>
      <c r="C184" s="31">
        <v>4301052064</v>
      </c>
      <c r="D184" s="609">
        <v>4680115887459</v>
      </c>
      <c r="E184" s="61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8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9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20"/>
      <c r="P185" s="622" t="s">
        <v>72</v>
      </c>
      <c r="Q185" s="623"/>
      <c r="R185" s="623"/>
      <c r="S185" s="623"/>
      <c r="T185" s="623"/>
      <c r="U185" s="623"/>
      <c r="V185" s="624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x14ac:dyDescent="0.2">
      <c r="A186" s="615"/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20"/>
      <c r="P186" s="622" t="s">
        <v>72</v>
      </c>
      <c r="Q186" s="623"/>
      <c r="R186" s="623"/>
      <c r="S186" s="623"/>
      <c r="T186" s="623"/>
      <c r="U186" s="623"/>
      <c r="V186" s="624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customHeight="1" x14ac:dyDescent="0.25">
      <c r="A187" s="614" t="s">
        <v>95</v>
      </c>
      <c r="B187" s="615"/>
      <c r="C187" s="615"/>
      <c r="D187" s="615"/>
      <c r="E187" s="615"/>
      <c r="F187" s="615"/>
      <c r="G187" s="615"/>
      <c r="H187" s="615"/>
      <c r="I187" s="615"/>
      <c r="J187" s="615"/>
      <c r="K187" s="615"/>
      <c r="L187" s="615"/>
      <c r="M187" s="615"/>
      <c r="N187" s="615"/>
      <c r="O187" s="615"/>
      <c r="P187" s="615"/>
      <c r="Q187" s="615"/>
      <c r="R187" s="615"/>
      <c r="S187" s="615"/>
      <c r="T187" s="615"/>
      <c r="U187" s="615"/>
      <c r="V187" s="615"/>
      <c r="W187" s="615"/>
      <c r="X187" s="615"/>
      <c r="Y187" s="615"/>
      <c r="Z187" s="615"/>
      <c r="AA187" s="601"/>
      <c r="AB187" s="601"/>
      <c r="AC187" s="601"/>
    </row>
    <row r="188" spans="1:68" ht="16.5" customHeight="1" x14ac:dyDescent="0.25">
      <c r="A188" s="54" t="s">
        <v>316</v>
      </c>
      <c r="B188" s="54" t="s">
        <v>317</v>
      </c>
      <c r="C188" s="31">
        <v>4301032058</v>
      </c>
      <c r="D188" s="609">
        <v>4680115889026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6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321</v>
      </c>
      <c r="B189" s="54" t="s">
        <v>322</v>
      </c>
      <c r="C189" s="31">
        <v>4301032057</v>
      </c>
      <c r="D189" s="609">
        <v>4680115889088</v>
      </c>
      <c r="E189" s="61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9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20"/>
      <c r="P190" s="622" t="s">
        <v>72</v>
      </c>
      <c r="Q190" s="623"/>
      <c r="R190" s="623"/>
      <c r="S190" s="623"/>
      <c r="T190" s="623"/>
      <c r="U190" s="623"/>
      <c r="V190" s="624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x14ac:dyDescent="0.2">
      <c r="A191" s="615"/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20"/>
      <c r="P191" s="622" t="s">
        <v>72</v>
      </c>
      <c r="Q191" s="623"/>
      <c r="R191" s="623"/>
      <c r="S191" s="623"/>
      <c r="T191" s="623"/>
      <c r="U191" s="623"/>
      <c r="V191" s="624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customHeight="1" x14ac:dyDescent="0.25">
      <c r="A192" s="614" t="s">
        <v>324</v>
      </c>
      <c r="B192" s="615"/>
      <c r="C192" s="615"/>
      <c r="D192" s="615"/>
      <c r="E192" s="615"/>
      <c r="F192" s="615"/>
      <c r="G192" s="615"/>
      <c r="H192" s="615"/>
      <c r="I192" s="615"/>
      <c r="J192" s="615"/>
      <c r="K192" s="615"/>
      <c r="L192" s="615"/>
      <c r="M192" s="615"/>
      <c r="N192" s="615"/>
      <c r="O192" s="615"/>
      <c r="P192" s="615"/>
      <c r="Q192" s="615"/>
      <c r="R192" s="615"/>
      <c r="S192" s="615"/>
      <c r="T192" s="615"/>
      <c r="U192" s="615"/>
      <c r="V192" s="615"/>
      <c r="W192" s="615"/>
      <c r="X192" s="615"/>
      <c r="Y192" s="615"/>
      <c r="Z192" s="615"/>
      <c r="AA192" s="601"/>
      <c r="AB192" s="601"/>
      <c r="AC192" s="601"/>
    </row>
    <row r="193" spans="1:68" ht="27" customHeight="1" x14ac:dyDescent="0.25">
      <c r="A193" s="54" t="s">
        <v>325</v>
      </c>
      <c r="B193" s="54" t="s">
        <v>326</v>
      </c>
      <c r="C193" s="31">
        <v>4301041009</v>
      </c>
      <c r="D193" s="609">
        <v>4680115889033</v>
      </c>
      <c r="E193" s="61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9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20"/>
      <c r="P194" s="622" t="s">
        <v>72</v>
      </c>
      <c r="Q194" s="623"/>
      <c r="R194" s="623"/>
      <c r="S194" s="623"/>
      <c r="T194" s="623"/>
      <c r="U194" s="623"/>
      <c r="V194" s="624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x14ac:dyDescent="0.2">
      <c r="A195" s="615"/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20"/>
      <c r="P195" s="622" t="s">
        <v>72</v>
      </c>
      <c r="Q195" s="623"/>
      <c r="R195" s="623"/>
      <c r="S195" s="623"/>
      <c r="T195" s="623"/>
      <c r="U195" s="623"/>
      <c r="V195" s="624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customHeight="1" x14ac:dyDescent="0.2">
      <c r="A196" s="627" t="s">
        <v>328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48"/>
      <c r="AB196" s="48"/>
      <c r="AC196" s="48"/>
    </row>
    <row r="197" spans="1:68" ht="16.5" customHeight="1" x14ac:dyDescent="0.25">
      <c r="A197" s="648" t="s">
        <v>329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00"/>
      <c r="AB197" s="600"/>
      <c r="AC197" s="600"/>
    </row>
    <row r="198" spans="1:68" ht="14.25" customHeight="1" x14ac:dyDescent="0.25">
      <c r="A198" s="614" t="s">
        <v>121</v>
      </c>
      <c r="B198" s="615"/>
      <c r="C198" s="615"/>
      <c r="D198" s="615"/>
      <c r="E198" s="615"/>
      <c r="F198" s="615"/>
      <c r="G198" s="615"/>
      <c r="H198" s="615"/>
      <c r="I198" s="615"/>
      <c r="J198" s="615"/>
      <c r="K198" s="615"/>
      <c r="L198" s="615"/>
      <c r="M198" s="615"/>
      <c r="N198" s="615"/>
      <c r="O198" s="615"/>
      <c r="P198" s="615"/>
      <c r="Q198" s="615"/>
      <c r="R198" s="615"/>
      <c r="S198" s="615"/>
      <c r="T198" s="615"/>
      <c r="U198" s="615"/>
      <c r="V198" s="615"/>
      <c r="W198" s="615"/>
      <c r="X198" s="615"/>
      <c r="Y198" s="615"/>
      <c r="Z198" s="615"/>
      <c r="AA198" s="601"/>
      <c r="AB198" s="601"/>
      <c r="AC198" s="601"/>
    </row>
    <row r="199" spans="1:68" ht="27" customHeight="1" x14ac:dyDescent="0.25">
      <c r="A199" s="54" t="s">
        <v>330</v>
      </c>
      <c r="B199" s="54" t="s">
        <v>331</v>
      </c>
      <c r="C199" s="31">
        <v>4301012340</v>
      </c>
      <c r="D199" s="609">
        <v>4680115888760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4301012341</v>
      </c>
      <c r="D200" s="609">
        <v>4680115888807</v>
      </c>
      <c r="E200" s="61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4301012342</v>
      </c>
      <c r="D201" s="609">
        <v>4680115888852</v>
      </c>
      <c r="E201" s="61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customHeight="1" x14ac:dyDescent="0.25">
      <c r="A202" s="54" t="s">
        <v>339</v>
      </c>
      <c r="B202" s="54" t="s">
        <v>340</v>
      </c>
      <c r="C202" s="31">
        <v>4301011223</v>
      </c>
      <c r="D202" s="609">
        <v>4607091383423</v>
      </c>
      <c r="E202" s="61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customHeight="1" x14ac:dyDescent="0.25">
      <c r="A203" s="54" t="s">
        <v>341</v>
      </c>
      <c r="B203" s="54" t="s">
        <v>342</v>
      </c>
      <c r="C203" s="31">
        <v>4301012370</v>
      </c>
      <c r="D203" s="609">
        <v>4680115886957</v>
      </c>
      <c r="E203" s="61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4301012098</v>
      </c>
      <c r="D204" s="609">
        <v>4680115885660</v>
      </c>
      <c r="E204" s="61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4301012369</v>
      </c>
      <c r="D205" s="609">
        <v>4680115886773</v>
      </c>
      <c r="E205" s="61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x14ac:dyDescent="0.2">
      <c r="A206" s="619"/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20"/>
      <c r="P206" s="622" t="s">
        <v>72</v>
      </c>
      <c r="Q206" s="623"/>
      <c r="R206" s="623"/>
      <c r="S206" s="623"/>
      <c r="T206" s="623"/>
      <c r="U206" s="623"/>
      <c r="V206" s="624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20"/>
      <c r="P207" s="622" t="s">
        <v>72</v>
      </c>
      <c r="Q207" s="623"/>
      <c r="R207" s="623"/>
      <c r="S207" s="623"/>
      <c r="T207" s="623"/>
      <c r="U207" s="623"/>
      <c r="V207" s="624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customHeight="1" x14ac:dyDescent="0.25">
      <c r="A208" s="648" t="s">
        <v>350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00"/>
      <c r="AB208" s="600"/>
      <c r="AC208" s="600"/>
    </row>
    <row r="209" spans="1:68" ht="14.25" customHeight="1" x14ac:dyDescent="0.25">
      <c r="A209" s="614" t="s">
        <v>156</v>
      </c>
      <c r="B209" s="615"/>
      <c r="C209" s="615"/>
      <c r="D209" s="615"/>
      <c r="E209" s="615"/>
      <c r="F209" s="615"/>
      <c r="G209" s="615"/>
      <c r="H209" s="615"/>
      <c r="I209" s="615"/>
      <c r="J209" s="615"/>
      <c r="K209" s="615"/>
      <c r="L209" s="615"/>
      <c r="M209" s="615"/>
      <c r="N209" s="615"/>
      <c r="O209" s="615"/>
      <c r="P209" s="615"/>
      <c r="Q209" s="615"/>
      <c r="R209" s="615"/>
      <c r="S209" s="615"/>
      <c r="T209" s="615"/>
      <c r="U209" s="615"/>
      <c r="V209" s="615"/>
      <c r="W209" s="615"/>
      <c r="X209" s="615"/>
      <c r="Y209" s="615"/>
      <c r="Z209" s="615"/>
      <c r="AA209" s="601"/>
      <c r="AB209" s="601"/>
      <c r="AC209" s="601"/>
    </row>
    <row r="210" spans="1:68" ht="27" customHeight="1" x14ac:dyDescent="0.25">
      <c r="A210" s="54" t="s">
        <v>351</v>
      </c>
      <c r="B210" s="54" t="s">
        <v>352</v>
      </c>
      <c r="C210" s="31">
        <v>4301020323</v>
      </c>
      <c r="D210" s="609">
        <v>4680115886223</v>
      </c>
      <c r="E210" s="61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x14ac:dyDescent="0.2">
      <c r="A211" s="619"/>
      <c r="B211" s="615"/>
      <c r="C211" s="615"/>
      <c r="D211" s="615"/>
      <c r="E211" s="615"/>
      <c r="F211" s="615"/>
      <c r="G211" s="615"/>
      <c r="H211" s="615"/>
      <c r="I211" s="615"/>
      <c r="J211" s="615"/>
      <c r="K211" s="615"/>
      <c r="L211" s="615"/>
      <c r="M211" s="615"/>
      <c r="N211" s="615"/>
      <c r="O211" s="620"/>
      <c r="P211" s="622" t="s">
        <v>72</v>
      </c>
      <c r="Q211" s="623"/>
      <c r="R211" s="623"/>
      <c r="S211" s="623"/>
      <c r="T211" s="623"/>
      <c r="U211" s="623"/>
      <c r="V211" s="624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x14ac:dyDescent="0.2">
      <c r="A212" s="615"/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20"/>
      <c r="P212" s="622" t="s">
        <v>72</v>
      </c>
      <c r="Q212" s="623"/>
      <c r="R212" s="623"/>
      <c r="S212" s="623"/>
      <c r="T212" s="623"/>
      <c r="U212" s="623"/>
      <c r="V212" s="624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customHeight="1" x14ac:dyDescent="0.25">
      <c r="A213" s="614" t="s">
        <v>62</v>
      </c>
      <c r="B213" s="615"/>
      <c r="C213" s="615"/>
      <c r="D213" s="615"/>
      <c r="E213" s="615"/>
      <c r="F213" s="615"/>
      <c r="G213" s="615"/>
      <c r="H213" s="615"/>
      <c r="I213" s="615"/>
      <c r="J213" s="615"/>
      <c r="K213" s="615"/>
      <c r="L213" s="615"/>
      <c r="M213" s="615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615"/>
      <c r="Y213" s="615"/>
      <c r="Z213" s="615"/>
      <c r="AA213" s="601"/>
      <c r="AB213" s="601"/>
      <c r="AC213" s="601"/>
    </row>
    <row r="214" spans="1:68" ht="27" customHeight="1" x14ac:dyDescent="0.25">
      <c r="A214" s="54" t="s">
        <v>354</v>
      </c>
      <c r="B214" s="54" t="s">
        <v>355</v>
      </c>
      <c r="C214" s="31">
        <v>4301031191</v>
      </c>
      <c r="D214" s="609">
        <v>4680115880993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4301031204</v>
      </c>
      <c r="D215" s="609">
        <v>4680115881761</v>
      </c>
      <c r="E215" s="61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4301031201</v>
      </c>
      <c r="D216" s="609">
        <v>4680115881563</v>
      </c>
      <c r="E216" s="61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09">
        <v>4680115887565</v>
      </c>
      <c r="E217" s="61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3</v>
      </c>
      <c r="Y217" s="606">
        <f t="shared" si="32"/>
        <v>3.2</v>
      </c>
      <c r="Z217" s="36">
        <f>IFERROR(IF(Y217=0,"",ROUNDUP(Y217/H217,0)*0.00556),"")</f>
        <v>2.2239999999999999E-2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3.4874999999999998</v>
      </c>
      <c r="BN217" s="64">
        <f t="shared" si="34"/>
        <v>3.72</v>
      </c>
      <c r="BO217" s="64">
        <f t="shared" si="35"/>
        <v>1.488095238095238E-2</v>
      </c>
      <c r="BP217" s="64">
        <f t="shared" si="36"/>
        <v>1.5873015873015872E-2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09">
        <v>4680115880986</v>
      </c>
      <c r="E218" s="61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58</v>
      </c>
      <c r="Y218" s="606">
        <f t="shared" si="32"/>
        <v>58.800000000000004</v>
      </c>
      <c r="Z218" s="36">
        <f t="shared" ref="Z218:Z223" si="37">IFERROR(IF(Y218=0,"",ROUNDUP(Y218/H218,0)*0.00502),"")</f>
        <v>0.14056000000000002</v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61.590476190476188</v>
      </c>
      <c r="BN218" s="64">
        <f t="shared" si="34"/>
        <v>62.44</v>
      </c>
      <c r="BO218" s="64">
        <f t="shared" si="35"/>
        <v>0.11803011803011804</v>
      </c>
      <c r="BP218" s="64">
        <f t="shared" si="36"/>
        <v>0.11965811965811968</v>
      </c>
    </row>
    <row r="219" spans="1:68" ht="27" customHeight="1" x14ac:dyDescent="0.25">
      <c r="A219" s="54" t="s">
        <v>368</v>
      </c>
      <c r="B219" s="54" t="s">
        <v>369</v>
      </c>
      <c r="C219" s="31">
        <v>4301031443</v>
      </c>
      <c r="D219" s="609">
        <v>4680115887213</v>
      </c>
      <c r="E219" s="61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4301031205</v>
      </c>
      <c r="D220" s="609">
        <v>4680115881785</v>
      </c>
      <c r="E220" s="61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4301031499</v>
      </c>
      <c r="D221" s="609">
        <v>4680115888432</v>
      </c>
      <c r="E221" s="61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4301031427</v>
      </c>
      <c r="D222" s="609">
        <v>4680115888104</v>
      </c>
      <c r="E222" s="61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09">
        <v>4680115886537</v>
      </c>
      <c r="E223" s="61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1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17</v>
      </c>
      <c r="Y223" s="606">
        <f t="shared" si="32"/>
        <v>18</v>
      </c>
      <c r="Z223" s="36">
        <f t="shared" si="37"/>
        <v>5.0200000000000002E-2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18.227777777777778</v>
      </c>
      <c r="BN223" s="64">
        <f t="shared" si="34"/>
        <v>19.3</v>
      </c>
      <c r="BO223" s="64">
        <f t="shared" si="35"/>
        <v>4.0360873694207031E-2</v>
      </c>
      <c r="BP223" s="64">
        <f t="shared" si="36"/>
        <v>4.2735042735042736E-2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09">
        <v>4680115887596</v>
      </c>
      <c r="E224" s="61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32"/>
        <v>0</v>
      </c>
      <c r="Z224" s="36" t="str">
        <f>IFERROR(IF(Y224=0,"",ROUNDUP(Y224/H224,0)*0.00417),"")</f>
        <v/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09">
        <v>4680115881679</v>
      </c>
      <c r="E225" s="61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134</v>
      </c>
      <c r="Y225" s="606">
        <f t="shared" si="32"/>
        <v>134.4</v>
      </c>
      <c r="Z225" s="36">
        <f>IFERROR(IF(Y225=0,"",ROUNDUP(Y225/H225,0)*0.00502),"")</f>
        <v>0.32128000000000001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140.38095238095238</v>
      </c>
      <c r="BN225" s="64">
        <f t="shared" si="34"/>
        <v>140.80000000000001</v>
      </c>
      <c r="BO225" s="64">
        <f t="shared" si="35"/>
        <v>0.27269027269027274</v>
      </c>
      <c r="BP225" s="64">
        <f t="shared" si="36"/>
        <v>0.27350427350427353</v>
      </c>
    </row>
    <row r="226" spans="1:68" ht="27" customHeight="1" x14ac:dyDescent="0.25">
      <c r="A226" s="54" t="s">
        <v>387</v>
      </c>
      <c r="B226" s="54" t="s">
        <v>388</v>
      </c>
      <c r="C226" s="31">
        <v>4301031158</v>
      </c>
      <c r="D226" s="609">
        <v>4680115880191</v>
      </c>
      <c r="E226" s="61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389</v>
      </c>
      <c r="B227" s="54" t="s">
        <v>390</v>
      </c>
      <c r="C227" s="31">
        <v>4301031245</v>
      </c>
      <c r="D227" s="609">
        <v>4680115883963</v>
      </c>
      <c r="E227" s="61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9"/>
      <c r="B228" s="615"/>
      <c r="C228" s="615"/>
      <c r="D228" s="615"/>
      <c r="E228" s="615"/>
      <c r="F228" s="615"/>
      <c r="G228" s="615"/>
      <c r="H228" s="615"/>
      <c r="I228" s="615"/>
      <c r="J228" s="615"/>
      <c r="K228" s="615"/>
      <c r="L228" s="615"/>
      <c r="M228" s="615"/>
      <c r="N228" s="615"/>
      <c r="O228" s="620"/>
      <c r="P228" s="622" t="s">
        <v>72</v>
      </c>
      <c r="Q228" s="623"/>
      <c r="R228" s="623"/>
      <c r="S228" s="623"/>
      <c r="T228" s="623"/>
      <c r="U228" s="623"/>
      <c r="V228" s="624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104.62301587301587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106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0.53428000000000009</v>
      </c>
      <c r="AA228" s="608"/>
      <c r="AB228" s="608"/>
      <c r="AC228" s="608"/>
    </row>
    <row r="229" spans="1:68" x14ac:dyDescent="0.2">
      <c r="A229" s="615"/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20"/>
      <c r="P229" s="622" t="s">
        <v>72</v>
      </c>
      <c r="Q229" s="623"/>
      <c r="R229" s="623"/>
      <c r="S229" s="623"/>
      <c r="T229" s="623"/>
      <c r="U229" s="623"/>
      <c r="V229" s="624"/>
      <c r="W229" s="37" t="s">
        <v>67</v>
      </c>
      <c r="X229" s="607">
        <f>IFERROR(SUM(X214:X227),"0")</f>
        <v>212</v>
      </c>
      <c r="Y229" s="607">
        <f>IFERROR(SUM(Y214:Y227),"0")</f>
        <v>214.4</v>
      </c>
      <c r="Z229" s="37"/>
      <c r="AA229" s="608"/>
      <c r="AB229" s="608"/>
      <c r="AC229" s="608"/>
    </row>
    <row r="230" spans="1:68" ht="14.25" customHeight="1" x14ac:dyDescent="0.25">
      <c r="A230" s="614" t="s">
        <v>74</v>
      </c>
      <c r="B230" s="615"/>
      <c r="C230" s="615"/>
      <c r="D230" s="615"/>
      <c r="E230" s="615"/>
      <c r="F230" s="615"/>
      <c r="G230" s="615"/>
      <c r="H230" s="615"/>
      <c r="I230" s="615"/>
      <c r="J230" s="615"/>
      <c r="K230" s="615"/>
      <c r="L230" s="615"/>
      <c r="M230" s="615"/>
      <c r="N230" s="615"/>
      <c r="O230" s="615"/>
      <c r="P230" s="615"/>
      <c r="Q230" s="615"/>
      <c r="R230" s="615"/>
      <c r="S230" s="615"/>
      <c r="T230" s="615"/>
      <c r="U230" s="615"/>
      <c r="V230" s="615"/>
      <c r="W230" s="615"/>
      <c r="X230" s="615"/>
      <c r="Y230" s="615"/>
      <c r="Z230" s="615"/>
      <c r="AA230" s="601"/>
      <c r="AB230" s="601"/>
      <c r="AC230" s="601"/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0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19"/>
      <c r="B235" s="615"/>
      <c r="C235" s="615"/>
      <c r="D235" s="615"/>
      <c r="E235" s="615"/>
      <c r="F235" s="615"/>
      <c r="G235" s="615"/>
      <c r="H235" s="615"/>
      <c r="I235" s="615"/>
      <c r="J235" s="615"/>
      <c r="K235" s="615"/>
      <c r="L235" s="615"/>
      <c r="M235" s="615"/>
      <c r="N235" s="615"/>
      <c r="O235" s="620"/>
      <c r="P235" s="622" t="s">
        <v>72</v>
      </c>
      <c r="Q235" s="623"/>
      <c r="R235" s="623"/>
      <c r="S235" s="623"/>
      <c r="T235" s="623"/>
      <c r="U235" s="623"/>
      <c r="V235" s="624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5"/>
      <c r="B236" s="615"/>
      <c r="C236" s="615"/>
      <c r="D236" s="615"/>
      <c r="E236" s="615"/>
      <c r="F236" s="615"/>
      <c r="G236" s="615"/>
      <c r="H236" s="615"/>
      <c r="I236" s="615"/>
      <c r="J236" s="615"/>
      <c r="K236" s="615"/>
      <c r="L236" s="615"/>
      <c r="M236" s="615"/>
      <c r="N236" s="615"/>
      <c r="O236" s="620"/>
      <c r="P236" s="622" t="s">
        <v>72</v>
      </c>
      <c r="Q236" s="623"/>
      <c r="R236" s="623"/>
      <c r="S236" s="623"/>
      <c r="T236" s="623"/>
      <c r="U236" s="623"/>
      <c r="V236" s="624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customHeight="1" x14ac:dyDescent="0.25">
      <c r="A237" s="614" t="s">
        <v>95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01"/>
      <c r="AB237" s="601"/>
      <c r="AC237" s="601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3</v>
      </c>
      <c r="Y240" s="606">
        <f>IFERROR(IF(X240="",0,CEILING((X240/$H240),1)*$H240),"")</f>
        <v>3.7800000000000002</v>
      </c>
      <c r="Z240" s="36">
        <f>IFERROR(IF(Y240=0,"",ROUNDUP(Y240/H240,0)*0.0059),"")</f>
        <v>1.77E-2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3.4523809523809521</v>
      </c>
      <c r="BN240" s="64">
        <f>IFERROR(Y240*I240/H240,"0")</f>
        <v>4.3499999999999996</v>
      </c>
      <c r="BO240" s="64">
        <f>IFERROR(1/J240*(X240/H240),"0")</f>
        <v>1.1022927689594356E-2</v>
      </c>
      <c r="BP240" s="64">
        <f>IFERROR(1/J240*(Y240/H240),"0")</f>
        <v>1.3888888888888888E-2</v>
      </c>
    </row>
    <row r="241" spans="1:68" x14ac:dyDescent="0.2">
      <c r="A241" s="619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20"/>
      <c r="P241" s="622" t="s">
        <v>72</v>
      </c>
      <c r="Q241" s="623"/>
      <c r="R241" s="623"/>
      <c r="S241" s="623"/>
      <c r="T241" s="623"/>
      <c r="U241" s="623"/>
      <c r="V241" s="624"/>
      <c r="W241" s="37" t="s">
        <v>73</v>
      </c>
      <c r="X241" s="607">
        <f>IFERROR(X238/H238,"0")+IFERROR(X239/H239,"0")+IFERROR(X240/H240,"0")</f>
        <v>2.3809523809523809</v>
      </c>
      <c r="Y241" s="607">
        <f>IFERROR(Y238/H238,"0")+IFERROR(Y239/H239,"0")+IFERROR(Y240/H240,"0")</f>
        <v>3</v>
      </c>
      <c r="Z241" s="607">
        <f>IFERROR(IF(Z238="",0,Z238),"0")+IFERROR(IF(Z239="",0,Z239),"0")+IFERROR(IF(Z240="",0,Z240),"0")</f>
        <v>1.77E-2</v>
      </c>
      <c r="AA241" s="608"/>
      <c r="AB241" s="608"/>
      <c r="AC241" s="608"/>
    </row>
    <row r="242" spans="1:68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20"/>
      <c r="P242" s="622" t="s">
        <v>72</v>
      </c>
      <c r="Q242" s="623"/>
      <c r="R242" s="623"/>
      <c r="S242" s="623"/>
      <c r="T242" s="623"/>
      <c r="U242" s="623"/>
      <c r="V242" s="624"/>
      <c r="W242" s="37" t="s">
        <v>67</v>
      </c>
      <c r="X242" s="607">
        <f>IFERROR(SUM(X238:X240),"0")</f>
        <v>3</v>
      </c>
      <c r="Y242" s="607">
        <f>IFERROR(SUM(Y238:Y240),"0")</f>
        <v>3.7800000000000002</v>
      </c>
      <c r="Z242" s="37"/>
      <c r="AA242" s="608"/>
      <c r="AB242" s="608"/>
      <c r="AC242" s="608"/>
    </row>
    <row r="243" spans="1:68" ht="14.25" customHeight="1" x14ac:dyDescent="0.25">
      <c r="A243" s="614" t="s">
        <v>411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19"/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20"/>
      <c r="P245" s="622" t="s">
        <v>72</v>
      </c>
      <c r="Q245" s="623"/>
      <c r="R245" s="623"/>
      <c r="S245" s="623"/>
      <c r="T245" s="623"/>
      <c r="U245" s="623"/>
      <c r="V245" s="624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5"/>
      <c r="B246" s="615"/>
      <c r="C246" s="615"/>
      <c r="D246" s="615"/>
      <c r="E246" s="615"/>
      <c r="F246" s="615"/>
      <c r="G246" s="615"/>
      <c r="H246" s="615"/>
      <c r="I246" s="615"/>
      <c r="J246" s="615"/>
      <c r="K246" s="615"/>
      <c r="L246" s="615"/>
      <c r="M246" s="615"/>
      <c r="N246" s="615"/>
      <c r="O246" s="620"/>
      <c r="P246" s="622" t="s">
        <v>72</v>
      </c>
      <c r="Q246" s="623"/>
      <c r="R246" s="623"/>
      <c r="S246" s="623"/>
      <c r="T246" s="623"/>
      <c r="U246" s="623"/>
      <c r="V246" s="624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48" t="s">
        <v>414</v>
      </c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5"/>
      <c r="P247" s="615"/>
      <c r="Q247" s="615"/>
      <c r="R247" s="615"/>
      <c r="S247" s="615"/>
      <c r="T247" s="615"/>
      <c r="U247" s="615"/>
      <c r="V247" s="615"/>
      <c r="W247" s="615"/>
      <c r="X247" s="615"/>
      <c r="Y247" s="615"/>
      <c r="Z247" s="615"/>
      <c r="AA247" s="600"/>
      <c r="AB247" s="600"/>
      <c r="AC247" s="600"/>
    </row>
    <row r="248" spans="1:68" ht="14.25" customHeight="1" x14ac:dyDescent="0.25">
      <c r="A248" s="614" t="s">
        <v>121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01"/>
      <c r="AB248" s="601"/>
      <c r="AC248" s="601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9"/>
      <c r="B251" s="615"/>
      <c r="C251" s="615"/>
      <c r="D251" s="615"/>
      <c r="E251" s="615"/>
      <c r="F251" s="615"/>
      <c r="G251" s="615"/>
      <c r="H251" s="615"/>
      <c r="I251" s="615"/>
      <c r="J251" s="615"/>
      <c r="K251" s="615"/>
      <c r="L251" s="615"/>
      <c r="M251" s="615"/>
      <c r="N251" s="615"/>
      <c r="O251" s="620"/>
      <c r="P251" s="622" t="s">
        <v>72</v>
      </c>
      <c r="Q251" s="623"/>
      <c r="R251" s="623"/>
      <c r="S251" s="623"/>
      <c r="T251" s="623"/>
      <c r="U251" s="623"/>
      <c r="V251" s="624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20"/>
      <c r="P252" s="622" t="s">
        <v>72</v>
      </c>
      <c r="Q252" s="623"/>
      <c r="R252" s="623"/>
      <c r="S252" s="623"/>
      <c r="T252" s="623"/>
      <c r="U252" s="623"/>
      <c r="V252" s="624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4" t="s">
        <v>156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01"/>
      <c r="AB253" s="601"/>
      <c r="AC253" s="601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0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19"/>
      <c r="B256" s="615"/>
      <c r="C256" s="615"/>
      <c r="D256" s="615"/>
      <c r="E256" s="615"/>
      <c r="F256" s="615"/>
      <c r="G256" s="615"/>
      <c r="H256" s="615"/>
      <c r="I256" s="615"/>
      <c r="J256" s="615"/>
      <c r="K256" s="615"/>
      <c r="L256" s="615"/>
      <c r="M256" s="615"/>
      <c r="N256" s="615"/>
      <c r="O256" s="620"/>
      <c r="P256" s="622" t="s">
        <v>72</v>
      </c>
      <c r="Q256" s="623"/>
      <c r="R256" s="623"/>
      <c r="S256" s="623"/>
      <c r="T256" s="623"/>
      <c r="U256" s="623"/>
      <c r="V256" s="624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5"/>
      <c r="B257" s="615"/>
      <c r="C257" s="615"/>
      <c r="D257" s="615"/>
      <c r="E257" s="615"/>
      <c r="F257" s="615"/>
      <c r="G257" s="615"/>
      <c r="H257" s="615"/>
      <c r="I257" s="615"/>
      <c r="J257" s="615"/>
      <c r="K257" s="615"/>
      <c r="L257" s="615"/>
      <c r="M257" s="615"/>
      <c r="N257" s="615"/>
      <c r="O257" s="620"/>
      <c r="P257" s="622" t="s">
        <v>72</v>
      </c>
      <c r="Q257" s="623"/>
      <c r="R257" s="623"/>
      <c r="S257" s="623"/>
      <c r="T257" s="623"/>
      <c r="U257" s="623"/>
      <c r="V257" s="624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4" t="s">
        <v>62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8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0</v>
      </c>
      <c r="BN259" s="64">
        <f t="shared" ref="BN259:BN266" si="40">IFERROR(Y259*I259/H259,"0")</f>
        <v>0</v>
      </c>
      <c r="BO259" s="64">
        <f t="shared" ref="BO259:BO266" si="41">IFERROR(1/J259*(X259/H259),"0")</f>
        <v>0</v>
      </c>
      <c r="BP259" s="64">
        <f t="shared" ref="BP259:BP266" si="42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190</v>
      </c>
      <c r="Y260" s="606">
        <f t="shared" si="38"/>
        <v>194.4</v>
      </c>
      <c r="Z260" s="36">
        <f>IFERROR(IF(Y260=0,"",ROUNDUP(Y260/H260,0)*0.00902),"")</f>
        <v>0.32472000000000001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196.68518518518516</v>
      </c>
      <c r="BN260" s="64">
        <f t="shared" si="40"/>
        <v>201.23999999999998</v>
      </c>
      <c r="BO260" s="64">
        <f t="shared" si="41"/>
        <v>0.2665544332210999</v>
      </c>
      <c r="BP260" s="64">
        <f t="shared" si="42"/>
        <v>0.27272727272727271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87</v>
      </c>
      <c r="Y261" s="606">
        <f t="shared" si="38"/>
        <v>91.800000000000011</v>
      </c>
      <c r="Z261" s="36">
        <f>IFERROR(IF(Y261=0,"",ROUNDUP(Y261/H261,0)*0.00902),"")</f>
        <v>0.15334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90.061111111111103</v>
      </c>
      <c r="BN261" s="64">
        <f t="shared" si="40"/>
        <v>95.03</v>
      </c>
      <c r="BO261" s="64">
        <f t="shared" si="41"/>
        <v>0.12205387205387205</v>
      </c>
      <c r="BP261" s="64">
        <f t="shared" si="42"/>
        <v>0.12878787878787878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8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0</v>
      </c>
      <c r="BN263" s="64">
        <f t="shared" si="40"/>
        <v>0</v>
      </c>
      <c r="BO263" s="64">
        <f t="shared" si="41"/>
        <v>0</v>
      </c>
      <c r="BP263" s="64">
        <f t="shared" si="42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8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0</v>
      </c>
      <c r="BN264" s="64">
        <f t="shared" si="40"/>
        <v>0</v>
      </c>
      <c r="BO264" s="64">
        <f t="shared" si="41"/>
        <v>0</v>
      </c>
      <c r="BP264" s="64">
        <f t="shared" si="42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55</v>
      </c>
      <c r="Y266" s="606">
        <f t="shared" si="38"/>
        <v>55.800000000000004</v>
      </c>
      <c r="Z266" s="36">
        <f>IFERROR(IF(Y266=0,"",ROUNDUP(Y266/H266,0)*0.00502),"")</f>
        <v>0.15562000000000001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58.055555555555557</v>
      </c>
      <c r="BN266" s="64">
        <f t="shared" si="40"/>
        <v>58.900000000000006</v>
      </c>
      <c r="BO266" s="64">
        <f t="shared" si="41"/>
        <v>0.13057929724596393</v>
      </c>
      <c r="BP266" s="64">
        <f t="shared" si="42"/>
        <v>0.13247863247863248</v>
      </c>
    </row>
    <row r="267" spans="1:68" x14ac:dyDescent="0.2">
      <c r="A267" s="619"/>
      <c r="B267" s="615"/>
      <c r="C267" s="615"/>
      <c r="D267" s="615"/>
      <c r="E267" s="615"/>
      <c r="F267" s="615"/>
      <c r="G267" s="615"/>
      <c r="H267" s="615"/>
      <c r="I267" s="615"/>
      <c r="J267" s="615"/>
      <c r="K267" s="615"/>
      <c r="L267" s="615"/>
      <c r="M267" s="615"/>
      <c r="N267" s="615"/>
      <c r="O267" s="620"/>
      <c r="P267" s="622" t="s">
        <v>72</v>
      </c>
      <c r="Q267" s="623"/>
      <c r="R267" s="623"/>
      <c r="S267" s="623"/>
      <c r="T267" s="623"/>
      <c r="U267" s="623"/>
      <c r="V267" s="624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81.851851851851848</v>
      </c>
      <c r="Y267" s="607">
        <f>IFERROR(Y259/H259,"0")+IFERROR(Y260/H260,"0")+IFERROR(Y261/H261,"0")+IFERROR(Y262/H262,"0")+IFERROR(Y263/H263,"0")+IFERROR(Y264/H264,"0")+IFERROR(Y265/H265,"0")+IFERROR(Y266/H266,"0")</f>
        <v>84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0.63368000000000002</v>
      </c>
      <c r="AA267" s="608"/>
      <c r="AB267" s="608"/>
      <c r="AC267" s="608"/>
    </row>
    <row r="268" spans="1:68" x14ac:dyDescent="0.2">
      <c r="A268" s="615"/>
      <c r="B268" s="615"/>
      <c r="C268" s="615"/>
      <c r="D268" s="615"/>
      <c r="E268" s="615"/>
      <c r="F268" s="615"/>
      <c r="G268" s="615"/>
      <c r="H268" s="615"/>
      <c r="I268" s="615"/>
      <c r="J268" s="615"/>
      <c r="K268" s="615"/>
      <c r="L268" s="615"/>
      <c r="M268" s="615"/>
      <c r="N268" s="615"/>
      <c r="O268" s="620"/>
      <c r="P268" s="622" t="s">
        <v>72</v>
      </c>
      <c r="Q268" s="623"/>
      <c r="R268" s="623"/>
      <c r="S268" s="623"/>
      <c r="T268" s="623"/>
      <c r="U268" s="623"/>
      <c r="V268" s="624"/>
      <c r="W268" s="37" t="s">
        <v>67</v>
      </c>
      <c r="X268" s="607">
        <f>IFERROR(SUM(X259:X266),"0")</f>
        <v>332</v>
      </c>
      <c r="Y268" s="607">
        <f>IFERROR(SUM(Y259:Y266),"0")</f>
        <v>342.00000000000006</v>
      </c>
      <c r="Z268" s="37"/>
      <c r="AA268" s="608"/>
      <c r="AB268" s="608"/>
      <c r="AC268" s="608"/>
    </row>
    <row r="269" spans="1:68" ht="14.25" customHeight="1" x14ac:dyDescent="0.25">
      <c r="A269" s="614" t="s">
        <v>74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7</v>
      </c>
      <c r="Y270" s="606">
        <f t="shared" ref="Y270:Y281" si="43">IFERROR(IF(X270="",0,CEILING((X270/$H270),1)*$H270),"")</f>
        <v>8.1</v>
      </c>
      <c r="Z270" s="36">
        <f>IFERROR(IF(Y270=0,"",ROUNDUP(Y270/H270,0)*0.01898),"")</f>
        <v>1.898E-2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7.4269135802469135</v>
      </c>
      <c r="BN270" s="64">
        <f t="shared" ref="BN270:BN281" si="45">IFERROR(Y270*I270/H270,"0")</f>
        <v>8.5939999999999994</v>
      </c>
      <c r="BO270" s="64">
        <f t="shared" ref="BO270:BO281" si="46">IFERROR(1/J270*(X270/H270),"0")</f>
        <v>1.3503086419753087E-2</v>
      </c>
      <c r="BP270" s="64">
        <f t="shared" ref="BP270:BP281" si="47">IFERROR(1/J270*(Y270/H270),"0")</f>
        <v>1.5625E-2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13</v>
      </c>
      <c r="Y271" s="606">
        <f t="shared" si="43"/>
        <v>16.2</v>
      </c>
      <c r="Z271" s="36">
        <f>IFERROR(IF(Y271=0,"",ROUNDUP(Y271/H271,0)*0.01898),"")</f>
        <v>3.7960000000000001E-2</v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13.763950617283951</v>
      </c>
      <c r="BN271" s="64">
        <f t="shared" si="45"/>
        <v>17.152000000000001</v>
      </c>
      <c r="BO271" s="64">
        <f t="shared" si="46"/>
        <v>2.5077160493827161E-2</v>
      </c>
      <c r="BP271" s="64">
        <f t="shared" si="47"/>
        <v>3.125E-2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248</v>
      </c>
      <c r="Y273" s="606">
        <f t="shared" si="43"/>
        <v>249.6</v>
      </c>
      <c r="Z273" s="36">
        <f>IFERROR(IF(Y273=0,"",ROUNDUP(Y273/H273,0)*0.00651),"")</f>
        <v>0.67703999999999998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275.89999999999998</v>
      </c>
      <c r="BN273" s="64">
        <f t="shared" si="45"/>
        <v>277.68</v>
      </c>
      <c r="BO273" s="64">
        <f t="shared" si="46"/>
        <v>0.56776556776556786</v>
      </c>
      <c r="BP273" s="64">
        <f t="shared" si="47"/>
        <v>0.57142857142857151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190</v>
      </c>
      <c r="Y276" s="606">
        <f t="shared" si="43"/>
        <v>192</v>
      </c>
      <c r="Z276" s="36">
        <f>IFERROR(IF(Y276=0,"",ROUNDUP(Y276/H276,0)*0.00651),"")</f>
        <v>0.52080000000000004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209.95000000000002</v>
      </c>
      <c r="BN276" s="64">
        <f t="shared" si="45"/>
        <v>212.16000000000003</v>
      </c>
      <c r="BO276" s="64">
        <f t="shared" si="46"/>
        <v>0.43498168498168505</v>
      </c>
      <c r="BP276" s="64">
        <f t="shared" si="47"/>
        <v>0.43956043956043961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87</v>
      </c>
      <c r="Y278" s="606">
        <f t="shared" si="43"/>
        <v>88.8</v>
      </c>
      <c r="Z278" s="36">
        <f>IFERROR(IF(Y278=0,"",ROUNDUP(Y278/H278,0)*0.00651),"")</f>
        <v>0.24087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96.135000000000005</v>
      </c>
      <c r="BN278" s="64">
        <f t="shared" si="45"/>
        <v>98.124000000000009</v>
      </c>
      <c r="BO278" s="64">
        <f t="shared" si="46"/>
        <v>0.19917582417582419</v>
      </c>
      <c r="BP278" s="64">
        <f t="shared" si="47"/>
        <v>0.20329670329670332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175</v>
      </c>
      <c r="Y279" s="606">
        <f t="shared" si="43"/>
        <v>175.2</v>
      </c>
      <c r="Z279" s="36">
        <f>IFERROR(IF(Y279=0,"",ROUNDUP(Y279/H279,0)*0.00651),"")</f>
        <v>0.47522999999999999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193.37500000000003</v>
      </c>
      <c r="BN279" s="64">
        <f t="shared" si="45"/>
        <v>193.596</v>
      </c>
      <c r="BO279" s="64">
        <f t="shared" si="46"/>
        <v>0.40064102564102572</v>
      </c>
      <c r="BP279" s="64">
        <f t="shared" si="47"/>
        <v>0.40109890109890112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179</v>
      </c>
      <c r="Y280" s="606">
        <f t="shared" si="43"/>
        <v>180</v>
      </c>
      <c r="Z280" s="36">
        <f>IFERROR(IF(Y280=0,"",ROUNDUP(Y280/H280,0)*0.00651),"")</f>
        <v>0.48825000000000002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198.24250000000001</v>
      </c>
      <c r="BN280" s="64">
        <f t="shared" si="45"/>
        <v>199.35</v>
      </c>
      <c r="BO280" s="64">
        <f t="shared" si="46"/>
        <v>0.4097985347985349</v>
      </c>
      <c r="BP280" s="64">
        <f t="shared" si="47"/>
        <v>0.41208791208791212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9"/>
      <c r="B282" s="615"/>
      <c r="C282" s="615"/>
      <c r="D282" s="615"/>
      <c r="E282" s="615"/>
      <c r="F282" s="615"/>
      <c r="G282" s="615"/>
      <c r="H282" s="615"/>
      <c r="I282" s="615"/>
      <c r="J282" s="615"/>
      <c r="K282" s="615"/>
      <c r="L282" s="615"/>
      <c r="M282" s="615"/>
      <c r="N282" s="615"/>
      <c r="O282" s="620"/>
      <c r="P282" s="622" t="s">
        <v>72</v>
      </c>
      <c r="Q282" s="623"/>
      <c r="R282" s="623"/>
      <c r="S282" s="623"/>
      <c r="T282" s="623"/>
      <c r="U282" s="623"/>
      <c r="V282" s="624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368.71913580246917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372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2.45913</v>
      </c>
      <c r="AA282" s="608"/>
      <c r="AB282" s="608"/>
      <c r="AC282" s="608"/>
    </row>
    <row r="283" spans="1:68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20"/>
      <c r="P283" s="622" t="s">
        <v>72</v>
      </c>
      <c r="Q283" s="623"/>
      <c r="R283" s="623"/>
      <c r="S283" s="623"/>
      <c r="T283" s="623"/>
      <c r="U283" s="623"/>
      <c r="V283" s="624"/>
      <c r="W283" s="37" t="s">
        <v>67</v>
      </c>
      <c r="X283" s="607">
        <f>IFERROR(SUM(X270:X281),"0")</f>
        <v>899</v>
      </c>
      <c r="Y283" s="607">
        <f>IFERROR(SUM(Y270:Y281),"0")</f>
        <v>909.89999999999986</v>
      </c>
      <c r="Z283" s="37"/>
      <c r="AA283" s="608"/>
      <c r="AB283" s="608"/>
      <c r="AC283" s="608"/>
    </row>
    <row r="284" spans="1:68" ht="14.25" customHeight="1" x14ac:dyDescent="0.25">
      <c r="A284" s="614" t="s">
        <v>173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8</v>
      </c>
      <c r="Y285" s="606">
        <f>IFERROR(IF(X285="",0,CEILING((X285/$H285),1)*$H285),"")</f>
        <v>9.6</v>
      </c>
      <c r="Z285" s="36">
        <f>IFERROR(IF(Y285=0,"",ROUNDUP(Y285/H285,0)*0.00651),"")</f>
        <v>2.6040000000000001E-2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8.8400000000000016</v>
      </c>
      <c r="BN285" s="64">
        <f>IFERROR(Y285*I285/H285,"0")</f>
        <v>10.608000000000001</v>
      </c>
      <c r="BO285" s="64">
        <f>IFERROR(1/J285*(X285/H285),"0")</f>
        <v>1.8315018315018316E-2</v>
      </c>
      <c r="BP285" s="64">
        <f>IFERROR(1/J285*(Y285/H285),"0")</f>
        <v>2.197802197802198E-2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23</v>
      </c>
      <c r="Y286" s="606">
        <f>IFERROR(IF(X286="",0,CEILING((X286/$H286),1)*$H286),"")</f>
        <v>24</v>
      </c>
      <c r="Z286" s="36">
        <f>IFERROR(IF(Y286=0,"",ROUNDUP(Y286/H286,0)*0.00651),"")</f>
        <v>6.5100000000000005E-2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25.415000000000003</v>
      </c>
      <c r="BN286" s="64">
        <f>IFERROR(Y286*I286/H286,"0")</f>
        <v>26.520000000000003</v>
      </c>
      <c r="BO286" s="64">
        <f>IFERROR(1/J286*(X286/H286),"0")</f>
        <v>5.2655677655677663E-2</v>
      </c>
      <c r="BP286" s="64">
        <f>IFERROR(1/J286*(Y286/H286),"0")</f>
        <v>5.4945054945054951E-2</v>
      </c>
    </row>
    <row r="287" spans="1:68" x14ac:dyDescent="0.2">
      <c r="A287" s="619"/>
      <c r="B287" s="615"/>
      <c r="C287" s="615"/>
      <c r="D287" s="615"/>
      <c r="E287" s="615"/>
      <c r="F287" s="615"/>
      <c r="G287" s="615"/>
      <c r="H287" s="615"/>
      <c r="I287" s="615"/>
      <c r="J287" s="615"/>
      <c r="K287" s="615"/>
      <c r="L287" s="615"/>
      <c r="M287" s="615"/>
      <c r="N287" s="615"/>
      <c r="O287" s="620"/>
      <c r="P287" s="622" t="s">
        <v>72</v>
      </c>
      <c r="Q287" s="623"/>
      <c r="R287" s="623"/>
      <c r="S287" s="623"/>
      <c r="T287" s="623"/>
      <c r="U287" s="623"/>
      <c r="V287" s="624"/>
      <c r="W287" s="37" t="s">
        <v>73</v>
      </c>
      <c r="X287" s="607">
        <f>IFERROR(X285/H285,"0")+IFERROR(X286/H286,"0")</f>
        <v>12.916666666666668</v>
      </c>
      <c r="Y287" s="607">
        <f>IFERROR(Y285/H285,"0")+IFERROR(Y286/H286,"0")</f>
        <v>14</v>
      </c>
      <c r="Z287" s="607">
        <f>IFERROR(IF(Z285="",0,Z285),"0")+IFERROR(IF(Z286="",0,Z286),"0")</f>
        <v>9.1139999999999999E-2</v>
      </c>
      <c r="AA287" s="608"/>
      <c r="AB287" s="608"/>
      <c r="AC287" s="608"/>
    </row>
    <row r="288" spans="1:68" x14ac:dyDescent="0.2">
      <c r="A288" s="615"/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20"/>
      <c r="P288" s="622" t="s">
        <v>72</v>
      </c>
      <c r="Q288" s="623"/>
      <c r="R288" s="623"/>
      <c r="S288" s="623"/>
      <c r="T288" s="623"/>
      <c r="U288" s="623"/>
      <c r="V288" s="624"/>
      <c r="W288" s="37" t="s">
        <v>67</v>
      </c>
      <c r="X288" s="607">
        <f>IFERROR(SUM(X285:X286),"0")</f>
        <v>31</v>
      </c>
      <c r="Y288" s="607">
        <f>IFERROR(SUM(Y285:Y286),"0")</f>
        <v>33.6</v>
      </c>
      <c r="Z288" s="37"/>
      <c r="AA288" s="608"/>
      <c r="AB288" s="608"/>
      <c r="AC288" s="608"/>
    </row>
    <row r="289" spans="1:68" ht="16.5" customHeight="1" x14ac:dyDescent="0.25">
      <c r="A289" s="648" t="s">
        <v>482</v>
      </c>
      <c r="B289" s="615"/>
      <c r="C289" s="615"/>
      <c r="D289" s="615"/>
      <c r="E289" s="615"/>
      <c r="F289" s="615"/>
      <c r="G289" s="615"/>
      <c r="H289" s="615"/>
      <c r="I289" s="615"/>
      <c r="J289" s="615"/>
      <c r="K289" s="615"/>
      <c r="L289" s="615"/>
      <c r="M289" s="615"/>
      <c r="N289" s="615"/>
      <c r="O289" s="615"/>
      <c r="P289" s="615"/>
      <c r="Q289" s="615"/>
      <c r="R289" s="615"/>
      <c r="S289" s="615"/>
      <c r="T289" s="615"/>
      <c r="U289" s="615"/>
      <c r="V289" s="615"/>
      <c r="W289" s="615"/>
      <c r="X289" s="615"/>
      <c r="Y289" s="615"/>
      <c r="Z289" s="615"/>
      <c r="AA289" s="600"/>
      <c r="AB289" s="600"/>
      <c r="AC289" s="600"/>
    </row>
    <row r="290" spans="1:68" ht="14.25" customHeight="1" x14ac:dyDescent="0.25">
      <c r="A290" s="614" t="s">
        <v>121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01"/>
      <c r="AB290" s="601"/>
      <c r="AC290" s="601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8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x14ac:dyDescent="0.2">
      <c r="A298" s="619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20"/>
      <c r="P298" s="622" t="s">
        <v>72</v>
      </c>
      <c r="Q298" s="623"/>
      <c r="R298" s="623"/>
      <c r="S298" s="623"/>
      <c r="T298" s="623"/>
      <c r="U298" s="623"/>
      <c r="V298" s="624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20"/>
      <c r="P299" s="622" t="s">
        <v>72</v>
      </c>
      <c r="Q299" s="623"/>
      <c r="R299" s="623"/>
      <c r="S299" s="623"/>
      <c r="T299" s="623"/>
      <c r="U299" s="623"/>
      <c r="V299" s="624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4" t="s">
        <v>156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01"/>
      <c r="AB300" s="601"/>
      <c r="AC300" s="601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9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20"/>
      <c r="P302" s="622" t="s">
        <v>72</v>
      </c>
      <c r="Q302" s="623"/>
      <c r="R302" s="623"/>
      <c r="S302" s="623"/>
      <c r="T302" s="623"/>
      <c r="U302" s="623"/>
      <c r="V302" s="624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20"/>
      <c r="P303" s="622" t="s">
        <v>72</v>
      </c>
      <c r="Q303" s="623"/>
      <c r="R303" s="623"/>
      <c r="S303" s="623"/>
      <c r="T303" s="623"/>
      <c r="U303" s="623"/>
      <c r="V303" s="624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4" t="s">
        <v>504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01"/>
      <c r="AB304" s="601"/>
      <c r="AC304" s="601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19"/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20"/>
      <c r="P306" s="622" t="s">
        <v>72</v>
      </c>
      <c r="Q306" s="623"/>
      <c r="R306" s="623"/>
      <c r="S306" s="623"/>
      <c r="T306" s="623"/>
      <c r="U306" s="623"/>
      <c r="V306" s="624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5"/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20"/>
      <c r="P307" s="622" t="s">
        <v>72</v>
      </c>
      <c r="Q307" s="623"/>
      <c r="R307" s="623"/>
      <c r="S307" s="623"/>
      <c r="T307" s="623"/>
      <c r="U307" s="623"/>
      <c r="V307" s="624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4" t="s">
        <v>324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01"/>
      <c r="AB308" s="601"/>
      <c r="AC308" s="601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2</v>
      </c>
      <c r="Y311" s="606">
        <f>IFERROR(IF(X311="",0,CEILING((X311/$H311),1)*$H311),"")</f>
        <v>2.7</v>
      </c>
      <c r="Z311" s="36">
        <f>IFERROR(IF(Y311=0,"",ROUNDUP(Y311/H311,0)*0.0059),"")</f>
        <v>1.77E-2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2.4222222222222225</v>
      </c>
      <c r="BN311" s="64">
        <f>IFERROR(Y311*I311/H311,"0")</f>
        <v>3.2700000000000005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19"/>
      <c r="B312" s="615"/>
      <c r="C312" s="615"/>
      <c r="D312" s="615"/>
      <c r="E312" s="615"/>
      <c r="F312" s="615"/>
      <c r="G312" s="615"/>
      <c r="H312" s="615"/>
      <c r="I312" s="615"/>
      <c r="J312" s="615"/>
      <c r="K312" s="615"/>
      <c r="L312" s="615"/>
      <c r="M312" s="615"/>
      <c r="N312" s="615"/>
      <c r="O312" s="620"/>
      <c r="P312" s="622" t="s">
        <v>72</v>
      </c>
      <c r="Q312" s="623"/>
      <c r="R312" s="623"/>
      <c r="S312" s="623"/>
      <c r="T312" s="623"/>
      <c r="U312" s="623"/>
      <c r="V312" s="624"/>
      <c r="W312" s="37" t="s">
        <v>73</v>
      </c>
      <c r="X312" s="607">
        <f>IFERROR(X309/H309,"0")+IFERROR(X310/H310,"0")+IFERROR(X311/H311,"0")</f>
        <v>2.2222222222222223</v>
      </c>
      <c r="Y312" s="607">
        <f>IFERROR(Y309/H309,"0")+IFERROR(Y310/H310,"0")+IFERROR(Y311/H311,"0")</f>
        <v>3</v>
      </c>
      <c r="Z312" s="607">
        <f>IFERROR(IF(Z309="",0,Z309),"0")+IFERROR(IF(Z310="",0,Z310),"0")+IFERROR(IF(Z311="",0,Z311),"0")</f>
        <v>1.77E-2</v>
      </c>
      <c r="AA312" s="608"/>
      <c r="AB312" s="608"/>
      <c r="AC312" s="608"/>
    </row>
    <row r="313" spans="1:68" x14ac:dyDescent="0.2">
      <c r="A313" s="615"/>
      <c r="B313" s="615"/>
      <c r="C313" s="615"/>
      <c r="D313" s="615"/>
      <c r="E313" s="615"/>
      <c r="F313" s="615"/>
      <c r="G313" s="615"/>
      <c r="H313" s="615"/>
      <c r="I313" s="615"/>
      <c r="J313" s="615"/>
      <c r="K313" s="615"/>
      <c r="L313" s="615"/>
      <c r="M313" s="615"/>
      <c r="N313" s="615"/>
      <c r="O313" s="620"/>
      <c r="P313" s="622" t="s">
        <v>72</v>
      </c>
      <c r="Q313" s="623"/>
      <c r="R313" s="623"/>
      <c r="S313" s="623"/>
      <c r="T313" s="623"/>
      <c r="U313" s="623"/>
      <c r="V313" s="624"/>
      <c r="W313" s="37" t="s">
        <v>67</v>
      </c>
      <c r="X313" s="607">
        <f>IFERROR(SUM(X309:X311),"0")</f>
        <v>2</v>
      </c>
      <c r="Y313" s="607">
        <f>IFERROR(SUM(Y309:Y311),"0")</f>
        <v>2.7</v>
      </c>
      <c r="Z313" s="37"/>
      <c r="AA313" s="608"/>
      <c r="AB313" s="608"/>
      <c r="AC313" s="608"/>
    </row>
    <row r="314" spans="1:68" ht="16.5" customHeight="1" x14ac:dyDescent="0.25">
      <c r="A314" s="648" t="s">
        <v>515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00"/>
      <c r="AB314" s="600"/>
      <c r="AC314" s="600"/>
    </row>
    <row r="315" spans="1:68" ht="14.25" customHeight="1" x14ac:dyDescent="0.25">
      <c r="A315" s="614" t="s">
        <v>121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01"/>
      <c r="AB315" s="601"/>
      <c r="AC315" s="601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9"/>
      <c r="B321" s="615"/>
      <c r="C321" s="615"/>
      <c r="D321" s="615"/>
      <c r="E321" s="615"/>
      <c r="F321" s="615"/>
      <c r="G321" s="615"/>
      <c r="H321" s="615"/>
      <c r="I321" s="615"/>
      <c r="J321" s="615"/>
      <c r="K321" s="615"/>
      <c r="L321" s="615"/>
      <c r="M321" s="615"/>
      <c r="N321" s="615"/>
      <c r="O321" s="620"/>
      <c r="P321" s="622" t="s">
        <v>72</v>
      </c>
      <c r="Q321" s="623"/>
      <c r="R321" s="623"/>
      <c r="S321" s="623"/>
      <c r="T321" s="623"/>
      <c r="U321" s="623"/>
      <c r="V321" s="624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5"/>
      <c r="B322" s="615"/>
      <c r="C322" s="615"/>
      <c r="D322" s="615"/>
      <c r="E322" s="615"/>
      <c r="F322" s="615"/>
      <c r="G322" s="615"/>
      <c r="H322" s="615"/>
      <c r="I322" s="615"/>
      <c r="J322" s="615"/>
      <c r="K322" s="615"/>
      <c r="L322" s="615"/>
      <c r="M322" s="615"/>
      <c r="N322" s="615"/>
      <c r="O322" s="620"/>
      <c r="P322" s="622" t="s">
        <v>72</v>
      </c>
      <c r="Q322" s="623"/>
      <c r="R322" s="623"/>
      <c r="S322" s="623"/>
      <c r="T322" s="623"/>
      <c r="U322" s="623"/>
      <c r="V322" s="624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48" t="s">
        <v>531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00"/>
      <c r="AB323" s="600"/>
      <c r="AC323" s="600"/>
    </row>
    <row r="324" spans="1:68" ht="14.25" customHeight="1" x14ac:dyDescent="0.25">
      <c r="A324" s="614" t="s">
        <v>74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01"/>
      <c r="AB324" s="601"/>
      <c r="AC324" s="601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52</v>
      </c>
      <c r="Y327" s="606">
        <f>IFERROR(IF(X327="",0,CEILING((X327/$H327),1)*$H327),"")</f>
        <v>52.8</v>
      </c>
      <c r="Z327" s="36">
        <f>IFERROR(IF(Y327=0,"",ROUNDUP(Y327/H327,0)*0.00651),"")</f>
        <v>0.14322000000000001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55.9</v>
      </c>
      <c r="BN327" s="64">
        <f>IFERROR(Y327*I327/H327,"0")</f>
        <v>56.76</v>
      </c>
      <c r="BO327" s="64">
        <f>IFERROR(1/J327*(X327/H327),"0")</f>
        <v>0.11904761904761907</v>
      </c>
      <c r="BP327" s="64">
        <f>IFERROR(1/J327*(Y327/H327),"0")</f>
        <v>0.12087912087912089</v>
      </c>
    </row>
    <row r="328" spans="1:68" x14ac:dyDescent="0.2">
      <c r="A328" s="619"/>
      <c r="B328" s="615"/>
      <c r="C328" s="615"/>
      <c r="D328" s="615"/>
      <c r="E328" s="615"/>
      <c r="F328" s="615"/>
      <c r="G328" s="615"/>
      <c r="H328" s="615"/>
      <c r="I328" s="615"/>
      <c r="J328" s="615"/>
      <c r="K328" s="615"/>
      <c r="L328" s="615"/>
      <c r="M328" s="615"/>
      <c r="N328" s="615"/>
      <c r="O328" s="620"/>
      <c r="P328" s="622" t="s">
        <v>72</v>
      </c>
      <c r="Q328" s="623"/>
      <c r="R328" s="623"/>
      <c r="S328" s="623"/>
      <c r="T328" s="623"/>
      <c r="U328" s="623"/>
      <c r="V328" s="624"/>
      <c r="W328" s="37" t="s">
        <v>73</v>
      </c>
      <c r="X328" s="607">
        <f>IFERROR(X325/H325,"0")+IFERROR(X326/H326,"0")+IFERROR(X327/H327,"0")</f>
        <v>21.666666666666668</v>
      </c>
      <c r="Y328" s="607">
        <f>IFERROR(Y325/H325,"0")+IFERROR(Y326/H326,"0")+IFERROR(Y327/H327,"0")</f>
        <v>22</v>
      </c>
      <c r="Z328" s="607">
        <f>IFERROR(IF(Z325="",0,Z325),"0")+IFERROR(IF(Z326="",0,Z326),"0")+IFERROR(IF(Z327="",0,Z327),"0")</f>
        <v>0.14322000000000001</v>
      </c>
      <c r="AA328" s="608"/>
      <c r="AB328" s="608"/>
      <c r="AC328" s="608"/>
    </row>
    <row r="329" spans="1:68" x14ac:dyDescent="0.2">
      <c r="A329" s="615"/>
      <c r="B329" s="615"/>
      <c r="C329" s="615"/>
      <c r="D329" s="615"/>
      <c r="E329" s="615"/>
      <c r="F329" s="615"/>
      <c r="G329" s="615"/>
      <c r="H329" s="615"/>
      <c r="I329" s="615"/>
      <c r="J329" s="615"/>
      <c r="K329" s="615"/>
      <c r="L329" s="615"/>
      <c r="M329" s="615"/>
      <c r="N329" s="615"/>
      <c r="O329" s="620"/>
      <c r="P329" s="622" t="s">
        <v>72</v>
      </c>
      <c r="Q329" s="623"/>
      <c r="R329" s="623"/>
      <c r="S329" s="623"/>
      <c r="T329" s="623"/>
      <c r="U329" s="623"/>
      <c r="V329" s="624"/>
      <c r="W329" s="37" t="s">
        <v>67</v>
      </c>
      <c r="X329" s="607">
        <f>IFERROR(SUM(X325:X327),"0")</f>
        <v>52</v>
      </c>
      <c r="Y329" s="607">
        <f>IFERROR(SUM(Y325:Y327),"0")</f>
        <v>52.8</v>
      </c>
      <c r="Z329" s="37"/>
      <c r="AA329" s="608"/>
      <c r="AB329" s="608"/>
      <c r="AC329" s="608"/>
    </row>
    <row r="330" spans="1:68" ht="16.5" customHeight="1" x14ac:dyDescent="0.25">
      <c r="A330" s="648" t="s">
        <v>540</v>
      </c>
      <c r="B330" s="615"/>
      <c r="C330" s="615"/>
      <c r="D330" s="615"/>
      <c r="E330" s="615"/>
      <c r="F330" s="615"/>
      <c r="G330" s="615"/>
      <c r="H330" s="615"/>
      <c r="I330" s="615"/>
      <c r="J330" s="615"/>
      <c r="K330" s="615"/>
      <c r="L330" s="615"/>
      <c r="M330" s="615"/>
      <c r="N330" s="615"/>
      <c r="O330" s="615"/>
      <c r="P330" s="615"/>
      <c r="Q330" s="615"/>
      <c r="R330" s="615"/>
      <c r="S330" s="615"/>
      <c r="T330" s="615"/>
      <c r="U330" s="615"/>
      <c r="V330" s="615"/>
      <c r="W330" s="615"/>
      <c r="X330" s="615"/>
      <c r="Y330" s="615"/>
      <c r="Z330" s="615"/>
      <c r="AA330" s="600"/>
      <c r="AB330" s="600"/>
      <c r="AC330" s="600"/>
    </row>
    <row r="331" spans="1:68" ht="14.25" customHeight="1" x14ac:dyDescent="0.25">
      <c r="A331" s="614" t="s">
        <v>62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01"/>
      <c r="AB331" s="601"/>
      <c r="AC331" s="601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19"/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20"/>
      <c r="P337" s="622" t="s">
        <v>72</v>
      </c>
      <c r="Q337" s="623"/>
      <c r="R337" s="623"/>
      <c r="S337" s="623"/>
      <c r="T337" s="623"/>
      <c r="U337" s="623"/>
      <c r="V337" s="624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20"/>
      <c r="P338" s="622" t="s">
        <v>72</v>
      </c>
      <c r="Q338" s="623"/>
      <c r="R338" s="623"/>
      <c r="S338" s="623"/>
      <c r="T338" s="623"/>
      <c r="U338" s="623"/>
      <c r="V338" s="624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4" t="s">
        <v>74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01"/>
      <c r="AB339" s="601"/>
      <c r="AC339" s="601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19"/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20"/>
      <c r="P342" s="622" t="s">
        <v>72</v>
      </c>
      <c r="Q342" s="623"/>
      <c r="R342" s="623"/>
      <c r="S342" s="623"/>
      <c r="T342" s="623"/>
      <c r="U342" s="623"/>
      <c r="V342" s="624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5"/>
      <c r="B343" s="615"/>
      <c r="C343" s="615"/>
      <c r="D343" s="615"/>
      <c r="E343" s="615"/>
      <c r="F343" s="615"/>
      <c r="G343" s="615"/>
      <c r="H343" s="615"/>
      <c r="I343" s="615"/>
      <c r="J343" s="615"/>
      <c r="K343" s="615"/>
      <c r="L343" s="615"/>
      <c r="M343" s="615"/>
      <c r="N343" s="615"/>
      <c r="O343" s="620"/>
      <c r="P343" s="622" t="s">
        <v>72</v>
      </c>
      <c r="Q343" s="623"/>
      <c r="R343" s="623"/>
      <c r="S343" s="623"/>
      <c r="T343" s="623"/>
      <c r="U343" s="623"/>
      <c r="V343" s="624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48" t="s">
        <v>561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00"/>
      <c r="AB344" s="600"/>
      <c r="AC344" s="600"/>
    </row>
    <row r="345" spans="1:68" ht="14.25" customHeight="1" x14ac:dyDescent="0.25">
      <c r="A345" s="614" t="s">
        <v>121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9"/>
      <c r="B349" s="615"/>
      <c r="C349" s="615"/>
      <c r="D349" s="615"/>
      <c r="E349" s="615"/>
      <c r="F349" s="615"/>
      <c r="G349" s="615"/>
      <c r="H349" s="615"/>
      <c r="I349" s="615"/>
      <c r="J349" s="615"/>
      <c r="K349" s="615"/>
      <c r="L349" s="615"/>
      <c r="M349" s="615"/>
      <c r="N349" s="615"/>
      <c r="O349" s="620"/>
      <c r="P349" s="622" t="s">
        <v>72</v>
      </c>
      <c r="Q349" s="623"/>
      <c r="R349" s="623"/>
      <c r="S349" s="623"/>
      <c r="T349" s="623"/>
      <c r="U349" s="623"/>
      <c r="V349" s="624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x14ac:dyDescent="0.2">
      <c r="A350" s="615"/>
      <c r="B350" s="615"/>
      <c r="C350" s="615"/>
      <c r="D350" s="615"/>
      <c r="E350" s="615"/>
      <c r="F350" s="615"/>
      <c r="G350" s="615"/>
      <c r="H350" s="615"/>
      <c r="I350" s="615"/>
      <c r="J350" s="615"/>
      <c r="K350" s="615"/>
      <c r="L350" s="615"/>
      <c r="M350" s="615"/>
      <c r="N350" s="615"/>
      <c r="O350" s="620"/>
      <c r="P350" s="622" t="s">
        <v>72</v>
      </c>
      <c r="Q350" s="623"/>
      <c r="R350" s="623"/>
      <c r="S350" s="623"/>
      <c r="T350" s="623"/>
      <c r="U350" s="623"/>
      <c r="V350" s="624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customHeight="1" x14ac:dyDescent="0.25">
      <c r="A351" s="648" t="s">
        <v>570</v>
      </c>
      <c r="B351" s="615"/>
      <c r="C351" s="615"/>
      <c r="D351" s="615"/>
      <c r="E351" s="615"/>
      <c r="F351" s="615"/>
      <c r="G351" s="615"/>
      <c r="H351" s="615"/>
      <c r="I351" s="615"/>
      <c r="J351" s="615"/>
      <c r="K351" s="615"/>
      <c r="L351" s="615"/>
      <c r="M351" s="615"/>
      <c r="N351" s="615"/>
      <c r="O351" s="615"/>
      <c r="P351" s="615"/>
      <c r="Q351" s="615"/>
      <c r="R351" s="615"/>
      <c r="S351" s="615"/>
      <c r="T351" s="615"/>
      <c r="U351" s="615"/>
      <c r="V351" s="615"/>
      <c r="W351" s="615"/>
      <c r="X351" s="615"/>
      <c r="Y351" s="615"/>
      <c r="Z351" s="615"/>
      <c r="AA351" s="600"/>
      <c r="AB351" s="600"/>
      <c r="AC351" s="600"/>
    </row>
    <row r="352" spans="1:68" ht="14.25" customHeight="1" x14ac:dyDescent="0.25">
      <c r="A352" s="614" t="s">
        <v>121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01"/>
      <c r="AB352" s="601"/>
      <c r="AC352" s="601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9"/>
      <c r="B358" s="615"/>
      <c r="C358" s="615"/>
      <c r="D358" s="615"/>
      <c r="E358" s="615"/>
      <c r="F358" s="615"/>
      <c r="G358" s="615"/>
      <c r="H358" s="615"/>
      <c r="I358" s="615"/>
      <c r="J358" s="615"/>
      <c r="K358" s="615"/>
      <c r="L358" s="615"/>
      <c r="M358" s="615"/>
      <c r="N358" s="615"/>
      <c r="O358" s="620"/>
      <c r="P358" s="622" t="s">
        <v>72</v>
      </c>
      <c r="Q358" s="623"/>
      <c r="R358" s="623"/>
      <c r="S358" s="623"/>
      <c r="T358" s="623"/>
      <c r="U358" s="623"/>
      <c r="V358" s="624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5"/>
      <c r="B359" s="615"/>
      <c r="C359" s="615"/>
      <c r="D359" s="615"/>
      <c r="E359" s="615"/>
      <c r="F359" s="615"/>
      <c r="G359" s="615"/>
      <c r="H359" s="615"/>
      <c r="I359" s="615"/>
      <c r="J359" s="615"/>
      <c r="K359" s="615"/>
      <c r="L359" s="615"/>
      <c r="M359" s="615"/>
      <c r="N359" s="615"/>
      <c r="O359" s="620"/>
      <c r="P359" s="622" t="s">
        <v>72</v>
      </c>
      <c r="Q359" s="623"/>
      <c r="R359" s="623"/>
      <c r="S359" s="623"/>
      <c r="T359" s="623"/>
      <c r="U359" s="623"/>
      <c r="V359" s="624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4" t="s">
        <v>62</v>
      </c>
      <c r="B360" s="615"/>
      <c r="C360" s="615"/>
      <c r="D360" s="615"/>
      <c r="E360" s="615"/>
      <c r="F360" s="615"/>
      <c r="G360" s="615"/>
      <c r="H360" s="615"/>
      <c r="I360" s="615"/>
      <c r="J360" s="615"/>
      <c r="K360" s="615"/>
      <c r="L360" s="615"/>
      <c r="M360" s="615"/>
      <c r="N360" s="615"/>
      <c r="O360" s="615"/>
      <c r="P360" s="615"/>
      <c r="Q360" s="615"/>
      <c r="R360" s="615"/>
      <c r="S360" s="615"/>
      <c r="T360" s="615"/>
      <c r="U360" s="615"/>
      <c r="V360" s="615"/>
      <c r="W360" s="615"/>
      <c r="X360" s="615"/>
      <c r="Y360" s="615"/>
      <c r="Z360" s="615"/>
      <c r="AA360" s="601"/>
      <c r="AB360" s="601"/>
      <c r="AC360" s="601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53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0</v>
      </c>
      <c r="BN362" s="64">
        <f t="shared" si="55"/>
        <v>0</v>
      </c>
      <c r="BO362" s="64">
        <f t="shared" si="56"/>
        <v>0</v>
      </c>
      <c r="BP362" s="64">
        <f t="shared" si="57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x14ac:dyDescent="0.2">
      <c r="A368" s="619"/>
      <c r="B368" s="615"/>
      <c r="C368" s="615"/>
      <c r="D368" s="615"/>
      <c r="E368" s="615"/>
      <c r="F368" s="615"/>
      <c r="G368" s="615"/>
      <c r="H368" s="615"/>
      <c r="I368" s="615"/>
      <c r="J368" s="615"/>
      <c r="K368" s="615"/>
      <c r="L368" s="615"/>
      <c r="M368" s="615"/>
      <c r="N368" s="615"/>
      <c r="O368" s="620"/>
      <c r="P368" s="622" t="s">
        <v>72</v>
      </c>
      <c r="Q368" s="623"/>
      <c r="R368" s="623"/>
      <c r="S368" s="623"/>
      <c r="T368" s="623"/>
      <c r="U368" s="623"/>
      <c r="V368" s="624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5"/>
      <c r="B369" s="615"/>
      <c r="C369" s="615"/>
      <c r="D369" s="615"/>
      <c r="E369" s="615"/>
      <c r="F369" s="615"/>
      <c r="G369" s="615"/>
      <c r="H369" s="615"/>
      <c r="I369" s="615"/>
      <c r="J369" s="615"/>
      <c r="K369" s="615"/>
      <c r="L369" s="615"/>
      <c r="M369" s="615"/>
      <c r="N369" s="615"/>
      <c r="O369" s="620"/>
      <c r="P369" s="622" t="s">
        <v>72</v>
      </c>
      <c r="Q369" s="623"/>
      <c r="R369" s="623"/>
      <c r="S369" s="623"/>
      <c r="T369" s="623"/>
      <c r="U369" s="623"/>
      <c r="V369" s="624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4" t="s">
        <v>74</v>
      </c>
      <c r="B370" s="615"/>
      <c r="C370" s="615"/>
      <c r="D370" s="615"/>
      <c r="E370" s="615"/>
      <c r="F370" s="615"/>
      <c r="G370" s="615"/>
      <c r="H370" s="615"/>
      <c r="I370" s="615"/>
      <c r="J370" s="615"/>
      <c r="K370" s="615"/>
      <c r="L370" s="615"/>
      <c r="M370" s="615"/>
      <c r="N370" s="615"/>
      <c r="O370" s="615"/>
      <c r="P370" s="615"/>
      <c r="Q370" s="615"/>
      <c r="R370" s="615"/>
      <c r="S370" s="615"/>
      <c r="T370" s="615"/>
      <c r="U370" s="615"/>
      <c r="V370" s="615"/>
      <c r="W370" s="615"/>
      <c r="X370" s="615"/>
      <c r="Y370" s="615"/>
      <c r="Z370" s="615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9"/>
      <c r="B375" s="615"/>
      <c r="C375" s="615"/>
      <c r="D375" s="615"/>
      <c r="E375" s="615"/>
      <c r="F375" s="615"/>
      <c r="G375" s="615"/>
      <c r="H375" s="615"/>
      <c r="I375" s="615"/>
      <c r="J375" s="615"/>
      <c r="K375" s="615"/>
      <c r="L375" s="615"/>
      <c r="M375" s="615"/>
      <c r="N375" s="615"/>
      <c r="O375" s="620"/>
      <c r="P375" s="622" t="s">
        <v>72</v>
      </c>
      <c r="Q375" s="623"/>
      <c r="R375" s="623"/>
      <c r="S375" s="623"/>
      <c r="T375" s="623"/>
      <c r="U375" s="623"/>
      <c r="V375" s="624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5"/>
      <c r="B376" s="615"/>
      <c r="C376" s="615"/>
      <c r="D376" s="615"/>
      <c r="E376" s="615"/>
      <c r="F376" s="615"/>
      <c r="G376" s="615"/>
      <c r="H376" s="615"/>
      <c r="I376" s="615"/>
      <c r="J376" s="615"/>
      <c r="K376" s="615"/>
      <c r="L376" s="615"/>
      <c r="M376" s="615"/>
      <c r="N376" s="615"/>
      <c r="O376" s="620"/>
      <c r="P376" s="622" t="s">
        <v>72</v>
      </c>
      <c r="Q376" s="623"/>
      <c r="R376" s="623"/>
      <c r="S376" s="623"/>
      <c r="T376" s="623"/>
      <c r="U376" s="623"/>
      <c r="V376" s="624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4" t="s">
        <v>173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01"/>
      <c r="AB377" s="601"/>
      <c r="AC377" s="601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2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50</v>
      </c>
      <c r="Y379" s="606">
        <f>IFERROR(IF(X379="",0,CEILING((X379/$H379),1)*$H379),"")</f>
        <v>54.6</v>
      </c>
      <c r="Z379" s="36">
        <f>IFERROR(IF(Y379=0,"",ROUNDUP(Y379/H379,0)*0.01898),"")</f>
        <v>0.13286000000000001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53.166666666666671</v>
      </c>
      <c r="BN379" s="64">
        <f>IFERROR(Y379*I379/H379,"0")</f>
        <v>58.058000000000007</v>
      </c>
      <c r="BO379" s="64">
        <f>IFERROR(1/J379*(X379/H379),"0")</f>
        <v>0.10016025641025642</v>
      </c>
      <c r="BP379" s="64">
        <f>IFERROR(1/J379*(Y379/H379),"0")</f>
        <v>0.109375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9"/>
      <c r="B381" s="615"/>
      <c r="C381" s="615"/>
      <c r="D381" s="615"/>
      <c r="E381" s="615"/>
      <c r="F381" s="615"/>
      <c r="G381" s="615"/>
      <c r="H381" s="615"/>
      <c r="I381" s="615"/>
      <c r="J381" s="615"/>
      <c r="K381" s="615"/>
      <c r="L381" s="615"/>
      <c r="M381" s="615"/>
      <c r="N381" s="615"/>
      <c r="O381" s="620"/>
      <c r="P381" s="622" t="s">
        <v>72</v>
      </c>
      <c r="Q381" s="623"/>
      <c r="R381" s="623"/>
      <c r="S381" s="623"/>
      <c r="T381" s="623"/>
      <c r="U381" s="623"/>
      <c r="V381" s="624"/>
      <c r="W381" s="37" t="s">
        <v>73</v>
      </c>
      <c r="X381" s="607">
        <f>IFERROR(X378/H378,"0")+IFERROR(X379/H379,"0")+IFERROR(X380/H380,"0")</f>
        <v>6.4102564102564106</v>
      </c>
      <c r="Y381" s="607">
        <f>IFERROR(Y378/H378,"0")+IFERROR(Y379/H379,"0")+IFERROR(Y380/H380,"0")</f>
        <v>7</v>
      </c>
      <c r="Z381" s="607">
        <f>IFERROR(IF(Z378="",0,Z378),"0")+IFERROR(IF(Z379="",0,Z379),"0")+IFERROR(IF(Z380="",0,Z380),"0")</f>
        <v>0.13286000000000001</v>
      </c>
      <c r="AA381" s="608"/>
      <c r="AB381" s="608"/>
      <c r="AC381" s="608"/>
    </row>
    <row r="382" spans="1:68" x14ac:dyDescent="0.2">
      <c r="A382" s="615"/>
      <c r="B382" s="615"/>
      <c r="C382" s="615"/>
      <c r="D382" s="615"/>
      <c r="E382" s="615"/>
      <c r="F382" s="615"/>
      <c r="G382" s="615"/>
      <c r="H382" s="615"/>
      <c r="I382" s="615"/>
      <c r="J382" s="615"/>
      <c r="K382" s="615"/>
      <c r="L382" s="615"/>
      <c r="M382" s="615"/>
      <c r="N382" s="615"/>
      <c r="O382" s="620"/>
      <c r="P382" s="622" t="s">
        <v>72</v>
      </c>
      <c r="Q382" s="623"/>
      <c r="R382" s="623"/>
      <c r="S382" s="623"/>
      <c r="T382" s="623"/>
      <c r="U382" s="623"/>
      <c r="V382" s="624"/>
      <c r="W382" s="37" t="s">
        <v>67</v>
      </c>
      <c r="X382" s="607">
        <f>IFERROR(SUM(X378:X380),"0")</f>
        <v>50</v>
      </c>
      <c r="Y382" s="607">
        <f>IFERROR(SUM(Y378:Y380),"0")</f>
        <v>54.6</v>
      </c>
      <c r="Z382" s="37"/>
      <c r="AA382" s="608"/>
      <c r="AB382" s="608"/>
      <c r="AC382" s="608"/>
    </row>
    <row r="383" spans="1:68" ht="14.25" customHeight="1" x14ac:dyDescent="0.25">
      <c r="A383" s="614" t="s">
        <v>95</v>
      </c>
      <c r="B383" s="615"/>
      <c r="C383" s="615"/>
      <c r="D383" s="615"/>
      <c r="E383" s="615"/>
      <c r="F383" s="615"/>
      <c r="G383" s="615"/>
      <c r="H383" s="615"/>
      <c r="I383" s="615"/>
      <c r="J383" s="615"/>
      <c r="K383" s="615"/>
      <c r="L383" s="615"/>
      <c r="M383" s="615"/>
      <c r="N383" s="615"/>
      <c r="O383" s="615"/>
      <c r="P383" s="615"/>
      <c r="Q383" s="615"/>
      <c r="R383" s="615"/>
      <c r="S383" s="615"/>
      <c r="T383" s="615"/>
      <c r="U383" s="615"/>
      <c r="V383" s="615"/>
      <c r="W383" s="615"/>
      <c r="X383" s="615"/>
      <c r="Y383" s="615"/>
      <c r="Z383" s="615"/>
      <c r="AA383" s="601"/>
      <c r="AB383" s="601"/>
      <c r="AC383" s="601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28</v>
      </c>
      <c r="Y384" s="606">
        <f>IFERROR(IF(X384="",0,CEILING((X384/$H384),1)*$H384),"")</f>
        <v>30.4</v>
      </c>
      <c r="Z384" s="36">
        <f>IFERROR(IF(Y384=0,"",ROUNDUP(Y384/H384,0)*0.00902),"")</f>
        <v>9.0200000000000002E-2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30.486842105263161</v>
      </c>
      <c r="BN384" s="64">
        <f>IFERROR(Y384*I384/H384,"0")</f>
        <v>33.1</v>
      </c>
      <c r="BO384" s="64">
        <f>IFERROR(1/J384*(X384/H384),"0")</f>
        <v>6.9776714513556631E-2</v>
      </c>
      <c r="BP384" s="64">
        <f>IFERROR(1/J384*(Y384/H384),"0")</f>
        <v>7.575757575757576E-2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9</v>
      </c>
      <c r="Y385" s="606">
        <f>IFERROR(IF(X385="",0,CEILING((X385/$H385),1)*$H385),"")</f>
        <v>9.120000000000001</v>
      </c>
      <c r="Z385" s="36">
        <f>IFERROR(IF(Y385=0,"",ROUNDUP(Y385/H385,0)*0.00902),"")</f>
        <v>2.7060000000000001E-2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9.6809210526315788</v>
      </c>
      <c r="BN385" s="64">
        <f>IFERROR(Y385*I385/H385,"0")</f>
        <v>9.81</v>
      </c>
      <c r="BO385" s="64">
        <f>IFERROR(1/J385*(X385/H385),"0")</f>
        <v>2.2428229665071769E-2</v>
      </c>
      <c r="BP385" s="64">
        <f>IFERROR(1/J385*(Y385/H385),"0")</f>
        <v>2.2727272727272731E-2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9"/>
      <c r="B388" s="615"/>
      <c r="C388" s="615"/>
      <c r="D388" s="615"/>
      <c r="E388" s="615"/>
      <c r="F388" s="615"/>
      <c r="G388" s="615"/>
      <c r="H388" s="615"/>
      <c r="I388" s="615"/>
      <c r="J388" s="615"/>
      <c r="K388" s="615"/>
      <c r="L388" s="615"/>
      <c r="M388" s="615"/>
      <c r="N388" s="615"/>
      <c r="O388" s="620"/>
      <c r="P388" s="622" t="s">
        <v>72</v>
      </c>
      <c r="Q388" s="623"/>
      <c r="R388" s="623"/>
      <c r="S388" s="623"/>
      <c r="T388" s="623"/>
      <c r="U388" s="623"/>
      <c r="V388" s="624"/>
      <c r="W388" s="37" t="s">
        <v>73</v>
      </c>
      <c r="X388" s="607">
        <f>IFERROR(X384/H384,"0")+IFERROR(X385/H385,"0")+IFERROR(X386/H386,"0")+IFERROR(X387/H387,"0")</f>
        <v>12.171052631578949</v>
      </c>
      <c r="Y388" s="607">
        <f>IFERROR(Y384/H384,"0")+IFERROR(Y385/H385,"0")+IFERROR(Y386/H386,"0")+IFERROR(Y387/H387,"0")</f>
        <v>13</v>
      </c>
      <c r="Z388" s="607">
        <f>IFERROR(IF(Z384="",0,Z384),"0")+IFERROR(IF(Z385="",0,Z385),"0")+IFERROR(IF(Z386="",0,Z386),"0")+IFERROR(IF(Z387="",0,Z387),"0")</f>
        <v>0.11726</v>
      </c>
      <c r="AA388" s="608"/>
      <c r="AB388" s="608"/>
      <c r="AC388" s="608"/>
    </row>
    <row r="389" spans="1:68" x14ac:dyDescent="0.2">
      <c r="A389" s="615"/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20"/>
      <c r="P389" s="622" t="s">
        <v>72</v>
      </c>
      <c r="Q389" s="623"/>
      <c r="R389" s="623"/>
      <c r="S389" s="623"/>
      <c r="T389" s="623"/>
      <c r="U389" s="623"/>
      <c r="V389" s="624"/>
      <c r="W389" s="37" t="s">
        <v>67</v>
      </c>
      <c r="X389" s="607">
        <f>IFERROR(SUM(X384:X387),"0")</f>
        <v>37</v>
      </c>
      <c r="Y389" s="607">
        <f>IFERROR(SUM(Y384:Y387),"0")</f>
        <v>39.519999999999996</v>
      </c>
      <c r="Z389" s="37"/>
      <c r="AA389" s="608"/>
      <c r="AB389" s="608"/>
      <c r="AC389" s="608"/>
    </row>
    <row r="390" spans="1:68" ht="14.25" customHeight="1" x14ac:dyDescent="0.25">
      <c r="A390" s="614" t="s">
        <v>633</v>
      </c>
      <c r="B390" s="615"/>
      <c r="C390" s="615"/>
      <c r="D390" s="615"/>
      <c r="E390" s="615"/>
      <c r="F390" s="615"/>
      <c r="G390" s="615"/>
      <c r="H390" s="615"/>
      <c r="I390" s="615"/>
      <c r="J390" s="615"/>
      <c r="K390" s="615"/>
      <c r="L390" s="615"/>
      <c r="M390" s="615"/>
      <c r="N390" s="615"/>
      <c r="O390" s="615"/>
      <c r="P390" s="615"/>
      <c r="Q390" s="615"/>
      <c r="R390" s="615"/>
      <c r="S390" s="615"/>
      <c r="T390" s="615"/>
      <c r="U390" s="615"/>
      <c r="V390" s="615"/>
      <c r="W390" s="615"/>
      <c r="X390" s="615"/>
      <c r="Y390" s="615"/>
      <c r="Z390" s="615"/>
      <c r="AA390" s="601"/>
      <c r="AB390" s="601"/>
      <c r="AC390" s="601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19"/>
      <c r="B394" s="615"/>
      <c r="C394" s="615"/>
      <c r="D394" s="615"/>
      <c r="E394" s="615"/>
      <c r="F394" s="615"/>
      <c r="G394" s="615"/>
      <c r="H394" s="615"/>
      <c r="I394" s="615"/>
      <c r="J394" s="615"/>
      <c r="K394" s="615"/>
      <c r="L394" s="615"/>
      <c r="M394" s="615"/>
      <c r="N394" s="615"/>
      <c r="O394" s="620"/>
      <c r="P394" s="622" t="s">
        <v>72</v>
      </c>
      <c r="Q394" s="623"/>
      <c r="R394" s="623"/>
      <c r="S394" s="623"/>
      <c r="T394" s="623"/>
      <c r="U394" s="623"/>
      <c r="V394" s="624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5"/>
      <c r="B395" s="615"/>
      <c r="C395" s="615"/>
      <c r="D395" s="615"/>
      <c r="E395" s="615"/>
      <c r="F395" s="615"/>
      <c r="G395" s="615"/>
      <c r="H395" s="615"/>
      <c r="I395" s="615"/>
      <c r="J395" s="615"/>
      <c r="K395" s="615"/>
      <c r="L395" s="615"/>
      <c r="M395" s="615"/>
      <c r="N395" s="615"/>
      <c r="O395" s="620"/>
      <c r="P395" s="622" t="s">
        <v>72</v>
      </c>
      <c r="Q395" s="623"/>
      <c r="R395" s="623"/>
      <c r="S395" s="623"/>
      <c r="T395" s="623"/>
      <c r="U395" s="623"/>
      <c r="V395" s="624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48" t="s">
        <v>642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00"/>
      <c r="AB396" s="600"/>
      <c r="AC396" s="600"/>
    </row>
    <row r="397" spans="1:68" ht="14.25" customHeight="1" x14ac:dyDescent="0.25">
      <c r="A397" s="614" t="s">
        <v>74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01"/>
      <c r="AB397" s="601"/>
      <c r="AC397" s="601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19"/>
      <c r="B401" s="615"/>
      <c r="C401" s="615"/>
      <c r="D401" s="615"/>
      <c r="E401" s="615"/>
      <c r="F401" s="615"/>
      <c r="G401" s="615"/>
      <c r="H401" s="615"/>
      <c r="I401" s="615"/>
      <c r="J401" s="615"/>
      <c r="K401" s="615"/>
      <c r="L401" s="615"/>
      <c r="M401" s="615"/>
      <c r="N401" s="615"/>
      <c r="O401" s="620"/>
      <c r="P401" s="622" t="s">
        <v>72</v>
      </c>
      <c r="Q401" s="623"/>
      <c r="R401" s="623"/>
      <c r="S401" s="623"/>
      <c r="T401" s="623"/>
      <c r="U401" s="623"/>
      <c r="V401" s="624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5"/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20"/>
      <c r="P402" s="622" t="s">
        <v>72</v>
      </c>
      <c r="Q402" s="623"/>
      <c r="R402" s="623"/>
      <c r="S402" s="623"/>
      <c r="T402" s="623"/>
      <c r="U402" s="623"/>
      <c r="V402" s="624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27" t="s">
        <v>652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48"/>
      <c r="AB403" s="48"/>
      <c r="AC403" s="48"/>
    </row>
    <row r="404" spans="1:68" ht="16.5" customHeight="1" x14ac:dyDescent="0.25">
      <c r="A404" s="648" t="s">
        <v>653</v>
      </c>
      <c r="B404" s="615"/>
      <c r="C404" s="615"/>
      <c r="D404" s="615"/>
      <c r="E404" s="615"/>
      <c r="F404" s="615"/>
      <c r="G404" s="615"/>
      <c r="H404" s="615"/>
      <c r="I404" s="615"/>
      <c r="J404" s="615"/>
      <c r="K404" s="615"/>
      <c r="L404" s="615"/>
      <c r="M404" s="615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615"/>
      <c r="Y404" s="615"/>
      <c r="Z404" s="615"/>
      <c r="AA404" s="600"/>
      <c r="AB404" s="600"/>
      <c r="AC404" s="600"/>
    </row>
    <row r="405" spans="1:68" ht="14.25" customHeight="1" x14ac:dyDescent="0.25">
      <c r="A405" s="614" t="s">
        <v>121</v>
      </c>
      <c r="B405" s="615"/>
      <c r="C405" s="615"/>
      <c r="D405" s="615"/>
      <c r="E405" s="615"/>
      <c r="F405" s="615"/>
      <c r="G405" s="615"/>
      <c r="H405" s="615"/>
      <c r="I405" s="615"/>
      <c r="J405" s="615"/>
      <c r="K405" s="615"/>
      <c r="L405" s="615"/>
      <c r="M405" s="615"/>
      <c r="N405" s="615"/>
      <c r="O405" s="615"/>
      <c r="P405" s="615"/>
      <c r="Q405" s="615"/>
      <c r="R405" s="615"/>
      <c r="S405" s="615"/>
      <c r="T405" s="615"/>
      <c r="U405" s="615"/>
      <c r="V405" s="615"/>
      <c r="W405" s="615"/>
      <c r="X405" s="615"/>
      <c r="Y405" s="615"/>
      <c r="Z405" s="615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13</v>
      </c>
      <c r="Y406" s="606">
        <f t="shared" ref="Y406:Y413" si="58">IFERROR(IF(X406="",0,CEILING((X406/$H406),1)*$H406),"")</f>
        <v>15</v>
      </c>
      <c r="Z406" s="36">
        <f>IFERROR(IF(Y406=0,"",ROUNDUP(Y406/H406,0)*0.02175),"")</f>
        <v>2.1749999999999999E-2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13.407333333333334</v>
      </c>
      <c r="BN406" s="64">
        <f t="shared" ref="BN406:BN413" si="60">IFERROR(Y406*I406/H406,"0")</f>
        <v>15.47</v>
      </c>
      <c r="BO406" s="64">
        <f t="shared" ref="BO406:BO413" si="61">IFERROR(1/J406*(X406/H406),"0")</f>
        <v>1.8055555555555554E-2</v>
      </c>
      <c r="BP406" s="64">
        <f t="shared" ref="BP406:BP413" si="62">IFERROR(1/J406*(Y406/H406),"0")</f>
        <v>2.0833333333333332E-2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873</v>
      </c>
      <c r="Y407" s="606">
        <f t="shared" si="58"/>
        <v>885</v>
      </c>
      <c r="Z407" s="36">
        <f>IFERROR(IF(Y407=0,"",ROUNDUP(Y407/H407,0)*0.02175),"")</f>
        <v>1.28325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900.35400000000004</v>
      </c>
      <c r="BN407" s="64">
        <f t="shared" si="60"/>
        <v>912.73</v>
      </c>
      <c r="BO407" s="64">
        <f t="shared" si="61"/>
        <v>1.2124999999999999</v>
      </c>
      <c r="BP407" s="64">
        <f t="shared" si="62"/>
        <v>1.2291666666666665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772</v>
      </c>
      <c r="Y408" s="606">
        <f t="shared" si="58"/>
        <v>780</v>
      </c>
      <c r="Z408" s="36">
        <f>IFERROR(IF(Y408=0,"",ROUNDUP(Y408/H408,0)*0.02175),"")</f>
        <v>1.131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796.18933333333337</v>
      </c>
      <c r="BN408" s="64">
        <f t="shared" si="60"/>
        <v>804.44</v>
      </c>
      <c r="BO408" s="64">
        <f t="shared" si="61"/>
        <v>1.0722222222222222</v>
      </c>
      <c r="BP408" s="64">
        <f t="shared" si="62"/>
        <v>1.0833333333333333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300</v>
      </c>
      <c r="Y409" s="606">
        <f t="shared" si="58"/>
        <v>300</v>
      </c>
      <c r="Z409" s="36">
        <f>IFERROR(IF(Y409=0,"",ROUNDUP(Y409/H409,0)*0.02175),"")</f>
        <v>0.43499999999999994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309.39999999999998</v>
      </c>
      <c r="BN409" s="64">
        <f t="shared" si="60"/>
        <v>309.39999999999998</v>
      </c>
      <c r="BO409" s="64">
        <f t="shared" si="61"/>
        <v>0.41666666666666663</v>
      </c>
      <c r="BP409" s="64">
        <f t="shared" si="62"/>
        <v>0.41666666666666663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9"/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20"/>
      <c r="P414" s="622" t="s">
        <v>72</v>
      </c>
      <c r="Q414" s="623"/>
      <c r="R414" s="623"/>
      <c r="S414" s="623"/>
      <c r="T414" s="623"/>
      <c r="U414" s="623"/>
      <c r="V414" s="624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130.53333333333333</v>
      </c>
      <c r="Y414" s="607">
        <f>IFERROR(Y406/H406,"0")+IFERROR(Y407/H407,"0")+IFERROR(Y408/H408,"0")+IFERROR(Y409/H409,"0")+IFERROR(Y410/H410,"0")+IFERROR(Y411/H411,"0")+IFERROR(Y412/H412,"0")+IFERROR(Y413/H413,"0")</f>
        <v>132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2.871</v>
      </c>
      <c r="AA414" s="608"/>
      <c r="AB414" s="608"/>
      <c r="AC414" s="608"/>
    </row>
    <row r="415" spans="1:68" x14ac:dyDescent="0.2">
      <c r="A415" s="615"/>
      <c r="B415" s="615"/>
      <c r="C415" s="615"/>
      <c r="D415" s="615"/>
      <c r="E415" s="615"/>
      <c r="F415" s="615"/>
      <c r="G415" s="615"/>
      <c r="H415" s="615"/>
      <c r="I415" s="615"/>
      <c r="J415" s="615"/>
      <c r="K415" s="615"/>
      <c r="L415" s="615"/>
      <c r="M415" s="615"/>
      <c r="N415" s="615"/>
      <c r="O415" s="620"/>
      <c r="P415" s="622" t="s">
        <v>72</v>
      </c>
      <c r="Q415" s="623"/>
      <c r="R415" s="623"/>
      <c r="S415" s="623"/>
      <c r="T415" s="623"/>
      <c r="U415" s="623"/>
      <c r="V415" s="624"/>
      <c r="W415" s="37" t="s">
        <v>67</v>
      </c>
      <c r="X415" s="607">
        <f>IFERROR(SUM(X406:X413),"0")</f>
        <v>1958</v>
      </c>
      <c r="Y415" s="607">
        <f>IFERROR(SUM(Y406:Y413),"0")</f>
        <v>1980</v>
      </c>
      <c r="Z415" s="37"/>
      <c r="AA415" s="608"/>
      <c r="AB415" s="608"/>
      <c r="AC415" s="608"/>
    </row>
    <row r="416" spans="1:68" ht="14.25" customHeight="1" x14ac:dyDescent="0.25">
      <c r="A416" s="614" t="s">
        <v>156</v>
      </c>
      <c r="B416" s="615"/>
      <c r="C416" s="615"/>
      <c r="D416" s="615"/>
      <c r="E416" s="615"/>
      <c r="F416" s="615"/>
      <c r="G416" s="615"/>
      <c r="H416" s="615"/>
      <c r="I416" s="615"/>
      <c r="J416" s="615"/>
      <c r="K416" s="615"/>
      <c r="L416" s="615"/>
      <c r="M416" s="615"/>
      <c r="N416" s="615"/>
      <c r="O416" s="615"/>
      <c r="P416" s="615"/>
      <c r="Q416" s="615"/>
      <c r="R416" s="615"/>
      <c r="S416" s="615"/>
      <c r="T416" s="615"/>
      <c r="U416" s="615"/>
      <c r="V416" s="615"/>
      <c r="W416" s="615"/>
      <c r="X416" s="615"/>
      <c r="Y416" s="615"/>
      <c r="Z416" s="615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7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9"/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20"/>
      <c r="P420" s="622" t="s">
        <v>72</v>
      </c>
      <c r="Q420" s="623"/>
      <c r="R420" s="623"/>
      <c r="S420" s="623"/>
      <c r="T420" s="623"/>
      <c r="U420" s="623"/>
      <c r="V420" s="624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x14ac:dyDescent="0.2">
      <c r="A421" s="615"/>
      <c r="B421" s="615"/>
      <c r="C421" s="615"/>
      <c r="D421" s="615"/>
      <c r="E421" s="615"/>
      <c r="F421" s="615"/>
      <c r="G421" s="615"/>
      <c r="H421" s="615"/>
      <c r="I421" s="615"/>
      <c r="J421" s="615"/>
      <c r="K421" s="615"/>
      <c r="L421" s="615"/>
      <c r="M421" s="615"/>
      <c r="N421" s="615"/>
      <c r="O421" s="620"/>
      <c r="P421" s="622" t="s">
        <v>72</v>
      </c>
      <c r="Q421" s="623"/>
      <c r="R421" s="623"/>
      <c r="S421" s="623"/>
      <c r="T421" s="623"/>
      <c r="U421" s="623"/>
      <c r="V421" s="624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customHeight="1" x14ac:dyDescent="0.25">
      <c r="A422" s="614" t="s">
        <v>74</v>
      </c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5"/>
      <c r="P422" s="615"/>
      <c r="Q422" s="615"/>
      <c r="R422" s="615"/>
      <c r="S422" s="615"/>
      <c r="T422" s="615"/>
      <c r="U422" s="615"/>
      <c r="V422" s="615"/>
      <c r="W422" s="615"/>
      <c r="X422" s="615"/>
      <c r="Y422" s="615"/>
      <c r="Z422" s="615"/>
      <c r="AA422" s="601"/>
      <c r="AB422" s="601"/>
      <c r="AC422" s="601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9"/>
      <c r="B425" s="615"/>
      <c r="C425" s="615"/>
      <c r="D425" s="615"/>
      <c r="E425" s="615"/>
      <c r="F425" s="615"/>
      <c r="G425" s="615"/>
      <c r="H425" s="615"/>
      <c r="I425" s="615"/>
      <c r="J425" s="615"/>
      <c r="K425" s="615"/>
      <c r="L425" s="615"/>
      <c r="M425" s="615"/>
      <c r="N425" s="615"/>
      <c r="O425" s="620"/>
      <c r="P425" s="622" t="s">
        <v>72</v>
      </c>
      <c r="Q425" s="623"/>
      <c r="R425" s="623"/>
      <c r="S425" s="623"/>
      <c r="T425" s="623"/>
      <c r="U425" s="623"/>
      <c r="V425" s="624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20"/>
      <c r="P426" s="622" t="s">
        <v>72</v>
      </c>
      <c r="Q426" s="623"/>
      <c r="R426" s="623"/>
      <c r="S426" s="623"/>
      <c r="T426" s="623"/>
      <c r="U426" s="623"/>
      <c r="V426" s="624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4" t="s">
        <v>173</v>
      </c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5"/>
      <c r="P427" s="615"/>
      <c r="Q427" s="615"/>
      <c r="R427" s="615"/>
      <c r="S427" s="615"/>
      <c r="T427" s="615"/>
      <c r="U427" s="615"/>
      <c r="V427" s="615"/>
      <c r="W427" s="615"/>
      <c r="X427" s="615"/>
      <c r="Y427" s="615"/>
      <c r="Z427" s="615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171</v>
      </c>
      <c r="Y428" s="606">
        <f>IFERROR(IF(X428="",0,CEILING((X428/$H428),1)*$H428),"")</f>
        <v>171</v>
      </c>
      <c r="Z428" s="36">
        <f>IFERROR(IF(Y428=0,"",ROUNDUP(Y428/H428,0)*0.01898),"")</f>
        <v>0.36062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180.386</v>
      </c>
      <c r="BN428" s="64">
        <f>IFERROR(Y428*I428/H428,"0")</f>
        <v>180.386</v>
      </c>
      <c r="BO428" s="64">
        <f>IFERROR(1/J428*(X428/H428),"0")</f>
        <v>0.296875</v>
      </c>
      <c r="BP428" s="64">
        <f>IFERROR(1/J428*(Y428/H428),"0")</f>
        <v>0.296875</v>
      </c>
    </row>
    <row r="429" spans="1:68" x14ac:dyDescent="0.2">
      <c r="A429" s="619"/>
      <c r="B429" s="615"/>
      <c r="C429" s="615"/>
      <c r="D429" s="615"/>
      <c r="E429" s="615"/>
      <c r="F429" s="615"/>
      <c r="G429" s="615"/>
      <c r="H429" s="615"/>
      <c r="I429" s="615"/>
      <c r="J429" s="615"/>
      <c r="K429" s="615"/>
      <c r="L429" s="615"/>
      <c r="M429" s="615"/>
      <c r="N429" s="615"/>
      <c r="O429" s="620"/>
      <c r="P429" s="622" t="s">
        <v>72</v>
      </c>
      <c r="Q429" s="623"/>
      <c r="R429" s="623"/>
      <c r="S429" s="623"/>
      <c r="T429" s="623"/>
      <c r="U429" s="623"/>
      <c r="V429" s="624"/>
      <c r="W429" s="37" t="s">
        <v>73</v>
      </c>
      <c r="X429" s="607">
        <f>IFERROR(X428/H428,"0")</f>
        <v>19</v>
      </c>
      <c r="Y429" s="607">
        <f>IFERROR(Y428/H428,"0")</f>
        <v>19</v>
      </c>
      <c r="Z429" s="607">
        <f>IFERROR(IF(Z428="",0,Z428),"0")</f>
        <v>0.36062</v>
      </c>
      <c r="AA429" s="608"/>
      <c r="AB429" s="608"/>
      <c r="AC429" s="608"/>
    </row>
    <row r="430" spans="1:68" x14ac:dyDescent="0.2">
      <c r="A430" s="615"/>
      <c r="B430" s="615"/>
      <c r="C430" s="615"/>
      <c r="D430" s="615"/>
      <c r="E430" s="615"/>
      <c r="F430" s="615"/>
      <c r="G430" s="615"/>
      <c r="H430" s="615"/>
      <c r="I430" s="615"/>
      <c r="J430" s="615"/>
      <c r="K430" s="615"/>
      <c r="L430" s="615"/>
      <c r="M430" s="615"/>
      <c r="N430" s="615"/>
      <c r="O430" s="620"/>
      <c r="P430" s="622" t="s">
        <v>72</v>
      </c>
      <c r="Q430" s="623"/>
      <c r="R430" s="623"/>
      <c r="S430" s="623"/>
      <c r="T430" s="623"/>
      <c r="U430" s="623"/>
      <c r="V430" s="624"/>
      <c r="W430" s="37" t="s">
        <v>67</v>
      </c>
      <c r="X430" s="607">
        <f>IFERROR(SUM(X428:X428),"0")</f>
        <v>171</v>
      </c>
      <c r="Y430" s="607">
        <f>IFERROR(SUM(Y428:Y428),"0")</f>
        <v>171</v>
      </c>
      <c r="Z430" s="37"/>
      <c r="AA430" s="608"/>
      <c r="AB430" s="608"/>
      <c r="AC430" s="608"/>
    </row>
    <row r="431" spans="1:68" ht="16.5" customHeight="1" x14ac:dyDescent="0.25">
      <c r="A431" s="648" t="s">
        <v>696</v>
      </c>
      <c r="B431" s="615"/>
      <c r="C431" s="615"/>
      <c r="D431" s="615"/>
      <c r="E431" s="615"/>
      <c r="F431" s="615"/>
      <c r="G431" s="615"/>
      <c r="H431" s="615"/>
      <c r="I431" s="615"/>
      <c r="J431" s="615"/>
      <c r="K431" s="615"/>
      <c r="L431" s="615"/>
      <c r="M431" s="615"/>
      <c r="N431" s="615"/>
      <c r="O431" s="615"/>
      <c r="P431" s="615"/>
      <c r="Q431" s="615"/>
      <c r="R431" s="615"/>
      <c r="S431" s="615"/>
      <c r="T431" s="615"/>
      <c r="U431" s="615"/>
      <c r="V431" s="615"/>
      <c r="W431" s="615"/>
      <c r="X431" s="615"/>
      <c r="Y431" s="615"/>
      <c r="Z431" s="615"/>
      <c r="AA431" s="600"/>
      <c r="AB431" s="600"/>
      <c r="AC431" s="600"/>
    </row>
    <row r="432" spans="1:68" ht="14.25" customHeight="1" x14ac:dyDescent="0.25">
      <c r="A432" s="614" t="s">
        <v>121</v>
      </c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5"/>
      <c r="P432" s="615"/>
      <c r="Q432" s="615"/>
      <c r="R432" s="615"/>
      <c r="S432" s="615"/>
      <c r="T432" s="615"/>
      <c r="U432" s="615"/>
      <c r="V432" s="615"/>
      <c r="W432" s="615"/>
      <c r="X432" s="615"/>
      <c r="Y432" s="615"/>
      <c r="Z432" s="615"/>
      <c r="AA432" s="601"/>
      <c r="AB432" s="601"/>
      <c r="AC432" s="601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9"/>
      <c r="B435" s="615"/>
      <c r="C435" s="615"/>
      <c r="D435" s="615"/>
      <c r="E435" s="615"/>
      <c r="F435" s="615"/>
      <c r="G435" s="615"/>
      <c r="H435" s="615"/>
      <c r="I435" s="615"/>
      <c r="J435" s="615"/>
      <c r="K435" s="615"/>
      <c r="L435" s="615"/>
      <c r="M435" s="615"/>
      <c r="N435" s="615"/>
      <c r="O435" s="620"/>
      <c r="P435" s="622" t="s">
        <v>72</v>
      </c>
      <c r="Q435" s="623"/>
      <c r="R435" s="623"/>
      <c r="S435" s="623"/>
      <c r="T435" s="623"/>
      <c r="U435" s="623"/>
      <c r="V435" s="624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20"/>
      <c r="P436" s="622" t="s">
        <v>72</v>
      </c>
      <c r="Q436" s="623"/>
      <c r="R436" s="623"/>
      <c r="S436" s="623"/>
      <c r="T436" s="623"/>
      <c r="U436" s="623"/>
      <c r="V436" s="624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4" t="s">
        <v>62</v>
      </c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5"/>
      <c r="P437" s="615"/>
      <c r="Q437" s="615"/>
      <c r="R437" s="615"/>
      <c r="S437" s="615"/>
      <c r="T437" s="615"/>
      <c r="U437" s="615"/>
      <c r="V437" s="615"/>
      <c r="W437" s="615"/>
      <c r="X437" s="615"/>
      <c r="Y437" s="615"/>
      <c r="Z437" s="615"/>
      <c r="AA437" s="601"/>
      <c r="AB437" s="601"/>
      <c r="AC437" s="601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19"/>
      <c r="B439" s="615"/>
      <c r="C439" s="615"/>
      <c r="D439" s="615"/>
      <c r="E439" s="615"/>
      <c r="F439" s="615"/>
      <c r="G439" s="615"/>
      <c r="H439" s="615"/>
      <c r="I439" s="615"/>
      <c r="J439" s="615"/>
      <c r="K439" s="615"/>
      <c r="L439" s="615"/>
      <c r="M439" s="615"/>
      <c r="N439" s="615"/>
      <c r="O439" s="620"/>
      <c r="P439" s="622" t="s">
        <v>72</v>
      </c>
      <c r="Q439" s="623"/>
      <c r="R439" s="623"/>
      <c r="S439" s="623"/>
      <c r="T439" s="623"/>
      <c r="U439" s="623"/>
      <c r="V439" s="624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5"/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20"/>
      <c r="P440" s="622" t="s">
        <v>72</v>
      </c>
      <c r="Q440" s="623"/>
      <c r="R440" s="623"/>
      <c r="S440" s="623"/>
      <c r="T440" s="623"/>
      <c r="U440" s="623"/>
      <c r="V440" s="624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4" t="s">
        <v>74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595</v>
      </c>
      <c r="Y442" s="606">
        <f>IFERROR(IF(X442="",0,CEILING((X442/$H442),1)*$H442),"")</f>
        <v>603</v>
      </c>
      <c r="Z442" s="36">
        <f>IFERROR(IF(Y442=0,"",ROUNDUP(Y442/H442,0)*0.01898),"")</f>
        <v>1.27166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627.6588888888889</v>
      </c>
      <c r="BN442" s="64">
        <f>IFERROR(Y442*I442/H442,"0")</f>
        <v>636.09799999999996</v>
      </c>
      <c r="BO442" s="64">
        <f>IFERROR(1/J442*(X442/H442),"0")</f>
        <v>1.0329861111111112</v>
      </c>
      <c r="BP442" s="64">
        <f>IFERROR(1/J442*(Y442/H442),"0")</f>
        <v>1.046875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22</v>
      </c>
      <c r="Y443" s="606">
        <f>IFERROR(IF(X443="",0,CEILING((X443/$H443),1)*$H443),"")</f>
        <v>24</v>
      </c>
      <c r="Z443" s="36">
        <f>IFERROR(IF(Y443=0,"",ROUNDUP(Y443/H443,0)*0.00651),"")</f>
        <v>6.5100000000000005E-2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24.42</v>
      </c>
      <c r="BN443" s="64">
        <f>IFERROR(Y443*I443/H443,"0")</f>
        <v>26.640000000000004</v>
      </c>
      <c r="BO443" s="64">
        <f>IFERROR(1/J443*(X443/H443),"0")</f>
        <v>5.0366300366300375E-2</v>
      </c>
      <c r="BP443" s="64">
        <f>IFERROR(1/J443*(Y443/H443),"0")</f>
        <v>5.4945054945054951E-2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9"/>
      <c r="B445" s="615"/>
      <c r="C445" s="615"/>
      <c r="D445" s="615"/>
      <c r="E445" s="615"/>
      <c r="F445" s="615"/>
      <c r="G445" s="615"/>
      <c r="H445" s="615"/>
      <c r="I445" s="615"/>
      <c r="J445" s="615"/>
      <c r="K445" s="615"/>
      <c r="L445" s="615"/>
      <c r="M445" s="615"/>
      <c r="N445" s="615"/>
      <c r="O445" s="620"/>
      <c r="P445" s="622" t="s">
        <v>72</v>
      </c>
      <c r="Q445" s="623"/>
      <c r="R445" s="623"/>
      <c r="S445" s="623"/>
      <c r="T445" s="623"/>
      <c r="U445" s="623"/>
      <c r="V445" s="624"/>
      <c r="W445" s="37" t="s">
        <v>73</v>
      </c>
      <c r="X445" s="607">
        <f>IFERROR(X442/H442,"0")+IFERROR(X443/H443,"0")+IFERROR(X444/H444,"0")</f>
        <v>75.277777777777786</v>
      </c>
      <c r="Y445" s="607">
        <f>IFERROR(Y442/H442,"0")+IFERROR(Y443/H443,"0")+IFERROR(Y444/H444,"0")</f>
        <v>77</v>
      </c>
      <c r="Z445" s="607">
        <f>IFERROR(IF(Z442="",0,Z442),"0")+IFERROR(IF(Z443="",0,Z443),"0")+IFERROR(IF(Z444="",0,Z444),"0")</f>
        <v>1.3367599999999999</v>
      </c>
      <c r="AA445" s="608"/>
      <c r="AB445" s="608"/>
      <c r="AC445" s="608"/>
    </row>
    <row r="446" spans="1:68" x14ac:dyDescent="0.2">
      <c r="A446" s="615"/>
      <c r="B446" s="615"/>
      <c r="C446" s="615"/>
      <c r="D446" s="615"/>
      <c r="E446" s="615"/>
      <c r="F446" s="615"/>
      <c r="G446" s="615"/>
      <c r="H446" s="615"/>
      <c r="I446" s="615"/>
      <c r="J446" s="615"/>
      <c r="K446" s="615"/>
      <c r="L446" s="615"/>
      <c r="M446" s="615"/>
      <c r="N446" s="615"/>
      <c r="O446" s="620"/>
      <c r="P446" s="622" t="s">
        <v>72</v>
      </c>
      <c r="Q446" s="623"/>
      <c r="R446" s="623"/>
      <c r="S446" s="623"/>
      <c r="T446" s="623"/>
      <c r="U446" s="623"/>
      <c r="V446" s="624"/>
      <c r="W446" s="37" t="s">
        <v>67</v>
      </c>
      <c r="X446" s="607">
        <f>IFERROR(SUM(X442:X444),"0")</f>
        <v>617</v>
      </c>
      <c r="Y446" s="607">
        <f>IFERROR(SUM(Y442:Y444),"0")</f>
        <v>627</v>
      </c>
      <c r="Z446" s="37"/>
      <c r="AA446" s="608"/>
      <c r="AB446" s="608"/>
      <c r="AC446" s="608"/>
    </row>
    <row r="447" spans="1:68" ht="27.75" customHeight="1" x14ac:dyDescent="0.2">
      <c r="A447" s="627" t="s">
        <v>712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48"/>
      <c r="AB447" s="48"/>
      <c r="AC447" s="48"/>
    </row>
    <row r="448" spans="1:68" ht="16.5" customHeight="1" x14ac:dyDescent="0.25">
      <c r="A448" s="648" t="s">
        <v>713</v>
      </c>
      <c r="B448" s="615"/>
      <c r="C448" s="615"/>
      <c r="D448" s="615"/>
      <c r="E448" s="615"/>
      <c r="F448" s="615"/>
      <c r="G448" s="615"/>
      <c r="H448" s="615"/>
      <c r="I448" s="615"/>
      <c r="J448" s="615"/>
      <c r="K448" s="615"/>
      <c r="L448" s="615"/>
      <c r="M448" s="615"/>
      <c r="N448" s="615"/>
      <c r="O448" s="615"/>
      <c r="P448" s="615"/>
      <c r="Q448" s="615"/>
      <c r="R448" s="615"/>
      <c r="S448" s="615"/>
      <c r="T448" s="615"/>
      <c r="U448" s="615"/>
      <c r="V448" s="615"/>
      <c r="W448" s="615"/>
      <c r="X448" s="615"/>
      <c r="Y448" s="615"/>
      <c r="Z448" s="615"/>
      <c r="AA448" s="600"/>
      <c r="AB448" s="600"/>
      <c r="AC448" s="600"/>
    </row>
    <row r="449" spans="1:68" ht="14.25" customHeight="1" x14ac:dyDescent="0.25">
      <c r="A449" s="614" t="s">
        <v>62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01"/>
      <c r="AB449" s="601"/>
      <c r="AC449" s="601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x14ac:dyDescent="0.2">
      <c r="A456" s="619"/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20"/>
      <c r="P456" s="622" t="s">
        <v>72</v>
      </c>
      <c r="Q456" s="623"/>
      <c r="R456" s="623"/>
      <c r="S456" s="623"/>
      <c r="T456" s="623"/>
      <c r="U456" s="623"/>
      <c r="V456" s="624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5"/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20"/>
      <c r="P457" s="622" t="s">
        <v>72</v>
      </c>
      <c r="Q457" s="623"/>
      <c r="R457" s="623"/>
      <c r="S457" s="623"/>
      <c r="T457" s="623"/>
      <c r="U457" s="623"/>
      <c r="V457" s="624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4" t="s">
        <v>74</v>
      </c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5"/>
      <c r="P458" s="615"/>
      <c r="Q458" s="615"/>
      <c r="R458" s="615"/>
      <c r="S458" s="615"/>
      <c r="T458" s="615"/>
      <c r="U458" s="615"/>
      <c r="V458" s="615"/>
      <c r="W458" s="615"/>
      <c r="X458" s="615"/>
      <c r="Y458" s="615"/>
      <c r="Z458" s="615"/>
      <c r="AA458" s="601"/>
      <c r="AB458" s="601"/>
      <c r="AC458" s="601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19"/>
      <c r="B461" s="615"/>
      <c r="C461" s="615"/>
      <c r="D461" s="615"/>
      <c r="E461" s="615"/>
      <c r="F461" s="615"/>
      <c r="G461" s="615"/>
      <c r="H461" s="615"/>
      <c r="I461" s="615"/>
      <c r="J461" s="615"/>
      <c r="K461" s="615"/>
      <c r="L461" s="615"/>
      <c r="M461" s="615"/>
      <c r="N461" s="615"/>
      <c r="O461" s="620"/>
      <c r="P461" s="622" t="s">
        <v>72</v>
      </c>
      <c r="Q461" s="623"/>
      <c r="R461" s="623"/>
      <c r="S461" s="623"/>
      <c r="T461" s="623"/>
      <c r="U461" s="623"/>
      <c r="V461" s="624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5"/>
      <c r="B462" s="615"/>
      <c r="C462" s="615"/>
      <c r="D462" s="615"/>
      <c r="E462" s="615"/>
      <c r="F462" s="615"/>
      <c r="G462" s="615"/>
      <c r="H462" s="615"/>
      <c r="I462" s="615"/>
      <c r="J462" s="615"/>
      <c r="K462" s="615"/>
      <c r="L462" s="615"/>
      <c r="M462" s="615"/>
      <c r="N462" s="615"/>
      <c r="O462" s="620"/>
      <c r="P462" s="622" t="s">
        <v>72</v>
      </c>
      <c r="Q462" s="623"/>
      <c r="R462" s="623"/>
      <c r="S462" s="623"/>
      <c r="T462" s="623"/>
      <c r="U462" s="623"/>
      <c r="V462" s="624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48" t="s">
        <v>736</v>
      </c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5"/>
      <c r="P463" s="615"/>
      <c r="Q463" s="615"/>
      <c r="R463" s="615"/>
      <c r="S463" s="615"/>
      <c r="T463" s="615"/>
      <c r="U463" s="615"/>
      <c r="V463" s="615"/>
      <c r="W463" s="615"/>
      <c r="X463" s="615"/>
      <c r="Y463" s="615"/>
      <c r="Z463" s="615"/>
      <c r="AA463" s="600"/>
      <c r="AB463" s="600"/>
      <c r="AC463" s="600"/>
    </row>
    <row r="464" spans="1:68" ht="14.25" customHeight="1" x14ac:dyDescent="0.25">
      <c r="A464" s="614" t="s">
        <v>156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01"/>
      <c r="AB464" s="601"/>
      <c r="AC464" s="601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19"/>
      <c r="B466" s="615"/>
      <c r="C466" s="615"/>
      <c r="D466" s="615"/>
      <c r="E466" s="615"/>
      <c r="F466" s="615"/>
      <c r="G466" s="615"/>
      <c r="H466" s="615"/>
      <c r="I466" s="615"/>
      <c r="J466" s="615"/>
      <c r="K466" s="615"/>
      <c r="L466" s="615"/>
      <c r="M466" s="615"/>
      <c r="N466" s="615"/>
      <c r="O466" s="620"/>
      <c r="P466" s="622" t="s">
        <v>72</v>
      </c>
      <c r="Q466" s="623"/>
      <c r="R466" s="623"/>
      <c r="S466" s="623"/>
      <c r="T466" s="623"/>
      <c r="U466" s="623"/>
      <c r="V466" s="624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5"/>
      <c r="B467" s="615"/>
      <c r="C467" s="615"/>
      <c r="D467" s="615"/>
      <c r="E467" s="615"/>
      <c r="F467" s="615"/>
      <c r="G467" s="615"/>
      <c r="H467" s="615"/>
      <c r="I467" s="615"/>
      <c r="J467" s="615"/>
      <c r="K467" s="615"/>
      <c r="L467" s="615"/>
      <c r="M467" s="615"/>
      <c r="N467" s="615"/>
      <c r="O467" s="620"/>
      <c r="P467" s="622" t="s">
        <v>72</v>
      </c>
      <c r="Q467" s="623"/>
      <c r="R467" s="623"/>
      <c r="S467" s="623"/>
      <c r="T467" s="623"/>
      <c r="U467" s="623"/>
      <c r="V467" s="624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4" t="s">
        <v>62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01"/>
      <c r="AB468" s="601"/>
      <c r="AC468" s="601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42</v>
      </c>
      <c r="Y469" s="606">
        <f>IFERROR(IF(X469="",0,CEILING((X469/$H469),1)*$H469),"")</f>
        <v>43.2</v>
      </c>
      <c r="Z469" s="36">
        <f>IFERROR(IF(Y469=0,"",ROUNDUP(Y469/H469,0)*0.00902),"")</f>
        <v>7.2160000000000002E-2</v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43.477777777777774</v>
      </c>
      <c r="BN469" s="64">
        <f>IFERROR(Y469*I469/H469,"0")</f>
        <v>44.72</v>
      </c>
      <c r="BO469" s="64">
        <f>IFERROR(1/J469*(X469/H469),"0")</f>
        <v>5.8922558922558925E-2</v>
      </c>
      <c r="BP469" s="64">
        <f>IFERROR(1/J469*(Y469/H469),"0")</f>
        <v>6.0606060606060608E-2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9"/>
      <c r="B472" s="615"/>
      <c r="C472" s="615"/>
      <c r="D472" s="615"/>
      <c r="E472" s="615"/>
      <c r="F472" s="615"/>
      <c r="G472" s="615"/>
      <c r="H472" s="615"/>
      <c r="I472" s="615"/>
      <c r="J472" s="615"/>
      <c r="K472" s="615"/>
      <c r="L472" s="615"/>
      <c r="M472" s="615"/>
      <c r="N472" s="615"/>
      <c r="O472" s="620"/>
      <c r="P472" s="622" t="s">
        <v>72</v>
      </c>
      <c r="Q472" s="623"/>
      <c r="R472" s="623"/>
      <c r="S472" s="623"/>
      <c r="T472" s="623"/>
      <c r="U472" s="623"/>
      <c r="V472" s="624"/>
      <c r="W472" s="37" t="s">
        <v>73</v>
      </c>
      <c r="X472" s="607">
        <f>IFERROR(X469/H469,"0")+IFERROR(X470/H470,"0")+IFERROR(X471/H471,"0")</f>
        <v>7.7777777777777777</v>
      </c>
      <c r="Y472" s="607">
        <f>IFERROR(Y469/H469,"0")+IFERROR(Y470/H470,"0")+IFERROR(Y471/H471,"0")</f>
        <v>8</v>
      </c>
      <c r="Z472" s="607">
        <f>IFERROR(IF(Z469="",0,Z469),"0")+IFERROR(IF(Z470="",0,Z470),"0")+IFERROR(IF(Z471="",0,Z471),"0")</f>
        <v>7.2160000000000002E-2</v>
      </c>
      <c r="AA472" s="608"/>
      <c r="AB472" s="608"/>
      <c r="AC472" s="608"/>
    </row>
    <row r="473" spans="1:68" x14ac:dyDescent="0.2">
      <c r="A473" s="615"/>
      <c r="B473" s="615"/>
      <c r="C473" s="615"/>
      <c r="D473" s="615"/>
      <c r="E473" s="615"/>
      <c r="F473" s="615"/>
      <c r="G473" s="615"/>
      <c r="H473" s="615"/>
      <c r="I473" s="615"/>
      <c r="J473" s="615"/>
      <c r="K473" s="615"/>
      <c r="L473" s="615"/>
      <c r="M473" s="615"/>
      <c r="N473" s="615"/>
      <c r="O473" s="620"/>
      <c r="P473" s="622" t="s">
        <v>72</v>
      </c>
      <c r="Q473" s="623"/>
      <c r="R473" s="623"/>
      <c r="S473" s="623"/>
      <c r="T473" s="623"/>
      <c r="U473" s="623"/>
      <c r="V473" s="624"/>
      <c r="W473" s="37" t="s">
        <v>67</v>
      </c>
      <c r="X473" s="607">
        <f>IFERROR(SUM(X469:X471),"0")</f>
        <v>42</v>
      </c>
      <c r="Y473" s="607">
        <f>IFERROR(SUM(Y469:Y471),"0")</f>
        <v>43.2</v>
      </c>
      <c r="Z473" s="37"/>
      <c r="AA473" s="608"/>
      <c r="AB473" s="608"/>
      <c r="AC473" s="608"/>
    </row>
    <row r="474" spans="1:68" ht="27.75" customHeight="1" x14ac:dyDescent="0.2">
      <c r="A474" s="627" t="s">
        <v>748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48"/>
      <c r="AB474" s="48"/>
      <c r="AC474" s="48"/>
    </row>
    <row r="475" spans="1:68" ht="16.5" customHeight="1" x14ac:dyDescent="0.25">
      <c r="A475" s="648" t="s">
        <v>748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00"/>
      <c r="AB475" s="600"/>
      <c r="AC475" s="600"/>
    </row>
    <row r="476" spans="1:68" ht="14.25" customHeight="1" x14ac:dyDescent="0.25">
      <c r="A476" s="614" t="s">
        <v>121</v>
      </c>
      <c r="B476" s="615"/>
      <c r="C476" s="615"/>
      <c r="D476" s="615"/>
      <c r="E476" s="615"/>
      <c r="F476" s="615"/>
      <c r="G476" s="615"/>
      <c r="H476" s="615"/>
      <c r="I476" s="615"/>
      <c r="J476" s="615"/>
      <c r="K476" s="615"/>
      <c r="L476" s="615"/>
      <c r="M476" s="615"/>
      <c r="N476" s="615"/>
      <c r="O476" s="615"/>
      <c r="P476" s="615"/>
      <c r="Q476" s="615"/>
      <c r="R476" s="615"/>
      <c r="S476" s="615"/>
      <c r="T476" s="615"/>
      <c r="U476" s="615"/>
      <c r="V476" s="615"/>
      <c r="W476" s="615"/>
      <c r="X476" s="615"/>
      <c r="Y476" s="615"/>
      <c r="Z476" s="615"/>
      <c r="AA476" s="601"/>
      <c r="AB476" s="601"/>
      <c r="AC476" s="601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customHeight="1" x14ac:dyDescent="0.25">
      <c r="A478" s="54" t="s">
        <v>751</v>
      </c>
      <c r="B478" s="54" t="s">
        <v>752</v>
      </c>
      <c r="C478" s="31">
        <v>4301012210</v>
      </c>
      <c r="D478" s="609">
        <v>4607091383522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7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7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0</v>
      </c>
      <c r="Y482" s="606">
        <f t="shared" si="68"/>
        <v>0</v>
      </c>
      <c r="Z482" s="36" t="str">
        <f t="shared" si="69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18</v>
      </c>
      <c r="Y484" s="606">
        <f t="shared" si="68"/>
        <v>19.2</v>
      </c>
      <c r="Z484" s="36">
        <f>IFERROR(IF(Y484=0,"",ROUNDUP(Y484/H484,0)*0.00902),"")</f>
        <v>3.6080000000000001E-2</v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25.912500000000001</v>
      </c>
      <c r="BN484" s="64">
        <f t="shared" si="71"/>
        <v>27.64</v>
      </c>
      <c r="BO484" s="64">
        <f t="shared" si="72"/>
        <v>2.8409090909090912E-2</v>
      </c>
      <c r="BP484" s="64">
        <f t="shared" si="73"/>
        <v>3.0303030303030304E-2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9"/>
      <c r="B486" s="615"/>
      <c r="C486" s="615"/>
      <c r="D486" s="615"/>
      <c r="E486" s="615"/>
      <c r="F486" s="615"/>
      <c r="G486" s="615"/>
      <c r="H486" s="615"/>
      <c r="I486" s="615"/>
      <c r="J486" s="615"/>
      <c r="K486" s="615"/>
      <c r="L486" s="615"/>
      <c r="M486" s="615"/>
      <c r="N486" s="615"/>
      <c r="O486" s="620"/>
      <c r="P486" s="622" t="s">
        <v>72</v>
      </c>
      <c r="Q486" s="623"/>
      <c r="R486" s="623"/>
      <c r="S486" s="623"/>
      <c r="T486" s="623"/>
      <c r="U486" s="623"/>
      <c r="V486" s="624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3.75</v>
      </c>
      <c r="Y486" s="607">
        <f>IFERROR(Y477/H477,"0")+IFERROR(Y478/H478,"0")+IFERROR(Y479/H479,"0")+IFERROR(Y480/H480,"0")+IFERROR(Y481/H481,"0")+IFERROR(Y482/H482,"0")+IFERROR(Y483/H483,"0")+IFERROR(Y484/H484,"0")+IFERROR(Y485/H485,"0")</f>
        <v>4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3.6080000000000001E-2</v>
      </c>
      <c r="AA486" s="608"/>
      <c r="AB486" s="608"/>
      <c r="AC486" s="608"/>
    </row>
    <row r="487" spans="1:68" x14ac:dyDescent="0.2">
      <c r="A487" s="615"/>
      <c r="B487" s="615"/>
      <c r="C487" s="615"/>
      <c r="D487" s="615"/>
      <c r="E487" s="615"/>
      <c r="F487" s="615"/>
      <c r="G487" s="615"/>
      <c r="H487" s="615"/>
      <c r="I487" s="615"/>
      <c r="J487" s="615"/>
      <c r="K487" s="615"/>
      <c r="L487" s="615"/>
      <c r="M487" s="615"/>
      <c r="N487" s="615"/>
      <c r="O487" s="620"/>
      <c r="P487" s="622" t="s">
        <v>72</v>
      </c>
      <c r="Q487" s="623"/>
      <c r="R487" s="623"/>
      <c r="S487" s="623"/>
      <c r="T487" s="623"/>
      <c r="U487" s="623"/>
      <c r="V487" s="624"/>
      <c r="W487" s="37" t="s">
        <v>67</v>
      </c>
      <c r="X487" s="607">
        <f>IFERROR(SUM(X477:X485),"0")</f>
        <v>18</v>
      </c>
      <c r="Y487" s="607">
        <f>IFERROR(SUM(Y477:Y485),"0")</f>
        <v>19.2</v>
      </c>
      <c r="Z487" s="37"/>
      <c r="AA487" s="608"/>
      <c r="AB487" s="608"/>
      <c r="AC487" s="608"/>
    </row>
    <row r="488" spans="1:68" ht="14.25" customHeight="1" x14ac:dyDescent="0.25">
      <c r="A488" s="614" t="s">
        <v>156</v>
      </c>
      <c r="B488" s="615"/>
      <c r="C488" s="615"/>
      <c r="D488" s="615"/>
      <c r="E488" s="615"/>
      <c r="F488" s="615"/>
      <c r="G488" s="615"/>
      <c r="H488" s="615"/>
      <c r="I488" s="615"/>
      <c r="J488" s="615"/>
      <c r="K488" s="615"/>
      <c r="L488" s="615"/>
      <c r="M488" s="615"/>
      <c r="N488" s="615"/>
      <c r="O488" s="615"/>
      <c r="P488" s="615"/>
      <c r="Q488" s="615"/>
      <c r="R488" s="615"/>
      <c r="S488" s="615"/>
      <c r="T488" s="615"/>
      <c r="U488" s="615"/>
      <c r="V488" s="615"/>
      <c r="W488" s="615"/>
      <c r="X488" s="615"/>
      <c r="Y488" s="615"/>
      <c r="Z488" s="615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9"/>
      <c r="B492" s="615"/>
      <c r="C492" s="615"/>
      <c r="D492" s="615"/>
      <c r="E492" s="615"/>
      <c r="F492" s="615"/>
      <c r="G492" s="615"/>
      <c r="H492" s="615"/>
      <c r="I492" s="615"/>
      <c r="J492" s="615"/>
      <c r="K492" s="615"/>
      <c r="L492" s="615"/>
      <c r="M492" s="615"/>
      <c r="N492" s="615"/>
      <c r="O492" s="620"/>
      <c r="P492" s="622" t="s">
        <v>72</v>
      </c>
      <c r="Q492" s="623"/>
      <c r="R492" s="623"/>
      <c r="S492" s="623"/>
      <c r="T492" s="623"/>
      <c r="U492" s="623"/>
      <c r="V492" s="624"/>
      <c r="W492" s="37" t="s">
        <v>73</v>
      </c>
      <c r="X492" s="607">
        <f>IFERROR(X489/H489,"0")+IFERROR(X490/H490,"0")+IFERROR(X491/H491,"0")</f>
        <v>0</v>
      </c>
      <c r="Y492" s="607">
        <f>IFERROR(Y489/H489,"0")+IFERROR(Y490/H490,"0")+IFERROR(Y491/H491,"0")</f>
        <v>0</v>
      </c>
      <c r="Z492" s="607">
        <f>IFERROR(IF(Z489="",0,Z489),"0")+IFERROR(IF(Z490="",0,Z490),"0")+IFERROR(IF(Z491="",0,Z491),"0")</f>
        <v>0</v>
      </c>
      <c r="AA492" s="608"/>
      <c r="AB492" s="608"/>
      <c r="AC492" s="608"/>
    </row>
    <row r="493" spans="1:68" x14ac:dyDescent="0.2">
      <c r="A493" s="615"/>
      <c r="B493" s="615"/>
      <c r="C493" s="615"/>
      <c r="D493" s="615"/>
      <c r="E493" s="615"/>
      <c r="F493" s="615"/>
      <c r="G493" s="615"/>
      <c r="H493" s="615"/>
      <c r="I493" s="615"/>
      <c r="J493" s="615"/>
      <c r="K493" s="615"/>
      <c r="L493" s="615"/>
      <c r="M493" s="615"/>
      <c r="N493" s="615"/>
      <c r="O493" s="620"/>
      <c r="P493" s="622" t="s">
        <v>72</v>
      </c>
      <c r="Q493" s="623"/>
      <c r="R493" s="623"/>
      <c r="S493" s="623"/>
      <c r="T493" s="623"/>
      <c r="U493" s="623"/>
      <c r="V493" s="624"/>
      <c r="W493" s="37" t="s">
        <v>67</v>
      </c>
      <c r="X493" s="607">
        <f>IFERROR(SUM(X489:X491),"0")</f>
        <v>0</v>
      </c>
      <c r="Y493" s="607">
        <f>IFERROR(SUM(Y489:Y491),"0")</f>
        <v>0</v>
      </c>
      <c r="Z493" s="37"/>
      <c r="AA493" s="608"/>
      <c r="AB493" s="608"/>
      <c r="AC493" s="608"/>
    </row>
    <row r="494" spans="1:68" ht="14.25" customHeight="1" x14ac:dyDescent="0.25">
      <c r="A494" s="614" t="s">
        <v>62</v>
      </c>
      <c r="B494" s="615"/>
      <c r="C494" s="615"/>
      <c r="D494" s="615"/>
      <c r="E494" s="615"/>
      <c r="F494" s="615"/>
      <c r="G494" s="615"/>
      <c r="H494" s="615"/>
      <c r="I494" s="615"/>
      <c r="J494" s="615"/>
      <c r="K494" s="615"/>
      <c r="L494" s="615"/>
      <c r="M494" s="615"/>
      <c r="N494" s="615"/>
      <c r="O494" s="615"/>
      <c r="P494" s="615"/>
      <c r="Q494" s="615"/>
      <c r="R494" s="615"/>
      <c r="S494" s="615"/>
      <c r="T494" s="615"/>
      <c r="U494" s="615"/>
      <c r="V494" s="615"/>
      <c r="W494" s="615"/>
      <c r="X494" s="615"/>
      <c r="Y494" s="615"/>
      <c r="Z494" s="615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79</v>
      </c>
      <c r="Y495" s="606">
        <f t="shared" ref="Y495:Y501" si="74">IFERROR(IF(X495="",0,CEILING((X495/$H495),1)*$H495),"")</f>
        <v>79.2</v>
      </c>
      <c r="Z495" s="36">
        <f>IFERROR(IF(Y495=0,"",ROUNDUP(Y495/H495,0)*0.01196),"")</f>
        <v>0.1794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84.236742424242422</v>
      </c>
      <c r="BN495" s="64">
        <f t="shared" ref="BN495:BN501" si="76">IFERROR(Y495*I495/H495,"0")</f>
        <v>84.45</v>
      </c>
      <c r="BO495" s="64">
        <f t="shared" ref="BO495:BO501" si="77">IFERROR(1/J495*(X495/H495),"0")</f>
        <v>0.14386655011655011</v>
      </c>
      <c r="BP495" s="64">
        <f t="shared" ref="BP495:BP501" si="78">IFERROR(1/J495*(Y495/H495),"0")</f>
        <v>0.14423076923076925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74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9"/>
      <c r="B502" s="615"/>
      <c r="C502" s="615"/>
      <c r="D502" s="615"/>
      <c r="E502" s="615"/>
      <c r="F502" s="615"/>
      <c r="G502" s="615"/>
      <c r="H502" s="615"/>
      <c r="I502" s="615"/>
      <c r="J502" s="615"/>
      <c r="K502" s="615"/>
      <c r="L502" s="615"/>
      <c r="M502" s="615"/>
      <c r="N502" s="615"/>
      <c r="O502" s="620"/>
      <c r="P502" s="622" t="s">
        <v>72</v>
      </c>
      <c r="Q502" s="623"/>
      <c r="R502" s="623"/>
      <c r="S502" s="623"/>
      <c r="T502" s="623"/>
      <c r="U502" s="623"/>
      <c r="V502" s="624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14.962121212121211</v>
      </c>
      <c r="Y502" s="607">
        <f>IFERROR(Y495/H495,"0")+IFERROR(Y496/H496,"0")+IFERROR(Y497/H497,"0")+IFERROR(Y498/H498,"0")+IFERROR(Y499/H499,"0")+IFERROR(Y500/H500,"0")+IFERROR(Y501/H501,"0")</f>
        <v>15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0.1794</v>
      </c>
      <c r="AA502" s="608"/>
      <c r="AB502" s="608"/>
      <c r="AC502" s="608"/>
    </row>
    <row r="503" spans="1:68" x14ac:dyDescent="0.2">
      <c r="A503" s="615"/>
      <c r="B503" s="615"/>
      <c r="C503" s="615"/>
      <c r="D503" s="615"/>
      <c r="E503" s="615"/>
      <c r="F503" s="615"/>
      <c r="G503" s="615"/>
      <c r="H503" s="615"/>
      <c r="I503" s="615"/>
      <c r="J503" s="615"/>
      <c r="K503" s="615"/>
      <c r="L503" s="615"/>
      <c r="M503" s="615"/>
      <c r="N503" s="615"/>
      <c r="O503" s="620"/>
      <c r="P503" s="622" t="s">
        <v>72</v>
      </c>
      <c r="Q503" s="623"/>
      <c r="R503" s="623"/>
      <c r="S503" s="623"/>
      <c r="T503" s="623"/>
      <c r="U503" s="623"/>
      <c r="V503" s="624"/>
      <c r="W503" s="37" t="s">
        <v>67</v>
      </c>
      <c r="X503" s="607">
        <f>IFERROR(SUM(X495:X501),"0")</f>
        <v>79</v>
      </c>
      <c r="Y503" s="607">
        <f>IFERROR(SUM(Y495:Y501),"0")</f>
        <v>79.2</v>
      </c>
      <c r="Z503" s="37"/>
      <c r="AA503" s="608"/>
      <c r="AB503" s="608"/>
      <c r="AC503" s="608"/>
    </row>
    <row r="504" spans="1:68" ht="27.75" customHeight="1" x14ac:dyDescent="0.2">
      <c r="A504" s="627" t="s">
        <v>795</v>
      </c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48"/>
      <c r="AB504" s="48"/>
      <c r="AC504" s="48"/>
    </row>
    <row r="505" spans="1:68" ht="16.5" customHeight="1" x14ac:dyDescent="0.25">
      <c r="A505" s="648" t="s">
        <v>795</v>
      </c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5"/>
      <c r="P505" s="615"/>
      <c r="Q505" s="615"/>
      <c r="R505" s="615"/>
      <c r="S505" s="615"/>
      <c r="T505" s="615"/>
      <c r="U505" s="615"/>
      <c r="V505" s="615"/>
      <c r="W505" s="615"/>
      <c r="X505" s="615"/>
      <c r="Y505" s="615"/>
      <c r="Z505" s="615"/>
      <c r="AA505" s="600"/>
      <c r="AB505" s="600"/>
      <c r="AC505" s="600"/>
    </row>
    <row r="506" spans="1:68" ht="14.25" customHeight="1" x14ac:dyDescent="0.25">
      <c r="A506" s="614" t="s">
        <v>121</v>
      </c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5"/>
      <c r="P506" s="615"/>
      <c r="Q506" s="615"/>
      <c r="R506" s="615"/>
      <c r="S506" s="615"/>
      <c r="T506" s="615"/>
      <c r="U506" s="615"/>
      <c r="V506" s="615"/>
      <c r="W506" s="615"/>
      <c r="X506" s="615"/>
      <c r="Y506" s="615"/>
      <c r="Z506" s="615"/>
      <c r="AA506" s="601"/>
      <c r="AB506" s="601"/>
      <c r="AC506" s="601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9"/>
      <c r="B508" s="615"/>
      <c r="C508" s="615"/>
      <c r="D508" s="615"/>
      <c r="E508" s="615"/>
      <c r="F508" s="615"/>
      <c r="G508" s="615"/>
      <c r="H508" s="615"/>
      <c r="I508" s="615"/>
      <c r="J508" s="615"/>
      <c r="K508" s="615"/>
      <c r="L508" s="615"/>
      <c r="M508" s="615"/>
      <c r="N508" s="615"/>
      <c r="O508" s="620"/>
      <c r="P508" s="622" t="s">
        <v>72</v>
      </c>
      <c r="Q508" s="623"/>
      <c r="R508" s="623"/>
      <c r="S508" s="623"/>
      <c r="T508" s="623"/>
      <c r="U508" s="623"/>
      <c r="V508" s="624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20"/>
      <c r="P509" s="622" t="s">
        <v>72</v>
      </c>
      <c r="Q509" s="623"/>
      <c r="R509" s="623"/>
      <c r="S509" s="623"/>
      <c r="T509" s="623"/>
      <c r="U509" s="623"/>
      <c r="V509" s="624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4" t="s">
        <v>156</v>
      </c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5"/>
      <c r="P510" s="615"/>
      <c r="Q510" s="615"/>
      <c r="R510" s="615"/>
      <c r="S510" s="615"/>
      <c r="T510" s="615"/>
      <c r="U510" s="615"/>
      <c r="V510" s="615"/>
      <c r="W510" s="615"/>
      <c r="X510" s="615"/>
      <c r="Y510" s="615"/>
      <c r="Z510" s="615"/>
      <c r="AA510" s="601"/>
      <c r="AB510" s="601"/>
      <c r="AC510" s="601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7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19"/>
      <c r="B512" s="615"/>
      <c r="C512" s="615"/>
      <c r="D512" s="615"/>
      <c r="E512" s="615"/>
      <c r="F512" s="615"/>
      <c r="G512" s="615"/>
      <c r="H512" s="615"/>
      <c r="I512" s="615"/>
      <c r="J512" s="615"/>
      <c r="K512" s="615"/>
      <c r="L512" s="615"/>
      <c r="M512" s="615"/>
      <c r="N512" s="615"/>
      <c r="O512" s="620"/>
      <c r="P512" s="622" t="s">
        <v>72</v>
      </c>
      <c r="Q512" s="623"/>
      <c r="R512" s="623"/>
      <c r="S512" s="623"/>
      <c r="T512" s="623"/>
      <c r="U512" s="623"/>
      <c r="V512" s="624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5"/>
      <c r="B513" s="615"/>
      <c r="C513" s="615"/>
      <c r="D513" s="615"/>
      <c r="E513" s="615"/>
      <c r="F513" s="615"/>
      <c r="G513" s="615"/>
      <c r="H513" s="615"/>
      <c r="I513" s="615"/>
      <c r="J513" s="615"/>
      <c r="K513" s="615"/>
      <c r="L513" s="615"/>
      <c r="M513" s="615"/>
      <c r="N513" s="615"/>
      <c r="O513" s="620"/>
      <c r="P513" s="622" t="s">
        <v>72</v>
      </c>
      <c r="Q513" s="623"/>
      <c r="R513" s="623"/>
      <c r="S513" s="623"/>
      <c r="T513" s="623"/>
      <c r="U513" s="623"/>
      <c r="V513" s="624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4" t="s">
        <v>62</v>
      </c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5"/>
      <c r="P514" s="615"/>
      <c r="Q514" s="615"/>
      <c r="R514" s="615"/>
      <c r="S514" s="615"/>
      <c r="T514" s="615"/>
      <c r="U514" s="615"/>
      <c r="V514" s="615"/>
      <c r="W514" s="615"/>
      <c r="X514" s="615"/>
      <c r="Y514" s="615"/>
      <c r="Z514" s="615"/>
      <c r="AA514" s="601"/>
      <c r="AB514" s="601"/>
      <c r="AC514" s="601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9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9"/>
      <c r="B517" s="615"/>
      <c r="C517" s="615"/>
      <c r="D517" s="615"/>
      <c r="E517" s="615"/>
      <c r="F517" s="615"/>
      <c r="G517" s="615"/>
      <c r="H517" s="615"/>
      <c r="I517" s="615"/>
      <c r="J517" s="615"/>
      <c r="K517" s="615"/>
      <c r="L517" s="615"/>
      <c r="M517" s="615"/>
      <c r="N517" s="615"/>
      <c r="O517" s="620"/>
      <c r="P517" s="622" t="s">
        <v>72</v>
      </c>
      <c r="Q517" s="623"/>
      <c r="R517" s="623"/>
      <c r="S517" s="623"/>
      <c r="T517" s="623"/>
      <c r="U517" s="623"/>
      <c r="V517" s="624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20"/>
      <c r="P518" s="622" t="s">
        <v>72</v>
      </c>
      <c r="Q518" s="623"/>
      <c r="R518" s="623"/>
      <c r="S518" s="623"/>
      <c r="T518" s="623"/>
      <c r="U518" s="623"/>
      <c r="V518" s="624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4" t="s">
        <v>74</v>
      </c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5"/>
      <c r="P519" s="615"/>
      <c r="Q519" s="615"/>
      <c r="R519" s="615"/>
      <c r="S519" s="615"/>
      <c r="T519" s="615"/>
      <c r="U519" s="615"/>
      <c r="V519" s="615"/>
      <c r="W519" s="615"/>
      <c r="X519" s="615"/>
      <c r="Y519" s="615"/>
      <c r="Z519" s="615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33</v>
      </c>
      <c r="Y520" s="606">
        <f>IFERROR(IF(X520="",0,CEILING((X520/$H520),1)*$H520),"")</f>
        <v>36</v>
      </c>
      <c r="Z520" s="36">
        <f>IFERROR(IF(Y520=0,"",ROUNDUP(Y520/H520,0)*0.01898),"")</f>
        <v>7.5920000000000001E-2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34.811333333333337</v>
      </c>
      <c r="BN520" s="64">
        <f>IFERROR(Y520*I520/H520,"0")</f>
        <v>37.975999999999999</v>
      </c>
      <c r="BO520" s="64">
        <f>IFERROR(1/J520*(X520/H520),"0")</f>
        <v>5.7291666666666664E-2</v>
      </c>
      <c r="BP520" s="64">
        <f>IFERROR(1/J520*(Y520/H520),"0")</f>
        <v>6.25E-2</v>
      </c>
    </row>
    <row r="521" spans="1:68" x14ac:dyDescent="0.2">
      <c r="A521" s="619"/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20"/>
      <c r="P521" s="622" t="s">
        <v>72</v>
      </c>
      <c r="Q521" s="623"/>
      <c r="R521" s="623"/>
      <c r="S521" s="623"/>
      <c r="T521" s="623"/>
      <c r="U521" s="623"/>
      <c r="V521" s="624"/>
      <c r="W521" s="37" t="s">
        <v>73</v>
      </c>
      <c r="X521" s="607">
        <f>IFERROR(X520/H520,"0")</f>
        <v>3.6666666666666665</v>
      </c>
      <c r="Y521" s="607">
        <f>IFERROR(Y520/H520,"0")</f>
        <v>4</v>
      </c>
      <c r="Z521" s="607">
        <f>IFERROR(IF(Z520="",0,Z520),"0")</f>
        <v>7.5920000000000001E-2</v>
      </c>
      <c r="AA521" s="608"/>
      <c r="AB521" s="608"/>
      <c r="AC521" s="608"/>
    </row>
    <row r="522" spans="1:68" x14ac:dyDescent="0.2">
      <c r="A522" s="615"/>
      <c r="B522" s="615"/>
      <c r="C522" s="615"/>
      <c r="D522" s="615"/>
      <c r="E522" s="615"/>
      <c r="F522" s="615"/>
      <c r="G522" s="615"/>
      <c r="H522" s="615"/>
      <c r="I522" s="615"/>
      <c r="J522" s="615"/>
      <c r="K522" s="615"/>
      <c r="L522" s="615"/>
      <c r="M522" s="615"/>
      <c r="N522" s="615"/>
      <c r="O522" s="620"/>
      <c r="P522" s="622" t="s">
        <v>72</v>
      </c>
      <c r="Q522" s="623"/>
      <c r="R522" s="623"/>
      <c r="S522" s="623"/>
      <c r="T522" s="623"/>
      <c r="U522" s="623"/>
      <c r="V522" s="624"/>
      <c r="W522" s="37" t="s">
        <v>67</v>
      </c>
      <c r="X522" s="607">
        <f>IFERROR(SUM(X520:X520),"0")</f>
        <v>33</v>
      </c>
      <c r="Y522" s="607">
        <f>IFERROR(SUM(Y520:Y520),"0")</f>
        <v>36</v>
      </c>
      <c r="Z522" s="37"/>
      <c r="AA522" s="608"/>
      <c r="AB522" s="608"/>
      <c r="AC522" s="608"/>
    </row>
    <row r="523" spans="1:68" ht="14.25" customHeight="1" x14ac:dyDescent="0.25">
      <c r="A523" s="614" t="s">
        <v>173</v>
      </c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5"/>
      <c r="P523" s="615"/>
      <c r="Q523" s="615"/>
      <c r="R523" s="615"/>
      <c r="S523" s="615"/>
      <c r="T523" s="615"/>
      <c r="U523" s="615"/>
      <c r="V523" s="615"/>
      <c r="W523" s="615"/>
      <c r="X523" s="615"/>
      <c r="Y523" s="615"/>
      <c r="Z523" s="615"/>
      <c r="AA523" s="601"/>
      <c r="AB523" s="601"/>
      <c r="AC523" s="601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19"/>
      <c r="B526" s="615"/>
      <c r="C526" s="615"/>
      <c r="D526" s="615"/>
      <c r="E526" s="615"/>
      <c r="F526" s="615"/>
      <c r="G526" s="615"/>
      <c r="H526" s="615"/>
      <c r="I526" s="615"/>
      <c r="J526" s="615"/>
      <c r="K526" s="615"/>
      <c r="L526" s="615"/>
      <c r="M526" s="615"/>
      <c r="N526" s="615"/>
      <c r="O526" s="620"/>
      <c r="P526" s="622" t="s">
        <v>72</v>
      </c>
      <c r="Q526" s="623"/>
      <c r="R526" s="623"/>
      <c r="S526" s="623"/>
      <c r="T526" s="623"/>
      <c r="U526" s="623"/>
      <c r="V526" s="624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5"/>
      <c r="B527" s="615"/>
      <c r="C527" s="615"/>
      <c r="D527" s="615"/>
      <c r="E527" s="615"/>
      <c r="F527" s="615"/>
      <c r="G527" s="615"/>
      <c r="H527" s="615"/>
      <c r="I527" s="615"/>
      <c r="J527" s="615"/>
      <c r="K527" s="615"/>
      <c r="L527" s="615"/>
      <c r="M527" s="615"/>
      <c r="N527" s="615"/>
      <c r="O527" s="620"/>
      <c r="P527" s="622" t="s">
        <v>72</v>
      </c>
      <c r="Q527" s="623"/>
      <c r="R527" s="623"/>
      <c r="S527" s="623"/>
      <c r="T527" s="623"/>
      <c r="U527" s="623"/>
      <c r="V527" s="624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48" t="s">
        <v>816</v>
      </c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5"/>
      <c r="P528" s="615"/>
      <c r="Q528" s="615"/>
      <c r="R528" s="615"/>
      <c r="S528" s="615"/>
      <c r="T528" s="615"/>
      <c r="U528" s="615"/>
      <c r="V528" s="615"/>
      <c r="W528" s="615"/>
      <c r="X528" s="615"/>
      <c r="Y528" s="615"/>
      <c r="Z528" s="615"/>
      <c r="AA528" s="600"/>
      <c r="AB528" s="600"/>
      <c r="AC528" s="600"/>
    </row>
    <row r="529" spans="1:68" ht="14.25" customHeight="1" x14ac:dyDescent="0.25">
      <c r="A529" s="614" t="s">
        <v>156</v>
      </c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5"/>
      <c r="P529" s="615"/>
      <c r="Q529" s="615"/>
      <c r="R529" s="615"/>
      <c r="S529" s="615"/>
      <c r="T529" s="615"/>
      <c r="U529" s="615"/>
      <c r="V529" s="615"/>
      <c r="W529" s="615"/>
      <c r="X529" s="615"/>
      <c r="Y529" s="615"/>
      <c r="Z529" s="615"/>
      <c r="AA529" s="601"/>
      <c r="AB529" s="601"/>
      <c r="AC529" s="601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3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19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22" t="s">
        <v>72</v>
      </c>
      <c r="Q531" s="623"/>
      <c r="R531" s="623"/>
      <c r="S531" s="623"/>
      <c r="T531" s="623"/>
      <c r="U531" s="623"/>
      <c r="V531" s="624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22" t="s">
        <v>72</v>
      </c>
      <c r="Q532" s="623"/>
      <c r="R532" s="623"/>
      <c r="S532" s="623"/>
      <c r="T532" s="623"/>
      <c r="U532" s="623"/>
      <c r="V532" s="624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772"/>
      <c r="P533" s="653" t="s">
        <v>820</v>
      </c>
      <c r="Q533" s="654"/>
      <c r="R533" s="654"/>
      <c r="S533" s="654"/>
      <c r="T533" s="654"/>
      <c r="U533" s="654"/>
      <c r="V533" s="655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5252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5346.0999999999995</v>
      </c>
      <c r="Z533" s="37"/>
      <c r="AA533" s="608"/>
      <c r="AB533" s="608"/>
      <c r="AC533" s="608"/>
    </row>
    <row r="534" spans="1:68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772"/>
      <c r="P534" s="653" t="s">
        <v>821</v>
      </c>
      <c r="Q534" s="654"/>
      <c r="R534" s="654"/>
      <c r="S534" s="654"/>
      <c r="T534" s="654"/>
      <c r="U534" s="654"/>
      <c r="V534" s="655"/>
      <c r="W534" s="37" t="s">
        <v>67</v>
      </c>
      <c r="X534" s="607">
        <f>IFERROR(SUM(BM22:BM530),"0")</f>
        <v>5562.6657651620653</v>
      </c>
      <c r="Y534" s="607">
        <f>IFERROR(SUM(BN22:BN530),"0")</f>
        <v>5662.7800000000007</v>
      </c>
      <c r="Z534" s="37"/>
      <c r="AA534" s="608"/>
      <c r="AB534" s="608"/>
      <c r="AC534" s="608"/>
    </row>
    <row r="535" spans="1:68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772"/>
      <c r="P535" s="653" t="s">
        <v>822</v>
      </c>
      <c r="Q535" s="654"/>
      <c r="R535" s="654"/>
      <c r="S535" s="654"/>
      <c r="T535" s="654"/>
      <c r="U535" s="654"/>
      <c r="V535" s="655"/>
      <c r="W535" s="37" t="s">
        <v>823</v>
      </c>
      <c r="X535" s="38">
        <f>ROUNDUP(SUM(BO22:BO530),0)</f>
        <v>10</v>
      </c>
      <c r="Y535" s="38">
        <f>ROUNDUP(SUM(BP22:BP530),0)</f>
        <v>10</v>
      </c>
      <c r="Z535" s="37"/>
      <c r="AA535" s="608"/>
      <c r="AB535" s="608"/>
      <c r="AC535" s="608"/>
    </row>
    <row r="536" spans="1:68" x14ac:dyDescent="0.2">
      <c r="A536" s="615"/>
      <c r="B536" s="615"/>
      <c r="C536" s="615"/>
      <c r="D536" s="615"/>
      <c r="E536" s="615"/>
      <c r="F536" s="615"/>
      <c r="G536" s="615"/>
      <c r="H536" s="615"/>
      <c r="I536" s="615"/>
      <c r="J536" s="615"/>
      <c r="K536" s="615"/>
      <c r="L536" s="615"/>
      <c r="M536" s="615"/>
      <c r="N536" s="615"/>
      <c r="O536" s="772"/>
      <c r="P536" s="653" t="s">
        <v>824</v>
      </c>
      <c r="Q536" s="654"/>
      <c r="R536" s="654"/>
      <c r="S536" s="654"/>
      <c r="T536" s="654"/>
      <c r="U536" s="654"/>
      <c r="V536" s="655"/>
      <c r="W536" s="37" t="s">
        <v>67</v>
      </c>
      <c r="X536" s="607">
        <f>GrossWeightTotal+PalletQtyTotal*25</f>
        <v>5812.6657651620653</v>
      </c>
      <c r="Y536" s="607">
        <f>GrossWeightTotalR+PalletQtyTotalR*25</f>
        <v>5912.7800000000007</v>
      </c>
      <c r="Z536" s="37"/>
      <c r="AA536" s="608"/>
      <c r="AB536" s="608"/>
      <c r="AC536" s="608"/>
    </row>
    <row r="537" spans="1:68" x14ac:dyDescent="0.2">
      <c r="A537" s="615"/>
      <c r="B537" s="615"/>
      <c r="C537" s="615"/>
      <c r="D537" s="615"/>
      <c r="E537" s="615"/>
      <c r="F537" s="615"/>
      <c r="G537" s="615"/>
      <c r="H537" s="615"/>
      <c r="I537" s="615"/>
      <c r="J537" s="615"/>
      <c r="K537" s="615"/>
      <c r="L537" s="615"/>
      <c r="M537" s="615"/>
      <c r="N537" s="615"/>
      <c r="O537" s="772"/>
      <c r="P537" s="653" t="s">
        <v>825</v>
      </c>
      <c r="Q537" s="654"/>
      <c r="R537" s="654"/>
      <c r="S537" s="654"/>
      <c r="T537" s="654"/>
      <c r="U537" s="654"/>
      <c r="V537" s="655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1112.0276814965412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1132</v>
      </c>
      <c r="Z537" s="37"/>
      <c r="AA537" s="608"/>
      <c r="AB537" s="608"/>
      <c r="AC537" s="608"/>
    </row>
    <row r="538" spans="1:68" ht="14.25" customHeight="1" x14ac:dyDescent="0.2">
      <c r="A538" s="615"/>
      <c r="B538" s="615"/>
      <c r="C538" s="615"/>
      <c r="D538" s="615"/>
      <c r="E538" s="615"/>
      <c r="F538" s="615"/>
      <c r="G538" s="615"/>
      <c r="H538" s="615"/>
      <c r="I538" s="615"/>
      <c r="J538" s="615"/>
      <c r="K538" s="615"/>
      <c r="L538" s="615"/>
      <c r="M538" s="615"/>
      <c r="N538" s="615"/>
      <c r="O538" s="772"/>
      <c r="P538" s="653" t="s">
        <v>826</v>
      </c>
      <c r="Q538" s="654"/>
      <c r="R538" s="654"/>
      <c r="S538" s="654"/>
      <c r="T538" s="654"/>
      <c r="U538" s="654"/>
      <c r="V538" s="655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10.83419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7" t="s">
        <v>119</v>
      </c>
      <c r="E540" s="833"/>
      <c r="F540" s="833"/>
      <c r="G540" s="833"/>
      <c r="H540" s="833"/>
      <c r="I540" s="833"/>
      <c r="J540" s="659"/>
      <c r="K540" s="617" t="s">
        <v>328</v>
      </c>
      <c r="L540" s="833"/>
      <c r="M540" s="833"/>
      <c r="N540" s="833"/>
      <c r="O540" s="833"/>
      <c r="P540" s="833"/>
      <c r="Q540" s="833"/>
      <c r="R540" s="833"/>
      <c r="S540" s="833"/>
      <c r="T540" s="833"/>
      <c r="U540" s="659"/>
      <c r="V540" s="617" t="s">
        <v>652</v>
      </c>
      <c r="W540" s="659"/>
      <c r="X540" s="617" t="s">
        <v>712</v>
      </c>
      <c r="Y540" s="659"/>
      <c r="Z540" s="602" t="s">
        <v>748</v>
      </c>
      <c r="AA540" s="617" t="s">
        <v>795</v>
      </c>
      <c r="AB540" s="659"/>
      <c r="AC540" s="52"/>
      <c r="AF540" s="603"/>
    </row>
    <row r="541" spans="1:68" ht="14.25" customHeight="1" thickTop="1" x14ac:dyDescent="0.2">
      <c r="A541" s="873" t="s">
        <v>829</v>
      </c>
      <c r="B541" s="617" t="s">
        <v>61</v>
      </c>
      <c r="C541" s="617" t="s">
        <v>102</v>
      </c>
      <c r="D541" s="617" t="s">
        <v>120</v>
      </c>
      <c r="E541" s="617" t="s">
        <v>136</v>
      </c>
      <c r="F541" s="617" t="s">
        <v>180</v>
      </c>
      <c r="G541" s="617" t="s">
        <v>201</v>
      </c>
      <c r="H541" s="617" t="s">
        <v>245</v>
      </c>
      <c r="I541" s="617" t="s">
        <v>257</v>
      </c>
      <c r="J541" s="617" t="s">
        <v>119</v>
      </c>
      <c r="K541" s="617" t="s">
        <v>329</v>
      </c>
      <c r="L541" s="617" t="s">
        <v>350</v>
      </c>
      <c r="M541" s="617" t="s">
        <v>414</v>
      </c>
      <c r="N541" s="603"/>
      <c r="O541" s="617" t="s">
        <v>482</v>
      </c>
      <c r="P541" s="617" t="s">
        <v>515</v>
      </c>
      <c r="Q541" s="617" t="s">
        <v>531</v>
      </c>
      <c r="R541" s="617" t="s">
        <v>540</v>
      </c>
      <c r="S541" s="617" t="s">
        <v>561</v>
      </c>
      <c r="T541" s="617" t="s">
        <v>570</v>
      </c>
      <c r="U541" s="617" t="s">
        <v>642</v>
      </c>
      <c r="V541" s="617" t="s">
        <v>653</v>
      </c>
      <c r="W541" s="617" t="s">
        <v>696</v>
      </c>
      <c r="X541" s="617" t="s">
        <v>713</v>
      </c>
      <c r="Y541" s="617" t="s">
        <v>736</v>
      </c>
      <c r="Z541" s="617" t="s">
        <v>748</v>
      </c>
      <c r="AA541" s="617" t="s">
        <v>795</v>
      </c>
      <c r="AB541" s="617" t="s">
        <v>816</v>
      </c>
      <c r="AC541" s="52"/>
      <c r="AF541" s="603"/>
    </row>
    <row r="542" spans="1:68" ht="13.5" customHeight="1" thickBot="1" x14ac:dyDescent="0.25">
      <c r="A542" s="874"/>
      <c r="B542" s="618"/>
      <c r="C542" s="618"/>
      <c r="D542" s="618"/>
      <c r="E542" s="618"/>
      <c r="F542" s="618"/>
      <c r="G542" s="618"/>
      <c r="H542" s="618"/>
      <c r="I542" s="618"/>
      <c r="J542" s="618"/>
      <c r="K542" s="618"/>
      <c r="L542" s="618"/>
      <c r="M542" s="618"/>
      <c r="N542" s="603"/>
      <c r="O542" s="618"/>
      <c r="P542" s="618"/>
      <c r="Q542" s="618"/>
      <c r="R542" s="618"/>
      <c r="S542" s="618"/>
      <c r="T542" s="618"/>
      <c r="U542" s="618"/>
      <c r="V542" s="618"/>
      <c r="W542" s="618"/>
      <c r="X542" s="618"/>
      <c r="Y542" s="618"/>
      <c r="Z542" s="618"/>
      <c r="AA542" s="618"/>
      <c r="AB542" s="618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0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0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18</v>
      </c>
      <c r="F543" s="46">
        <f>IFERROR(Y88*1,"0")+IFERROR(Y89*1,"0")+IFERROR(Y90*1,"0")+IFERROR(Y91*1,"0")+IFERROR(Y95*1,"0")+IFERROR(Y96*1,"0")+IFERROR(Y97*1,"0")+IFERROR(Y98*1,"0")</f>
        <v>248.4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221.58</v>
      </c>
      <c r="H543" s="46">
        <f>IFERROR(Y135*1,"0")+IFERROR(Y136*1,"0")+IFERROR(Y140*1,"0")+IFERROR(Y141*1,"0")+IFERROR(Y145*1,"0")+IFERROR(Y146*1,"0")</f>
        <v>88.64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160.57999999999998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218.18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1285.5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2.7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52.8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94.12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2151</v>
      </c>
      <c r="W543" s="46">
        <f>IFERROR(Y433*1,"0")+IFERROR(Y434*1,"0")+IFERROR(Y438*1,"0")+IFERROR(Y442*1,"0")+IFERROR(Y443*1,"0")+IFERROR(Y444*1,"0")</f>
        <v>627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43.2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98.4</v>
      </c>
      <c r="AA543" s="46">
        <f>IFERROR(Y507*1,"0")+IFERROR(Y511*1,"0")+IFERROR(Y515*1,"0")+IFERROR(Y516*1,"0")+IFERROR(Y520*1,"0")+IFERROR(Y524*1,"0")+IFERROR(Y525*1,"0")</f>
        <v>36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27:V527"/>
    <mergeCell ref="P507:T507"/>
    <mergeCell ref="P363:T363"/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P513:V513"/>
    <mergeCell ref="A251:O252"/>
    <mergeCell ref="P292:T292"/>
    <mergeCell ref="A269:Z269"/>
    <mergeCell ref="P294:T294"/>
    <mergeCell ref="P381:V381"/>
    <mergeCell ref="A35:Z35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293:T293"/>
    <mergeCell ref="D407:E4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U17:V17"/>
    <mergeCell ref="P36:T36"/>
    <mergeCell ref="P478:T478"/>
    <mergeCell ref="P278:T278"/>
    <mergeCell ref="P107:T107"/>
    <mergeCell ref="P465:T465"/>
    <mergeCell ref="D386:E386"/>
    <mergeCell ref="D215:E215"/>
    <mergeCell ref="P194:V194"/>
    <mergeCell ref="P492:V492"/>
    <mergeCell ref="P456:V456"/>
    <mergeCell ref="P484:T484"/>
    <mergeCell ref="P434:T434"/>
    <mergeCell ref="A9:C9"/>
    <mergeCell ref="P125:T125"/>
    <mergeCell ref="D373:E373"/>
    <mergeCell ref="D202:E202"/>
    <mergeCell ref="D500:E500"/>
    <mergeCell ref="D294:E294"/>
    <mergeCell ref="P348:T348"/>
    <mergeCell ref="D231:E231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Q13:R13"/>
    <mergeCell ref="P47:V47"/>
    <mergeCell ref="P176:T176"/>
    <mergeCell ref="P114:T114"/>
    <mergeCell ref="P483:T483"/>
    <mergeCell ref="A157:Z157"/>
    <mergeCell ref="D22:E22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A508:O509"/>
    <mergeCell ref="A230:Z230"/>
    <mergeCell ref="D222:E222"/>
    <mergeCell ref="P399:T399"/>
    <mergeCell ref="P333:T333"/>
    <mergeCell ref="P57:V57"/>
    <mergeCell ref="G17:G18"/>
    <mergeCell ref="A167:Z167"/>
    <mergeCell ref="P242:V242"/>
    <mergeCell ref="D159:E159"/>
    <mergeCell ref="A403:Z403"/>
    <mergeCell ref="P121:V121"/>
    <mergeCell ref="P46:T46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D489:E489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536:V536"/>
    <mergeCell ref="A94:Z94"/>
    <mergeCell ref="P79:V79"/>
    <mergeCell ref="A69:Z69"/>
    <mergeCell ref="A196:Z196"/>
    <mergeCell ref="P115:T115"/>
    <mergeCell ref="A427:Z427"/>
    <mergeCell ref="D254:E254"/>
    <mergeCell ref="P302:V302"/>
    <mergeCell ref="P238:T238"/>
    <mergeCell ref="D490:E490"/>
    <mergeCell ref="D346:E346"/>
    <mergeCell ref="D477:E477"/>
    <mergeCell ref="A517:O518"/>
    <mergeCell ref="A133:Z133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P511:T511"/>
    <mergeCell ref="A435:O436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15:T16"/>
    <mergeCell ref="P450:T450"/>
    <mergeCell ref="D116:E116"/>
    <mergeCell ref="P419:T419"/>
    <mergeCell ref="P219:T219"/>
    <mergeCell ref="D91:E91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479:T479"/>
    <mergeCell ref="D400:E400"/>
    <mergeCell ref="D77:E77"/>
    <mergeCell ref="D108:E108"/>
    <mergeCell ref="P423:T423"/>
    <mergeCell ref="P223:T223"/>
    <mergeCell ref="P52:T52"/>
    <mergeCell ref="D160:E160"/>
    <mergeCell ref="P481:T481"/>
    <mergeCell ref="P153:T153"/>
    <mergeCell ref="P90:T90"/>
    <mergeCell ref="P332:T332"/>
    <mergeCell ref="P217:T217"/>
    <mergeCell ref="D204:E204"/>
    <mergeCell ref="P459:T459"/>
    <mergeCell ref="D465:E465"/>
    <mergeCell ref="D296:E296"/>
    <mergeCell ref="A321:O322"/>
    <mergeCell ref="P164:T164"/>
    <mergeCell ref="P120:V120"/>
    <mergeCell ref="D384:E384"/>
    <mergeCell ref="P341:T341"/>
    <mergeCell ref="D151:E151"/>
    <mergeCell ref="A110:O111"/>
    <mergeCell ref="A531:O532"/>
    <mergeCell ref="A468:Z468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A523:Z523"/>
    <mergeCell ref="A87:Z87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D524:E524"/>
    <mergeCell ref="P407:T407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W541:W542"/>
    <mergeCell ref="D470:E470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P533:V533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P206:V206"/>
    <mergeCell ref="A258:Z258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D60:E60"/>
    <mergeCell ref="P73:T7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