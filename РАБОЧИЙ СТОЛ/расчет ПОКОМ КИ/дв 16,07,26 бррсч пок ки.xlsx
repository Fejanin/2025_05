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BDD3BE67-60CD-45A0-931F-5B337DB094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11" i="1"/>
  <c r="V12" i="1"/>
  <c r="V13" i="1"/>
  <c r="V16" i="1"/>
  <c r="V17" i="1"/>
  <c r="V18" i="1"/>
  <c r="V19" i="1"/>
  <c r="V21" i="1"/>
  <c r="V22" i="1"/>
  <c r="V23" i="1"/>
  <c r="V24" i="1"/>
  <c r="V25" i="1"/>
  <c r="V26" i="1"/>
  <c r="V27" i="1"/>
  <c r="V28" i="1"/>
  <c r="V29" i="1"/>
  <c r="V30" i="1"/>
  <c r="V31" i="1"/>
  <c r="V32" i="1"/>
  <c r="V35" i="1"/>
  <c r="V36" i="1"/>
  <c r="V37" i="1"/>
  <c r="V38" i="1"/>
  <c r="V39" i="1"/>
  <c r="V40" i="1"/>
  <c r="V41" i="1"/>
  <c r="V43" i="1"/>
  <c r="V44" i="1"/>
  <c r="V45" i="1"/>
  <c r="V47" i="1"/>
  <c r="V48" i="1"/>
  <c r="V49" i="1"/>
  <c r="V50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10" i="1"/>
  <c r="V111" i="1"/>
  <c r="V112" i="1"/>
  <c r="V113" i="1"/>
  <c r="V114" i="1"/>
  <c r="V6" i="1"/>
  <c r="U17" i="1" l="1"/>
  <c r="U18" i="1"/>
  <c r="AI18" i="1" s="1"/>
  <c r="U21" i="1"/>
  <c r="U24" i="1"/>
  <c r="AI24" i="1" s="1"/>
  <c r="U25" i="1"/>
  <c r="U26" i="1"/>
  <c r="AI26" i="1" s="1"/>
  <c r="U27" i="1"/>
  <c r="U28" i="1"/>
  <c r="AI28" i="1" s="1"/>
  <c r="U29" i="1"/>
  <c r="U30" i="1"/>
  <c r="AI30" i="1" s="1"/>
  <c r="U35" i="1"/>
  <c r="U36" i="1"/>
  <c r="AI36" i="1" s="1"/>
  <c r="U39" i="1"/>
  <c r="U41" i="1"/>
  <c r="U43" i="1"/>
  <c r="U45" i="1"/>
  <c r="U48" i="1"/>
  <c r="AI48" i="1" s="1"/>
  <c r="U49" i="1"/>
  <c r="AI49" i="1" s="1"/>
  <c r="U52" i="1"/>
  <c r="AI52" i="1" s="1"/>
  <c r="U53" i="1"/>
  <c r="AI53" i="1" s="1"/>
  <c r="U54" i="1"/>
  <c r="AI54" i="1" s="1"/>
  <c r="U55" i="1"/>
  <c r="AI55" i="1" s="1"/>
  <c r="U57" i="1"/>
  <c r="U58" i="1"/>
  <c r="AI58" i="1" s="1"/>
  <c r="U59" i="1"/>
  <c r="U60" i="1"/>
  <c r="AI60" i="1" s="1"/>
  <c r="U62" i="1"/>
  <c r="AI62" i="1" s="1"/>
  <c r="U71" i="1"/>
  <c r="AI71" i="1" s="1"/>
  <c r="U73" i="1"/>
  <c r="U74" i="1"/>
  <c r="AI74" i="1" s="1"/>
  <c r="U75" i="1"/>
  <c r="U77" i="1"/>
  <c r="AI77" i="1" s="1"/>
  <c r="U78" i="1"/>
  <c r="AI78" i="1" s="1"/>
  <c r="U79" i="1"/>
  <c r="AI79" i="1" s="1"/>
  <c r="U83" i="1"/>
  <c r="U86" i="1"/>
  <c r="AI86" i="1" s="1"/>
  <c r="U88" i="1"/>
  <c r="AI88" i="1" s="1"/>
  <c r="U89" i="1"/>
  <c r="AI89" i="1" s="1"/>
  <c r="U90" i="1"/>
  <c r="AI90" i="1" s="1"/>
  <c r="U91" i="1"/>
  <c r="AI91" i="1" s="1"/>
  <c r="U92" i="1"/>
  <c r="AI92" i="1" s="1"/>
  <c r="U94" i="1"/>
  <c r="AI94" i="1" s="1"/>
  <c r="U99" i="1"/>
  <c r="U101" i="1"/>
  <c r="AI101" i="1" s="1"/>
  <c r="U113" i="1"/>
  <c r="U114" i="1"/>
  <c r="AI114" i="1" s="1"/>
  <c r="AI17" i="1"/>
  <c r="AI21" i="1"/>
  <c r="AI25" i="1"/>
  <c r="AI27" i="1"/>
  <c r="AI29" i="1"/>
  <c r="AI35" i="1"/>
  <c r="AI39" i="1"/>
  <c r="AI41" i="1"/>
  <c r="AI43" i="1"/>
  <c r="AI45" i="1"/>
  <c r="AI57" i="1"/>
  <c r="AI59" i="1"/>
  <c r="AI73" i="1"/>
  <c r="AI75" i="1"/>
  <c r="AI83" i="1"/>
  <c r="AI99" i="1"/>
  <c r="AI113" i="1"/>
  <c r="P5" i="1" l="1"/>
  <c r="S6" i="1"/>
  <c r="T6" i="1" s="1"/>
  <c r="U6" i="1" s="1"/>
  <c r="AI6" i="1" l="1"/>
  <c r="S114" i="1"/>
  <c r="L114" i="1"/>
  <c r="S113" i="1"/>
  <c r="L113" i="1"/>
  <c r="S112" i="1"/>
  <c r="L112" i="1"/>
  <c r="S111" i="1"/>
  <c r="L111" i="1"/>
  <c r="S110" i="1"/>
  <c r="L110" i="1"/>
  <c r="F109" i="1"/>
  <c r="E109" i="1"/>
  <c r="S109" i="1" s="1"/>
  <c r="S108" i="1"/>
  <c r="L108" i="1"/>
  <c r="S107" i="1"/>
  <c r="L107" i="1"/>
  <c r="S106" i="1"/>
  <c r="L106" i="1"/>
  <c r="S105" i="1"/>
  <c r="L105" i="1"/>
  <c r="S104" i="1"/>
  <c r="L104" i="1"/>
  <c r="S103" i="1"/>
  <c r="L103" i="1"/>
  <c r="S102" i="1"/>
  <c r="L102" i="1"/>
  <c r="S101" i="1"/>
  <c r="L101" i="1"/>
  <c r="S100" i="1"/>
  <c r="L100" i="1"/>
  <c r="S99" i="1"/>
  <c r="L99" i="1"/>
  <c r="S98" i="1"/>
  <c r="L98" i="1"/>
  <c r="S97" i="1"/>
  <c r="L97" i="1"/>
  <c r="S96" i="1"/>
  <c r="L96" i="1"/>
  <c r="S95" i="1"/>
  <c r="L95" i="1"/>
  <c r="S94" i="1"/>
  <c r="L94" i="1"/>
  <c r="S93" i="1"/>
  <c r="L93" i="1"/>
  <c r="S92" i="1"/>
  <c r="L92" i="1"/>
  <c r="S91" i="1"/>
  <c r="L91" i="1"/>
  <c r="S90" i="1"/>
  <c r="L90" i="1"/>
  <c r="S89" i="1"/>
  <c r="W89" i="1" s="1"/>
  <c r="L89" i="1"/>
  <c r="S88" i="1"/>
  <c r="L88" i="1"/>
  <c r="S87" i="1"/>
  <c r="L87" i="1"/>
  <c r="S86" i="1"/>
  <c r="L86" i="1"/>
  <c r="S85" i="1"/>
  <c r="L85" i="1"/>
  <c r="S84" i="1"/>
  <c r="L84" i="1"/>
  <c r="S83" i="1"/>
  <c r="L83" i="1"/>
  <c r="S82" i="1"/>
  <c r="L82" i="1"/>
  <c r="F82" i="1"/>
  <c r="S81" i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L71" i="1"/>
  <c r="S70" i="1"/>
  <c r="L70" i="1"/>
  <c r="S69" i="1"/>
  <c r="L69" i="1"/>
  <c r="S68" i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S57" i="1"/>
  <c r="L57" i="1"/>
  <c r="S56" i="1"/>
  <c r="L56" i="1"/>
  <c r="S55" i="1"/>
  <c r="L55" i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S41" i="1"/>
  <c r="L41" i="1"/>
  <c r="S40" i="1"/>
  <c r="L40" i="1"/>
  <c r="S39" i="1"/>
  <c r="L39" i="1"/>
  <c r="S38" i="1"/>
  <c r="L38" i="1"/>
  <c r="S37" i="1"/>
  <c r="L37" i="1"/>
  <c r="S36" i="1"/>
  <c r="L36" i="1"/>
  <c r="S35" i="1"/>
  <c r="L35" i="1"/>
  <c r="S34" i="1"/>
  <c r="L34" i="1"/>
  <c r="S33" i="1"/>
  <c r="L33" i="1"/>
  <c r="S32" i="1"/>
  <c r="L32" i="1"/>
  <c r="S31" i="1"/>
  <c r="L31" i="1"/>
  <c r="S30" i="1"/>
  <c r="L30" i="1"/>
  <c r="S29" i="1"/>
  <c r="L29" i="1"/>
  <c r="S28" i="1"/>
  <c r="L28" i="1"/>
  <c r="S27" i="1"/>
  <c r="L27" i="1"/>
  <c r="S26" i="1"/>
  <c r="L26" i="1"/>
  <c r="S25" i="1"/>
  <c r="L25" i="1"/>
  <c r="S24" i="1"/>
  <c r="L24" i="1"/>
  <c r="S23" i="1"/>
  <c r="L23" i="1"/>
  <c r="S22" i="1"/>
  <c r="L22" i="1"/>
  <c r="S21" i="1"/>
  <c r="W21" i="1" s="1"/>
  <c r="L21" i="1"/>
  <c r="S20" i="1"/>
  <c r="L20" i="1"/>
  <c r="S19" i="1"/>
  <c r="L19" i="1"/>
  <c r="S18" i="1"/>
  <c r="L18" i="1"/>
  <c r="S17" i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T8" i="1" s="1"/>
  <c r="U8" i="1" s="1"/>
  <c r="AI8" i="1" s="1"/>
  <c r="L8" i="1"/>
  <c r="S7" i="1"/>
  <c r="T7" i="1" s="1"/>
  <c r="U7" i="1" s="1"/>
  <c r="AI7" i="1" s="1"/>
  <c r="L7" i="1"/>
  <c r="W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O5" i="1"/>
  <c r="N5" i="1"/>
  <c r="M5" i="1"/>
  <c r="K5" i="1"/>
  <c r="T109" i="1" l="1"/>
  <c r="W27" i="1"/>
  <c r="W8" i="1"/>
  <c r="W10" i="1"/>
  <c r="T10" i="1"/>
  <c r="W12" i="1"/>
  <c r="T12" i="1"/>
  <c r="U12" i="1" s="1"/>
  <c r="AI12" i="1" s="1"/>
  <c r="T13" i="1"/>
  <c r="U13" i="1" s="1"/>
  <c r="AI13" i="1" s="1"/>
  <c r="T15" i="1"/>
  <c r="T20" i="1"/>
  <c r="W22" i="1"/>
  <c r="T22" i="1"/>
  <c r="U22" i="1" s="1"/>
  <c r="AI22" i="1" s="1"/>
  <c r="W24" i="1"/>
  <c r="W26" i="1"/>
  <c r="W28" i="1"/>
  <c r="T31" i="1"/>
  <c r="U31" i="1" s="1"/>
  <c r="AI31" i="1" s="1"/>
  <c r="T33" i="1"/>
  <c r="W38" i="1"/>
  <c r="T38" i="1"/>
  <c r="U38" i="1" s="1"/>
  <c r="AI38" i="1" s="1"/>
  <c r="W40" i="1"/>
  <c r="T40" i="1"/>
  <c r="U40" i="1" s="1"/>
  <c r="AI40" i="1" s="1"/>
  <c r="W42" i="1"/>
  <c r="T42" i="1"/>
  <c r="W44" i="1"/>
  <c r="T44" i="1"/>
  <c r="U44" i="1" s="1"/>
  <c r="AI44" i="1" s="1"/>
  <c r="T47" i="1"/>
  <c r="U47" i="1" s="1"/>
  <c r="AI47" i="1" s="1"/>
  <c r="T51" i="1"/>
  <c r="W54" i="1"/>
  <c r="W56" i="1"/>
  <c r="T56" i="1"/>
  <c r="U56" i="1" s="1"/>
  <c r="AI56" i="1" s="1"/>
  <c r="W58" i="1"/>
  <c r="W60" i="1"/>
  <c r="T61" i="1"/>
  <c r="U61" i="1" s="1"/>
  <c r="AI61" i="1" s="1"/>
  <c r="T63" i="1"/>
  <c r="U63" i="1" s="1"/>
  <c r="AI63" i="1" s="1"/>
  <c r="T65" i="1"/>
  <c r="U65" i="1" s="1"/>
  <c r="AI65" i="1" s="1"/>
  <c r="T67" i="1"/>
  <c r="U67" i="1" s="1"/>
  <c r="AI67" i="1" s="1"/>
  <c r="W70" i="1"/>
  <c r="T70" i="1"/>
  <c r="U70" i="1" s="1"/>
  <c r="AI70" i="1" s="1"/>
  <c r="W72" i="1"/>
  <c r="T72" i="1"/>
  <c r="U72" i="1" s="1"/>
  <c r="AI72" i="1" s="1"/>
  <c r="W74" i="1"/>
  <c r="W76" i="1"/>
  <c r="T76" i="1"/>
  <c r="U76" i="1" s="1"/>
  <c r="AI76" i="1" s="1"/>
  <c r="T81" i="1"/>
  <c r="T82" i="1"/>
  <c r="T84" i="1"/>
  <c r="U84" i="1" s="1"/>
  <c r="AI84" i="1" s="1"/>
  <c r="T96" i="1"/>
  <c r="U96" i="1" s="1"/>
  <c r="AI96" i="1" s="1"/>
  <c r="T98" i="1"/>
  <c r="U98" i="1" s="1"/>
  <c r="AI98" i="1" s="1"/>
  <c r="T100" i="1"/>
  <c r="U100" i="1" s="1"/>
  <c r="AI100" i="1" s="1"/>
  <c r="T102" i="1"/>
  <c r="U102" i="1" s="1"/>
  <c r="AI102" i="1" s="1"/>
  <c r="T104" i="1"/>
  <c r="U104" i="1" s="1"/>
  <c r="AI104" i="1" s="1"/>
  <c r="T106" i="1"/>
  <c r="U106" i="1" s="1"/>
  <c r="AI106" i="1" s="1"/>
  <c r="T108" i="1"/>
  <c r="U108" i="1" s="1"/>
  <c r="AI108" i="1" s="1"/>
  <c r="T110" i="1"/>
  <c r="U110" i="1" s="1"/>
  <c r="AI110" i="1" s="1"/>
  <c r="T112" i="1"/>
  <c r="U112" i="1" s="1"/>
  <c r="AI112" i="1" s="1"/>
  <c r="E5" i="1"/>
  <c r="T9" i="1"/>
  <c r="T11" i="1"/>
  <c r="U11" i="1" s="1"/>
  <c r="AI11" i="1" s="1"/>
  <c r="W14" i="1"/>
  <c r="T14" i="1"/>
  <c r="W16" i="1"/>
  <c r="T16" i="1"/>
  <c r="U16" i="1" s="1"/>
  <c r="AI16" i="1" s="1"/>
  <c r="W19" i="1"/>
  <c r="T19" i="1"/>
  <c r="U19" i="1" s="1"/>
  <c r="AI19" i="1" s="1"/>
  <c r="T23" i="1"/>
  <c r="U23" i="1" s="1"/>
  <c r="AI23" i="1" s="1"/>
  <c r="W30" i="1"/>
  <c r="W32" i="1"/>
  <c r="T32" i="1"/>
  <c r="U32" i="1" s="1"/>
  <c r="AI32" i="1" s="1"/>
  <c r="W34" i="1"/>
  <c r="T34" i="1"/>
  <c r="W36" i="1"/>
  <c r="T37" i="1"/>
  <c r="U37" i="1" s="1"/>
  <c r="AI37" i="1" s="1"/>
  <c r="W46" i="1"/>
  <c r="T46" i="1"/>
  <c r="W48" i="1"/>
  <c r="W50" i="1"/>
  <c r="T50" i="1"/>
  <c r="U50" i="1" s="1"/>
  <c r="AI50" i="1" s="1"/>
  <c r="W52" i="1"/>
  <c r="W62" i="1"/>
  <c r="W64" i="1"/>
  <c r="T64" i="1"/>
  <c r="U64" i="1" s="1"/>
  <c r="AI64" i="1" s="1"/>
  <c r="W66" i="1"/>
  <c r="T66" i="1"/>
  <c r="U66" i="1" s="1"/>
  <c r="AI66" i="1" s="1"/>
  <c r="W68" i="1"/>
  <c r="T68" i="1"/>
  <c r="U68" i="1" s="1"/>
  <c r="AI68" i="1" s="1"/>
  <c r="T69" i="1"/>
  <c r="U69" i="1" s="1"/>
  <c r="AI69" i="1" s="1"/>
  <c r="W78" i="1"/>
  <c r="W80" i="1"/>
  <c r="T80" i="1"/>
  <c r="W83" i="1"/>
  <c r="W85" i="1"/>
  <c r="T85" i="1"/>
  <c r="U85" i="1" s="1"/>
  <c r="AI85" i="1" s="1"/>
  <c r="W87" i="1"/>
  <c r="T87" i="1"/>
  <c r="U87" i="1" s="1"/>
  <c r="AI87" i="1" s="1"/>
  <c r="W91" i="1"/>
  <c r="W93" i="1"/>
  <c r="T93" i="1"/>
  <c r="U93" i="1" s="1"/>
  <c r="AI93" i="1" s="1"/>
  <c r="W95" i="1"/>
  <c r="T95" i="1"/>
  <c r="U95" i="1" s="1"/>
  <c r="AI95" i="1" s="1"/>
  <c r="W97" i="1"/>
  <c r="T97" i="1"/>
  <c r="U97" i="1" s="1"/>
  <c r="AI97" i="1" s="1"/>
  <c r="W99" i="1"/>
  <c r="W101" i="1"/>
  <c r="W103" i="1"/>
  <c r="T103" i="1"/>
  <c r="U103" i="1" s="1"/>
  <c r="AI103" i="1" s="1"/>
  <c r="W105" i="1"/>
  <c r="T105" i="1"/>
  <c r="U105" i="1" s="1"/>
  <c r="AI105" i="1" s="1"/>
  <c r="W107" i="1"/>
  <c r="T107" i="1"/>
  <c r="U107" i="1" s="1"/>
  <c r="AI107" i="1" s="1"/>
  <c r="W111" i="1"/>
  <c r="T111" i="1"/>
  <c r="U111" i="1" s="1"/>
  <c r="AI111" i="1" s="1"/>
  <c r="W113" i="1"/>
  <c r="F5" i="1"/>
  <c r="W82" i="1"/>
  <c r="W84" i="1"/>
  <c r="W86" i="1"/>
  <c r="W88" i="1"/>
  <c r="W90" i="1"/>
  <c r="W92" i="1"/>
  <c r="W94" i="1"/>
  <c r="W96" i="1"/>
  <c r="W98" i="1"/>
  <c r="W100" i="1"/>
  <c r="W102" i="1"/>
  <c r="W104" i="1"/>
  <c r="W106" i="1"/>
  <c r="W108" i="1"/>
  <c r="W7" i="1"/>
  <c r="W9" i="1"/>
  <c r="W11" i="1"/>
  <c r="W13" i="1"/>
  <c r="W15" i="1"/>
  <c r="W17" i="1"/>
  <c r="W18" i="1"/>
  <c r="W20" i="1"/>
  <c r="W23" i="1"/>
  <c r="W25" i="1"/>
  <c r="W29" i="1"/>
  <c r="L109" i="1"/>
  <c r="L5" i="1" s="1"/>
  <c r="S5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109" i="1"/>
  <c r="W110" i="1"/>
  <c r="W112" i="1"/>
  <c r="W114" i="1"/>
  <c r="U14" i="1" l="1"/>
  <c r="U82" i="1"/>
  <c r="U51" i="1"/>
  <c r="U42" i="1"/>
  <c r="U33" i="1"/>
  <c r="U15" i="1"/>
  <c r="U10" i="1"/>
  <c r="U80" i="1"/>
  <c r="U46" i="1"/>
  <c r="U34" i="1"/>
  <c r="U9" i="1"/>
  <c r="U81" i="1"/>
  <c r="U20" i="1"/>
  <c r="U109" i="1"/>
  <c r="T5" i="1"/>
  <c r="AI20" i="1" l="1"/>
  <c r="V20" i="1"/>
  <c r="AI9" i="1"/>
  <c r="V9" i="1"/>
  <c r="AI46" i="1"/>
  <c r="V46" i="1"/>
  <c r="AI10" i="1"/>
  <c r="V10" i="1"/>
  <c r="AI33" i="1"/>
  <c r="V33" i="1"/>
  <c r="AI51" i="1"/>
  <c r="V51" i="1"/>
  <c r="AI14" i="1"/>
  <c r="V14" i="1"/>
  <c r="AI109" i="1"/>
  <c r="V109" i="1"/>
  <c r="AI81" i="1"/>
  <c r="V81" i="1"/>
  <c r="AI34" i="1"/>
  <c r="V34" i="1"/>
  <c r="AI80" i="1"/>
  <c r="V80" i="1"/>
  <c r="AI15" i="1"/>
  <c r="V15" i="1"/>
  <c r="AI42" i="1"/>
  <c r="V42" i="1"/>
  <c r="AI82" i="1"/>
  <c r="V82" i="1"/>
  <c r="U5" i="1"/>
  <c r="AI5" i="1"/>
</calcChain>
</file>

<file path=xl/sharedStrings.xml><?xml version="1.0" encoding="utf-8"?>
<sst xmlns="http://schemas.openxmlformats.org/spreadsheetml/2006/main" count="396" uniqueCount="265">
  <si>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</si>
  <si>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</si>
  <si>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</si>
  <si>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</si>
  <si>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</si>
  <si>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</si>
  <si>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</si>
  <si>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</si>
  <si>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</si>
  <si>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</si>
  <si>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</si>
  <si>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</si>
  <si>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</si>
  <si>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</si>
  <si>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</si>
  <si>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</si>
  <si>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</si>
  <si>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</si>
  <si>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</si>
  <si>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</si>
  <si>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</si>
  <si>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</si>
  <si>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</si>
  <si>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14,07,</t>
  </si>
  <si>
    <t>18,07,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</si>
  <si>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</si>
  <si>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</si>
  <si>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</si>
  <si>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</si>
  <si>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</si>
  <si>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</si>
  <si>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</si>
  <si>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</si>
  <si>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</si>
  <si>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</si>
  <si>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</si>
  <si>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</si>
  <si>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</si>
  <si>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</si>
  <si>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</si>
  <si>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</si>
  <si>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</si>
  <si>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</si>
  <si>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</si>
  <si>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</si>
  <si>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</si>
  <si>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</si>
  <si>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</si>
  <si>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</si>
  <si>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</si>
  <si>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</si>
  <si>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</si>
  <si>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</si>
  <si>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</si>
  <si>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</si>
  <si>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</si>
  <si>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</si>
  <si>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</si>
  <si>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</si>
  <si>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</si>
  <si>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</si>
  <si>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</si>
  <si>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</si>
  <si>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</si>
  <si>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</si>
  <si>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</si>
  <si>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</si>
  <si>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</si>
  <si>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</si>
  <si>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</si>
  <si>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</si>
  <si>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</si>
  <si>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</si>
  <si>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</si>
  <si>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</si>
  <si>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</si>
  <si>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</si>
  <si>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</si>
  <si>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</si>
  <si>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</si>
  <si>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</si>
  <si>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</si>
  <si>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</si>
  <si>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</si>
  <si>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</si>
  <si>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</si>
  <si>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</si>
  <si>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</si>
  <si>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</si>
  <si>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</si>
  <si>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</si>
  <si>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</si>
  <si>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</si>
  <si>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</si>
  <si>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</si>
  <si>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</si>
  <si>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</si>
  <si>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</si>
  <si>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</si>
  <si>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</si>
  <si>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</si>
  <si>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</si>
  <si>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</si>
  <si>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</si>
  <si>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</si>
  <si>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</si>
  <si>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</si>
  <si>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</si>
  <si>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</si>
  <si>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</si>
  <si>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</si>
  <si>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</si>
  <si>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</si>
  <si>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</si>
  <si>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>P003102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</si>
  <si>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</si>
  <si>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</si>
  <si>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</si>
  <si>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</si>
  <si>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</si>
  <si>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</si>
  <si>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</si>
  <si>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</si>
  <si>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</si>
  <si>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</si>
  <si>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</si>
  <si>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</si>
  <si>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</si>
  <si>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</si>
  <si>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</si>
  <si>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</si>
  <si>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</si>
  <si>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</si>
  <si>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</si>
  <si>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</si>
  <si>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</si>
  <si>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</si>
  <si>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</si>
  <si>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</si>
  <si>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</si>
  <si>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</si>
  <si>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</si>
  <si>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</si>
  <si>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</si>
  <si>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</si>
  <si>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</si>
  <si>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</si>
  <si>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</si>
  <si>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</si>
  <si>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</si>
  <si>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</si>
  <si>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</si>
  <si>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</si>
  <si>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</si>
  <si>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</si>
  <si>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</si>
  <si>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</si>
  <si>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</si>
  <si>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</si>
  <si>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</si>
  <si>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</si>
  <si>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</si>
  <si>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</si>
  <si>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</si>
  <si>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</si>
  <si>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</si>
  <si>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</si>
  <si>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</si>
  <si>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</si>
  <si>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</si>
  <si>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</si>
  <si>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</si>
  <si>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</si>
  <si>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</si>
  <si>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</si>
  <si>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</si>
  <si>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</si>
  <si>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</si>
  <si>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</si>
  <si>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</si>
  <si>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</si>
  <si>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</si>
  <si>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</si>
  <si>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</si>
  <si>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</si>
  <si>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</si>
  <si>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</si>
  <si>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</si>
  <si>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</si>
  <si>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</si>
  <si>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</si>
  <si>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</si>
  <si>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</si>
  <si>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</si>
  <si>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</si>
  <si>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</si>
  <si>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</si>
  <si>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</si>
  <si>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</si>
  <si>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</si>
  <si>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</si>
  <si>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</si>
  <si>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</si>
  <si>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</si>
  <si>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</si>
  <si>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</si>
  <si>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</si>
  <si>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</si>
  <si>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</si>
  <si>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</si>
  <si>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</si>
  <si>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</si>
  <si>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</si>
  <si>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</si>
  <si>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</si>
  <si>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</si>
  <si>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</si>
  <si>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</si>
  <si>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</si>
  <si>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</si>
  <si>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</si>
  <si>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</si>
  <si>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</si>
  <si>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</si>
  <si>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</si>
  <si>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</si>
  <si>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</si>
  <si>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</si>
  <si>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</si>
  <si>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</si>
  <si>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</si>
  <si>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</si>
  <si>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</si>
  <si>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</si>
  <si>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</si>
  <si>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</si>
  <si>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</si>
  <si>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</si>
  <si>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</si>
  <si>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</si>
  <si>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</si>
  <si>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</si>
  <si>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</si>
  <si>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</si>
  <si>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</si>
  <si>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</si>
  <si>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</si>
  <si>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</si>
  <si>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</si>
  <si>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</si>
  <si>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</si>
  <si>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</si>
  <si>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</si>
  <si>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</si>
  <si>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</si>
  <si>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</si>
  <si>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</si>
  <si>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</si>
  <si>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</si>
  <si>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</si>
  <si>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</si>
  <si>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брак</t>
  </si>
  <si>
    <t>заказ</t>
  </si>
  <si>
    <t>дн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</si>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</sst>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0" fontId="0" fillId="0" borderId="1" xfId="0" applyBorder="1"/>
    <xf numFmtId="164" fontId="6" fillId="0" borderId="1" xfId="1" applyNumberFormat="1" applyFont="1"/>
    <xf numFmtId="164" fontId="6" fillId="7" borderId="1" xfId="1" applyNumberFormat="1" applyFont="1" applyFill="1"/>
    <xf numFmtId="164" fontId="7" fillId="2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5" width="7" customWidth="1"/>
    <col min="16" max="16" width="7" style="17" customWidth="1"/>
    <col min="17" max="21" width="7" customWidth="1"/>
    <col min="22" max="23" width="5" customWidth="1"/>
    <col min="24" max="33" width="6" customWidth="1"/>
    <col min="34" max="34" width="47.7109375" customWidth="1"/>
    <col min="35" max="35" width="7" customWidth="1"/>
    <col min="3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1">
        <v>-1.05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8" t="s">
        <v>263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0" t="s">
        <v>262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261</v>
      </c>
      <c r="Q4" s="1" t="s">
        <v>23</v>
      </c>
      <c r="R4" s="1" t="s">
        <v>24</v>
      </c>
      <c r="S4" s="1" t="s">
        <v>25</v>
      </c>
      <c r="T4" s="1"/>
      <c r="U4" s="1" t="s">
        <v>264</v>
      </c>
      <c r="V4" s="1"/>
      <c r="W4" s="1"/>
      <c r="X4" s="1" t="s">
        <v>23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23431.403999999999</v>
      </c>
      <c r="F5" s="4">
        <f>SUM(F6:F497)</f>
        <v>27257.636000000002</v>
      </c>
      <c r="G5" s="7"/>
      <c r="H5" s="1"/>
      <c r="I5" s="1"/>
      <c r="J5" s="1"/>
      <c r="K5" s="4">
        <f t="shared" ref="K5:U5" si="0">SUM(K6:K497)</f>
        <v>26071.959999999995</v>
      </c>
      <c r="L5" s="4">
        <f t="shared" si="0"/>
        <v>-2640.556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-580</v>
      </c>
      <c r="Q5" s="4">
        <f t="shared" si="0"/>
        <v>12738.224502000001</v>
      </c>
      <c r="R5" s="4">
        <f t="shared" si="0"/>
        <v>7508.547959999999</v>
      </c>
      <c r="S5" s="4">
        <f t="shared" si="0"/>
        <v>4686.2807999999959</v>
      </c>
      <c r="T5" s="4">
        <f t="shared" si="0"/>
        <v>13936.530980000005</v>
      </c>
      <c r="U5" s="4">
        <f t="shared" si="0"/>
        <v>11216.734880000002</v>
      </c>
      <c r="V5" s="1"/>
      <c r="W5" s="1"/>
      <c r="X5" s="4">
        <f t="shared" ref="X5:AG5" si="1">SUM(X6:X497)</f>
        <v>5305.5445999999984</v>
      </c>
      <c r="Y5" s="4">
        <f t="shared" si="1"/>
        <v>5251.1022000000012</v>
      </c>
      <c r="Z5" s="4">
        <f t="shared" si="1"/>
        <v>4882.8654000000024</v>
      </c>
      <c r="AA5" s="4">
        <f t="shared" si="1"/>
        <v>4613.4834000000001</v>
      </c>
      <c r="AB5" s="4">
        <f t="shared" si="1"/>
        <v>4385.4256000000005</v>
      </c>
      <c r="AC5" s="4">
        <f t="shared" si="1"/>
        <v>4806.6853999999994</v>
      </c>
      <c r="AD5" s="4">
        <f t="shared" si="1"/>
        <v>4754.8182000000033</v>
      </c>
      <c r="AE5" s="4">
        <f t="shared" si="1"/>
        <v>3939.7021999999993</v>
      </c>
      <c r="AF5" s="4">
        <f t="shared" si="1"/>
        <v>4478.2339999999995</v>
      </c>
      <c r="AG5" s="4">
        <f t="shared" si="1"/>
        <v>4446.1929999999993</v>
      </c>
      <c r="AH5" s="1"/>
      <c r="AI5" s="4">
        <f>SUM(AI6:AI497)</f>
        <v>8634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889.04899999999998</v>
      </c>
      <c r="D6" s="1">
        <v>9.4109999999999996</v>
      </c>
      <c r="E6" s="1">
        <v>263.81700000000001</v>
      </c>
      <c r="F6" s="1">
        <v>609.52800000000002</v>
      </c>
      <c r="G6" s="7">
        <v>1</v>
      </c>
      <c r="H6" s="1">
        <v>50</v>
      </c>
      <c r="I6" s="1" t="s">
        <v>37</v>
      </c>
      <c r="J6" s="1"/>
      <c r="K6" s="1">
        <v>268.86</v>
      </c>
      <c r="L6" s="1">
        <f t="shared" ref="L6:L37" si="2">E6-K6</f>
        <v>-5.0430000000000064</v>
      </c>
      <c r="M6" s="1"/>
      <c r="N6" s="1"/>
      <c r="O6" s="1"/>
      <c r="P6" s="1"/>
      <c r="Q6" s="1"/>
      <c r="R6" s="1">
        <v>0</v>
      </c>
      <c r="S6" s="1">
        <f t="shared" ref="S6:S37" si="3">E6/5</f>
        <v>52.763400000000004</v>
      </c>
      <c r="T6" s="5">
        <f>12.5*S6-R6-Q6-O6-F6</f>
        <v>50.014499999999998</v>
      </c>
      <c r="U6" s="5">
        <f>T6</f>
        <v>50.014499999999998</v>
      </c>
      <c r="V6" s="1">
        <f>(F6+O6+Q6+R6+U6)/S6</f>
        <v>12.5</v>
      </c>
      <c r="W6" s="1">
        <f t="shared" ref="W6:W37" si="4">(F6+O6+Q6+R6)/S6</f>
        <v>11.552098613811847</v>
      </c>
      <c r="X6" s="1">
        <v>58.165599999999998</v>
      </c>
      <c r="Y6" s="1">
        <v>54.690600000000003</v>
      </c>
      <c r="Z6" s="1">
        <v>46.491</v>
      </c>
      <c r="AA6" s="1">
        <v>47.119399999999999</v>
      </c>
      <c r="AB6" s="1">
        <v>53.623600000000003</v>
      </c>
      <c r="AC6" s="1">
        <v>56.045000000000002</v>
      </c>
      <c r="AD6" s="1">
        <v>46.704799999999999</v>
      </c>
      <c r="AE6" s="1">
        <v>63.439599999999999</v>
      </c>
      <c r="AF6" s="1">
        <v>49.296799999999998</v>
      </c>
      <c r="AG6" s="1">
        <v>54.128</v>
      </c>
      <c r="AH6" s="19" t="s">
        <v>108</v>
      </c>
      <c r="AI6" s="1">
        <f>ROUND(G6*U6,0)</f>
        <v>50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665.452</v>
      </c>
      <c r="D7" s="1">
        <v>12.49</v>
      </c>
      <c r="E7" s="1">
        <v>604.06100000000004</v>
      </c>
      <c r="F7" s="1">
        <v>26.835999999999999</v>
      </c>
      <c r="G7" s="7">
        <v>1</v>
      </c>
      <c r="H7" s="1">
        <v>45</v>
      </c>
      <c r="I7" s="1" t="s">
        <v>40</v>
      </c>
      <c r="J7" s="1"/>
      <c r="K7" s="1">
        <v>635.58000000000004</v>
      </c>
      <c r="L7" s="1">
        <f t="shared" si="2"/>
        <v>-31.519000000000005</v>
      </c>
      <c r="M7" s="1"/>
      <c r="N7" s="1"/>
      <c r="O7" s="1"/>
      <c r="P7" s="1"/>
      <c r="Q7" s="1">
        <v>18.94399999999996</v>
      </c>
      <c r="R7" s="1">
        <v>454.38643999999999</v>
      </c>
      <c r="S7" s="1">
        <f t="shared" si="3"/>
        <v>120.8122</v>
      </c>
      <c r="T7" s="5">
        <f>10*S7-R7-Q7-O7-F7</f>
        <v>707.9555600000001</v>
      </c>
      <c r="U7" s="5">
        <f t="shared" ref="U7:U70" si="5">T7</f>
        <v>707.9555600000001</v>
      </c>
      <c r="V7" s="1">
        <f t="shared" ref="V7:V70" si="6">(F7+O7+Q7+R7+U7)/S7</f>
        <v>10</v>
      </c>
      <c r="W7" s="1">
        <f t="shared" si="4"/>
        <v>4.1400325463819048</v>
      </c>
      <c r="X7" s="1">
        <v>121.6172</v>
      </c>
      <c r="Y7" s="1">
        <v>57.033000000000001</v>
      </c>
      <c r="Z7" s="1">
        <v>50.988399999999999</v>
      </c>
      <c r="AA7" s="1">
        <v>57.305199999999999</v>
      </c>
      <c r="AB7" s="1">
        <v>50.251199999999997</v>
      </c>
      <c r="AC7" s="1">
        <v>39.101599999999998</v>
      </c>
      <c r="AD7" s="1">
        <v>44.53</v>
      </c>
      <c r="AE7" s="1">
        <v>37.011600000000001</v>
      </c>
      <c r="AF7" s="1">
        <v>45.130600000000001</v>
      </c>
      <c r="AG7" s="1">
        <v>43.219000000000001</v>
      </c>
      <c r="AH7" s="1"/>
      <c r="AI7" s="1">
        <f t="shared" ref="AI7:AI70" si="7">ROUND(G7*U7,0)</f>
        <v>708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703.71</v>
      </c>
      <c r="D8" s="1">
        <v>6.9160000000000004</v>
      </c>
      <c r="E8" s="1">
        <v>535.09799999999996</v>
      </c>
      <c r="F8" s="1">
        <v>131.88499999999999</v>
      </c>
      <c r="G8" s="7">
        <v>1</v>
      </c>
      <c r="H8" s="1">
        <v>45</v>
      </c>
      <c r="I8" s="1" t="s">
        <v>42</v>
      </c>
      <c r="J8" s="1"/>
      <c r="K8" s="1">
        <v>549.33399999999995</v>
      </c>
      <c r="L8" s="1">
        <f t="shared" si="2"/>
        <v>-14.23599999999999</v>
      </c>
      <c r="M8" s="1"/>
      <c r="N8" s="1"/>
      <c r="O8" s="1"/>
      <c r="P8" s="1"/>
      <c r="Q8" s="1">
        <v>79.832399999999893</v>
      </c>
      <c r="R8" s="1">
        <v>262.44080000000002</v>
      </c>
      <c r="S8" s="1">
        <f t="shared" si="3"/>
        <v>107.0196</v>
      </c>
      <c r="T8" s="5">
        <f>10*S8-R8-Q8-O8-F8</f>
        <v>596.03779999999995</v>
      </c>
      <c r="U8" s="5">
        <f t="shared" si="5"/>
        <v>596.03779999999995</v>
      </c>
      <c r="V8" s="1">
        <f t="shared" si="6"/>
        <v>10</v>
      </c>
      <c r="W8" s="1">
        <f t="shared" si="4"/>
        <v>4.430573465047523</v>
      </c>
      <c r="X8" s="1">
        <v>70.07419999999999</v>
      </c>
      <c r="Y8" s="1">
        <v>65.295199999999994</v>
      </c>
      <c r="Z8" s="1">
        <v>58.473199999999999</v>
      </c>
      <c r="AA8" s="1">
        <v>43.594799999999999</v>
      </c>
      <c r="AB8" s="1">
        <v>39.247</v>
      </c>
      <c r="AC8" s="1">
        <v>44.662799999999997</v>
      </c>
      <c r="AD8" s="1">
        <v>47.197400000000002</v>
      </c>
      <c r="AE8" s="1">
        <v>49.338799999999999</v>
      </c>
      <c r="AF8" s="1">
        <v>60.385000000000012</v>
      </c>
      <c r="AG8" s="1">
        <v>53.020799999999987</v>
      </c>
      <c r="AH8" s="1"/>
      <c r="AI8" s="1">
        <f t="shared" si="7"/>
        <v>596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>
        <v>825.60699999999997</v>
      </c>
      <c r="D9" s="1">
        <v>555</v>
      </c>
      <c r="E9" s="1">
        <v>562</v>
      </c>
      <c r="F9" s="1">
        <v>813.60699999999997</v>
      </c>
      <c r="G9" s="7">
        <v>0.45</v>
      </c>
      <c r="H9" s="1">
        <v>45</v>
      </c>
      <c r="I9" s="1" t="s">
        <v>45</v>
      </c>
      <c r="J9" s="1"/>
      <c r="K9" s="1">
        <v>559</v>
      </c>
      <c r="L9" s="1">
        <f t="shared" si="2"/>
        <v>3</v>
      </c>
      <c r="M9" s="1"/>
      <c r="N9" s="1"/>
      <c r="O9" s="1"/>
      <c r="P9" s="1"/>
      <c r="Q9" s="1">
        <v>215.59999999999991</v>
      </c>
      <c r="R9" s="1">
        <v>0</v>
      </c>
      <c r="S9" s="1">
        <f t="shared" si="3"/>
        <v>112.4</v>
      </c>
      <c r="T9" s="5">
        <f t="shared" ref="T9:T16" si="8">12.5*S9-R9-Q9-O9-F9</f>
        <v>375.79300000000012</v>
      </c>
      <c r="U9" s="5">
        <f>T9+$U$1*S9</f>
        <v>257.77300000000014</v>
      </c>
      <c r="V9" s="1">
        <f t="shared" si="6"/>
        <v>11.45</v>
      </c>
      <c r="W9" s="1">
        <f t="shared" si="4"/>
        <v>9.1566459074733082</v>
      </c>
      <c r="X9" s="1">
        <v>123</v>
      </c>
      <c r="Y9" s="1">
        <v>122</v>
      </c>
      <c r="Z9" s="1">
        <v>130.80000000000001</v>
      </c>
      <c r="AA9" s="1">
        <v>90.8</v>
      </c>
      <c r="AB9" s="1">
        <v>18.8</v>
      </c>
      <c r="AC9" s="1">
        <v>67</v>
      </c>
      <c r="AD9" s="1">
        <v>159.80000000000001</v>
      </c>
      <c r="AE9" s="1">
        <v>86.2</v>
      </c>
      <c r="AF9" s="1">
        <v>120.6</v>
      </c>
      <c r="AG9" s="1">
        <v>72.8</v>
      </c>
      <c r="AH9" s="1"/>
      <c r="AI9" s="1">
        <f t="shared" si="7"/>
        <v>116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44</v>
      </c>
      <c r="C10" s="1">
        <v>695</v>
      </c>
      <c r="D10" s="1">
        <v>179</v>
      </c>
      <c r="E10" s="1">
        <v>690</v>
      </c>
      <c r="F10" s="1">
        <v>156</v>
      </c>
      <c r="G10" s="7">
        <v>0.45</v>
      </c>
      <c r="H10" s="1">
        <v>45</v>
      </c>
      <c r="I10" s="1" t="s">
        <v>47</v>
      </c>
      <c r="J10" s="1"/>
      <c r="K10" s="1">
        <v>715</v>
      </c>
      <c r="L10" s="1">
        <f t="shared" si="2"/>
        <v>-25</v>
      </c>
      <c r="M10" s="1"/>
      <c r="N10" s="1"/>
      <c r="O10" s="1">
        <v>115</v>
      </c>
      <c r="P10" s="1"/>
      <c r="Q10" s="1">
        <v>842.59999999999991</v>
      </c>
      <c r="R10" s="1">
        <v>69.439999999999912</v>
      </c>
      <c r="S10" s="1">
        <f t="shared" si="3"/>
        <v>138</v>
      </c>
      <c r="T10" s="5">
        <f t="shared" si="8"/>
        <v>541.96000000000026</v>
      </c>
      <c r="U10" s="5">
        <f>T10+$U$1*S10</f>
        <v>397.06000000000029</v>
      </c>
      <c r="V10" s="1">
        <f t="shared" si="6"/>
        <v>11.45</v>
      </c>
      <c r="W10" s="1">
        <f t="shared" si="4"/>
        <v>8.5727536231884045</v>
      </c>
      <c r="X10" s="1">
        <v>155.19999999999999</v>
      </c>
      <c r="Y10" s="1">
        <v>140.19999999999999</v>
      </c>
      <c r="Z10" s="1">
        <v>109</v>
      </c>
      <c r="AA10" s="1">
        <v>125</v>
      </c>
      <c r="AB10" s="1">
        <v>115.6</v>
      </c>
      <c r="AC10" s="1">
        <v>125.6</v>
      </c>
      <c r="AD10" s="1">
        <v>126</v>
      </c>
      <c r="AE10" s="1">
        <v>99.2</v>
      </c>
      <c r="AF10" s="1">
        <v>110.2</v>
      </c>
      <c r="AG10" s="1">
        <v>113.8</v>
      </c>
      <c r="AH10" s="1"/>
      <c r="AI10" s="1">
        <f t="shared" si="7"/>
        <v>179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44</v>
      </c>
      <c r="C11" s="1">
        <v>302</v>
      </c>
      <c r="D11" s="1">
        <v>7</v>
      </c>
      <c r="E11" s="1">
        <v>124</v>
      </c>
      <c r="F11" s="1">
        <v>169</v>
      </c>
      <c r="G11" s="7">
        <v>0.17</v>
      </c>
      <c r="H11" s="1">
        <v>180</v>
      </c>
      <c r="I11" s="1" t="s">
        <v>49</v>
      </c>
      <c r="J11" s="1"/>
      <c r="K11" s="1">
        <v>125</v>
      </c>
      <c r="L11" s="1">
        <f t="shared" si="2"/>
        <v>-1</v>
      </c>
      <c r="M11" s="1"/>
      <c r="N11" s="1"/>
      <c r="O11" s="1"/>
      <c r="P11" s="1"/>
      <c r="Q11" s="1"/>
      <c r="R11" s="1">
        <v>0</v>
      </c>
      <c r="S11" s="1">
        <f t="shared" si="3"/>
        <v>24.8</v>
      </c>
      <c r="T11" s="5">
        <f t="shared" si="8"/>
        <v>141</v>
      </c>
      <c r="U11" s="5">
        <f t="shared" si="5"/>
        <v>141</v>
      </c>
      <c r="V11" s="1">
        <f t="shared" si="6"/>
        <v>12.5</v>
      </c>
      <c r="W11" s="1">
        <f t="shared" si="4"/>
        <v>6.814516129032258</v>
      </c>
      <c r="X11" s="1">
        <v>23.6</v>
      </c>
      <c r="Y11" s="1">
        <v>20.6</v>
      </c>
      <c r="Z11" s="1">
        <v>16.399999999999999</v>
      </c>
      <c r="AA11" s="1">
        <v>10.199999999999999</v>
      </c>
      <c r="AB11" s="1">
        <v>11</v>
      </c>
      <c r="AC11" s="1">
        <v>13.6</v>
      </c>
      <c r="AD11" s="1">
        <v>17.2</v>
      </c>
      <c r="AE11" s="1">
        <v>16</v>
      </c>
      <c r="AF11" s="1">
        <v>12.6</v>
      </c>
      <c r="AG11" s="1">
        <v>15</v>
      </c>
      <c r="AH11" s="1"/>
      <c r="AI11" s="1">
        <f t="shared" si="7"/>
        <v>24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50</v>
      </c>
      <c r="B12" s="1" t="s">
        <v>44</v>
      </c>
      <c r="C12" s="1">
        <v>201</v>
      </c>
      <c r="D12" s="1">
        <v>11</v>
      </c>
      <c r="E12" s="1">
        <v>144</v>
      </c>
      <c r="F12" s="1">
        <v>43</v>
      </c>
      <c r="G12" s="7">
        <v>0.3</v>
      </c>
      <c r="H12" s="1">
        <v>40</v>
      </c>
      <c r="I12" s="1" t="s">
        <v>51</v>
      </c>
      <c r="J12" s="1"/>
      <c r="K12" s="1">
        <v>169</v>
      </c>
      <c r="L12" s="1">
        <f t="shared" si="2"/>
        <v>-25</v>
      </c>
      <c r="M12" s="1"/>
      <c r="N12" s="1"/>
      <c r="O12" s="1"/>
      <c r="P12" s="1"/>
      <c r="Q12" s="1">
        <v>180.6</v>
      </c>
      <c r="R12" s="1">
        <v>0</v>
      </c>
      <c r="S12" s="1">
        <f t="shared" si="3"/>
        <v>28.8</v>
      </c>
      <c r="T12" s="5">
        <f t="shared" si="8"/>
        <v>136.4</v>
      </c>
      <c r="U12" s="5">
        <f t="shared" si="5"/>
        <v>136.4</v>
      </c>
      <c r="V12" s="1">
        <f t="shared" si="6"/>
        <v>12.5</v>
      </c>
      <c r="W12" s="1">
        <f t="shared" si="4"/>
        <v>7.7638888888888884</v>
      </c>
      <c r="X12" s="1">
        <v>27.8</v>
      </c>
      <c r="Y12" s="1">
        <v>31.8</v>
      </c>
      <c r="Z12" s="1">
        <v>25.6</v>
      </c>
      <c r="AA12" s="1">
        <v>14.2</v>
      </c>
      <c r="AB12" s="1">
        <v>10.199999999999999</v>
      </c>
      <c r="AC12" s="1">
        <v>20.8</v>
      </c>
      <c r="AD12" s="1">
        <v>31</v>
      </c>
      <c r="AE12" s="1">
        <v>16.600000000000001</v>
      </c>
      <c r="AF12" s="1">
        <v>28.8</v>
      </c>
      <c r="AG12" s="1">
        <v>5</v>
      </c>
      <c r="AH12" s="1"/>
      <c r="AI12" s="1">
        <f t="shared" si="7"/>
        <v>41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44</v>
      </c>
      <c r="C13" s="1">
        <v>545</v>
      </c>
      <c r="D13" s="1">
        <v>7</v>
      </c>
      <c r="E13" s="1">
        <v>201</v>
      </c>
      <c r="F13" s="1">
        <v>331</v>
      </c>
      <c r="G13" s="7">
        <v>0.17</v>
      </c>
      <c r="H13" s="1">
        <v>180</v>
      </c>
      <c r="I13" s="1" t="s">
        <v>53</v>
      </c>
      <c r="J13" s="1"/>
      <c r="K13" s="1">
        <v>204</v>
      </c>
      <c r="L13" s="1">
        <f t="shared" si="2"/>
        <v>-3</v>
      </c>
      <c r="M13" s="1"/>
      <c r="N13" s="1"/>
      <c r="O13" s="1"/>
      <c r="P13" s="1"/>
      <c r="Q13" s="1"/>
      <c r="R13" s="1">
        <v>0</v>
      </c>
      <c r="S13" s="1">
        <f t="shared" si="3"/>
        <v>40.200000000000003</v>
      </c>
      <c r="T13" s="5">
        <f t="shared" si="8"/>
        <v>171.50000000000006</v>
      </c>
      <c r="U13" s="5">
        <f t="shared" si="5"/>
        <v>171.50000000000006</v>
      </c>
      <c r="V13" s="1">
        <f t="shared" si="6"/>
        <v>12.5</v>
      </c>
      <c r="W13" s="1">
        <f t="shared" si="4"/>
        <v>8.2338308457711431</v>
      </c>
      <c r="X13" s="1">
        <v>31.4</v>
      </c>
      <c r="Y13" s="1">
        <v>25.6</v>
      </c>
      <c r="Z13" s="1">
        <v>24</v>
      </c>
      <c r="AA13" s="1">
        <v>16.2</v>
      </c>
      <c r="AB13" s="1">
        <v>15</v>
      </c>
      <c r="AC13" s="1">
        <v>12.2</v>
      </c>
      <c r="AD13" s="1">
        <v>19.600000000000001</v>
      </c>
      <c r="AE13" s="1">
        <v>22</v>
      </c>
      <c r="AF13" s="1">
        <v>19.8</v>
      </c>
      <c r="AG13" s="1">
        <v>22</v>
      </c>
      <c r="AH13" s="1"/>
      <c r="AI13" s="1">
        <f t="shared" si="7"/>
        <v>29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36</v>
      </c>
      <c r="C14" s="1">
        <v>1404.5229999999999</v>
      </c>
      <c r="D14" s="1">
        <v>9.6890000000000001</v>
      </c>
      <c r="E14" s="1">
        <v>509.04399999999998</v>
      </c>
      <c r="F14" s="1">
        <v>887.94399999999996</v>
      </c>
      <c r="G14" s="7">
        <v>1</v>
      </c>
      <c r="H14" s="1">
        <v>70</v>
      </c>
      <c r="I14" s="1" t="s">
        <v>55</v>
      </c>
      <c r="J14" s="1"/>
      <c r="K14" s="1">
        <v>473.31</v>
      </c>
      <c r="L14" s="1">
        <f t="shared" si="2"/>
        <v>35.73399999999998</v>
      </c>
      <c r="M14" s="1"/>
      <c r="N14" s="1"/>
      <c r="O14" s="1"/>
      <c r="P14" s="1"/>
      <c r="Q14" s="1"/>
      <c r="R14" s="1">
        <v>61.493679999999877</v>
      </c>
      <c r="S14" s="1">
        <f t="shared" si="3"/>
        <v>101.80879999999999</v>
      </c>
      <c r="T14" s="5">
        <f t="shared" si="8"/>
        <v>323.17232000000013</v>
      </c>
      <c r="U14" s="5">
        <f t="shared" ref="U14:U15" si="9">T14+$U$1*S14</f>
        <v>216.27308000000014</v>
      </c>
      <c r="V14" s="1">
        <f t="shared" si="6"/>
        <v>11.450000000000001</v>
      </c>
      <c r="W14" s="1">
        <f t="shared" si="4"/>
        <v>9.3256936532009025</v>
      </c>
      <c r="X14" s="1">
        <v>108.13339999999999</v>
      </c>
      <c r="Y14" s="1">
        <v>101.485</v>
      </c>
      <c r="Z14" s="1">
        <v>95.054000000000002</v>
      </c>
      <c r="AA14" s="1">
        <v>97.219200000000001</v>
      </c>
      <c r="AB14" s="1">
        <v>95.599800000000002</v>
      </c>
      <c r="AC14" s="1">
        <v>102.29300000000001</v>
      </c>
      <c r="AD14" s="1">
        <v>68.812399999999997</v>
      </c>
      <c r="AE14" s="1">
        <v>85.433599999999998</v>
      </c>
      <c r="AF14" s="1">
        <v>78.587000000000003</v>
      </c>
      <c r="AG14" s="1">
        <v>103.93380000000001</v>
      </c>
      <c r="AH14" s="1"/>
      <c r="AI14" s="1">
        <f t="shared" si="7"/>
        <v>216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36</v>
      </c>
      <c r="C15" s="1">
        <v>4718.5690000000004</v>
      </c>
      <c r="D15" s="1">
        <v>93.034999999999997</v>
      </c>
      <c r="E15" s="1">
        <v>2089.4740000000002</v>
      </c>
      <c r="F15" s="1">
        <v>2521.1880000000001</v>
      </c>
      <c r="G15" s="7">
        <v>1</v>
      </c>
      <c r="H15" s="1">
        <v>50</v>
      </c>
      <c r="I15" s="1" t="s">
        <v>57</v>
      </c>
      <c r="J15" s="1"/>
      <c r="K15" s="1">
        <v>2152.011</v>
      </c>
      <c r="L15" s="1">
        <f t="shared" si="2"/>
        <v>-62.536999999999807</v>
      </c>
      <c r="M15" s="1"/>
      <c r="N15" s="1"/>
      <c r="O15" s="1">
        <v>500</v>
      </c>
      <c r="P15" s="1"/>
      <c r="Q15" s="1">
        <v>1279.897199999999</v>
      </c>
      <c r="R15" s="1">
        <v>0</v>
      </c>
      <c r="S15" s="1">
        <f t="shared" si="3"/>
        <v>417.89480000000003</v>
      </c>
      <c r="T15" s="5">
        <f t="shared" si="8"/>
        <v>922.59980000000132</v>
      </c>
      <c r="U15" s="5">
        <f t="shared" si="9"/>
        <v>483.81026000000128</v>
      </c>
      <c r="V15" s="1">
        <f t="shared" si="6"/>
        <v>11.450000000000001</v>
      </c>
      <c r="W15" s="1">
        <f t="shared" si="4"/>
        <v>10.292267814770605</v>
      </c>
      <c r="X15" s="1">
        <v>444.3236</v>
      </c>
      <c r="Y15" s="1">
        <v>493.88639999999998</v>
      </c>
      <c r="Z15" s="1">
        <v>433.84800000000001</v>
      </c>
      <c r="AA15" s="1">
        <v>434.37839999999989</v>
      </c>
      <c r="AB15" s="1">
        <v>429.15240000000011</v>
      </c>
      <c r="AC15" s="1">
        <v>496.16739999999999</v>
      </c>
      <c r="AD15" s="1">
        <v>412.55460000000011</v>
      </c>
      <c r="AE15" s="1">
        <v>402.76819999999998</v>
      </c>
      <c r="AF15" s="1">
        <v>385.99779999999998</v>
      </c>
      <c r="AG15" s="1">
        <v>456.52380000000011</v>
      </c>
      <c r="AH15" s="1"/>
      <c r="AI15" s="1">
        <f t="shared" si="7"/>
        <v>484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36</v>
      </c>
      <c r="C16" s="1">
        <v>89.793999999999997</v>
      </c>
      <c r="D16" s="1"/>
      <c r="E16" s="1">
        <v>89.234999999999999</v>
      </c>
      <c r="F16" s="1">
        <v>-2.1349999999999998</v>
      </c>
      <c r="G16" s="7">
        <v>1</v>
      </c>
      <c r="H16" s="1">
        <v>60</v>
      </c>
      <c r="I16" s="1" t="s">
        <v>59</v>
      </c>
      <c r="J16" s="1"/>
      <c r="K16" s="1">
        <v>80.900000000000006</v>
      </c>
      <c r="L16" s="1">
        <f t="shared" si="2"/>
        <v>8.3349999999999937</v>
      </c>
      <c r="M16" s="1"/>
      <c r="N16" s="1"/>
      <c r="O16" s="1">
        <v>34.839804000000029</v>
      </c>
      <c r="P16" s="1"/>
      <c r="Q16" s="1">
        <v>50.633395999999991</v>
      </c>
      <c r="R16" s="1">
        <v>64.391599999999954</v>
      </c>
      <c r="S16" s="1">
        <f t="shared" si="3"/>
        <v>17.847000000000001</v>
      </c>
      <c r="T16" s="5">
        <f t="shared" si="8"/>
        <v>75.357700000000037</v>
      </c>
      <c r="U16" s="5">
        <f t="shared" si="5"/>
        <v>75.357700000000037</v>
      </c>
      <c r="V16" s="1">
        <f t="shared" si="6"/>
        <v>12.500000000000002</v>
      </c>
      <c r="W16" s="1">
        <f t="shared" si="4"/>
        <v>8.2775704600212912</v>
      </c>
      <c r="X16" s="1">
        <v>16.242799999999999</v>
      </c>
      <c r="Y16" s="1">
        <v>14.605600000000001</v>
      </c>
      <c r="Z16" s="1">
        <v>13.058199999999999</v>
      </c>
      <c r="AA16" s="1">
        <v>15.687200000000001</v>
      </c>
      <c r="AB16" s="1">
        <v>14.436199999999999</v>
      </c>
      <c r="AC16" s="1">
        <v>16.920999999999999</v>
      </c>
      <c r="AD16" s="1">
        <v>17.105399999999999</v>
      </c>
      <c r="AE16" s="1">
        <v>7.8916000000000004</v>
      </c>
      <c r="AF16" s="1">
        <v>13.2926</v>
      </c>
      <c r="AG16" s="1">
        <v>6.5541999999999998</v>
      </c>
      <c r="AH16" s="1"/>
      <c r="AI16" s="1">
        <f t="shared" si="7"/>
        <v>75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9" t="s">
        <v>60</v>
      </c>
      <c r="B17" s="9" t="s">
        <v>36</v>
      </c>
      <c r="C17" s="9">
        <v>-376.17599999999999</v>
      </c>
      <c r="D17" s="9"/>
      <c r="E17" s="12">
        <v>-1.45</v>
      </c>
      <c r="F17" s="12">
        <v>-376.17599999999999</v>
      </c>
      <c r="G17" s="10">
        <v>0</v>
      </c>
      <c r="H17" s="9"/>
      <c r="I17" s="9" t="s">
        <v>61</v>
      </c>
      <c r="J17" s="9" t="s">
        <v>62</v>
      </c>
      <c r="K17" s="9"/>
      <c r="L17" s="9">
        <f t="shared" si="2"/>
        <v>-1.45</v>
      </c>
      <c r="M17" s="9"/>
      <c r="N17" s="9"/>
      <c r="O17" s="9"/>
      <c r="P17" s="9"/>
      <c r="Q17" s="9"/>
      <c r="R17" s="9">
        <v>0</v>
      </c>
      <c r="S17" s="9">
        <f t="shared" si="3"/>
        <v>-0.28999999999999998</v>
      </c>
      <c r="T17" s="11"/>
      <c r="U17" s="5">
        <f t="shared" si="5"/>
        <v>0</v>
      </c>
      <c r="V17" s="1">
        <f t="shared" si="6"/>
        <v>1297.1586206896552</v>
      </c>
      <c r="W17" s="9">
        <f t="shared" si="4"/>
        <v>1297.1586206896552</v>
      </c>
      <c r="X17" s="9">
        <v>2.3957999999999999</v>
      </c>
      <c r="Y17" s="9">
        <v>4.0928000000000022</v>
      </c>
      <c r="Z17" s="9">
        <v>38.834000000000003</v>
      </c>
      <c r="AA17" s="9">
        <v>76.428399999999996</v>
      </c>
      <c r="AB17" s="9">
        <v>138.869</v>
      </c>
      <c r="AC17" s="9">
        <v>202.4058</v>
      </c>
      <c r="AD17" s="9">
        <v>226.36940000000001</v>
      </c>
      <c r="AE17" s="9">
        <v>199.435</v>
      </c>
      <c r="AF17" s="9">
        <v>217.35759999999999</v>
      </c>
      <c r="AG17" s="9">
        <v>205.24799999999999</v>
      </c>
      <c r="AH17" s="9" t="s">
        <v>63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64</v>
      </c>
      <c r="B18" s="1" t="s">
        <v>36</v>
      </c>
      <c r="C18" s="1">
        <v>70.022999999999996</v>
      </c>
      <c r="D18" s="1"/>
      <c r="E18" s="1">
        <v>23.04</v>
      </c>
      <c r="F18" s="1">
        <v>33.655000000000001</v>
      </c>
      <c r="G18" s="7">
        <v>1</v>
      </c>
      <c r="H18" s="1">
        <v>60</v>
      </c>
      <c r="I18" s="1" t="s">
        <v>65</v>
      </c>
      <c r="J18" s="1"/>
      <c r="K18" s="1">
        <v>29.68</v>
      </c>
      <c r="L18" s="1">
        <f t="shared" si="2"/>
        <v>-6.6400000000000006</v>
      </c>
      <c r="M18" s="1"/>
      <c r="N18" s="1"/>
      <c r="O18" s="1">
        <v>3.9520940000000171</v>
      </c>
      <c r="P18" s="1"/>
      <c r="Q18" s="1">
        <v>34.360906</v>
      </c>
      <c r="R18" s="1">
        <v>0</v>
      </c>
      <c r="S18" s="1">
        <f t="shared" si="3"/>
        <v>4.6079999999999997</v>
      </c>
      <c r="T18" s="5"/>
      <c r="U18" s="5">
        <f t="shared" si="5"/>
        <v>0</v>
      </c>
      <c r="V18" s="1">
        <f t="shared" si="6"/>
        <v>15.618055555555561</v>
      </c>
      <c r="W18" s="1">
        <f t="shared" si="4"/>
        <v>15.618055555555561</v>
      </c>
      <c r="X18" s="1">
        <v>6.5492000000000008</v>
      </c>
      <c r="Y18" s="1">
        <v>9.0280000000000005</v>
      </c>
      <c r="Z18" s="1">
        <v>8.1191999999999993</v>
      </c>
      <c r="AA18" s="1">
        <v>9.7012</v>
      </c>
      <c r="AB18" s="1">
        <v>9.1652000000000005</v>
      </c>
      <c r="AC18" s="1">
        <v>10.414</v>
      </c>
      <c r="AD18" s="1">
        <v>8.4854000000000003</v>
      </c>
      <c r="AE18" s="1">
        <v>9.9833999999999996</v>
      </c>
      <c r="AF18" s="1">
        <v>6.6639999999999997</v>
      </c>
      <c r="AG18" s="1">
        <v>7.9236000000000004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66</v>
      </c>
      <c r="B19" s="1" t="s">
        <v>36</v>
      </c>
      <c r="C19" s="1">
        <v>27.72</v>
      </c>
      <c r="D19" s="1">
        <v>11.369</v>
      </c>
      <c r="E19" s="1">
        <v>24.318000000000001</v>
      </c>
      <c r="F19" s="1">
        <v>9.1010000000000009</v>
      </c>
      <c r="G19" s="7">
        <v>1</v>
      </c>
      <c r="H19" s="1">
        <v>180</v>
      </c>
      <c r="I19" s="1" t="s">
        <v>67</v>
      </c>
      <c r="J19" s="1"/>
      <c r="K19" s="1">
        <v>23.04</v>
      </c>
      <c r="L19" s="1">
        <f t="shared" si="2"/>
        <v>1.2780000000000022</v>
      </c>
      <c r="M19" s="1"/>
      <c r="N19" s="1"/>
      <c r="O19" s="1"/>
      <c r="P19" s="1"/>
      <c r="Q19" s="1">
        <v>14.129400000000009</v>
      </c>
      <c r="R19" s="1">
        <v>14.2872</v>
      </c>
      <c r="S19" s="1">
        <f t="shared" si="3"/>
        <v>4.8635999999999999</v>
      </c>
      <c r="T19" s="5">
        <f>12.5*S19-R19-Q19-O19-F19</f>
        <v>23.277399999999993</v>
      </c>
      <c r="U19" s="5">
        <f t="shared" si="5"/>
        <v>23.277399999999993</v>
      </c>
      <c r="V19" s="1">
        <f t="shared" si="6"/>
        <v>12.5</v>
      </c>
      <c r="W19" s="1">
        <f t="shared" si="4"/>
        <v>7.7139567398634776</v>
      </c>
      <c r="X19" s="1">
        <v>4.5688000000000004</v>
      </c>
      <c r="Y19" s="1">
        <v>4.2078000000000007</v>
      </c>
      <c r="Z19" s="1">
        <v>4.0621999999999998</v>
      </c>
      <c r="AA19" s="1">
        <v>2.8765999999999998</v>
      </c>
      <c r="AB19" s="1">
        <v>1.7242</v>
      </c>
      <c r="AC19" s="1">
        <v>1.1576</v>
      </c>
      <c r="AD19" s="1">
        <v>1.0666</v>
      </c>
      <c r="AE19" s="1">
        <v>1.5609999999999999</v>
      </c>
      <c r="AF19" s="1">
        <v>2.3315999999999999</v>
      </c>
      <c r="AG19" s="1">
        <v>1.694</v>
      </c>
      <c r="AH19" s="1"/>
      <c r="AI19" s="1">
        <f t="shared" si="7"/>
        <v>23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68</v>
      </c>
      <c r="B20" s="1" t="s">
        <v>36</v>
      </c>
      <c r="C20" s="1">
        <v>1124.6479999999999</v>
      </c>
      <c r="D20" s="1">
        <v>4.4080000000000004</v>
      </c>
      <c r="E20" s="1">
        <v>448.23</v>
      </c>
      <c r="F20" s="1">
        <v>681.41200000000003</v>
      </c>
      <c r="G20" s="7">
        <v>1</v>
      </c>
      <c r="H20" s="1">
        <v>60</v>
      </c>
      <c r="I20" s="1" t="s">
        <v>69</v>
      </c>
      <c r="J20" s="1"/>
      <c r="K20" s="1">
        <v>403.738</v>
      </c>
      <c r="L20" s="1">
        <f t="shared" si="2"/>
        <v>44.492000000000019</v>
      </c>
      <c r="M20" s="1"/>
      <c r="N20" s="1"/>
      <c r="O20" s="1"/>
      <c r="P20" s="1"/>
      <c r="Q20" s="1"/>
      <c r="R20" s="1">
        <v>38.023079999999979</v>
      </c>
      <c r="S20" s="1">
        <f t="shared" si="3"/>
        <v>89.646000000000001</v>
      </c>
      <c r="T20" s="5">
        <f>12.5*S20-R20-Q20-O20-F20</f>
        <v>401.13992000000007</v>
      </c>
      <c r="U20" s="5">
        <f>T20+$U$1*S20</f>
        <v>307.01162000000005</v>
      </c>
      <c r="V20" s="1">
        <f t="shared" si="6"/>
        <v>11.45</v>
      </c>
      <c r="W20" s="1">
        <f t="shared" si="4"/>
        <v>8.0252892488231478</v>
      </c>
      <c r="X20" s="1">
        <v>88.110399999999998</v>
      </c>
      <c r="Y20" s="1">
        <v>82.381200000000007</v>
      </c>
      <c r="Z20" s="1">
        <v>76.139800000000008</v>
      </c>
      <c r="AA20" s="1">
        <v>91.680800000000005</v>
      </c>
      <c r="AB20" s="1">
        <v>92.388800000000003</v>
      </c>
      <c r="AC20" s="1">
        <v>96.874600000000001</v>
      </c>
      <c r="AD20" s="1">
        <v>72.781599999999997</v>
      </c>
      <c r="AE20" s="1">
        <v>77.642200000000003</v>
      </c>
      <c r="AF20" s="1">
        <v>62.739400000000003</v>
      </c>
      <c r="AG20" s="1">
        <v>79.265599999999992</v>
      </c>
      <c r="AH20" s="1"/>
      <c r="AI20" s="1">
        <f t="shared" si="7"/>
        <v>307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9" t="s">
        <v>70</v>
      </c>
      <c r="B21" s="9" t="s">
        <v>36</v>
      </c>
      <c r="C21" s="9">
        <v>-30.382000000000001</v>
      </c>
      <c r="D21" s="9"/>
      <c r="E21" s="9"/>
      <c r="F21" s="12">
        <v>-30.382000000000001</v>
      </c>
      <c r="G21" s="10">
        <v>0</v>
      </c>
      <c r="H21" s="9"/>
      <c r="I21" s="9" t="s">
        <v>71</v>
      </c>
      <c r="J21" s="9" t="s">
        <v>72</v>
      </c>
      <c r="K21" s="9"/>
      <c r="L21" s="9">
        <f t="shared" si="2"/>
        <v>0</v>
      </c>
      <c r="M21" s="9"/>
      <c r="N21" s="9"/>
      <c r="O21" s="9"/>
      <c r="P21" s="9"/>
      <c r="Q21" s="9"/>
      <c r="R21" s="9">
        <v>0</v>
      </c>
      <c r="S21" s="9">
        <f t="shared" si="3"/>
        <v>0</v>
      </c>
      <c r="T21" s="11"/>
      <c r="U21" s="5">
        <f t="shared" si="5"/>
        <v>0</v>
      </c>
      <c r="V21" s="1" t="e">
        <f t="shared" si="6"/>
        <v>#DIV/0!</v>
      </c>
      <c r="W21" s="9" t="e">
        <f t="shared" si="4"/>
        <v>#DIV/0!</v>
      </c>
      <c r="X21" s="9">
        <v>0</v>
      </c>
      <c r="Y21" s="9">
        <v>0</v>
      </c>
      <c r="Z21" s="9">
        <v>0</v>
      </c>
      <c r="AA21" s="9">
        <v>6.0763999999999996</v>
      </c>
      <c r="AB21" s="9">
        <v>6.0763999999999996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73</v>
      </c>
      <c r="B22" s="1" t="s">
        <v>36</v>
      </c>
      <c r="C22" s="1">
        <v>110.27200000000001</v>
      </c>
      <c r="D22" s="1">
        <v>79.215999999999994</v>
      </c>
      <c r="E22" s="1">
        <v>111.40600000000001</v>
      </c>
      <c r="F22" s="1">
        <v>73.706999999999994</v>
      </c>
      <c r="G22" s="7">
        <v>1</v>
      </c>
      <c r="H22" s="1">
        <v>70</v>
      </c>
      <c r="I22" s="1" t="s">
        <v>74</v>
      </c>
      <c r="J22" s="1"/>
      <c r="K22" s="1">
        <v>108.136</v>
      </c>
      <c r="L22" s="1">
        <f t="shared" si="2"/>
        <v>3.2700000000000102</v>
      </c>
      <c r="M22" s="1"/>
      <c r="N22" s="1"/>
      <c r="O22" s="1">
        <v>37.113200000000063</v>
      </c>
      <c r="P22" s="1"/>
      <c r="Q22" s="1">
        <v>116.7803999999999</v>
      </c>
      <c r="R22" s="1">
        <v>24.678000000000068</v>
      </c>
      <c r="S22" s="1">
        <f t="shared" si="3"/>
        <v>22.281200000000002</v>
      </c>
      <c r="T22" s="5">
        <f>12.5*S22-R22-Q22-O22-F22</f>
        <v>26.236400000000032</v>
      </c>
      <c r="U22" s="5">
        <f t="shared" si="5"/>
        <v>26.236400000000032</v>
      </c>
      <c r="V22" s="1">
        <f t="shared" si="6"/>
        <v>12.500000000000004</v>
      </c>
      <c r="W22" s="1">
        <f t="shared" si="4"/>
        <v>11.322487119185682</v>
      </c>
      <c r="X22" s="1">
        <v>26.270199999999999</v>
      </c>
      <c r="Y22" s="1">
        <v>28.505600000000001</v>
      </c>
      <c r="Z22" s="1">
        <v>26.021799999999999</v>
      </c>
      <c r="AA22" s="1">
        <v>23.624600000000001</v>
      </c>
      <c r="AB22" s="1">
        <v>19.945599999999999</v>
      </c>
      <c r="AC22" s="1">
        <v>26.001000000000001</v>
      </c>
      <c r="AD22" s="1">
        <v>23.799199999999999</v>
      </c>
      <c r="AE22" s="1">
        <v>17.553000000000001</v>
      </c>
      <c r="AF22" s="1">
        <v>20.255400000000002</v>
      </c>
      <c r="AG22" s="1">
        <v>21.950600000000001</v>
      </c>
      <c r="AH22" s="1"/>
      <c r="AI22" s="1">
        <f t="shared" si="7"/>
        <v>26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75</v>
      </c>
      <c r="B23" s="1" t="s">
        <v>36</v>
      </c>
      <c r="C23" s="1">
        <v>684.83</v>
      </c>
      <c r="D23" s="1">
        <v>1.7609999999999999</v>
      </c>
      <c r="E23" s="1">
        <v>231.73500000000001</v>
      </c>
      <c r="F23" s="1">
        <v>454.88900000000001</v>
      </c>
      <c r="G23" s="7">
        <v>1</v>
      </c>
      <c r="H23" s="1">
        <v>70</v>
      </c>
      <c r="I23" s="1" t="s">
        <v>76</v>
      </c>
      <c r="J23" s="1"/>
      <c r="K23" s="1">
        <v>207.5</v>
      </c>
      <c r="L23" s="1">
        <f t="shared" si="2"/>
        <v>24.235000000000014</v>
      </c>
      <c r="M23" s="1"/>
      <c r="N23" s="1"/>
      <c r="O23" s="1"/>
      <c r="P23" s="1"/>
      <c r="Q23" s="1"/>
      <c r="R23" s="1">
        <v>0</v>
      </c>
      <c r="S23" s="1">
        <f t="shared" si="3"/>
        <v>46.347000000000001</v>
      </c>
      <c r="T23" s="5">
        <f>12.5*S23-R23-Q23-O23-F23</f>
        <v>124.44849999999997</v>
      </c>
      <c r="U23" s="5">
        <f t="shared" si="5"/>
        <v>124.44849999999997</v>
      </c>
      <c r="V23" s="1">
        <f t="shared" si="6"/>
        <v>12.5</v>
      </c>
      <c r="W23" s="1">
        <f t="shared" si="4"/>
        <v>9.8148531728051438</v>
      </c>
      <c r="X23" s="1">
        <v>45.730200000000004</v>
      </c>
      <c r="Y23" s="1">
        <v>49.275599999999997</v>
      </c>
      <c r="Z23" s="1">
        <v>48.636000000000003</v>
      </c>
      <c r="AA23" s="1">
        <v>32.852600000000002</v>
      </c>
      <c r="AB23" s="1">
        <v>19.3628</v>
      </c>
      <c r="AC23" s="1">
        <v>28.8674</v>
      </c>
      <c r="AD23" s="1">
        <v>34.682400000000001</v>
      </c>
      <c r="AE23" s="1">
        <v>32.679199999999987</v>
      </c>
      <c r="AF23" s="1">
        <v>30.837599999999998</v>
      </c>
      <c r="AG23" s="1">
        <v>28.3216</v>
      </c>
      <c r="AH23" s="1"/>
      <c r="AI23" s="1">
        <f t="shared" si="7"/>
        <v>124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77</v>
      </c>
      <c r="B24" s="1" t="s">
        <v>36</v>
      </c>
      <c r="C24" s="1">
        <v>15.23</v>
      </c>
      <c r="D24" s="1">
        <v>32.238999999999997</v>
      </c>
      <c r="E24" s="1">
        <v>17.672999999999998</v>
      </c>
      <c r="F24" s="1">
        <v>27.109000000000002</v>
      </c>
      <c r="G24" s="7">
        <v>1</v>
      </c>
      <c r="H24" s="1">
        <v>180</v>
      </c>
      <c r="I24" s="1" t="s">
        <v>78</v>
      </c>
      <c r="J24" s="1"/>
      <c r="K24" s="1">
        <v>13.7</v>
      </c>
      <c r="L24" s="1">
        <f t="shared" si="2"/>
        <v>3.972999999999999</v>
      </c>
      <c r="M24" s="1"/>
      <c r="N24" s="1"/>
      <c r="O24" s="1"/>
      <c r="P24" s="1"/>
      <c r="Q24" s="1">
        <v>12.30840000000001</v>
      </c>
      <c r="R24" s="1">
        <v>7.7257999999999853</v>
      </c>
      <c r="S24" s="1">
        <f t="shared" si="3"/>
        <v>3.5345999999999997</v>
      </c>
      <c r="T24" s="5"/>
      <c r="U24" s="5">
        <f t="shared" si="5"/>
        <v>0</v>
      </c>
      <c r="V24" s="1">
        <f t="shared" si="6"/>
        <v>13.337633678492617</v>
      </c>
      <c r="W24" s="1">
        <f t="shared" si="4"/>
        <v>13.337633678492617</v>
      </c>
      <c r="X24" s="1">
        <v>4.4659999999999993</v>
      </c>
      <c r="Y24" s="1">
        <v>4.6436000000000002</v>
      </c>
      <c r="Z24" s="1">
        <v>4.6448</v>
      </c>
      <c r="AA24" s="1">
        <v>2.6063999999999998</v>
      </c>
      <c r="AB24" s="1">
        <v>2.6286</v>
      </c>
      <c r="AC24" s="1">
        <v>2.681</v>
      </c>
      <c r="AD24" s="1">
        <v>4.7835999999999999</v>
      </c>
      <c r="AE24" s="1">
        <v>1.4914000000000001</v>
      </c>
      <c r="AF24" s="1">
        <v>2.7326000000000001</v>
      </c>
      <c r="AG24" s="1">
        <v>2.423</v>
      </c>
      <c r="AH24" s="1"/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79</v>
      </c>
      <c r="B25" s="1" t="s">
        <v>36</v>
      </c>
      <c r="C25" s="1">
        <v>1052.877</v>
      </c>
      <c r="D25" s="1"/>
      <c r="E25" s="1">
        <v>210.37200000000001</v>
      </c>
      <c r="F25" s="1">
        <v>843.38499999999999</v>
      </c>
      <c r="G25" s="7">
        <v>1</v>
      </c>
      <c r="H25" s="1">
        <v>70</v>
      </c>
      <c r="I25" s="1" t="s">
        <v>80</v>
      </c>
      <c r="J25" s="1"/>
      <c r="K25" s="1">
        <v>188.654</v>
      </c>
      <c r="L25" s="1">
        <f t="shared" si="2"/>
        <v>21.718000000000018</v>
      </c>
      <c r="M25" s="1"/>
      <c r="N25" s="1"/>
      <c r="O25" s="1"/>
      <c r="P25" s="1"/>
      <c r="Q25" s="1"/>
      <c r="R25" s="1">
        <v>0</v>
      </c>
      <c r="S25" s="1">
        <f t="shared" si="3"/>
        <v>42.074400000000004</v>
      </c>
      <c r="T25" s="5"/>
      <c r="U25" s="5">
        <f t="shared" si="5"/>
        <v>0</v>
      </c>
      <c r="V25" s="1">
        <f t="shared" si="6"/>
        <v>20.045086798623387</v>
      </c>
      <c r="W25" s="1">
        <f t="shared" si="4"/>
        <v>20.045086798623387</v>
      </c>
      <c r="X25" s="1">
        <v>40.281599999999997</v>
      </c>
      <c r="Y25" s="1">
        <v>49.956400000000002</v>
      </c>
      <c r="Z25" s="1">
        <v>44.857199999999999</v>
      </c>
      <c r="AA25" s="1">
        <v>48.375</v>
      </c>
      <c r="AB25" s="1">
        <v>48.767600000000002</v>
      </c>
      <c r="AC25" s="1">
        <v>49.643599999999999</v>
      </c>
      <c r="AD25" s="1">
        <v>36.218200000000003</v>
      </c>
      <c r="AE25" s="1">
        <v>44.4452</v>
      </c>
      <c r="AF25" s="1">
        <v>36.724200000000003</v>
      </c>
      <c r="AG25" s="1">
        <v>44.348399999999998</v>
      </c>
      <c r="AH25" s="16" t="s">
        <v>38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81</v>
      </c>
      <c r="B26" s="1" t="s">
        <v>36</v>
      </c>
      <c r="C26" s="1">
        <v>75.832999999999998</v>
      </c>
      <c r="D26" s="1">
        <v>180.52600000000001</v>
      </c>
      <c r="E26" s="1">
        <v>74.510999999999996</v>
      </c>
      <c r="F26" s="1">
        <v>158.554</v>
      </c>
      <c r="G26" s="7">
        <v>1</v>
      </c>
      <c r="H26" s="1">
        <v>40</v>
      </c>
      <c r="I26" s="1" t="s">
        <v>82</v>
      </c>
      <c r="J26" s="1"/>
      <c r="K26" s="1">
        <v>70.986000000000004</v>
      </c>
      <c r="L26" s="1">
        <f t="shared" si="2"/>
        <v>3.5249999999999915</v>
      </c>
      <c r="M26" s="1"/>
      <c r="N26" s="1"/>
      <c r="O26" s="1"/>
      <c r="P26" s="1"/>
      <c r="Q26" s="1">
        <v>358.27760000000012</v>
      </c>
      <c r="R26" s="1">
        <v>0</v>
      </c>
      <c r="S26" s="1">
        <f t="shared" si="3"/>
        <v>14.902199999999999</v>
      </c>
      <c r="T26" s="5"/>
      <c r="U26" s="5">
        <f t="shared" si="5"/>
        <v>0</v>
      </c>
      <c r="V26" s="1">
        <f t="shared" si="6"/>
        <v>34.6815637959496</v>
      </c>
      <c r="W26" s="1">
        <f t="shared" si="4"/>
        <v>34.6815637959496</v>
      </c>
      <c r="X26" s="1">
        <v>40.676000000000002</v>
      </c>
      <c r="Y26" s="1">
        <v>54.751800000000003</v>
      </c>
      <c r="Z26" s="1">
        <v>34.035200000000003</v>
      </c>
      <c r="AA26" s="1">
        <v>15.829800000000001</v>
      </c>
      <c r="AB26" s="1">
        <v>24.122599999999998</v>
      </c>
      <c r="AC26" s="1">
        <v>49.462800000000001</v>
      </c>
      <c r="AD26" s="1">
        <v>52.084400000000002</v>
      </c>
      <c r="AE26" s="1">
        <v>43.297199999999997</v>
      </c>
      <c r="AF26" s="1">
        <v>57.178800000000003</v>
      </c>
      <c r="AG26" s="1">
        <v>35.2318</v>
      </c>
      <c r="AH26" s="1"/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83</v>
      </c>
      <c r="B27" s="1" t="s">
        <v>36</v>
      </c>
      <c r="C27" s="1">
        <v>919.21400000000006</v>
      </c>
      <c r="D27" s="1">
        <v>72.334000000000003</v>
      </c>
      <c r="E27" s="1">
        <v>288.73599999999999</v>
      </c>
      <c r="F27" s="1">
        <v>649.34</v>
      </c>
      <c r="G27" s="7">
        <v>1</v>
      </c>
      <c r="H27" s="1">
        <v>30</v>
      </c>
      <c r="I27" s="1" t="s">
        <v>84</v>
      </c>
      <c r="J27" s="1"/>
      <c r="K27" s="1">
        <v>487.4</v>
      </c>
      <c r="L27" s="1">
        <f t="shared" si="2"/>
        <v>-198.66399999999999</v>
      </c>
      <c r="M27" s="1"/>
      <c r="N27" s="1"/>
      <c r="O27" s="1"/>
      <c r="P27" s="1">
        <v>-580</v>
      </c>
      <c r="Q27" s="1">
        <v>180</v>
      </c>
      <c r="R27" s="1">
        <v>590.49324000000001</v>
      </c>
      <c r="S27" s="1">
        <f t="shared" si="3"/>
        <v>57.747199999999999</v>
      </c>
      <c r="T27" s="5"/>
      <c r="U27" s="5">
        <f t="shared" si="5"/>
        <v>0</v>
      </c>
      <c r="V27" s="1">
        <f t="shared" si="6"/>
        <v>24.587049069045772</v>
      </c>
      <c r="W27" s="1">
        <f>(F27+O27+Q27+R27+P27)/S27</f>
        <v>14.543272054748973</v>
      </c>
      <c r="X27" s="1">
        <v>92.522199999999998</v>
      </c>
      <c r="Y27" s="1">
        <v>52.175400000000003</v>
      </c>
      <c r="Z27" s="1">
        <v>48.465800000000002</v>
      </c>
      <c r="AA27" s="1">
        <v>53.796000000000006</v>
      </c>
      <c r="AB27" s="1">
        <v>36.897000000000013</v>
      </c>
      <c r="AC27" s="1">
        <v>13.9148</v>
      </c>
      <c r="AD27" s="1">
        <v>17.303599999999999</v>
      </c>
      <c r="AE27" s="1">
        <v>-2.7688000000000001</v>
      </c>
      <c r="AF27" s="1">
        <v>-1.2552000000000001</v>
      </c>
      <c r="AG27" s="1">
        <v>73.03479999999999</v>
      </c>
      <c r="AH27" s="1" t="s">
        <v>85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86</v>
      </c>
      <c r="B28" s="1" t="s">
        <v>36</v>
      </c>
      <c r="C28" s="1">
        <v>86.99</v>
      </c>
      <c r="D28" s="1">
        <v>613.44200000000001</v>
      </c>
      <c r="E28" s="1">
        <v>105.11499999999999</v>
      </c>
      <c r="F28" s="1">
        <v>569.29200000000003</v>
      </c>
      <c r="G28" s="7">
        <v>1</v>
      </c>
      <c r="H28" s="1">
        <v>40</v>
      </c>
      <c r="I28" s="1" t="s">
        <v>87</v>
      </c>
      <c r="J28" s="1"/>
      <c r="K28" s="1">
        <v>510.1</v>
      </c>
      <c r="L28" s="1">
        <f t="shared" si="2"/>
        <v>-404.98500000000001</v>
      </c>
      <c r="M28" s="1"/>
      <c r="N28" s="1"/>
      <c r="O28" s="1">
        <v>1200</v>
      </c>
      <c r="P28" s="1"/>
      <c r="Q28" s="1">
        <v>732.01140000000055</v>
      </c>
      <c r="R28" s="1">
        <v>0</v>
      </c>
      <c r="S28" s="1">
        <f t="shared" si="3"/>
        <v>21.023</v>
      </c>
      <c r="T28" s="5"/>
      <c r="U28" s="5">
        <f t="shared" si="5"/>
        <v>0</v>
      </c>
      <c r="V28" s="1">
        <f t="shared" si="6"/>
        <v>118.9793749702707</v>
      </c>
      <c r="W28" s="1">
        <f t="shared" si="4"/>
        <v>118.9793749702707</v>
      </c>
      <c r="X28" s="1">
        <v>97.070799999999991</v>
      </c>
      <c r="Y28" s="1">
        <v>200.02199999999999</v>
      </c>
      <c r="Z28" s="1">
        <v>174.52520000000001</v>
      </c>
      <c r="AA28" s="1">
        <v>208.46619999999999</v>
      </c>
      <c r="AB28" s="1">
        <v>206.2114</v>
      </c>
      <c r="AC28" s="1">
        <v>208.54480000000001</v>
      </c>
      <c r="AD28" s="1">
        <v>217.6456</v>
      </c>
      <c r="AE28" s="1">
        <v>0</v>
      </c>
      <c r="AF28" s="1">
        <v>181.95480000000001</v>
      </c>
      <c r="AG28" s="1">
        <v>183.54859999999999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88</v>
      </c>
      <c r="B29" s="1" t="s">
        <v>36</v>
      </c>
      <c r="C29" s="1">
        <v>-7.9000000000000001E-2</v>
      </c>
      <c r="D29" s="1"/>
      <c r="E29" s="1">
        <v>-3.024</v>
      </c>
      <c r="F29" s="1">
        <v>-7.9000000000000001E-2</v>
      </c>
      <c r="G29" s="7">
        <v>1</v>
      </c>
      <c r="H29" s="1">
        <v>40</v>
      </c>
      <c r="I29" s="1" t="s">
        <v>89</v>
      </c>
      <c r="J29" s="1"/>
      <c r="K29" s="1">
        <v>1.3</v>
      </c>
      <c r="L29" s="1">
        <f t="shared" si="2"/>
        <v>-4.3239999999999998</v>
      </c>
      <c r="M29" s="1"/>
      <c r="N29" s="1"/>
      <c r="O29" s="1">
        <v>20</v>
      </c>
      <c r="P29" s="1"/>
      <c r="Q29" s="1"/>
      <c r="R29" s="1">
        <v>0</v>
      </c>
      <c r="S29" s="1">
        <f t="shared" si="3"/>
        <v>-0.6048</v>
      </c>
      <c r="T29" s="5"/>
      <c r="U29" s="5">
        <f t="shared" si="5"/>
        <v>0</v>
      </c>
      <c r="V29" s="1">
        <f t="shared" si="6"/>
        <v>-32.938161375661373</v>
      </c>
      <c r="W29" s="1">
        <f t="shared" si="4"/>
        <v>-32.938161375661373</v>
      </c>
      <c r="X29" s="1">
        <v>-0.6048</v>
      </c>
      <c r="Y29" s="1">
        <v>0</v>
      </c>
      <c r="Z29" s="1">
        <v>0</v>
      </c>
      <c r="AA29" s="1">
        <v>0</v>
      </c>
      <c r="AB29" s="1">
        <v>0</v>
      </c>
      <c r="AC29" s="1">
        <v>-1.0800000000000001E-2</v>
      </c>
      <c r="AD29" s="1">
        <v>1.5007999999999999</v>
      </c>
      <c r="AE29" s="1">
        <v>1.5975999999999999</v>
      </c>
      <c r="AF29" s="1">
        <v>1.4674</v>
      </c>
      <c r="AG29" s="1">
        <v>2.2871999999999999</v>
      </c>
      <c r="AH29" s="1"/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90</v>
      </c>
      <c r="B30" s="1" t="s">
        <v>36</v>
      </c>
      <c r="C30" s="1">
        <v>90.040999999999997</v>
      </c>
      <c r="D30" s="1"/>
      <c r="E30" s="1">
        <v>52.448999999999998</v>
      </c>
      <c r="F30" s="1">
        <v>14.079000000000001</v>
      </c>
      <c r="G30" s="7">
        <v>1</v>
      </c>
      <c r="H30" s="1">
        <v>30</v>
      </c>
      <c r="I30" s="1" t="s">
        <v>91</v>
      </c>
      <c r="J30" s="1"/>
      <c r="K30" s="1">
        <v>102</v>
      </c>
      <c r="L30" s="1">
        <f t="shared" si="2"/>
        <v>-49.551000000000002</v>
      </c>
      <c r="M30" s="1"/>
      <c r="N30" s="1"/>
      <c r="O30" s="1">
        <v>104.83839999999999</v>
      </c>
      <c r="P30" s="1"/>
      <c r="Q30" s="1"/>
      <c r="R30" s="1">
        <v>33.410800000000002</v>
      </c>
      <c r="S30" s="1">
        <f t="shared" si="3"/>
        <v>10.489799999999999</v>
      </c>
      <c r="T30" s="5"/>
      <c r="U30" s="5">
        <f t="shared" si="5"/>
        <v>0</v>
      </c>
      <c r="V30" s="1">
        <f t="shared" si="6"/>
        <v>14.521554271768766</v>
      </c>
      <c r="W30" s="1">
        <f t="shared" si="4"/>
        <v>14.521554271768766</v>
      </c>
      <c r="X30" s="1">
        <v>15.446199999999999</v>
      </c>
      <c r="Y30" s="1">
        <v>15.259600000000001</v>
      </c>
      <c r="Z30" s="1">
        <v>18.017800000000001</v>
      </c>
      <c r="AA30" s="1">
        <v>21.190799999999999</v>
      </c>
      <c r="AB30" s="1">
        <v>19.9696</v>
      </c>
      <c r="AC30" s="1">
        <v>15.2096</v>
      </c>
      <c r="AD30" s="1">
        <v>8.0359999999999996</v>
      </c>
      <c r="AE30" s="1">
        <v>14.986000000000001</v>
      </c>
      <c r="AF30" s="1">
        <v>13.0144</v>
      </c>
      <c r="AG30" s="1">
        <v>16.220400000000001</v>
      </c>
      <c r="AH30" s="1"/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92</v>
      </c>
      <c r="B31" s="1" t="s">
        <v>36</v>
      </c>
      <c r="C31" s="1">
        <v>193.51400000000001</v>
      </c>
      <c r="D31" s="1">
        <v>49.286999999999999</v>
      </c>
      <c r="E31" s="1">
        <v>139.23500000000001</v>
      </c>
      <c r="F31" s="1">
        <v>67.581999999999994</v>
      </c>
      <c r="G31" s="7">
        <v>1</v>
      </c>
      <c r="H31" s="1">
        <v>50</v>
      </c>
      <c r="I31" s="1" t="s">
        <v>93</v>
      </c>
      <c r="J31" s="1"/>
      <c r="K31" s="1">
        <v>162.19999999999999</v>
      </c>
      <c r="L31" s="1">
        <f t="shared" si="2"/>
        <v>-22.964999999999975</v>
      </c>
      <c r="M31" s="1"/>
      <c r="N31" s="1"/>
      <c r="O31" s="1"/>
      <c r="P31" s="1"/>
      <c r="Q31" s="1"/>
      <c r="R31" s="1">
        <v>83.356800000000007</v>
      </c>
      <c r="S31" s="1">
        <f t="shared" si="3"/>
        <v>27.847000000000001</v>
      </c>
      <c r="T31" s="5">
        <f>12.5*S31-R31-Q31-O31-F31</f>
        <v>197.14870000000002</v>
      </c>
      <c r="U31" s="5">
        <f t="shared" si="5"/>
        <v>197.14870000000002</v>
      </c>
      <c r="V31" s="1">
        <f t="shared" si="6"/>
        <v>12.5</v>
      </c>
      <c r="W31" s="1">
        <f t="shared" si="4"/>
        <v>5.4202894387187133</v>
      </c>
      <c r="X31" s="1">
        <v>21.542999999999999</v>
      </c>
      <c r="Y31" s="1">
        <v>17.402000000000001</v>
      </c>
      <c r="Z31" s="1">
        <v>24.775200000000002</v>
      </c>
      <c r="AA31" s="1">
        <v>14.6998</v>
      </c>
      <c r="AB31" s="1">
        <v>18.186</v>
      </c>
      <c r="AC31" s="1">
        <v>27.366599999999998</v>
      </c>
      <c r="AD31" s="1">
        <v>31.243400000000001</v>
      </c>
      <c r="AE31" s="1">
        <v>24.976199999999999</v>
      </c>
      <c r="AF31" s="1">
        <v>22.632000000000001</v>
      </c>
      <c r="AG31" s="1">
        <v>22.380600000000001</v>
      </c>
      <c r="AH31" s="1"/>
      <c r="AI31" s="1">
        <f t="shared" si="7"/>
        <v>197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94</v>
      </c>
      <c r="B32" s="1" t="s">
        <v>36</v>
      </c>
      <c r="C32" s="1">
        <v>132.458</v>
      </c>
      <c r="D32" s="1">
        <v>5.399</v>
      </c>
      <c r="E32" s="1">
        <v>102.44799999999999</v>
      </c>
      <c r="F32" s="1">
        <v>9.2050000000000001</v>
      </c>
      <c r="G32" s="7">
        <v>1</v>
      </c>
      <c r="H32" s="1">
        <v>50</v>
      </c>
      <c r="I32" s="1" t="s">
        <v>95</v>
      </c>
      <c r="J32" s="1"/>
      <c r="K32" s="1">
        <v>124</v>
      </c>
      <c r="L32" s="1">
        <f t="shared" si="2"/>
        <v>-21.552000000000007</v>
      </c>
      <c r="M32" s="1"/>
      <c r="N32" s="1"/>
      <c r="O32" s="1"/>
      <c r="P32" s="1"/>
      <c r="Q32" s="1">
        <v>52.03</v>
      </c>
      <c r="R32" s="1">
        <v>95.291000000000011</v>
      </c>
      <c r="S32" s="1">
        <f t="shared" si="3"/>
        <v>20.489599999999999</v>
      </c>
      <c r="T32" s="5">
        <f>12.5*S32-R32-Q32-O32-F32</f>
        <v>99.594000000000008</v>
      </c>
      <c r="U32" s="5">
        <f t="shared" si="5"/>
        <v>99.594000000000008</v>
      </c>
      <c r="V32" s="1">
        <f t="shared" si="6"/>
        <v>12.5</v>
      </c>
      <c r="W32" s="1">
        <f t="shared" si="4"/>
        <v>7.6392901764797756</v>
      </c>
      <c r="X32" s="1">
        <v>20.728200000000001</v>
      </c>
      <c r="Y32" s="1">
        <v>15.374000000000001</v>
      </c>
      <c r="Z32" s="1">
        <v>15.021800000000001</v>
      </c>
      <c r="AA32" s="1">
        <v>11.911799999999999</v>
      </c>
      <c r="AB32" s="1">
        <v>5.1412000000000004</v>
      </c>
      <c r="AC32" s="1">
        <v>10.9086</v>
      </c>
      <c r="AD32" s="1">
        <v>18.507999999999999</v>
      </c>
      <c r="AE32" s="1">
        <v>10.6882</v>
      </c>
      <c r="AF32" s="1">
        <v>11.6236</v>
      </c>
      <c r="AG32" s="1">
        <v>10.311400000000001</v>
      </c>
      <c r="AH32" s="1"/>
      <c r="AI32" s="1">
        <f t="shared" si="7"/>
        <v>100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96</v>
      </c>
      <c r="B33" s="1" t="s">
        <v>44</v>
      </c>
      <c r="C33" s="1">
        <v>2819.4850000000001</v>
      </c>
      <c r="D33" s="1">
        <v>518</v>
      </c>
      <c r="E33" s="1">
        <v>1789</v>
      </c>
      <c r="F33" s="1">
        <v>1448.4849999999999</v>
      </c>
      <c r="G33" s="7">
        <v>0.4</v>
      </c>
      <c r="H33" s="1">
        <v>45</v>
      </c>
      <c r="I33" s="1" t="s">
        <v>97</v>
      </c>
      <c r="J33" s="1"/>
      <c r="K33" s="1">
        <v>1746</v>
      </c>
      <c r="L33" s="1">
        <f t="shared" si="2"/>
        <v>43</v>
      </c>
      <c r="M33" s="1"/>
      <c r="N33" s="1"/>
      <c r="O33" s="1"/>
      <c r="P33" s="1"/>
      <c r="Q33" s="1">
        <v>1626.2539999999999</v>
      </c>
      <c r="R33" s="1">
        <v>97.99160000000029</v>
      </c>
      <c r="S33" s="1">
        <f t="shared" si="3"/>
        <v>357.8</v>
      </c>
      <c r="T33" s="5">
        <f>12.5*S33-R33-Q33-O33-F33</f>
        <v>1299.7693999999999</v>
      </c>
      <c r="U33" s="5">
        <f t="shared" ref="U33:U34" si="10">T33+$U$1*S33</f>
        <v>924.07939999999985</v>
      </c>
      <c r="V33" s="1">
        <f t="shared" si="6"/>
        <v>11.449999999999998</v>
      </c>
      <c r="W33" s="1">
        <f t="shared" si="4"/>
        <v>8.8673297931805468</v>
      </c>
      <c r="X33" s="1">
        <v>387.50299999999999</v>
      </c>
      <c r="Y33" s="1">
        <v>375.50299999999999</v>
      </c>
      <c r="Z33" s="1">
        <v>320.60000000000002</v>
      </c>
      <c r="AA33" s="1">
        <v>255</v>
      </c>
      <c r="AB33" s="1">
        <v>249.2</v>
      </c>
      <c r="AC33" s="1">
        <v>344.4</v>
      </c>
      <c r="AD33" s="1">
        <v>336.6</v>
      </c>
      <c r="AE33" s="1">
        <v>287.2</v>
      </c>
      <c r="AF33" s="1">
        <v>319.39999999999998</v>
      </c>
      <c r="AG33" s="1">
        <v>310</v>
      </c>
      <c r="AH33" s="1"/>
      <c r="AI33" s="1">
        <f t="shared" si="7"/>
        <v>370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98</v>
      </c>
      <c r="B34" s="1" t="s">
        <v>44</v>
      </c>
      <c r="C34" s="1">
        <v>423</v>
      </c>
      <c r="D34" s="1">
        <v>220</v>
      </c>
      <c r="E34" s="1">
        <v>339</v>
      </c>
      <c r="F34" s="1">
        <v>308</v>
      </c>
      <c r="G34" s="7">
        <v>0.45</v>
      </c>
      <c r="H34" s="1">
        <v>50</v>
      </c>
      <c r="I34" s="1" t="s">
        <v>99</v>
      </c>
      <c r="J34" s="1"/>
      <c r="K34" s="1">
        <v>332</v>
      </c>
      <c r="L34" s="1">
        <f t="shared" si="2"/>
        <v>7</v>
      </c>
      <c r="M34" s="1"/>
      <c r="N34" s="1"/>
      <c r="O34" s="1">
        <v>41.5</v>
      </c>
      <c r="P34" s="1"/>
      <c r="Q34" s="1">
        <v>102.8</v>
      </c>
      <c r="R34" s="1">
        <v>225.6</v>
      </c>
      <c r="S34" s="1">
        <f t="shared" si="3"/>
        <v>67.8</v>
      </c>
      <c r="T34" s="5">
        <f>12.5*S34-R34-Q34-O34-F34</f>
        <v>169.60000000000002</v>
      </c>
      <c r="U34" s="5">
        <f t="shared" si="10"/>
        <v>98.410000000000025</v>
      </c>
      <c r="V34" s="1">
        <f t="shared" si="6"/>
        <v>11.45</v>
      </c>
      <c r="W34" s="1">
        <f t="shared" si="4"/>
        <v>9.9985250737463129</v>
      </c>
      <c r="X34" s="1">
        <v>74.8</v>
      </c>
      <c r="Y34" s="1">
        <v>65.599999999999994</v>
      </c>
      <c r="Z34" s="1">
        <v>63.8</v>
      </c>
      <c r="AA34" s="1">
        <v>64.2</v>
      </c>
      <c r="AB34" s="1">
        <v>55</v>
      </c>
      <c r="AC34" s="1">
        <v>60.2</v>
      </c>
      <c r="AD34" s="1">
        <v>45.4</v>
      </c>
      <c r="AE34" s="1">
        <v>26.6</v>
      </c>
      <c r="AF34" s="1">
        <v>55.2</v>
      </c>
      <c r="AG34" s="1">
        <v>58.2</v>
      </c>
      <c r="AH34" s="1"/>
      <c r="AI34" s="1">
        <f t="shared" si="7"/>
        <v>44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100</v>
      </c>
      <c r="B35" s="1" t="s">
        <v>44</v>
      </c>
      <c r="C35" s="1">
        <v>1013</v>
      </c>
      <c r="D35" s="1">
        <v>237</v>
      </c>
      <c r="E35" s="1">
        <v>542</v>
      </c>
      <c r="F35" s="1">
        <v>673</v>
      </c>
      <c r="G35" s="7">
        <v>0.4</v>
      </c>
      <c r="H35" s="1">
        <v>45</v>
      </c>
      <c r="I35" s="1" t="s">
        <v>101</v>
      </c>
      <c r="J35" s="1"/>
      <c r="K35" s="1">
        <v>546</v>
      </c>
      <c r="L35" s="1">
        <f t="shared" si="2"/>
        <v>-4</v>
      </c>
      <c r="M35" s="1"/>
      <c r="N35" s="1"/>
      <c r="O35" s="1"/>
      <c r="P35" s="1"/>
      <c r="Q35" s="1">
        <v>804.00000000000023</v>
      </c>
      <c r="R35" s="1">
        <v>0</v>
      </c>
      <c r="S35" s="1">
        <f t="shared" si="3"/>
        <v>108.4</v>
      </c>
      <c r="T35" s="5"/>
      <c r="U35" s="5">
        <f t="shared" si="5"/>
        <v>0</v>
      </c>
      <c r="V35" s="1">
        <f t="shared" si="6"/>
        <v>13.625461254612548</v>
      </c>
      <c r="W35" s="1">
        <f t="shared" si="4"/>
        <v>13.625461254612548</v>
      </c>
      <c r="X35" s="1">
        <v>141.80000000000001</v>
      </c>
      <c r="Y35" s="1">
        <v>155.80000000000001</v>
      </c>
      <c r="Z35" s="1">
        <v>127.8</v>
      </c>
      <c r="AA35" s="1">
        <v>123</v>
      </c>
      <c r="AB35" s="1">
        <v>109.2</v>
      </c>
      <c r="AC35" s="1">
        <v>150.6</v>
      </c>
      <c r="AD35" s="1">
        <v>138</v>
      </c>
      <c r="AE35" s="1">
        <v>93.8</v>
      </c>
      <c r="AF35" s="1">
        <v>118.6</v>
      </c>
      <c r="AG35" s="1">
        <v>114.8</v>
      </c>
      <c r="AH35" s="1"/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102</v>
      </c>
      <c r="B36" s="1" t="s">
        <v>44</v>
      </c>
      <c r="C36" s="1">
        <v>37</v>
      </c>
      <c r="D36" s="1">
        <v>60</v>
      </c>
      <c r="E36" s="1">
        <v>45</v>
      </c>
      <c r="F36" s="1">
        <v>53</v>
      </c>
      <c r="G36" s="7">
        <v>0.4</v>
      </c>
      <c r="H36" s="1">
        <v>40</v>
      </c>
      <c r="I36" s="1" t="s">
        <v>103</v>
      </c>
      <c r="J36" s="1"/>
      <c r="K36" s="1">
        <v>89</v>
      </c>
      <c r="L36" s="1">
        <f t="shared" si="2"/>
        <v>-44</v>
      </c>
      <c r="M36" s="1"/>
      <c r="N36" s="1"/>
      <c r="O36" s="1">
        <v>23.600000000000019</v>
      </c>
      <c r="P36" s="1"/>
      <c r="Q36" s="1">
        <v>198.2</v>
      </c>
      <c r="R36" s="1">
        <v>45.200000000000053</v>
      </c>
      <c r="S36" s="1">
        <f t="shared" si="3"/>
        <v>9</v>
      </c>
      <c r="T36" s="5"/>
      <c r="U36" s="5">
        <f t="shared" si="5"/>
        <v>0</v>
      </c>
      <c r="V36" s="1">
        <f t="shared" si="6"/>
        <v>35.555555555555564</v>
      </c>
      <c r="W36" s="1">
        <f t="shared" si="4"/>
        <v>35.555555555555564</v>
      </c>
      <c r="X36" s="1">
        <v>29.8</v>
      </c>
      <c r="Y36" s="1">
        <v>28.6</v>
      </c>
      <c r="Z36" s="1">
        <v>21.4</v>
      </c>
      <c r="AA36" s="1">
        <v>16.8</v>
      </c>
      <c r="AB36" s="1">
        <v>-0.2</v>
      </c>
      <c r="AC36" s="1">
        <v>8</v>
      </c>
      <c r="AD36" s="1">
        <v>23</v>
      </c>
      <c r="AE36" s="1">
        <v>3</v>
      </c>
      <c r="AF36" s="1">
        <v>14.8</v>
      </c>
      <c r="AG36" s="1">
        <v>8.1999999999999993</v>
      </c>
      <c r="AH36" s="1"/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104</v>
      </c>
      <c r="B37" s="1" t="s">
        <v>36</v>
      </c>
      <c r="C37" s="1">
        <v>34.667999999999999</v>
      </c>
      <c r="D37" s="1"/>
      <c r="E37" s="1">
        <v>28.885000000000002</v>
      </c>
      <c r="F37" s="1">
        <v>-1.2999999999999999E-2</v>
      </c>
      <c r="G37" s="7">
        <v>1</v>
      </c>
      <c r="H37" s="1">
        <v>45</v>
      </c>
      <c r="I37" s="1" t="s">
        <v>105</v>
      </c>
      <c r="J37" s="1"/>
      <c r="K37" s="1">
        <v>32.9</v>
      </c>
      <c r="L37" s="1">
        <f t="shared" si="2"/>
        <v>-4.014999999999997</v>
      </c>
      <c r="M37" s="1"/>
      <c r="N37" s="1"/>
      <c r="O37" s="1"/>
      <c r="P37" s="1"/>
      <c r="Q37" s="1">
        <v>10.1784</v>
      </c>
      <c r="R37" s="1">
        <v>29.962599999999998</v>
      </c>
      <c r="S37" s="1">
        <f t="shared" si="3"/>
        <v>5.7770000000000001</v>
      </c>
      <c r="T37" s="5">
        <f>12.5*S37-R37-Q37-O37-F37</f>
        <v>32.084500000000013</v>
      </c>
      <c r="U37" s="5">
        <f t="shared" si="5"/>
        <v>32.084500000000013</v>
      </c>
      <c r="V37" s="1">
        <f t="shared" si="6"/>
        <v>12.5</v>
      </c>
      <c r="W37" s="1">
        <f t="shared" si="4"/>
        <v>6.9461658300155786</v>
      </c>
      <c r="X37" s="1">
        <v>6.0679999999999996</v>
      </c>
      <c r="Y37" s="1">
        <v>3.7372000000000001</v>
      </c>
      <c r="Z37" s="1">
        <v>2.1223999999999998</v>
      </c>
      <c r="AA37" s="1">
        <v>1.2802</v>
      </c>
      <c r="AB37" s="1">
        <v>5.2165999999999997</v>
      </c>
      <c r="AC37" s="1">
        <v>5.4985999999999997</v>
      </c>
      <c r="AD37" s="1">
        <v>1.4361999999999999</v>
      </c>
      <c r="AE37" s="1">
        <v>1.7312000000000001</v>
      </c>
      <c r="AF37" s="1">
        <v>2.1154000000000002</v>
      </c>
      <c r="AG37" s="1">
        <v>2.3014000000000001</v>
      </c>
      <c r="AH37" s="1"/>
      <c r="AI37" s="1">
        <f t="shared" si="7"/>
        <v>32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106</v>
      </c>
      <c r="B38" s="1" t="s">
        <v>44</v>
      </c>
      <c r="C38" s="1">
        <v>316</v>
      </c>
      <c r="D38" s="1"/>
      <c r="E38" s="1">
        <v>106</v>
      </c>
      <c r="F38" s="1">
        <v>201</v>
      </c>
      <c r="G38" s="7">
        <v>0.1</v>
      </c>
      <c r="H38" s="1">
        <v>731</v>
      </c>
      <c r="I38" s="1" t="s">
        <v>107</v>
      </c>
      <c r="J38" s="1"/>
      <c r="K38" s="1">
        <v>105</v>
      </c>
      <c r="L38" s="1">
        <f t="shared" ref="L38:L69" si="11">E38-K38</f>
        <v>1</v>
      </c>
      <c r="M38" s="1"/>
      <c r="N38" s="1"/>
      <c r="O38" s="1"/>
      <c r="P38" s="1"/>
      <c r="Q38" s="1"/>
      <c r="R38" s="1">
        <v>0</v>
      </c>
      <c r="S38" s="1">
        <f t="shared" ref="S38:S69" si="12">E38/5</f>
        <v>21.2</v>
      </c>
      <c r="T38" s="5">
        <f>12.5*S38-R38-Q38-O38-F38</f>
        <v>64</v>
      </c>
      <c r="U38" s="5">
        <f t="shared" si="5"/>
        <v>64</v>
      </c>
      <c r="V38" s="1">
        <f t="shared" si="6"/>
        <v>12.5</v>
      </c>
      <c r="W38" s="1">
        <f t="shared" ref="W38:W69" si="13">(F38+O38+Q38+R38)/S38</f>
        <v>9.4811320754716988</v>
      </c>
      <c r="X38" s="1">
        <v>16</v>
      </c>
      <c r="Y38" s="1">
        <v>12.8</v>
      </c>
      <c r="Z38" s="1">
        <v>11.6</v>
      </c>
      <c r="AA38" s="1">
        <v>6.8</v>
      </c>
      <c r="AB38" s="1">
        <v>6.8</v>
      </c>
      <c r="AC38" s="1">
        <v>12</v>
      </c>
      <c r="AD38" s="1">
        <v>9.1999999999999993</v>
      </c>
      <c r="AE38" s="1">
        <v>10.8</v>
      </c>
      <c r="AF38" s="1">
        <v>14</v>
      </c>
      <c r="AG38" s="1">
        <v>11</v>
      </c>
      <c r="AH38" s="1"/>
      <c r="AI38" s="1">
        <f t="shared" si="7"/>
        <v>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109</v>
      </c>
      <c r="B39" s="1" t="s">
        <v>44</v>
      </c>
      <c r="C39" s="1">
        <v>-1</v>
      </c>
      <c r="D39" s="1">
        <v>168</v>
      </c>
      <c r="E39" s="1">
        <v>-2</v>
      </c>
      <c r="F39" s="1">
        <v>157</v>
      </c>
      <c r="G39" s="7">
        <v>0.35</v>
      </c>
      <c r="H39" s="1">
        <v>40</v>
      </c>
      <c r="I39" s="1" t="s">
        <v>110</v>
      </c>
      <c r="J39" s="1"/>
      <c r="K39" s="1">
        <v>2</v>
      </c>
      <c r="L39" s="1">
        <f t="shared" si="11"/>
        <v>-4</v>
      </c>
      <c r="M39" s="1"/>
      <c r="N39" s="1"/>
      <c r="O39" s="1">
        <v>100</v>
      </c>
      <c r="P39" s="1"/>
      <c r="Q39" s="1">
        <v>52.399999999999949</v>
      </c>
      <c r="R39" s="1">
        <v>0</v>
      </c>
      <c r="S39" s="1">
        <f t="shared" si="12"/>
        <v>-0.4</v>
      </c>
      <c r="T39" s="5"/>
      <c r="U39" s="5">
        <f t="shared" si="5"/>
        <v>0</v>
      </c>
      <c r="V39" s="1">
        <f t="shared" si="6"/>
        <v>-773.49999999999989</v>
      </c>
      <c r="W39" s="1">
        <f t="shared" si="13"/>
        <v>-773.49999999999989</v>
      </c>
      <c r="X39" s="1">
        <v>12.2</v>
      </c>
      <c r="Y39" s="1">
        <v>26.4</v>
      </c>
      <c r="Z39" s="1">
        <v>27.4</v>
      </c>
      <c r="AA39" s="1">
        <v>18</v>
      </c>
      <c r="AB39" s="1">
        <v>8</v>
      </c>
      <c r="AC39" s="1">
        <v>5</v>
      </c>
      <c r="AD39" s="1">
        <v>13.2</v>
      </c>
      <c r="AE39" s="1">
        <v>13.2</v>
      </c>
      <c r="AF39" s="1">
        <v>15.8</v>
      </c>
      <c r="AG39" s="1">
        <v>7.6</v>
      </c>
      <c r="AH39" s="1"/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111</v>
      </c>
      <c r="B40" s="1" t="s">
        <v>36</v>
      </c>
      <c r="C40" s="1">
        <v>42.076000000000001</v>
      </c>
      <c r="D40" s="1"/>
      <c r="E40" s="1">
        <v>42.834000000000003</v>
      </c>
      <c r="F40" s="1">
        <v>-3.7</v>
      </c>
      <c r="G40" s="7">
        <v>1</v>
      </c>
      <c r="H40" s="1">
        <v>40</v>
      </c>
      <c r="I40" s="1" t="s">
        <v>112</v>
      </c>
      <c r="J40" s="1"/>
      <c r="K40" s="1">
        <v>45.487000000000002</v>
      </c>
      <c r="L40" s="1">
        <f t="shared" si="11"/>
        <v>-2.6529999999999987</v>
      </c>
      <c r="M40" s="1"/>
      <c r="N40" s="1"/>
      <c r="O40" s="1"/>
      <c r="P40" s="1"/>
      <c r="Q40" s="1"/>
      <c r="R40" s="1">
        <v>59.983199999999997</v>
      </c>
      <c r="S40" s="1">
        <f t="shared" si="12"/>
        <v>8.5668000000000006</v>
      </c>
      <c r="T40" s="5">
        <f>12.5*S40-R40-Q40-O40-F40</f>
        <v>50.801800000000014</v>
      </c>
      <c r="U40" s="5">
        <f t="shared" si="5"/>
        <v>50.801800000000014</v>
      </c>
      <c r="V40" s="1">
        <f t="shared" si="6"/>
        <v>12.5</v>
      </c>
      <c r="W40" s="1">
        <f t="shared" si="13"/>
        <v>6.569921090722322</v>
      </c>
      <c r="X40" s="1">
        <v>10.9542</v>
      </c>
      <c r="Y40" s="1">
        <v>3.12</v>
      </c>
      <c r="Z40" s="1">
        <v>-2.3201999999999998</v>
      </c>
      <c r="AA40" s="1">
        <v>4.6399999999999997</v>
      </c>
      <c r="AB40" s="1">
        <v>12.0344</v>
      </c>
      <c r="AC40" s="1">
        <v>8.6964000000000006</v>
      </c>
      <c r="AD40" s="1">
        <v>-0.28560000000000002</v>
      </c>
      <c r="AE40" s="1">
        <v>12.2912</v>
      </c>
      <c r="AF40" s="1">
        <v>15.029199999999999</v>
      </c>
      <c r="AG40" s="1">
        <v>7.6513999999999998</v>
      </c>
      <c r="AH40" s="1"/>
      <c r="AI40" s="1">
        <f t="shared" si="7"/>
        <v>51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113</v>
      </c>
      <c r="B41" s="1" t="s">
        <v>44</v>
      </c>
      <c r="C41" s="1">
        <v>66</v>
      </c>
      <c r="D41" s="1">
        <v>1</v>
      </c>
      <c r="E41" s="1">
        <v>33</v>
      </c>
      <c r="F41" s="1">
        <v>32</v>
      </c>
      <c r="G41" s="7">
        <v>0.375</v>
      </c>
      <c r="H41" s="1">
        <v>50</v>
      </c>
      <c r="I41" s="1" t="s">
        <v>114</v>
      </c>
      <c r="J41" s="1"/>
      <c r="K41" s="1">
        <v>38</v>
      </c>
      <c r="L41" s="1">
        <f t="shared" si="11"/>
        <v>-5</v>
      </c>
      <c r="M41" s="1"/>
      <c r="N41" s="1"/>
      <c r="O41" s="1">
        <v>15.19999999999999</v>
      </c>
      <c r="P41" s="1"/>
      <c r="Q41" s="1">
        <v>34</v>
      </c>
      <c r="R41" s="1">
        <v>0</v>
      </c>
      <c r="S41" s="1">
        <f t="shared" si="12"/>
        <v>6.6</v>
      </c>
      <c r="T41" s="5">
        <v>6</v>
      </c>
      <c r="U41" s="5">
        <f t="shared" si="5"/>
        <v>6</v>
      </c>
      <c r="V41" s="1">
        <f t="shared" si="6"/>
        <v>13.212121212121211</v>
      </c>
      <c r="W41" s="1">
        <f t="shared" si="13"/>
        <v>12.303030303030303</v>
      </c>
      <c r="X41" s="1">
        <v>8.1999999999999993</v>
      </c>
      <c r="Y41" s="1">
        <v>9.6</v>
      </c>
      <c r="Z41" s="1">
        <v>7.4</v>
      </c>
      <c r="AA41" s="1">
        <v>10</v>
      </c>
      <c r="AB41" s="1">
        <v>9.8000000000000007</v>
      </c>
      <c r="AC41" s="1">
        <v>11.4</v>
      </c>
      <c r="AD41" s="1">
        <v>7.8</v>
      </c>
      <c r="AE41" s="1">
        <v>0</v>
      </c>
      <c r="AF41" s="1">
        <v>0</v>
      </c>
      <c r="AG41" s="1">
        <v>0</v>
      </c>
      <c r="AH41" s="1"/>
      <c r="AI41" s="1">
        <f t="shared" si="7"/>
        <v>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115</v>
      </c>
      <c r="B42" s="1" t="s">
        <v>44</v>
      </c>
      <c r="C42" s="1">
        <v>397</v>
      </c>
      <c r="D42" s="1">
        <v>4</v>
      </c>
      <c r="E42" s="1">
        <v>265</v>
      </c>
      <c r="F42" s="1">
        <v>124</v>
      </c>
      <c r="G42" s="7">
        <v>0.4</v>
      </c>
      <c r="H42" s="1">
        <v>40</v>
      </c>
      <c r="I42" s="1" t="s">
        <v>116</v>
      </c>
      <c r="J42" s="1"/>
      <c r="K42" s="1">
        <v>443</v>
      </c>
      <c r="L42" s="1">
        <f t="shared" si="11"/>
        <v>-178</v>
      </c>
      <c r="M42" s="1"/>
      <c r="N42" s="1"/>
      <c r="O42" s="1"/>
      <c r="P42" s="1"/>
      <c r="Q42" s="1"/>
      <c r="R42" s="1">
        <v>245</v>
      </c>
      <c r="S42" s="1">
        <f t="shared" si="12"/>
        <v>53</v>
      </c>
      <c r="T42" s="5">
        <f>12.5*S42-R42-Q42-O42-F42</f>
        <v>293.5</v>
      </c>
      <c r="U42" s="5">
        <f>T42+$U$1*S42</f>
        <v>237.85</v>
      </c>
      <c r="V42" s="1">
        <f t="shared" si="6"/>
        <v>11.450000000000001</v>
      </c>
      <c r="W42" s="1">
        <f t="shared" si="13"/>
        <v>6.9622641509433958</v>
      </c>
      <c r="X42" s="1">
        <v>54</v>
      </c>
      <c r="Y42" s="1">
        <v>22.6</v>
      </c>
      <c r="Z42" s="1">
        <v>23.4</v>
      </c>
      <c r="AA42" s="1">
        <v>28.8</v>
      </c>
      <c r="AB42" s="1">
        <v>24</v>
      </c>
      <c r="AC42" s="1">
        <v>37.799999999999997</v>
      </c>
      <c r="AD42" s="1">
        <v>30.8</v>
      </c>
      <c r="AE42" s="1">
        <v>14.4</v>
      </c>
      <c r="AF42" s="1">
        <v>9</v>
      </c>
      <c r="AG42" s="1">
        <v>21</v>
      </c>
      <c r="AH42" s="1"/>
      <c r="AI42" s="1">
        <f t="shared" si="7"/>
        <v>95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117</v>
      </c>
      <c r="B43" s="1" t="s">
        <v>44</v>
      </c>
      <c r="C43" s="1">
        <v>152</v>
      </c>
      <c r="D43" s="1">
        <v>134</v>
      </c>
      <c r="E43" s="1">
        <v>137</v>
      </c>
      <c r="F43" s="1">
        <v>141</v>
      </c>
      <c r="G43" s="7">
        <v>0.4</v>
      </c>
      <c r="H43" s="1">
        <v>45</v>
      </c>
      <c r="I43" s="1" t="s">
        <v>118</v>
      </c>
      <c r="J43" s="1"/>
      <c r="K43" s="1">
        <v>190</v>
      </c>
      <c r="L43" s="1">
        <f t="shared" si="11"/>
        <v>-53</v>
      </c>
      <c r="M43" s="1"/>
      <c r="N43" s="1"/>
      <c r="O43" s="1">
        <v>77.799999999999955</v>
      </c>
      <c r="P43" s="1"/>
      <c r="Q43" s="1">
        <v>93.999999999999886</v>
      </c>
      <c r="R43" s="1">
        <v>81.80000000000004</v>
      </c>
      <c r="S43" s="1">
        <f t="shared" si="12"/>
        <v>27.4</v>
      </c>
      <c r="T43" s="5"/>
      <c r="U43" s="5">
        <f t="shared" si="5"/>
        <v>0</v>
      </c>
      <c r="V43" s="1">
        <f t="shared" si="6"/>
        <v>14.401459854014597</v>
      </c>
      <c r="W43" s="1">
        <f t="shared" si="13"/>
        <v>14.401459854014597</v>
      </c>
      <c r="X43" s="1">
        <v>39.4</v>
      </c>
      <c r="Y43" s="1">
        <v>37.799999999999997</v>
      </c>
      <c r="Z43" s="1">
        <v>38.6</v>
      </c>
      <c r="AA43" s="1">
        <v>36.4</v>
      </c>
      <c r="AB43" s="1">
        <v>23.2</v>
      </c>
      <c r="AC43" s="1">
        <v>13.8</v>
      </c>
      <c r="AD43" s="1">
        <v>26.4</v>
      </c>
      <c r="AE43" s="1">
        <v>27</v>
      </c>
      <c r="AF43" s="1">
        <v>40.4</v>
      </c>
      <c r="AG43" s="1">
        <v>22.2</v>
      </c>
      <c r="AH43" s="1"/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119</v>
      </c>
      <c r="B44" s="1" t="s">
        <v>36</v>
      </c>
      <c r="C44" s="1">
        <v>211.523</v>
      </c>
      <c r="D44" s="1">
        <v>0.73099999999999998</v>
      </c>
      <c r="E44" s="1">
        <v>119.1</v>
      </c>
      <c r="F44" s="1">
        <v>72.628</v>
      </c>
      <c r="G44" s="7">
        <v>1</v>
      </c>
      <c r="H44" s="1">
        <v>40</v>
      </c>
      <c r="I44" s="1" t="s">
        <v>120</v>
      </c>
      <c r="J44" s="1"/>
      <c r="K44" s="1">
        <v>151.17400000000001</v>
      </c>
      <c r="L44" s="1">
        <f t="shared" si="11"/>
        <v>-32.074000000000012</v>
      </c>
      <c r="M44" s="1"/>
      <c r="N44" s="1"/>
      <c r="O44" s="1"/>
      <c r="P44" s="1"/>
      <c r="Q44" s="1"/>
      <c r="R44" s="1">
        <v>120.7744</v>
      </c>
      <c r="S44" s="1">
        <f t="shared" si="12"/>
        <v>23.82</v>
      </c>
      <c r="T44" s="5">
        <f>12.5*S44-R44-Q44-O44-F44</f>
        <v>104.34759999999999</v>
      </c>
      <c r="U44" s="5">
        <f t="shared" si="5"/>
        <v>104.34759999999999</v>
      </c>
      <c r="V44" s="1">
        <f t="shared" si="6"/>
        <v>12.5</v>
      </c>
      <c r="W44" s="1">
        <f t="shared" si="13"/>
        <v>8.1193282955499573</v>
      </c>
      <c r="X44" s="1">
        <v>23.102399999999999</v>
      </c>
      <c r="Y44" s="1">
        <v>16.805800000000001</v>
      </c>
      <c r="Z44" s="1">
        <v>22.568000000000001</v>
      </c>
      <c r="AA44" s="1">
        <v>21.9788</v>
      </c>
      <c r="AB44" s="1">
        <v>8.1810000000000009</v>
      </c>
      <c r="AC44" s="1">
        <v>9.0269999999999992</v>
      </c>
      <c r="AD44" s="1">
        <v>22.357800000000001</v>
      </c>
      <c r="AE44" s="1">
        <v>19.128399999999999</v>
      </c>
      <c r="AF44" s="1">
        <v>19.760200000000001</v>
      </c>
      <c r="AG44" s="1">
        <v>16.6722</v>
      </c>
      <c r="AH44" s="1"/>
      <c r="AI44" s="1">
        <f t="shared" si="7"/>
        <v>104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121</v>
      </c>
      <c r="B45" s="1" t="s">
        <v>44</v>
      </c>
      <c r="C45" s="1">
        <v>163</v>
      </c>
      <c r="D45" s="1">
        <v>395</v>
      </c>
      <c r="E45" s="1">
        <v>153</v>
      </c>
      <c r="F45" s="1">
        <v>383</v>
      </c>
      <c r="G45" s="7">
        <v>0.35</v>
      </c>
      <c r="H45" s="1">
        <v>40</v>
      </c>
      <c r="I45" s="1" t="s">
        <v>122</v>
      </c>
      <c r="J45" s="1"/>
      <c r="K45" s="1">
        <v>240</v>
      </c>
      <c r="L45" s="1">
        <f t="shared" si="11"/>
        <v>-87</v>
      </c>
      <c r="M45" s="1"/>
      <c r="N45" s="1"/>
      <c r="O45" s="1"/>
      <c r="P45" s="1"/>
      <c r="Q45" s="1">
        <v>229.8000000000001</v>
      </c>
      <c r="R45" s="1">
        <v>20.799999999999951</v>
      </c>
      <c r="S45" s="1">
        <f t="shared" si="12"/>
        <v>30.6</v>
      </c>
      <c r="T45" s="5"/>
      <c r="U45" s="5">
        <f t="shared" si="5"/>
        <v>0</v>
      </c>
      <c r="V45" s="1">
        <f t="shared" si="6"/>
        <v>20.705882352941178</v>
      </c>
      <c r="W45" s="1">
        <f t="shared" si="13"/>
        <v>20.705882352941178</v>
      </c>
      <c r="X45" s="1">
        <v>58.6</v>
      </c>
      <c r="Y45" s="1">
        <v>64.400000000000006</v>
      </c>
      <c r="Z45" s="1">
        <v>53</v>
      </c>
      <c r="AA45" s="1">
        <v>37.6</v>
      </c>
      <c r="AB45" s="1">
        <v>35.799999999999997</v>
      </c>
      <c r="AC45" s="1">
        <v>36</v>
      </c>
      <c r="AD45" s="1">
        <v>47.6</v>
      </c>
      <c r="AE45" s="1">
        <v>68.2</v>
      </c>
      <c r="AF45" s="1">
        <v>61.2</v>
      </c>
      <c r="AG45" s="1">
        <v>51.8</v>
      </c>
      <c r="AH45" s="1"/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123</v>
      </c>
      <c r="B46" s="1" t="s">
        <v>44</v>
      </c>
      <c r="C46" s="1">
        <v>269.48599999999999</v>
      </c>
      <c r="D46" s="1">
        <v>8</v>
      </c>
      <c r="E46" s="1">
        <v>280</v>
      </c>
      <c r="F46" s="1">
        <v>10.486000000000001</v>
      </c>
      <c r="G46" s="7">
        <v>0.4</v>
      </c>
      <c r="H46" s="1">
        <v>40</v>
      </c>
      <c r="I46" s="1" t="s">
        <v>124</v>
      </c>
      <c r="J46" s="1"/>
      <c r="K46" s="1">
        <v>340</v>
      </c>
      <c r="L46" s="1">
        <f t="shared" si="11"/>
        <v>-60</v>
      </c>
      <c r="M46" s="1"/>
      <c r="N46" s="1"/>
      <c r="O46" s="1">
        <v>127.94759999999999</v>
      </c>
      <c r="P46" s="1"/>
      <c r="Q46" s="1">
        <v>195.79999999999981</v>
      </c>
      <c r="R46" s="1">
        <v>154.96000000000009</v>
      </c>
      <c r="S46" s="1">
        <f t="shared" si="12"/>
        <v>56</v>
      </c>
      <c r="T46" s="5">
        <f>12.5*S46-R46-Q46-O46-F46</f>
        <v>210.80640000000014</v>
      </c>
      <c r="U46" s="5">
        <f>T46+$U$1*S46</f>
        <v>152.00640000000013</v>
      </c>
      <c r="V46" s="1">
        <f t="shared" si="6"/>
        <v>11.450000000000001</v>
      </c>
      <c r="W46" s="1">
        <f t="shared" si="13"/>
        <v>8.735599999999998</v>
      </c>
      <c r="X46" s="1">
        <v>90.8</v>
      </c>
      <c r="Y46" s="1">
        <v>85.6</v>
      </c>
      <c r="Z46" s="1">
        <v>77.8</v>
      </c>
      <c r="AA46" s="1">
        <v>66.702799999999996</v>
      </c>
      <c r="AB46" s="1">
        <v>56.702800000000003</v>
      </c>
      <c r="AC46" s="1">
        <v>71</v>
      </c>
      <c r="AD46" s="1">
        <v>69.599999999999994</v>
      </c>
      <c r="AE46" s="1">
        <v>58.8</v>
      </c>
      <c r="AF46" s="1">
        <v>74.599999999999994</v>
      </c>
      <c r="AG46" s="1">
        <v>55.6</v>
      </c>
      <c r="AH46" s="1"/>
      <c r="AI46" s="1">
        <f t="shared" si="7"/>
        <v>61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125</v>
      </c>
      <c r="B47" s="1" t="s">
        <v>36</v>
      </c>
      <c r="C47" s="1">
        <v>168.40700000000001</v>
      </c>
      <c r="D47" s="1"/>
      <c r="E47" s="1">
        <v>108.00700000000001</v>
      </c>
      <c r="F47" s="1">
        <v>50.933999999999997</v>
      </c>
      <c r="G47" s="7">
        <v>1</v>
      </c>
      <c r="H47" s="1">
        <v>50</v>
      </c>
      <c r="I47" s="1" t="s">
        <v>126</v>
      </c>
      <c r="J47" s="1"/>
      <c r="K47" s="1">
        <v>101.642</v>
      </c>
      <c r="L47" s="1">
        <f t="shared" si="11"/>
        <v>6.3650000000000091</v>
      </c>
      <c r="M47" s="1"/>
      <c r="N47" s="1"/>
      <c r="O47" s="1"/>
      <c r="P47" s="1"/>
      <c r="Q47" s="1">
        <v>53.077800000000018</v>
      </c>
      <c r="R47" s="1">
        <v>101.65900000000001</v>
      </c>
      <c r="S47" s="1">
        <f t="shared" si="12"/>
        <v>21.601400000000002</v>
      </c>
      <c r="T47" s="5">
        <f>12.5*S47-R47-Q47-O47-F47</f>
        <v>64.346700000000027</v>
      </c>
      <c r="U47" s="5">
        <f t="shared" si="5"/>
        <v>64.346700000000027</v>
      </c>
      <c r="V47" s="1">
        <f t="shared" si="6"/>
        <v>12.500000000000002</v>
      </c>
      <c r="W47" s="1">
        <f t="shared" si="13"/>
        <v>9.5211791828307444</v>
      </c>
      <c r="X47" s="1">
        <v>23.608799999999999</v>
      </c>
      <c r="Y47" s="1">
        <v>18.345400000000001</v>
      </c>
      <c r="Z47" s="1">
        <v>14.846399999999999</v>
      </c>
      <c r="AA47" s="1">
        <v>11.8916</v>
      </c>
      <c r="AB47" s="1">
        <v>9.4711999999999996</v>
      </c>
      <c r="AC47" s="1">
        <v>16.225200000000001</v>
      </c>
      <c r="AD47" s="1">
        <v>19.845600000000001</v>
      </c>
      <c r="AE47" s="1">
        <v>22.029</v>
      </c>
      <c r="AF47" s="1">
        <v>15.5932</v>
      </c>
      <c r="AG47" s="1">
        <v>15.644</v>
      </c>
      <c r="AH47" s="1"/>
      <c r="AI47" s="1">
        <f t="shared" si="7"/>
        <v>64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127</v>
      </c>
      <c r="B48" s="1" t="s">
        <v>36</v>
      </c>
      <c r="C48" s="1">
        <v>743.51099999999997</v>
      </c>
      <c r="D48" s="1">
        <v>6.92</v>
      </c>
      <c r="E48" s="1">
        <v>154.16999999999999</v>
      </c>
      <c r="F48" s="1">
        <v>577.93499999999995</v>
      </c>
      <c r="G48" s="7">
        <v>1</v>
      </c>
      <c r="H48" s="1">
        <v>50</v>
      </c>
      <c r="I48" s="1" t="s">
        <v>128</v>
      </c>
      <c r="J48" s="1"/>
      <c r="K48" s="1">
        <v>156.851</v>
      </c>
      <c r="L48" s="1">
        <f t="shared" si="11"/>
        <v>-2.6810000000000116</v>
      </c>
      <c r="M48" s="1"/>
      <c r="N48" s="1"/>
      <c r="O48" s="1"/>
      <c r="P48" s="1"/>
      <c r="Q48" s="1"/>
      <c r="R48" s="1">
        <v>0</v>
      </c>
      <c r="S48" s="1">
        <f t="shared" si="12"/>
        <v>30.833999999999996</v>
      </c>
      <c r="T48" s="5"/>
      <c r="U48" s="5">
        <f t="shared" si="5"/>
        <v>0</v>
      </c>
      <c r="V48" s="1">
        <f t="shared" si="6"/>
        <v>18.743432574430823</v>
      </c>
      <c r="W48" s="1">
        <f t="shared" si="13"/>
        <v>18.743432574430823</v>
      </c>
      <c r="X48" s="1">
        <v>34.377200000000002</v>
      </c>
      <c r="Y48" s="1">
        <v>30.298400000000001</v>
      </c>
      <c r="Z48" s="1">
        <v>23.753599999999999</v>
      </c>
      <c r="AA48" s="1">
        <v>27.530799999999999</v>
      </c>
      <c r="AB48" s="1">
        <v>25.306999999999999</v>
      </c>
      <c r="AC48" s="1">
        <v>31.5168</v>
      </c>
      <c r="AD48" s="1">
        <v>27.968</v>
      </c>
      <c r="AE48" s="1">
        <v>28.571000000000002</v>
      </c>
      <c r="AF48" s="1">
        <v>29.1296</v>
      </c>
      <c r="AG48" s="1">
        <v>26.573</v>
      </c>
      <c r="AH48" s="16" t="s">
        <v>38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129</v>
      </c>
      <c r="B49" s="1" t="s">
        <v>36</v>
      </c>
      <c r="C49" s="1">
        <v>1.2709999999999999</v>
      </c>
      <c r="D49" s="1">
        <v>36.942999999999998</v>
      </c>
      <c r="E49" s="1">
        <v>8.1310000000000002</v>
      </c>
      <c r="F49" s="1">
        <v>19.21</v>
      </c>
      <c r="G49" s="7">
        <v>1</v>
      </c>
      <c r="H49" s="1">
        <v>45</v>
      </c>
      <c r="I49" s="1" t="s">
        <v>130</v>
      </c>
      <c r="J49" s="1"/>
      <c r="K49" s="1">
        <v>15.815</v>
      </c>
      <c r="L49" s="1">
        <f t="shared" si="11"/>
        <v>-7.6839999999999993</v>
      </c>
      <c r="M49" s="1"/>
      <c r="N49" s="1"/>
      <c r="O49" s="1">
        <v>159.81580000000011</v>
      </c>
      <c r="P49" s="1"/>
      <c r="Q49" s="1">
        <v>124.04039999999991</v>
      </c>
      <c r="R49" s="1">
        <v>0</v>
      </c>
      <c r="S49" s="1">
        <f t="shared" si="12"/>
        <v>1.6262000000000001</v>
      </c>
      <c r="T49" s="5"/>
      <c r="U49" s="5">
        <f t="shared" si="5"/>
        <v>0</v>
      </c>
      <c r="V49" s="1">
        <f t="shared" si="6"/>
        <v>186.36465379412127</v>
      </c>
      <c r="W49" s="1">
        <f t="shared" si="13"/>
        <v>186.36465379412127</v>
      </c>
      <c r="X49" s="1">
        <v>13.767799999999999</v>
      </c>
      <c r="Y49" s="1">
        <v>26.409400000000002</v>
      </c>
      <c r="Z49" s="1">
        <v>23.374400000000001</v>
      </c>
      <c r="AA49" s="1">
        <v>24.1386</v>
      </c>
      <c r="AB49" s="1">
        <v>22.309200000000001</v>
      </c>
      <c r="AC49" s="1">
        <v>27.3674</v>
      </c>
      <c r="AD49" s="1">
        <v>27.667200000000001</v>
      </c>
      <c r="AE49" s="1">
        <v>13.4558</v>
      </c>
      <c r="AF49" s="1">
        <v>20.5946</v>
      </c>
      <c r="AG49" s="1">
        <v>29.741199999999999</v>
      </c>
      <c r="AH49" s="1"/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131</v>
      </c>
      <c r="B50" s="1" t="s">
        <v>44</v>
      </c>
      <c r="C50" s="1">
        <v>196</v>
      </c>
      <c r="D50" s="1">
        <v>43</v>
      </c>
      <c r="E50" s="1">
        <v>212</v>
      </c>
      <c r="F50" s="1">
        <v>13</v>
      </c>
      <c r="G50" s="7">
        <v>0.45</v>
      </c>
      <c r="H50" s="1">
        <v>50</v>
      </c>
      <c r="I50" s="1" t="s">
        <v>132</v>
      </c>
      <c r="J50" s="1"/>
      <c r="K50" s="1">
        <v>219</v>
      </c>
      <c r="L50" s="1">
        <f t="shared" si="11"/>
        <v>-7</v>
      </c>
      <c r="M50" s="1"/>
      <c r="N50" s="1"/>
      <c r="O50" s="1">
        <v>48.400000000000027</v>
      </c>
      <c r="P50" s="1"/>
      <c r="Q50" s="1">
        <v>92</v>
      </c>
      <c r="R50" s="1">
        <v>118.4</v>
      </c>
      <c r="S50" s="1">
        <f t="shared" si="12"/>
        <v>42.4</v>
      </c>
      <c r="T50" s="5">
        <f>12.5*S50-R50-Q50-O50-F50</f>
        <v>258.2</v>
      </c>
      <c r="U50" s="5">
        <f t="shared" si="5"/>
        <v>258.2</v>
      </c>
      <c r="V50" s="1">
        <f t="shared" si="6"/>
        <v>12.5</v>
      </c>
      <c r="W50" s="1">
        <f t="shared" si="13"/>
        <v>6.4103773584905674</v>
      </c>
      <c r="X50" s="1">
        <v>34.4</v>
      </c>
      <c r="Y50" s="1">
        <v>31</v>
      </c>
      <c r="Z50" s="1">
        <v>32</v>
      </c>
      <c r="AA50" s="1">
        <v>33.200000000000003</v>
      </c>
      <c r="AB50" s="1">
        <v>23.6</v>
      </c>
      <c r="AC50" s="1">
        <v>26.4</v>
      </c>
      <c r="AD50" s="1">
        <v>28.2</v>
      </c>
      <c r="AE50" s="1">
        <v>24.6</v>
      </c>
      <c r="AF50" s="1">
        <v>30.8</v>
      </c>
      <c r="AG50" s="1">
        <v>26.2</v>
      </c>
      <c r="AH50" s="1"/>
      <c r="AI50" s="1">
        <f t="shared" si="7"/>
        <v>116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133</v>
      </c>
      <c r="B51" s="1" t="s">
        <v>44</v>
      </c>
      <c r="C51" s="1">
        <v>462</v>
      </c>
      <c r="D51" s="1">
        <v>3</v>
      </c>
      <c r="E51" s="1">
        <v>318</v>
      </c>
      <c r="F51" s="1">
        <v>146</v>
      </c>
      <c r="G51" s="7">
        <v>0.45</v>
      </c>
      <c r="H51" s="1">
        <v>50</v>
      </c>
      <c r="I51" s="1" t="s">
        <v>134</v>
      </c>
      <c r="J51" s="1"/>
      <c r="K51" s="1">
        <v>317</v>
      </c>
      <c r="L51" s="1">
        <f t="shared" si="11"/>
        <v>1</v>
      </c>
      <c r="M51" s="1"/>
      <c r="N51" s="1"/>
      <c r="O51" s="1"/>
      <c r="P51" s="1"/>
      <c r="Q51" s="1">
        <v>202.8</v>
      </c>
      <c r="R51" s="1">
        <v>291.8</v>
      </c>
      <c r="S51" s="1">
        <f t="shared" si="12"/>
        <v>63.6</v>
      </c>
      <c r="T51" s="5">
        <f>12.5*S51-R51-Q51-O51-F51</f>
        <v>154.39999999999998</v>
      </c>
      <c r="U51" s="5">
        <f>T51+$U$1*S51</f>
        <v>87.619999999999976</v>
      </c>
      <c r="V51" s="1">
        <f t="shared" si="6"/>
        <v>11.45</v>
      </c>
      <c r="W51" s="1">
        <f t="shared" si="13"/>
        <v>10.072327044025158</v>
      </c>
      <c r="X51" s="1">
        <v>69.599999999999994</v>
      </c>
      <c r="Y51" s="1">
        <v>55.4</v>
      </c>
      <c r="Z51" s="1">
        <v>41</v>
      </c>
      <c r="AA51" s="1">
        <v>59</v>
      </c>
      <c r="AB51" s="1">
        <v>55.2</v>
      </c>
      <c r="AC51" s="1">
        <v>53</v>
      </c>
      <c r="AD51" s="1">
        <v>54.4</v>
      </c>
      <c r="AE51" s="1">
        <v>45.8</v>
      </c>
      <c r="AF51" s="1">
        <v>50.6</v>
      </c>
      <c r="AG51" s="1">
        <v>52.2</v>
      </c>
      <c r="AH51" s="1"/>
      <c r="AI51" s="1">
        <f t="shared" si="7"/>
        <v>39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135</v>
      </c>
      <c r="B52" s="1" t="s">
        <v>44</v>
      </c>
      <c r="C52" s="1">
        <v>2</v>
      </c>
      <c r="D52" s="1">
        <v>60</v>
      </c>
      <c r="E52" s="1">
        <v>3</v>
      </c>
      <c r="F52" s="1">
        <v>57</v>
      </c>
      <c r="G52" s="7">
        <v>0.4</v>
      </c>
      <c r="H52" s="1">
        <v>40</v>
      </c>
      <c r="I52" s="1" t="s">
        <v>136</v>
      </c>
      <c r="J52" s="1"/>
      <c r="K52" s="1">
        <v>23</v>
      </c>
      <c r="L52" s="1">
        <f t="shared" si="11"/>
        <v>-20</v>
      </c>
      <c r="M52" s="1"/>
      <c r="N52" s="1"/>
      <c r="O52" s="1"/>
      <c r="P52" s="1"/>
      <c r="Q52" s="1">
        <v>31.79999999999999</v>
      </c>
      <c r="R52" s="1">
        <v>0</v>
      </c>
      <c r="S52" s="1">
        <f t="shared" si="12"/>
        <v>0.6</v>
      </c>
      <c r="T52" s="5"/>
      <c r="U52" s="5">
        <f t="shared" si="5"/>
        <v>0</v>
      </c>
      <c r="V52" s="1">
        <f t="shared" si="6"/>
        <v>147.99999999999997</v>
      </c>
      <c r="W52" s="1">
        <f t="shared" si="13"/>
        <v>147.99999999999997</v>
      </c>
      <c r="X52" s="1">
        <v>1</v>
      </c>
      <c r="Y52" s="1">
        <v>7.6</v>
      </c>
      <c r="Z52" s="1">
        <v>7.8</v>
      </c>
      <c r="AA52" s="1">
        <v>0.4</v>
      </c>
      <c r="AB52" s="1">
        <v>-0.2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/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137</v>
      </c>
      <c r="B53" s="1" t="s">
        <v>44</v>
      </c>
      <c r="C53" s="1">
        <v>82</v>
      </c>
      <c r="D53" s="1">
        <v>24</v>
      </c>
      <c r="E53" s="1">
        <v>51</v>
      </c>
      <c r="F53" s="1">
        <v>44</v>
      </c>
      <c r="G53" s="7">
        <v>0.4</v>
      </c>
      <c r="H53" s="1">
        <v>40</v>
      </c>
      <c r="I53" s="1" t="s">
        <v>138</v>
      </c>
      <c r="J53" s="1"/>
      <c r="K53" s="1">
        <v>62</v>
      </c>
      <c r="L53" s="1">
        <f t="shared" si="11"/>
        <v>-11</v>
      </c>
      <c r="M53" s="1"/>
      <c r="N53" s="1"/>
      <c r="O53" s="1"/>
      <c r="P53" s="1"/>
      <c r="Q53" s="1">
        <v>46</v>
      </c>
      <c r="R53" s="1">
        <v>36.199999999999989</v>
      </c>
      <c r="S53" s="1">
        <f t="shared" si="12"/>
        <v>10.199999999999999</v>
      </c>
      <c r="T53" s="5">
        <v>6</v>
      </c>
      <c r="U53" s="5">
        <f t="shared" si="5"/>
        <v>6</v>
      </c>
      <c r="V53" s="1">
        <f t="shared" si="6"/>
        <v>12.96078431372549</v>
      </c>
      <c r="W53" s="1">
        <f t="shared" si="13"/>
        <v>12.372549019607844</v>
      </c>
      <c r="X53" s="1">
        <v>12</v>
      </c>
      <c r="Y53" s="1">
        <v>12.4</v>
      </c>
      <c r="Z53" s="1">
        <v>10.8</v>
      </c>
      <c r="AA53" s="1">
        <v>1.4</v>
      </c>
      <c r="AB53" s="1">
        <v>4.5999999999999996</v>
      </c>
      <c r="AC53" s="1">
        <v>11.8</v>
      </c>
      <c r="AD53" s="1">
        <v>11</v>
      </c>
      <c r="AE53" s="1">
        <v>10.6</v>
      </c>
      <c r="AF53" s="1">
        <v>12.6</v>
      </c>
      <c r="AG53" s="1">
        <v>15.8</v>
      </c>
      <c r="AH53" s="1"/>
      <c r="AI53" s="1">
        <f t="shared" si="7"/>
        <v>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139</v>
      </c>
      <c r="B54" s="1" t="s">
        <v>36</v>
      </c>
      <c r="C54" s="1">
        <v>308.33999999999997</v>
      </c>
      <c r="D54" s="1"/>
      <c r="E54" s="1">
        <v>46.645000000000003</v>
      </c>
      <c r="F54" s="1">
        <v>256.36</v>
      </c>
      <c r="G54" s="7">
        <v>1</v>
      </c>
      <c r="H54" s="1">
        <v>50</v>
      </c>
      <c r="I54" s="1" t="s">
        <v>140</v>
      </c>
      <c r="J54" s="1"/>
      <c r="K54" s="1">
        <v>48.8</v>
      </c>
      <c r="L54" s="1">
        <f t="shared" si="11"/>
        <v>-2.154999999999994</v>
      </c>
      <c r="M54" s="1"/>
      <c r="N54" s="1"/>
      <c r="O54" s="1"/>
      <c r="P54" s="1"/>
      <c r="Q54" s="1"/>
      <c r="R54" s="1">
        <v>0</v>
      </c>
      <c r="S54" s="1">
        <f t="shared" si="12"/>
        <v>9.3290000000000006</v>
      </c>
      <c r="T54" s="5"/>
      <c r="U54" s="5">
        <f t="shared" si="5"/>
        <v>0</v>
      </c>
      <c r="V54" s="1">
        <f t="shared" si="6"/>
        <v>27.479901382784863</v>
      </c>
      <c r="W54" s="1">
        <f t="shared" si="13"/>
        <v>27.479901382784863</v>
      </c>
      <c r="X54" s="1">
        <v>14.9518</v>
      </c>
      <c r="Y54" s="1">
        <v>16.250800000000002</v>
      </c>
      <c r="Z54" s="1">
        <v>13.851000000000001</v>
      </c>
      <c r="AA54" s="1">
        <v>12.593400000000001</v>
      </c>
      <c r="AB54" s="1">
        <v>9.694799999999999</v>
      </c>
      <c r="AC54" s="1">
        <v>12.5252</v>
      </c>
      <c r="AD54" s="1">
        <v>10.475199999999999</v>
      </c>
      <c r="AE54" s="1">
        <v>16.552399999999999</v>
      </c>
      <c r="AF54" s="1">
        <v>14.782</v>
      </c>
      <c r="AG54" s="1">
        <v>13.0688</v>
      </c>
      <c r="AH54" s="16" t="s">
        <v>38</v>
      </c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141</v>
      </c>
      <c r="B55" s="1" t="s">
        <v>44</v>
      </c>
      <c r="C55" s="1">
        <v>352</v>
      </c>
      <c r="D55" s="1"/>
      <c r="E55" s="1">
        <v>68</v>
      </c>
      <c r="F55" s="1">
        <v>275</v>
      </c>
      <c r="G55" s="7">
        <v>0.1</v>
      </c>
      <c r="H55" s="1">
        <v>731</v>
      </c>
      <c r="I55" s="1" t="s">
        <v>142</v>
      </c>
      <c r="J55" s="1"/>
      <c r="K55" s="1">
        <v>67</v>
      </c>
      <c r="L55" s="1">
        <f t="shared" si="11"/>
        <v>1</v>
      </c>
      <c r="M55" s="1"/>
      <c r="N55" s="1"/>
      <c r="O55" s="1"/>
      <c r="P55" s="1"/>
      <c r="Q55" s="1"/>
      <c r="R55" s="1">
        <v>0</v>
      </c>
      <c r="S55" s="1">
        <f t="shared" si="12"/>
        <v>13.6</v>
      </c>
      <c r="T55" s="5"/>
      <c r="U55" s="5">
        <f t="shared" si="5"/>
        <v>0</v>
      </c>
      <c r="V55" s="1">
        <f t="shared" si="6"/>
        <v>20.22058823529412</v>
      </c>
      <c r="W55" s="1">
        <f t="shared" si="13"/>
        <v>20.22058823529412</v>
      </c>
      <c r="X55" s="1">
        <v>13.2</v>
      </c>
      <c r="Y55" s="1">
        <v>11.6</v>
      </c>
      <c r="Z55" s="1">
        <v>10.4</v>
      </c>
      <c r="AA55" s="1">
        <v>12.4</v>
      </c>
      <c r="AB55" s="1">
        <v>11.8</v>
      </c>
      <c r="AC55" s="1">
        <v>9.6</v>
      </c>
      <c r="AD55" s="1">
        <v>10</v>
      </c>
      <c r="AE55" s="1">
        <v>10.4</v>
      </c>
      <c r="AF55" s="1">
        <v>12.6</v>
      </c>
      <c r="AG55" s="1">
        <v>11</v>
      </c>
      <c r="AH55" s="16" t="s">
        <v>38</v>
      </c>
      <c r="AI55" s="1">
        <f t="shared" si="7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143</v>
      </c>
      <c r="B56" s="1" t="s">
        <v>36</v>
      </c>
      <c r="C56" s="1">
        <v>523.27499999999998</v>
      </c>
      <c r="D56" s="1"/>
      <c r="E56" s="1">
        <v>152.393</v>
      </c>
      <c r="F56" s="1">
        <v>359.10899999999998</v>
      </c>
      <c r="G56" s="7">
        <v>1</v>
      </c>
      <c r="H56" s="1">
        <v>50</v>
      </c>
      <c r="I56" s="1" t="s">
        <v>144</v>
      </c>
      <c r="J56" s="1"/>
      <c r="K56" s="1">
        <v>154.69999999999999</v>
      </c>
      <c r="L56" s="1">
        <f t="shared" si="11"/>
        <v>-2.3069999999999879</v>
      </c>
      <c r="M56" s="1"/>
      <c r="N56" s="1"/>
      <c r="O56" s="1"/>
      <c r="P56" s="1"/>
      <c r="Q56" s="1"/>
      <c r="R56" s="1">
        <v>3.811599999999999</v>
      </c>
      <c r="S56" s="1">
        <f t="shared" si="12"/>
        <v>30.4786</v>
      </c>
      <c r="T56" s="5">
        <f>12.5*S56-R56-Q56-O56-F56</f>
        <v>18.061900000000037</v>
      </c>
      <c r="U56" s="5">
        <f t="shared" si="5"/>
        <v>18.061900000000037</v>
      </c>
      <c r="V56" s="1">
        <f t="shared" si="6"/>
        <v>12.5</v>
      </c>
      <c r="W56" s="1">
        <f t="shared" si="13"/>
        <v>11.907390759418083</v>
      </c>
      <c r="X56" s="1">
        <v>39.569600000000001</v>
      </c>
      <c r="Y56" s="1">
        <v>35.916200000000003</v>
      </c>
      <c r="Z56" s="1">
        <v>27.1142</v>
      </c>
      <c r="AA56" s="1">
        <v>24.8506</v>
      </c>
      <c r="AB56" s="1">
        <v>27.480799999999999</v>
      </c>
      <c r="AC56" s="1">
        <v>35.6648</v>
      </c>
      <c r="AD56" s="1">
        <v>31.4526</v>
      </c>
      <c r="AE56" s="1">
        <v>25.026800000000001</v>
      </c>
      <c r="AF56" s="1">
        <v>33.039400000000001</v>
      </c>
      <c r="AG56" s="1">
        <v>29.8872</v>
      </c>
      <c r="AH56" s="1"/>
      <c r="AI56" s="1">
        <f t="shared" si="7"/>
        <v>18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145</v>
      </c>
      <c r="B57" s="1" t="s">
        <v>36</v>
      </c>
      <c r="C57" s="1">
        <v>60.997</v>
      </c>
      <c r="D57" s="1">
        <v>33.034999999999997</v>
      </c>
      <c r="E57" s="1">
        <v>39.009</v>
      </c>
      <c r="F57" s="1">
        <v>52.271000000000001</v>
      </c>
      <c r="G57" s="7">
        <v>1</v>
      </c>
      <c r="H57" s="1">
        <v>55</v>
      </c>
      <c r="I57" s="1" t="s">
        <v>146</v>
      </c>
      <c r="J57" s="1"/>
      <c r="K57" s="1">
        <v>37.5</v>
      </c>
      <c r="L57" s="1">
        <f t="shared" si="11"/>
        <v>1.5090000000000003</v>
      </c>
      <c r="M57" s="1"/>
      <c r="N57" s="1"/>
      <c r="O57" s="1"/>
      <c r="P57" s="1"/>
      <c r="Q57" s="1"/>
      <c r="R57" s="1">
        <v>43.627400000000009</v>
      </c>
      <c r="S57" s="1">
        <f t="shared" si="12"/>
        <v>7.8018000000000001</v>
      </c>
      <c r="T57" s="5">
        <v>4</v>
      </c>
      <c r="U57" s="5">
        <f t="shared" si="5"/>
        <v>4</v>
      </c>
      <c r="V57" s="1">
        <f t="shared" si="6"/>
        <v>12.804532287420853</v>
      </c>
      <c r="W57" s="1">
        <f t="shared" si="13"/>
        <v>12.291830090491938</v>
      </c>
      <c r="X57" s="1">
        <v>9.2653999999999996</v>
      </c>
      <c r="Y57" s="1">
        <v>6.8365999999999998</v>
      </c>
      <c r="Z57" s="1">
        <v>8.6145999999999994</v>
      </c>
      <c r="AA57" s="1">
        <v>6.7657999999999996</v>
      </c>
      <c r="AB57" s="1">
        <v>3.2637999999999998</v>
      </c>
      <c r="AC57" s="1">
        <v>3.5434000000000001</v>
      </c>
      <c r="AD57" s="1">
        <v>4.3601999999999999</v>
      </c>
      <c r="AE57" s="1">
        <v>8.9471999999999987</v>
      </c>
      <c r="AF57" s="1">
        <v>4.6289999999999996</v>
      </c>
      <c r="AG57" s="1">
        <v>3.5051999999999999</v>
      </c>
      <c r="AH57" s="1"/>
      <c r="AI57" s="1">
        <f t="shared" si="7"/>
        <v>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147</v>
      </c>
      <c r="B58" s="1" t="s">
        <v>44</v>
      </c>
      <c r="C58" s="1">
        <v>282</v>
      </c>
      <c r="D58" s="1"/>
      <c r="E58" s="1">
        <v>51</v>
      </c>
      <c r="F58" s="1">
        <v>222</v>
      </c>
      <c r="G58" s="7">
        <v>0.1</v>
      </c>
      <c r="H58" s="1">
        <v>731</v>
      </c>
      <c r="I58" s="1" t="s">
        <v>148</v>
      </c>
      <c r="J58" s="1"/>
      <c r="K58" s="1">
        <v>50</v>
      </c>
      <c r="L58" s="1">
        <f t="shared" si="11"/>
        <v>1</v>
      </c>
      <c r="M58" s="1"/>
      <c r="N58" s="1"/>
      <c r="O58" s="1"/>
      <c r="P58" s="1"/>
      <c r="Q58" s="1"/>
      <c r="R58" s="1">
        <v>0</v>
      </c>
      <c r="S58" s="1">
        <f t="shared" si="12"/>
        <v>10.199999999999999</v>
      </c>
      <c r="T58" s="5"/>
      <c r="U58" s="5">
        <f t="shared" si="5"/>
        <v>0</v>
      </c>
      <c r="V58" s="1">
        <f t="shared" si="6"/>
        <v>21.764705882352942</v>
      </c>
      <c r="W58" s="1">
        <f t="shared" si="13"/>
        <v>21.764705882352942</v>
      </c>
      <c r="X58" s="1">
        <v>12.6</v>
      </c>
      <c r="Y58" s="1">
        <v>14.6</v>
      </c>
      <c r="Z58" s="1">
        <v>10.4</v>
      </c>
      <c r="AA58" s="1">
        <v>2.6</v>
      </c>
      <c r="AB58" s="1">
        <v>2.2000000000000002</v>
      </c>
      <c r="AC58" s="1">
        <v>6.6</v>
      </c>
      <c r="AD58" s="1">
        <v>12</v>
      </c>
      <c r="AE58" s="1">
        <v>9.8000000000000007</v>
      </c>
      <c r="AF58" s="1">
        <v>14.8</v>
      </c>
      <c r="AG58" s="1">
        <v>8.8000000000000007</v>
      </c>
      <c r="AH58" s="16" t="s">
        <v>38</v>
      </c>
      <c r="AI58" s="1">
        <f t="shared" si="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149</v>
      </c>
      <c r="B59" s="1" t="s">
        <v>44</v>
      </c>
      <c r="C59" s="1">
        <v>29</v>
      </c>
      <c r="D59" s="1"/>
      <c r="E59" s="1">
        <v>8</v>
      </c>
      <c r="F59" s="1">
        <v>21</v>
      </c>
      <c r="G59" s="7">
        <v>0.4</v>
      </c>
      <c r="H59" s="1">
        <v>50</v>
      </c>
      <c r="I59" s="1" t="s">
        <v>150</v>
      </c>
      <c r="J59" s="1"/>
      <c r="K59" s="1">
        <v>14</v>
      </c>
      <c r="L59" s="1">
        <f t="shared" si="11"/>
        <v>-6</v>
      </c>
      <c r="M59" s="1"/>
      <c r="N59" s="1"/>
      <c r="O59" s="1"/>
      <c r="P59" s="1"/>
      <c r="Q59" s="1"/>
      <c r="R59" s="1">
        <v>14.2</v>
      </c>
      <c r="S59" s="1">
        <f t="shared" si="12"/>
        <v>1.6</v>
      </c>
      <c r="T59" s="5"/>
      <c r="U59" s="5">
        <f t="shared" si="5"/>
        <v>0</v>
      </c>
      <c r="V59" s="1">
        <f t="shared" si="6"/>
        <v>22</v>
      </c>
      <c r="W59" s="1">
        <f t="shared" si="13"/>
        <v>22</v>
      </c>
      <c r="X59" s="1">
        <v>3.2</v>
      </c>
      <c r="Y59" s="1">
        <v>2.4</v>
      </c>
      <c r="Z59" s="1">
        <v>1.8</v>
      </c>
      <c r="AA59" s="1">
        <v>3.2</v>
      </c>
      <c r="AB59" s="1">
        <v>2.8</v>
      </c>
      <c r="AC59" s="1">
        <v>2.2000000000000002</v>
      </c>
      <c r="AD59" s="1">
        <v>2.2000000000000002</v>
      </c>
      <c r="AE59" s="1">
        <v>3.6</v>
      </c>
      <c r="AF59" s="1">
        <v>2.8</v>
      </c>
      <c r="AG59" s="1">
        <v>4.5999999999999996</v>
      </c>
      <c r="AH59" s="1"/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151</v>
      </c>
      <c r="B60" s="1" t="s">
        <v>36</v>
      </c>
      <c r="C60" s="1">
        <v>44.530999999999999</v>
      </c>
      <c r="D60" s="1">
        <v>8.3109999999999999</v>
      </c>
      <c r="E60" s="1">
        <v>42.345999999999997</v>
      </c>
      <c r="F60" s="1">
        <v>5.407</v>
      </c>
      <c r="G60" s="7">
        <v>1</v>
      </c>
      <c r="H60" s="1">
        <v>40</v>
      </c>
      <c r="I60" s="1" t="s">
        <v>152</v>
      </c>
      <c r="J60" s="1"/>
      <c r="K60" s="1">
        <v>57.8</v>
      </c>
      <c r="L60" s="1">
        <f t="shared" si="11"/>
        <v>-15.454000000000001</v>
      </c>
      <c r="M60" s="1"/>
      <c r="N60" s="1"/>
      <c r="O60" s="1">
        <v>4</v>
      </c>
      <c r="P60" s="1"/>
      <c r="Q60" s="1">
        <v>119.8292</v>
      </c>
      <c r="R60" s="1">
        <v>88.80619999999999</v>
      </c>
      <c r="S60" s="1">
        <f t="shared" si="12"/>
        <v>8.469199999999999</v>
      </c>
      <c r="T60" s="5"/>
      <c r="U60" s="5">
        <f t="shared" si="5"/>
        <v>0</v>
      </c>
      <c r="V60" s="1">
        <f t="shared" si="6"/>
        <v>25.74533604118453</v>
      </c>
      <c r="W60" s="1">
        <f t="shared" si="13"/>
        <v>25.74533604118453</v>
      </c>
      <c r="X60" s="1">
        <v>20.630199999999999</v>
      </c>
      <c r="Y60" s="1">
        <v>17.4864</v>
      </c>
      <c r="Z60" s="1">
        <v>11.520799999999999</v>
      </c>
      <c r="AA60" s="1">
        <v>10.605399999999999</v>
      </c>
      <c r="AB60" s="1">
        <v>7.9319999999999986</v>
      </c>
      <c r="AC60" s="1">
        <v>11.8162</v>
      </c>
      <c r="AD60" s="1">
        <v>10.5372</v>
      </c>
      <c r="AE60" s="1">
        <v>12.450200000000001</v>
      </c>
      <c r="AF60" s="1">
        <v>4.6276000000000002</v>
      </c>
      <c r="AG60" s="1">
        <v>6.4955999999999996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153</v>
      </c>
      <c r="B61" s="1" t="s">
        <v>36</v>
      </c>
      <c r="C61" s="1">
        <v>35.798000000000002</v>
      </c>
      <c r="D61" s="1">
        <v>16.004000000000001</v>
      </c>
      <c r="E61" s="1">
        <v>26.338999999999999</v>
      </c>
      <c r="F61" s="1">
        <v>14.957000000000001</v>
      </c>
      <c r="G61" s="7">
        <v>1</v>
      </c>
      <c r="H61" s="1">
        <v>40</v>
      </c>
      <c r="I61" s="1" t="s">
        <v>154</v>
      </c>
      <c r="J61" s="1"/>
      <c r="K61" s="1">
        <v>64.528000000000006</v>
      </c>
      <c r="L61" s="1">
        <f t="shared" si="11"/>
        <v>-38.189000000000007</v>
      </c>
      <c r="M61" s="1"/>
      <c r="N61" s="1"/>
      <c r="O61" s="1"/>
      <c r="P61" s="1"/>
      <c r="Q61" s="1">
        <v>19.499399999999991</v>
      </c>
      <c r="R61" s="1">
        <v>0</v>
      </c>
      <c r="S61" s="1">
        <f t="shared" si="12"/>
        <v>5.2677999999999994</v>
      </c>
      <c r="T61" s="5">
        <f>12.5*S61-R61-Q61-O61-F61</f>
        <v>31.391100000000002</v>
      </c>
      <c r="U61" s="5">
        <f t="shared" si="5"/>
        <v>31.391100000000002</v>
      </c>
      <c r="V61" s="1">
        <f t="shared" si="6"/>
        <v>12.5</v>
      </c>
      <c r="W61" s="1">
        <f t="shared" si="13"/>
        <v>6.5409468848475631</v>
      </c>
      <c r="X61" s="1">
        <v>2.68</v>
      </c>
      <c r="Y61" s="1">
        <v>5.5876000000000001</v>
      </c>
      <c r="Z61" s="1">
        <v>5.6307999999999998</v>
      </c>
      <c r="AA61" s="1">
        <v>3.1223999999999998</v>
      </c>
      <c r="AB61" s="1">
        <v>1.8411999999999999</v>
      </c>
      <c r="AC61" s="1">
        <v>2.9407999999999999</v>
      </c>
      <c r="AD61" s="1">
        <v>1.5386</v>
      </c>
      <c r="AE61" s="1">
        <v>3.5327999999999999</v>
      </c>
      <c r="AF61" s="1">
        <v>2.7397999999999998</v>
      </c>
      <c r="AG61" s="1">
        <v>2.2021999999999999</v>
      </c>
      <c r="AH61" s="1"/>
      <c r="AI61" s="1">
        <f t="shared" si="7"/>
        <v>31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155</v>
      </c>
      <c r="B62" s="1" t="s">
        <v>44</v>
      </c>
      <c r="C62" s="1">
        <v>16</v>
      </c>
      <c r="D62" s="1">
        <v>629</v>
      </c>
      <c r="E62" s="1">
        <v>46</v>
      </c>
      <c r="F62" s="1">
        <v>598</v>
      </c>
      <c r="G62" s="7">
        <v>0.4</v>
      </c>
      <c r="H62" s="1">
        <v>40</v>
      </c>
      <c r="I62" s="1" t="s">
        <v>156</v>
      </c>
      <c r="J62" s="1"/>
      <c r="K62" s="1">
        <v>117</v>
      </c>
      <c r="L62" s="1">
        <f t="shared" si="11"/>
        <v>-71</v>
      </c>
      <c r="M62" s="1"/>
      <c r="N62" s="1"/>
      <c r="O62" s="1">
        <v>89.400000000000091</v>
      </c>
      <c r="P62" s="1"/>
      <c r="Q62" s="1">
        <v>726.80000000000007</v>
      </c>
      <c r="R62" s="1">
        <v>0</v>
      </c>
      <c r="S62" s="1">
        <f t="shared" si="12"/>
        <v>9.1999999999999993</v>
      </c>
      <c r="T62" s="5"/>
      <c r="U62" s="5">
        <f t="shared" si="5"/>
        <v>0</v>
      </c>
      <c r="V62" s="1">
        <f t="shared" si="6"/>
        <v>153.71739130434787</v>
      </c>
      <c r="W62" s="1">
        <f t="shared" si="13"/>
        <v>153.71739130434787</v>
      </c>
      <c r="X62" s="1">
        <v>52.6</v>
      </c>
      <c r="Y62" s="1">
        <v>111.4</v>
      </c>
      <c r="Z62" s="1">
        <v>104.6</v>
      </c>
      <c r="AA62" s="1">
        <v>52.2</v>
      </c>
      <c r="AB62" s="1">
        <v>16</v>
      </c>
      <c r="AC62" s="1">
        <v>33.6</v>
      </c>
      <c r="AD62" s="1">
        <v>61.2</v>
      </c>
      <c r="AE62" s="1">
        <v>61.2</v>
      </c>
      <c r="AF62" s="1">
        <v>83</v>
      </c>
      <c r="AG62" s="1">
        <v>62.8</v>
      </c>
      <c r="AH62" s="1"/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157</v>
      </c>
      <c r="B63" s="1" t="s">
        <v>44</v>
      </c>
      <c r="C63" s="1">
        <v>325</v>
      </c>
      <c r="D63" s="1">
        <v>459</v>
      </c>
      <c r="E63" s="1">
        <v>311</v>
      </c>
      <c r="F63" s="1">
        <v>446</v>
      </c>
      <c r="G63" s="7">
        <v>0.4</v>
      </c>
      <c r="H63" s="1">
        <v>40</v>
      </c>
      <c r="I63" s="1" t="s">
        <v>158</v>
      </c>
      <c r="J63" s="1"/>
      <c r="K63" s="1">
        <v>353</v>
      </c>
      <c r="L63" s="1">
        <f t="shared" si="11"/>
        <v>-42</v>
      </c>
      <c r="M63" s="1"/>
      <c r="N63" s="1"/>
      <c r="O63" s="1"/>
      <c r="P63" s="1"/>
      <c r="Q63" s="1">
        <v>150.99999999999989</v>
      </c>
      <c r="R63" s="1">
        <v>159.80000000000021</v>
      </c>
      <c r="S63" s="1">
        <f t="shared" si="12"/>
        <v>62.2</v>
      </c>
      <c r="T63" s="5">
        <f t="shared" ref="T63:T70" si="14">12.5*S63-R63-Q63-O63-F63</f>
        <v>20.699999999999932</v>
      </c>
      <c r="U63" s="5">
        <f t="shared" si="5"/>
        <v>20.699999999999932</v>
      </c>
      <c r="V63" s="1">
        <f t="shared" si="6"/>
        <v>12.5</v>
      </c>
      <c r="W63" s="1">
        <f t="shared" si="13"/>
        <v>12.167202572347268</v>
      </c>
      <c r="X63" s="1">
        <v>77.400000000000006</v>
      </c>
      <c r="Y63" s="1">
        <v>76.8</v>
      </c>
      <c r="Z63" s="1">
        <v>71.2</v>
      </c>
      <c r="AA63" s="1">
        <v>36.200000000000003</v>
      </c>
      <c r="AB63" s="1">
        <v>29</v>
      </c>
      <c r="AC63" s="1">
        <v>73.2</v>
      </c>
      <c r="AD63" s="1">
        <v>78.2</v>
      </c>
      <c r="AE63" s="1">
        <v>63</v>
      </c>
      <c r="AF63" s="1">
        <v>71.8</v>
      </c>
      <c r="AG63" s="1">
        <v>48.2</v>
      </c>
      <c r="AH63" s="1"/>
      <c r="AI63" s="1">
        <f t="shared" si="7"/>
        <v>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159</v>
      </c>
      <c r="B64" s="1" t="s">
        <v>36</v>
      </c>
      <c r="C64" s="1">
        <v>279.42099999999999</v>
      </c>
      <c r="D64" s="1">
        <v>0.89100000000000001</v>
      </c>
      <c r="E64" s="1">
        <v>184.071</v>
      </c>
      <c r="F64" s="1">
        <v>63.368000000000002</v>
      </c>
      <c r="G64" s="7">
        <v>1</v>
      </c>
      <c r="H64" s="1">
        <v>40</v>
      </c>
      <c r="I64" s="1" t="s">
        <v>160</v>
      </c>
      <c r="J64" s="1"/>
      <c r="K64" s="1">
        <v>203.95599999999999</v>
      </c>
      <c r="L64" s="1">
        <f t="shared" si="11"/>
        <v>-19.884999999999991</v>
      </c>
      <c r="M64" s="1"/>
      <c r="N64" s="1"/>
      <c r="O64" s="1"/>
      <c r="P64" s="1"/>
      <c r="Q64" s="1">
        <v>131.29179999999999</v>
      </c>
      <c r="R64" s="1">
        <v>65.607400000000013</v>
      </c>
      <c r="S64" s="1">
        <f t="shared" si="12"/>
        <v>36.8142</v>
      </c>
      <c r="T64" s="5">
        <f t="shared" si="14"/>
        <v>199.91030000000006</v>
      </c>
      <c r="U64" s="5">
        <f t="shared" si="5"/>
        <v>199.91030000000006</v>
      </c>
      <c r="V64" s="1">
        <f t="shared" si="6"/>
        <v>12.500000000000002</v>
      </c>
      <c r="W64" s="1">
        <f t="shared" si="13"/>
        <v>7.0697502594107711</v>
      </c>
      <c r="X64" s="1">
        <v>33.589199999999998</v>
      </c>
      <c r="Y64" s="1">
        <v>33.845399999999998</v>
      </c>
      <c r="Z64" s="1">
        <v>30.9146</v>
      </c>
      <c r="AA64" s="1">
        <v>30.956199999999999</v>
      </c>
      <c r="AB64" s="1">
        <v>29.2182</v>
      </c>
      <c r="AC64" s="1">
        <v>22.8276</v>
      </c>
      <c r="AD64" s="1">
        <v>21.452000000000002</v>
      </c>
      <c r="AE64" s="1">
        <v>25.005199999999999</v>
      </c>
      <c r="AF64" s="1">
        <v>29.2378</v>
      </c>
      <c r="AG64" s="1">
        <v>27.107199999999999</v>
      </c>
      <c r="AH64" s="1"/>
      <c r="AI64" s="1">
        <f t="shared" si="7"/>
        <v>200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161</v>
      </c>
      <c r="B65" s="1" t="s">
        <v>36</v>
      </c>
      <c r="C65" s="1">
        <v>142.023</v>
      </c>
      <c r="D65" s="1">
        <v>195.15700000000001</v>
      </c>
      <c r="E65" s="1">
        <v>118.892</v>
      </c>
      <c r="F65" s="1">
        <v>175.84200000000001</v>
      </c>
      <c r="G65" s="7">
        <v>1</v>
      </c>
      <c r="H65" s="1">
        <v>40</v>
      </c>
      <c r="I65" s="1" t="s">
        <v>162</v>
      </c>
      <c r="J65" s="1"/>
      <c r="K65" s="1">
        <v>163.417</v>
      </c>
      <c r="L65" s="1">
        <f t="shared" si="11"/>
        <v>-44.525000000000006</v>
      </c>
      <c r="M65" s="1"/>
      <c r="N65" s="1"/>
      <c r="O65" s="1"/>
      <c r="P65" s="1"/>
      <c r="Q65" s="1">
        <v>48.692399999999992</v>
      </c>
      <c r="R65" s="1">
        <v>44.777999999999942</v>
      </c>
      <c r="S65" s="1">
        <f t="shared" si="12"/>
        <v>23.778399999999998</v>
      </c>
      <c r="T65" s="5">
        <f t="shared" si="14"/>
        <v>27.917600000000022</v>
      </c>
      <c r="U65" s="5">
        <f t="shared" si="5"/>
        <v>27.917600000000022</v>
      </c>
      <c r="V65" s="1">
        <f t="shared" si="6"/>
        <v>12.500000000000002</v>
      </c>
      <c r="W65" s="1">
        <f t="shared" si="13"/>
        <v>11.325926050533257</v>
      </c>
      <c r="X65" s="1">
        <v>29.741199999999999</v>
      </c>
      <c r="Y65" s="1">
        <v>31.115600000000001</v>
      </c>
      <c r="Z65" s="1">
        <v>35.332799999999999</v>
      </c>
      <c r="AA65" s="1">
        <v>22.806999999999999</v>
      </c>
      <c r="AB65" s="1">
        <v>21.435199999999998</v>
      </c>
      <c r="AC65" s="1">
        <v>32.426400000000001</v>
      </c>
      <c r="AD65" s="1">
        <v>32.516800000000003</v>
      </c>
      <c r="AE65" s="1">
        <v>26.103999999999999</v>
      </c>
      <c r="AF65" s="1">
        <v>26.245200000000001</v>
      </c>
      <c r="AG65" s="1">
        <v>27.139800000000001</v>
      </c>
      <c r="AH65" s="1"/>
      <c r="AI65" s="1">
        <f t="shared" si="7"/>
        <v>28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163</v>
      </c>
      <c r="B66" s="1" t="s">
        <v>36</v>
      </c>
      <c r="C66" s="1">
        <v>434.44600000000003</v>
      </c>
      <c r="D66" s="1">
        <v>108.95699999999999</v>
      </c>
      <c r="E66" s="1">
        <v>403.238</v>
      </c>
      <c r="F66" s="1">
        <v>86.605999999999995</v>
      </c>
      <c r="G66" s="7">
        <v>1</v>
      </c>
      <c r="H66" s="1">
        <v>40</v>
      </c>
      <c r="I66" s="1" t="s">
        <v>164</v>
      </c>
      <c r="J66" s="1"/>
      <c r="K66" s="1">
        <v>535.53800000000001</v>
      </c>
      <c r="L66" s="1">
        <f t="shared" si="11"/>
        <v>-132.30000000000001</v>
      </c>
      <c r="M66" s="1"/>
      <c r="N66" s="1"/>
      <c r="O66" s="1">
        <v>328.09519999999992</v>
      </c>
      <c r="P66" s="1"/>
      <c r="Q66" s="1">
        <v>112.1066</v>
      </c>
      <c r="R66" s="1">
        <v>423.84335999999979</v>
      </c>
      <c r="S66" s="1">
        <f t="shared" si="12"/>
        <v>80.647599999999997</v>
      </c>
      <c r="T66" s="5">
        <f t="shared" si="14"/>
        <v>57.44384000000025</v>
      </c>
      <c r="U66" s="5">
        <f t="shared" si="5"/>
        <v>57.44384000000025</v>
      </c>
      <c r="V66" s="1">
        <f t="shared" si="6"/>
        <v>12.5</v>
      </c>
      <c r="W66" s="1">
        <f t="shared" si="13"/>
        <v>11.787717923409993</v>
      </c>
      <c r="X66" s="1">
        <v>104.0168</v>
      </c>
      <c r="Y66" s="1">
        <v>79.371600000000001</v>
      </c>
      <c r="Z66" s="1">
        <v>74.468199999999996</v>
      </c>
      <c r="AA66" s="1">
        <v>94.776600000000002</v>
      </c>
      <c r="AB66" s="1">
        <v>87.792000000000002</v>
      </c>
      <c r="AC66" s="1">
        <v>47.000999999999998</v>
      </c>
      <c r="AD66" s="1">
        <v>84.773400000000009</v>
      </c>
      <c r="AE66" s="1">
        <v>65.369</v>
      </c>
      <c r="AF66" s="1">
        <v>79.146000000000001</v>
      </c>
      <c r="AG66" s="1">
        <v>68.245000000000005</v>
      </c>
      <c r="AH66" s="1"/>
      <c r="AI66" s="1">
        <f t="shared" si="7"/>
        <v>57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165</v>
      </c>
      <c r="B67" s="1" t="s">
        <v>36</v>
      </c>
      <c r="C67" s="1">
        <v>406.03899999999999</v>
      </c>
      <c r="D67" s="1"/>
      <c r="E67" s="1">
        <v>225.702</v>
      </c>
      <c r="F67" s="1">
        <v>142.81399999999999</v>
      </c>
      <c r="G67" s="7">
        <v>1</v>
      </c>
      <c r="H67" s="1">
        <v>40</v>
      </c>
      <c r="I67" s="1" t="s">
        <v>166</v>
      </c>
      <c r="J67" s="1"/>
      <c r="K67" s="1">
        <v>232.82599999999999</v>
      </c>
      <c r="L67" s="1">
        <f t="shared" si="11"/>
        <v>-7.1239999999999952</v>
      </c>
      <c r="M67" s="1"/>
      <c r="N67" s="1"/>
      <c r="O67" s="1"/>
      <c r="P67" s="1"/>
      <c r="Q67" s="1"/>
      <c r="R67" s="1">
        <v>70.847199999999987</v>
      </c>
      <c r="S67" s="1">
        <f t="shared" si="12"/>
        <v>45.1404</v>
      </c>
      <c r="T67" s="5">
        <f t="shared" si="14"/>
        <v>350.59379999999999</v>
      </c>
      <c r="U67" s="5">
        <f t="shared" si="5"/>
        <v>350.59379999999999</v>
      </c>
      <c r="V67" s="1">
        <f t="shared" si="6"/>
        <v>12.5</v>
      </c>
      <c r="W67" s="1">
        <f t="shared" si="13"/>
        <v>4.7332588989020916</v>
      </c>
      <c r="X67" s="1">
        <v>32.860199999999999</v>
      </c>
      <c r="Y67" s="1">
        <v>31.357600000000001</v>
      </c>
      <c r="Z67" s="1">
        <v>34.3932</v>
      </c>
      <c r="AA67" s="1">
        <v>31.567399999999999</v>
      </c>
      <c r="AB67" s="1">
        <v>32.791800000000002</v>
      </c>
      <c r="AC67" s="1">
        <v>35.088000000000001</v>
      </c>
      <c r="AD67" s="1">
        <v>35.678199999999997</v>
      </c>
      <c r="AE67" s="1">
        <v>37.672800000000002</v>
      </c>
      <c r="AF67" s="1">
        <v>34.772599999999997</v>
      </c>
      <c r="AG67" s="1">
        <v>32.616799999999998</v>
      </c>
      <c r="AH67" s="1"/>
      <c r="AI67" s="1">
        <f t="shared" si="7"/>
        <v>351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167</v>
      </c>
      <c r="B68" s="1" t="s">
        <v>36</v>
      </c>
      <c r="C68" s="1">
        <v>364.99700000000001</v>
      </c>
      <c r="D68" s="1">
        <v>3.9740000000000002</v>
      </c>
      <c r="E68" s="1">
        <v>179.161</v>
      </c>
      <c r="F68" s="1">
        <v>119.79900000000001</v>
      </c>
      <c r="G68" s="7">
        <v>1</v>
      </c>
      <c r="H68" s="1">
        <v>30</v>
      </c>
      <c r="I68" s="1" t="s">
        <v>168</v>
      </c>
      <c r="J68" s="1"/>
      <c r="K68" s="1">
        <v>229.482</v>
      </c>
      <c r="L68" s="1">
        <f t="shared" si="11"/>
        <v>-50.320999999999998</v>
      </c>
      <c r="M68" s="1"/>
      <c r="N68" s="1"/>
      <c r="O68" s="1">
        <v>74.759800000000098</v>
      </c>
      <c r="P68" s="1"/>
      <c r="Q68" s="1">
        <v>24.196399999999869</v>
      </c>
      <c r="R68" s="1">
        <v>59.799799999999998</v>
      </c>
      <c r="S68" s="1">
        <f t="shared" si="12"/>
        <v>35.8322</v>
      </c>
      <c r="T68" s="5">
        <f t="shared" si="14"/>
        <v>169.34750000000005</v>
      </c>
      <c r="U68" s="5">
        <f t="shared" si="5"/>
        <v>169.34750000000005</v>
      </c>
      <c r="V68" s="1">
        <f t="shared" si="6"/>
        <v>12.5</v>
      </c>
      <c r="W68" s="1">
        <f t="shared" si="13"/>
        <v>7.7738737783334528</v>
      </c>
      <c r="X68" s="1">
        <v>35.826999999999998</v>
      </c>
      <c r="Y68" s="1">
        <v>37.896599999999999</v>
      </c>
      <c r="Z68" s="1">
        <v>39.866</v>
      </c>
      <c r="AA68" s="1">
        <v>52.215400000000002</v>
      </c>
      <c r="AB68" s="1">
        <v>54.083199999999998</v>
      </c>
      <c r="AC68" s="1">
        <v>43.1066</v>
      </c>
      <c r="AD68" s="1">
        <v>38.0274</v>
      </c>
      <c r="AE68" s="1">
        <v>31.822600000000001</v>
      </c>
      <c r="AF68" s="1">
        <v>59.592200000000012</v>
      </c>
      <c r="AG68" s="1">
        <v>49.133600000000001</v>
      </c>
      <c r="AH68" s="1"/>
      <c r="AI68" s="1">
        <f t="shared" si="7"/>
        <v>169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169</v>
      </c>
      <c r="B69" s="1" t="s">
        <v>44</v>
      </c>
      <c r="C69" s="1">
        <v>96</v>
      </c>
      <c r="D69" s="1">
        <v>32</v>
      </c>
      <c r="E69" s="1">
        <v>101</v>
      </c>
      <c r="F69" s="1">
        <v>24</v>
      </c>
      <c r="G69" s="7">
        <v>0.6</v>
      </c>
      <c r="H69" s="1">
        <v>60</v>
      </c>
      <c r="I69" s="1" t="s">
        <v>170</v>
      </c>
      <c r="J69" s="1"/>
      <c r="K69" s="1">
        <v>111</v>
      </c>
      <c r="L69" s="1">
        <f t="shared" si="11"/>
        <v>-10</v>
      </c>
      <c r="M69" s="1"/>
      <c r="N69" s="1"/>
      <c r="O69" s="1"/>
      <c r="P69" s="1"/>
      <c r="Q69" s="1">
        <v>154.6</v>
      </c>
      <c r="R69" s="1">
        <v>0</v>
      </c>
      <c r="S69" s="1">
        <f t="shared" si="12"/>
        <v>20.2</v>
      </c>
      <c r="T69" s="5">
        <f t="shared" si="14"/>
        <v>73.900000000000006</v>
      </c>
      <c r="U69" s="5">
        <f t="shared" si="5"/>
        <v>73.900000000000006</v>
      </c>
      <c r="V69" s="1">
        <f t="shared" si="6"/>
        <v>12.5</v>
      </c>
      <c r="W69" s="1">
        <f t="shared" si="13"/>
        <v>8.8415841584158414</v>
      </c>
      <c r="X69" s="1">
        <v>18.8</v>
      </c>
      <c r="Y69" s="1">
        <v>23.4</v>
      </c>
      <c r="Z69" s="1">
        <v>19.2</v>
      </c>
      <c r="AA69" s="1">
        <v>16</v>
      </c>
      <c r="AB69" s="1">
        <v>11.6</v>
      </c>
      <c r="AC69" s="1">
        <v>19.2</v>
      </c>
      <c r="AD69" s="1">
        <v>27.4</v>
      </c>
      <c r="AE69" s="1">
        <v>10.6</v>
      </c>
      <c r="AF69" s="1">
        <v>23.6</v>
      </c>
      <c r="AG69" s="1">
        <v>10.4</v>
      </c>
      <c r="AH69" s="1"/>
      <c r="AI69" s="1">
        <f t="shared" si="7"/>
        <v>44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171</v>
      </c>
      <c r="B70" s="1" t="s">
        <v>44</v>
      </c>
      <c r="C70" s="1">
        <v>145.244</v>
      </c>
      <c r="D70" s="1"/>
      <c r="E70" s="1">
        <v>181</v>
      </c>
      <c r="F70" s="1">
        <v>-33.756</v>
      </c>
      <c r="G70" s="7">
        <v>0.6</v>
      </c>
      <c r="H70" s="1">
        <v>60</v>
      </c>
      <c r="I70" s="1" t="s">
        <v>172</v>
      </c>
      <c r="J70" s="1"/>
      <c r="K70" s="1">
        <v>189</v>
      </c>
      <c r="L70" s="1">
        <f t="shared" ref="L70:L101" si="15">E70-K70</f>
        <v>-8</v>
      </c>
      <c r="M70" s="1"/>
      <c r="N70" s="1"/>
      <c r="O70" s="1">
        <v>167.6</v>
      </c>
      <c r="P70" s="1"/>
      <c r="Q70" s="1">
        <v>56.756000000000029</v>
      </c>
      <c r="R70" s="1">
        <v>0</v>
      </c>
      <c r="S70" s="1">
        <f t="shared" ref="S70:S101" si="16">E70/5</f>
        <v>36.200000000000003</v>
      </c>
      <c r="T70" s="5">
        <f t="shared" si="14"/>
        <v>261.90000000000003</v>
      </c>
      <c r="U70" s="5">
        <f t="shared" si="5"/>
        <v>261.90000000000003</v>
      </c>
      <c r="V70" s="1">
        <f t="shared" si="6"/>
        <v>12.5</v>
      </c>
      <c r="W70" s="1">
        <f t="shared" ref="W70:W101" si="17">(F70+O70+Q70+R70)/S70</f>
        <v>5.2651933701657461</v>
      </c>
      <c r="X70" s="1">
        <v>28.2</v>
      </c>
      <c r="Y70" s="1">
        <v>30.8</v>
      </c>
      <c r="Z70" s="1">
        <v>32</v>
      </c>
      <c r="AA70" s="1">
        <v>38.799999999999997</v>
      </c>
      <c r="AB70" s="1">
        <v>28.8</v>
      </c>
      <c r="AC70" s="1">
        <v>29.2</v>
      </c>
      <c r="AD70" s="1">
        <v>30.8</v>
      </c>
      <c r="AE70" s="1">
        <v>30.8</v>
      </c>
      <c r="AF70" s="1">
        <v>29</v>
      </c>
      <c r="AG70" s="1">
        <v>34.200000000000003</v>
      </c>
      <c r="AH70" s="1"/>
      <c r="AI70" s="1">
        <f t="shared" si="7"/>
        <v>157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173</v>
      </c>
      <c r="B71" s="1" t="s">
        <v>44</v>
      </c>
      <c r="C71" s="1">
        <v>90</v>
      </c>
      <c r="D71" s="1">
        <v>46</v>
      </c>
      <c r="E71" s="1">
        <v>86</v>
      </c>
      <c r="F71" s="1">
        <v>35</v>
      </c>
      <c r="G71" s="7">
        <v>0.4</v>
      </c>
      <c r="H71" s="1">
        <v>90</v>
      </c>
      <c r="I71" s="1" t="s">
        <v>174</v>
      </c>
      <c r="J71" s="1"/>
      <c r="K71" s="1">
        <v>105</v>
      </c>
      <c r="L71" s="1">
        <f t="shared" si="15"/>
        <v>-19</v>
      </c>
      <c r="M71" s="1"/>
      <c r="N71" s="1"/>
      <c r="O71" s="1">
        <v>77.600000000000023</v>
      </c>
      <c r="P71" s="1"/>
      <c r="Q71" s="1">
        <v>121.6</v>
      </c>
      <c r="R71" s="1">
        <v>0</v>
      </c>
      <c r="S71" s="1">
        <f t="shared" si="16"/>
        <v>17.2</v>
      </c>
      <c r="T71" s="5"/>
      <c r="U71" s="5">
        <f t="shared" ref="U71:U114" si="18">T71</f>
        <v>0</v>
      </c>
      <c r="V71" s="1">
        <f t="shared" ref="V71:V114" si="19">(F71+O71+Q71+R71+U71)/S71</f>
        <v>13.616279069767444</v>
      </c>
      <c r="W71" s="1">
        <f t="shared" si="17"/>
        <v>13.616279069767444</v>
      </c>
      <c r="X71" s="1">
        <v>23.2</v>
      </c>
      <c r="Y71" s="1">
        <v>27</v>
      </c>
      <c r="Z71" s="1">
        <v>24.4</v>
      </c>
      <c r="AA71" s="1">
        <v>24.8</v>
      </c>
      <c r="AB71" s="1">
        <v>25</v>
      </c>
      <c r="AC71" s="1">
        <v>18.2</v>
      </c>
      <c r="AD71" s="1">
        <v>14.8</v>
      </c>
      <c r="AE71" s="1">
        <v>24.4</v>
      </c>
      <c r="AF71" s="1">
        <v>18.2</v>
      </c>
      <c r="AG71" s="1">
        <v>17.600000000000001</v>
      </c>
      <c r="AH71" s="1"/>
      <c r="AI71" s="1">
        <f t="shared" ref="AI71:AI114" si="20">ROUND(G71*U71,0)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175</v>
      </c>
      <c r="B72" s="1" t="s">
        <v>44</v>
      </c>
      <c r="C72" s="1">
        <v>152</v>
      </c>
      <c r="D72" s="1">
        <v>13</v>
      </c>
      <c r="E72" s="1">
        <v>144</v>
      </c>
      <c r="F72" s="1">
        <v>11</v>
      </c>
      <c r="G72" s="7">
        <v>0.33</v>
      </c>
      <c r="H72" s="1">
        <v>60</v>
      </c>
      <c r="I72" s="1" t="s">
        <v>176</v>
      </c>
      <c r="J72" s="1"/>
      <c r="K72" s="1">
        <v>153</v>
      </c>
      <c r="L72" s="1">
        <f t="shared" si="15"/>
        <v>-9</v>
      </c>
      <c r="M72" s="1"/>
      <c r="N72" s="1"/>
      <c r="O72" s="1">
        <v>107.1999999999999</v>
      </c>
      <c r="P72" s="1"/>
      <c r="Q72" s="1">
        <v>62.19999999999996</v>
      </c>
      <c r="R72" s="1">
        <v>78.800000000000068</v>
      </c>
      <c r="S72" s="1">
        <f t="shared" si="16"/>
        <v>28.8</v>
      </c>
      <c r="T72" s="5">
        <f>12.5*S72-R72-Q72-O72-F72</f>
        <v>100.80000000000007</v>
      </c>
      <c r="U72" s="5">
        <f t="shared" si="18"/>
        <v>100.80000000000007</v>
      </c>
      <c r="V72" s="1">
        <f t="shared" si="19"/>
        <v>12.5</v>
      </c>
      <c r="W72" s="1">
        <f t="shared" si="17"/>
        <v>8.9999999999999982</v>
      </c>
      <c r="X72" s="1">
        <v>29.6</v>
      </c>
      <c r="Y72" s="1">
        <v>27.4</v>
      </c>
      <c r="Z72" s="1">
        <v>29.6</v>
      </c>
      <c r="AA72" s="1">
        <v>32.4</v>
      </c>
      <c r="AB72" s="1">
        <v>26.2</v>
      </c>
      <c r="AC72" s="1">
        <v>26.8</v>
      </c>
      <c r="AD72" s="1">
        <v>23.4</v>
      </c>
      <c r="AE72" s="1">
        <v>22</v>
      </c>
      <c r="AF72" s="1">
        <v>21.8</v>
      </c>
      <c r="AG72" s="1">
        <v>29</v>
      </c>
      <c r="AH72" s="1"/>
      <c r="AI72" s="1">
        <f t="shared" si="20"/>
        <v>33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177</v>
      </c>
      <c r="B73" s="1" t="s">
        <v>44</v>
      </c>
      <c r="C73" s="1">
        <v>95</v>
      </c>
      <c r="D73" s="1">
        <v>205</v>
      </c>
      <c r="E73" s="1">
        <v>93</v>
      </c>
      <c r="F73" s="1">
        <v>198</v>
      </c>
      <c r="G73" s="7">
        <v>0.35</v>
      </c>
      <c r="H73" s="1">
        <v>90</v>
      </c>
      <c r="I73" s="1" t="s">
        <v>178</v>
      </c>
      <c r="J73" s="1"/>
      <c r="K73" s="1">
        <v>99</v>
      </c>
      <c r="L73" s="1">
        <f t="shared" si="15"/>
        <v>-6</v>
      </c>
      <c r="M73" s="1"/>
      <c r="N73" s="1"/>
      <c r="O73" s="1">
        <v>36.399999999999977</v>
      </c>
      <c r="P73" s="1"/>
      <c r="Q73" s="1">
        <v>155.6</v>
      </c>
      <c r="R73" s="1">
        <v>0</v>
      </c>
      <c r="S73" s="1">
        <f t="shared" si="16"/>
        <v>18.600000000000001</v>
      </c>
      <c r="T73" s="5"/>
      <c r="U73" s="5">
        <f t="shared" si="18"/>
        <v>0</v>
      </c>
      <c r="V73" s="1">
        <f t="shared" si="19"/>
        <v>20.967741935483868</v>
      </c>
      <c r="W73" s="1">
        <f t="shared" si="17"/>
        <v>20.967741935483868</v>
      </c>
      <c r="X73" s="1">
        <v>26.4</v>
      </c>
      <c r="Y73" s="1">
        <v>40</v>
      </c>
      <c r="Z73" s="1">
        <v>36.4</v>
      </c>
      <c r="AA73" s="1">
        <v>27.2</v>
      </c>
      <c r="AB73" s="1">
        <v>28.4</v>
      </c>
      <c r="AC73" s="1">
        <v>22.2</v>
      </c>
      <c r="AD73" s="1">
        <v>19.8</v>
      </c>
      <c r="AE73" s="1">
        <v>26.4</v>
      </c>
      <c r="AF73" s="1">
        <v>20.399999999999999</v>
      </c>
      <c r="AG73" s="1">
        <v>25.4</v>
      </c>
      <c r="AH73" s="1"/>
      <c r="AI73" s="1">
        <f t="shared" si="20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179</v>
      </c>
      <c r="B74" s="1" t="s">
        <v>44</v>
      </c>
      <c r="C74" s="1">
        <v>12</v>
      </c>
      <c r="D74" s="1"/>
      <c r="E74" s="1">
        <v>10</v>
      </c>
      <c r="F74" s="1">
        <v>4</v>
      </c>
      <c r="G74" s="7">
        <v>0.6</v>
      </c>
      <c r="H74" s="1">
        <v>70</v>
      </c>
      <c r="I74" s="1" t="s">
        <v>180</v>
      </c>
      <c r="J74" s="1"/>
      <c r="K74" s="1">
        <v>64</v>
      </c>
      <c r="L74" s="1">
        <f t="shared" si="15"/>
        <v>-54</v>
      </c>
      <c r="M74" s="1"/>
      <c r="N74" s="1"/>
      <c r="O74" s="1">
        <v>124.8</v>
      </c>
      <c r="P74" s="1"/>
      <c r="Q74" s="1">
        <v>26.399999999999991</v>
      </c>
      <c r="R74" s="1">
        <v>0</v>
      </c>
      <c r="S74" s="1">
        <f t="shared" si="16"/>
        <v>2</v>
      </c>
      <c r="T74" s="5"/>
      <c r="U74" s="5">
        <f t="shared" si="18"/>
        <v>0</v>
      </c>
      <c r="V74" s="1">
        <f t="shared" si="19"/>
        <v>77.599999999999994</v>
      </c>
      <c r="W74" s="1">
        <f t="shared" si="17"/>
        <v>77.599999999999994</v>
      </c>
      <c r="X74" s="1">
        <v>8.6</v>
      </c>
      <c r="Y74" s="1">
        <v>13.6</v>
      </c>
      <c r="Z74" s="1">
        <v>13.8</v>
      </c>
      <c r="AA74" s="1">
        <v>18.2</v>
      </c>
      <c r="AB74" s="1">
        <v>16.399999999999999</v>
      </c>
      <c r="AC74" s="1">
        <v>12.2</v>
      </c>
      <c r="AD74" s="1">
        <v>10.8</v>
      </c>
      <c r="AE74" s="1">
        <v>7.4</v>
      </c>
      <c r="AF74" s="1">
        <v>14</v>
      </c>
      <c r="AG74" s="1">
        <v>11.4</v>
      </c>
      <c r="AH74" s="1"/>
      <c r="AI74" s="1">
        <f t="shared" si="20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181</v>
      </c>
      <c r="B75" s="1" t="s">
        <v>44</v>
      </c>
      <c r="C75" s="1">
        <v>47</v>
      </c>
      <c r="D75" s="1">
        <v>38</v>
      </c>
      <c r="E75" s="1">
        <v>45</v>
      </c>
      <c r="F75" s="1">
        <v>28</v>
      </c>
      <c r="G75" s="7">
        <v>0.33</v>
      </c>
      <c r="H75" s="1">
        <v>40</v>
      </c>
      <c r="I75" s="1" t="s">
        <v>182</v>
      </c>
      <c r="J75" s="1"/>
      <c r="K75" s="1">
        <v>47</v>
      </c>
      <c r="L75" s="1">
        <f t="shared" si="15"/>
        <v>-2</v>
      </c>
      <c r="M75" s="1"/>
      <c r="N75" s="1"/>
      <c r="O75" s="1"/>
      <c r="P75" s="1"/>
      <c r="Q75" s="1">
        <v>79.800000000000011</v>
      </c>
      <c r="R75" s="1">
        <v>70.399999999999977</v>
      </c>
      <c r="S75" s="1">
        <f t="shared" si="16"/>
        <v>9</v>
      </c>
      <c r="T75" s="5"/>
      <c r="U75" s="5">
        <f t="shared" si="18"/>
        <v>0</v>
      </c>
      <c r="V75" s="1">
        <f t="shared" si="19"/>
        <v>19.799999999999997</v>
      </c>
      <c r="W75" s="1">
        <f t="shared" si="17"/>
        <v>19.799999999999997</v>
      </c>
      <c r="X75" s="1">
        <v>16.2</v>
      </c>
      <c r="Y75" s="1">
        <v>13.4</v>
      </c>
      <c r="Z75" s="1">
        <v>10</v>
      </c>
      <c r="AA75" s="1">
        <v>8.4</v>
      </c>
      <c r="AB75" s="1">
        <v>9.8000000000000007</v>
      </c>
      <c r="AC75" s="1">
        <v>5</v>
      </c>
      <c r="AD75" s="1">
        <v>-0.2</v>
      </c>
      <c r="AE75" s="1">
        <v>4.5999999999999996</v>
      </c>
      <c r="AF75" s="1">
        <v>5.8</v>
      </c>
      <c r="AG75" s="1">
        <v>5.6</v>
      </c>
      <c r="AH75" s="1"/>
      <c r="AI75" s="1">
        <f t="shared" si="20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183</v>
      </c>
      <c r="B76" s="1" t="s">
        <v>44</v>
      </c>
      <c r="C76" s="1">
        <v>88.644000000000005</v>
      </c>
      <c r="D76" s="1">
        <v>1</v>
      </c>
      <c r="E76" s="1">
        <v>36</v>
      </c>
      <c r="F76" s="1">
        <v>48.643999999999998</v>
      </c>
      <c r="G76" s="7">
        <v>0.4</v>
      </c>
      <c r="H76" s="1">
        <v>55</v>
      </c>
      <c r="I76" s="1" t="s">
        <v>184</v>
      </c>
      <c r="J76" s="1"/>
      <c r="K76" s="1">
        <v>40</v>
      </c>
      <c r="L76" s="1">
        <f t="shared" si="15"/>
        <v>-4</v>
      </c>
      <c r="M76" s="1"/>
      <c r="N76" s="1"/>
      <c r="O76" s="1"/>
      <c r="P76" s="1"/>
      <c r="Q76" s="1">
        <v>24.156000000000009</v>
      </c>
      <c r="R76" s="1">
        <v>0</v>
      </c>
      <c r="S76" s="1">
        <f t="shared" si="16"/>
        <v>7.2</v>
      </c>
      <c r="T76" s="5">
        <f>12.5*S76-R76-Q76-O76-F76</f>
        <v>17.199999999999996</v>
      </c>
      <c r="U76" s="5">
        <f t="shared" si="18"/>
        <v>17.199999999999996</v>
      </c>
      <c r="V76" s="1">
        <f t="shared" si="19"/>
        <v>12.5</v>
      </c>
      <c r="W76" s="1">
        <f t="shared" si="17"/>
        <v>10.111111111111112</v>
      </c>
      <c r="X76" s="1">
        <v>7.2</v>
      </c>
      <c r="Y76" s="1">
        <v>9.4</v>
      </c>
      <c r="Z76" s="1">
        <v>9</v>
      </c>
      <c r="AA76" s="1">
        <v>4.2</v>
      </c>
      <c r="AB76" s="1">
        <v>2.8</v>
      </c>
      <c r="AC76" s="1">
        <v>4.8</v>
      </c>
      <c r="AD76" s="1">
        <v>6.8</v>
      </c>
      <c r="AE76" s="1">
        <v>6.2</v>
      </c>
      <c r="AF76" s="1">
        <v>6.4</v>
      </c>
      <c r="AG76" s="1">
        <v>3.2</v>
      </c>
      <c r="AH76" s="1"/>
      <c r="AI76" s="1">
        <f t="shared" si="20"/>
        <v>7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185</v>
      </c>
      <c r="B77" s="1" t="s">
        <v>44</v>
      </c>
      <c r="C77" s="1">
        <v>83</v>
      </c>
      <c r="D77" s="1">
        <v>2</v>
      </c>
      <c r="E77" s="1">
        <v>24</v>
      </c>
      <c r="F77" s="1">
        <v>58</v>
      </c>
      <c r="G77" s="7">
        <v>0.35</v>
      </c>
      <c r="H77" s="1">
        <v>40</v>
      </c>
      <c r="I77" s="1" t="s">
        <v>186</v>
      </c>
      <c r="J77" s="1"/>
      <c r="K77" s="1">
        <v>27</v>
      </c>
      <c r="L77" s="1">
        <f t="shared" si="15"/>
        <v>-3</v>
      </c>
      <c r="M77" s="1"/>
      <c r="N77" s="1"/>
      <c r="O77" s="1"/>
      <c r="P77" s="1"/>
      <c r="Q77" s="1"/>
      <c r="R77" s="1">
        <v>0</v>
      </c>
      <c r="S77" s="1">
        <f t="shared" si="16"/>
        <v>4.8</v>
      </c>
      <c r="T77" s="5">
        <v>6</v>
      </c>
      <c r="U77" s="5">
        <f t="shared" si="18"/>
        <v>6</v>
      </c>
      <c r="V77" s="1">
        <f t="shared" si="19"/>
        <v>13.333333333333334</v>
      </c>
      <c r="W77" s="1">
        <f t="shared" si="17"/>
        <v>12.083333333333334</v>
      </c>
      <c r="X77" s="1">
        <v>5</v>
      </c>
      <c r="Y77" s="1">
        <v>5.8</v>
      </c>
      <c r="Z77" s="1">
        <v>6.6</v>
      </c>
      <c r="AA77" s="1">
        <v>7.4</v>
      </c>
      <c r="AB77" s="1">
        <v>5.6</v>
      </c>
      <c r="AC77" s="1">
        <v>9.6</v>
      </c>
      <c r="AD77" s="1">
        <v>9.4</v>
      </c>
      <c r="AE77" s="1">
        <v>3.6</v>
      </c>
      <c r="AF77" s="1">
        <v>9.1999999999999993</v>
      </c>
      <c r="AG77" s="1">
        <v>2.6</v>
      </c>
      <c r="AH77" s="1"/>
      <c r="AI77" s="1">
        <f t="shared" si="20"/>
        <v>2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187</v>
      </c>
      <c r="B78" s="1" t="s">
        <v>44</v>
      </c>
      <c r="C78" s="1">
        <v>133</v>
      </c>
      <c r="D78" s="1">
        <v>2</v>
      </c>
      <c r="E78" s="1">
        <v>94</v>
      </c>
      <c r="F78" s="1">
        <v>37</v>
      </c>
      <c r="G78" s="7">
        <v>0.35</v>
      </c>
      <c r="H78" s="1">
        <v>45</v>
      </c>
      <c r="I78" s="1" t="s">
        <v>188</v>
      </c>
      <c r="J78" s="1"/>
      <c r="K78" s="1">
        <v>117</v>
      </c>
      <c r="L78" s="1">
        <f t="shared" si="15"/>
        <v>-23</v>
      </c>
      <c r="M78" s="1"/>
      <c r="N78" s="1"/>
      <c r="O78" s="1">
        <v>294.59999999999991</v>
      </c>
      <c r="P78" s="1"/>
      <c r="Q78" s="1"/>
      <c r="R78" s="1">
        <v>0</v>
      </c>
      <c r="S78" s="1">
        <f t="shared" si="16"/>
        <v>18.8</v>
      </c>
      <c r="T78" s="5"/>
      <c r="U78" s="5">
        <f t="shared" si="18"/>
        <v>0</v>
      </c>
      <c r="V78" s="1">
        <f t="shared" si="19"/>
        <v>17.63829787234042</v>
      </c>
      <c r="W78" s="1">
        <f t="shared" si="17"/>
        <v>17.63829787234042</v>
      </c>
      <c r="X78" s="1">
        <v>31.2</v>
      </c>
      <c r="Y78" s="1">
        <v>21.6</v>
      </c>
      <c r="Z78" s="1">
        <v>22.6</v>
      </c>
      <c r="AA78" s="1">
        <v>44.8</v>
      </c>
      <c r="AB78" s="1">
        <v>37.6</v>
      </c>
      <c r="AC78" s="1">
        <v>27.4</v>
      </c>
      <c r="AD78" s="1">
        <v>20.399999999999999</v>
      </c>
      <c r="AE78" s="1">
        <v>20.399999999999999</v>
      </c>
      <c r="AF78" s="1">
        <v>22</v>
      </c>
      <c r="AG78" s="1">
        <v>29.4</v>
      </c>
      <c r="AH78" s="1"/>
      <c r="AI78" s="1">
        <f t="shared" si="20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189</v>
      </c>
      <c r="B79" s="1" t="s">
        <v>36</v>
      </c>
      <c r="C79" s="1">
        <v>847.10799999999995</v>
      </c>
      <c r="D79" s="1">
        <v>1.696</v>
      </c>
      <c r="E79" s="1">
        <v>226.61500000000001</v>
      </c>
      <c r="F79" s="1">
        <v>616.66999999999996</v>
      </c>
      <c r="G79" s="7">
        <v>1</v>
      </c>
      <c r="H79" s="1">
        <v>60</v>
      </c>
      <c r="I79" s="1" t="s">
        <v>190</v>
      </c>
      <c r="J79" s="1"/>
      <c r="K79" s="1">
        <v>215.154</v>
      </c>
      <c r="L79" s="1">
        <f t="shared" si="15"/>
        <v>11.461000000000013</v>
      </c>
      <c r="M79" s="1"/>
      <c r="N79" s="1"/>
      <c r="O79" s="1"/>
      <c r="P79" s="1"/>
      <c r="Q79" s="1"/>
      <c r="R79" s="1">
        <v>0</v>
      </c>
      <c r="S79" s="1">
        <f t="shared" si="16"/>
        <v>45.323</v>
      </c>
      <c r="T79" s="5"/>
      <c r="U79" s="5">
        <f t="shared" si="18"/>
        <v>0</v>
      </c>
      <c r="V79" s="1">
        <f t="shared" si="19"/>
        <v>13.606116099993379</v>
      </c>
      <c r="W79" s="1">
        <f t="shared" si="17"/>
        <v>13.606116099993379</v>
      </c>
      <c r="X79" s="1">
        <v>52.400599999999997</v>
      </c>
      <c r="Y79" s="1">
        <v>49.375999999999998</v>
      </c>
      <c r="Z79" s="1">
        <v>39.700599999999987</v>
      </c>
      <c r="AA79" s="1">
        <v>34.451799999999999</v>
      </c>
      <c r="AB79" s="1">
        <v>36.162599999999998</v>
      </c>
      <c r="AC79" s="1">
        <v>42.768999999999998</v>
      </c>
      <c r="AD79" s="1">
        <v>39.879199999999997</v>
      </c>
      <c r="AE79" s="1">
        <v>30.56</v>
      </c>
      <c r="AF79" s="1">
        <v>34.906199999999998</v>
      </c>
      <c r="AG79" s="1">
        <v>35.253799999999998</v>
      </c>
      <c r="AH79" s="1"/>
      <c r="AI79" s="1">
        <f t="shared" si="20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191</v>
      </c>
      <c r="B80" s="1" t="s">
        <v>36</v>
      </c>
      <c r="C80" s="1">
        <v>2849.3629999999998</v>
      </c>
      <c r="D80" s="1">
        <v>820.88099999999997</v>
      </c>
      <c r="E80" s="1">
        <v>1432.6369999999999</v>
      </c>
      <c r="F80" s="1">
        <v>2093.9270000000001</v>
      </c>
      <c r="G80" s="7">
        <v>1</v>
      </c>
      <c r="H80" s="1">
        <v>60</v>
      </c>
      <c r="I80" s="1" t="s">
        <v>192</v>
      </c>
      <c r="J80" s="1"/>
      <c r="K80" s="1">
        <v>1504.5</v>
      </c>
      <c r="L80" s="1">
        <f t="shared" si="15"/>
        <v>-71.863000000000056</v>
      </c>
      <c r="M80" s="1"/>
      <c r="N80" s="1"/>
      <c r="O80" s="1"/>
      <c r="P80" s="1"/>
      <c r="Q80" s="1">
        <v>466.35840000000007</v>
      </c>
      <c r="R80" s="1">
        <v>0</v>
      </c>
      <c r="S80" s="1">
        <f t="shared" si="16"/>
        <v>286.5274</v>
      </c>
      <c r="T80" s="5">
        <f>12.5*S80-R80-Q80-O80-F80</f>
        <v>1021.3071</v>
      </c>
      <c r="U80" s="5">
        <f t="shared" ref="U80:U82" si="21">T80+$U$1*S80</f>
        <v>720.45333000000005</v>
      </c>
      <c r="V80" s="1">
        <f t="shared" si="19"/>
        <v>11.45</v>
      </c>
      <c r="W80" s="1">
        <f t="shared" si="17"/>
        <v>8.9355691637169787</v>
      </c>
      <c r="X80" s="1">
        <v>307.87279999999998</v>
      </c>
      <c r="Y80" s="1">
        <v>311.91879999999998</v>
      </c>
      <c r="Z80" s="1">
        <v>320.28199999999998</v>
      </c>
      <c r="AA80" s="1">
        <v>299.32</v>
      </c>
      <c r="AB80" s="1">
        <v>306.98520000000002</v>
      </c>
      <c r="AC80" s="1">
        <v>341.51620000000003</v>
      </c>
      <c r="AD80" s="1">
        <v>320.39839999999998</v>
      </c>
      <c r="AE80" s="1">
        <v>272.88400000000001</v>
      </c>
      <c r="AF80" s="1">
        <v>285.44979999999998</v>
      </c>
      <c r="AG80" s="1">
        <v>314.61520000000002</v>
      </c>
      <c r="AH80" s="1"/>
      <c r="AI80" s="1">
        <f t="shared" si="20"/>
        <v>720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193</v>
      </c>
      <c r="B81" s="1" t="s">
        <v>36</v>
      </c>
      <c r="C81" s="1">
        <v>2782.89</v>
      </c>
      <c r="D81" s="1">
        <v>320.81200000000001</v>
      </c>
      <c r="E81" s="1">
        <v>957.56299999999999</v>
      </c>
      <c r="F81" s="1">
        <v>2080.21</v>
      </c>
      <c r="G81" s="7">
        <v>1</v>
      </c>
      <c r="H81" s="1">
        <v>60</v>
      </c>
      <c r="I81" s="1" t="s">
        <v>194</v>
      </c>
      <c r="J81" s="1"/>
      <c r="K81" s="1">
        <v>981.57799999999997</v>
      </c>
      <c r="L81" s="1">
        <f t="shared" si="15"/>
        <v>-24.014999999999986</v>
      </c>
      <c r="M81" s="1"/>
      <c r="N81" s="1"/>
      <c r="O81" s="1"/>
      <c r="P81" s="1"/>
      <c r="Q81" s="1"/>
      <c r="R81" s="1">
        <v>0</v>
      </c>
      <c r="S81" s="1">
        <f t="shared" si="16"/>
        <v>191.51259999999999</v>
      </c>
      <c r="T81" s="5">
        <f>12.5*S81-R81-Q81-O81-F81</f>
        <v>313.69749999999976</v>
      </c>
      <c r="U81" s="5">
        <f t="shared" si="21"/>
        <v>112.60926999999975</v>
      </c>
      <c r="V81" s="1">
        <f t="shared" si="19"/>
        <v>11.450000000000001</v>
      </c>
      <c r="W81" s="1">
        <f t="shared" si="17"/>
        <v>10.862000724756491</v>
      </c>
      <c r="X81" s="1">
        <v>214.91640000000001</v>
      </c>
      <c r="Y81" s="1">
        <v>247.22239999999999</v>
      </c>
      <c r="Z81" s="1">
        <v>266.541</v>
      </c>
      <c r="AA81" s="1">
        <v>299.10000000000002</v>
      </c>
      <c r="AB81" s="1">
        <v>281.0856</v>
      </c>
      <c r="AC81" s="1">
        <v>239.624</v>
      </c>
      <c r="AD81" s="1">
        <v>205.08500000000001</v>
      </c>
      <c r="AE81" s="1">
        <v>212.28399999999999</v>
      </c>
      <c r="AF81" s="1">
        <v>179.25659999999999</v>
      </c>
      <c r="AG81" s="1">
        <v>223.30840000000001</v>
      </c>
      <c r="AH81" s="1"/>
      <c r="AI81" s="1">
        <f t="shared" si="20"/>
        <v>113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72</v>
      </c>
      <c r="B82" s="1" t="s">
        <v>36</v>
      </c>
      <c r="C82" s="1">
        <v>3316.4569999999999</v>
      </c>
      <c r="D82" s="1">
        <v>958.25099999999998</v>
      </c>
      <c r="E82" s="1">
        <v>2288.3440000000001</v>
      </c>
      <c r="F82" s="12">
        <f>1866.775+F21</f>
        <v>1836.393</v>
      </c>
      <c r="G82" s="7">
        <v>1</v>
      </c>
      <c r="H82" s="1">
        <v>60</v>
      </c>
      <c r="I82" s="1" t="s">
        <v>195</v>
      </c>
      <c r="J82" s="1"/>
      <c r="K82" s="1">
        <v>2322.3470000000002</v>
      </c>
      <c r="L82" s="1">
        <f t="shared" si="15"/>
        <v>-34.003000000000156</v>
      </c>
      <c r="M82" s="1"/>
      <c r="N82" s="1"/>
      <c r="O82" s="1"/>
      <c r="P82" s="1"/>
      <c r="Q82" s="1">
        <v>1093.3610000000001</v>
      </c>
      <c r="R82" s="1">
        <v>1108.6711600000001</v>
      </c>
      <c r="S82" s="1">
        <f t="shared" si="16"/>
        <v>457.66880000000003</v>
      </c>
      <c r="T82" s="5">
        <f>12.5*S82-R82-Q82-O82-F82</f>
        <v>1682.4348400000008</v>
      </c>
      <c r="U82" s="5">
        <f t="shared" si="21"/>
        <v>1201.8826000000008</v>
      </c>
      <c r="V82" s="1">
        <f t="shared" si="19"/>
        <v>11.450000000000001</v>
      </c>
      <c r="W82" s="1">
        <f t="shared" si="17"/>
        <v>8.8239031369409489</v>
      </c>
      <c r="X82" s="1">
        <v>475.00880000000001</v>
      </c>
      <c r="Y82" s="1">
        <v>401.34320000000002</v>
      </c>
      <c r="Z82" s="1">
        <v>381.37920000000003</v>
      </c>
      <c r="AA82" s="1">
        <v>392.51780000000002</v>
      </c>
      <c r="AB82" s="1">
        <v>396.423</v>
      </c>
      <c r="AC82" s="1">
        <v>430.05099999999999</v>
      </c>
      <c r="AD82" s="1">
        <v>470.26299999999998</v>
      </c>
      <c r="AE82" s="1">
        <v>363.51339999999999</v>
      </c>
      <c r="AF82" s="1">
        <v>416.97</v>
      </c>
      <c r="AG82" s="1">
        <v>381.81599999999997</v>
      </c>
      <c r="AH82" s="1"/>
      <c r="AI82" s="1">
        <f t="shared" si="20"/>
        <v>1202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196</v>
      </c>
      <c r="B83" s="1" t="s">
        <v>44</v>
      </c>
      <c r="C83" s="1">
        <v>64</v>
      </c>
      <c r="D83" s="1">
        <v>187</v>
      </c>
      <c r="E83" s="1">
        <v>51</v>
      </c>
      <c r="F83" s="1">
        <v>179</v>
      </c>
      <c r="G83" s="7">
        <v>0.3</v>
      </c>
      <c r="H83" s="1">
        <v>40</v>
      </c>
      <c r="I83" s="1" t="s">
        <v>197</v>
      </c>
      <c r="J83" s="1"/>
      <c r="K83" s="1">
        <v>72</v>
      </c>
      <c r="L83" s="1">
        <f t="shared" si="15"/>
        <v>-21</v>
      </c>
      <c r="M83" s="1"/>
      <c r="N83" s="1"/>
      <c r="O83" s="1"/>
      <c r="P83" s="1"/>
      <c r="Q83" s="1">
        <v>133.4</v>
      </c>
      <c r="R83" s="1">
        <v>0</v>
      </c>
      <c r="S83" s="1">
        <f t="shared" si="16"/>
        <v>10.199999999999999</v>
      </c>
      <c r="T83" s="5"/>
      <c r="U83" s="5">
        <f t="shared" si="18"/>
        <v>0</v>
      </c>
      <c r="V83" s="1">
        <f t="shared" si="19"/>
        <v>30.627450980392158</v>
      </c>
      <c r="W83" s="1">
        <f t="shared" si="17"/>
        <v>30.627450980392158</v>
      </c>
      <c r="X83" s="1">
        <v>23.4</v>
      </c>
      <c r="Y83" s="1">
        <v>31.2</v>
      </c>
      <c r="Z83" s="1">
        <v>28</v>
      </c>
      <c r="AA83" s="1">
        <v>15.6</v>
      </c>
      <c r="AB83" s="1">
        <v>9.6</v>
      </c>
      <c r="AC83" s="1">
        <v>18.399999999999999</v>
      </c>
      <c r="AD83" s="1">
        <v>21</v>
      </c>
      <c r="AE83" s="1">
        <v>21.2</v>
      </c>
      <c r="AF83" s="1">
        <v>21.2</v>
      </c>
      <c r="AG83" s="1">
        <v>18</v>
      </c>
      <c r="AH83" s="1"/>
      <c r="AI83" s="1">
        <f t="shared" si="20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198</v>
      </c>
      <c r="B84" s="1" t="s">
        <v>44</v>
      </c>
      <c r="C84" s="1">
        <v>160</v>
      </c>
      <c r="D84" s="1">
        <v>7</v>
      </c>
      <c r="E84" s="1">
        <v>66</v>
      </c>
      <c r="F84" s="1">
        <v>89</v>
      </c>
      <c r="G84" s="7">
        <v>7.0000000000000007E-2</v>
      </c>
      <c r="H84" s="1">
        <v>90</v>
      </c>
      <c r="I84" s="1" t="s">
        <v>199</v>
      </c>
      <c r="J84" s="1"/>
      <c r="K84" s="1">
        <v>76</v>
      </c>
      <c r="L84" s="1">
        <f t="shared" si="15"/>
        <v>-10</v>
      </c>
      <c r="M84" s="1"/>
      <c r="N84" s="1"/>
      <c r="O84" s="1"/>
      <c r="P84" s="1"/>
      <c r="Q84" s="1">
        <v>48.399999999999977</v>
      </c>
      <c r="R84" s="1">
        <v>18</v>
      </c>
      <c r="S84" s="1">
        <f t="shared" si="16"/>
        <v>13.2</v>
      </c>
      <c r="T84" s="5">
        <f>12.5*S84-R84-Q84-O84-F84</f>
        <v>9.6000000000000227</v>
      </c>
      <c r="U84" s="5">
        <f t="shared" si="18"/>
        <v>9.6000000000000227</v>
      </c>
      <c r="V84" s="1">
        <f t="shared" si="19"/>
        <v>12.5</v>
      </c>
      <c r="W84" s="1">
        <f t="shared" si="17"/>
        <v>11.772727272727272</v>
      </c>
      <c r="X84" s="1">
        <v>16.399999999999999</v>
      </c>
      <c r="Y84" s="1">
        <v>17.2</v>
      </c>
      <c r="Z84" s="1">
        <v>14.8</v>
      </c>
      <c r="AA84" s="1">
        <v>11.8</v>
      </c>
      <c r="AB84" s="1">
        <v>10.8</v>
      </c>
      <c r="AC84" s="1">
        <v>11.8</v>
      </c>
      <c r="AD84" s="1">
        <v>12.4</v>
      </c>
      <c r="AE84" s="1">
        <v>10</v>
      </c>
      <c r="AF84" s="1">
        <v>12.8</v>
      </c>
      <c r="AG84" s="1">
        <v>6.6</v>
      </c>
      <c r="AH84" s="1"/>
      <c r="AI84" s="1">
        <f t="shared" si="20"/>
        <v>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200</v>
      </c>
      <c r="B85" s="1" t="s">
        <v>44</v>
      </c>
      <c r="C85" s="1">
        <v>99</v>
      </c>
      <c r="D85" s="1">
        <v>61</v>
      </c>
      <c r="E85" s="1">
        <v>84</v>
      </c>
      <c r="F85" s="1">
        <v>52</v>
      </c>
      <c r="G85" s="7">
        <v>7.0000000000000007E-2</v>
      </c>
      <c r="H85" s="1">
        <v>90</v>
      </c>
      <c r="I85" s="1" t="s">
        <v>201</v>
      </c>
      <c r="J85" s="1"/>
      <c r="K85" s="1">
        <v>100</v>
      </c>
      <c r="L85" s="1">
        <f t="shared" si="15"/>
        <v>-16</v>
      </c>
      <c r="M85" s="1"/>
      <c r="N85" s="1"/>
      <c r="O85" s="1"/>
      <c r="P85" s="1"/>
      <c r="Q85" s="1">
        <v>82</v>
      </c>
      <c r="R85" s="1">
        <v>51.199999999999989</v>
      </c>
      <c r="S85" s="1">
        <f t="shared" si="16"/>
        <v>16.8</v>
      </c>
      <c r="T85" s="5">
        <f>12.5*S85-R85-Q85-O85-F85</f>
        <v>24.800000000000011</v>
      </c>
      <c r="U85" s="5">
        <f t="shared" si="18"/>
        <v>24.800000000000011</v>
      </c>
      <c r="V85" s="1">
        <f t="shared" si="19"/>
        <v>12.5</v>
      </c>
      <c r="W85" s="1">
        <f t="shared" si="17"/>
        <v>11.023809523809522</v>
      </c>
      <c r="X85" s="1">
        <v>19.2</v>
      </c>
      <c r="Y85" s="1">
        <v>18</v>
      </c>
      <c r="Z85" s="1">
        <v>16</v>
      </c>
      <c r="AA85" s="1">
        <v>13</v>
      </c>
      <c r="AB85" s="1">
        <v>9.1999999999999993</v>
      </c>
      <c r="AC85" s="1">
        <v>4</v>
      </c>
      <c r="AD85" s="1">
        <v>7</v>
      </c>
      <c r="AE85" s="1">
        <v>16</v>
      </c>
      <c r="AF85" s="1">
        <v>12.4</v>
      </c>
      <c r="AG85" s="1">
        <v>10.8</v>
      </c>
      <c r="AH85" s="1"/>
      <c r="AI85" s="1">
        <f t="shared" si="20"/>
        <v>2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202</v>
      </c>
      <c r="B86" s="1" t="s">
        <v>44</v>
      </c>
      <c r="C86" s="1">
        <v>143</v>
      </c>
      <c r="D86" s="1">
        <v>7</v>
      </c>
      <c r="E86" s="1">
        <v>53</v>
      </c>
      <c r="F86" s="1">
        <v>85</v>
      </c>
      <c r="G86" s="7">
        <v>7.0000000000000007E-2</v>
      </c>
      <c r="H86" s="1">
        <v>90</v>
      </c>
      <c r="I86" s="1" t="s">
        <v>203</v>
      </c>
      <c r="J86" s="1"/>
      <c r="K86" s="1">
        <v>64</v>
      </c>
      <c r="L86" s="1">
        <f t="shared" si="15"/>
        <v>-11</v>
      </c>
      <c r="M86" s="1"/>
      <c r="N86" s="1"/>
      <c r="O86" s="1"/>
      <c r="P86" s="1"/>
      <c r="Q86" s="1">
        <v>45.199999999999989</v>
      </c>
      <c r="R86" s="1">
        <v>0</v>
      </c>
      <c r="S86" s="1">
        <f t="shared" si="16"/>
        <v>10.6</v>
      </c>
      <c r="T86" s="5">
        <v>6</v>
      </c>
      <c r="U86" s="5">
        <f t="shared" si="18"/>
        <v>6</v>
      </c>
      <c r="V86" s="1">
        <f t="shared" si="19"/>
        <v>12.849056603773585</v>
      </c>
      <c r="W86" s="1">
        <f t="shared" si="17"/>
        <v>12.283018867924527</v>
      </c>
      <c r="X86" s="1">
        <v>11.6</v>
      </c>
      <c r="Y86" s="1">
        <v>15.6</v>
      </c>
      <c r="Z86" s="1">
        <v>13.8</v>
      </c>
      <c r="AA86" s="1">
        <v>10</v>
      </c>
      <c r="AB86" s="1">
        <v>7.8</v>
      </c>
      <c r="AC86" s="1">
        <v>0.6</v>
      </c>
      <c r="AD86" s="1">
        <v>2.6</v>
      </c>
      <c r="AE86" s="1">
        <v>7.4</v>
      </c>
      <c r="AF86" s="1">
        <v>7.2</v>
      </c>
      <c r="AG86" s="1">
        <v>5.6</v>
      </c>
      <c r="AH86" s="1"/>
      <c r="AI86" s="1">
        <f t="shared" si="20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204</v>
      </c>
      <c r="B87" s="1" t="s">
        <v>44</v>
      </c>
      <c r="C87" s="1">
        <v>85</v>
      </c>
      <c r="D87" s="1">
        <v>59</v>
      </c>
      <c r="E87" s="1">
        <v>74</v>
      </c>
      <c r="F87" s="1">
        <v>62</v>
      </c>
      <c r="G87" s="7">
        <v>0.05</v>
      </c>
      <c r="H87" s="1">
        <v>90</v>
      </c>
      <c r="I87" s="1" t="s">
        <v>205</v>
      </c>
      <c r="J87" s="1"/>
      <c r="K87" s="1">
        <v>81</v>
      </c>
      <c r="L87" s="1">
        <f t="shared" si="15"/>
        <v>-7</v>
      </c>
      <c r="M87" s="1"/>
      <c r="N87" s="1"/>
      <c r="O87" s="1">
        <v>15.80000000000001</v>
      </c>
      <c r="P87" s="1"/>
      <c r="Q87" s="1">
        <v>73.400000000000006</v>
      </c>
      <c r="R87" s="1">
        <v>24.199999999999989</v>
      </c>
      <c r="S87" s="1">
        <f t="shared" si="16"/>
        <v>14.8</v>
      </c>
      <c r="T87" s="5">
        <f>12.5*S87-R87-Q87-O87-F87</f>
        <v>9.5999999999999943</v>
      </c>
      <c r="U87" s="5">
        <f t="shared" si="18"/>
        <v>9.5999999999999943</v>
      </c>
      <c r="V87" s="1">
        <f t="shared" si="19"/>
        <v>12.5</v>
      </c>
      <c r="W87" s="1">
        <f t="shared" si="17"/>
        <v>11.851351351351351</v>
      </c>
      <c r="X87" s="1">
        <v>16.2</v>
      </c>
      <c r="Y87" s="1">
        <v>17</v>
      </c>
      <c r="Z87" s="1">
        <v>15.6</v>
      </c>
      <c r="AA87" s="1">
        <v>15.4</v>
      </c>
      <c r="AB87" s="1">
        <v>12.8</v>
      </c>
      <c r="AC87" s="1">
        <v>10.8</v>
      </c>
      <c r="AD87" s="1">
        <v>9.1999999999999993</v>
      </c>
      <c r="AE87" s="1">
        <v>8.1999999999999993</v>
      </c>
      <c r="AF87" s="1">
        <v>10.199999999999999</v>
      </c>
      <c r="AG87" s="1">
        <v>10.4</v>
      </c>
      <c r="AH87" s="1"/>
      <c r="AI87" s="1">
        <f t="shared" si="2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3" t="s">
        <v>206</v>
      </c>
      <c r="B88" s="13" t="s">
        <v>44</v>
      </c>
      <c r="C88" s="13"/>
      <c r="D88" s="13"/>
      <c r="E88" s="13"/>
      <c r="F88" s="13"/>
      <c r="G88" s="14">
        <v>5.5E-2</v>
      </c>
      <c r="H88" s="13"/>
      <c r="I88" s="13" t="s">
        <v>207</v>
      </c>
      <c r="J88" s="13"/>
      <c r="K88" s="13">
        <v>10</v>
      </c>
      <c r="L88" s="13">
        <f t="shared" si="15"/>
        <v>-10</v>
      </c>
      <c r="M88" s="13"/>
      <c r="N88" s="13"/>
      <c r="O88" s="13">
        <v>0</v>
      </c>
      <c r="P88" s="13"/>
      <c r="Q88" s="13"/>
      <c r="R88" s="13">
        <v>0</v>
      </c>
      <c r="S88" s="13">
        <f t="shared" si="16"/>
        <v>0</v>
      </c>
      <c r="T88" s="15"/>
      <c r="U88" s="5">
        <f t="shared" si="18"/>
        <v>0</v>
      </c>
      <c r="V88" s="1" t="e">
        <f t="shared" si="19"/>
        <v>#DIV/0!</v>
      </c>
      <c r="W88" s="13" t="e">
        <f t="shared" si="17"/>
        <v>#DIV/0!</v>
      </c>
      <c r="X88" s="13">
        <v>0</v>
      </c>
      <c r="Y88" s="13">
        <v>0</v>
      </c>
      <c r="Z88" s="13">
        <v>0</v>
      </c>
      <c r="AA88" s="13">
        <v>3.4</v>
      </c>
      <c r="AB88" s="13">
        <v>6</v>
      </c>
      <c r="AC88" s="13">
        <v>11.2</v>
      </c>
      <c r="AD88" s="13">
        <v>12.6</v>
      </c>
      <c r="AE88" s="13">
        <v>8.8000000000000007</v>
      </c>
      <c r="AF88" s="13">
        <v>9.4</v>
      </c>
      <c r="AG88" s="13">
        <v>7.4</v>
      </c>
      <c r="AH88" s="13" t="s">
        <v>208</v>
      </c>
      <c r="AI88" s="1">
        <f t="shared" si="20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3" t="s">
        <v>209</v>
      </c>
      <c r="B89" s="13" t="s">
        <v>44</v>
      </c>
      <c r="C89" s="13">
        <v>53</v>
      </c>
      <c r="D89" s="13">
        <v>5</v>
      </c>
      <c r="E89" s="13">
        <v>46</v>
      </c>
      <c r="F89" s="13">
        <v>2</v>
      </c>
      <c r="G89" s="14">
        <v>5.5E-2</v>
      </c>
      <c r="H89" s="13"/>
      <c r="I89" s="13" t="s">
        <v>210</v>
      </c>
      <c r="J89" s="13"/>
      <c r="K89" s="13">
        <v>57</v>
      </c>
      <c r="L89" s="13">
        <f t="shared" si="15"/>
        <v>-11</v>
      </c>
      <c r="M89" s="13"/>
      <c r="N89" s="13"/>
      <c r="O89" s="13">
        <v>0</v>
      </c>
      <c r="P89" s="13"/>
      <c r="Q89" s="13"/>
      <c r="R89" s="13">
        <v>0</v>
      </c>
      <c r="S89" s="13">
        <f t="shared" si="16"/>
        <v>9.1999999999999993</v>
      </c>
      <c r="T89" s="15"/>
      <c r="U89" s="5">
        <f t="shared" si="18"/>
        <v>0</v>
      </c>
      <c r="V89" s="1">
        <f t="shared" si="19"/>
        <v>0.21739130434782611</v>
      </c>
      <c r="W89" s="13">
        <f t="shared" si="17"/>
        <v>0.21739130434782611</v>
      </c>
      <c r="X89" s="13">
        <v>10.199999999999999</v>
      </c>
      <c r="Y89" s="13">
        <v>10.199999999999999</v>
      </c>
      <c r="Z89" s="13">
        <v>11.2</v>
      </c>
      <c r="AA89" s="13">
        <v>13.8</v>
      </c>
      <c r="AB89" s="13">
        <v>12.4</v>
      </c>
      <c r="AC89" s="13">
        <v>11</v>
      </c>
      <c r="AD89" s="13">
        <v>10</v>
      </c>
      <c r="AE89" s="13">
        <v>8.1999999999999993</v>
      </c>
      <c r="AF89" s="13">
        <v>10.6</v>
      </c>
      <c r="AG89" s="13">
        <v>6.2</v>
      </c>
      <c r="AH89" s="13" t="s">
        <v>208</v>
      </c>
      <c r="AI89" s="1">
        <f t="shared" si="20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211</v>
      </c>
      <c r="B90" s="1" t="s">
        <v>36</v>
      </c>
      <c r="C90" s="1">
        <v>120.419</v>
      </c>
      <c r="D90" s="1"/>
      <c r="E90" s="1">
        <v>20.347999999999999</v>
      </c>
      <c r="F90" s="1">
        <v>95.075000000000003</v>
      </c>
      <c r="G90" s="7">
        <v>1</v>
      </c>
      <c r="H90" s="1">
        <v>55</v>
      </c>
      <c r="I90" s="1" t="s">
        <v>212</v>
      </c>
      <c r="J90" s="1"/>
      <c r="K90" s="1">
        <v>19.600000000000001</v>
      </c>
      <c r="L90" s="1">
        <f t="shared" si="15"/>
        <v>0.74799999999999756</v>
      </c>
      <c r="M90" s="1"/>
      <c r="N90" s="1"/>
      <c r="O90" s="1"/>
      <c r="P90" s="1"/>
      <c r="Q90" s="1"/>
      <c r="R90" s="1">
        <v>0</v>
      </c>
      <c r="S90" s="1">
        <f t="shared" si="16"/>
        <v>4.0695999999999994</v>
      </c>
      <c r="T90" s="5"/>
      <c r="U90" s="5">
        <f t="shared" si="18"/>
        <v>0</v>
      </c>
      <c r="V90" s="1">
        <f t="shared" si="19"/>
        <v>23.36224690387262</v>
      </c>
      <c r="W90" s="1">
        <f t="shared" si="17"/>
        <v>23.36224690387262</v>
      </c>
      <c r="X90" s="1">
        <v>3.1516000000000002</v>
      </c>
      <c r="Y90" s="1">
        <v>3.5156000000000001</v>
      </c>
      <c r="Z90" s="1">
        <v>4.7962000000000007</v>
      </c>
      <c r="AA90" s="1">
        <v>8.3277999999999999</v>
      </c>
      <c r="AB90" s="1">
        <v>89.048400000000001</v>
      </c>
      <c r="AC90" s="1">
        <v>86.158199999999994</v>
      </c>
      <c r="AD90" s="1">
        <v>6.9647999999999994</v>
      </c>
      <c r="AE90" s="1">
        <v>1.6108</v>
      </c>
      <c r="AF90" s="1">
        <v>3.8397999999999999</v>
      </c>
      <c r="AG90" s="1">
        <v>9.2504000000000008</v>
      </c>
      <c r="AH90" s="1" t="s">
        <v>38</v>
      </c>
      <c r="AI90" s="1">
        <f t="shared" si="20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213</v>
      </c>
      <c r="B91" s="1" t="s">
        <v>44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214</v>
      </c>
      <c r="J91" s="1"/>
      <c r="K91" s="1">
        <v>22</v>
      </c>
      <c r="L91" s="1">
        <f t="shared" si="15"/>
        <v>-22</v>
      </c>
      <c r="M91" s="1"/>
      <c r="N91" s="1"/>
      <c r="O91" s="1">
        <v>10</v>
      </c>
      <c r="P91" s="1"/>
      <c r="Q91" s="1"/>
      <c r="R91" s="1">
        <v>0</v>
      </c>
      <c r="S91" s="1">
        <f t="shared" si="16"/>
        <v>0</v>
      </c>
      <c r="T91" s="5"/>
      <c r="U91" s="5">
        <f t="shared" si="18"/>
        <v>0</v>
      </c>
      <c r="V91" s="1" t="e">
        <f t="shared" si="19"/>
        <v>#DIV/0!</v>
      </c>
      <c r="W91" s="1" t="e">
        <f t="shared" si="17"/>
        <v>#DIV/0!</v>
      </c>
      <c r="X91" s="1">
        <v>0</v>
      </c>
      <c r="Y91" s="1">
        <v>0</v>
      </c>
      <c r="Z91" s="1">
        <v>-0.2</v>
      </c>
      <c r="AA91" s="1">
        <v>-0.4</v>
      </c>
      <c r="AB91" s="1">
        <v>-0.6</v>
      </c>
      <c r="AC91" s="1">
        <v>-0.8</v>
      </c>
      <c r="AD91" s="1">
        <v>-0.4</v>
      </c>
      <c r="AE91" s="1">
        <v>0.6</v>
      </c>
      <c r="AF91" s="1">
        <v>1.8</v>
      </c>
      <c r="AG91" s="1">
        <v>-1.4</v>
      </c>
      <c r="AH91" s="1"/>
      <c r="AI91" s="1">
        <f t="shared" si="20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215</v>
      </c>
      <c r="B92" s="1" t="s">
        <v>44</v>
      </c>
      <c r="C92" s="1">
        <v>59</v>
      </c>
      <c r="D92" s="1">
        <v>46</v>
      </c>
      <c r="E92" s="1">
        <v>53</v>
      </c>
      <c r="F92" s="1">
        <v>38</v>
      </c>
      <c r="G92" s="7">
        <v>0.08</v>
      </c>
      <c r="H92" s="1">
        <v>45</v>
      </c>
      <c r="I92" s="1" t="s">
        <v>216</v>
      </c>
      <c r="J92" s="1"/>
      <c r="K92" s="1">
        <v>95</v>
      </c>
      <c r="L92" s="1">
        <f t="shared" si="15"/>
        <v>-42</v>
      </c>
      <c r="M92" s="1"/>
      <c r="N92" s="1"/>
      <c r="O92" s="1">
        <v>120</v>
      </c>
      <c r="P92" s="1"/>
      <c r="Q92" s="1">
        <v>69.399999999999977</v>
      </c>
      <c r="R92" s="1">
        <v>0</v>
      </c>
      <c r="S92" s="1">
        <f t="shared" si="16"/>
        <v>10.6</v>
      </c>
      <c r="T92" s="5"/>
      <c r="U92" s="5">
        <f t="shared" si="18"/>
        <v>0</v>
      </c>
      <c r="V92" s="1">
        <f t="shared" si="19"/>
        <v>21.452830188679243</v>
      </c>
      <c r="W92" s="1">
        <f t="shared" si="17"/>
        <v>21.452830188679243</v>
      </c>
      <c r="X92" s="1">
        <v>19</v>
      </c>
      <c r="Y92" s="1">
        <v>23.2</v>
      </c>
      <c r="Z92" s="1">
        <v>23</v>
      </c>
      <c r="AA92" s="1">
        <v>23.8</v>
      </c>
      <c r="AB92" s="1">
        <v>20.2</v>
      </c>
      <c r="AC92" s="1">
        <v>19.8</v>
      </c>
      <c r="AD92" s="1">
        <v>17.399999999999999</v>
      </c>
      <c r="AE92" s="1">
        <v>20</v>
      </c>
      <c r="AF92" s="1">
        <v>18</v>
      </c>
      <c r="AG92" s="1">
        <v>20.8</v>
      </c>
      <c r="AH92" s="1"/>
      <c r="AI92" s="1">
        <f t="shared" si="2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217</v>
      </c>
      <c r="B93" s="1" t="s">
        <v>44</v>
      </c>
      <c r="C93" s="1">
        <v>90</v>
      </c>
      <c r="D93" s="1">
        <v>6</v>
      </c>
      <c r="E93" s="1">
        <v>85</v>
      </c>
      <c r="F93" s="1">
        <v>-2</v>
      </c>
      <c r="G93" s="7">
        <v>0.08</v>
      </c>
      <c r="H93" s="1">
        <v>45</v>
      </c>
      <c r="I93" s="1" t="s">
        <v>218</v>
      </c>
      <c r="J93" s="1"/>
      <c r="K93" s="1">
        <v>98</v>
      </c>
      <c r="L93" s="1">
        <f t="shared" si="15"/>
        <v>-13</v>
      </c>
      <c r="M93" s="1"/>
      <c r="N93" s="1"/>
      <c r="O93" s="1">
        <v>76.998000000000019</v>
      </c>
      <c r="P93" s="1"/>
      <c r="Q93" s="1"/>
      <c r="R93" s="1">
        <v>8</v>
      </c>
      <c r="S93" s="1">
        <f t="shared" si="16"/>
        <v>17</v>
      </c>
      <c r="T93" s="5">
        <f>12.5*S93-R93-Q93-O93-F93</f>
        <v>129.50199999999998</v>
      </c>
      <c r="U93" s="5">
        <f t="shared" si="18"/>
        <v>129.50199999999998</v>
      </c>
      <c r="V93" s="1">
        <f t="shared" si="19"/>
        <v>12.5</v>
      </c>
      <c r="W93" s="1">
        <f t="shared" si="17"/>
        <v>4.8822352941176481</v>
      </c>
      <c r="X93" s="1">
        <v>11</v>
      </c>
      <c r="Y93" s="1">
        <v>13</v>
      </c>
      <c r="Z93" s="1">
        <v>16.2</v>
      </c>
      <c r="AA93" s="1">
        <v>19.399999999999999</v>
      </c>
      <c r="AB93" s="1">
        <v>16.8</v>
      </c>
      <c r="AC93" s="1">
        <v>17.399999999999999</v>
      </c>
      <c r="AD93" s="1">
        <v>15.8</v>
      </c>
      <c r="AE93" s="1">
        <v>17.2</v>
      </c>
      <c r="AF93" s="1">
        <v>11.4</v>
      </c>
      <c r="AG93" s="1">
        <v>11.6</v>
      </c>
      <c r="AH93" s="1"/>
      <c r="AI93" s="1">
        <f t="shared" si="20"/>
        <v>10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219</v>
      </c>
      <c r="B94" s="1" t="s">
        <v>44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220</v>
      </c>
      <c r="J94" s="1"/>
      <c r="K94" s="1">
        <v>25</v>
      </c>
      <c r="L94" s="1">
        <f t="shared" si="15"/>
        <v>-25</v>
      </c>
      <c r="M94" s="1"/>
      <c r="N94" s="1"/>
      <c r="O94" s="1">
        <v>10</v>
      </c>
      <c r="P94" s="1"/>
      <c r="Q94" s="1"/>
      <c r="R94" s="1">
        <v>0</v>
      </c>
      <c r="S94" s="1">
        <f t="shared" si="16"/>
        <v>0</v>
      </c>
      <c r="T94" s="5"/>
      <c r="U94" s="5">
        <f t="shared" si="18"/>
        <v>0</v>
      </c>
      <c r="V94" s="1" t="e">
        <f t="shared" si="19"/>
        <v>#DIV/0!</v>
      </c>
      <c r="W94" s="1" t="e">
        <f t="shared" si="17"/>
        <v>#DIV/0!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-0.2</v>
      </c>
      <c r="AD94" s="1">
        <v>-0.2</v>
      </c>
      <c r="AE94" s="1">
        <v>0</v>
      </c>
      <c r="AF94" s="1">
        <v>0.2</v>
      </c>
      <c r="AG94" s="1">
        <v>-1</v>
      </c>
      <c r="AH94" s="1"/>
      <c r="AI94" s="1">
        <f t="shared" si="20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221</v>
      </c>
      <c r="B95" s="1" t="s">
        <v>36</v>
      </c>
      <c r="C95" s="1">
        <v>166.261</v>
      </c>
      <c r="D95" s="1">
        <v>115.47799999999999</v>
      </c>
      <c r="E95" s="1">
        <v>152.57</v>
      </c>
      <c r="F95" s="1">
        <v>106.71899999999999</v>
      </c>
      <c r="G95" s="7">
        <v>1</v>
      </c>
      <c r="H95" s="1">
        <v>40</v>
      </c>
      <c r="I95" s="1" t="s">
        <v>222</v>
      </c>
      <c r="J95" s="1"/>
      <c r="K95" s="1">
        <v>167.04599999999999</v>
      </c>
      <c r="L95" s="1">
        <f t="shared" si="15"/>
        <v>-14.475999999999999</v>
      </c>
      <c r="M95" s="1"/>
      <c r="N95" s="1"/>
      <c r="O95" s="1">
        <v>57.318799999999939</v>
      </c>
      <c r="P95" s="1"/>
      <c r="Q95" s="1">
        <v>54.698199999999993</v>
      </c>
      <c r="R95" s="1">
        <v>110.68219999999999</v>
      </c>
      <c r="S95" s="1">
        <f t="shared" si="16"/>
        <v>30.513999999999999</v>
      </c>
      <c r="T95" s="5">
        <f>12.5*S95-R95-Q95-O95-F95</f>
        <v>52.006800000000055</v>
      </c>
      <c r="U95" s="5">
        <f t="shared" si="18"/>
        <v>52.006800000000055</v>
      </c>
      <c r="V95" s="1">
        <f t="shared" si="19"/>
        <v>12.5</v>
      </c>
      <c r="W95" s="1">
        <f t="shared" si="17"/>
        <v>10.795641344956412</v>
      </c>
      <c r="X95" s="1">
        <v>35.223799999999997</v>
      </c>
      <c r="Y95" s="1">
        <v>32.168799999999997</v>
      </c>
      <c r="Z95" s="1">
        <v>34.5154</v>
      </c>
      <c r="AA95" s="1">
        <v>32.029400000000003</v>
      </c>
      <c r="AB95" s="1">
        <v>31.279399999999999</v>
      </c>
      <c r="AC95" s="1">
        <v>34.792999999999999</v>
      </c>
      <c r="AD95" s="1">
        <v>30.675999999999998</v>
      </c>
      <c r="AE95" s="1">
        <v>25.351800000000001</v>
      </c>
      <c r="AF95" s="1">
        <v>31.613</v>
      </c>
      <c r="AG95" s="1">
        <v>20.223400000000002</v>
      </c>
      <c r="AH95" s="1"/>
      <c r="AI95" s="1">
        <f t="shared" si="20"/>
        <v>52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223</v>
      </c>
      <c r="B96" s="1" t="s">
        <v>36</v>
      </c>
      <c r="C96" s="1">
        <v>373.55599999999998</v>
      </c>
      <c r="D96" s="1">
        <v>2.1619999999999999</v>
      </c>
      <c r="E96" s="1">
        <v>150.351</v>
      </c>
      <c r="F96" s="1">
        <v>212.33600000000001</v>
      </c>
      <c r="G96" s="7">
        <v>1</v>
      </c>
      <c r="H96" s="1">
        <v>40</v>
      </c>
      <c r="I96" s="1" t="s">
        <v>224</v>
      </c>
      <c r="J96" s="1"/>
      <c r="K96" s="1">
        <v>157.1</v>
      </c>
      <c r="L96" s="1">
        <f t="shared" si="15"/>
        <v>-6.7489999999999952</v>
      </c>
      <c r="M96" s="1"/>
      <c r="N96" s="1"/>
      <c r="O96" s="1"/>
      <c r="P96" s="1"/>
      <c r="Q96" s="1"/>
      <c r="R96" s="1">
        <v>0</v>
      </c>
      <c r="S96" s="1">
        <f t="shared" si="16"/>
        <v>30.0702</v>
      </c>
      <c r="T96" s="5">
        <f>12.5*S96-R96-Q96-O96-F96</f>
        <v>163.54149999999998</v>
      </c>
      <c r="U96" s="5">
        <f t="shared" si="18"/>
        <v>163.54149999999998</v>
      </c>
      <c r="V96" s="1">
        <f t="shared" si="19"/>
        <v>12.5</v>
      </c>
      <c r="W96" s="1">
        <f t="shared" si="17"/>
        <v>7.0613431237570756</v>
      </c>
      <c r="X96" s="1">
        <v>27.5472</v>
      </c>
      <c r="Y96" s="1">
        <v>24.343599999999999</v>
      </c>
      <c r="Z96" s="1">
        <v>23.461200000000002</v>
      </c>
      <c r="AA96" s="1">
        <v>22.640799999999999</v>
      </c>
      <c r="AB96" s="1">
        <v>21.380199999999999</v>
      </c>
      <c r="AC96" s="1">
        <v>19.637799999999999</v>
      </c>
      <c r="AD96" s="1">
        <v>19.757400000000001</v>
      </c>
      <c r="AE96" s="1">
        <v>0</v>
      </c>
      <c r="AF96" s="1">
        <v>27.5456</v>
      </c>
      <c r="AG96" s="1">
        <v>21.107600000000001</v>
      </c>
      <c r="AH96" s="1"/>
      <c r="AI96" s="1">
        <f t="shared" si="20"/>
        <v>164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225</v>
      </c>
      <c r="B97" s="1" t="s">
        <v>36</v>
      </c>
      <c r="C97" s="1">
        <v>154.15700000000001</v>
      </c>
      <c r="D97" s="1">
        <v>0.71899999999999997</v>
      </c>
      <c r="E97" s="1">
        <v>154.09299999999999</v>
      </c>
      <c r="F97" s="1">
        <v>-4.2519999999999998</v>
      </c>
      <c r="G97" s="7">
        <v>1</v>
      </c>
      <c r="H97" s="1">
        <v>40</v>
      </c>
      <c r="I97" s="1" t="s">
        <v>212</v>
      </c>
      <c r="J97" s="1"/>
      <c r="K97" s="1">
        <v>159.75</v>
      </c>
      <c r="L97" s="1">
        <f t="shared" si="15"/>
        <v>-5.6570000000000107</v>
      </c>
      <c r="M97" s="1"/>
      <c r="N97" s="1"/>
      <c r="O97" s="1"/>
      <c r="P97" s="1"/>
      <c r="Q97" s="1">
        <v>61.723399999999998</v>
      </c>
      <c r="R97" s="1">
        <v>156.1652</v>
      </c>
      <c r="S97" s="1">
        <f t="shared" si="16"/>
        <v>30.818599999999996</v>
      </c>
      <c r="T97" s="5">
        <f>12.5*S97-R97-Q97-O97-F97</f>
        <v>171.59589999999997</v>
      </c>
      <c r="U97" s="5">
        <f t="shared" si="18"/>
        <v>171.59589999999997</v>
      </c>
      <c r="V97" s="1">
        <f t="shared" si="19"/>
        <v>12.5</v>
      </c>
      <c r="W97" s="1">
        <f t="shared" si="17"/>
        <v>6.9320669985009058</v>
      </c>
      <c r="X97" s="1">
        <v>32.925199999999997</v>
      </c>
      <c r="Y97" s="1">
        <v>17.869199999999999</v>
      </c>
      <c r="Z97" s="1">
        <v>6.8346</v>
      </c>
      <c r="AA97" s="1">
        <v>-0.71160000000000001</v>
      </c>
      <c r="AB97" s="1">
        <v>-0.70979999999999999</v>
      </c>
      <c r="AC97" s="1">
        <v>-0.70679999999999998</v>
      </c>
      <c r="AD97" s="1">
        <v>-0.86</v>
      </c>
      <c r="AE97" s="1">
        <v>20.687799999999999</v>
      </c>
      <c r="AF97" s="1">
        <v>-0.28639999999999999</v>
      </c>
      <c r="AG97" s="1">
        <v>-0.71460000000000001</v>
      </c>
      <c r="AH97" s="1"/>
      <c r="AI97" s="1">
        <f t="shared" si="20"/>
        <v>172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226</v>
      </c>
      <c r="B98" s="1" t="s">
        <v>44</v>
      </c>
      <c r="C98" s="1">
        <v>882</v>
      </c>
      <c r="D98" s="1">
        <v>6</v>
      </c>
      <c r="E98" s="1">
        <v>257</v>
      </c>
      <c r="F98" s="1">
        <v>567</v>
      </c>
      <c r="G98" s="7">
        <v>0.28000000000000003</v>
      </c>
      <c r="H98" s="1">
        <v>40</v>
      </c>
      <c r="I98" s="1" t="s">
        <v>227</v>
      </c>
      <c r="J98" s="1"/>
      <c r="K98" s="1">
        <v>309</v>
      </c>
      <c r="L98" s="1">
        <f t="shared" si="15"/>
        <v>-52</v>
      </c>
      <c r="M98" s="1"/>
      <c r="N98" s="1"/>
      <c r="O98" s="1"/>
      <c r="P98" s="1"/>
      <c r="Q98" s="1"/>
      <c r="R98" s="1">
        <v>0</v>
      </c>
      <c r="S98" s="1">
        <f t="shared" si="16"/>
        <v>51.4</v>
      </c>
      <c r="T98" s="5">
        <f>12.5*S98-R98-Q98-O98-F98</f>
        <v>75.5</v>
      </c>
      <c r="U98" s="5">
        <f t="shared" si="18"/>
        <v>75.5</v>
      </c>
      <c r="V98" s="1">
        <f t="shared" si="19"/>
        <v>12.5</v>
      </c>
      <c r="W98" s="1">
        <f t="shared" si="17"/>
        <v>11.031128404669261</v>
      </c>
      <c r="X98" s="1">
        <v>46.4</v>
      </c>
      <c r="Y98" s="1">
        <v>51</v>
      </c>
      <c r="Z98" s="1">
        <v>48.8</v>
      </c>
      <c r="AA98" s="1">
        <v>37.4</v>
      </c>
      <c r="AB98" s="1">
        <v>39</v>
      </c>
      <c r="AC98" s="1">
        <v>65</v>
      </c>
      <c r="AD98" s="1">
        <v>52.8</v>
      </c>
      <c r="AE98" s="1">
        <v>12.2</v>
      </c>
      <c r="AF98" s="1">
        <v>49</v>
      </c>
      <c r="AG98" s="1">
        <v>36.6</v>
      </c>
      <c r="AH98" s="1"/>
      <c r="AI98" s="1">
        <f t="shared" si="20"/>
        <v>21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228</v>
      </c>
      <c r="B99" s="1" t="s">
        <v>44</v>
      </c>
      <c r="C99" s="1">
        <v>10</v>
      </c>
      <c r="D99" s="1">
        <v>186</v>
      </c>
      <c r="E99" s="1">
        <v>-1</v>
      </c>
      <c r="F99" s="1">
        <v>187</v>
      </c>
      <c r="G99" s="7">
        <v>0.28000000000000003</v>
      </c>
      <c r="H99" s="1">
        <v>40</v>
      </c>
      <c r="I99" s="1" t="s">
        <v>229</v>
      </c>
      <c r="J99" s="1"/>
      <c r="K99" s="1">
        <v>137</v>
      </c>
      <c r="L99" s="1">
        <f t="shared" si="15"/>
        <v>-138</v>
      </c>
      <c r="M99" s="1"/>
      <c r="N99" s="1"/>
      <c r="O99" s="1">
        <v>229.2</v>
      </c>
      <c r="P99" s="1"/>
      <c r="Q99" s="1"/>
      <c r="R99" s="1">
        <v>0</v>
      </c>
      <c r="S99" s="1">
        <f t="shared" si="16"/>
        <v>-0.2</v>
      </c>
      <c r="T99" s="5"/>
      <c r="U99" s="5">
        <f t="shared" si="18"/>
        <v>0</v>
      </c>
      <c r="V99" s="1">
        <f t="shared" si="19"/>
        <v>-2081</v>
      </c>
      <c r="W99" s="1">
        <f t="shared" si="17"/>
        <v>-2081</v>
      </c>
      <c r="X99" s="1">
        <v>1.8</v>
      </c>
      <c r="Y99" s="1">
        <v>19.2</v>
      </c>
      <c r="Z99" s="1">
        <v>39.200000000000003</v>
      </c>
      <c r="AA99" s="1">
        <v>28.2</v>
      </c>
      <c r="AB99" s="1">
        <v>7.8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/>
      <c r="AI99" s="1">
        <f t="shared" si="20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230</v>
      </c>
      <c r="B100" s="1" t="s">
        <v>44</v>
      </c>
      <c r="C100" s="1">
        <v>686</v>
      </c>
      <c r="D100" s="1">
        <v>7</v>
      </c>
      <c r="E100" s="1">
        <v>217</v>
      </c>
      <c r="F100" s="1">
        <v>415</v>
      </c>
      <c r="G100" s="7">
        <v>0.28000000000000003</v>
      </c>
      <c r="H100" s="1">
        <v>40</v>
      </c>
      <c r="I100" s="1" t="s">
        <v>231</v>
      </c>
      <c r="J100" s="1"/>
      <c r="K100" s="1">
        <v>299</v>
      </c>
      <c r="L100" s="1">
        <f t="shared" si="15"/>
        <v>-82</v>
      </c>
      <c r="M100" s="1"/>
      <c r="N100" s="1"/>
      <c r="O100" s="1"/>
      <c r="P100" s="1"/>
      <c r="Q100" s="1"/>
      <c r="R100" s="1">
        <v>0</v>
      </c>
      <c r="S100" s="1">
        <f t="shared" si="16"/>
        <v>43.4</v>
      </c>
      <c r="T100" s="5">
        <f>12.5*S100-R100-Q100-O100-F100</f>
        <v>127.5</v>
      </c>
      <c r="U100" s="5">
        <f t="shared" si="18"/>
        <v>127.5</v>
      </c>
      <c r="V100" s="1">
        <f t="shared" si="19"/>
        <v>12.5</v>
      </c>
      <c r="W100" s="1">
        <f t="shared" si="17"/>
        <v>9.5622119815668203</v>
      </c>
      <c r="X100" s="1">
        <v>45.8</v>
      </c>
      <c r="Y100" s="1">
        <v>41</v>
      </c>
      <c r="Z100" s="1">
        <v>35.799999999999997</v>
      </c>
      <c r="AA100" s="1">
        <v>46</v>
      </c>
      <c r="AB100" s="1">
        <v>40.6</v>
      </c>
      <c r="AC100" s="1">
        <v>56.2</v>
      </c>
      <c r="AD100" s="1">
        <v>48.6</v>
      </c>
      <c r="AE100" s="1">
        <v>13</v>
      </c>
      <c r="AF100" s="1">
        <v>34.200000000000003</v>
      </c>
      <c r="AG100" s="1">
        <v>37.799999999999997</v>
      </c>
      <c r="AH100" s="1"/>
      <c r="AI100" s="1">
        <f t="shared" si="20"/>
        <v>36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232</v>
      </c>
      <c r="B101" s="1" t="s">
        <v>44</v>
      </c>
      <c r="C101" s="1">
        <v>18</v>
      </c>
      <c r="D101" s="1"/>
      <c r="E101" s="1">
        <v>21</v>
      </c>
      <c r="F101" s="1">
        <v>-3</v>
      </c>
      <c r="G101" s="7">
        <v>0.09</v>
      </c>
      <c r="H101" s="1">
        <v>45</v>
      </c>
      <c r="I101" s="1" t="s">
        <v>233</v>
      </c>
      <c r="J101" s="1"/>
      <c r="K101" s="1">
        <v>57</v>
      </c>
      <c r="L101" s="1">
        <f t="shared" si="15"/>
        <v>-36</v>
      </c>
      <c r="M101" s="1"/>
      <c r="N101" s="1"/>
      <c r="O101" s="1">
        <v>48.800000000000011</v>
      </c>
      <c r="P101" s="1"/>
      <c r="Q101" s="1"/>
      <c r="R101" s="1">
        <v>20.199999999999989</v>
      </c>
      <c r="S101" s="1">
        <f t="shared" si="16"/>
        <v>4.2</v>
      </c>
      <c r="T101" s="5"/>
      <c r="U101" s="5">
        <f t="shared" si="18"/>
        <v>0</v>
      </c>
      <c r="V101" s="1">
        <f t="shared" si="19"/>
        <v>15.714285714285714</v>
      </c>
      <c r="W101" s="1">
        <f t="shared" si="17"/>
        <v>15.714285714285714</v>
      </c>
      <c r="X101" s="1">
        <v>6</v>
      </c>
      <c r="Y101" s="1">
        <v>1.8</v>
      </c>
      <c r="Z101" s="1">
        <v>5.6</v>
      </c>
      <c r="AA101" s="1">
        <v>6.4</v>
      </c>
      <c r="AB101" s="1">
        <v>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234</v>
      </c>
      <c r="AI101" s="1">
        <f t="shared" si="20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235</v>
      </c>
      <c r="B102" s="1" t="s">
        <v>36</v>
      </c>
      <c r="C102" s="1">
        <v>200.73099999999999</v>
      </c>
      <c r="D102" s="1">
        <v>14.804</v>
      </c>
      <c r="E102" s="1">
        <v>65.097999999999999</v>
      </c>
      <c r="F102" s="1">
        <v>140.41200000000001</v>
      </c>
      <c r="G102" s="7">
        <v>1</v>
      </c>
      <c r="H102" s="1">
        <v>60</v>
      </c>
      <c r="I102" s="1" t="s">
        <v>236</v>
      </c>
      <c r="J102" s="1"/>
      <c r="K102" s="1">
        <v>72.5</v>
      </c>
      <c r="L102" s="1">
        <f t="shared" ref="L102:L114" si="22">E102-K102</f>
        <v>-7.402000000000001</v>
      </c>
      <c r="M102" s="1"/>
      <c r="N102" s="1"/>
      <c r="O102" s="1"/>
      <c r="P102" s="1"/>
      <c r="Q102" s="1">
        <v>6</v>
      </c>
      <c r="R102" s="1">
        <v>0</v>
      </c>
      <c r="S102" s="1">
        <f t="shared" ref="S102:S114" si="23">E102/5</f>
        <v>13.019600000000001</v>
      </c>
      <c r="T102" s="5">
        <f t="shared" ref="T102:T112" si="24">12.5*S102-R102-Q102-O102-F102</f>
        <v>16.332999999999998</v>
      </c>
      <c r="U102" s="5">
        <f t="shared" si="18"/>
        <v>16.332999999999998</v>
      </c>
      <c r="V102" s="1">
        <f t="shared" si="19"/>
        <v>12.5</v>
      </c>
      <c r="W102" s="1">
        <f t="shared" ref="W102:W114" si="25">(F102+O102+Q102+R102)/S102</f>
        <v>11.245506774401671</v>
      </c>
      <c r="X102" s="1">
        <v>9.3587999999999987</v>
      </c>
      <c r="Y102" s="1">
        <v>18.064599999999999</v>
      </c>
      <c r="Z102" s="1">
        <v>21.049600000000002</v>
      </c>
      <c r="AA102" s="1">
        <v>5.7427999999999999</v>
      </c>
      <c r="AB102" s="1">
        <v>-0.13300000000000001</v>
      </c>
      <c r="AC102" s="1">
        <v>1.3198000000000001</v>
      </c>
      <c r="AD102" s="1">
        <v>14.398400000000001</v>
      </c>
      <c r="AE102" s="1">
        <v>17.016999999999999</v>
      </c>
      <c r="AF102" s="1">
        <v>18.36</v>
      </c>
      <c r="AG102" s="1">
        <v>14.105</v>
      </c>
      <c r="AH102" s="1"/>
      <c r="AI102" s="1">
        <f t="shared" si="20"/>
        <v>16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237</v>
      </c>
      <c r="B103" s="1" t="s">
        <v>36</v>
      </c>
      <c r="C103" s="1">
        <v>290.012</v>
      </c>
      <c r="D103" s="1"/>
      <c r="E103" s="1">
        <v>107.541</v>
      </c>
      <c r="F103" s="1">
        <v>173.86</v>
      </c>
      <c r="G103" s="7">
        <v>1</v>
      </c>
      <c r="H103" s="1">
        <v>50</v>
      </c>
      <c r="I103" s="1" t="s">
        <v>238</v>
      </c>
      <c r="J103" s="1"/>
      <c r="K103" s="1">
        <v>115</v>
      </c>
      <c r="L103" s="1">
        <f t="shared" si="22"/>
        <v>-7.4590000000000032</v>
      </c>
      <c r="M103" s="1"/>
      <c r="N103" s="1"/>
      <c r="O103" s="1"/>
      <c r="P103" s="1"/>
      <c r="Q103" s="1"/>
      <c r="R103" s="1">
        <v>0</v>
      </c>
      <c r="S103" s="1">
        <f t="shared" si="23"/>
        <v>21.508199999999999</v>
      </c>
      <c r="T103" s="5">
        <f t="shared" si="24"/>
        <v>94.99249999999995</v>
      </c>
      <c r="U103" s="5">
        <f t="shared" si="18"/>
        <v>94.99249999999995</v>
      </c>
      <c r="V103" s="1">
        <f t="shared" si="19"/>
        <v>12.499999999999998</v>
      </c>
      <c r="W103" s="1">
        <f t="shared" si="25"/>
        <v>8.0834286458188043</v>
      </c>
      <c r="X103" s="1">
        <v>16.107800000000001</v>
      </c>
      <c r="Y103" s="1">
        <v>20.5518</v>
      </c>
      <c r="Z103" s="1">
        <v>23.8172</v>
      </c>
      <c r="AA103" s="1">
        <v>10.0442</v>
      </c>
      <c r="AB103" s="1">
        <v>4.9964000000000004</v>
      </c>
      <c r="AC103" s="1">
        <v>21.4312</v>
      </c>
      <c r="AD103" s="1">
        <v>33.929199999999987</v>
      </c>
      <c r="AE103" s="1">
        <v>14.873799999999999</v>
      </c>
      <c r="AF103" s="1">
        <v>17.5974</v>
      </c>
      <c r="AG103" s="1">
        <v>24.006599999999999</v>
      </c>
      <c r="AH103" s="1"/>
      <c r="AI103" s="1">
        <f t="shared" si="20"/>
        <v>95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239</v>
      </c>
      <c r="B104" s="1" t="s">
        <v>44</v>
      </c>
      <c r="C104" s="1">
        <v>27</v>
      </c>
      <c r="D104" s="1">
        <v>3</v>
      </c>
      <c r="E104" s="1">
        <v>28</v>
      </c>
      <c r="F104" s="1">
        <v>-1</v>
      </c>
      <c r="G104" s="7">
        <v>0.09</v>
      </c>
      <c r="H104" s="1">
        <v>45</v>
      </c>
      <c r="I104" s="1" t="s">
        <v>240</v>
      </c>
      <c r="J104" s="1"/>
      <c r="K104" s="1">
        <v>51</v>
      </c>
      <c r="L104" s="1">
        <f t="shared" si="22"/>
        <v>-23</v>
      </c>
      <c r="M104" s="1"/>
      <c r="N104" s="1"/>
      <c r="O104" s="1">
        <v>8</v>
      </c>
      <c r="P104" s="1"/>
      <c r="Q104" s="1"/>
      <c r="R104" s="1">
        <v>29.8</v>
      </c>
      <c r="S104" s="1">
        <f t="shared" si="23"/>
        <v>5.6</v>
      </c>
      <c r="T104" s="5">
        <f t="shared" si="24"/>
        <v>33.200000000000003</v>
      </c>
      <c r="U104" s="5">
        <f t="shared" si="18"/>
        <v>33.200000000000003</v>
      </c>
      <c r="V104" s="1">
        <f t="shared" si="19"/>
        <v>12.5</v>
      </c>
      <c r="W104" s="1">
        <f t="shared" si="25"/>
        <v>6.5714285714285712</v>
      </c>
      <c r="X104" s="1">
        <v>6.4</v>
      </c>
      <c r="Y104" s="1">
        <v>2.4</v>
      </c>
      <c r="Z104" s="1">
        <v>3.2</v>
      </c>
      <c r="AA104" s="1">
        <v>4</v>
      </c>
      <c r="AB104" s="1">
        <v>2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 t="s">
        <v>234</v>
      </c>
      <c r="AI104" s="1">
        <f t="shared" si="20"/>
        <v>3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241</v>
      </c>
      <c r="B105" s="1" t="s">
        <v>44</v>
      </c>
      <c r="C105" s="1">
        <v>29</v>
      </c>
      <c r="D105" s="1"/>
      <c r="E105" s="1">
        <v>31</v>
      </c>
      <c r="F105" s="1">
        <v>-2</v>
      </c>
      <c r="G105" s="7">
        <v>0.09</v>
      </c>
      <c r="H105" s="1">
        <v>45</v>
      </c>
      <c r="I105" s="1" t="s">
        <v>242</v>
      </c>
      <c r="J105" s="1"/>
      <c r="K105" s="1">
        <v>34</v>
      </c>
      <c r="L105" s="1">
        <f t="shared" si="22"/>
        <v>-3</v>
      </c>
      <c r="M105" s="1"/>
      <c r="N105" s="1"/>
      <c r="O105" s="1">
        <v>8</v>
      </c>
      <c r="P105" s="1"/>
      <c r="Q105" s="1"/>
      <c r="R105" s="1">
        <v>31.2</v>
      </c>
      <c r="S105" s="1">
        <f t="shared" si="23"/>
        <v>6.2</v>
      </c>
      <c r="T105" s="5">
        <f t="shared" si="24"/>
        <v>40.299999999999997</v>
      </c>
      <c r="U105" s="5">
        <f t="shared" si="18"/>
        <v>40.299999999999997</v>
      </c>
      <c r="V105" s="1">
        <f t="shared" si="19"/>
        <v>12.5</v>
      </c>
      <c r="W105" s="1">
        <f t="shared" si="25"/>
        <v>6</v>
      </c>
      <c r="X105" s="1">
        <v>6.2</v>
      </c>
      <c r="Y105" s="1">
        <v>2</v>
      </c>
      <c r="Z105" s="1">
        <v>3.4</v>
      </c>
      <c r="AA105" s="1">
        <v>4</v>
      </c>
      <c r="AB105" s="1">
        <v>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 t="s">
        <v>234</v>
      </c>
      <c r="AI105" s="1">
        <f t="shared" si="20"/>
        <v>4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243</v>
      </c>
      <c r="B106" s="1" t="s">
        <v>36</v>
      </c>
      <c r="C106" s="1">
        <v>228.29400000000001</v>
      </c>
      <c r="D106" s="1">
        <v>8.1359999999999992</v>
      </c>
      <c r="E106" s="1">
        <v>58.511000000000003</v>
      </c>
      <c r="F106" s="1">
        <v>142.36799999999999</v>
      </c>
      <c r="G106" s="7">
        <v>1</v>
      </c>
      <c r="H106" s="1">
        <v>60</v>
      </c>
      <c r="I106" s="1" t="s">
        <v>244</v>
      </c>
      <c r="J106" s="1"/>
      <c r="K106" s="1">
        <v>82</v>
      </c>
      <c r="L106" s="1">
        <f t="shared" si="22"/>
        <v>-23.488999999999997</v>
      </c>
      <c r="M106" s="1"/>
      <c r="N106" s="1"/>
      <c r="O106" s="1"/>
      <c r="P106" s="1"/>
      <c r="Q106" s="1"/>
      <c r="R106" s="1">
        <v>0</v>
      </c>
      <c r="S106" s="1">
        <f t="shared" si="23"/>
        <v>11.702200000000001</v>
      </c>
      <c r="T106" s="5">
        <f t="shared" si="24"/>
        <v>3.9095000000000084</v>
      </c>
      <c r="U106" s="5">
        <f t="shared" si="18"/>
        <v>3.9095000000000084</v>
      </c>
      <c r="V106" s="1">
        <f t="shared" si="19"/>
        <v>12.499999999999998</v>
      </c>
      <c r="W106" s="1">
        <f t="shared" si="25"/>
        <v>12.165917519782603</v>
      </c>
      <c r="X106" s="1">
        <v>16.356999999999999</v>
      </c>
      <c r="Y106" s="1">
        <v>14.2948</v>
      </c>
      <c r="Z106" s="1">
        <v>16.265000000000001</v>
      </c>
      <c r="AA106" s="1">
        <v>16.506799999999998</v>
      </c>
      <c r="AB106" s="1">
        <v>13.19</v>
      </c>
      <c r="AC106" s="1">
        <v>15.274800000000001</v>
      </c>
      <c r="AD106" s="1">
        <v>9.7639999999999993</v>
      </c>
      <c r="AE106" s="1">
        <v>16.150400000000001</v>
      </c>
      <c r="AF106" s="1">
        <v>9.27</v>
      </c>
      <c r="AG106" s="1">
        <v>22.412600000000001</v>
      </c>
      <c r="AH106" s="1"/>
      <c r="AI106" s="1">
        <f t="shared" si="20"/>
        <v>4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245</v>
      </c>
      <c r="B107" s="1" t="s">
        <v>36</v>
      </c>
      <c r="C107" s="1">
        <v>426.38600000000002</v>
      </c>
      <c r="D107" s="1">
        <v>13.651999999999999</v>
      </c>
      <c r="E107" s="1">
        <v>167.696</v>
      </c>
      <c r="F107" s="1">
        <v>239.197</v>
      </c>
      <c r="G107" s="7">
        <v>1</v>
      </c>
      <c r="H107" s="1">
        <v>60</v>
      </c>
      <c r="I107" s="1" t="s">
        <v>246</v>
      </c>
      <c r="J107" s="1"/>
      <c r="K107" s="1">
        <v>174.1</v>
      </c>
      <c r="L107" s="1">
        <f t="shared" si="22"/>
        <v>-6.4039999999999964</v>
      </c>
      <c r="M107" s="1"/>
      <c r="N107" s="1"/>
      <c r="O107" s="1"/>
      <c r="P107" s="1"/>
      <c r="Q107" s="1"/>
      <c r="R107" s="1">
        <v>108.7853999999999</v>
      </c>
      <c r="S107" s="1">
        <f t="shared" si="23"/>
        <v>33.539200000000001</v>
      </c>
      <c r="T107" s="5">
        <f t="shared" si="24"/>
        <v>71.257600000000139</v>
      </c>
      <c r="U107" s="5">
        <f t="shared" si="18"/>
        <v>71.257600000000139</v>
      </c>
      <c r="V107" s="1">
        <f t="shared" si="19"/>
        <v>12.5</v>
      </c>
      <c r="W107" s="1">
        <f t="shared" si="25"/>
        <v>10.3753935693159</v>
      </c>
      <c r="X107" s="1">
        <v>38.166400000000003</v>
      </c>
      <c r="Y107" s="1">
        <v>33.573999999999998</v>
      </c>
      <c r="Z107" s="1">
        <v>28.9922</v>
      </c>
      <c r="AA107" s="1">
        <v>22.5944</v>
      </c>
      <c r="AB107" s="1">
        <v>18.268999999999998</v>
      </c>
      <c r="AC107" s="1">
        <v>24.500800000000002</v>
      </c>
      <c r="AD107" s="1">
        <v>25.675599999999999</v>
      </c>
      <c r="AE107" s="1">
        <v>26.9436</v>
      </c>
      <c r="AF107" s="1">
        <v>25.497399999999999</v>
      </c>
      <c r="AG107" s="1">
        <v>33.244999999999997</v>
      </c>
      <c r="AH107" s="1"/>
      <c r="AI107" s="1">
        <f t="shared" si="20"/>
        <v>71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247</v>
      </c>
      <c r="B108" s="1" t="s">
        <v>36</v>
      </c>
      <c r="C108" s="1">
        <v>109.49</v>
      </c>
      <c r="D108" s="1"/>
      <c r="E108" s="1">
        <v>33.932000000000002</v>
      </c>
      <c r="F108" s="1">
        <v>69.013999999999996</v>
      </c>
      <c r="G108" s="7">
        <v>1</v>
      </c>
      <c r="H108" s="1">
        <v>60</v>
      </c>
      <c r="I108" s="1" t="s">
        <v>248</v>
      </c>
      <c r="J108" s="1"/>
      <c r="K108" s="1">
        <v>35.6</v>
      </c>
      <c r="L108" s="1">
        <f t="shared" si="22"/>
        <v>-1.6679999999999993</v>
      </c>
      <c r="M108" s="1"/>
      <c r="N108" s="1"/>
      <c r="O108" s="1"/>
      <c r="P108" s="1"/>
      <c r="Q108" s="1"/>
      <c r="R108" s="1">
        <v>0</v>
      </c>
      <c r="S108" s="1">
        <f t="shared" si="23"/>
        <v>6.7864000000000004</v>
      </c>
      <c r="T108" s="5">
        <f t="shared" si="24"/>
        <v>15.816000000000017</v>
      </c>
      <c r="U108" s="5">
        <f t="shared" si="18"/>
        <v>15.816000000000017</v>
      </c>
      <c r="V108" s="1">
        <f t="shared" si="19"/>
        <v>12.500000000000002</v>
      </c>
      <c r="W108" s="1">
        <f t="shared" si="25"/>
        <v>10.16945656017918</v>
      </c>
      <c r="X108" s="1">
        <v>2.7437999999999998</v>
      </c>
      <c r="Y108" s="1">
        <v>5.9551999999999996</v>
      </c>
      <c r="Z108" s="1">
        <v>7.2919999999999998</v>
      </c>
      <c r="AA108" s="1">
        <v>3.9214000000000002</v>
      </c>
      <c r="AB108" s="1">
        <v>1.7742</v>
      </c>
      <c r="AC108" s="1">
        <v>3.3816000000000002</v>
      </c>
      <c r="AD108" s="1">
        <v>7.7671999999999999</v>
      </c>
      <c r="AE108" s="1">
        <v>5.9408000000000003</v>
      </c>
      <c r="AF108" s="1">
        <v>3.2612000000000001</v>
      </c>
      <c r="AG108" s="1">
        <v>5.8381999999999996</v>
      </c>
      <c r="AH108" s="1"/>
      <c r="AI108" s="1">
        <f t="shared" si="20"/>
        <v>16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62</v>
      </c>
      <c r="B109" s="1" t="s">
        <v>36</v>
      </c>
      <c r="C109" s="1">
        <v>2390.1880000000001</v>
      </c>
      <c r="D109" s="1">
        <v>33.008000000000003</v>
      </c>
      <c r="E109" s="12">
        <f>984.568+E17</f>
        <v>983.11799999999994</v>
      </c>
      <c r="F109" s="12">
        <f>1362.503+F17</f>
        <v>986.327</v>
      </c>
      <c r="G109" s="7">
        <v>1</v>
      </c>
      <c r="H109" s="1">
        <v>60</v>
      </c>
      <c r="I109" s="1" t="s">
        <v>249</v>
      </c>
      <c r="J109" s="1"/>
      <c r="K109" s="1">
        <v>1024.94</v>
      </c>
      <c r="L109" s="1">
        <f t="shared" si="22"/>
        <v>-41.822000000000116</v>
      </c>
      <c r="M109" s="1"/>
      <c r="N109" s="1"/>
      <c r="O109" s="1"/>
      <c r="P109" s="1"/>
      <c r="Q109" s="1"/>
      <c r="R109" s="1">
        <v>798.37379999999962</v>
      </c>
      <c r="S109" s="1">
        <f t="shared" si="23"/>
        <v>196.62359999999998</v>
      </c>
      <c r="T109" s="5">
        <f t="shared" si="24"/>
        <v>673.0942</v>
      </c>
      <c r="U109" s="5">
        <f>T109+$U$1*S109</f>
        <v>466.63941999999997</v>
      </c>
      <c r="V109" s="1">
        <f t="shared" si="19"/>
        <v>11.45</v>
      </c>
      <c r="W109" s="1">
        <f t="shared" si="25"/>
        <v>9.0767374821740621</v>
      </c>
      <c r="X109" s="1">
        <v>210.56399999999999</v>
      </c>
      <c r="Y109" s="1">
        <v>163.96199999999999</v>
      </c>
      <c r="Z109" s="1">
        <v>143.77440000000001</v>
      </c>
      <c r="AA109" s="1">
        <v>106.32680000000001</v>
      </c>
      <c r="AB109" s="1">
        <v>144.953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 t="s">
        <v>250</v>
      </c>
      <c r="AI109" s="1">
        <f t="shared" si="20"/>
        <v>467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251</v>
      </c>
      <c r="B110" s="1" t="s">
        <v>44</v>
      </c>
      <c r="C110" s="1">
        <v>319</v>
      </c>
      <c r="D110" s="1">
        <v>10</v>
      </c>
      <c r="E110" s="1">
        <v>234</v>
      </c>
      <c r="F110" s="1">
        <v>63</v>
      </c>
      <c r="G110" s="7">
        <v>0.3</v>
      </c>
      <c r="H110" s="1">
        <v>40</v>
      </c>
      <c r="I110" s="1" t="s">
        <v>252</v>
      </c>
      <c r="J110" s="1"/>
      <c r="K110" s="1">
        <v>254</v>
      </c>
      <c r="L110" s="1">
        <f t="shared" si="22"/>
        <v>-20</v>
      </c>
      <c r="M110" s="1"/>
      <c r="N110" s="1"/>
      <c r="O110" s="1"/>
      <c r="P110" s="1"/>
      <c r="Q110" s="1">
        <v>168.4</v>
      </c>
      <c r="R110" s="1">
        <v>216</v>
      </c>
      <c r="S110" s="1">
        <f t="shared" si="23"/>
        <v>46.8</v>
      </c>
      <c r="T110" s="5">
        <f t="shared" si="24"/>
        <v>137.6</v>
      </c>
      <c r="U110" s="5">
        <f t="shared" si="18"/>
        <v>137.6</v>
      </c>
      <c r="V110" s="1">
        <f t="shared" si="19"/>
        <v>12.5</v>
      </c>
      <c r="W110" s="1">
        <f t="shared" si="25"/>
        <v>9.5598290598290596</v>
      </c>
      <c r="X110" s="1">
        <v>49.4</v>
      </c>
      <c r="Y110" s="1">
        <v>40.200000000000003</v>
      </c>
      <c r="Z110" s="1">
        <v>31.4</v>
      </c>
      <c r="AA110" s="1">
        <v>26.8</v>
      </c>
      <c r="AB110" s="1">
        <v>26.2</v>
      </c>
      <c r="AC110" s="1">
        <v>43.2</v>
      </c>
      <c r="AD110" s="1">
        <v>43</v>
      </c>
      <c r="AE110" s="1">
        <v>39.6</v>
      </c>
      <c r="AF110" s="1">
        <v>39.200000000000003</v>
      </c>
      <c r="AG110" s="1">
        <v>38.200000000000003</v>
      </c>
      <c r="AH110" s="1"/>
      <c r="AI110" s="1">
        <f t="shared" si="20"/>
        <v>41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253</v>
      </c>
      <c r="B111" s="1" t="s">
        <v>44</v>
      </c>
      <c r="C111" s="1">
        <v>226</v>
      </c>
      <c r="D111" s="1">
        <v>10</v>
      </c>
      <c r="E111" s="1">
        <v>196</v>
      </c>
      <c r="F111" s="1">
        <v>9</v>
      </c>
      <c r="G111" s="7">
        <v>0.3</v>
      </c>
      <c r="H111" s="1">
        <v>40</v>
      </c>
      <c r="I111" s="1" t="s">
        <v>254</v>
      </c>
      <c r="J111" s="1"/>
      <c r="K111" s="1">
        <v>219</v>
      </c>
      <c r="L111" s="1">
        <f t="shared" si="22"/>
        <v>-23</v>
      </c>
      <c r="M111" s="1"/>
      <c r="N111" s="1"/>
      <c r="O111" s="1"/>
      <c r="P111" s="1"/>
      <c r="Q111" s="1">
        <v>178.8</v>
      </c>
      <c r="R111" s="1">
        <v>212.8</v>
      </c>
      <c r="S111" s="1">
        <f t="shared" si="23"/>
        <v>39.200000000000003</v>
      </c>
      <c r="T111" s="5">
        <f t="shared" si="24"/>
        <v>89.400000000000034</v>
      </c>
      <c r="U111" s="5">
        <f t="shared" si="18"/>
        <v>89.400000000000034</v>
      </c>
      <c r="V111" s="1">
        <f t="shared" si="19"/>
        <v>12.5</v>
      </c>
      <c r="W111" s="1">
        <f t="shared" si="25"/>
        <v>10.219387755102041</v>
      </c>
      <c r="X111" s="1">
        <v>42.6</v>
      </c>
      <c r="Y111" s="1">
        <v>33.4</v>
      </c>
      <c r="Z111" s="1">
        <v>20.399999999999999</v>
      </c>
      <c r="AA111" s="1">
        <v>10.4</v>
      </c>
      <c r="AB111" s="1">
        <v>17</v>
      </c>
      <c r="AC111" s="1">
        <v>35.200000000000003</v>
      </c>
      <c r="AD111" s="1">
        <v>25.2</v>
      </c>
      <c r="AE111" s="1">
        <v>23.4</v>
      </c>
      <c r="AF111" s="1">
        <v>17.399999999999999</v>
      </c>
      <c r="AG111" s="1">
        <v>19.8</v>
      </c>
      <c r="AH111" s="1"/>
      <c r="AI111" s="1">
        <f t="shared" si="20"/>
        <v>27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255</v>
      </c>
      <c r="B112" s="1" t="s">
        <v>36</v>
      </c>
      <c r="C112" s="1">
        <v>53.795999999999999</v>
      </c>
      <c r="D112" s="1"/>
      <c r="E112" s="1">
        <v>16.541</v>
      </c>
      <c r="F112" s="1">
        <v>34.468000000000004</v>
      </c>
      <c r="G112" s="7">
        <v>1</v>
      </c>
      <c r="H112" s="1">
        <v>50</v>
      </c>
      <c r="I112" s="1" t="s">
        <v>256</v>
      </c>
      <c r="J112" s="1"/>
      <c r="K112" s="1">
        <v>16.899999999999999</v>
      </c>
      <c r="L112" s="1">
        <f t="shared" si="22"/>
        <v>-0.35899999999999821</v>
      </c>
      <c r="M112" s="1"/>
      <c r="N112" s="1"/>
      <c r="O112" s="1"/>
      <c r="P112" s="1"/>
      <c r="Q112" s="1"/>
      <c r="R112" s="1">
        <v>0</v>
      </c>
      <c r="S112" s="1">
        <f t="shared" si="23"/>
        <v>3.3082000000000003</v>
      </c>
      <c r="T112" s="5">
        <f t="shared" si="24"/>
        <v>6.8845000000000027</v>
      </c>
      <c r="U112" s="5">
        <f t="shared" si="18"/>
        <v>6.8845000000000027</v>
      </c>
      <c r="V112" s="1">
        <f t="shared" si="19"/>
        <v>12.500000000000002</v>
      </c>
      <c r="W112" s="1">
        <f t="shared" si="25"/>
        <v>10.418958950486671</v>
      </c>
      <c r="X112" s="1">
        <v>3.577</v>
      </c>
      <c r="Y112" s="1">
        <v>3.5870000000000002</v>
      </c>
      <c r="Z112" s="1">
        <v>3.0451999999999999</v>
      </c>
      <c r="AA112" s="1">
        <v>0.82739999999999991</v>
      </c>
      <c r="AB112" s="1">
        <v>0</v>
      </c>
      <c r="AC112" s="1">
        <v>1.0311999999999999</v>
      </c>
      <c r="AD112" s="1">
        <v>1.3064</v>
      </c>
      <c r="AE112" s="1">
        <v>4.3450000000000006</v>
      </c>
      <c r="AF112" s="1">
        <v>1.3715999999999999</v>
      </c>
      <c r="AG112" s="1">
        <v>2.7715999999999998</v>
      </c>
      <c r="AH112" s="1"/>
      <c r="AI112" s="1">
        <f t="shared" si="20"/>
        <v>7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257</v>
      </c>
      <c r="B113" s="1" t="s">
        <v>44</v>
      </c>
      <c r="C113" s="1">
        <v>15</v>
      </c>
      <c r="D113" s="1">
        <v>60</v>
      </c>
      <c r="E113" s="1">
        <v>-4</v>
      </c>
      <c r="F113" s="1">
        <v>61</v>
      </c>
      <c r="G113" s="7">
        <v>0.3</v>
      </c>
      <c r="H113" s="1">
        <v>40</v>
      </c>
      <c r="I113" s="1" t="s">
        <v>258</v>
      </c>
      <c r="J113" s="1"/>
      <c r="K113" s="1">
        <v>75</v>
      </c>
      <c r="L113" s="1">
        <f t="shared" si="22"/>
        <v>-79</v>
      </c>
      <c r="M113" s="1"/>
      <c r="N113" s="1"/>
      <c r="O113" s="1">
        <v>134.80000000000001</v>
      </c>
      <c r="P113" s="1"/>
      <c r="Q113" s="1">
        <v>144.6</v>
      </c>
      <c r="R113" s="1">
        <v>0</v>
      </c>
      <c r="S113" s="1">
        <f t="shared" si="23"/>
        <v>-0.8</v>
      </c>
      <c r="T113" s="5"/>
      <c r="U113" s="5">
        <f t="shared" si="18"/>
        <v>0</v>
      </c>
      <c r="V113" s="1">
        <f t="shared" si="19"/>
        <v>-425.49999999999994</v>
      </c>
      <c r="W113" s="1">
        <f t="shared" si="25"/>
        <v>-425.49999999999994</v>
      </c>
      <c r="X113" s="1">
        <v>11.6</v>
      </c>
      <c r="Y113" s="1">
        <v>28.8</v>
      </c>
      <c r="Z113" s="1">
        <v>24</v>
      </c>
      <c r="AA113" s="1">
        <v>22.4</v>
      </c>
      <c r="AB113" s="1">
        <v>18.600000000000001</v>
      </c>
      <c r="AC113" s="1">
        <v>9.1999999999999993</v>
      </c>
      <c r="AD113" s="1">
        <v>1</v>
      </c>
      <c r="AE113" s="1">
        <v>16.600000000000001</v>
      </c>
      <c r="AF113" s="1">
        <v>4.8</v>
      </c>
      <c r="AG113" s="1">
        <v>14.6</v>
      </c>
      <c r="AH113" s="1"/>
      <c r="AI113" s="1">
        <f t="shared" si="20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259</v>
      </c>
      <c r="B114" s="1" t="s">
        <v>44</v>
      </c>
      <c r="C114" s="1">
        <v>45</v>
      </c>
      <c r="D114" s="1">
        <v>2</v>
      </c>
      <c r="E114" s="1">
        <v>41</v>
      </c>
      <c r="F114" s="1"/>
      <c r="G114" s="7">
        <v>0.12</v>
      </c>
      <c r="H114" s="1">
        <v>45</v>
      </c>
      <c r="I114" s="1" t="s">
        <v>260</v>
      </c>
      <c r="J114" s="1"/>
      <c r="K114" s="1">
        <v>47</v>
      </c>
      <c r="L114" s="1">
        <f t="shared" si="22"/>
        <v>-6</v>
      </c>
      <c r="M114" s="1"/>
      <c r="N114" s="1"/>
      <c r="O114" s="1">
        <v>32.600000000000009</v>
      </c>
      <c r="P114" s="1"/>
      <c r="Q114" s="1">
        <v>32.799999999999983</v>
      </c>
      <c r="R114" s="1">
        <v>60.600000000000009</v>
      </c>
      <c r="S114" s="1">
        <f t="shared" si="23"/>
        <v>8.1999999999999993</v>
      </c>
      <c r="T114" s="5"/>
      <c r="U114" s="5">
        <f t="shared" si="18"/>
        <v>0</v>
      </c>
      <c r="V114" s="1">
        <f t="shared" si="19"/>
        <v>15.365853658536587</v>
      </c>
      <c r="W114" s="1">
        <f t="shared" si="25"/>
        <v>15.365853658536587</v>
      </c>
      <c r="X114" s="1">
        <v>12.6</v>
      </c>
      <c r="Y114" s="1">
        <v>9.1999999999999993</v>
      </c>
      <c r="Z114" s="1">
        <v>8.6</v>
      </c>
      <c r="AA114" s="1">
        <v>8.8000000000000007</v>
      </c>
      <c r="AB114" s="1">
        <v>5.4</v>
      </c>
      <c r="AC114" s="1">
        <v>8.8000000000000007</v>
      </c>
      <c r="AD114" s="1">
        <v>8.8000000000000007</v>
      </c>
      <c r="AE114" s="1">
        <v>3.6</v>
      </c>
      <c r="AF114" s="1">
        <v>9.4</v>
      </c>
      <c r="AG114" s="1">
        <v>0</v>
      </c>
      <c r="AH114" s="1"/>
      <c r="AI114" s="1">
        <f t="shared" si="20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I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2026-07-16T09:54:05Z</dcterms:created>
  <dcterms:modified xsi:type="dcterms:W3CDTF">2026-07-17T08:16:40Z</dcterms:modified>
</cp:coreProperties>
</file>