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726F7E-C5DE-4C8B-8BDB-15531455ECE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Y502" i="2" s="1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Y140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Y376" i="2" l="1"/>
  <c r="Y455" i="2"/>
  <c r="Y389" i="2"/>
  <c r="Z143" i="2"/>
  <c r="Z145" i="2" s="1"/>
  <c r="BN143" i="2"/>
  <c r="Z149" i="2"/>
  <c r="Z151" i="2"/>
  <c r="Z312" i="2"/>
  <c r="X528" i="2"/>
  <c r="Z23" i="2"/>
  <c r="Z254" i="2"/>
  <c r="Z412" i="2"/>
  <c r="BP77" i="2"/>
  <c r="Z208" i="2"/>
  <c r="Z273" i="2"/>
  <c r="Z368" i="2"/>
  <c r="Z62" i="2"/>
  <c r="Z97" i="2"/>
  <c r="Z231" i="2"/>
  <c r="BN231" i="2"/>
  <c r="Z265" i="2"/>
  <c r="Y295" i="2"/>
  <c r="Z348" i="2"/>
  <c r="BP381" i="2"/>
  <c r="Z444" i="2"/>
  <c r="BN444" i="2"/>
  <c r="Y163" i="2"/>
  <c r="Y164" i="2"/>
  <c r="Y433" i="2"/>
  <c r="Y434" i="2"/>
  <c r="Z31" i="2"/>
  <c r="Z64" i="2"/>
  <c r="Z95" i="2"/>
  <c r="Z173" i="2"/>
  <c r="Z186" i="2"/>
  <c r="BN186" i="2"/>
  <c r="Z214" i="2"/>
  <c r="Z247" i="2"/>
  <c r="Z248" i="2" s="1"/>
  <c r="Z255" i="2"/>
  <c r="BN255" i="2"/>
  <c r="Z257" i="2"/>
  <c r="Z268" i="2"/>
  <c r="Z283" i="2"/>
  <c r="Z301" i="2"/>
  <c r="Z325" i="2"/>
  <c r="Z358" i="2"/>
  <c r="Z374" i="2"/>
  <c r="Z437" i="2"/>
  <c r="Z449" i="2"/>
  <c r="BN449" i="2"/>
  <c r="Z453" i="2"/>
  <c r="BN453" i="2"/>
  <c r="BP453" i="2"/>
  <c r="Y456" i="2"/>
  <c r="Z479" i="2"/>
  <c r="Z501" i="2"/>
  <c r="Z502" i="2" s="1"/>
  <c r="Z509" i="2"/>
  <c r="BP44" i="2"/>
  <c r="BN44" i="2"/>
  <c r="Z44" i="2"/>
  <c r="D537" i="2"/>
  <c r="Z51" i="2"/>
  <c r="BN53" i="2"/>
  <c r="Z53" i="2"/>
  <c r="BN60" i="2"/>
  <c r="BN63" i="2"/>
  <c r="BN65" i="2"/>
  <c r="BN82" i="2"/>
  <c r="Z82" i="2"/>
  <c r="BN115" i="2"/>
  <c r="Z115" i="2"/>
  <c r="BN138" i="2"/>
  <c r="BN158" i="2"/>
  <c r="BN169" i="2"/>
  <c r="Z169" i="2"/>
  <c r="BP23" i="2"/>
  <c r="BN28" i="2"/>
  <c r="BP30" i="2"/>
  <c r="Z36" i="2"/>
  <c r="Z37" i="2" s="1"/>
  <c r="BP72" i="2"/>
  <c r="Z72" i="2"/>
  <c r="BN96" i="2"/>
  <c r="BP106" i="2"/>
  <c r="Z106" i="2"/>
  <c r="BN108" i="2"/>
  <c r="Z108" i="2"/>
  <c r="BP115" i="2"/>
  <c r="BP116" i="2"/>
  <c r="BN116" i="2"/>
  <c r="Z116" i="2"/>
  <c r="BN122" i="2"/>
  <c r="Z122" i="2"/>
  <c r="BN128" i="2"/>
  <c r="BN166" i="2"/>
  <c r="BN175" i="2"/>
  <c r="Z175" i="2"/>
  <c r="BN54" i="2"/>
  <c r="BN70" i="2"/>
  <c r="BN104" i="2"/>
  <c r="BN107" i="2"/>
  <c r="BN124" i="2"/>
  <c r="BN134" i="2"/>
  <c r="BN162" i="2"/>
  <c r="BP173" i="2"/>
  <c r="BN174" i="2"/>
  <c r="Z217" i="2"/>
  <c r="Z218" i="2"/>
  <c r="BN218" i="2"/>
  <c r="BN219" i="2"/>
  <c r="Z220" i="2"/>
  <c r="Z241" i="2"/>
  <c r="BN241" i="2"/>
  <c r="Z252" i="2"/>
  <c r="BP254" i="2"/>
  <c r="Z262" i="2"/>
  <c r="Z267" i="2"/>
  <c r="Z270" i="2"/>
  <c r="Z271" i="2"/>
  <c r="Z277" i="2"/>
  <c r="Z303" i="2"/>
  <c r="Z304" i="2"/>
  <c r="BN304" i="2"/>
  <c r="BN334" i="2"/>
  <c r="Z339" i="2"/>
  <c r="BN339" i="2"/>
  <c r="BN340" i="2"/>
  <c r="Z349" i="2"/>
  <c r="Z350" i="2"/>
  <c r="BN350" i="2"/>
  <c r="BN351" i="2"/>
  <c r="Z359" i="2"/>
  <c r="Z360" i="2"/>
  <c r="BN360" i="2"/>
  <c r="BN361" i="2"/>
  <c r="Z365" i="2"/>
  <c r="Z372" i="2"/>
  <c r="BP374" i="2"/>
  <c r="BN379" i="2"/>
  <c r="Z380" i="2"/>
  <c r="Y396" i="2"/>
  <c r="BP392" i="2"/>
  <c r="BN393" i="2"/>
  <c r="Y395" i="2"/>
  <c r="Z402" i="2"/>
  <c r="BN404" i="2"/>
  <c r="Z406" i="2"/>
  <c r="BN432" i="2"/>
  <c r="BP479" i="2"/>
  <c r="BN484" i="2"/>
  <c r="Z485" i="2"/>
  <c r="BN494" i="2"/>
  <c r="Z495" i="2"/>
  <c r="BN198" i="2"/>
  <c r="BN211" i="2"/>
  <c r="BP217" i="2"/>
  <c r="BP270" i="2"/>
  <c r="BP271" i="2"/>
  <c r="BN272" i="2"/>
  <c r="Y298" i="2"/>
  <c r="BP303" i="2"/>
  <c r="BN319" i="2"/>
  <c r="BN326" i="2"/>
  <c r="BP349" i="2"/>
  <c r="BN355" i="2"/>
  <c r="BP359" i="2"/>
  <c r="BN386" i="2"/>
  <c r="BN394" i="2"/>
  <c r="BP406" i="2"/>
  <c r="BN407" i="2"/>
  <c r="BN436" i="2"/>
  <c r="BN438" i="2"/>
  <c r="BN446" i="2"/>
  <c r="BN454" i="2"/>
  <c r="BN463" i="2"/>
  <c r="Y466" i="2"/>
  <c r="BN474" i="2"/>
  <c r="BN491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24" i="2" l="1"/>
  <c r="Z187" i="2"/>
  <c r="Z83" i="2"/>
  <c r="X530" i="2"/>
  <c r="Z511" i="2"/>
  <c r="Z455" i="2"/>
  <c r="Z429" i="2"/>
  <c r="Z414" i="2"/>
  <c r="Z279" i="2"/>
  <c r="Z305" i="2"/>
  <c r="Z419" i="2"/>
  <c r="Z274" i="2"/>
  <c r="Z520" i="2"/>
  <c r="Z227" i="2"/>
  <c r="Z176" i="2"/>
  <c r="Z66" i="2"/>
  <c r="Z159" i="2"/>
  <c r="Z135" i="2"/>
  <c r="Z98" i="2"/>
  <c r="Z55" i="2"/>
  <c r="Z466" i="2"/>
  <c r="Z330" i="2"/>
  <c r="Z450" i="2"/>
  <c r="Z439" i="2"/>
  <c r="Z369" i="2"/>
  <c r="Z243" i="2"/>
  <c r="Z140" i="2"/>
  <c r="Z375" i="2"/>
  <c r="Z408" i="2"/>
  <c r="Z290" i="2"/>
  <c r="Z222" i="2"/>
  <c r="Z153" i="2"/>
  <c r="Z182" i="2"/>
  <c r="Z109" i="2"/>
  <c r="Z362" i="2"/>
  <c r="Z388" i="2"/>
  <c r="Z496" i="2"/>
  <c r="Z200" i="2"/>
  <c r="Z91" i="2"/>
  <c r="Z382" i="2"/>
  <c r="Z395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<sst xmlns="http://schemas.openxmlformats.org/spreadsheetml/2006/main" count="3956" uniqueCount="844">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</sst>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7"/>
  <sheetViews>
    <sheetView showGridLines="0" tabSelected="1" topLeftCell="A506" zoomScaleNormal="100" zoomScaleSheetLayoutView="100" workbookViewId="0">
      <selection activeCell="X533" sqref="X5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/>
      <c r="I5" s="602"/>
      <c r="J5" s="602"/>
      <c r="K5" s="602"/>
      <c r="L5" s="602"/>
      <c r="M5" s="602"/>
      <c r="N5" s="69"/>
      <c r="P5" s="26" t="s">
        <v>4</v>
      </c>
      <c r="Q5" s="604">
        <v>46205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827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Четверг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3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0.41666666666666669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57</v>
      </c>
      <c r="Y30" s="53">
        <f t="shared" si="0"/>
        <v>57.6</v>
      </c>
      <c r="Z30" s="39">
        <f t="shared" si="1"/>
        <v>0.20832000000000001</v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100.7</v>
      </c>
      <c r="BN30" s="75">
        <f t="shared" si="3"/>
        <v>101.76</v>
      </c>
      <c r="BO30" s="75">
        <f t="shared" si="4"/>
        <v>0.17399267399267399</v>
      </c>
      <c r="BP30" s="75">
        <f t="shared" si="5"/>
        <v>0.17582417582417584</v>
      </c>
    </row>
    <row r="31" spans="1:68" ht="27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31.666666666666664</v>
      </c>
      <c r="Y33" s="41">
        <f>IFERROR(Y27/H27,"0")+IFERROR(Y28/H28,"0")+IFERROR(Y29/H29,"0")+IFERROR(Y30/H30,"0")+IFERROR(Y31/H31,"0")+IFERROR(Y32/H32,"0")</f>
        <v>32</v>
      </c>
      <c r="Z33" s="41">
        <f>IFERROR(IF(Z27="",0,Z27),"0")+IFERROR(IF(Z28="",0,Z28),"0")+IFERROR(IF(Z29="",0,Z29),"0")+IFERROR(IF(Z30="",0,Z30),"0")+IFERROR(IF(Z31="",0,Z31),"0")+IFERROR(IF(Z32="",0,Z32),"0")</f>
        <v>0.20832000000000001</v>
      </c>
      <c r="AA33" s="64"/>
      <c r="AB33" s="64"/>
      <c r="AC33" s="64"/>
    </row>
    <row r="34" spans="1:68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57</v>
      </c>
      <c r="Y34" s="41">
        <f>IFERROR(SUM(Y27:Y32),"0")</f>
        <v>57.6</v>
      </c>
      <c r="Z34" s="40"/>
      <c r="AA34" s="64"/>
      <c r="AB34" s="64"/>
      <c r="AC34" s="64"/>
    </row>
    <row r="35" spans="1:68" ht="14.25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80</v>
      </c>
      <c r="Y53" s="53">
        <f>IFERROR(IF(X53="",0,CEILING((X53/$H53),1)*$H53),"")</f>
        <v>80</v>
      </c>
      <c r="Z53" s="39">
        <f>IFERROR(IF(Y53=0,"",ROUNDUP(Y53/H53,0)*0.00902),"")</f>
        <v>0.1804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83.800000000000011</v>
      </c>
      <c r="BN53" s="75">
        <f>IFERROR(Y53*I53/H53,"0")</f>
        <v>83.800000000000011</v>
      </c>
      <c r="BO53" s="75">
        <f>IFERROR(1/J53*(X53/H53),"0")</f>
        <v>0.15151515151515152</v>
      </c>
      <c r="BP53" s="75">
        <f>IFERROR(1/J53*(Y53/H53),"0")</f>
        <v>0.15151515151515152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20</v>
      </c>
      <c r="Y55" s="41">
        <f>IFERROR(Y51/H51,"0")+IFERROR(Y52/H52,"0")+IFERROR(Y53/H53,"0")+IFERROR(Y54/H54,"0")</f>
        <v>20</v>
      </c>
      <c r="Z55" s="41">
        <f>IFERROR(IF(Z51="",0,Z51),"0")+IFERROR(IF(Z52="",0,Z52),"0")+IFERROR(IF(Z53="",0,Z53),"0")+IFERROR(IF(Z54="",0,Z54),"0")</f>
        <v>0.1804</v>
      </c>
      <c r="AA55" s="64"/>
      <c r="AB55" s="64"/>
      <c r="AC55" s="64"/>
    </row>
    <row r="56" spans="1:68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80</v>
      </c>
      <c r="Y56" s="41">
        <f>IFERROR(SUM(Y51:Y54),"0")</f>
        <v>80</v>
      </c>
      <c r="Z56" s="40"/>
      <c r="AA56" s="64"/>
      <c r="AB56" s="64"/>
      <c r="AC56" s="64"/>
    </row>
    <row r="57" spans="1:68" ht="16.5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54</v>
      </c>
      <c r="Y72" s="53">
        <f>IFERROR(IF(X72="",0,CEILING((X72/$H72),1)*$H72),"")</f>
        <v>54</v>
      </c>
      <c r="Z72" s="39">
        <f>IFERROR(IF(Y72=0,"",ROUNDUP(Y72/H72,0)*0.00651),"")</f>
        <v>0.13020000000000001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57.599999999999987</v>
      </c>
      <c r="BN72" s="75">
        <f>IFERROR(Y72*I72/H72,"0")</f>
        <v>57.599999999999987</v>
      </c>
      <c r="BO72" s="75">
        <f>IFERROR(1/J72*(X72/H72),"0")</f>
        <v>0.1098901098901099</v>
      </c>
      <c r="BP72" s="75">
        <f>IFERROR(1/J72*(Y72/H72),"0")</f>
        <v>0.1098901098901099</v>
      </c>
    </row>
    <row r="73" spans="1:68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20</v>
      </c>
      <c r="Y73" s="41">
        <f>IFERROR(Y69/H69,"0")+IFERROR(Y70/H70,"0")+IFERROR(Y71/H71,"0")+IFERROR(Y72/H72,"0")</f>
        <v>20</v>
      </c>
      <c r="Z73" s="41">
        <f>IFERROR(IF(Z69="",0,Z69),"0")+IFERROR(IF(Z70="",0,Z70),"0")+IFERROR(IF(Z71="",0,Z71),"0")+IFERROR(IF(Z72="",0,Z72),"0")</f>
        <v>0.13020000000000001</v>
      </c>
      <c r="AA73" s="64"/>
      <c r="AB73" s="64"/>
      <c r="AC73" s="64"/>
    </row>
    <row r="74" spans="1:68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54</v>
      </c>
      <c r="Y74" s="41">
        <f>IFERROR(SUM(Y69:Y72),"0")</f>
        <v>54</v>
      </c>
      <c r="Z74" s="40"/>
      <c r="AA74" s="64"/>
      <c r="AB74" s="64"/>
      <c r="AC74" s="64"/>
    </row>
    <row r="75" spans="1:68" ht="14.25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48</v>
      </c>
      <c r="Y76" s="53">
        <f>IFERROR(IF(X76="",0,CEILING((X76/$H76),1)*$H76),"")</f>
        <v>48.6</v>
      </c>
      <c r="Z76" s="39">
        <f>IFERROR(IF(Y76=0,"",ROUNDUP(Y76/H76,0)*0.00651),"")</f>
        <v>0.17577000000000001</v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54.559999999999995</v>
      </c>
      <c r="BN76" s="75">
        <f>IFERROR(Y76*I76/H76,"0")</f>
        <v>55.241999999999997</v>
      </c>
      <c r="BO76" s="75">
        <f>IFERROR(1/J76*(X76/H76),"0")</f>
        <v>0.14652014652014653</v>
      </c>
      <c r="BP76" s="75">
        <f>IFERROR(1/J76*(Y76/H76),"0")</f>
        <v>0.14835164835164835</v>
      </c>
    </row>
    <row r="77" spans="1:68" ht="27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63.3</v>
      </c>
      <c r="Y77" s="53">
        <f>IFERROR(IF(X77="",0,CEILING((X77/$H77),1)*$H77),"")</f>
        <v>64.8</v>
      </c>
      <c r="Z77" s="39">
        <f>IFERROR(IF(Y77=0,"",ROUNDUP(Y77/H77,0)*0.00651),"")</f>
        <v>0.23436000000000001</v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69.63</v>
      </c>
      <c r="BN77" s="75">
        <f>IFERROR(Y77*I77/H77,"0")</f>
        <v>71.28</v>
      </c>
      <c r="BO77" s="75">
        <f>IFERROR(1/J77*(X77/H77),"0")</f>
        <v>0.19322344322344323</v>
      </c>
      <c r="BP77" s="75">
        <f>IFERROR(1/J77*(Y77/H77),"0")</f>
        <v>0.19780219780219782</v>
      </c>
    </row>
    <row r="78" spans="1:68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61.833333333333329</v>
      </c>
      <c r="Y78" s="41">
        <f>IFERROR(Y76/H76,"0")+IFERROR(Y77/H77,"0")</f>
        <v>63</v>
      </c>
      <c r="Z78" s="41">
        <f>IFERROR(IF(Z76="",0,Z76),"0")+IFERROR(IF(Z77="",0,Z77),"0")</f>
        <v>0.41012999999999999</v>
      </c>
      <c r="AA78" s="64"/>
      <c r="AB78" s="64"/>
      <c r="AC78" s="64"/>
    </row>
    <row r="79" spans="1:68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111.3</v>
      </c>
      <c r="Y79" s="41">
        <f>IFERROR(SUM(Y76:Y77),"0")</f>
        <v>113.4</v>
      </c>
      <c r="Z79" s="40"/>
      <c r="AA79" s="64"/>
      <c r="AB79" s="64"/>
      <c r="AC79" s="64"/>
    </row>
    <row r="80" spans="1:68" ht="14.25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24</v>
      </c>
      <c r="Y82" s="53">
        <f>IFERROR(IF(X82="",0,CEILING((X82/$H82),1)*$H82),"")</f>
        <v>24</v>
      </c>
      <c r="Z82" s="39">
        <f>IFERROR(IF(Y82=0,"",ROUNDUP(Y82/H82,0)*0.00902),"")</f>
        <v>9.0200000000000002E-2</v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25.9</v>
      </c>
      <c r="BN82" s="75">
        <f>IFERROR(Y82*I82/H82,"0")</f>
        <v>25.9</v>
      </c>
      <c r="BO82" s="75">
        <f>IFERROR(1/J82*(X82/H82),"0")</f>
        <v>7.575757575757576E-2</v>
      </c>
      <c r="BP82" s="75">
        <f>IFERROR(1/J82*(Y82/H82),"0")</f>
        <v>7.575757575757576E-2</v>
      </c>
    </row>
    <row r="83" spans="1:68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10</v>
      </c>
      <c r="Y83" s="41">
        <f>IFERROR(Y81/H81,"0")+IFERROR(Y82/H82,"0")</f>
        <v>10</v>
      </c>
      <c r="Z83" s="41">
        <f>IFERROR(IF(Z81="",0,Z81),"0")+IFERROR(IF(Z82="",0,Z82),"0")</f>
        <v>9.0200000000000002E-2</v>
      </c>
      <c r="AA83" s="64"/>
      <c r="AB83" s="64"/>
      <c r="AC83" s="64"/>
    </row>
    <row r="84" spans="1:68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24</v>
      </c>
      <c r="Y84" s="41">
        <f>IFERROR(SUM(Y81:Y82),"0")</f>
        <v>24</v>
      </c>
      <c r="Z84" s="40"/>
      <c r="AA84" s="64"/>
      <c r="AB84" s="64"/>
      <c r="AC84" s="64"/>
    </row>
    <row r="85" spans="1:68" ht="16.5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15.3</v>
      </c>
      <c r="Y88" s="53">
        <f>IFERROR(IF(X88="",0,CEILING((X88/$H88),1)*$H88),"")</f>
        <v>15.299999999999999</v>
      </c>
      <c r="Z88" s="39">
        <f>IFERROR(IF(Y88=0,"",ROUNDUP(Y88/H88,0)*0.00726),"")</f>
        <v>6.5339999999999995E-2</v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16.200000000000003</v>
      </c>
      <c r="BN88" s="75">
        <f>IFERROR(Y88*I88/H88,"0")</f>
        <v>16.2</v>
      </c>
      <c r="BO88" s="75">
        <f>IFERROR(1/J88*(X88/H88),"0")</f>
        <v>4.6875E-2</v>
      </c>
      <c r="BP88" s="75">
        <f>IFERROR(1/J88*(Y88/H88),"0")</f>
        <v>4.6875E-2</v>
      </c>
    </row>
    <row r="89" spans="1:68" ht="27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9</v>
      </c>
      <c r="Y91" s="41">
        <f>IFERROR(Y87/H87,"0")+IFERROR(Y88/H88,"0")+IFERROR(Y89/H89,"0")+IFERROR(Y90/H90,"0")</f>
        <v>9</v>
      </c>
      <c r="Z91" s="41">
        <f>IFERROR(IF(Z87="",0,Z87),"0")+IFERROR(IF(Z88="",0,Z88),"0")+IFERROR(IF(Z89="",0,Z89),"0")+IFERROR(IF(Z90="",0,Z90),"0")</f>
        <v>6.5339999999999995E-2</v>
      </c>
      <c r="AA91" s="64"/>
      <c r="AB91" s="64"/>
      <c r="AC91" s="64"/>
    </row>
    <row r="92" spans="1:68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15.3</v>
      </c>
      <c r="Y92" s="41">
        <f>IFERROR(SUM(Y87:Y90),"0")</f>
        <v>15.299999999999999</v>
      </c>
      <c r="Z92" s="40"/>
      <c r="AA92" s="64"/>
      <c r="AB92" s="64"/>
      <c r="AC92" s="64"/>
    </row>
    <row r="93" spans="1:68" ht="14.25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67.5</v>
      </c>
      <c r="Y96" s="53">
        <f>IFERROR(IF(X96="",0,CEILING((X96/$H96),1)*$H96),"")</f>
        <v>67.5</v>
      </c>
      <c r="Z96" s="39">
        <f>IFERROR(IF(Y96=0,"",ROUNDUP(Y96/H96,0)*0.00651),"")</f>
        <v>0.16275000000000001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73.8</v>
      </c>
      <c r="BN96" s="75">
        <f>IFERROR(Y96*I96/H96,"0")</f>
        <v>73.8</v>
      </c>
      <c r="BO96" s="75">
        <f>IFERROR(1/J96*(X96/H96),"0")</f>
        <v>0.13736263736263737</v>
      </c>
      <c r="BP96" s="75">
        <f>IFERROR(1/J96*(Y96/H96),"0")</f>
        <v>0.13736263736263737</v>
      </c>
    </row>
    <row r="97" spans="1:68" ht="16.5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25</v>
      </c>
      <c r="Y98" s="41">
        <f>IFERROR(Y94/H94,"0")+IFERROR(Y95/H95,"0")+IFERROR(Y96/H96,"0")+IFERROR(Y97/H97,"0")</f>
        <v>25</v>
      </c>
      <c r="Z98" s="41">
        <f>IFERROR(IF(Z94="",0,Z94),"0")+IFERROR(IF(Z95="",0,Z95),"0")+IFERROR(IF(Z96="",0,Z96),"0")+IFERROR(IF(Z97="",0,Z97),"0")</f>
        <v>0.16275000000000001</v>
      </c>
      <c r="AA98" s="64"/>
      <c r="AB98" s="64"/>
      <c r="AC98" s="64"/>
    </row>
    <row r="99" spans="1:68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67.5</v>
      </c>
      <c r="Y99" s="41">
        <f>IFERROR(SUM(Y94:Y97),"0")</f>
        <v>67.5</v>
      </c>
      <c r="Z99" s="40"/>
      <c r="AA99" s="64"/>
      <c r="AB99" s="64"/>
      <c r="AC99" s="64"/>
    </row>
    <row r="100" spans="1:68" ht="16.5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13.2</v>
      </c>
      <c r="Y103" s="53">
        <f t="shared" si="11"/>
        <v>13.200000000000001</v>
      </c>
      <c r="Z103" s="39">
        <f>IFERROR(IF(Y103=0,"",ROUNDUP(Y103/H103,0)*0.00726),"")</f>
        <v>8.7120000000000003E-2</v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15.719999999999997</v>
      </c>
      <c r="BN103" s="75">
        <f t="shared" si="13"/>
        <v>15.72</v>
      </c>
      <c r="BO103" s="75">
        <f t="shared" si="14"/>
        <v>6.2499999999999986E-2</v>
      </c>
      <c r="BP103" s="75">
        <f t="shared" si="15"/>
        <v>6.25E-2</v>
      </c>
    </row>
    <row r="104" spans="1:68" ht="27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11.999999999999998</v>
      </c>
      <c r="Y109" s="41">
        <f>IFERROR(Y102/H102,"0")+IFERROR(Y103/H103,"0")+IFERROR(Y104/H104,"0")+IFERROR(Y105/H105,"0")+IFERROR(Y106/H106,"0")+IFERROR(Y107/H107,"0")+IFERROR(Y108/H108,"0")</f>
        <v>12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8.7120000000000003E-2</v>
      </c>
      <c r="AA109" s="64"/>
      <c r="AB109" s="64"/>
      <c r="AC109" s="64"/>
    </row>
    <row r="110" spans="1:68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13.2</v>
      </c>
      <c r="Y110" s="41">
        <f>IFERROR(SUM(Y102:Y108),"0")</f>
        <v>13.200000000000001</v>
      </c>
      <c r="Z110" s="40"/>
      <c r="AA110" s="64"/>
      <c r="AB110" s="64"/>
      <c r="AC110" s="64"/>
    </row>
    <row r="111" spans="1:68" ht="14.25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20</v>
      </c>
      <c r="Y114" s="53">
        <f t="shared" si="16"/>
        <v>20</v>
      </c>
      <c r="Z114" s="39">
        <f>IFERROR(IF(Y114=0,"",ROUNDUP(Y114/H114,0)*0.00358),"")</f>
        <v>7.1599999999999997E-2</v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24.2</v>
      </c>
      <c r="BN114" s="75">
        <f t="shared" si="18"/>
        <v>24.2</v>
      </c>
      <c r="BO114" s="75">
        <f t="shared" si="19"/>
        <v>5.10204081632653E-2</v>
      </c>
      <c r="BP114" s="75">
        <f t="shared" si="20"/>
        <v>5.10204081632653E-2</v>
      </c>
    </row>
    <row r="115" spans="1:68" ht="27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20</v>
      </c>
      <c r="Y118" s="41">
        <f>IFERROR(Y112/H112,"0")+IFERROR(Y113/H113,"0")+IFERROR(Y114/H114,"0")+IFERROR(Y115/H115,"0")+IFERROR(Y116/H116,"0")+IFERROR(Y117/H117,"0")</f>
        <v>20</v>
      </c>
      <c r="Z118" s="41">
        <f>IFERROR(IF(Z112="",0,Z112),"0")+IFERROR(IF(Z113="",0,Z113),"0")+IFERROR(IF(Z114="",0,Z114),"0")+IFERROR(IF(Z115="",0,Z115),"0")+IFERROR(IF(Z116="",0,Z116),"0")+IFERROR(IF(Z117="",0,Z117),"0")</f>
        <v>7.1599999999999997E-2</v>
      </c>
      <c r="AA118" s="64"/>
      <c r="AB118" s="64"/>
      <c r="AC118" s="64"/>
    </row>
    <row r="119" spans="1:68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20</v>
      </c>
      <c r="Y119" s="41">
        <f>IFERROR(SUM(Y112:Y117),"0")</f>
        <v>20</v>
      </c>
      <c r="Z119" s="40"/>
      <c r="AA119" s="64"/>
      <c r="AB119" s="64"/>
      <c r="AC119" s="64"/>
    </row>
    <row r="120" spans="1:68" ht="14.25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36</v>
      </c>
      <c r="Y124" s="53">
        <f>IFERROR(IF(X124="",0,CEILING((X124/$H124),1)*$H124),"")</f>
        <v>36</v>
      </c>
      <c r="Z124" s="39">
        <f>IFERROR(IF(Y124=0,"",ROUNDUP(Y124/H124,0)*0.00651),"")</f>
        <v>0.13020000000000001</v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39.6</v>
      </c>
      <c r="BN124" s="75">
        <f>IFERROR(Y124*I124/H124,"0")</f>
        <v>39.6</v>
      </c>
      <c r="BO124" s="75">
        <f>IFERROR(1/J124*(X124/H124),"0")</f>
        <v>0.1098901098901099</v>
      </c>
      <c r="BP124" s="75">
        <f>IFERROR(1/J124*(Y124/H124),"0")</f>
        <v>0.1098901098901099</v>
      </c>
    </row>
    <row r="125" spans="1:68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20</v>
      </c>
      <c r="Y125" s="41">
        <f>IFERROR(Y121/H121,"0")+IFERROR(Y122/H122,"0")+IFERROR(Y123/H123,"0")+IFERROR(Y124/H124,"0")</f>
        <v>20</v>
      </c>
      <c r="Z125" s="41">
        <f>IFERROR(IF(Z121="",0,Z121),"0")+IFERROR(IF(Z122="",0,Z122),"0")+IFERROR(IF(Z123="",0,Z123),"0")+IFERROR(IF(Z124="",0,Z124),"0")</f>
        <v>0.13020000000000001</v>
      </c>
      <c r="AA125" s="64"/>
      <c r="AB125" s="64"/>
      <c r="AC125" s="64"/>
    </row>
    <row r="126" spans="1:68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36</v>
      </c>
      <c r="Y126" s="41">
        <f>IFERROR(SUM(Y121:Y124),"0")</f>
        <v>36</v>
      </c>
      <c r="Z126" s="40"/>
      <c r="AA126" s="64"/>
      <c r="AB126" s="64"/>
      <c r="AC126" s="64"/>
    </row>
    <row r="127" spans="1:68" ht="14.25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14.4</v>
      </c>
      <c r="Y211" s="53">
        <f t="shared" si="26"/>
        <v>14.4</v>
      </c>
      <c r="Z211" s="39">
        <f>IFERROR(IF(Y211=0,"",ROUNDUP(Y211/H211,0)*0.00556),"")</f>
        <v>0.10008</v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16.740000000000002</v>
      </c>
      <c r="BN211" s="75">
        <f t="shared" si="28"/>
        <v>16.740000000000002</v>
      </c>
      <c r="BO211" s="75">
        <f t="shared" si="29"/>
        <v>7.1428571428571425E-2</v>
      </c>
      <c r="BP211" s="75">
        <f t="shared" si="30"/>
        <v>7.1428571428571425E-2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16</v>
      </c>
      <c r="Y218" s="53">
        <f t="shared" si="26"/>
        <v>16</v>
      </c>
      <c r="Z218" s="39">
        <f>IFERROR(IF(Y218=0,"",ROUNDUP(Y218/H218,0)*0.00417),"")</f>
        <v>8.3400000000000002E-2</v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20.2</v>
      </c>
      <c r="BN218" s="75">
        <f t="shared" si="28"/>
        <v>20.2</v>
      </c>
      <c r="BO218" s="75">
        <f t="shared" si="29"/>
        <v>5.9523809523809521E-2</v>
      </c>
      <c r="BP218" s="75">
        <f t="shared" si="30"/>
        <v>5.9523809523809521E-2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38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38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0.18348</v>
      </c>
      <c r="AA222" s="64"/>
      <c r="AB222" s="64"/>
      <c r="AC222" s="64"/>
    </row>
    <row r="223" spans="1:68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30.4</v>
      </c>
      <c r="Y223" s="41">
        <f>IFERROR(SUM(Y208:Y221),"0")</f>
        <v>30.4</v>
      </c>
      <c r="Z223" s="40"/>
      <c r="AA223" s="64"/>
      <c r="AB223" s="64"/>
      <c r="AC223" s="64"/>
    </row>
    <row r="224" spans="1:68" ht="14.25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72</v>
      </c>
      <c r="Y268" s="53">
        <f t="shared" si="37"/>
        <v>72</v>
      </c>
      <c r="Z268" s="39">
        <f>IFERROR(IF(Y268=0,"",ROUNDUP(Y268/H268,0)*0.00651),"")</f>
        <v>0.1953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79.560000000000016</v>
      </c>
      <c r="BN268" s="75">
        <f t="shared" si="39"/>
        <v>79.560000000000016</v>
      </c>
      <c r="BO268" s="75">
        <f t="shared" si="40"/>
        <v>0.16483516483516486</v>
      </c>
      <c r="BP268" s="75">
        <f t="shared" si="41"/>
        <v>0.16483516483516486</v>
      </c>
    </row>
    <row r="269" spans="1:68" ht="27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68</v>
      </c>
      <c r="Y270" s="53">
        <f t="shared" si="37"/>
        <v>69.599999999999994</v>
      </c>
      <c r="Z270" s="39">
        <f>IFERROR(IF(Y270=0,"",ROUNDUP(Y270/H270,0)*0.00651),"")</f>
        <v>0.18879000000000001</v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75.140000000000015</v>
      </c>
      <c r="BN270" s="75">
        <f t="shared" si="39"/>
        <v>76.908000000000001</v>
      </c>
      <c r="BO270" s="75">
        <f t="shared" si="40"/>
        <v>0.15567765567765571</v>
      </c>
      <c r="BP270" s="75">
        <f t="shared" si="41"/>
        <v>0.15934065934065936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58.333333333333336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59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0.38409000000000004</v>
      </c>
      <c r="AA274" s="64"/>
      <c r="AB274" s="64"/>
      <c r="AC274" s="64"/>
    </row>
    <row r="275" spans="1:68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140</v>
      </c>
      <c r="Y275" s="41">
        <f>IFERROR(SUM(Y262:Y273),"0")</f>
        <v>141.6</v>
      </c>
      <c r="Z275" s="40"/>
      <c r="AA275" s="64"/>
      <c r="AB275" s="64"/>
      <c r="AC275" s="64"/>
    </row>
    <row r="276" spans="1:68" ht="14.25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48</v>
      </c>
      <c r="Y286" s="53">
        <f t="shared" si="42"/>
        <v>48</v>
      </c>
      <c r="Z286" s="39">
        <f>IFERROR(IF(Y286=0,"",ROUNDUP(Y286/H286,0)*0.00902),"")</f>
        <v>0.10824</v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50.28</v>
      </c>
      <c r="BN286" s="75">
        <f t="shared" si="44"/>
        <v>50.28</v>
      </c>
      <c r="BO286" s="75">
        <f t="shared" si="45"/>
        <v>9.0909090909090912E-2</v>
      </c>
      <c r="BP286" s="75">
        <f t="shared" si="46"/>
        <v>9.0909090909090912E-2</v>
      </c>
    </row>
    <row r="287" spans="1:68" ht="27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72</v>
      </c>
      <c r="Y289" s="53">
        <f t="shared" si="42"/>
        <v>72</v>
      </c>
      <c r="Z289" s="39">
        <f>IFERROR(IF(Y289=0,"",ROUNDUP(Y289/H289,0)*0.00902),"")</f>
        <v>0.16236</v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75.42</v>
      </c>
      <c r="BN289" s="75">
        <f t="shared" si="44"/>
        <v>75.42</v>
      </c>
      <c r="BO289" s="75">
        <f t="shared" si="45"/>
        <v>0.13636363636363635</v>
      </c>
      <c r="BP289" s="75">
        <f t="shared" si="46"/>
        <v>0.13636363636363635</v>
      </c>
    </row>
    <row r="290" spans="1:68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30</v>
      </c>
      <c r="Y290" s="41">
        <f>IFERROR(Y283/H283,"0")+IFERROR(Y284/H284,"0")+IFERROR(Y285/H285,"0")+IFERROR(Y286/H286,"0")+IFERROR(Y287/H287,"0")+IFERROR(Y288/H288,"0")+IFERROR(Y289/H289,"0")</f>
        <v>30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0.27060000000000001</v>
      </c>
      <c r="AA290" s="64"/>
      <c r="AB290" s="64"/>
      <c r="AC290" s="64"/>
    </row>
    <row r="291" spans="1:68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120</v>
      </c>
      <c r="Y291" s="41">
        <f>IFERROR(SUM(Y283:Y289),"0")</f>
        <v>120</v>
      </c>
      <c r="Z291" s="40"/>
      <c r="AA291" s="64"/>
      <c r="AB291" s="64"/>
      <c r="AC291" s="64"/>
    </row>
    <row r="292" spans="1:68" ht="14.25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92</v>
      </c>
      <c r="Y313" s="53">
        <f>IFERROR(IF(X313="",0,CEILING((X313/$H313),1)*$H313),"")</f>
        <v>92</v>
      </c>
      <c r="Z313" s="39">
        <f>IFERROR(IF(Y313=0,"",ROUNDUP(Y313/H313,0)*0.00902),"")</f>
        <v>0.20746000000000001</v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96.37</v>
      </c>
      <c r="BN313" s="75">
        <f>IFERROR(Y313*I313/H313,"0")</f>
        <v>96.37</v>
      </c>
      <c r="BO313" s="75">
        <f>IFERROR(1/J313*(X313/H313),"0")</f>
        <v>0.17424242424242425</v>
      </c>
      <c r="BP313" s="75">
        <f>IFERROR(1/J313*(Y313/H313),"0")</f>
        <v>0.17424242424242425</v>
      </c>
    </row>
    <row r="314" spans="1:68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23</v>
      </c>
      <c r="Y314" s="41">
        <f>IFERROR(Y309/H309,"0")+IFERROR(Y310/H310,"0")+IFERROR(Y311/H311,"0")+IFERROR(Y312/H312,"0")+IFERROR(Y313/H313,"0")</f>
        <v>23</v>
      </c>
      <c r="Z314" s="41">
        <f>IFERROR(IF(Z309="",0,Z309),"0")+IFERROR(IF(Z310="",0,Z310),"0")+IFERROR(IF(Z311="",0,Z311),"0")+IFERROR(IF(Z312="",0,Z312),"0")+IFERROR(IF(Z313="",0,Z313),"0")</f>
        <v>0.20746000000000001</v>
      </c>
      <c r="AA314" s="64"/>
      <c r="AB314" s="64"/>
      <c r="AC314" s="64"/>
    </row>
    <row r="315" spans="1:68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92</v>
      </c>
      <c r="Y315" s="41">
        <f>IFERROR(SUM(Y309:Y313),"0")</f>
        <v>92</v>
      </c>
      <c r="Z315" s="40"/>
      <c r="AA315" s="64"/>
      <c r="AB315" s="64"/>
      <c r="AC315" s="64"/>
    </row>
    <row r="316" spans="1:68" ht="16.5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24</v>
      </c>
      <c r="Y319" s="53">
        <f>IFERROR(IF(X319="",0,CEILING((X319/$H319),1)*$H319),"")</f>
        <v>24</v>
      </c>
      <c r="Z319" s="39">
        <f>IFERROR(IF(Y319=0,"",ROUNDUP(Y319/H319,0)*0.00651),"")</f>
        <v>6.5100000000000005E-2</v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26.520000000000003</v>
      </c>
      <c r="BN319" s="75">
        <f>IFERROR(Y319*I319/H319,"0")</f>
        <v>26.520000000000003</v>
      </c>
      <c r="BO319" s="75">
        <f>IFERROR(1/J319*(X319/H319),"0")</f>
        <v>5.4945054945054951E-2</v>
      </c>
      <c r="BP319" s="75">
        <f>IFERROR(1/J319*(Y319/H319),"0")</f>
        <v>5.4945054945054951E-2</v>
      </c>
    </row>
    <row r="320" spans="1:68" ht="27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64</v>
      </c>
      <c r="Y320" s="53">
        <f>IFERROR(IF(X320="",0,CEILING((X320/$H320),1)*$H320),"")</f>
        <v>64.8</v>
      </c>
      <c r="Z320" s="39">
        <f>IFERROR(IF(Y320=0,"",ROUNDUP(Y320/H320,0)*0.00651),"")</f>
        <v>0.17577000000000001</v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68.800000000000011</v>
      </c>
      <c r="BN320" s="75">
        <f>IFERROR(Y320*I320/H320,"0")</f>
        <v>69.66</v>
      </c>
      <c r="BO320" s="75">
        <f>IFERROR(1/J320*(X320/H320),"0")</f>
        <v>0.14652014652014653</v>
      </c>
      <c r="BP320" s="75">
        <f>IFERROR(1/J320*(Y320/H320),"0")</f>
        <v>0.14835164835164835</v>
      </c>
    </row>
    <row r="321" spans="1:68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36.666666666666671</v>
      </c>
      <c r="Y321" s="41">
        <f>IFERROR(Y318/H318,"0")+IFERROR(Y319/H319,"0")+IFERROR(Y320/H320,"0")</f>
        <v>37</v>
      </c>
      <c r="Z321" s="41">
        <f>IFERROR(IF(Z318="",0,Z318),"0")+IFERROR(IF(Z319="",0,Z319),"0")+IFERROR(IF(Z320="",0,Z320),"0")</f>
        <v>0.24087000000000003</v>
      </c>
      <c r="AA321" s="64"/>
      <c r="AB321" s="64"/>
      <c r="AC321" s="64"/>
    </row>
    <row r="322" spans="1:68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88</v>
      </c>
      <c r="Y322" s="41">
        <f>IFERROR(SUM(Y318:Y320),"0")</f>
        <v>88.8</v>
      </c>
      <c r="Z322" s="40"/>
      <c r="AA322" s="64"/>
      <c r="AB322" s="64"/>
      <c r="AC322" s="64"/>
    </row>
    <row r="323" spans="1:68" ht="16.5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72</v>
      </c>
      <c r="Y333" s="53">
        <f>IFERROR(IF(X333="",0,CEILING((X333/$H333),1)*$H333),"")</f>
        <v>72</v>
      </c>
      <c r="Z333" s="39">
        <f>IFERROR(IF(Y333=0,"",ROUNDUP(Y333/H333,0)*0.00902),"")</f>
        <v>0.1804</v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75.8</v>
      </c>
      <c r="BN333" s="75">
        <f>IFERROR(Y333*I333/H333,"0")</f>
        <v>75.8</v>
      </c>
      <c r="BO333" s="75">
        <f>IFERROR(1/J333*(X333/H333),"0")</f>
        <v>0.15151515151515152</v>
      </c>
      <c r="BP333" s="75">
        <f>IFERROR(1/J333*(Y333/H333),"0")</f>
        <v>0.15151515151515152</v>
      </c>
    </row>
    <row r="334" spans="1:68" ht="27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20</v>
      </c>
      <c r="Y335" s="41">
        <f>IFERROR(Y333/H333,"0")+IFERROR(Y334/H334,"0")</f>
        <v>20</v>
      </c>
      <c r="Z335" s="41">
        <f>IFERROR(IF(Z333="",0,Z333),"0")+IFERROR(IF(Z334="",0,Z334),"0")</f>
        <v>0.1804</v>
      </c>
      <c r="AA335" s="64"/>
      <c r="AB335" s="64"/>
      <c r="AC335" s="64"/>
    </row>
    <row r="336" spans="1:68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72</v>
      </c>
      <c r="Y336" s="41">
        <f>IFERROR(SUM(Y333:Y334),"0")</f>
        <v>72</v>
      </c>
      <c r="Z336" s="40"/>
      <c r="AA336" s="64"/>
      <c r="AB336" s="64"/>
      <c r="AC336" s="64"/>
    </row>
    <row r="337" spans="1:68" ht="16.5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76</v>
      </c>
      <c r="Y351" s="53">
        <f t="shared" si="47"/>
        <v>76</v>
      </c>
      <c r="Z351" s="39">
        <f>IFERROR(IF(Y351=0,"",ROUNDUP(Y351/H351,0)*0.00902),"")</f>
        <v>0.17138</v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79.610000000000014</v>
      </c>
      <c r="BN351" s="75">
        <f t="shared" si="49"/>
        <v>79.610000000000014</v>
      </c>
      <c r="BO351" s="75">
        <f t="shared" si="50"/>
        <v>0.14393939393939395</v>
      </c>
      <c r="BP351" s="75">
        <f t="shared" si="51"/>
        <v>0.14393939393939395</v>
      </c>
    </row>
    <row r="352" spans="1:68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19</v>
      </c>
      <c r="Y352" s="41">
        <f>IFERROR(Y346/H346,"0")+IFERROR(Y347/H347,"0")+IFERROR(Y348/H348,"0")+IFERROR(Y349/H349,"0")+IFERROR(Y350/H350,"0")+IFERROR(Y351/H351,"0")</f>
        <v>19</v>
      </c>
      <c r="Z352" s="41">
        <f>IFERROR(IF(Z346="",0,Z346),"0")+IFERROR(IF(Z347="",0,Z347),"0")+IFERROR(IF(Z348="",0,Z348),"0")+IFERROR(IF(Z349="",0,Z349),"0")+IFERROR(IF(Z350="",0,Z350),"0")+IFERROR(IF(Z351="",0,Z351),"0")</f>
        <v>0.17138</v>
      </c>
      <c r="AA352" s="64"/>
      <c r="AB352" s="64"/>
      <c r="AC352" s="64"/>
    </row>
    <row r="353" spans="1:68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76</v>
      </c>
      <c r="Y353" s="41">
        <f>IFERROR(SUM(Y346:Y351),"0")</f>
        <v>76</v>
      </c>
      <c r="Z353" s="40"/>
      <c r="AA353" s="64"/>
      <c r="AB353" s="64"/>
      <c r="AC353" s="64"/>
    </row>
    <row r="354" spans="1:68" ht="14.25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52.5</v>
      </c>
      <c r="Y359" s="53">
        <f t="shared" si="52"/>
        <v>52.5</v>
      </c>
      <c r="Z359" s="39">
        <f>IFERROR(IF(Y359=0,"",ROUNDUP(Y359/H359,0)*0.00502),"")</f>
        <v>0.1255</v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55.000000000000007</v>
      </c>
      <c r="BN359" s="75">
        <f t="shared" si="54"/>
        <v>55.000000000000007</v>
      </c>
      <c r="BO359" s="75">
        <f t="shared" si="55"/>
        <v>0.10683760683760685</v>
      </c>
      <c r="BP359" s="75">
        <f t="shared" si="56"/>
        <v>0.10683760683760685</v>
      </c>
    </row>
    <row r="360" spans="1:68" ht="27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48</v>
      </c>
      <c r="Y361" s="53">
        <f t="shared" si="52"/>
        <v>48.6</v>
      </c>
      <c r="Z361" s="39">
        <f>IFERROR(IF(Y361=0,"",ROUNDUP(Y361/H361,0)*0.00651),"")</f>
        <v>0.17577000000000001</v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54.08</v>
      </c>
      <c r="BN361" s="75">
        <f t="shared" si="54"/>
        <v>54.756</v>
      </c>
      <c r="BO361" s="75">
        <f t="shared" si="55"/>
        <v>0.14652014652014653</v>
      </c>
      <c r="BP361" s="75">
        <f t="shared" si="56"/>
        <v>0.14835164835164835</v>
      </c>
    </row>
    <row r="362" spans="1:68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51.666666666666664</v>
      </c>
      <c r="Y362" s="41">
        <f>IFERROR(Y355/H355,"0")+IFERROR(Y356/H356,"0")+IFERROR(Y357/H357,"0")+IFERROR(Y358/H358,"0")+IFERROR(Y359/H359,"0")+IFERROR(Y360/H360,"0")+IFERROR(Y361/H361,"0")</f>
        <v>52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0.30127000000000004</v>
      </c>
      <c r="AA362" s="64"/>
      <c r="AB362" s="64"/>
      <c r="AC362" s="64"/>
    </row>
    <row r="363" spans="1:68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100.5</v>
      </c>
      <c r="Y363" s="41">
        <f>IFERROR(SUM(Y355:Y361),"0")</f>
        <v>101.1</v>
      </c>
      <c r="Z363" s="40"/>
      <c r="AA363" s="64"/>
      <c r="AB363" s="64"/>
      <c r="AC363" s="64"/>
    </row>
    <row r="364" spans="1:68" ht="14.25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4.25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28.9</v>
      </c>
      <c r="Y380" s="53">
        <f>IFERROR(IF(X380="",0,CEILING((X380/$H380),1)*$H380),"")</f>
        <v>30.599999999999998</v>
      </c>
      <c r="Z380" s="39">
        <f>IFERROR(IF(Y380=0,"",ROUNDUP(Y380/H380,0)*0.00651),"")</f>
        <v>7.8119999999999995E-2</v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33.49</v>
      </c>
      <c r="BN380" s="75">
        <f>IFERROR(Y380*I380/H380,"0")</f>
        <v>35.46</v>
      </c>
      <c r="BO380" s="75">
        <f>IFERROR(1/J380*(X380/H380),"0")</f>
        <v>6.2271062271062279E-2</v>
      </c>
      <c r="BP380" s="75">
        <f>IFERROR(1/J380*(Y380/H380),"0")</f>
        <v>6.5934065934065936E-2</v>
      </c>
    </row>
    <row r="381" spans="1:68" ht="27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11.333333333333334</v>
      </c>
      <c r="Y382" s="41">
        <f>IFERROR(Y378/H378,"0")+IFERROR(Y379/H379,"0")+IFERROR(Y380/H380,"0")+IFERROR(Y381/H381,"0")</f>
        <v>12</v>
      </c>
      <c r="Z382" s="41">
        <f>IFERROR(IF(Z378="",0,Z378),"0")+IFERROR(IF(Z379="",0,Z379),"0")+IFERROR(IF(Z380="",0,Z380),"0")+IFERROR(IF(Z381="",0,Z381),"0")</f>
        <v>7.8119999999999995E-2</v>
      </c>
      <c r="AA382" s="64"/>
      <c r="AB382" s="64"/>
      <c r="AC382" s="64"/>
    </row>
    <row r="383" spans="1:68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28.9</v>
      </c>
      <c r="Y383" s="41">
        <f>IFERROR(SUM(Y378:Y381),"0")</f>
        <v>30.599999999999998</v>
      </c>
      <c r="Z383" s="40"/>
      <c r="AA383" s="64"/>
      <c r="AB383" s="64"/>
      <c r="AC383" s="64"/>
    </row>
    <row r="384" spans="1:68" ht="14.25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11</v>
      </c>
      <c r="Y387" s="53">
        <f>IFERROR(IF(X387="",0,CEILING((X387/$H387),1)*$H387),"")</f>
        <v>12</v>
      </c>
      <c r="Z387" s="39">
        <f>IFERROR(IF(Y387=0,"",ROUNDUP(Y387/H387,0)*0.00474),"")</f>
        <v>2.844E-2</v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12.32</v>
      </c>
      <c r="BN387" s="75">
        <f>IFERROR(Y387*I387/H387,"0")</f>
        <v>13.440000000000001</v>
      </c>
      <c r="BO387" s="75">
        <f>IFERROR(1/J387*(X387/H387),"0")</f>
        <v>2.3109243697478989E-2</v>
      </c>
      <c r="BP387" s="75">
        <f>IFERROR(1/J387*(Y387/H387),"0")</f>
        <v>2.5210084033613446E-2</v>
      </c>
    </row>
    <row r="388" spans="1:68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5.5</v>
      </c>
      <c r="Y388" s="41">
        <f>IFERROR(Y385/H385,"0")+IFERROR(Y386/H386,"0")+IFERROR(Y387/H387,"0")</f>
        <v>6</v>
      </c>
      <c r="Z388" s="41">
        <f>IFERROR(IF(Z385="",0,Z385),"0")+IFERROR(IF(Z386="",0,Z386),"0")+IFERROR(IF(Z387="",0,Z387),"0")</f>
        <v>2.844E-2</v>
      </c>
      <c r="AA388" s="64"/>
      <c r="AB388" s="64"/>
      <c r="AC388" s="64"/>
    </row>
    <row r="389" spans="1:68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11</v>
      </c>
      <c r="Y389" s="41">
        <f>IFERROR(SUM(Y385:Y387),"0")</f>
        <v>12</v>
      </c>
      <c r="Z389" s="40"/>
      <c r="AA389" s="64"/>
      <c r="AB389" s="64"/>
      <c r="AC389" s="64"/>
    </row>
    <row r="390" spans="1:68" ht="16.5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52.5</v>
      </c>
      <c r="Y393" s="53">
        <f>IFERROR(IF(X393="",0,CEILING((X393/$H393),1)*$H393),"")</f>
        <v>52.5</v>
      </c>
      <c r="Z393" s="39">
        <f>IFERROR(IF(Y393=0,"",ROUNDUP(Y393/H393,0)*0.00651),"")</f>
        <v>0.16275000000000001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58.79999999999999</v>
      </c>
      <c r="BN393" s="75">
        <f>IFERROR(Y393*I393/H393,"0")</f>
        <v>58.79999999999999</v>
      </c>
      <c r="BO393" s="75">
        <f>IFERROR(1/J393*(X393/H393),"0")</f>
        <v>0.13736263736263737</v>
      </c>
      <c r="BP393" s="75">
        <f>IFERROR(1/J393*(Y393/H393),"0")</f>
        <v>0.13736263736263737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42</v>
      </c>
      <c r="Y394" s="53">
        <f>IFERROR(IF(X394="",0,CEILING((X394/$H394),1)*$H394),"")</f>
        <v>42</v>
      </c>
      <c r="Z394" s="39">
        <f>IFERROR(IF(Y394=0,"",ROUNDUP(Y394/H394,0)*0.00651),"")</f>
        <v>0.13020000000000001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46.8</v>
      </c>
      <c r="BN394" s="75">
        <f>IFERROR(Y394*I394/H394,"0")</f>
        <v>46.8</v>
      </c>
      <c r="BO394" s="75">
        <f>IFERROR(1/J394*(X394/H394),"0")</f>
        <v>0.1098901098901099</v>
      </c>
      <c r="BP394" s="75">
        <f>IFERROR(1/J394*(Y394/H394),"0")</f>
        <v>0.1098901098901099</v>
      </c>
    </row>
    <row r="395" spans="1:68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45</v>
      </c>
      <c r="Y395" s="41">
        <f>IFERROR(Y392/H392,"0")+IFERROR(Y393/H393,"0")+IFERROR(Y394/H394,"0")</f>
        <v>45</v>
      </c>
      <c r="Z395" s="41">
        <f>IFERROR(IF(Z392="",0,Z392),"0")+IFERROR(IF(Z393="",0,Z393),"0")+IFERROR(IF(Z394="",0,Z394),"0")</f>
        <v>0.29295000000000004</v>
      </c>
      <c r="AA395" s="64"/>
      <c r="AB395" s="64"/>
      <c r="AC395" s="64"/>
    </row>
    <row r="396" spans="1:68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94.5</v>
      </c>
      <c r="Y396" s="41">
        <f>IFERROR(SUM(Y392:Y394),"0")</f>
        <v>94.5</v>
      </c>
      <c r="Z396" s="40"/>
      <c r="AA396" s="64"/>
      <c r="AB396" s="64"/>
      <c r="AC396" s="64"/>
    </row>
    <row r="397" spans="1:68" ht="27.75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7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0</v>
      </c>
      <c r="BN401" s="75">
        <f t="shared" si="59"/>
        <v>0</v>
      </c>
      <c r="BO401" s="75">
        <f t="shared" si="60"/>
        <v>0</v>
      </c>
      <c r="BP401" s="75">
        <f t="shared" si="61"/>
        <v>0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117.5</v>
      </c>
      <c r="Y407" s="53">
        <f t="shared" si="57"/>
        <v>120</v>
      </c>
      <c r="Z407" s="39">
        <f>IFERROR(IF(Y407=0,"",ROUNDUP(Y407/H407,0)*0.00902),"")</f>
        <v>0.21648000000000001</v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121.965</v>
      </c>
      <c r="BN407" s="75">
        <f t="shared" si="59"/>
        <v>124.56000000000002</v>
      </c>
      <c r="BO407" s="75">
        <f t="shared" si="60"/>
        <v>0.17803030303030304</v>
      </c>
      <c r="BP407" s="75">
        <f t="shared" si="61"/>
        <v>0.18181818181818182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23.5</v>
      </c>
      <c r="Y408" s="41">
        <f>IFERROR(Y400/H400,"0")+IFERROR(Y401/H401,"0")+IFERROR(Y402/H402,"0")+IFERROR(Y403/H403,"0")+IFERROR(Y404/H404,"0")+IFERROR(Y405/H405,"0")+IFERROR(Y406/H406,"0")+IFERROR(Y407/H407,"0")</f>
        <v>24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0.21648000000000001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117.5</v>
      </c>
      <c r="Y409" s="41">
        <f>IFERROR(SUM(Y400:Y407),"0")</f>
        <v>120</v>
      </c>
      <c r="Z409" s="40"/>
      <c r="AA409" s="64"/>
      <c r="AB409" s="64"/>
      <c r="AC409" s="64"/>
    </row>
    <row r="410" spans="1:68" ht="14.25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80</v>
      </c>
      <c r="Y413" s="53">
        <f>IFERROR(IF(X413="",0,CEILING((X413/$H413),1)*$H413),"")</f>
        <v>80</v>
      </c>
      <c r="Z413" s="39">
        <f>IFERROR(IF(Y413=0,"",ROUNDUP(Y413/H413,0)*0.00902),"")</f>
        <v>0.1804</v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83.800000000000011</v>
      </c>
      <c r="BN413" s="75">
        <f>IFERROR(Y413*I413/H413,"0")</f>
        <v>83.800000000000011</v>
      </c>
      <c r="BO413" s="75">
        <f>IFERROR(1/J413*(X413/H413),"0")</f>
        <v>0.15151515151515152</v>
      </c>
      <c r="BP413" s="75">
        <f>IFERROR(1/J413*(Y413/H413),"0")</f>
        <v>0.15151515151515152</v>
      </c>
    </row>
    <row r="414" spans="1:68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20</v>
      </c>
      <c r="Y414" s="41">
        <f>IFERROR(Y411/H411,"0")+IFERROR(Y412/H412,"0")+IFERROR(Y413/H413,"0")</f>
        <v>20</v>
      </c>
      <c r="Z414" s="41">
        <f>IFERROR(IF(Z411="",0,Z411),"0")+IFERROR(IF(Z412="",0,Z412),"0")+IFERROR(IF(Z413="",0,Z413),"0")</f>
        <v>0.1804</v>
      </c>
      <c r="AA414" s="64"/>
      <c r="AB414" s="64"/>
      <c r="AC414" s="64"/>
    </row>
    <row r="415" spans="1:68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80</v>
      </c>
      <c r="Y415" s="41">
        <f>IFERROR(SUM(Y411:Y413),"0")</f>
        <v>80</v>
      </c>
      <c r="Z415" s="40"/>
      <c r="AA415" s="64"/>
      <c r="AB415" s="64"/>
      <c r="AC415" s="64"/>
    </row>
    <row r="416" spans="1:68" ht="14.25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105</v>
      </c>
      <c r="Y446" s="53">
        <f t="shared" si="62"/>
        <v>105</v>
      </c>
      <c r="Z446" s="39">
        <f>IFERROR(IF(Y446=0,"",ROUNDUP(Y446/H446,0)*0.00502),"")</f>
        <v>0.251</v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111.5</v>
      </c>
      <c r="BN446" s="75">
        <f t="shared" si="64"/>
        <v>111.5</v>
      </c>
      <c r="BO446" s="75">
        <f t="shared" si="65"/>
        <v>0.21367521367521369</v>
      </c>
      <c r="BP446" s="75">
        <f t="shared" si="66"/>
        <v>0.21367521367521369</v>
      </c>
    </row>
    <row r="447" spans="1:68" ht="27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52.5</v>
      </c>
      <c r="Y448" s="53">
        <f t="shared" si="62"/>
        <v>52.5</v>
      </c>
      <c r="Z448" s="39">
        <f>IFERROR(IF(Y448=0,"",ROUNDUP(Y448/H448,0)*0.00502),"")</f>
        <v>0.1255</v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55.75</v>
      </c>
      <c r="BN448" s="75">
        <f t="shared" si="64"/>
        <v>55.75</v>
      </c>
      <c r="BO448" s="75">
        <f t="shared" si="65"/>
        <v>0.10683760683760685</v>
      </c>
      <c r="BP448" s="75">
        <f t="shared" si="66"/>
        <v>0.10683760683760685</v>
      </c>
    </row>
    <row r="449" spans="1:68" ht="37.5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105</v>
      </c>
      <c r="Y449" s="53">
        <f t="shared" si="62"/>
        <v>105</v>
      </c>
      <c r="Z449" s="39">
        <f>IFERROR(IF(Y449=0,"",ROUNDUP(Y449/H449,0)*0.00502),"")</f>
        <v>0.251</v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111.5</v>
      </c>
      <c r="BN449" s="75">
        <f t="shared" si="64"/>
        <v>111.5</v>
      </c>
      <c r="BO449" s="75">
        <f t="shared" si="65"/>
        <v>0.21367521367521369</v>
      </c>
      <c r="BP449" s="75">
        <f t="shared" si="66"/>
        <v>0.21367521367521369</v>
      </c>
    </row>
    <row r="450" spans="1:68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125</v>
      </c>
      <c r="Y450" s="41">
        <f>IFERROR(Y444/H444,"0")+IFERROR(Y445/H445,"0")+IFERROR(Y446/H446,"0")+IFERROR(Y447/H447,"0")+IFERROR(Y448/H448,"0")+IFERROR(Y449/H449,"0")</f>
        <v>125</v>
      </c>
      <c r="Z450" s="41">
        <f>IFERROR(IF(Z444="",0,Z444),"0")+IFERROR(IF(Z445="",0,Z445),"0")+IFERROR(IF(Z446="",0,Z446),"0")+IFERROR(IF(Z447="",0,Z447),"0")+IFERROR(IF(Z448="",0,Z448),"0")+IFERROR(IF(Z449="",0,Z449),"0")</f>
        <v>0.62749999999999995</v>
      </c>
      <c r="AA450" s="64"/>
      <c r="AB450" s="64"/>
      <c r="AC450" s="64"/>
    </row>
    <row r="451" spans="1:68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262.5</v>
      </c>
      <c r="Y451" s="41">
        <f>IFERROR(SUM(Y444:Y449),"0")</f>
        <v>262.5</v>
      </c>
      <c r="Z451" s="40"/>
      <c r="AA451" s="64"/>
      <c r="AB451" s="64"/>
      <c r="AC451" s="64"/>
    </row>
    <row r="452" spans="1:68" ht="14.25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90</v>
      </c>
      <c r="Y453" s="53">
        <f>IFERROR(IF(X453="",0,CEILING((X453/$H453),1)*$H453),"")</f>
        <v>91.2</v>
      </c>
      <c r="Z453" s="39">
        <f>IFERROR(IF(Y453=0,"",ROUNDUP(Y453/H453,0)*0.00902),"")</f>
        <v>0.34276000000000001</v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98.475000000000009</v>
      </c>
      <c r="BN453" s="75">
        <f>IFERROR(Y453*I453/H453,"0")</f>
        <v>99.787999999999997</v>
      </c>
      <c r="BO453" s="75">
        <f>IFERROR(1/J453*(X453/H453),"0")</f>
        <v>0.28409090909090912</v>
      </c>
      <c r="BP453" s="75">
        <f>IFERROR(1/J453*(Y453/H453),"0")</f>
        <v>0.2878787878787879</v>
      </c>
    </row>
    <row r="454" spans="1:68" ht="27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73.59</v>
      </c>
      <c r="Y454" s="53">
        <f>IFERROR(IF(X454="",0,CEILING((X454/$H454),1)*$H454),"")</f>
        <v>75.239999999999995</v>
      </c>
      <c r="Z454" s="39">
        <f>IFERROR(IF(Y454=0,"",ROUNDUP(Y454/H454,0)*0.00651),"")</f>
        <v>0.24738000000000002</v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83.179000000000002</v>
      </c>
      <c r="BN454" s="75">
        <f>IFERROR(Y454*I454/H454,"0")</f>
        <v>85.043999999999997</v>
      </c>
      <c r="BO454" s="75">
        <f>IFERROR(1/J454*(X454/H454),"0")</f>
        <v>0.20421245421245426</v>
      </c>
      <c r="BP454" s="75">
        <f>IFERROR(1/J454*(Y454/H454),"0")</f>
        <v>0.2087912087912088</v>
      </c>
    </row>
    <row r="455" spans="1:68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74.666666666666671</v>
      </c>
      <c r="Y455" s="41">
        <f>IFERROR(Y453/H453,"0")+IFERROR(Y454/H454,"0")</f>
        <v>76</v>
      </c>
      <c r="Z455" s="41">
        <f>IFERROR(IF(Z453="",0,Z453),"0")+IFERROR(IF(Z454="",0,Z454),"0")</f>
        <v>0.59014</v>
      </c>
      <c r="AA455" s="64"/>
      <c r="AB455" s="64"/>
      <c r="AC455" s="64"/>
    </row>
    <row r="456" spans="1:68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163.59</v>
      </c>
      <c r="Y456" s="41">
        <f>IFERROR(SUM(Y453:Y454),"0")</f>
        <v>166.44</v>
      </c>
      <c r="Z456" s="40"/>
      <c r="AA456" s="64"/>
      <c r="AB456" s="64"/>
      <c r="AC456" s="64"/>
    </row>
    <row r="457" spans="1:68" ht="16.5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72</v>
      </c>
      <c r="Y478" s="53">
        <f t="shared" si="67"/>
        <v>72</v>
      </c>
      <c r="Z478" s="39">
        <f>IFERROR(IF(Y478=0,"",ROUNDUP(Y478/H478,0)*0.00902),"")</f>
        <v>0.1353</v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103.65</v>
      </c>
      <c r="BN478" s="75">
        <f t="shared" si="70"/>
        <v>103.65</v>
      </c>
      <c r="BO478" s="75">
        <f t="shared" si="71"/>
        <v>0.11363636363636365</v>
      </c>
      <c r="BP478" s="75">
        <f t="shared" si="72"/>
        <v>0.11363636363636365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72</v>
      </c>
      <c r="Y479" s="53">
        <f t="shared" si="67"/>
        <v>72</v>
      </c>
      <c r="Z479" s="39">
        <f>IFERROR(IF(Y479=0,"",ROUNDUP(Y479/H479,0)*0.00902),"")</f>
        <v>0.1353</v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103.65</v>
      </c>
      <c r="BN479" s="75">
        <f t="shared" si="70"/>
        <v>103.65</v>
      </c>
      <c r="BO479" s="75">
        <f t="shared" si="71"/>
        <v>0.11363636363636365</v>
      </c>
      <c r="BP479" s="75">
        <f t="shared" si="72"/>
        <v>0.11363636363636365</v>
      </c>
    </row>
    <row r="480" spans="1:68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30</v>
      </c>
      <c r="Y480" s="41">
        <f>IFERROR(Y471/H471,"0")+IFERROR(Y472/H472,"0")+IFERROR(Y473/H473,"0")+IFERROR(Y474/H474,"0")+IFERROR(Y475/H475,"0")+IFERROR(Y476/H476,"0")+IFERROR(Y477/H477,"0")+IFERROR(Y478/H478,"0")+IFERROR(Y479/H479,"0")</f>
        <v>30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0.27060000000000001</v>
      </c>
      <c r="AA480" s="64"/>
      <c r="AB480" s="64"/>
      <c r="AC480" s="64"/>
    </row>
    <row r="481" spans="1:68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144</v>
      </c>
      <c r="Y481" s="41">
        <f>IFERROR(SUM(Y471:Y479),"0")</f>
        <v>144</v>
      </c>
      <c r="Z481" s="40"/>
      <c r="AA481" s="64"/>
      <c r="AB481" s="64"/>
      <c r="AC481" s="64"/>
    </row>
    <row r="482" spans="1:68" ht="14.25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0</v>
      </c>
      <c r="Y486" s="41">
        <f>IFERROR(Y483/H483,"0")+IFERROR(Y484/H484,"0")+IFERROR(Y485/H485,"0")</f>
        <v>0</v>
      </c>
      <c r="Z486" s="41">
        <f>IFERROR(IF(Z483="",0,Z483),"0")+IFERROR(IF(Z484="",0,Z484),"0")+IFERROR(IF(Z485="",0,Z485),"0")</f>
        <v>0</v>
      </c>
      <c r="AA486" s="64"/>
      <c r="AB486" s="64"/>
      <c r="AC486" s="64"/>
    </row>
    <row r="487" spans="1:68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0</v>
      </c>
      <c r="Y487" s="41">
        <f>IFERROR(SUM(Y483:Y485),"0")</f>
        <v>0</v>
      </c>
      <c r="Z487" s="40"/>
      <c r="AA487" s="64"/>
      <c r="AB487" s="64"/>
      <c r="AC487" s="64"/>
    </row>
    <row r="488" spans="1:68" ht="14.25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2099.19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2112.9399999999996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2360.1089999999999</v>
      </c>
      <c r="Y528" s="41">
        <f>IFERROR(SUM(BN22:BN524),"0")</f>
        <v>2375.6680000000001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5</v>
      </c>
      <c r="Y529" s="42">
        <f>ROUNDUP(SUM(BP22:BP524),0)</f>
        <v>5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2485.1089999999999</v>
      </c>
      <c r="Y530" s="41">
        <f>GrossWeightTotalR+PalletQtyTotalR*25</f>
        <v>2500.6680000000001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841.16666666666663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847</v>
      </c>
      <c r="Z531" s="40"/>
      <c r="AA531" s="64"/>
      <c r="AB531" s="64"/>
      <c r="AC531" s="64"/>
    </row>
    <row r="532" spans="1:32" ht="14.25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5.7604400000000009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57.6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80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191.39999999999998</v>
      </c>
      <c r="F537" s="50">
        <f>IFERROR(Y87*1,"0")+IFERROR(Y88*1,"0")+IFERROR(Y89*1,"0")+IFERROR(Y90*1,"0")+IFERROR(Y94*1,"0")+IFERROR(Y95*1,"0")+IFERROR(Y96*1,"0")+IFERROR(Y97*1,"0")</f>
        <v>82.8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69.2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30.4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141.6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120</v>
      </c>
      <c r="P537" s="50">
        <f>IFERROR(Y309*1,"0")+IFERROR(Y310*1,"0")+IFERROR(Y311*1,"0")+IFERROR(Y312*1,"0")+IFERROR(Y313*1,"0")</f>
        <v>92</v>
      </c>
      <c r="Q537" s="50">
        <f>IFERROR(Y318*1,"0")+IFERROR(Y319*1,"0")+IFERROR(Y320*1,"0")</f>
        <v>88.8</v>
      </c>
      <c r="R537" s="50">
        <f>IFERROR(Y325*1,"0")+IFERROR(Y326*1,"0")+IFERROR(Y327*1,"0")+IFERROR(Y328*1,"0")+IFERROR(Y329*1,"0")+IFERROR(Y333*1,"0")+IFERROR(Y334*1,"0")</f>
        <v>72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219.7</v>
      </c>
      <c r="U537" s="50">
        <f>IFERROR(Y392*1,"0")+IFERROR(Y393*1,"0")+IFERROR(Y394*1,"0")</f>
        <v>94.5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200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428.94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144</v>
      </c>
      <c r="AA537" s="50">
        <f>IFERROR(Y501*1,"0")+IFERROR(Y505*1,"0")+IFERROR(Y509*1,"0")+IFERROR(Y510*1,"0")+IFERROR(Y514*1,"0")+IFERROR(Y518*1,"0")+IFERROR(Y519*1,"0")</f>
        <v>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2026-07-01T07:51:07Z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