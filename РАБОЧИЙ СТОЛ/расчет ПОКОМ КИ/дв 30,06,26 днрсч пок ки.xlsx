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 ПОКОМ КИ\"/>
    </mc:Choice>
  </mc:AlternateContent>
  <xr:revisionPtr revIDLastSave="0" documentId="13_ncr:1_{FAA114D9-B50A-4C6C-BC8A-17CBC722F9C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Sheet!$A$3:$AF$117</definedName>
  </definedNames>
  <calcPr calcId="191029"/>
</workbook>
</file>

<file path=xl/calcChain.xml><?xml version="1.0" encoding="utf-8"?>
<calcChain xmlns="http://schemas.openxmlformats.org/spreadsheetml/2006/main">
  <c r="AF117" i="1" l="1"/>
  <c r="M117" i="1"/>
  <c r="S117" i="1" s="1"/>
  <c r="L117" i="1"/>
  <c r="M116" i="1"/>
  <c r="S116" i="1" s="1"/>
  <c r="L116" i="1"/>
  <c r="AF115" i="1"/>
  <c r="M115" i="1"/>
  <c r="S115" i="1" s="1"/>
  <c r="L115" i="1"/>
  <c r="M114" i="1"/>
  <c r="S114" i="1" s="1"/>
  <c r="L114" i="1"/>
  <c r="M113" i="1"/>
  <c r="S113" i="1" s="1"/>
  <c r="L113" i="1"/>
  <c r="AF112" i="1"/>
  <c r="M112" i="1"/>
  <c r="S112" i="1" s="1"/>
  <c r="L112" i="1"/>
  <c r="AF111" i="1"/>
  <c r="F111" i="1"/>
  <c r="E111" i="1"/>
  <c r="M111" i="1" s="1"/>
  <c r="S111" i="1" s="1"/>
  <c r="AF110" i="1"/>
  <c r="M110" i="1"/>
  <c r="S110" i="1" s="1"/>
  <c r="L110" i="1"/>
  <c r="M109" i="1"/>
  <c r="S109" i="1" s="1"/>
  <c r="L109" i="1"/>
  <c r="AF108" i="1"/>
  <c r="M108" i="1"/>
  <c r="S108" i="1" s="1"/>
  <c r="L108" i="1"/>
  <c r="AF107" i="1"/>
  <c r="M107" i="1"/>
  <c r="S107" i="1" s="1"/>
  <c r="L107" i="1"/>
  <c r="AF106" i="1"/>
  <c r="M106" i="1"/>
  <c r="S106" i="1" s="1"/>
  <c r="L106" i="1"/>
  <c r="AF105" i="1"/>
  <c r="M105" i="1"/>
  <c r="S105" i="1" s="1"/>
  <c r="L105" i="1"/>
  <c r="AF104" i="1"/>
  <c r="M104" i="1"/>
  <c r="S104" i="1" s="1"/>
  <c r="L104" i="1"/>
  <c r="AF103" i="1"/>
  <c r="M103" i="1"/>
  <c r="S103" i="1" s="1"/>
  <c r="L103" i="1"/>
  <c r="M102" i="1"/>
  <c r="S102" i="1" s="1"/>
  <c r="L102" i="1"/>
  <c r="M101" i="1"/>
  <c r="S101" i="1" s="1"/>
  <c r="T101" i="1" s="1"/>
  <c r="L101" i="1"/>
  <c r="M100" i="1"/>
  <c r="S100" i="1" s="1"/>
  <c r="L100" i="1"/>
  <c r="AF99" i="1"/>
  <c r="M99" i="1"/>
  <c r="S99" i="1" s="1"/>
  <c r="L99" i="1"/>
  <c r="M98" i="1"/>
  <c r="S98" i="1" s="1"/>
  <c r="L98" i="1"/>
  <c r="AF97" i="1"/>
  <c r="M97" i="1"/>
  <c r="S97" i="1" s="1"/>
  <c r="L97" i="1"/>
  <c r="AF96" i="1"/>
  <c r="M96" i="1"/>
  <c r="S96" i="1" s="1"/>
  <c r="W96" i="1" s="1"/>
  <c r="L96" i="1"/>
  <c r="AF95" i="1"/>
  <c r="M95" i="1"/>
  <c r="S95" i="1" s="1"/>
  <c r="L95" i="1"/>
  <c r="M94" i="1"/>
  <c r="S94" i="1" s="1"/>
  <c r="X94" i="1" s="1"/>
  <c r="L94" i="1"/>
  <c r="AF93" i="1"/>
  <c r="M93" i="1"/>
  <c r="S93" i="1" s="1"/>
  <c r="L93" i="1"/>
  <c r="M92" i="1"/>
  <c r="S92" i="1" s="1"/>
  <c r="L92" i="1"/>
  <c r="M91" i="1"/>
  <c r="S91" i="1" s="1"/>
  <c r="X91" i="1" s="1"/>
  <c r="L91" i="1"/>
  <c r="M90" i="1"/>
  <c r="S90" i="1" s="1"/>
  <c r="T90" i="1" s="1"/>
  <c r="L90" i="1"/>
  <c r="AF89" i="1"/>
  <c r="M89" i="1"/>
  <c r="S89" i="1" s="1"/>
  <c r="L89" i="1"/>
  <c r="M88" i="1"/>
  <c r="S88" i="1" s="1"/>
  <c r="X88" i="1" s="1"/>
  <c r="L88" i="1"/>
  <c r="M87" i="1"/>
  <c r="S87" i="1" s="1"/>
  <c r="X87" i="1" s="1"/>
  <c r="L87" i="1"/>
  <c r="M86" i="1"/>
  <c r="S86" i="1" s="1"/>
  <c r="T86" i="1" s="1"/>
  <c r="L86" i="1"/>
  <c r="AF85" i="1"/>
  <c r="M85" i="1"/>
  <c r="S85" i="1" s="1"/>
  <c r="L85" i="1"/>
  <c r="AF84" i="1"/>
  <c r="M84" i="1"/>
  <c r="S84" i="1" s="1"/>
  <c r="L84" i="1"/>
  <c r="M83" i="1"/>
  <c r="S83" i="1" s="1"/>
  <c r="L83" i="1"/>
  <c r="AF82" i="1"/>
  <c r="M82" i="1"/>
  <c r="S82" i="1" s="1"/>
  <c r="L82" i="1"/>
  <c r="AF81" i="1"/>
  <c r="M81" i="1"/>
  <c r="S81" i="1" s="1"/>
  <c r="L81" i="1"/>
  <c r="AF80" i="1"/>
  <c r="M80" i="1"/>
  <c r="S80" i="1" s="1"/>
  <c r="L80" i="1"/>
  <c r="M79" i="1"/>
  <c r="S79" i="1" s="1"/>
  <c r="T79" i="1" s="1"/>
  <c r="L79" i="1"/>
  <c r="AF78" i="1"/>
  <c r="M78" i="1"/>
  <c r="S78" i="1" s="1"/>
  <c r="L78" i="1"/>
  <c r="M77" i="1"/>
  <c r="S77" i="1" s="1"/>
  <c r="L77" i="1"/>
  <c r="M76" i="1"/>
  <c r="S76" i="1" s="1"/>
  <c r="T76" i="1" s="1"/>
  <c r="L76" i="1"/>
  <c r="M75" i="1"/>
  <c r="S75" i="1" s="1"/>
  <c r="L75" i="1"/>
  <c r="AF74" i="1"/>
  <c r="M74" i="1"/>
  <c r="S74" i="1" s="1"/>
  <c r="L74" i="1"/>
  <c r="M73" i="1"/>
  <c r="S73" i="1" s="1"/>
  <c r="X73" i="1" s="1"/>
  <c r="L73" i="1"/>
  <c r="AF72" i="1"/>
  <c r="M72" i="1"/>
  <c r="S72" i="1" s="1"/>
  <c r="L72" i="1"/>
  <c r="AF71" i="1"/>
  <c r="M71" i="1"/>
  <c r="S71" i="1" s="1"/>
  <c r="L71" i="1"/>
  <c r="M70" i="1"/>
  <c r="S70" i="1" s="1"/>
  <c r="L70" i="1"/>
  <c r="AF69" i="1"/>
  <c r="M69" i="1"/>
  <c r="S69" i="1" s="1"/>
  <c r="L69" i="1"/>
  <c r="M68" i="1"/>
  <c r="S68" i="1" s="1"/>
  <c r="L68" i="1"/>
  <c r="M67" i="1"/>
  <c r="S67" i="1" s="1"/>
  <c r="L67" i="1"/>
  <c r="M66" i="1"/>
  <c r="S66" i="1" s="1"/>
  <c r="L66" i="1"/>
  <c r="AF65" i="1"/>
  <c r="M65" i="1"/>
  <c r="S65" i="1" s="1"/>
  <c r="L65" i="1"/>
  <c r="AF64" i="1"/>
  <c r="M64" i="1"/>
  <c r="S64" i="1" s="1"/>
  <c r="W64" i="1" s="1"/>
  <c r="L64" i="1"/>
  <c r="M63" i="1"/>
  <c r="S63" i="1" s="1"/>
  <c r="T63" i="1" s="1"/>
  <c r="L63" i="1"/>
  <c r="M62" i="1"/>
  <c r="S62" i="1" s="1"/>
  <c r="L62" i="1"/>
  <c r="AF61" i="1"/>
  <c r="M61" i="1"/>
  <c r="S61" i="1" s="1"/>
  <c r="X61" i="1" s="1"/>
  <c r="L61" i="1"/>
  <c r="M60" i="1"/>
  <c r="S60" i="1" s="1"/>
  <c r="L60" i="1"/>
  <c r="AF59" i="1"/>
  <c r="M59" i="1"/>
  <c r="S59" i="1" s="1"/>
  <c r="L59" i="1"/>
  <c r="AF58" i="1"/>
  <c r="M58" i="1"/>
  <c r="S58" i="1" s="1"/>
  <c r="L58" i="1"/>
  <c r="AF57" i="1"/>
  <c r="M57" i="1"/>
  <c r="S57" i="1" s="1"/>
  <c r="L57" i="1"/>
  <c r="M56" i="1"/>
  <c r="S56" i="1" s="1"/>
  <c r="L56" i="1"/>
  <c r="M55" i="1"/>
  <c r="S55" i="1" s="1"/>
  <c r="L55" i="1"/>
  <c r="AF54" i="1"/>
  <c r="M54" i="1"/>
  <c r="S54" i="1" s="1"/>
  <c r="L54" i="1"/>
  <c r="AF53" i="1"/>
  <c r="M53" i="1"/>
  <c r="S53" i="1" s="1"/>
  <c r="X53" i="1" s="1"/>
  <c r="L53" i="1"/>
  <c r="M52" i="1"/>
  <c r="S52" i="1" s="1"/>
  <c r="L52" i="1"/>
  <c r="M51" i="1"/>
  <c r="S51" i="1" s="1"/>
  <c r="L51" i="1"/>
  <c r="M50" i="1"/>
  <c r="S50" i="1" s="1"/>
  <c r="X50" i="1" s="1"/>
  <c r="L50" i="1"/>
  <c r="M49" i="1"/>
  <c r="S49" i="1" s="1"/>
  <c r="L49" i="1"/>
  <c r="M48" i="1"/>
  <c r="S48" i="1" s="1"/>
  <c r="L48" i="1"/>
  <c r="M47" i="1"/>
  <c r="S47" i="1" s="1"/>
  <c r="L47" i="1"/>
  <c r="AF46" i="1"/>
  <c r="M46" i="1"/>
  <c r="S46" i="1" s="1"/>
  <c r="L46" i="1"/>
  <c r="M45" i="1"/>
  <c r="S45" i="1" s="1"/>
  <c r="L45" i="1"/>
  <c r="M44" i="1"/>
  <c r="S44" i="1" s="1"/>
  <c r="L44" i="1"/>
  <c r="M43" i="1"/>
  <c r="S43" i="1" s="1"/>
  <c r="X43" i="1" s="1"/>
  <c r="L43" i="1"/>
  <c r="M42" i="1"/>
  <c r="S42" i="1" s="1"/>
  <c r="L42" i="1"/>
  <c r="M41" i="1"/>
  <c r="S41" i="1" s="1"/>
  <c r="L41" i="1"/>
  <c r="AF40" i="1"/>
  <c r="M40" i="1"/>
  <c r="S40" i="1" s="1"/>
  <c r="X40" i="1" s="1"/>
  <c r="L40" i="1"/>
  <c r="M39" i="1"/>
  <c r="S39" i="1" s="1"/>
  <c r="L39" i="1"/>
  <c r="AF38" i="1"/>
  <c r="M38" i="1"/>
  <c r="S38" i="1" s="1"/>
  <c r="L38" i="1"/>
  <c r="M37" i="1"/>
  <c r="S37" i="1" s="1"/>
  <c r="X37" i="1" s="1"/>
  <c r="L37" i="1"/>
  <c r="AF36" i="1"/>
  <c r="M36" i="1"/>
  <c r="S36" i="1" s="1"/>
  <c r="L36" i="1"/>
  <c r="AF35" i="1"/>
  <c r="M35" i="1"/>
  <c r="S35" i="1" s="1"/>
  <c r="X35" i="1" s="1"/>
  <c r="L35" i="1"/>
  <c r="M34" i="1"/>
  <c r="S34" i="1" s="1"/>
  <c r="L34" i="1"/>
  <c r="M33" i="1"/>
  <c r="S33" i="1" s="1"/>
  <c r="L33" i="1"/>
  <c r="M32" i="1"/>
  <c r="S32" i="1" s="1"/>
  <c r="L32" i="1"/>
  <c r="AF31" i="1"/>
  <c r="M31" i="1"/>
  <c r="S31" i="1" s="1"/>
  <c r="L31" i="1"/>
  <c r="M30" i="1"/>
  <c r="S30" i="1" s="1"/>
  <c r="L30" i="1"/>
  <c r="M29" i="1"/>
  <c r="S29" i="1" s="1"/>
  <c r="L29" i="1"/>
  <c r="AF28" i="1"/>
  <c r="M28" i="1"/>
  <c r="S28" i="1" s="1"/>
  <c r="L28" i="1"/>
  <c r="AF27" i="1"/>
  <c r="M27" i="1"/>
  <c r="S27" i="1" s="1"/>
  <c r="L27" i="1"/>
  <c r="AF26" i="1"/>
  <c r="M26" i="1"/>
  <c r="S26" i="1" s="1"/>
  <c r="W26" i="1" s="1"/>
  <c r="L26" i="1"/>
  <c r="M25" i="1"/>
  <c r="S25" i="1" s="1"/>
  <c r="L25" i="1"/>
  <c r="M24" i="1"/>
  <c r="S24" i="1" s="1"/>
  <c r="L24" i="1"/>
  <c r="M23" i="1"/>
  <c r="S23" i="1" s="1"/>
  <c r="L23" i="1"/>
  <c r="M22" i="1"/>
  <c r="S22" i="1" s="1"/>
  <c r="L22" i="1"/>
  <c r="M21" i="1"/>
  <c r="S21" i="1" s="1"/>
  <c r="X21" i="1" s="1"/>
  <c r="L21" i="1"/>
  <c r="AF20" i="1"/>
  <c r="M20" i="1"/>
  <c r="S20" i="1" s="1"/>
  <c r="L20" i="1"/>
  <c r="M19" i="1"/>
  <c r="S19" i="1" s="1"/>
  <c r="L19" i="1"/>
  <c r="M18" i="1"/>
  <c r="S18" i="1" s="1"/>
  <c r="X18" i="1" s="1"/>
  <c r="L18" i="1"/>
  <c r="M17" i="1"/>
  <c r="S17" i="1" s="1"/>
  <c r="L17" i="1"/>
  <c r="M16" i="1"/>
  <c r="S16" i="1" s="1"/>
  <c r="L16" i="1"/>
  <c r="M15" i="1"/>
  <c r="S15" i="1" s="1"/>
  <c r="L15" i="1"/>
  <c r="M14" i="1"/>
  <c r="S14" i="1" s="1"/>
  <c r="L14" i="1"/>
  <c r="M13" i="1"/>
  <c r="S13" i="1" s="1"/>
  <c r="T13" i="1" s="1"/>
  <c r="L13" i="1"/>
  <c r="AF12" i="1"/>
  <c r="M12" i="1"/>
  <c r="S12" i="1" s="1"/>
  <c r="L12" i="1"/>
  <c r="M11" i="1"/>
  <c r="S11" i="1" s="1"/>
  <c r="L11" i="1"/>
  <c r="AF10" i="1"/>
  <c r="M10" i="1"/>
  <c r="S10" i="1" s="1"/>
  <c r="L10" i="1"/>
  <c r="AF9" i="1"/>
  <c r="M9" i="1"/>
  <c r="S9" i="1" s="1"/>
  <c r="X9" i="1" s="1"/>
  <c r="L9" i="1"/>
  <c r="M8" i="1"/>
  <c r="S8" i="1" s="1"/>
  <c r="L8" i="1"/>
  <c r="M7" i="1"/>
  <c r="S7" i="1" s="1"/>
  <c r="L7" i="1"/>
  <c r="M6" i="1"/>
  <c r="S6" i="1" s="1"/>
  <c r="L6" i="1"/>
  <c r="AD5" i="1"/>
  <c r="AC5" i="1"/>
  <c r="AB5" i="1"/>
  <c r="AA5" i="1"/>
  <c r="Z5" i="1"/>
  <c r="Y5" i="1"/>
  <c r="U5" i="1"/>
  <c r="R5" i="1"/>
  <c r="Q5" i="1"/>
  <c r="P5" i="1"/>
  <c r="O5" i="1"/>
  <c r="N5" i="1"/>
  <c r="K5" i="1"/>
  <c r="T43" i="1" l="1"/>
  <c r="T94" i="1"/>
  <c r="T91" i="1"/>
  <c r="W111" i="1"/>
  <c r="X99" i="1"/>
  <c r="W99" i="1"/>
  <c r="W85" i="1"/>
  <c r="X85" i="1"/>
  <c r="X102" i="1"/>
  <c r="T102" i="1"/>
  <c r="W102" i="1" s="1"/>
  <c r="X23" i="1"/>
  <c r="T23" i="1"/>
  <c r="AF23" i="1" s="1"/>
  <c r="X56" i="1"/>
  <c r="T56" i="1"/>
  <c r="AF56" i="1" s="1"/>
  <c r="F5" i="1"/>
  <c r="X111" i="1"/>
  <c r="W35" i="1"/>
  <c r="T50" i="1"/>
  <c r="W50" i="1" s="1"/>
  <c r="T67" i="1"/>
  <c r="X67" i="1"/>
  <c r="X15" i="1"/>
  <c r="T15" i="1"/>
  <c r="X75" i="1"/>
  <c r="T75" i="1"/>
  <c r="X109" i="1"/>
  <c r="T109" i="1"/>
  <c r="X8" i="1"/>
  <c r="T8" i="1"/>
  <c r="T16" i="1"/>
  <c r="X16" i="1"/>
  <c r="X54" i="1"/>
  <c r="W54" i="1"/>
  <c r="X83" i="1"/>
  <c r="T83" i="1"/>
  <c r="X103" i="1"/>
  <c r="W103" i="1"/>
  <c r="W110" i="1"/>
  <c r="X110" i="1"/>
  <c r="X69" i="1"/>
  <c r="W69" i="1"/>
  <c r="X17" i="1"/>
  <c r="T17" i="1"/>
  <c r="T32" i="1"/>
  <c r="X32" i="1"/>
  <c r="T47" i="1"/>
  <c r="X47" i="1"/>
  <c r="X84" i="1"/>
  <c r="W84" i="1"/>
  <c r="W90" i="1"/>
  <c r="AF90" i="1"/>
  <c r="X97" i="1"/>
  <c r="W97" i="1"/>
  <c r="X39" i="1"/>
  <c r="T39" i="1"/>
  <c r="X55" i="1"/>
  <c r="T55" i="1"/>
  <c r="X77" i="1"/>
  <c r="T77" i="1"/>
  <c r="W104" i="1"/>
  <c r="X104" i="1"/>
  <c r="W76" i="1"/>
  <c r="AF76" i="1"/>
  <c r="X25" i="1"/>
  <c r="T25" i="1"/>
  <c r="X33" i="1"/>
  <c r="T33" i="1"/>
  <c r="X48" i="1"/>
  <c r="T48" i="1"/>
  <c r="T62" i="1"/>
  <c r="X62" i="1"/>
  <c r="X70" i="1"/>
  <c r="T70" i="1"/>
  <c r="X45" i="1"/>
  <c r="T45" i="1"/>
  <c r="X78" i="1"/>
  <c r="W78" i="1"/>
  <c r="X34" i="1"/>
  <c r="T34" i="1"/>
  <c r="X49" i="1"/>
  <c r="T49" i="1"/>
  <c r="X63" i="1"/>
  <c r="X71" i="1"/>
  <c r="W71" i="1"/>
  <c r="W105" i="1"/>
  <c r="X105" i="1"/>
  <c r="X112" i="1"/>
  <c r="W112" i="1"/>
  <c r="X19" i="1"/>
  <c r="W19" i="1"/>
  <c r="X92" i="1"/>
  <c r="T92" i="1"/>
  <c r="X106" i="1"/>
  <c r="W106" i="1"/>
  <c r="X11" i="1"/>
  <c r="T11" i="1"/>
  <c r="X27" i="1"/>
  <c r="W27" i="1"/>
  <c r="X57" i="1"/>
  <c r="W57" i="1"/>
  <c r="X93" i="1"/>
  <c r="W93" i="1"/>
  <c r="X113" i="1"/>
  <c r="T113" i="1"/>
  <c r="X42" i="1"/>
  <c r="T42" i="1"/>
  <c r="X86" i="1"/>
  <c r="X98" i="1"/>
  <c r="T98" i="1"/>
  <c r="W12" i="1"/>
  <c r="X12" i="1"/>
  <c r="X80" i="1"/>
  <c r="W80" i="1"/>
  <c r="X114" i="1"/>
  <c r="T114" i="1"/>
  <c r="W28" i="1"/>
  <c r="X28" i="1"/>
  <c r="T51" i="1"/>
  <c r="X51" i="1"/>
  <c r="W58" i="1"/>
  <c r="X58" i="1"/>
  <c r="X65" i="1"/>
  <c r="W65" i="1"/>
  <c r="X100" i="1"/>
  <c r="T100" i="1"/>
  <c r="X107" i="1"/>
  <c r="W107" i="1"/>
  <c r="T24" i="1"/>
  <c r="X24" i="1"/>
  <c r="X10" i="1"/>
  <c r="W10" i="1"/>
  <c r="T41" i="1"/>
  <c r="X41" i="1"/>
  <c r="X20" i="1"/>
  <c r="W20" i="1"/>
  <c r="X72" i="1"/>
  <c r="W72" i="1"/>
  <c r="X36" i="1"/>
  <c r="W36" i="1"/>
  <c r="X115" i="1"/>
  <c r="W115" i="1"/>
  <c r="AF79" i="1"/>
  <c r="W79" i="1"/>
  <c r="X13" i="1"/>
  <c r="X52" i="1"/>
  <c r="X81" i="1"/>
  <c r="W81" i="1"/>
  <c r="X101" i="1"/>
  <c r="X22" i="1"/>
  <c r="W22" i="1"/>
  <c r="T29" i="1"/>
  <c r="X29" i="1"/>
  <c r="T44" i="1"/>
  <c r="X44" i="1"/>
  <c r="W59" i="1"/>
  <c r="X59" i="1"/>
  <c r="X66" i="1"/>
  <c r="T66" i="1"/>
  <c r="X74" i="1"/>
  <c r="W74" i="1"/>
  <c r="X95" i="1"/>
  <c r="W95" i="1"/>
  <c r="X108" i="1"/>
  <c r="W108" i="1"/>
  <c r="X6" i="1"/>
  <c r="S5" i="1"/>
  <c r="T6" i="1"/>
  <c r="X14" i="1"/>
  <c r="T14" i="1"/>
  <c r="X116" i="1"/>
  <c r="X30" i="1"/>
  <c r="T30" i="1"/>
  <c r="X82" i="1"/>
  <c r="W82" i="1"/>
  <c r="X89" i="1"/>
  <c r="W89" i="1"/>
  <c r="T7" i="1"/>
  <c r="X7" i="1"/>
  <c r="X60" i="1"/>
  <c r="T60" i="1"/>
  <c r="X117" i="1"/>
  <c r="W117" i="1"/>
  <c r="W31" i="1"/>
  <c r="X31" i="1"/>
  <c r="W38" i="1"/>
  <c r="X38" i="1"/>
  <c r="W46" i="1"/>
  <c r="X46" i="1"/>
  <c r="T68" i="1"/>
  <c r="X68" i="1"/>
  <c r="W9" i="1"/>
  <c r="W40" i="1"/>
  <c r="W56" i="1"/>
  <c r="T87" i="1"/>
  <c r="X96" i="1"/>
  <c r="X76" i="1"/>
  <c r="W53" i="1"/>
  <c r="X26" i="1"/>
  <c r="X90" i="1"/>
  <c r="M5" i="1"/>
  <c r="T37" i="1"/>
  <c r="W61" i="1"/>
  <c r="W18" i="1"/>
  <c r="X79" i="1"/>
  <c r="E5" i="1"/>
  <c r="T21" i="1"/>
  <c r="T88" i="1"/>
  <c r="T73" i="1"/>
  <c r="X64" i="1"/>
  <c r="L111" i="1"/>
  <c r="L5" i="1" s="1"/>
  <c r="AF102" i="1" l="1"/>
  <c r="W23" i="1"/>
  <c r="AF50" i="1"/>
  <c r="W91" i="1"/>
  <c r="AF91" i="1"/>
  <c r="W77" i="1"/>
  <c r="AF77" i="1"/>
  <c r="AF55" i="1"/>
  <c r="W55" i="1"/>
  <c r="W41" i="1"/>
  <c r="AF41" i="1"/>
  <c r="AF45" i="1"/>
  <c r="W45" i="1"/>
  <c r="AF39" i="1"/>
  <c r="W39" i="1"/>
  <c r="AF83" i="1"/>
  <c r="W83" i="1"/>
  <c r="AF11" i="1"/>
  <c r="W11" i="1"/>
  <c r="AF70" i="1"/>
  <c r="W70" i="1"/>
  <c r="AF98" i="1"/>
  <c r="W98" i="1"/>
  <c r="AF24" i="1"/>
  <c r="W24" i="1"/>
  <c r="AF88" i="1"/>
  <c r="W88" i="1"/>
  <c r="AF21" i="1"/>
  <c r="W21" i="1"/>
  <c r="AF86" i="1"/>
  <c r="W86" i="1"/>
  <c r="W62" i="1"/>
  <c r="AF62" i="1"/>
  <c r="W16" i="1"/>
  <c r="AF16" i="1"/>
  <c r="AF92" i="1"/>
  <c r="W92" i="1"/>
  <c r="W48" i="1"/>
  <c r="AF48" i="1"/>
  <c r="AF8" i="1"/>
  <c r="W8" i="1"/>
  <c r="W13" i="1"/>
  <c r="AF13" i="1"/>
  <c r="AF100" i="1"/>
  <c r="W100" i="1"/>
  <c r="AF42" i="1"/>
  <c r="W42" i="1"/>
  <c r="AF30" i="1"/>
  <c r="W30" i="1"/>
  <c r="AF116" i="1"/>
  <c r="W116" i="1"/>
  <c r="AF101" i="1"/>
  <c r="W101" i="1"/>
  <c r="AF33" i="1"/>
  <c r="W33" i="1"/>
  <c r="AF109" i="1"/>
  <c r="W109" i="1"/>
  <c r="W113" i="1"/>
  <c r="AF113" i="1"/>
  <c r="AF47" i="1"/>
  <c r="W47" i="1"/>
  <c r="AF43" i="1"/>
  <c r="W43" i="1"/>
  <c r="AF25" i="1"/>
  <c r="W25" i="1"/>
  <c r="AF75" i="1"/>
  <c r="W75" i="1"/>
  <c r="AF52" i="1"/>
  <c r="W52" i="1"/>
  <c r="AF63" i="1"/>
  <c r="W63" i="1"/>
  <c r="AF32" i="1"/>
  <c r="W32" i="1"/>
  <c r="W44" i="1"/>
  <c r="AF44" i="1"/>
  <c r="AF29" i="1"/>
  <c r="W29" i="1"/>
  <c r="AF14" i="1"/>
  <c r="W14" i="1"/>
  <c r="AF17" i="1"/>
  <c r="W17" i="1"/>
  <c r="W15" i="1"/>
  <c r="AF15" i="1"/>
  <c r="W114" i="1"/>
  <c r="AF114" i="1"/>
  <c r="T5" i="1"/>
  <c r="AF6" i="1"/>
  <c r="W6" i="1"/>
  <c r="AF49" i="1"/>
  <c r="W49" i="1"/>
  <c r="W68" i="1"/>
  <c r="AF68" i="1"/>
  <c r="AF60" i="1"/>
  <c r="W60" i="1"/>
  <c r="AF66" i="1"/>
  <c r="W66" i="1"/>
  <c r="AF87" i="1"/>
  <c r="W87" i="1"/>
  <c r="AF51" i="1"/>
  <c r="W51" i="1"/>
  <c r="AF37" i="1"/>
  <c r="W37" i="1"/>
  <c r="W7" i="1"/>
  <c r="AF7" i="1"/>
  <c r="AF73" i="1"/>
  <c r="W73" i="1"/>
  <c r="AF94" i="1"/>
  <c r="W94" i="1"/>
  <c r="AF34" i="1"/>
  <c r="W34" i="1"/>
  <c r="AF67" i="1"/>
  <c r="W67" i="1"/>
  <c r="AF5" i="1" l="1"/>
</calcChain>
</file>

<file path=xl/sharedStrings.xml><?xml version="1.0" encoding="utf-8"?>
<sst xmlns="http://schemas.openxmlformats.org/spreadsheetml/2006/main" count="414" uniqueCount="270">
  <si>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</si>
  <si>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</si>
  <si>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</si>
  <si>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</si>
  <si>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</si>
  <si>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</si>
  <si>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</si>
  <si>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</si>
  <si>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</si>
  <si>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</si>
  <si>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</si>
  <si>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</si>
  <si>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</si>
  <si>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</si>
  <si>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</si>
  <si>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</si>
  <si>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</si>
  <si>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</si>
  <si>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</si>
  <si>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</si>
  <si>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</si>
  <si>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</si>
  <si>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</si>
  <si>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</si>
  <si>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28,06,</t>
  </si>
  <si>
    <t>29,06,</t>
  </si>
  <si>
    <t>29,06,(2)</t>
  </si>
  <si>
    <t>30,06,</t>
  </si>
  <si>
    <t>25,06,</t>
  </si>
  <si>
    <t>23,06,</t>
  </si>
  <si>
    <t>26,05,</t>
  </si>
  <si>
    <t>02,06,</t>
  </si>
  <si>
    <t>09,06,</t>
  </si>
  <si>
    <t>16,06,</t>
  </si>
  <si>
    <t xml:space="preserve"> 005  Колбаса Докторская ГОСТ, Вязанка вектор,ВЕС. ПОКОМ</t>
  </si>
  <si>
    <t>кг</t>
  </si>
  <si>
    <t>P003011</t>
  </si>
  <si>
    <t>ТМА ПРОДОЛЖЕНИЕ Апрель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</si>
  <si>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</si>
  <si>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</si>
  <si>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</si>
  <si>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</si>
  <si>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</si>
  <si>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</si>
  <si>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P003008</t>
  </si>
  <si>
    <t xml:space="preserve"> 030  Сосиски Вязанка Молочные, Вязанка вискофан МГС, 0.45кг, ПОКОМ</t>
  </si>
  <si>
    <t>P003985</t>
  </si>
  <si>
    <t>Мера</t>
  </si>
  <si>
    <t xml:space="preserve"> 032  Сосиски Вязанка Сливочные, Вязанка амицел МГС, 0.45кг, ПОКОМ</t>
  </si>
  <si>
    <t>P003989</t>
  </si>
  <si>
    <t>зв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</si>
  <si>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</si>
  <si>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</si>
  <si>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</si>
  <si>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</si>
  <si>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</si>
  <si>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</si>
  <si>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>Макс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</si>
  <si>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</si>
  <si>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</si>
  <si>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</si>
  <si>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</si>
  <si>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</si>
  <si>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</si>
  <si>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</si>
  <si>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</si>
  <si>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</si>
  <si>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</si>
  <si>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</si>
  <si>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</si>
  <si>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</si>
  <si>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</si>
  <si>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</si>
  <si>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>ТМА Апрель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</si>
  <si>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</si>
  <si>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</si>
  <si>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</si>
  <si>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</si>
  <si>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</si>
  <si>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</si>
  <si>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</si>
  <si>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</si>
  <si>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</si>
  <si>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>ТМА ПРОДОЛЖЕНИЕ МАРТ</t>
  </si>
  <si>
    <t xml:space="preserve"> 244  Колбаса Сервелат Кремлевский, ВЕС. ПОКОМ</t>
  </si>
  <si>
    <t>P003013</t>
  </si>
  <si>
    <t xml:space="preserve"> 250  Сардельки стародворские с говядиной в обол. NDX, ВЕС. ПОКОМ</t>
  </si>
  <si>
    <t>P002536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</si>
  <si>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</si>
  <si>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</si>
  <si>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</si>
  <si>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</si>
  <si>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</si>
  <si>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</si>
  <si>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</si>
  <si>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</si>
  <si>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</si>
  <si>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</si>
  <si>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</si>
  <si>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</si>
  <si>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</si>
  <si>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</si>
  <si>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</si>
  <si>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</si>
  <si>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</si>
  <si>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</si>
  <si>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</si>
  <si>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</si>
  <si>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</si>
  <si>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</si>
  <si>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</si>
  <si>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</si>
  <si>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</si>
  <si>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</si>
  <si>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</si>
  <si>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</si>
  <si>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</si>
  <si>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</si>
  <si>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</si>
  <si>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</si>
  <si>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</si>
  <si>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</si>
  <si>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</si>
  <si>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</si>
  <si>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329  Сардельки Сочинки с сыром Стародворье ТМ, 0,4 кг. ПОКОМ</t>
  </si>
  <si>
    <t>P003961</t>
  </si>
  <si>
    <t>ТМА декабрь_январь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</si>
  <si>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</si>
  <si>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</si>
  <si>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</si>
  <si>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</si>
  <si>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</si>
  <si>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</si>
  <si>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</si>
  <si>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</si>
  <si>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>нужно увеличить продажи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</si>
  <si>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</si>
  <si>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</si>
  <si>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</si>
  <si>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</si>
  <si>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</si>
  <si>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</si>
  <si>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</si>
  <si>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</si>
  <si>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</si>
  <si>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</si>
  <si>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</si>
  <si>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</si>
  <si>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</si>
  <si>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</si>
  <si>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</si>
  <si>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</si>
  <si>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</si>
  <si>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</si>
  <si>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ТМА ПРОДОЛЖЕНИЕ Апрель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</si>
  <si>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</si>
  <si>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</si>
  <si>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</si>
  <si>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</si>
  <si>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</si>
  <si>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</si>
  <si>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</si>
  <si>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</si>
  <si>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>остатки?</t>
  </si>
  <si>
    <t xml:space="preserve"> 394 Колбаса полукопченая Аль-Ислами халяль ТМ Вязанка оболочка фиброуз в в/у 0,35 кг  ПОКОМ</t>
  </si>
  <si>
    <t>P003439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</si>
  <si>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</si>
  <si>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</si>
  <si>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</si>
  <si>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</si>
  <si>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</si>
  <si>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</si>
  <si>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</si>
  <si>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</si>
  <si>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</si>
  <si>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</si>
  <si>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>новинка / ТМА февраль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</si>
  <si>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</si>
  <si>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</si>
  <si>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</si>
  <si>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</si>
  <si>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>0 заявок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</si>
  <si>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</si>
  <si>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</si>
  <si>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449  Колбаса Дугушка Стародворская ВЕС ТС Дугушка ПОКОМ</t>
  </si>
  <si>
    <t>P002989</t>
  </si>
  <si>
    <t xml:space="preserve"> 451 Сосиски Филейские ТМ Вязанка в оболочке целлофан 0,3 кг. ПОКОМ</t>
  </si>
  <si>
    <t>P004554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</si>
  <si>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</si>
  <si>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</si>
  <si>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</si>
  <si>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</si>
  <si>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</si>
  <si>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</si>
  <si>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</si>
  <si>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463  Колбаса Молочная Традиционнаяв оболочке полиамид.ТМ Стародворье. ВЕС ПОКОМ</t>
  </si>
  <si>
    <t>P005138</t>
  </si>
  <si>
    <t>нет в бланке</t>
  </si>
  <si>
    <t xml:space="preserve"> 485  Колбаса Молочная по-стародворски ТМ Стародворье в оболочке полиамид. ВЕС ПОКОМ </t>
  </si>
  <si>
    <t>нужно увеличить продажи!!!</t>
  </si>
  <si>
    <t xml:space="preserve"> 498  Колбаса Сочинка рубленая с сочным окороком 0,3кг ТМ Стародворье  ПОКОМ</t>
  </si>
  <si>
    <t>P003390</t>
  </si>
  <si>
    <t>ТМА февраль</t>
  </si>
  <si>
    <t xml:space="preserve"> 517  Сосиски С сыром ТМ Ядрена копоть 0,3кг  ПОКОМ</t>
  </si>
  <si>
    <t>P004642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</si>
  <si>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</si>
  <si>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</si>
  <si>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</si>
  <si>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</si>
  <si>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</si>
  <si>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</si>
  <si>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</si>
  <si>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</si>
  <si>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</si>
  <si>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</si>
  <si>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 xml:space="preserve"> 530  Окорок Хамон выдержанный нарезка 0,055кг ТМ Стародворье  ПОКОМ</t>
  </si>
  <si>
    <t>P005021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</si>
  <si>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</si>
  <si>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</si>
  <si>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</si>
  <si>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</si>
  <si>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551  Колбаса Сливушка ТМ Вязанка в модифицированной газовой среде 0,11 кг нарезка  ПОКОМ</t>
  </si>
  <si>
    <t>P004758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</si>
  <si>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</si>
  <si>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</si>
  <si>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</si>
  <si>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</si>
  <si>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</si>
  <si>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</si>
  <si>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</si>
  <si>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</si>
  <si>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</si>
  <si>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</si>
  <si>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</si>
  <si>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</si>
  <si>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564  Сосиски Сочные 0,3 кг ТМ Вязанка  ПОКОМ</t>
  </si>
  <si>
    <t>P005187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</si>
  <si>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</si>
  <si>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</si>
  <si>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</si>
  <si>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</si>
  <si>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</si>
  <si>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</si>
  <si>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</si>
  <si>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</si>
  <si>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</si>
  <si>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</si>
  <si>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</si>
  <si>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</si>
  <si>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</si>
  <si>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</si>
  <si>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</si>
  <si>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P004212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</si>
  <si>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</si>
  <si>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</si>
  <si>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</si>
  <si>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</si>
  <si>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</si>
  <si>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</si>
  <si>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</si>
  <si>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</si>
  <si>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</si>
  <si>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</si>
  <si>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</si>
  <si>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</si>
  <si>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</si>
  <si>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</si>
  <si>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</si>
  <si>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</si>
  <si>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Колбаса Молочная Стародворская ТВ Стародворье ВЕС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</si>
</sst>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1" fillId="7" borderId="1" xfId="1" applyNumberFormat="1" applyFill="1"/>
    <xf numFmtId="164" fontId="5" fillId="7" borderId="1" xfId="1" applyNumberFormat="1" applyFont="1" applyFill="1"/>
    <xf numFmtId="164" fontId="6" fillId="8" borderId="1" xfId="1" applyNumberFormat="1" applyFont="1" applyFill="1"/>
    <xf numFmtId="164" fontId="1" fillId="5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6" sqref="V6"/>
    </sheetView>
  </sheetViews>
  <sheetFormatPr defaultRowHeight="15" x14ac:dyDescent="0.25"/>
  <cols>
    <col min="1" max="1" width="60" customWidth="1"/>
    <col min="2" max="2" width="3" customWidth="1"/>
    <col min="3" max="3" width="6" customWidth="1"/>
    <col min="4" max="4" width="6.5703125" customWidth="1"/>
    <col min="5" max="6" width="7" customWidth="1"/>
    <col min="7" max="7" width="5" style="6" customWidth="1"/>
    <col min="8" max="8" width="5" customWidth="1"/>
    <col min="9" max="9" width="9.28515625" customWidth="1"/>
    <col min="10" max="10" width="1" customWidth="1"/>
    <col min="11" max="21" width="7" customWidth="1"/>
    <col min="22" max="22" width="21" customWidth="1"/>
    <col min="23" max="24" width="5" customWidth="1"/>
    <col min="25" max="30" width="7.140625" customWidth="1"/>
    <col min="31" max="31" width="28.140625" customWidth="1"/>
    <col min="32" max="32" width="7" customWidth="1"/>
    <col min="33" max="50" width="8" customWidth="1"/>
  </cols>
  <sheetData>
    <row r="1" spans="1:50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7" t="s">
        <v>17</v>
      </c>
      <c r="V3" s="7" t="s">
        <v>18</v>
      </c>
      <c r="W3" s="2" t="s">
        <v>19</v>
      </c>
      <c r="X3" s="2" t="s">
        <v>20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22</v>
      </c>
      <c r="AF3" s="2" t="s">
        <v>23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 t="s">
        <v>27</v>
      </c>
      <c r="T4" s="1"/>
      <c r="U4" s="1"/>
      <c r="V4" s="1"/>
      <c r="W4" s="1"/>
      <c r="X4" s="1"/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77476.842999999964</v>
      </c>
      <c r="F5" s="4">
        <f>SUM(F6:F500)</f>
        <v>71896.687999999995</v>
      </c>
      <c r="G5" s="8"/>
      <c r="H5" s="1"/>
      <c r="I5" s="1"/>
      <c r="J5" s="1"/>
      <c r="K5" s="4">
        <f t="shared" ref="K5:U5" si="0">SUM(K6:K500)</f>
        <v>82685.883000000016</v>
      </c>
      <c r="L5" s="4">
        <f t="shared" si="0"/>
        <v>-5209.0399999999954</v>
      </c>
      <c r="M5" s="4">
        <f t="shared" si="0"/>
        <v>74791.973999999973</v>
      </c>
      <c r="N5" s="4">
        <f t="shared" si="0"/>
        <v>2684.8689999999997</v>
      </c>
      <c r="O5" s="4">
        <f t="shared" si="0"/>
        <v>17669.553862987996</v>
      </c>
      <c r="P5" s="4">
        <f t="shared" si="0"/>
        <v>20469.787710965778</v>
      </c>
      <c r="Q5" s="4">
        <f t="shared" si="0"/>
        <v>16314.300371658235</v>
      </c>
      <c r="R5" s="4">
        <f t="shared" si="0"/>
        <v>9000</v>
      </c>
      <c r="S5" s="4">
        <f t="shared" si="0"/>
        <v>14958.394799999995</v>
      </c>
      <c r="T5" s="4">
        <f t="shared" si="0"/>
        <v>35199.147755216007</v>
      </c>
      <c r="U5" s="4">
        <f t="shared" si="0"/>
        <v>0</v>
      </c>
      <c r="V5" s="1"/>
      <c r="W5" s="1"/>
      <c r="X5" s="1"/>
      <c r="Y5" s="4">
        <f t="shared" ref="Y5:AD5" si="1">SUM(Y6:Y500)</f>
        <v>14635.693800000005</v>
      </c>
      <c r="Z5" s="4">
        <f t="shared" si="1"/>
        <v>14538.959799999997</v>
      </c>
      <c r="AA5" s="4">
        <f t="shared" si="1"/>
        <v>12342.7112</v>
      </c>
      <c r="AB5" s="4">
        <f t="shared" si="1"/>
        <v>13835.652000000011</v>
      </c>
      <c r="AC5" s="4">
        <f t="shared" si="1"/>
        <v>14823.319200000004</v>
      </c>
      <c r="AD5" s="4">
        <f t="shared" si="1"/>
        <v>15125.283000000014</v>
      </c>
      <c r="AE5" s="1"/>
      <c r="AF5" s="4">
        <f>SUM(AF6:AF500)</f>
        <v>30799.817338556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34</v>
      </c>
      <c r="B6" s="1" t="s">
        <v>35</v>
      </c>
      <c r="C6" s="1">
        <v>1621.5719999999999</v>
      </c>
      <c r="D6" s="1">
        <v>6851.5810000000001</v>
      </c>
      <c r="E6" s="1">
        <v>2752.28</v>
      </c>
      <c r="F6" s="1">
        <v>1912.566</v>
      </c>
      <c r="G6" s="8">
        <v>1</v>
      </c>
      <c r="H6" s="1"/>
      <c r="I6" s="1" t="s">
        <v>36</v>
      </c>
      <c r="J6" s="1"/>
      <c r="K6" s="1">
        <v>2917.308</v>
      </c>
      <c r="L6" s="1">
        <f t="shared" ref="L6:L37" si="2">E6-K6</f>
        <v>-165.02799999999979</v>
      </c>
      <c r="M6" s="1">
        <f t="shared" ref="M6:M37" si="3">E6-N6</f>
        <v>2752.28</v>
      </c>
      <c r="N6" s="1"/>
      <c r="O6" s="1">
        <v>851.00875752599973</v>
      </c>
      <c r="P6" s="1">
        <v>1053.651986921471</v>
      </c>
      <c r="Q6" s="1">
        <v>962.23925746253053</v>
      </c>
      <c r="R6" s="1"/>
      <c r="S6" s="1">
        <f t="shared" ref="S6:S37" si="4">M6/5</f>
        <v>550.45600000000002</v>
      </c>
      <c r="T6" s="5">
        <f>11*S6-R6-Q6-P6-O6-F6</f>
        <v>1275.5499980899992</v>
      </c>
      <c r="U6" s="5"/>
      <c r="V6" s="1"/>
      <c r="W6" s="1">
        <f t="shared" ref="W6:W37" si="5">(F6+O6+P6+Q6+R6+T6)/S6</f>
        <v>11</v>
      </c>
      <c r="X6" s="1">
        <f t="shared" ref="X6:X37" si="6">(F6+O6+P6+Q6+R6)/S6</f>
        <v>8.6827394049842326</v>
      </c>
      <c r="Y6" s="1">
        <v>574.12580000000003</v>
      </c>
      <c r="Z6" s="1">
        <v>568.09579999999994</v>
      </c>
      <c r="AA6" s="1">
        <v>541.78179999999998</v>
      </c>
      <c r="AB6" s="1">
        <v>554.71460000000002</v>
      </c>
      <c r="AC6" s="1">
        <v>479.79180000000002</v>
      </c>
      <c r="AD6" s="1">
        <v>563.93039999999996</v>
      </c>
      <c r="AE6" s="1" t="s">
        <v>37</v>
      </c>
      <c r="AF6" s="1">
        <f t="shared" ref="AF6:AF17" si="7">G6*T6</f>
        <v>1275.5499980899992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38</v>
      </c>
      <c r="B7" s="1" t="s">
        <v>35</v>
      </c>
      <c r="C7" s="1">
        <v>364.88400000000001</v>
      </c>
      <c r="D7" s="1">
        <v>2576.4920000000002</v>
      </c>
      <c r="E7" s="1">
        <v>955.298</v>
      </c>
      <c r="F7" s="1">
        <v>1048.5260000000001</v>
      </c>
      <c r="G7" s="8">
        <v>1</v>
      </c>
      <c r="H7" s="1"/>
      <c r="I7" s="1" t="s">
        <v>39</v>
      </c>
      <c r="J7" s="1"/>
      <c r="K7" s="1">
        <v>921.7</v>
      </c>
      <c r="L7" s="1">
        <f t="shared" si="2"/>
        <v>33.597999999999956</v>
      </c>
      <c r="M7" s="1">
        <f t="shared" si="3"/>
        <v>955.298</v>
      </c>
      <c r="N7" s="1"/>
      <c r="O7" s="1">
        <v>709.155993276</v>
      </c>
      <c r="P7" s="1">
        <v>104.9761582911695</v>
      </c>
      <c r="Q7" s="1">
        <v>95.868637708830576</v>
      </c>
      <c r="R7" s="1"/>
      <c r="S7" s="1">
        <f t="shared" si="4"/>
        <v>191.05959999999999</v>
      </c>
      <c r="T7" s="5">
        <f>11*S7-R7-Q7-P7-O7-F7</f>
        <v>143.128810724</v>
      </c>
      <c r="U7" s="5"/>
      <c r="V7" s="1"/>
      <c r="W7" s="1">
        <f t="shared" si="5"/>
        <v>11.000000000000002</v>
      </c>
      <c r="X7" s="1">
        <f t="shared" si="6"/>
        <v>10.250868259307568</v>
      </c>
      <c r="Y7" s="1">
        <v>216.93260000000001</v>
      </c>
      <c r="Z7" s="1">
        <v>206.46279999999999</v>
      </c>
      <c r="AA7" s="1">
        <v>142.0986</v>
      </c>
      <c r="AB7" s="1">
        <v>157.10640000000001</v>
      </c>
      <c r="AC7" s="1">
        <v>162.0754</v>
      </c>
      <c r="AD7" s="1">
        <v>150.274</v>
      </c>
      <c r="AE7" s="1" t="s">
        <v>37</v>
      </c>
      <c r="AF7" s="1">
        <f t="shared" si="7"/>
        <v>143.128810724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40</v>
      </c>
      <c r="B8" s="1" t="s">
        <v>35</v>
      </c>
      <c r="C8" s="1">
        <v>300.89600000000002</v>
      </c>
      <c r="D8" s="1">
        <v>9313.7990000000009</v>
      </c>
      <c r="E8" s="1">
        <v>3326.0390000000002</v>
      </c>
      <c r="F8" s="1">
        <v>2508.0729999999999</v>
      </c>
      <c r="G8" s="8">
        <v>1</v>
      </c>
      <c r="H8" s="1"/>
      <c r="I8" s="1" t="s">
        <v>41</v>
      </c>
      <c r="J8" s="1"/>
      <c r="K8" s="1">
        <v>3405.1660000000002</v>
      </c>
      <c r="L8" s="1">
        <f t="shared" si="2"/>
        <v>-79.126999999999953</v>
      </c>
      <c r="M8" s="1">
        <f t="shared" si="3"/>
        <v>2979.6970000000001</v>
      </c>
      <c r="N8" s="1">
        <v>346.34199999999998</v>
      </c>
      <c r="O8" s="1">
        <v>405.46421002800031</v>
      </c>
      <c r="P8" s="1">
        <v>1339.745724229804</v>
      </c>
      <c r="Q8" s="1">
        <v>1223.5120769221951</v>
      </c>
      <c r="R8" s="1">
        <v>1000</v>
      </c>
      <c r="S8" s="1">
        <f t="shared" si="4"/>
        <v>595.93939999999998</v>
      </c>
      <c r="T8" s="5">
        <f>11*S8-R8-Q8-P8-O8-F8</f>
        <v>78.538388820000364</v>
      </c>
      <c r="U8" s="5"/>
      <c r="V8" s="1"/>
      <c r="W8" s="1">
        <f t="shared" si="5"/>
        <v>11</v>
      </c>
      <c r="X8" s="1">
        <f t="shared" si="6"/>
        <v>10.86821077978734</v>
      </c>
      <c r="Y8" s="1">
        <v>645.5598</v>
      </c>
      <c r="Z8" s="1">
        <v>584.85239999999999</v>
      </c>
      <c r="AA8" s="1">
        <v>581.0992</v>
      </c>
      <c r="AB8" s="1">
        <v>595.59080000000006</v>
      </c>
      <c r="AC8" s="1">
        <v>611.73599999999999</v>
      </c>
      <c r="AD8" s="1">
        <v>646.25780000000009</v>
      </c>
      <c r="AE8" s="1" t="s">
        <v>37</v>
      </c>
      <c r="AF8" s="1">
        <f t="shared" si="7"/>
        <v>78.538388820000364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42</v>
      </c>
      <c r="B9" s="1" t="s">
        <v>43</v>
      </c>
      <c r="C9" s="1">
        <v>1</v>
      </c>
      <c r="D9" s="1">
        <v>16</v>
      </c>
      <c r="E9" s="1">
        <v>1</v>
      </c>
      <c r="F9" s="1"/>
      <c r="G9" s="8">
        <v>0.4</v>
      </c>
      <c r="H9" s="1"/>
      <c r="I9" s="1" t="s">
        <v>44</v>
      </c>
      <c r="J9" s="1"/>
      <c r="K9" s="1">
        <v>1</v>
      </c>
      <c r="L9" s="1">
        <f t="shared" si="2"/>
        <v>0</v>
      </c>
      <c r="M9" s="1">
        <f t="shared" si="3"/>
        <v>1</v>
      </c>
      <c r="N9" s="1"/>
      <c r="O9" s="1"/>
      <c r="P9" s="1">
        <v>29.4</v>
      </c>
      <c r="Q9" s="1"/>
      <c r="R9" s="1"/>
      <c r="S9" s="1">
        <f t="shared" si="4"/>
        <v>0.2</v>
      </c>
      <c r="T9" s="5"/>
      <c r="U9" s="5"/>
      <c r="V9" s="1"/>
      <c r="W9" s="1">
        <f t="shared" si="5"/>
        <v>146.99999999999997</v>
      </c>
      <c r="X9" s="1">
        <f t="shared" si="6"/>
        <v>146.99999999999997</v>
      </c>
      <c r="Y9" s="1">
        <v>4.2</v>
      </c>
      <c r="Z9" s="1">
        <v>5.8</v>
      </c>
      <c r="AA9" s="1">
        <v>4.4000000000000004</v>
      </c>
      <c r="AB9" s="1">
        <v>4.4000000000000004</v>
      </c>
      <c r="AC9" s="1">
        <v>2</v>
      </c>
      <c r="AD9" s="1">
        <v>3.2</v>
      </c>
      <c r="AE9" s="1"/>
      <c r="AF9" s="1">
        <f t="shared" si="7"/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45</v>
      </c>
      <c r="B10" s="1" t="s">
        <v>43</v>
      </c>
      <c r="C10" s="1">
        <v>1485</v>
      </c>
      <c r="D10" s="1">
        <v>9211</v>
      </c>
      <c r="E10" s="1">
        <v>1638</v>
      </c>
      <c r="F10" s="1">
        <v>2025</v>
      </c>
      <c r="G10" s="8">
        <v>0.45</v>
      </c>
      <c r="H10" s="1"/>
      <c r="I10" s="1" t="s">
        <v>46</v>
      </c>
      <c r="J10" s="1"/>
      <c r="K10" s="1">
        <v>1805</v>
      </c>
      <c r="L10" s="1">
        <f t="shared" si="2"/>
        <v>-167</v>
      </c>
      <c r="M10" s="1">
        <f t="shared" si="3"/>
        <v>1638</v>
      </c>
      <c r="N10" s="1"/>
      <c r="O10" s="1">
        <v>742.10263200000031</v>
      </c>
      <c r="P10" s="1">
        <v>512.32969134128871</v>
      </c>
      <c r="Q10" s="1">
        <v>467.88099665871113</v>
      </c>
      <c r="R10" s="1"/>
      <c r="S10" s="1">
        <f t="shared" si="4"/>
        <v>327.60000000000002</v>
      </c>
      <c r="T10" s="5"/>
      <c r="U10" s="5"/>
      <c r="V10" s="1"/>
      <c r="W10" s="1">
        <f t="shared" si="5"/>
        <v>11.438685347985347</v>
      </c>
      <c r="X10" s="1">
        <f t="shared" si="6"/>
        <v>11.438685347985347</v>
      </c>
      <c r="Y10" s="1">
        <v>392</v>
      </c>
      <c r="Z10" s="1">
        <v>376.6</v>
      </c>
      <c r="AA10" s="1">
        <v>460</v>
      </c>
      <c r="AB10" s="1">
        <v>328.2</v>
      </c>
      <c r="AC10" s="1">
        <v>407</v>
      </c>
      <c r="AD10" s="1">
        <v>312.60000000000002</v>
      </c>
      <c r="AE10" s="1" t="s">
        <v>47</v>
      </c>
      <c r="AF10" s="1">
        <f t="shared" si="7"/>
        <v>0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48</v>
      </c>
      <c r="B11" s="1" t="s">
        <v>43</v>
      </c>
      <c r="C11" s="1">
        <v>1926.2239999999999</v>
      </c>
      <c r="D11" s="1">
        <v>13585.776</v>
      </c>
      <c r="E11" s="1">
        <v>3109</v>
      </c>
      <c r="F11" s="1">
        <v>2787</v>
      </c>
      <c r="G11" s="8">
        <v>0.45</v>
      </c>
      <c r="H11" s="1"/>
      <c r="I11" s="1" t="s">
        <v>49</v>
      </c>
      <c r="J11" s="1"/>
      <c r="K11" s="1">
        <v>3304</v>
      </c>
      <c r="L11" s="1">
        <f t="shared" si="2"/>
        <v>-195</v>
      </c>
      <c r="M11" s="1">
        <f t="shared" si="3"/>
        <v>3109</v>
      </c>
      <c r="N11" s="1"/>
      <c r="O11" s="1">
        <v>1086.98290632</v>
      </c>
      <c r="P11" s="1">
        <v>1129.102413896708</v>
      </c>
      <c r="Q11" s="1">
        <v>1031.1437569832949</v>
      </c>
      <c r="R11" s="1"/>
      <c r="S11" s="1">
        <f t="shared" si="4"/>
        <v>621.79999999999995</v>
      </c>
      <c r="T11" s="5">
        <f>11*S11-R11-Q11-P11-O11-F11</f>
        <v>805.57092279999642</v>
      </c>
      <c r="U11" s="5"/>
      <c r="V11" s="1"/>
      <c r="W11" s="1">
        <f t="shared" si="5"/>
        <v>11</v>
      </c>
      <c r="X11" s="1">
        <f t="shared" si="6"/>
        <v>9.7044533245416584</v>
      </c>
      <c r="Y11" s="1">
        <v>638.6</v>
      </c>
      <c r="Z11" s="1">
        <v>583.79999999999995</v>
      </c>
      <c r="AA11" s="1">
        <v>603.6</v>
      </c>
      <c r="AB11" s="1">
        <v>534.24919999999997</v>
      </c>
      <c r="AC11" s="1">
        <v>630.20000000000005</v>
      </c>
      <c r="AD11" s="1">
        <v>547.79999999999995</v>
      </c>
      <c r="AE11" s="1" t="s">
        <v>50</v>
      </c>
      <c r="AF11" s="1">
        <f t="shared" si="7"/>
        <v>362.50691525999838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51</v>
      </c>
      <c r="B12" s="1" t="s">
        <v>43</v>
      </c>
      <c r="C12" s="1">
        <v>201</v>
      </c>
      <c r="D12" s="1">
        <v>314</v>
      </c>
      <c r="E12" s="1">
        <v>63</v>
      </c>
      <c r="F12" s="1">
        <v>140</v>
      </c>
      <c r="G12" s="8">
        <v>0.17</v>
      </c>
      <c r="H12" s="1"/>
      <c r="I12" s="1" t="s">
        <v>52</v>
      </c>
      <c r="J12" s="1"/>
      <c r="K12" s="1">
        <v>66</v>
      </c>
      <c r="L12" s="1">
        <f t="shared" si="2"/>
        <v>-3</v>
      </c>
      <c r="M12" s="1">
        <f t="shared" si="3"/>
        <v>63</v>
      </c>
      <c r="N12" s="1"/>
      <c r="O12" s="1"/>
      <c r="P12" s="1">
        <v>48</v>
      </c>
      <c r="Q12" s="1"/>
      <c r="R12" s="1"/>
      <c r="S12" s="1">
        <f t="shared" si="4"/>
        <v>12.6</v>
      </c>
      <c r="T12" s="5"/>
      <c r="U12" s="5"/>
      <c r="V12" s="1"/>
      <c r="W12" s="1">
        <f t="shared" si="5"/>
        <v>14.920634920634921</v>
      </c>
      <c r="X12" s="1">
        <f t="shared" si="6"/>
        <v>14.920634920634921</v>
      </c>
      <c r="Y12" s="1">
        <v>17</v>
      </c>
      <c r="Z12" s="1">
        <v>16.2</v>
      </c>
      <c r="AA12" s="1">
        <v>14.8</v>
      </c>
      <c r="AB12" s="1">
        <v>14.8</v>
      </c>
      <c r="AC12" s="1">
        <v>35.4</v>
      </c>
      <c r="AD12" s="1">
        <v>24.2</v>
      </c>
      <c r="AE12" s="1"/>
      <c r="AF12" s="1">
        <f t="shared" si="7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53</v>
      </c>
      <c r="B13" s="1" t="s">
        <v>43</v>
      </c>
      <c r="C13" s="1"/>
      <c r="D13" s="1">
        <v>56</v>
      </c>
      <c r="E13" s="1">
        <v>35</v>
      </c>
      <c r="F13" s="1">
        <v>5</v>
      </c>
      <c r="G13" s="8">
        <v>0.3</v>
      </c>
      <c r="H13" s="1"/>
      <c r="I13" s="1" t="s">
        <v>54</v>
      </c>
      <c r="J13" s="1"/>
      <c r="K13" s="1">
        <v>59</v>
      </c>
      <c r="L13" s="1">
        <f t="shared" si="2"/>
        <v>-24</v>
      </c>
      <c r="M13" s="1">
        <f t="shared" si="3"/>
        <v>35</v>
      </c>
      <c r="N13" s="1"/>
      <c r="O13" s="1"/>
      <c r="P13" s="1">
        <v>0</v>
      </c>
      <c r="Q13" s="1"/>
      <c r="R13" s="1"/>
      <c r="S13" s="1">
        <f t="shared" si="4"/>
        <v>7</v>
      </c>
      <c r="T13" s="5">
        <f>8*S13-R13-Q13-P13-O13-F13</f>
        <v>51</v>
      </c>
      <c r="U13" s="5"/>
      <c r="V13" s="1"/>
      <c r="W13" s="1">
        <f t="shared" si="5"/>
        <v>8</v>
      </c>
      <c r="X13" s="1">
        <f t="shared" si="6"/>
        <v>0.7142857142857143</v>
      </c>
      <c r="Y13" s="1">
        <v>1.6</v>
      </c>
      <c r="Z13" s="1">
        <v>-0.4</v>
      </c>
      <c r="AA13" s="1">
        <v>7</v>
      </c>
      <c r="AB13" s="1">
        <v>6.2</v>
      </c>
      <c r="AC13" s="1">
        <v>7.4</v>
      </c>
      <c r="AD13" s="1">
        <v>6.4</v>
      </c>
      <c r="AE13" s="1"/>
      <c r="AF13" s="1">
        <f t="shared" si="7"/>
        <v>15.299999999999999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55</v>
      </c>
      <c r="B14" s="1" t="s">
        <v>43</v>
      </c>
      <c r="C14" s="1">
        <v>95</v>
      </c>
      <c r="D14" s="1">
        <v>595</v>
      </c>
      <c r="E14" s="1">
        <v>231</v>
      </c>
      <c r="F14" s="1">
        <v>223</v>
      </c>
      <c r="G14" s="8">
        <v>0.17</v>
      </c>
      <c r="H14" s="1"/>
      <c r="I14" s="1" t="s">
        <v>56</v>
      </c>
      <c r="J14" s="1"/>
      <c r="K14" s="1">
        <v>234</v>
      </c>
      <c r="L14" s="1">
        <f t="shared" si="2"/>
        <v>-3</v>
      </c>
      <c r="M14" s="1">
        <f t="shared" si="3"/>
        <v>231</v>
      </c>
      <c r="N14" s="1"/>
      <c r="O14" s="1">
        <v>83.467314000000044</v>
      </c>
      <c r="P14" s="1">
        <v>167.994</v>
      </c>
      <c r="Q14" s="1"/>
      <c r="R14" s="1"/>
      <c r="S14" s="1">
        <f t="shared" si="4"/>
        <v>46.2</v>
      </c>
      <c r="T14" s="5">
        <f>11*S14-R14-Q14-P14-O14-F14</f>
        <v>33.738685999999973</v>
      </c>
      <c r="U14" s="5"/>
      <c r="V14" s="1"/>
      <c r="W14" s="1">
        <f t="shared" si="5"/>
        <v>10.999999999999998</v>
      </c>
      <c r="X14" s="1">
        <f t="shared" si="6"/>
        <v>10.269725411255411</v>
      </c>
      <c r="Y14" s="1">
        <v>49.6</v>
      </c>
      <c r="Z14" s="1">
        <v>43.2</v>
      </c>
      <c r="AA14" s="1">
        <v>44</v>
      </c>
      <c r="AB14" s="1">
        <v>46.6</v>
      </c>
      <c r="AC14" s="1">
        <v>48.4</v>
      </c>
      <c r="AD14" s="1">
        <v>39.6</v>
      </c>
      <c r="AE14" s="1" t="s">
        <v>57</v>
      </c>
      <c r="AF14" s="1">
        <f t="shared" si="7"/>
        <v>5.7355766199999962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58</v>
      </c>
      <c r="B15" s="1" t="s">
        <v>35</v>
      </c>
      <c r="C15" s="1">
        <v>3976.6460000000002</v>
      </c>
      <c r="D15" s="1">
        <v>9605.8539999999994</v>
      </c>
      <c r="E15" s="1">
        <v>4176.7330000000002</v>
      </c>
      <c r="F15" s="1">
        <v>2817.2330000000002</v>
      </c>
      <c r="G15" s="8">
        <v>1</v>
      </c>
      <c r="H15" s="1"/>
      <c r="I15" s="1" t="s">
        <v>59</v>
      </c>
      <c r="J15" s="1"/>
      <c r="K15" s="1">
        <v>4116.7830000000004</v>
      </c>
      <c r="L15" s="1">
        <f t="shared" si="2"/>
        <v>59.949999999999818</v>
      </c>
      <c r="M15" s="1">
        <f t="shared" si="3"/>
        <v>3889.4500000000003</v>
      </c>
      <c r="N15" s="1">
        <v>287.28300000000002</v>
      </c>
      <c r="O15" s="1">
        <v>301.01903420399958</v>
      </c>
      <c r="P15" s="1">
        <v>1693.1873235445919</v>
      </c>
      <c r="Q15" s="1">
        <v>1546.2897931914081</v>
      </c>
      <c r="R15" s="1">
        <v>1000</v>
      </c>
      <c r="S15" s="1">
        <f t="shared" si="4"/>
        <v>777.8900000000001</v>
      </c>
      <c r="T15" s="5">
        <f>11*S15-R15-Q15-P15-O15-F15</f>
        <v>1199.0608490600007</v>
      </c>
      <c r="U15" s="5"/>
      <c r="V15" s="1"/>
      <c r="W15" s="1">
        <f t="shared" si="5"/>
        <v>11</v>
      </c>
      <c r="X15" s="1">
        <f t="shared" si="6"/>
        <v>9.4585727428556723</v>
      </c>
      <c r="Y15" s="1">
        <v>793.41980000000001</v>
      </c>
      <c r="Z15" s="1">
        <v>813.2912</v>
      </c>
      <c r="AA15" s="1">
        <v>705.12139999999999</v>
      </c>
      <c r="AB15" s="1">
        <v>789.39300000000003</v>
      </c>
      <c r="AC15" s="1">
        <v>802.29679999999996</v>
      </c>
      <c r="AD15" s="1">
        <v>820.04920000000004</v>
      </c>
      <c r="AE15" s="1" t="s">
        <v>37</v>
      </c>
      <c r="AF15" s="1">
        <f t="shared" si="7"/>
        <v>1199.0608490600007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60</v>
      </c>
      <c r="B16" s="1" t="s">
        <v>35</v>
      </c>
      <c r="C16" s="1">
        <v>3451.7179999999998</v>
      </c>
      <c r="D16" s="1">
        <v>9593.768</v>
      </c>
      <c r="E16" s="1">
        <v>4733.7510000000002</v>
      </c>
      <c r="F16" s="1">
        <v>3521.5419999999999</v>
      </c>
      <c r="G16" s="8">
        <v>1</v>
      </c>
      <c r="H16" s="1"/>
      <c r="I16" s="1" t="s">
        <v>61</v>
      </c>
      <c r="J16" s="1"/>
      <c r="K16" s="1">
        <v>4852.5349999999999</v>
      </c>
      <c r="L16" s="1">
        <f t="shared" si="2"/>
        <v>-118.78399999999965</v>
      </c>
      <c r="M16" s="1">
        <f t="shared" si="3"/>
        <v>4419.402</v>
      </c>
      <c r="N16" s="1">
        <v>314.34899999999999</v>
      </c>
      <c r="O16" s="1"/>
      <c r="P16" s="1">
        <v>1620.083734522196</v>
      </c>
      <c r="Q16" s="1">
        <v>1479.5285246778039</v>
      </c>
      <c r="R16" s="1"/>
      <c r="S16" s="1">
        <f t="shared" si="4"/>
        <v>883.88040000000001</v>
      </c>
      <c r="T16" s="5">
        <f>11*S16-R16-Q16-P16-O16-F16</f>
        <v>3101.5301408</v>
      </c>
      <c r="U16" s="5"/>
      <c r="V16" s="1"/>
      <c r="W16" s="1">
        <f t="shared" si="5"/>
        <v>11</v>
      </c>
      <c r="X16" s="1">
        <f t="shared" si="6"/>
        <v>7.4910069950640379</v>
      </c>
      <c r="Y16" s="1">
        <v>762.78340000000003</v>
      </c>
      <c r="Z16" s="1">
        <v>722.84620000000007</v>
      </c>
      <c r="AA16" s="1">
        <v>706.84280000000001</v>
      </c>
      <c r="AB16" s="1">
        <v>748.38280000000009</v>
      </c>
      <c r="AC16" s="1">
        <v>655.88239999999996</v>
      </c>
      <c r="AD16" s="1">
        <v>775.13319999999999</v>
      </c>
      <c r="AE16" s="1" t="s">
        <v>37</v>
      </c>
      <c r="AF16" s="1">
        <f t="shared" si="7"/>
        <v>3101.5301408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62</v>
      </c>
      <c r="B17" s="1" t="s">
        <v>35</v>
      </c>
      <c r="C17" s="1">
        <v>149.08199999999999</v>
      </c>
      <c r="D17" s="1">
        <v>702.16600000000005</v>
      </c>
      <c r="E17" s="1">
        <v>326.71300000000002</v>
      </c>
      <c r="F17" s="1">
        <v>193.95</v>
      </c>
      <c r="G17" s="8">
        <v>1</v>
      </c>
      <c r="H17" s="1"/>
      <c r="I17" s="1" t="s">
        <v>63</v>
      </c>
      <c r="J17" s="1"/>
      <c r="K17" s="1">
        <v>321.3</v>
      </c>
      <c r="L17" s="1">
        <f t="shared" si="2"/>
        <v>5.4130000000000109</v>
      </c>
      <c r="M17" s="1">
        <f t="shared" si="3"/>
        <v>326.71300000000002</v>
      </c>
      <c r="N17" s="1"/>
      <c r="O17" s="1">
        <v>117.8332817040001</v>
      </c>
      <c r="P17" s="1">
        <v>79.452783999999667</v>
      </c>
      <c r="Q17" s="1"/>
      <c r="R17" s="1"/>
      <c r="S17" s="1">
        <f t="shared" si="4"/>
        <v>65.342600000000004</v>
      </c>
      <c r="T17" s="5">
        <f>11*S17-R17-Q17-P17-O17-F17</f>
        <v>327.53253429600039</v>
      </c>
      <c r="U17" s="5"/>
      <c r="V17" s="1"/>
      <c r="W17" s="1">
        <f t="shared" si="5"/>
        <v>11</v>
      </c>
      <c r="X17" s="1">
        <f t="shared" si="6"/>
        <v>5.9874578866466859</v>
      </c>
      <c r="Y17" s="1">
        <v>56.481399999999987</v>
      </c>
      <c r="Z17" s="1">
        <v>55.717200000000012</v>
      </c>
      <c r="AA17" s="1">
        <v>68.611000000000004</v>
      </c>
      <c r="AB17" s="1">
        <v>50.957799999999999</v>
      </c>
      <c r="AC17" s="1">
        <v>50.501199999999997</v>
      </c>
      <c r="AD17" s="1">
        <v>55.050800000000002</v>
      </c>
      <c r="AE17" s="1"/>
      <c r="AF17" s="1">
        <f t="shared" si="7"/>
        <v>327.53253429600039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2" t="s">
        <v>64</v>
      </c>
      <c r="B18" s="12" t="s">
        <v>35</v>
      </c>
      <c r="C18" s="12">
        <v>-1.7649999999999999</v>
      </c>
      <c r="D18" s="12">
        <v>1.7649999999999999</v>
      </c>
      <c r="E18" s="12"/>
      <c r="F18" s="12"/>
      <c r="G18" s="13">
        <v>0</v>
      </c>
      <c r="H18" s="12"/>
      <c r="I18" s="12"/>
      <c r="J18" s="12"/>
      <c r="K18" s="12"/>
      <c r="L18" s="12">
        <f t="shared" si="2"/>
        <v>0</v>
      </c>
      <c r="M18" s="12">
        <f t="shared" si="3"/>
        <v>0</v>
      </c>
      <c r="N18" s="12"/>
      <c r="O18" s="12"/>
      <c r="P18" s="12">
        <v>0</v>
      </c>
      <c r="Q18" s="12"/>
      <c r="R18" s="12"/>
      <c r="S18" s="12">
        <f t="shared" si="4"/>
        <v>0</v>
      </c>
      <c r="T18" s="14"/>
      <c r="U18" s="14"/>
      <c r="V18" s="12"/>
      <c r="W18" s="12" t="e">
        <f t="shared" si="5"/>
        <v>#DIV/0!</v>
      </c>
      <c r="X18" s="12" t="e">
        <f t="shared" si="6"/>
        <v>#DIV/0!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/>
      <c r="AF18" s="12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2" t="s">
        <v>65</v>
      </c>
      <c r="B19" s="12" t="s">
        <v>35</v>
      </c>
      <c r="C19" s="12">
        <v>720.61599999999999</v>
      </c>
      <c r="D19" s="12">
        <v>798.09500000000003</v>
      </c>
      <c r="E19" s="17">
        <v>753.70500000000004</v>
      </c>
      <c r="F19" s="17">
        <v>23.134</v>
      </c>
      <c r="G19" s="13">
        <v>0</v>
      </c>
      <c r="H19" s="12"/>
      <c r="I19" s="12" t="s">
        <v>66</v>
      </c>
      <c r="J19" s="12" t="s">
        <v>67</v>
      </c>
      <c r="K19" s="12">
        <v>796.3</v>
      </c>
      <c r="L19" s="12">
        <f t="shared" si="2"/>
        <v>-42.594999999999914</v>
      </c>
      <c r="M19" s="12">
        <f t="shared" si="3"/>
        <v>753.70500000000004</v>
      </c>
      <c r="N19" s="12"/>
      <c r="O19" s="12"/>
      <c r="P19" s="12">
        <v>0</v>
      </c>
      <c r="Q19" s="12"/>
      <c r="R19" s="12"/>
      <c r="S19" s="12">
        <f t="shared" si="4"/>
        <v>150.74100000000001</v>
      </c>
      <c r="T19" s="14"/>
      <c r="U19" s="14"/>
      <c r="V19" s="12"/>
      <c r="W19" s="12">
        <f t="shared" si="5"/>
        <v>0.15346853211800371</v>
      </c>
      <c r="X19" s="12">
        <f t="shared" si="6"/>
        <v>0.15346853211800371</v>
      </c>
      <c r="Y19" s="12">
        <v>185.3526</v>
      </c>
      <c r="Z19" s="12">
        <v>199.28919999999999</v>
      </c>
      <c r="AA19" s="12">
        <v>315.32100000000003</v>
      </c>
      <c r="AB19" s="12">
        <v>286.202</v>
      </c>
      <c r="AC19" s="12">
        <v>141.9708</v>
      </c>
      <c r="AD19" s="12">
        <v>164.84039999999999</v>
      </c>
      <c r="AE19" s="12" t="s">
        <v>68</v>
      </c>
      <c r="AF19" s="12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69</v>
      </c>
      <c r="B20" s="1" t="s">
        <v>35</v>
      </c>
      <c r="C20" s="1">
        <v>5.7460000000000004</v>
      </c>
      <c r="D20" s="1">
        <v>6.9790000000000001</v>
      </c>
      <c r="E20" s="1">
        <v>4.9870000000000001</v>
      </c>
      <c r="F20" s="1">
        <v>7.7380000000000004</v>
      </c>
      <c r="G20" s="8">
        <v>1</v>
      </c>
      <c r="H20" s="1"/>
      <c r="I20" s="1" t="s">
        <v>70</v>
      </c>
      <c r="J20" s="1"/>
      <c r="K20" s="1">
        <v>5.0999999999999996</v>
      </c>
      <c r="L20" s="1">
        <f t="shared" si="2"/>
        <v>-0.11299999999999955</v>
      </c>
      <c r="M20" s="1">
        <f t="shared" si="3"/>
        <v>4.9870000000000001</v>
      </c>
      <c r="N20" s="1"/>
      <c r="O20" s="1"/>
      <c r="P20" s="1">
        <v>4.8869999999999996</v>
      </c>
      <c r="Q20" s="1"/>
      <c r="R20" s="1"/>
      <c r="S20" s="1">
        <f t="shared" si="4"/>
        <v>0.99740000000000006</v>
      </c>
      <c r="T20" s="5"/>
      <c r="U20" s="5"/>
      <c r="V20" s="1"/>
      <c r="W20" s="1">
        <f t="shared" si="5"/>
        <v>12.657910567475435</v>
      </c>
      <c r="X20" s="1">
        <f t="shared" si="6"/>
        <v>12.657910567475435</v>
      </c>
      <c r="Y20" s="1">
        <v>1.117</v>
      </c>
      <c r="Z20" s="1">
        <v>0.61639999999999995</v>
      </c>
      <c r="AA20" s="1">
        <v>1.0631999999999999</v>
      </c>
      <c r="AB20" s="1">
        <v>0.13980000000000001</v>
      </c>
      <c r="AC20" s="1">
        <v>0.50239999999999996</v>
      </c>
      <c r="AD20" s="1">
        <v>1.3557999999999999</v>
      </c>
      <c r="AE20" s="1"/>
      <c r="AF20" s="1">
        <f>G20*T20</f>
        <v>0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71</v>
      </c>
      <c r="B21" s="1" t="s">
        <v>35</v>
      </c>
      <c r="C21" s="1">
        <v>4683.2020000000002</v>
      </c>
      <c r="D21" s="1">
        <v>7861.7569999999996</v>
      </c>
      <c r="E21" s="1">
        <v>4860.4719999999998</v>
      </c>
      <c r="F21" s="1">
        <v>2440.5549999999998</v>
      </c>
      <c r="G21" s="8">
        <v>1</v>
      </c>
      <c r="H21" s="1"/>
      <c r="I21" s="1" t="s">
        <v>72</v>
      </c>
      <c r="J21" s="1"/>
      <c r="K21" s="1">
        <v>4814.2550000000001</v>
      </c>
      <c r="L21" s="1">
        <f t="shared" si="2"/>
        <v>46.216999999999643</v>
      </c>
      <c r="M21" s="1">
        <f t="shared" si="3"/>
        <v>4860.4719999999998</v>
      </c>
      <c r="N21" s="1"/>
      <c r="O21" s="1">
        <v>519.22208152800022</v>
      </c>
      <c r="P21" s="1">
        <v>2078.5570351109509</v>
      </c>
      <c r="Q21" s="1">
        <v>1898.22560284105</v>
      </c>
      <c r="R21" s="1">
        <v>1000</v>
      </c>
      <c r="S21" s="1">
        <f t="shared" si="4"/>
        <v>972.09439999999995</v>
      </c>
      <c r="T21" s="5">
        <f>11*S21-R21-Q21-P21-O21-F21</f>
        <v>2756.4786805199988</v>
      </c>
      <c r="U21" s="5"/>
      <c r="V21" s="1"/>
      <c r="W21" s="1">
        <f t="shared" si="5"/>
        <v>11</v>
      </c>
      <c r="X21" s="1">
        <f t="shared" si="6"/>
        <v>8.1643919762113661</v>
      </c>
      <c r="Y21" s="1">
        <v>939.87340000000006</v>
      </c>
      <c r="Z21" s="1">
        <v>926.64840000000004</v>
      </c>
      <c r="AA21" s="1">
        <v>875.15440000000001</v>
      </c>
      <c r="AB21" s="1">
        <v>870.96839999999997</v>
      </c>
      <c r="AC21" s="1">
        <v>923.96080000000006</v>
      </c>
      <c r="AD21" s="1">
        <v>848.45480000000009</v>
      </c>
      <c r="AE21" s="1" t="s">
        <v>73</v>
      </c>
      <c r="AF21" s="1">
        <f>G21*T21</f>
        <v>2756.4786805199988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2" t="s">
        <v>74</v>
      </c>
      <c r="B22" s="12" t="s">
        <v>35</v>
      </c>
      <c r="C22" s="12">
        <v>-9.9649999999999999</v>
      </c>
      <c r="D22" s="12">
        <v>9.9649999999999999</v>
      </c>
      <c r="E22" s="12"/>
      <c r="F22" s="12"/>
      <c r="G22" s="13">
        <v>0</v>
      </c>
      <c r="H22" s="12"/>
      <c r="I22" s="12" t="s">
        <v>75</v>
      </c>
      <c r="J22" s="12" t="s">
        <v>76</v>
      </c>
      <c r="K22" s="12"/>
      <c r="L22" s="12">
        <f t="shared" si="2"/>
        <v>0</v>
      </c>
      <c r="M22" s="12">
        <f t="shared" si="3"/>
        <v>0</v>
      </c>
      <c r="N22" s="12"/>
      <c r="O22" s="12"/>
      <c r="P22" s="12">
        <v>0</v>
      </c>
      <c r="Q22" s="12"/>
      <c r="R22" s="12"/>
      <c r="S22" s="12">
        <f t="shared" si="4"/>
        <v>0</v>
      </c>
      <c r="T22" s="14"/>
      <c r="U22" s="14"/>
      <c r="V22" s="12"/>
      <c r="W22" s="12" t="e">
        <f t="shared" si="5"/>
        <v>#DIV/0!</v>
      </c>
      <c r="X22" s="12" t="e">
        <f t="shared" si="6"/>
        <v>#DIV/0!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/>
      <c r="AF22" s="1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77</v>
      </c>
      <c r="B23" s="1" t="s">
        <v>35</v>
      </c>
      <c r="C23" s="1">
        <v>165.858</v>
      </c>
      <c r="D23" s="1">
        <v>1183.3109999999999</v>
      </c>
      <c r="E23" s="1">
        <v>507.41199999999998</v>
      </c>
      <c r="F23" s="1">
        <v>431.221</v>
      </c>
      <c r="G23" s="8">
        <v>1</v>
      </c>
      <c r="H23" s="1"/>
      <c r="I23" s="1" t="s">
        <v>78</v>
      </c>
      <c r="J23" s="1"/>
      <c r="K23" s="1">
        <v>538.97</v>
      </c>
      <c r="L23" s="1">
        <f t="shared" si="2"/>
        <v>-31.55800000000005</v>
      </c>
      <c r="M23" s="1">
        <f t="shared" si="3"/>
        <v>507.41199999999998</v>
      </c>
      <c r="N23" s="1"/>
      <c r="O23" s="1">
        <v>119.46454842599999</v>
      </c>
      <c r="P23" s="1">
        <v>135.91214600000009</v>
      </c>
      <c r="Q23" s="1"/>
      <c r="R23" s="1"/>
      <c r="S23" s="1">
        <f t="shared" si="4"/>
        <v>101.4824</v>
      </c>
      <c r="T23" s="5">
        <f>11*S23-R23-Q23-P23-O23-F23</f>
        <v>429.70870557399985</v>
      </c>
      <c r="U23" s="5"/>
      <c r="V23" s="1"/>
      <c r="W23" s="1">
        <f t="shared" si="5"/>
        <v>11</v>
      </c>
      <c r="X23" s="1">
        <f t="shared" si="6"/>
        <v>6.7656824673638001</v>
      </c>
      <c r="Y23" s="1">
        <v>87.5822</v>
      </c>
      <c r="Z23" s="1">
        <v>89.291799999999995</v>
      </c>
      <c r="AA23" s="1">
        <v>91.848800000000011</v>
      </c>
      <c r="AB23" s="1">
        <v>109.9436</v>
      </c>
      <c r="AC23" s="1">
        <v>85.954800000000006</v>
      </c>
      <c r="AD23" s="1">
        <v>76.566000000000003</v>
      </c>
      <c r="AE23" s="1"/>
      <c r="AF23" s="1">
        <f t="shared" ref="AF23:AF54" si="8">G23*T23</f>
        <v>429.70870557399985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79</v>
      </c>
      <c r="B24" s="1" t="s">
        <v>35</v>
      </c>
      <c r="C24" s="1">
        <v>1127.48</v>
      </c>
      <c r="D24" s="1">
        <v>3402.8679999999999</v>
      </c>
      <c r="E24" s="1">
        <v>1561.8879999999999</v>
      </c>
      <c r="F24" s="1">
        <v>1128.463</v>
      </c>
      <c r="G24" s="8">
        <v>1</v>
      </c>
      <c r="H24" s="1"/>
      <c r="I24" s="1" t="s">
        <v>80</v>
      </c>
      <c r="J24" s="1"/>
      <c r="K24" s="1">
        <v>1537.826</v>
      </c>
      <c r="L24" s="1">
        <f t="shared" si="2"/>
        <v>24.061999999999898</v>
      </c>
      <c r="M24" s="1">
        <f t="shared" si="3"/>
        <v>1535.462</v>
      </c>
      <c r="N24" s="1">
        <v>26.425999999999998</v>
      </c>
      <c r="O24" s="1">
        <v>165.99199867199971</v>
      </c>
      <c r="P24" s="1">
        <v>495.53572957449228</v>
      </c>
      <c r="Q24" s="1">
        <v>452.5440452735088</v>
      </c>
      <c r="R24" s="1"/>
      <c r="S24" s="1">
        <f t="shared" si="4"/>
        <v>307.0924</v>
      </c>
      <c r="T24" s="5">
        <f>11*S24-R24-Q24-P24-O24-F24</f>
        <v>1135.481626479999</v>
      </c>
      <c r="U24" s="5"/>
      <c r="V24" s="1"/>
      <c r="W24" s="1">
        <f t="shared" si="5"/>
        <v>10.999999999999998</v>
      </c>
      <c r="X24" s="1">
        <f t="shared" si="6"/>
        <v>7.3024756507162039</v>
      </c>
      <c r="Y24" s="1">
        <v>271.95859999999999</v>
      </c>
      <c r="Z24" s="1">
        <v>269.67360000000002</v>
      </c>
      <c r="AA24" s="1">
        <v>231.08519999999999</v>
      </c>
      <c r="AB24" s="1">
        <v>233.071</v>
      </c>
      <c r="AC24" s="1">
        <v>257.7124</v>
      </c>
      <c r="AD24" s="1">
        <v>251.00020000000001</v>
      </c>
      <c r="AE24" s="1" t="s">
        <v>37</v>
      </c>
      <c r="AF24" s="1">
        <f t="shared" si="8"/>
        <v>1135.481626479999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81</v>
      </c>
      <c r="B25" s="1" t="s">
        <v>35</v>
      </c>
      <c r="C25" s="1">
        <v>568.43799999999999</v>
      </c>
      <c r="D25" s="1">
        <v>8051.74</v>
      </c>
      <c r="E25" s="1">
        <v>2328.8969999999999</v>
      </c>
      <c r="F25" s="1">
        <v>2608.3200000000002</v>
      </c>
      <c r="G25" s="8">
        <v>1</v>
      </c>
      <c r="H25" s="1"/>
      <c r="I25" s="1" t="s">
        <v>82</v>
      </c>
      <c r="J25" s="1"/>
      <c r="K25" s="1">
        <v>2576.9009999999998</v>
      </c>
      <c r="L25" s="1">
        <f t="shared" si="2"/>
        <v>-248.00399999999991</v>
      </c>
      <c r="M25" s="1">
        <f t="shared" si="3"/>
        <v>2023.3509999999999</v>
      </c>
      <c r="N25" s="1">
        <v>305.54599999999999</v>
      </c>
      <c r="O25" s="1">
        <v>1603.97829531</v>
      </c>
      <c r="P25" s="1">
        <v>92.846310000000926</v>
      </c>
      <c r="Q25" s="1"/>
      <c r="R25" s="1"/>
      <c r="S25" s="1">
        <f t="shared" si="4"/>
        <v>404.67019999999997</v>
      </c>
      <c r="T25" s="5">
        <f>11*S25-R25-Q25-P25-O25-F25</f>
        <v>146.22759468999857</v>
      </c>
      <c r="U25" s="5"/>
      <c r="V25" s="1"/>
      <c r="W25" s="1">
        <f t="shared" si="5"/>
        <v>11</v>
      </c>
      <c r="X25" s="1">
        <f t="shared" si="6"/>
        <v>10.638649955717028</v>
      </c>
      <c r="Y25" s="1">
        <v>469.15940000000001</v>
      </c>
      <c r="Z25" s="1">
        <v>501.86099999999999</v>
      </c>
      <c r="AA25" s="1">
        <v>425.32319999999999</v>
      </c>
      <c r="AB25" s="1">
        <v>412.91019999999997</v>
      </c>
      <c r="AC25" s="1">
        <v>446.06420000000003</v>
      </c>
      <c r="AD25" s="1">
        <v>403.29660000000001</v>
      </c>
      <c r="AE25" s="1" t="s">
        <v>83</v>
      </c>
      <c r="AF25" s="1">
        <f t="shared" si="8"/>
        <v>146.22759468999857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84</v>
      </c>
      <c r="B26" s="1" t="s">
        <v>35</v>
      </c>
      <c r="C26" s="1">
        <v>3.222</v>
      </c>
      <c r="D26" s="1">
        <v>139.858</v>
      </c>
      <c r="E26" s="1">
        <v>9.4320000000000004</v>
      </c>
      <c r="F26" s="1">
        <v>105.149</v>
      </c>
      <c r="G26" s="8">
        <v>1</v>
      </c>
      <c r="H26" s="1"/>
      <c r="I26" s="1" t="s">
        <v>85</v>
      </c>
      <c r="J26" s="1"/>
      <c r="K26" s="1">
        <v>10.1</v>
      </c>
      <c r="L26" s="1">
        <f t="shared" si="2"/>
        <v>-0.66799999999999926</v>
      </c>
      <c r="M26" s="1">
        <f t="shared" si="3"/>
        <v>9.4320000000000004</v>
      </c>
      <c r="N26" s="1"/>
      <c r="O26" s="1"/>
      <c r="P26" s="1">
        <v>0</v>
      </c>
      <c r="Q26" s="1"/>
      <c r="R26" s="1"/>
      <c r="S26" s="1">
        <f t="shared" si="4"/>
        <v>1.8864000000000001</v>
      </c>
      <c r="T26" s="5"/>
      <c r="U26" s="5"/>
      <c r="V26" s="1"/>
      <c r="W26" s="1">
        <f t="shared" si="5"/>
        <v>55.740564037319764</v>
      </c>
      <c r="X26" s="1">
        <f t="shared" si="6"/>
        <v>55.740564037319764</v>
      </c>
      <c r="Y26" s="1">
        <v>3.0478000000000001</v>
      </c>
      <c r="Z26" s="1">
        <v>2.6137999999999999</v>
      </c>
      <c r="AA26" s="1">
        <v>0.58140000000000003</v>
      </c>
      <c r="AB26" s="1">
        <v>9.3971999999999998</v>
      </c>
      <c r="AC26" s="1">
        <v>6.6224000000000007</v>
      </c>
      <c r="AD26" s="1">
        <v>11.1754</v>
      </c>
      <c r="AE26" s="1"/>
      <c r="AF26" s="1">
        <f t="shared" si="8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86</v>
      </c>
      <c r="B27" s="1" t="s">
        <v>35</v>
      </c>
      <c r="C27" s="1">
        <v>4198.9759999999997</v>
      </c>
      <c r="D27" s="1">
        <v>3468.221</v>
      </c>
      <c r="E27" s="1">
        <v>2217.375</v>
      </c>
      <c r="F27" s="1">
        <v>3490.8020000000001</v>
      </c>
      <c r="G27" s="8">
        <v>1</v>
      </c>
      <c r="H27" s="1"/>
      <c r="I27" s="1" t="s">
        <v>87</v>
      </c>
      <c r="J27" s="1"/>
      <c r="K27" s="1">
        <v>2569.5210000000002</v>
      </c>
      <c r="L27" s="1">
        <f t="shared" si="2"/>
        <v>-352.14600000000019</v>
      </c>
      <c r="M27" s="1">
        <f t="shared" si="3"/>
        <v>2217.375</v>
      </c>
      <c r="N27" s="1"/>
      <c r="O27" s="1"/>
      <c r="P27" s="1">
        <v>741.36680818711284</v>
      </c>
      <c r="Q27" s="1">
        <v>677.04731341288834</v>
      </c>
      <c r="R27" s="1"/>
      <c r="S27" s="1">
        <f t="shared" si="4"/>
        <v>443.47500000000002</v>
      </c>
      <c r="T27" s="5"/>
      <c r="U27" s="5"/>
      <c r="V27" s="1"/>
      <c r="W27" s="1">
        <f t="shared" si="5"/>
        <v>11.069882454704324</v>
      </c>
      <c r="X27" s="1">
        <f t="shared" si="6"/>
        <v>11.069882454704324</v>
      </c>
      <c r="Y27" s="1">
        <v>527.50740000000008</v>
      </c>
      <c r="Z27" s="1">
        <v>438.75599999999997</v>
      </c>
      <c r="AA27" s="1">
        <v>67.332399999999993</v>
      </c>
      <c r="AB27" s="1">
        <v>-3.8862000000000001</v>
      </c>
      <c r="AC27" s="1">
        <v>293.17079999999999</v>
      </c>
      <c r="AD27" s="1">
        <v>592.37</v>
      </c>
      <c r="AE27" s="1" t="s">
        <v>37</v>
      </c>
      <c r="AF27" s="1">
        <f t="shared" si="8"/>
        <v>0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88</v>
      </c>
      <c r="B28" s="1" t="s">
        <v>35</v>
      </c>
      <c r="C28" s="1">
        <v>7.6619999999999999</v>
      </c>
      <c r="D28" s="1">
        <v>114.71299999999999</v>
      </c>
      <c r="E28" s="1">
        <v>6.4539999999999997</v>
      </c>
      <c r="F28" s="1">
        <v>64.363</v>
      </c>
      <c r="G28" s="8">
        <v>1</v>
      </c>
      <c r="H28" s="1"/>
      <c r="I28" s="1" t="s">
        <v>89</v>
      </c>
      <c r="J28" s="1"/>
      <c r="K28" s="1">
        <v>10.5</v>
      </c>
      <c r="L28" s="1">
        <f t="shared" si="2"/>
        <v>-4.0460000000000003</v>
      </c>
      <c r="M28" s="1">
        <f t="shared" si="3"/>
        <v>6.4539999999999997</v>
      </c>
      <c r="N28" s="1"/>
      <c r="O28" s="1">
        <v>44.102282436000003</v>
      </c>
      <c r="P28" s="1">
        <v>0</v>
      </c>
      <c r="Q28" s="1"/>
      <c r="R28" s="1"/>
      <c r="S28" s="1">
        <f t="shared" si="4"/>
        <v>1.2907999999999999</v>
      </c>
      <c r="T28" s="5"/>
      <c r="U28" s="5"/>
      <c r="V28" s="1"/>
      <c r="W28" s="1">
        <f t="shared" si="5"/>
        <v>84.02950297180044</v>
      </c>
      <c r="X28" s="1">
        <f t="shared" si="6"/>
        <v>84.02950297180044</v>
      </c>
      <c r="Y28" s="1">
        <v>8.7688000000000006</v>
      </c>
      <c r="Z28" s="1">
        <v>8.7688000000000006</v>
      </c>
      <c r="AA28" s="1">
        <v>0.80719999999999992</v>
      </c>
      <c r="AB28" s="1">
        <v>9.4638000000000009</v>
      </c>
      <c r="AC28" s="1">
        <v>4.7930000000000001</v>
      </c>
      <c r="AD28" s="1">
        <v>6.9644000000000004</v>
      </c>
      <c r="AE28" s="1"/>
      <c r="AF28" s="1">
        <f t="shared" si="8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90</v>
      </c>
      <c r="B29" s="1" t="s">
        <v>35</v>
      </c>
      <c r="C29" s="1">
        <v>6504.7240000000002</v>
      </c>
      <c r="D29" s="1">
        <v>12039.65</v>
      </c>
      <c r="E29" s="1">
        <v>9031.8739999999998</v>
      </c>
      <c r="F29" s="1">
        <v>243.74100000000001</v>
      </c>
      <c r="G29" s="8">
        <v>1</v>
      </c>
      <c r="H29" s="1"/>
      <c r="I29" s="1" t="s">
        <v>91</v>
      </c>
      <c r="J29" s="1"/>
      <c r="K29" s="1">
        <v>10272.852999999999</v>
      </c>
      <c r="L29" s="1">
        <f t="shared" si="2"/>
        <v>-1240.9789999999994</v>
      </c>
      <c r="M29" s="1">
        <f t="shared" si="3"/>
        <v>9031.8739999999998</v>
      </c>
      <c r="N29" s="1"/>
      <c r="O29" s="1">
        <v>780.27540157799967</v>
      </c>
      <c r="P29" s="1">
        <v>2911.377573022166</v>
      </c>
      <c r="Q29" s="1">
        <v>2658.7923041298309</v>
      </c>
      <c r="R29" s="1">
        <v>6000</v>
      </c>
      <c r="S29" s="1">
        <f t="shared" si="4"/>
        <v>1806.3748000000001</v>
      </c>
      <c r="T29" s="5">
        <f>11*S29-R29-Q29-P29-O29-F29</f>
        <v>7275.936521270005</v>
      </c>
      <c r="U29" s="5"/>
      <c r="V29" s="1"/>
      <c r="W29" s="1">
        <f t="shared" si="5"/>
        <v>11</v>
      </c>
      <c r="X29" s="1">
        <f t="shared" si="6"/>
        <v>6.9720781527344133</v>
      </c>
      <c r="Y29" s="1">
        <v>1535.5788</v>
      </c>
      <c r="Z29" s="1">
        <v>1474.7154</v>
      </c>
      <c r="AA29" s="1">
        <v>0</v>
      </c>
      <c r="AB29" s="1">
        <v>1578.2021999999999</v>
      </c>
      <c r="AC29" s="1">
        <v>1492.6122</v>
      </c>
      <c r="AD29" s="1">
        <v>1763.4842000000001</v>
      </c>
      <c r="AE29" s="1"/>
      <c r="AF29" s="1">
        <f t="shared" si="8"/>
        <v>7275.936521270005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92</v>
      </c>
      <c r="B30" s="1" t="s">
        <v>43</v>
      </c>
      <c r="C30" s="1">
        <v>6168</v>
      </c>
      <c r="D30" s="1">
        <v>17739</v>
      </c>
      <c r="E30" s="1">
        <v>4273</v>
      </c>
      <c r="F30" s="1">
        <v>5870</v>
      </c>
      <c r="G30" s="8">
        <v>0.4</v>
      </c>
      <c r="H30" s="1"/>
      <c r="I30" s="1" t="s">
        <v>93</v>
      </c>
      <c r="J30" s="1"/>
      <c r="K30" s="1">
        <v>4340</v>
      </c>
      <c r="L30" s="1">
        <f t="shared" si="2"/>
        <v>-67</v>
      </c>
      <c r="M30" s="1">
        <f t="shared" si="3"/>
        <v>3889</v>
      </c>
      <c r="N30" s="1">
        <v>384</v>
      </c>
      <c r="O30" s="1">
        <v>1033.7894819999999</v>
      </c>
      <c r="P30" s="1">
        <v>323.28476849641959</v>
      </c>
      <c r="Q30" s="1">
        <v>295.23723150357938</v>
      </c>
      <c r="R30" s="1"/>
      <c r="S30" s="1">
        <f t="shared" si="4"/>
        <v>777.8</v>
      </c>
      <c r="T30" s="5">
        <f>11*S30-R30-Q30-P30-O30-F30</f>
        <v>1033.4885180000001</v>
      </c>
      <c r="U30" s="5"/>
      <c r="V30" s="1"/>
      <c r="W30" s="1">
        <f t="shared" si="5"/>
        <v>11</v>
      </c>
      <c r="X30" s="1">
        <f t="shared" si="6"/>
        <v>9.6712670120853677</v>
      </c>
      <c r="Y30" s="1">
        <v>836.4</v>
      </c>
      <c r="Z30" s="1">
        <v>934.6</v>
      </c>
      <c r="AA30" s="1">
        <v>824.4</v>
      </c>
      <c r="AB30" s="1">
        <v>789</v>
      </c>
      <c r="AC30" s="1">
        <v>1397.2</v>
      </c>
      <c r="AD30" s="1">
        <v>1094.4000000000001</v>
      </c>
      <c r="AE30" s="1" t="s">
        <v>37</v>
      </c>
      <c r="AF30" s="1">
        <f t="shared" si="8"/>
        <v>413.39540720000008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94</v>
      </c>
      <c r="B31" s="1" t="s">
        <v>43</v>
      </c>
      <c r="C31" s="1">
        <v>698</v>
      </c>
      <c r="D31" s="1">
        <v>2618</v>
      </c>
      <c r="E31" s="1">
        <v>437</v>
      </c>
      <c r="F31" s="1">
        <v>934</v>
      </c>
      <c r="G31" s="8">
        <v>0.45</v>
      </c>
      <c r="H31" s="1"/>
      <c r="I31" s="1" t="s">
        <v>95</v>
      </c>
      <c r="J31" s="1"/>
      <c r="K31" s="1">
        <v>547</v>
      </c>
      <c r="L31" s="1">
        <f t="shared" si="2"/>
        <v>-110</v>
      </c>
      <c r="M31" s="1">
        <f t="shared" si="3"/>
        <v>437</v>
      </c>
      <c r="N31" s="1"/>
      <c r="O31" s="1">
        <v>419</v>
      </c>
      <c r="P31" s="1">
        <v>0</v>
      </c>
      <c r="Q31" s="1"/>
      <c r="R31" s="1"/>
      <c r="S31" s="1">
        <f t="shared" si="4"/>
        <v>87.4</v>
      </c>
      <c r="T31" s="5"/>
      <c r="U31" s="5"/>
      <c r="V31" s="1"/>
      <c r="W31" s="1">
        <f t="shared" si="5"/>
        <v>15.480549199084667</v>
      </c>
      <c r="X31" s="1">
        <f t="shared" si="6"/>
        <v>15.480549199084667</v>
      </c>
      <c r="Y31" s="1">
        <v>111.2</v>
      </c>
      <c r="Z31" s="1">
        <v>94.2</v>
      </c>
      <c r="AA31" s="1">
        <v>166</v>
      </c>
      <c r="AB31" s="1">
        <v>120.8</v>
      </c>
      <c r="AC31" s="1">
        <v>153.6</v>
      </c>
      <c r="AD31" s="1">
        <v>89.2</v>
      </c>
      <c r="AE31" s="1" t="s">
        <v>47</v>
      </c>
      <c r="AF31" s="1">
        <f t="shared" si="8"/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96</v>
      </c>
      <c r="B32" s="1" t="s">
        <v>43</v>
      </c>
      <c r="C32" s="1">
        <v>927</v>
      </c>
      <c r="D32" s="1">
        <v>4495</v>
      </c>
      <c r="E32" s="1">
        <v>1196</v>
      </c>
      <c r="F32" s="1">
        <v>920</v>
      </c>
      <c r="G32" s="8">
        <v>0.4</v>
      </c>
      <c r="H32" s="1"/>
      <c r="I32" s="1" t="s">
        <v>97</v>
      </c>
      <c r="J32" s="1"/>
      <c r="K32" s="1">
        <v>1235</v>
      </c>
      <c r="L32" s="1">
        <f t="shared" si="2"/>
        <v>-39</v>
      </c>
      <c r="M32" s="1">
        <f t="shared" si="3"/>
        <v>1076</v>
      </c>
      <c r="N32" s="1">
        <v>120</v>
      </c>
      <c r="O32" s="1">
        <v>130.26542399999991</v>
      </c>
      <c r="P32" s="1">
        <v>430.75596922195712</v>
      </c>
      <c r="Q32" s="1">
        <v>393.3844467780429</v>
      </c>
      <c r="R32" s="1"/>
      <c r="S32" s="1">
        <f t="shared" si="4"/>
        <v>215.2</v>
      </c>
      <c r="T32" s="5">
        <f>11*S32-R32-Q32-P32-O32-F32</f>
        <v>492.79415999999969</v>
      </c>
      <c r="U32" s="5"/>
      <c r="V32" s="1"/>
      <c r="W32" s="1">
        <f t="shared" si="5"/>
        <v>11</v>
      </c>
      <c r="X32" s="1">
        <f t="shared" si="6"/>
        <v>8.7100643122676598</v>
      </c>
      <c r="Y32" s="1">
        <v>201.2</v>
      </c>
      <c r="Z32" s="1">
        <v>198.2</v>
      </c>
      <c r="AA32" s="1">
        <v>204.4</v>
      </c>
      <c r="AB32" s="1">
        <v>183.2</v>
      </c>
      <c r="AC32" s="1">
        <v>200.6</v>
      </c>
      <c r="AD32" s="1">
        <v>219</v>
      </c>
      <c r="AE32" s="1"/>
      <c r="AF32" s="1">
        <f t="shared" si="8"/>
        <v>197.11766399999988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98</v>
      </c>
      <c r="B33" s="1" t="s">
        <v>43</v>
      </c>
      <c r="C33" s="1">
        <v>213</v>
      </c>
      <c r="D33" s="1">
        <v>1120</v>
      </c>
      <c r="E33" s="1">
        <v>316</v>
      </c>
      <c r="F33" s="1">
        <v>435</v>
      </c>
      <c r="G33" s="8">
        <v>0.4</v>
      </c>
      <c r="H33" s="1"/>
      <c r="I33" s="1" t="s">
        <v>99</v>
      </c>
      <c r="J33" s="1"/>
      <c r="K33" s="1">
        <v>339</v>
      </c>
      <c r="L33" s="1">
        <f t="shared" si="2"/>
        <v>-23</v>
      </c>
      <c r="M33" s="1">
        <f t="shared" si="3"/>
        <v>316</v>
      </c>
      <c r="N33" s="1"/>
      <c r="O33" s="1">
        <v>203.09097600000001</v>
      </c>
      <c r="P33" s="1">
        <v>0</v>
      </c>
      <c r="Q33" s="1"/>
      <c r="R33" s="1"/>
      <c r="S33" s="1">
        <f t="shared" si="4"/>
        <v>63.2</v>
      </c>
      <c r="T33" s="5">
        <f>11*S33-R33-Q33-P33-O33-F33</f>
        <v>57.109024000000034</v>
      </c>
      <c r="U33" s="5"/>
      <c r="V33" s="1"/>
      <c r="W33" s="1">
        <f t="shared" si="5"/>
        <v>11</v>
      </c>
      <c r="X33" s="1">
        <f t="shared" si="6"/>
        <v>10.096376202531644</v>
      </c>
      <c r="Y33" s="1">
        <v>73.2</v>
      </c>
      <c r="Z33" s="1">
        <v>81.8</v>
      </c>
      <c r="AA33" s="1">
        <v>99.388999999999996</v>
      </c>
      <c r="AB33" s="1">
        <v>77.164000000000001</v>
      </c>
      <c r="AC33" s="1">
        <v>80.400000000000006</v>
      </c>
      <c r="AD33" s="1">
        <v>65.2</v>
      </c>
      <c r="AE33" s="1"/>
      <c r="AF33" s="1">
        <f t="shared" si="8"/>
        <v>22.843609600000015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100</v>
      </c>
      <c r="B34" s="1" t="s">
        <v>43</v>
      </c>
      <c r="C34" s="1">
        <v>27</v>
      </c>
      <c r="D34" s="1">
        <v>504</v>
      </c>
      <c r="E34" s="1">
        <v>234</v>
      </c>
      <c r="F34" s="1">
        <v>199</v>
      </c>
      <c r="G34" s="8">
        <v>0.1</v>
      </c>
      <c r="H34" s="1"/>
      <c r="I34" s="1" t="s">
        <v>101</v>
      </c>
      <c r="J34" s="1"/>
      <c r="K34" s="1">
        <v>255</v>
      </c>
      <c r="L34" s="1">
        <f t="shared" si="2"/>
        <v>-21</v>
      </c>
      <c r="M34" s="1">
        <f t="shared" si="3"/>
        <v>234</v>
      </c>
      <c r="N34" s="1"/>
      <c r="O34" s="1">
        <v>153.47215800000001</v>
      </c>
      <c r="P34" s="1">
        <v>0</v>
      </c>
      <c r="Q34" s="1"/>
      <c r="R34" s="1"/>
      <c r="S34" s="1">
        <f t="shared" si="4"/>
        <v>46.8</v>
      </c>
      <c r="T34" s="5">
        <f>11*S34-R34-Q34-P34-O34-F34</f>
        <v>162.32784199999992</v>
      </c>
      <c r="U34" s="5"/>
      <c r="V34" s="1"/>
      <c r="W34" s="1">
        <f t="shared" si="5"/>
        <v>11</v>
      </c>
      <c r="X34" s="1">
        <f t="shared" si="6"/>
        <v>7.5314563675213684</v>
      </c>
      <c r="Y34" s="1">
        <v>41.2</v>
      </c>
      <c r="Z34" s="1">
        <v>42.4</v>
      </c>
      <c r="AA34" s="1">
        <v>33.200000000000003</v>
      </c>
      <c r="AB34" s="1">
        <v>46.8</v>
      </c>
      <c r="AC34" s="1">
        <v>35.6</v>
      </c>
      <c r="AD34" s="1">
        <v>38</v>
      </c>
      <c r="AE34" s="1"/>
      <c r="AF34" s="1">
        <f t="shared" si="8"/>
        <v>16.232784199999994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102</v>
      </c>
      <c r="B35" s="1" t="s">
        <v>43</v>
      </c>
      <c r="C35" s="1">
        <v>179</v>
      </c>
      <c r="D35" s="1">
        <v>300</v>
      </c>
      <c r="E35" s="1">
        <v>78</v>
      </c>
      <c r="F35" s="1">
        <v>183</v>
      </c>
      <c r="G35" s="8">
        <v>0.35</v>
      </c>
      <c r="H35" s="1"/>
      <c r="I35" s="1" t="s">
        <v>103</v>
      </c>
      <c r="J35" s="1"/>
      <c r="K35" s="1">
        <v>123</v>
      </c>
      <c r="L35" s="1">
        <f t="shared" si="2"/>
        <v>-45</v>
      </c>
      <c r="M35" s="1">
        <f t="shared" si="3"/>
        <v>78</v>
      </c>
      <c r="N35" s="1"/>
      <c r="O35" s="1"/>
      <c r="P35" s="1">
        <v>0</v>
      </c>
      <c r="Q35" s="1"/>
      <c r="R35" s="1"/>
      <c r="S35" s="1">
        <f t="shared" si="4"/>
        <v>15.6</v>
      </c>
      <c r="T35" s="5"/>
      <c r="U35" s="5"/>
      <c r="V35" s="1"/>
      <c r="W35" s="1">
        <f t="shared" si="5"/>
        <v>11.730769230769232</v>
      </c>
      <c r="X35" s="1">
        <f t="shared" si="6"/>
        <v>11.730769230769232</v>
      </c>
      <c r="Y35" s="1">
        <v>17.2</v>
      </c>
      <c r="Z35" s="1">
        <v>15</v>
      </c>
      <c r="AA35" s="1">
        <v>18</v>
      </c>
      <c r="AB35" s="1">
        <v>26</v>
      </c>
      <c r="AC35" s="1">
        <v>14.8</v>
      </c>
      <c r="AD35" s="1">
        <v>31.6</v>
      </c>
      <c r="AE35" s="1" t="s">
        <v>47</v>
      </c>
      <c r="AF35" s="1">
        <f t="shared" si="8"/>
        <v>0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104</v>
      </c>
      <c r="B36" s="1" t="s">
        <v>35</v>
      </c>
      <c r="C36" s="1">
        <v>25.436</v>
      </c>
      <c r="D36" s="1">
        <v>12.682</v>
      </c>
      <c r="E36" s="1">
        <v>16.75</v>
      </c>
      <c r="F36" s="1">
        <v>7.2140000000000004</v>
      </c>
      <c r="G36" s="8">
        <v>1</v>
      </c>
      <c r="H36" s="1"/>
      <c r="I36" s="1" t="s">
        <v>105</v>
      </c>
      <c r="J36" s="1"/>
      <c r="K36" s="1">
        <v>20.3</v>
      </c>
      <c r="L36" s="1">
        <f t="shared" si="2"/>
        <v>-3.5500000000000007</v>
      </c>
      <c r="M36" s="1">
        <f t="shared" si="3"/>
        <v>16.75</v>
      </c>
      <c r="N36" s="1"/>
      <c r="O36" s="1"/>
      <c r="P36" s="1">
        <v>31.783200000000001</v>
      </c>
      <c r="Q36" s="1"/>
      <c r="R36" s="1"/>
      <c r="S36" s="1">
        <f t="shared" si="4"/>
        <v>3.35</v>
      </c>
      <c r="T36" s="5"/>
      <c r="U36" s="5"/>
      <c r="V36" s="1"/>
      <c r="W36" s="1">
        <f t="shared" si="5"/>
        <v>11.640955223880596</v>
      </c>
      <c r="X36" s="1">
        <f t="shared" si="6"/>
        <v>11.640955223880596</v>
      </c>
      <c r="Y36" s="1">
        <v>4.3372000000000002</v>
      </c>
      <c r="Z36" s="1">
        <v>4.6543999999999999</v>
      </c>
      <c r="AA36" s="1">
        <v>4.8607999999999993</v>
      </c>
      <c r="AB36" s="1">
        <v>7.4049999999999994</v>
      </c>
      <c r="AC36" s="1">
        <v>4.3841999999999999</v>
      </c>
      <c r="AD36" s="1">
        <v>2.9196</v>
      </c>
      <c r="AE36" s="1"/>
      <c r="AF36" s="1">
        <f t="shared" si="8"/>
        <v>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106</v>
      </c>
      <c r="B37" s="1" t="s">
        <v>43</v>
      </c>
      <c r="C37" s="1">
        <v>561</v>
      </c>
      <c r="D37" s="1">
        <v>771</v>
      </c>
      <c r="E37" s="1">
        <v>276</v>
      </c>
      <c r="F37" s="1">
        <v>240</v>
      </c>
      <c r="G37" s="8">
        <v>0.4</v>
      </c>
      <c r="H37" s="1"/>
      <c r="I37" s="1" t="s">
        <v>107</v>
      </c>
      <c r="J37" s="1"/>
      <c r="K37" s="1">
        <v>376</v>
      </c>
      <c r="L37" s="1">
        <f t="shared" si="2"/>
        <v>-100</v>
      </c>
      <c r="M37" s="1">
        <f t="shared" si="3"/>
        <v>222</v>
      </c>
      <c r="N37" s="1">
        <v>54</v>
      </c>
      <c r="O37" s="1"/>
      <c r="P37" s="1">
        <v>0</v>
      </c>
      <c r="Q37" s="1"/>
      <c r="R37" s="1"/>
      <c r="S37" s="1">
        <f t="shared" si="4"/>
        <v>44.4</v>
      </c>
      <c r="T37" s="5">
        <f>11*S37-R37-Q37-P37-O37-F37</f>
        <v>248.39999999999998</v>
      </c>
      <c r="U37" s="5"/>
      <c r="V37" s="1"/>
      <c r="W37" s="1">
        <f t="shared" si="5"/>
        <v>11</v>
      </c>
      <c r="X37" s="1">
        <f t="shared" si="6"/>
        <v>5.4054054054054053</v>
      </c>
      <c r="Y37" s="1">
        <v>31.2</v>
      </c>
      <c r="Z37" s="1">
        <v>40.4</v>
      </c>
      <c r="AA37" s="1">
        <v>42.6</v>
      </c>
      <c r="AB37" s="1">
        <v>61.4</v>
      </c>
      <c r="AC37" s="1">
        <v>48</v>
      </c>
      <c r="AD37" s="1">
        <v>66.599999999999994</v>
      </c>
      <c r="AE37" s="1"/>
      <c r="AF37" s="1">
        <f t="shared" si="8"/>
        <v>99.36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108</v>
      </c>
      <c r="B38" s="1" t="s">
        <v>43</v>
      </c>
      <c r="C38" s="1">
        <v>151</v>
      </c>
      <c r="D38" s="1">
        <v>1007</v>
      </c>
      <c r="E38" s="1">
        <v>174</v>
      </c>
      <c r="F38" s="1">
        <v>340</v>
      </c>
      <c r="G38" s="8">
        <v>0.4</v>
      </c>
      <c r="H38" s="1"/>
      <c r="I38" s="1" t="s">
        <v>109</v>
      </c>
      <c r="J38" s="1"/>
      <c r="K38" s="1">
        <v>260</v>
      </c>
      <c r="L38" s="1">
        <f t="shared" ref="L38:L69" si="9">E38-K38</f>
        <v>-86</v>
      </c>
      <c r="M38" s="1">
        <f t="shared" ref="M38:M69" si="10">E38-N38</f>
        <v>174</v>
      </c>
      <c r="N38" s="1"/>
      <c r="O38" s="1">
        <v>249.11980199999999</v>
      </c>
      <c r="P38" s="1">
        <v>0</v>
      </c>
      <c r="Q38" s="1"/>
      <c r="R38" s="1"/>
      <c r="S38" s="1">
        <f t="shared" ref="S38:S69" si="11">M38/5</f>
        <v>34.799999999999997</v>
      </c>
      <c r="T38" s="5"/>
      <c r="U38" s="5"/>
      <c r="V38" s="1"/>
      <c r="W38" s="1">
        <f t="shared" ref="W38:W69" si="12">(F38+O38+P38+Q38+R38+T38)/S38</f>
        <v>16.928729942528737</v>
      </c>
      <c r="X38" s="1">
        <f t="shared" ref="X38:X69" si="13">(F38+O38+P38+Q38+R38)/S38</f>
        <v>16.928729942528737</v>
      </c>
      <c r="Y38" s="1">
        <v>54.8</v>
      </c>
      <c r="Z38" s="1">
        <v>53.6</v>
      </c>
      <c r="AA38" s="1">
        <v>29.8</v>
      </c>
      <c r="AB38" s="1">
        <v>41.8</v>
      </c>
      <c r="AC38" s="1">
        <v>40.200000000000003</v>
      </c>
      <c r="AD38" s="1">
        <v>41.6</v>
      </c>
      <c r="AE38" s="1" t="s">
        <v>50</v>
      </c>
      <c r="AF38" s="1">
        <f t="shared" si="8"/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110</v>
      </c>
      <c r="B39" s="1" t="s">
        <v>35</v>
      </c>
      <c r="C39" s="1">
        <v>10.872</v>
      </c>
      <c r="D39" s="1">
        <v>137.20699999999999</v>
      </c>
      <c r="E39" s="1">
        <v>17.353999999999999</v>
      </c>
      <c r="F39" s="1">
        <v>24.081</v>
      </c>
      <c r="G39" s="8">
        <v>1</v>
      </c>
      <c r="H39" s="1"/>
      <c r="I39" s="1" t="s">
        <v>111</v>
      </c>
      <c r="J39" s="1"/>
      <c r="K39" s="1">
        <v>30.5</v>
      </c>
      <c r="L39" s="1">
        <f t="shared" si="9"/>
        <v>-13.146000000000001</v>
      </c>
      <c r="M39" s="1">
        <f t="shared" si="10"/>
        <v>17.353999999999999</v>
      </c>
      <c r="N39" s="1"/>
      <c r="O39" s="1"/>
      <c r="P39" s="1">
        <v>6.1512000000000029</v>
      </c>
      <c r="Q39" s="1"/>
      <c r="R39" s="1"/>
      <c r="S39" s="1">
        <f t="shared" si="11"/>
        <v>3.4707999999999997</v>
      </c>
      <c r="T39" s="5">
        <f>11*S39-R39-Q39-P39-O39-F39</f>
        <v>7.946599999999993</v>
      </c>
      <c r="U39" s="5"/>
      <c r="V39" s="1"/>
      <c r="W39" s="1">
        <f t="shared" si="12"/>
        <v>11</v>
      </c>
      <c r="X39" s="1">
        <f t="shared" si="13"/>
        <v>8.7104413967961296</v>
      </c>
      <c r="Y39" s="1">
        <v>4.7606000000000002</v>
      </c>
      <c r="Z39" s="1">
        <v>6.7906000000000004</v>
      </c>
      <c r="AA39" s="1">
        <v>12.0244</v>
      </c>
      <c r="AB39" s="1">
        <v>9.3468</v>
      </c>
      <c r="AC39" s="1">
        <v>10.954800000000001</v>
      </c>
      <c r="AD39" s="1">
        <v>7.3952</v>
      </c>
      <c r="AE39" s="1"/>
      <c r="AF39" s="1">
        <f t="shared" si="8"/>
        <v>7.946599999999993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112</v>
      </c>
      <c r="B40" s="1" t="s">
        <v>43</v>
      </c>
      <c r="C40" s="1">
        <v>216</v>
      </c>
      <c r="D40" s="1">
        <v>3481</v>
      </c>
      <c r="E40" s="1">
        <v>606</v>
      </c>
      <c r="F40" s="1">
        <v>2179</v>
      </c>
      <c r="G40" s="8">
        <v>0.35</v>
      </c>
      <c r="H40" s="1"/>
      <c r="I40" s="1" t="s">
        <v>113</v>
      </c>
      <c r="J40" s="1"/>
      <c r="K40" s="1">
        <v>625</v>
      </c>
      <c r="L40" s="1">
        <f t="shared" si="9"/>
        <v>-19</v>
      </c>
      <c r="M40" s="1">
        <f t="shared" si="10"/>
        <v>606</v>
      </c>
      <c r="N40" s="1"/>
      <c r="O40" s="1">
        <v>1474.461</v>
      </c>
      <c r="P40" s="1">
        <v>0</v>
      </c>
      <c r="Q40" s="1"/>
      <c r="R40" s="1"/>
      <c r="S40" s="1">
        <f t="shared" si="11"/>
        <v>121.2</v>
      </c>
      <c r="T40" s="5"/>
      <c r="U40" s="5"/>
      <c r="V40" s="1"/>
      <c r="W40" s="1">
        <f t="shared" si="12"/>
        <v>30.144067656765678</v>
      </c>
      <c r="X40" s="1">
        <f t="shared" si="13"/>
        <v>30.144067656765678</v>
      </c>
      <c r="Y40" s="1">
        <v>128.6</v>
      </c>
      <c r="Z40" s="1">
        <v>118</v>
      </c>
      <c r="AA40" s="1">
        <v>217.4</v>
      </c>
      <c r="AB40" s="1">
        <v>150.19999999999999</v>
      </c>
      <c r="AC40" s="1">
        <v>101.4</v>
      </c>
      <c r="AD40" s="1">
        <v>112.2</v>
      </c>
      <c r="AE40" s="1" t="s">
        <v>37</v>
      </c>
      <c r="AF40" s="1">
        <f t="shared" si="8"/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114</v>
      </c>
      <c r="B41" s="1" t="s">
        <v>43</v>
      </c>
      <c r="C41" s="1">
        <v>172</v>
      </c>
      <c r="D41" s="1">
        <v>1733</v>
      </c>
      <c r="E41" s="1">
        <v>378</v>
      </c>
      <c r="F41" s="1">
        <v>473</v>
      </c>
      <c r="G41" s="8">
        <v>0.4</v>
      </c>
      <c r="H41" s="1"/>
      <c r="I41" s="1" t="s">
        <v>115</v>
      </c>
      <c r="J41" s="1"/>
      <c r="K41" s="1">
        <v>473</v>
      </c>
      <c r="L41" s="1">
        <f t="shared" si="9"/>
        <v>-95</v>
      </c>
      <c r="M41" s="1">
        <f t="shared" si="10"/>
        <v>378</v>
      </c>
      <c r="N41" s="1"/>
      <c r="O41" s="1">
        <v>239.37553800000009</v>
      </c>
      <c r="P41" s="1">
        <v>29.0979999999999</v>
      </c>
      <c r="Q41" s="1"/>
      <c r="R41" s="1"/>
      <c r="S41" s="1">
        <f t="shared" si="11"/>
        <v>75.599999999999994</v>
      </c>
      <c r="T41" s="5">
        <f>11*S41-R41-Q41-P41-O41-F41</f>
        <v>90.126461999999833</v>
      </c>
      <c r="U41" s="5"/>
      <c r="V41" s="1"/>
      <c r="W41" s="1">
        <f t="shared" si="12"/>
        <v>10.999999999999998</v>
      </c>
      <c r="X41" s="1">
        <f t="shared" si="13"/>
        <v>9.8078510317460328</v>
      </c>
      <c r="Y41" s="1">
        <v>88.2</v>
      </c>
      <c r="Z41" s="1">
        <v>91.4</v>
      </c>
      <c r="AA41" s="1">
        <v>81.599999999999994</v>
      </c>
      <c r="AB41" s="1">
        <v>86.4</v>
      </c>
      <c r="AC41" s="1">
        <v>80.2</v>
      </c>
      <c r="AD41" s="1">
        <v>81.599999999999994</v>
      </c>
      <c r="AE41" s="1" t="s">
        <v>47</v>
      </c>
      <c r="AF41" s="1">
        <f t="shared" si="8"/>
        <v>36.050584799999932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116</v>
      </c>
      <c r="B42" s="1" t="s">
        <v>35</v>
      </c>
      <c r="C42" s="1">
        <v>236.81</v>
      </c>
      <c r="D42" s="1">
        <v>58.01</v>
      </c>
      <c r="E42" s="1">
        <v>153.953</v>
      </c>
      <c r="F42" s="1">
        <v>105.002</v>
      </c>
      <c r="G42" s="8">
        <v>1</v>
      </c>
      <c r="H42" s="1"/>
      <c r="I42" s="1" t="s">
        <v>117</v>
      </c>
      <c r="J42" s="1"/>
      <c r="K42" s="1">
        <v>192.81299999999999</v>
      </c>
      <c r="L42" s="1">
        <f t="shared" si="9"/>
        <v>-38.859999999999985</v>
      </c>
      <c r="M42" s="1">
        <f t="shared" si="10"/>
        <v>108.99000000000001</v>
      </c>
      <c r="N42" s="1">
        <v>44.963000000000001</v>
      </c>
      <c r="O42" s="1"/>
      <c r="P42" s="1">
        <v>102.1302</v>
      </c>
      <c r="Q42" s="1"/>
      <c r="R42" s="1"/>
      <c r="S42" s="1">
        <f t="shared" si="11"/>
        <v>21.798000000000002</v>
      </c>
      <c r="T42" s="5">
        <f>11*S42-R42-Q42-P42-O42-F42</f>
        <v>32.645800000000023</v>
      </c>
      <c r="U42" s="5"/>
      <c r="V42" s="1"/>
      <c r="W42" s="1">
        <f t="shared" si="12"/>
        <v>11</v>
      </c>
      <c r="X42" s="1">
        <f t="shared" si="13"/>
        <v>9.5023488393430586</v>
      </c>
      <c r="Y42" s="1">
        <v>22.839600000000001</v>
      </c>
      <c r="Z42" s="1">
        <v>22.878599999999999</v>
      </c>
      <c r="AA42" s="1">
        <v>16.0274</v>
      </c>
      <c r="AB42" s="1">
        <v>26.979399999999998</v>
      </c>
      <c r="AC42" s="1">
        <v>44.077399999999997</v>
      </c>
      <c r="AD42" s="1">
        <v>26.501999999999999</v>
      </c>
      <c r="AE42" s="1"/>
      <c r="AF42" s="1">
        <f t="shared" si="8"/>
        <v>32.645800000000023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118</v>
      </c>
      <c r="B43" s="1" t="s">
        <v>35</v>
      </c>
      <c r="C43" s="1">
        <v>216.446</v>
      </c>
      <c r="D43" s="1">
        <v>1363.4880000000001</v>
      </c>
      <c r="E43" s="1">
        <v>755.01800000000003</v>
      </c>
      <c r="F43" s="1">
        <v>198.92</v>
      </c>
      <c r="G43" s="8">
        <v>1</v>
      </c>
      <c r="H43" s="1"/>
      <c r="I43" s="1" t="s">
        <v>119</v>
      </c>
      <c r="J43" s="1"/>
      <c r="K43" s="1">
        <v>896.98099999999999</v>
      </c>
      <c r="L43" s="1">
        <f t="shared" si="9"/>
        <v>-141.96299999999997</v>
      </c>
      <c r="M43" s="1">
        <f t="shared" si="10"/>
        <v>755.01800000000003</v>
      </c>
      <c r="N43" s="1"/>
      <c r="O43" s="1">
        <v>152.03731512600001</v>
      </c>
      <c r="P43" s="1">
        <v>215.96235292124089</v>
      </c>
      <c r="Q43" s="1">
        <v>197.22589307875879</v>
      </c>
      <c r="R43" s="1"/>
      <c r="S43" s="1">
        <f t="shared" si="11"/>
        <v>151.00360000000001</v>
      </c>
      <c r="T43" s="5">
        <f>10*S43-R43-Q43-P43-O43-F43</f>
        <v>745.89043887400032</v>
      </c>
      <c r="U43" s="5"/>
      <c r="V43" s="1"/>
      <c r="W43" s="1">
        <f t="shared" si="12"/>
        <v>10</v>
      </c>
      <c r="X43" s="1">
        <f t="shared" si="13"/>
        <v>5.0604459835791973</v>
      </c>
      <c r="Y43" s="1">
        <v>105.7694</v>
      </c>
      <c r="Z43" s="1">
        <v>88.509799999999998</v>
      </c>
      <c r="AA43" s="1">
        <v>72.198800000000006</v>
      </c>
      <c r="AB43" s="1">
        <v>79.126999999999995</v>
      </c>
      <c r="AC43" s="1">
        <v>104.3784</v>
      </c>
      <c r="AD43" s="1">
        <v>89.689599999999999</v>
      </c>
      <c r="AE43" s="1"/>
      <c r="AF43" s="1">
        <f t="shared" si="8"/>
        <v>745.89043887400032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120</v>
      </c>
      <c r="B44" s="1" t="s">
        <v>43</v>
      </c>
      <c r="C44" s="1">
        <v>99.161000000000001</v>
      </c>
      <c r="D44" s="1">
        <v>1382.5239999999999</v>
      </c>
      <c r="E44" s="1">
        <v>430.685</v>
      </c>
      <c r="F44" s="1">
        <v>436</v>
      </c>
      <c r="G44" s="8">
        <v>0.45</v>
      </c>
      <c r="H44" s="1"/>
      <c r="I44" s="1" t="s">
        <v>121</v>
      </c>
      <c r="J44" s="1"/>
      <c r="K44" s="1">
        <v>525</v>
      </c>
      <c r="L44" s="1">
        <f t="shared" si="9"/>
        <v>-94.314999999999998</v>
      </c>
      <c r="M44" s="1">
        <f t="shared" si="10"/>
        <v>430.685</v>
      </c>
      <c r="N44" s="1"/>
      <c r="O44" s="1"/>
      <c r="P44" s="1">
        <v>0</v>
      </c>
      <c r="Q44" s="1"/>
      <c r="R44" s="1"/>
      <c r="S44" s="1">
        <f t="shared" si="11"/>
        <v>86.137</v>
      </c>
      <c r="T44" s="5">
        <f>11*S44-R44-Q44-P44-O44-F44</f>
        <v>511.50700000000006</v>
      </c>
      <c r="U44" s="5"/>
      <c r="V44" s="1"/>
      <c r="W44" s="1">
        <f t="shared" si="12"/>
        <v>11</v>
      </c>
      <c r="X44" s="1">
        <f t="shared" si="13"/>
        <v>5.0617040296272213</v>
      </c>
      <c r="Y44" s="1">
        <v>64.936999999999998</v>
      </c>
      <c r="Z44" s="1">
        <v>81.20320000000001</v>
      </c>
      <c r="AA44" s="1">
        <v>122.6</v>
      </c>
      <c r="AB44" s="1">
        <v>106.3646</v>
      </c>
      <c r="AC44" s="1">
        <v>74.2</v>
      </c>
      <c r="AD44" s="1">
        <v>95.6</v>
      </c>
      <c r="AE44" s="1" t="s">
        <v>37</v>
      </c>
      <c r="AF44" s="1">
        <f t="shared" si="8"/>
        <v>230.17815000000004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122</v>
      </c>
      <c r="B45" s="1" t="s">
        <v>43</v>
      </c>
      <c r="C45" s="1">
        <v>302</v>
      </c>
      <c r="D45" s="1">
        <v>2109</v>
      </c>
      <c r="E45" s="1">
        <v>430</v>
      </c>
      <c r="F45" s="1">
        <v>557</v>
      </c>
      <c r="G45" s="8">
        <v>0.45</v>
      </c>
      <c r="H45" s="1"/>
      <c r="I45" s="1" t="s">
        <v>123</v>
      </c>
      <c r="J45" s="1"/>
      <c r="K45" s="1">
        <v>459</v>
      </c>
      <c r="L45" s="1">
        <f t="shared" si="9"/>
        <v>-29</v>
      </c>
      <c r="M45" s="1">
        <f t="shared" si="10"/>
        <v>430</v>
      </c>
      <c r="N45" s="1"/>
      <c r="O45" s="1">
        <v>174.75568200000001</v>
      </c>
      <c r="P45" s="1">
        <v>0</v>
      </c>
      <c r="Q45" s="1"/>
      <c r="R45" s="1"/>
      <c r="S45" s="1">
        <f t="shared" si="11"/>
        <v>86</v>
      </c>
      <c r="T45" s="5">
        <f>11*S45-R45-Q45-P45-O45-F45</f>
        <v>214.24431800000002</v>
      </c>
      <c r="U45" s="5"/>
      <c r="V45" s="1"/>
      <c r="W45" s="1">
        <f t="shared" si="12"/>
        <v>11</v>
      </c>
      <c r="X45" s="1">
        <f t="shared" si="13"/>
        <v>8.5087869999999999</v>
      </c>
      <c r="Y45" s="1">
        <v>79.2</v>
      </c>
      <c r="Z45" s="1">
        <v>98.6</v>
      </c>
      <c r="AA45" s="1">
        <v>103</v>
      </c>
      <c r="AB45" s="1">
        <v>68.2</v>
      </c>
      <c r="AC45" s="1">
        <v>81.8</v>
      </c>
      <c r="AD45" s="1">
        <v>87.2</v>
      </c>
      <c r="AE45" s="1"/>
      <c r="AF45" s="1">
        <f t="shared" si="8"/>
        <v>96.409943100000007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124</v>
      </c>
      <c r="B46" s="1" t="s">
        <v>43</v>
      </c>
      <c r="C46" s="1">
        <v>53</v>
      </c>
      <c r="D46" s="1">
        <v>54</v>
      </c>
      <c r="E46" s="1">
        <v>25</v>
      </c>
      <c r="F46" s="1">
        <v>49</v>
      </c>
      <c r="G46" s="8">
        <v>0.4</v>
      </c>
      <c r="H46" s="1"/>
      <c r="I46" s="1" t="s">
        <v>125</v>
      </c>
      <c r="J46" s="1"/>
      <c r="K46" s="1">
        <v>43</v>
      </c>
      <c r="L46" s="1">
        <f t="shared" si="9"/>
        <v>-18</v>
      </c>
      <c r="M46" s="1">
        <f t="shared" si="10"/>
        <v>25</v>
      </c>
      <c r="N46" s="1"/>
      <c r="O46" s="1"/>
      <c r="P46" s="1">
        <v>18.400000000000009</v>
      </c>
      <c r="Q46" s="1"/>
      <c r="R46" s="1"/>
      <c r="S46" s="1">
        <f t="shared" si="11"/>
        <v>5</v>
      </c>
      <c r="T46" s="5"/>
      <c r="U46" s="5"/>
      <c r="V46" s="1"/>
      <c r="W46" s="1">
        <f t="shared" si="12"/>
        <v>13.48</v>
      </c>
      <c r="X46" s="1">
        <f t="shared" si="13"/>
        <v>13.48</v>
      </c>
      <c r="Y46" s="1">
        <v>4.2</v>
      </c>
      <c r="Z46" s="1">
        <v>6.2</v>
      </c>
      <c r="AA46" s="1">
        <v>13.8</v>
      </c>
      <c r="AB46" s="1">
        <v>6</v>
      </c>
      <c r="AC46" s="1">
        <v>7.6</v>
      </c>
      <c r="AD46" s="1">
        <v>3.6</v>
      </c>
      <c r="AE46" s="1" t="s">
        <v>126</v>
      </c>
      <c r="AF46" s="1">
        <f t="shared" si="8"/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127</v>
      </c>
      <c r="B47" s="1" t="s">
        <v>35</v>
      </c>
      <c r="C47" s="1">
        <v>255.066</v>
      </c>
      <c r="D47" s="1">
        <v>1269.7080000000001</v>
      </c>
      <c r="E47" s="1">
        <v>534.01300000000003</v>
      </c>
      <c r="F47" s="1">
        <v>404.49</v>
      </c>
      <c r="G47" s="8">
        <v>1</v>
      </c>
      <c r="H47" s="1"/>
      <c r="I47" s="1" t="s">
        <v>128</v>
      </c>
      <c r="J47" s="1"/>
      <c r="K47" s="1">
        <v>773.10199999999998</v>
      </c>
      <c r="L47" s="1">
        <f t="shared" si="9"/>
        <v>-239.08899999999994</v>
      </c>
      <c r="M47" s="1">
        <f t="shared" si="10"/>
        <v>480.71100000000001</v>
      </c>
      <c r="N47" s="1">
        <v>53.302</v>
      </c>
      <c r="O47" s="1">
        <v>288.20109598200003</v>
      </c>
      <c r="P47" s="1">
        <v>119.1230220000002</v>
      </c>
      <c r="Q47" s="1"/>
      <c r="R47" s="1"/>
      <c r="S47" s="1">
        <f t="shared" si="11"/>
        <v>96.142200000000003</v>
      </c>
      <c r="T47" s="5">
        <f t="shared" ref="T47:T52" si="14">11*S47-R47-Q47-P47-O47-F47</f>
        <v>245.75008201799983</v>
      </c>
      <c r="U47" s="5"/>
      <c r="V47" s="1"/>
      <c r="W47" s="1">
        <f t="shared" si="12"/>
        <v>11</v>
      </c>
      <c r="X47" s="1">
        <f t="shared" si="13"/>
        <v>8.443889550915209</v>
      </c>
      <c r="Y47" s="1">
        <v>102.41540000000001</v>
      </c>
      <c r="Z47" s="1">
        <v>98.602599999999995</v>
      </c>
      <c r="AA47" s="1">
        <v>84.755600000000001</v>
      </c>
      <c r="AB47" s="1">
        <v>107.6558</v>
      </c>
      <c r="AC47" s="1">
        <v>104.7816</v>
      </c>
      <c r="AD47" s="1">
        <v>77.586399999999998</v>
      </c>
      <c r="AE47" s="1" t="s">
        <v>37</v>
      </c>
      <c r="AF47" s="1">
        <f t="shared" si="8"/>
        <v>245.75008201799983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129</v>
      </c>
      <c r="B48" s="1" t="s">
        <v>43</v>
      </c>
      <c r="C48" s="1">
        <v>140</v>
      </c>
      <c r="D48" s="1">
        <v>165</v>
      </c>
      <c r="E48" s="1">
        <v>180</v>
      </c>
      <c r="F48" s="1">
        <v>20</v>
      </c>
      <c r="G48" s="8">
        <v>0.1</v>
      </c>
      <c r="H48" s="1"/>
      <c r="I48" s="1" t="s">
        <v>130</v>
      </c>
      <c r="J48" s="1"/>
      <c r="K48" s="1">
        <v>195</v>
      </c>
      <c r="L48" s="1">
        <f t="shared" si="9"/>
        <v>-15</v>
      </c>
      <c r="M48" s="1">
        <f t="shared" si="10"/>
        <v>180</v>
      </c>
      <c r="N48" s="1"/>
      <c r="O48" s="1"/>
      <c r="P48" s="1">
        <v>189.2</v>
      </c>
      <c r="Q48" s="1"/>
      <c r="R48" s="1"/>
      <c r="S48" s="1">
        <f t="shared" si="11"/>
        <v>36</v>
      </c>
      <c r="T48" s="5">
        <f t="shared" si="14"/>
        <v>186.8</v>
      </c>
      <c r="U48" s="5"/>
      <c r="V48" s="1"/>
      <c r="W48" s="1">
        <f t="shared" si="12"/>
        <v>11</v>
      </c>
      <c r="X48" s="1">
        <f t="shared" si="13"/>
        <v>5.8111111111111109</v>
      </c>
      <c r="Y48" s="1">
        <v>27.6</v>
      </c>
      <c r="Z48" s="1">
        <v>21.6</v>
      </c>
      <c r="AA48" s="1">
        <v>24</v>
      </c>
      <c r="AB48" s="1">
        <v>27.6</v>
      </c>
      <c r="AC48" s="1">
        <v>26.8</v>
      </c>
      <c r="AD48" s="1">
        <v>28.2</v>
      </c>
      <c r="AE48" s="1"/>
      <c r="AF48" s="1">
        <f t="shared" si="8"/>
        <v>18.680000000000003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131</v>
      </c>
      <c r="B49" s="1" t="s">
        <v>35</v>
      </c>
      <c r="C49" s="1">
        <v>390.24200000000002</v>
      </c>
      <c r="D49" s="1">
        <v>1124.3440000000001</v>
      </c>
      <c r="E49" s="1">
        <v>582.39200000000005</v>
      </c>
      <c r="F49" s="1">
        <v>297.00700000000001</v>
      </c>
      <c r="G49" s="8">
        <v>1</v>
      </c>
      <c r="H49" s="1"/>
      <c r="I49" s="1" t="s">
        <v>132</v>
      </c>
      <c r="J49" s="1"/>
      <c r="K49" s="1">
        <v>620.04200000000003</v>
      </c>
      <c r="L49" s="1">
        <f t="shared" si="9"/>
        <v>-37.649999999999977</v>
      </c>
      <c r="M49" s="1">
        <f t="shared" si="10"/>
        <v>582.39200000000005</v>
      </c>
      <c r="N49" s="1"/>
      <c r="O49" s="1">
        <v>92.819371373999985</v>
      </c>
      <c r="P49" s="1">
        <v>238.0829251217184</v>
      </c>
      <c r="Q49" s="1">
        <v>217.42732887828171</v>
      </c>
      <c r="R49" s="1"/>
      <c r="S49" s="1">
        <f t="shared" si="11"/>
        <v>116.47840000000001</v>
      </c>
      <c r="T49" s="5">
        <f t="shared" si="14"/>
        <v>435.92577462599996</v>
      </c>
      <c r="U49" s="5"/>
      <c r="V49" s="1"/>
      <c r="W49" s="1">
        <f t="shared" si="12"/>
        <v>11</v>
      </c>
      <c r="X49" s="1">
        <f t="shared" si="13"/>
        <v>7.2574539603394284</v>
      </c>
      <c r="Y49" s="1">
        <v>107.4956</v>
      </c>
      <c r="Z49" s="1">
        <v>89.548199999999994</v>
      </c>
      <c r="AA49" s="1">
        <v>78.435599999999994</v>
      </c>
      <c r="AB49" s="1">
        <v>86.919399999999996</v>
      </c>
      <c r="AC49" s="1">
        <v>118.1324</v>
      </c>
      <c r="AD49" s="1">
        <v>103.81319999999999</v>
      </c>
      <c r="AE49" s="1"/>
      <c r="AF49" s="1">
        <f t="shared" si="8"/>
        <v>435.92577462599996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133</v>
      </c>
      <c r="B50" s="1" t="s">
        <v>35</v>
      </c>
      <c r="C50" s="1">
        <v>50.52</v>
      </c>
      <c r="D50" s="1">
        <v>43.890999999999998</v>
      </c>
      <c r="E50" s="1">
        <v>24.6</v>
      </c>
      <c r="F50" s="1">
        <v>13.654999999999999</v>
      </c>
      <c r="G50" s="8">
        <v>1</v>
      </c>
      <c r="H50" s="1"/>
      <c r="I50" s="1" t="s">
        <v>134</v>
      </c>
      <c r="J50" s="1"/>
      <c r="K50" s="1">
        <v>26.074999999999999</v>
      </c>
      <c r="L50" s="1">
        <f t="shared" si="9"/>
        <v>-1.4749999999999979</v>
      </c>
      <c r="M50" s="1">
        <f t="shared" si="10"/>
        <v>24.6</v>
      </c>
      <c r="N50" s="1"/>
      <c r="O50" s="1"/>
      <c r="P50" s="1">
        <v>13.541999999999989</v>
      </c>
      <c r="Q50" s="1"/>
      <c r="R50" s="1"/>
      <c r="S50" s="1">
        <f t="shared" si="11"/>
        <v>4.92</v>
      </c>
      <c r="T50" s="5">
        <f t="shared" si="14"/>
        <v>26.923000000000009</v>
      </c>
      <c r="U50" s="5"/>
      <c r="V50" s="1"/>
      <c r="W50" s="1">
        <f t="shared" si="12"/>
        <v>11</v>
      </c>
      <c r="X50" s="1">
        <f t="shared" si="13"/>
        <v>5.5278455284552823</v>
      </c>
      <c r="Y50" s="1">
        <v>4.6549999999999994</v>
      </c>
      <c r="Z50" s="1">
        <v>5.2093999999999996</v>
      </c>
      <c r="AA50" s="1">
        <v>14.451599999999999</v>
      </c>
      <c r="AB50" s="1">
        <v>7.6686000000000014</v>
      </c>
      <c r="AC50" s="1">
        <v>5.4643999999999986</v>
      </c>
      <c r="AD50" s="1">
        <v>7.1104000000000003</v>
      </c>
      <c r="AE50" s="1" t="s">
        <v>135</v>
      </c>
      <c r="AF50" s="1">
        <f t="shared" si="8"/>
        <v>26.923000000000009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136</v>
      </c>
      <c r="B51" s="1" t="s">
        <v>43</v>
      </c>
      <c r="C51" s="1">
        <v>93</v>
      </c>
      <c r="D51" s="1">
        <v>113</v>
      </c>
      <c r="E51" s="1">
        <v>157</v>
      </c>
      <c r="F51" s="1">
        <v>-11</v>
      </c>
      <c r="G51" s="8">
        <v>0.1</v>
      </c>
      <c r="H51" s="1"/>
      <c r="I51" s="1" t="s">
        <v>137</v>
      </c>
      <c r="J51" s="1"/>
      <c r="K51" s="1">
        <v>178</v>
      </c>
      <c r="L51" s="1">
        <f t="shared" si="9"/>
        <v>-21</v>
      </c>
      <c r="M51" s="1">
        <f t="shared" si="10"/>
        <v>157</v>
      </c>
      <c r="N51" s="1"/>
      <c r="O51" s="1"/>
      <c r="P51" s="1">
        <v>170.8</v>
      </c>
      <c r="Q51" s="1"/>
      <c r="R51" s="1"/>
      <c r="S51" s="1">
        <f t="shared" si="11"/>
        <v>31.4</v>
      </c>
      <c r="T51" s="5">
        <f t="shared" si="14"/>
        <v>185.59999999999997</v>
      </c>
      <c r="U51" s="5"/>
      <c r="V51" s="1"/>
      <c r="W51" s="1">
        <f t="shared" si="12"/>
        <v>11</v>
      </c>
      <c r="X51" s="1">
        <f t="shared" si="13"/>
        <v>5.0891719745222934</v>
      </c>
      <c r="Y51" s="1">
        <v>23.4</v>
      </c>
      <c r="Z51" s="1">
        <v>19.600000000000001</v>
      </c>
      <c r="AA51" s="1">
        <v>23</v>
      </c>
      <c r="AB51" s="1">
        <v>23.6</v>
      </c>
      <c r="AC51" s="1">
        <v>20.8</v>
      </c>
      <c r="AD51" s="1">
        <v>23.6</v>
      </c>
      <c r="AE51" s="1"/>
      <c r="AF51" s="1">
        <f t="shared" si="8"/>
        <v>18.559999999999999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138</v>
      </c>
      <c r="B52" s="1" t="s">
        <v>43</v>
      </c>
      <c r="C52" s="1"/>
      <c r="D52" s="1">
        <v>10</v>
      </c>
      <c r="E52" s="1">
        <v>2</v>
      </c>
      <c r="F52" s="1">
        <v>-1</v>
      </c>
      <c r="G52" s="8">
        <v>0.4</v>
      </c>
      <c r="H52" s="1"/>
      <c r="I52" s="1" t="s">
        <v>139</v>
      </c>
      <c r="J52" s="1"/>
      <c r="K52" s="1">
        <v>12</v>
      </c>
      <c r="L52" s="1">
        <f t="shared" si="9"/>
        <v>-10</v>
      </c>
      <c r="M52" s="1">
        <f t="shared" si="10"/>
        <v>2</v>
      </c>
      <c r="N52" s="1"/>
      <c r="O52" s="1"/>
      <c r="P52" s="1">
        <v>0</v>
      </c>
      <c r="Q52" s="1"/>
      <c r="R52" s="1"/>
      <c r="S52" s="1">
        <f t="shared" si="11"/>
        <v>0.4</v>
      </c>
      <c r="T52" s="5">
        <v>8</v>
      </c>
      <c r="U52" s="5"/>
      <c r="V52" s="1"/>
      <c r="W52" s="1">
        <f t="shared" si="12"/>
        <v>17.5</v>
      </c>
      <c r="X52" s="1">
        <f t="shared" si="13"/>
        <v>-2.5</v>
      </c>
      <c r="Y52" s="1">
        <v>0</v>
      </c>
      <c r="Z52" s="1">
        <v>0</v>
      </c>
      <c r="AA52" s="1">
        <v>0.2</v>
      </c>
      <c r="AB52" s="1">
        <v>1</v>
      </c>
      <c r="AC52" s="1">
        <v>0.8</v>
      </c>
      <c r="AD52" s="1">
        <v>0.6</v>
      </c>
      <c r="AE52" s="1"/>
      <c r="AF52" s="1">
        <f t="shared" si="8"/>
        <v>3.2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140</v>
      </c>
      <c r="B53" s="1" t="s">
        <v>35</v>
      </c>
      <c r="C53" s="1">
        <v>3.9790000000000001</v>
      </c>
      <c r="D53" s="1">
        <v>274.64400000000001</v>
      </c>
      <c r="E53" s="1">
        <v>2.2909999999999999</v>
      </c>
      <c r="F53" s="1">
        <v>223.72200000000001</v>
      </c>
      <c r="G53" s="8">
        <v>1</v>
      </c>
      <c r="H53" s="1"/>
      <c r="I53" s="1" t="s">
        <v>141</v>
      </c>
      <c r="J53" s="1"/>
      <c r="K53" s="1">
        <v>33.799999999999997</v>
      </c>
      <c r="L53" s="1">
        <f t="shared" si="9"/>
        <v>-31.508999999999997</v>
      </c>
      <c r="M53" s="1">
        <f t="shared" si="10"/>
        <v>2.2909999999999999</v>
      </c>
      <c r="N53" s="1"/>
      <c r="O53" s="1"/>
      <c r="P53" s="1">
        <v>0</v>
      </c>
      <c r="Q53" s="1"/>
      <c r="R53" s="1"/>
      <c r="S53" s="1">
        <f t="shared" si="11"/>
        <v>0.4582</v>
      </c>
      <c r="T53" s="5"/>
      <c r="U53" s="5"/>
      <c r="V53" s="1"/>
      <c r="W53" s="1">
        <f t="shared" si="12"/>
        <v>488.26276735050197</v>
      </c>
      <c r="X53" s="1">
        <f t="shared" si="13"/>
        <v>488.26276735050197</v>
      </c>
      <c r="Y53" s="1">
        <v>4.8795999999999999</v>
      </c>
      <c r="Z53" s="1">
        <v>24.591000000000001</v>
      </c>
      <c r="AA53" s="1">
        <v>22.217199999999998</v>
      </c>
      <c r="AB53" s="1">
        <v>17.740400000000001</v>
      </c>
      <c r="AC53" s="1">
        <v>8.1560000000000006</v>
      </c>
      <c r="AD53" s="1">
        <v>6.88</v>
      </c>
      <c r="AE53" s="1"/>
      <c r="AF53" s="1">
        <f t="shared" si="8"/>
        <v>0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142</v>
      </c>
      <c r="B54" s="1" t="s">
        <v>35</v>
      </c>
      <c r="C54" s="1">
        <v>18.693000000000001</v>
      </c>
      <c r="D54" s="1">
        <v>2.694</v>
      </c>
      <c r="E54" s="1">
        <v>18.617999999999999</v>
      </c>
      <c r="F54" s="1">
        <v>2.7690000000000001</v>
      </c>
      <c r="G54" s="8">
        <v>1</v>
      </c>
      <c r="H54" s="1"/>
      <c r="I54" s="1" t="s">
        <v>143</v>
      </c>
      <c r="J54" s="1"/>
      <c r="K54" s="1">
        <v>17.600000000000001</v>
      </c>
      <c r="L54" s="1">
        <f t="shared" si="9"/>
        <v>1.0179999999999971</v>
      </c>
      <c r="M54" s="1">
        <f t="shared" si="10"/>
        <v>18.617999999999999</v>
      </c>
      <c r="N54" s="1"/>
      <c r="O54" s="1"/>
      <c r="P54" s="1">
        <v>56.841999999999999</v>
      </c>
      <c r="Q54" s="1"/>
      <c r="R54" s="1"/>
      <c r="S54" s="1">
        <f t="shared" si="11"/>
        <v>3.7235999999999998</v>
      </c>
      <c r="T54" s="5"/>
      <c r="U54" s="5"/>
      <c r="V54" s="1"/>
      <c r="W54" s="1">
        <f t="shared" si="12"/>
        <v>16.008969814158341</v>
      </c>
      <c r="X54" s="1">
        <f t="shared" si="13"/>
        <v>16.008969814158341</v>
      </c>
      <c r="Y54" s="1">
        <v>8.1310000000000002</v>
      </c>
      <c r="Z54" s="1">
        <v>7.1864000000000008</v>
      </c>
      <c r="AA54" s="1">
        <v>4.3975999999999997</v>
      </c>
      <c r="AB54" s="1">
        <v>3.7995999999999999</v>
      </c>
      <c r="AC54" s="1">
        <v>5.4703999999999997</v>
      </c>
      <c r="AD54" s="1">
        <v>2.8157999999999999</v>
      </c>
      <c r="AE54" s="1"/>
      <c r="AF54" s="1">
        <f t="shared" si="8"/>
        <v>0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144</v>
      </c>
      <c r="B55" s="1" t="s">
        <v>43</v>
      </c>
      <c r="C55" s="1">
        <v>13</v>
      </c>
      <c r="D55" s="1">
        <v>1586</v>
      </c>
      <c r="E55" s="1">
        <v>419</v>
      </c>
      <c r="F55" s="1">
        <v>411</v>
      </c>
      <c r="G55" s="8">
        <v>0.4</v>
      </c>
      <c r="H55" s="1"/>
      <c r="I55" s="1" t="s">
        <v>145</v>
      </c>
      <c r="J55" s="1"/>
      <c r="K55" s="1">
        <v>656</v>
      </c>
      <c r="L55" s="1">
        <f t="shared" si="9"/>
        <v>-237</v>
      </c>
      <c r="M55" s="1">
        <f t="shared" si="10"/>
        <v>419</v>
      </c>
      <c r="N55" s="1"/>
      <c r="O55" s="1"/>
      <c r="P55" s="1">
        <v>0</v>
      </c>
      <c r="Q55" s="1"/>
      <c r="R55" s="1"/>
      <c r="S55" s="1">
        <f t="shared" si="11"/>
        <v>83.8</v>
      </c>
      <c r="T55" s="5">
        <f>11*S55-R55-Q55-P55-O55-F55</f>
        <v>510.79999999999995</v>
      </c>
      <c r="U55" s="5"/>
      <c r="V55" s="1"/>
      <c r="W55" s="1">
        <f t="shared" si="12"/>
        <v>11</v>
      </c>
      <c r="X55" s="1">
        <f t="shared" si="13"/>
        <v>4.9045346062052504</v>
      </c>
      <c r="Y55" s="1">
        <v>22.4</v>
      </c>
      <c r="Z55" s="1">
        <v>59.2</v>
      </c>
      <c r="AA55" s="1">
        <v>122.8</v>
      </c>
      <c r="AB55" s="1">
        <v>126</v>
      </c>
      <c r="AC55" s="1">
        <v>127.8</v>
      </c>
      <c r="AD55" s="1">
        <v>117.2</v>
      </c>
      <c r="AE55" s="1"/>
      <c r="AF55" s="1">
        <f t="shared" ref="AF55:AF86" si="15">G55*T55</f>
        <v>204.32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146</v>
      </c>
      <c r="B56" s="1" t="s">
        <v>43</v>
      </c>
      <c r="C56" s="1">
        <v>268</v>
      </c>
      <c r="D56" s="1">
        <v>1213</v>
      </c>
      <c r="E56" s="1">
        <v>464</v>
      </c>
      <c r="F56" s="1">
        <v>394</v>
      </c>
      <c r="G56" s="8">
        <v>0.4</v>
      </c>
      <c r="H56" s="1"/>
      <c r="I56" s="1" t="s">
        <v>147</v>
      </c>
      <c r="J56" s="1"/>
      <c r="K56" s="1">
        <v>489</v>
      </c>
      <c r="L56" s="1">
        <f t="shared" si="9"/>
        <v>-25</v>
      </c>
      <c r="M56" s="1">
        <f t="shared" si="10"/>
        <v>464</v>
      </c>
      <c r="N56" s="1"/>
      <c r="O56" s="1">
        <v>124.1111519999999</v>
      </c>
      <c r="P56" s="1">
        <v>198.39200000000011</v>
      </c>
      <c r="Q56" s="1"/>
      <c r="R56" s="1"/>
      <c r="S56" s="1">
        <f t="shared" si="11"/>
        <v>92.8</v>
      </c>
      <c r="T56" s="5">
        <f>11*S56-R56-Q56-P56-O56-F56</f>
        <v>304.29684799999995</v>
      </c>
      <c r="U56" s="5"/>
      <c r="V56" s="1"/>
      <c r="W56" s="1">
        <f t="shared" si="12"/>
        <v>11</v>
      </c>
      <c r="X56" s="1">
        <f t="shared" si="13"/>
        <v>7.720939137931035</v>
      </c>
      <c r="Y56" s="1">
        <v>85.8</v>
      </c>
      <c r="Z56" s="1">
        <v>85.6</v>
      </c>
      <c r="AA56" s="1">
        <v>89</v>
      </c>
      <c r="AB56" s="1">
        <v>88</v>
      </c>
      <c r="AC56" s="1">
        <v>87</v>
      </c>
      <c r="AD56" s="1">
        <v>87.2</v>
      </c>
      <c r="AE56" s="1"/>
      <c r="AF56" s="1">
        <f t="shared" si="15"/>
        <v>121.71873919999999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148</v>
      </c>
      <c r="B57" s="1" t="s">
        <v>35</v>
      </c>
      <c r="C57" s="1"/>
      <c r="D57" s="1">
        <v>175.16900000000001</v>
      </c>
      <c r="E57" s="1">
        <v>28.218</v>
      </c>
      <c r="F57" s="1">
        <v>134.32</v>
      </c>
      <c r="G57" s="8">
        <v>1</v>
      </c>
      <c r="H57" s="1"/>
      <c r="I57" s="1" t="s">
        <v>149</v>
      </c>
      <c r="J57" s="1"/>
      <c r="K57" s="1">
        <v>29.8</v>
      </c>
      <c r="L57" s="1">
        <f t="shared" si="9"/>
        <v>-1.5820000000000007</v>
      </c>
      <c r="M57" s="1">
        <f t="shared" si="10"/>
        <v>28.218</v>
      </c>
      <c r="N57" s="1"/>
      <c r="O57" s="1"/>
      <c r="P57" s="1">
        <v>0</v>
      </c>
      <c r="Q57" s="1"/>
      <c r="R57" s="1"/>
      <c r="S57" s="1">
        <f t="shared" si="11"/>
        <v>5.6436000000000002</v>
      </c>
      <c r="T57" s="5"/>
      <c r="U57" s="5"/>
      <c r="V57" s="1"/>
      <c r="W57" s="1">
        <f t="shared" si="12"/>
        <v>23.80041108512297</v>
      </c>
      <c r="X57" s="1">
        <f t="shared" si="13"/>
        <v>23.80041108512297</v>
      </c>
      <c r="Y57" s="1">
        <v>0.72619999999999996</v>
      </c>
      <c r="Z57" s="1">
        <v>-0.1802</v>
      </c>
      <c r="AA57" s="1">
        <v>5.9652000000000003</v>
      </c>
      <c r="AB57" s="1">
        <v>10.678800000000001</v>
      </c>
      <c r="AC57" s="1">
        <v>7.9730000000000008</v>
      </c>
      <c r="AD57" s="1">
        <v>16.890599999999999</v>
      </c>
      <c r="AE57" s="1"/>
      <c r="AF57" s="1">
        <f t="shared" si="15"/>
        <v>0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150</v>
      </c>
      <c r="B58" s="1" t="s">
        <v>35</v>
      </c>
      <c r="C58" s="1">
        <v>42.902000000000001</v>
      </c>
      <c r="D58" s="1">
        <v>125.63</v>
      </c>
      <c r="E58" s="1">
        <v>28.933</v>
      </c>
      <c r="F58" s="1">
        <v>96.525999999999996</v>
      </c>
      <c r="G58" s="8">
        <v>1</v>
      </c>
      <c r="H58" s="1"/>
      <c r="I58" s="1" t="s">
        <v>151</v>
      </c>
      <c r="J58" s="1"/>
      <c r="K58" s="1">
        <v>37.6</v>
      </c>
      <c r="L58" s="1">
        <f t="shared" si="9"/>
        <v>-8.6670000000000016</v>
      </c>
      <c r="M58" s="1">
        <f t="shared" si="10"/>
        <v>28.933</v>
      </c>
      <c r="N58" s="1"/>
      <c r="O58" s="1">
        <v>62.96256183600002</v>
      </c>
      <c r="P58" s="1">
        <v>0</v>
      </c>
      <c r="Q58" s="1"/>
      <c r="R58" s="1"/>
      <c r="S58" s="1">
        <f t="shared" si="11"/>
        <v>5.7866</v>
      </c>
      <c r="T58" s="5"/>
      <c r="U58" s="5"/>
      <c r="V58" s="1"/>
      <c r="W58" s="1">
        <f t="shared" si="12"/>
        <v>27.561704945218267</v>
      </c>
      <c r="X58" s="1">
        <f t="shared" si="13"/>
        <v>27.561704945218267</v>
      </c>
      <c r="Y58" s="1">
        <v>13.375400000000001</v>
      </c>
      <c r="Z58" s="1">
        <v>12.828799999999999</v>
      </c>
      <c r="AA58" s="1">
        <v>10.311199999999999</v>
      </c>
      <c r="AB58" s="1">
        <v>15.530799999999999</v>
      </c>
      <c r="AC58" s="1">
        <v>14.7936</v>
      </c>
      <c r="AD58" s="1">
        <v>10.8622</v>
      </c>
      <c r="AE58" s="1" t="s">
        <v>50</v>
      </c>
      <c r="AF58" s="1">
        <f t="shared" si="15"/>
        <v>0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152</v>
      </c>
      <c r="B59" s="1" t="s">
        <v>35</v>
      </c>
      <c r="C59" s="1">
        <v>248.80199999999999</v>
      </c>
      <c r="D59" s="1">
        <v>2397.7820000000002</v>
      </c>
      <c r="E59" s="1">
        <v>602.46100000000001</v>
      </c>
      <c r="F59" s="1">
        <v>1447.752</v>
      </c>
      <c r="G59" s="8">
        <v>1</v>
      </c>
      <c r="H59" s="1"/>
      <c r="I59" s="1" t="s">
        <v>153</v>
      </c>
      <c r="J59" s="1"/>
      <c r="K59" s="1">
        <v>626.9</v>
      </c>
      <c r="L59" s="1">
        <f t="shared" si="9"/>
        <v>-24.438999999999965</v>
      </c>
      <c r="M59" s="1">
        <f t="shared" si="10"/>
        <v>602.46100000000001</v>
      </c>
      <c r="N59" s="1"/>
      <c r="O59" s="1">
        <v>982.98442807200013</v>
      </c>
      <c r="P59" s="1">
        <v>0</v>
      </c>
      <c r="Q59" s="1"/>
      <c r="R59" s="1"/>
      <c r="S59" s="1">
        <f t="shared" si="11"/>
        <v>120.4922</v>
      </c>
      <c r="T59" s="5"/>
      <c r="U59" s="5"/>
      <c r="V59" s="1"/>
      <c r="W59" s="1">
        <f t="shared" si="12"/>
        <v>20.173392369564173</v>
      </c>
      <c r="X59" s="1">
        <f t="shared" si="13"/>
        <v>20.173392369564173</v>
      </c>
      <c r="Y59" s="1">
        <v>204.0352</v>
      </c>
      <c r="Z59" s="1">
        <v>200.19560000000001</v>
      </c>
      <c r="AA59" s="1">
        <v>168.12540000000001</v>
      </c>
      <c r="AB59" s="1">
        <v>125.8494</v>
      </c>
      <c r="AC59" s="1">
        <v>147.98500000000001</v>
      </c>
      <c r="AD59" s="1">
        <v>131.74639999999999</v>
      </c>
      <c r="AE59" s="1" t="s">
        <v>154</v>
      </c>
      <c r="AF59" s="1">
        <f t="shared" si="15"/>
        <v>0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155</v>
      </c>
      <c r="B60" s="1" t="s">
        <v>35</v>
      </c>
      <c r="C60" s="1">
        <v>63.618000000000002</v>
      </c>
      <c r="D60" s="1">
        <v>69.034999999999997</v>
      </c>
      <c r="E60" s="1">
        <v>50.99</v>
      </c>
      <c r="F60" s="1">
        <v>10.01</v>
      </c>
      <c r="G60" s="8">
        <v>1</v>
      </c>
      <c r="H60" s="1"/>
      <c r="I60" s="1" t="s">
        <v>156</v>
      </c>
      <c r="J60" s="1"/>
      <c r="K60" s="1">
        <v>60.6</v>
      </c>
      <c r="L60" s="1">
        <f t="shared" si="9"/>
        <v>-9.61</v>
      </c>
      <c r="M60" s="1">
        <f t="shared" si="10"/>
        <v>50.99</v>
      </c>
      <c r="N60" s="1"/>
      <c r="O60" s="1"/>
      <c r="P60" s="1">
        <v>67.640800000000013</v>
      </c>
      <c r="Q60" s="1"/>
      <c r="R60" s="1"/>
      <c r="S60" s="1">
        <f t="shared" si="11"/>
        <v>10.198</v>
      </c>
      <c r="T60" s="5">
        <f>11*S60-R60-Q60-P60-O60-F60</f>
        <v>34.527199999999986</v>
      </c>
      <c r="U60" s="5"/>
      <c r="V60" s="1"/>
      <c r="W60" s="1">
        <f t="shared" si="12"/>
        <v>11</v>
      </c>
      <c r="X60" s="1">
        <f t="shared" si="13"/>
        <v>7.6143165326534632</v>
      </c>
      <c r="Y60" s="1">
        <v>9.1614000000000004</v>
      </c>
      <c r="Z60" s="1">
        <v>9.3217999999999996</v>
      </c>
      <c r="AA60" s="1">
        <v>17.030799999999999</v>
      </c>
      <c r="AB60" s="1">
        <v>13.9878</v>
      </c>
      <c r="AC60" s="1">
        <v>7.6651999999999996</v>
      </c>
      <c r="AD60" s="1">
        <v>13.283799999999999</v>
      </c>
      <c r="AE60" s="1"/>
      <c r="AF60" s="1">
        <f t="shared" si="15"/>
        <v>34.527199999999986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157</v>
      </c>
      <c r="B61" s="1" t="s">
        <v>35</v>
      </c>
      <c r="C61" s="1">
        <v>1355.146</v>
      </c>
      <c r="D61" s="1">
        <v>309.04300000000001</v>
      </c>
      <c r="E61" s="1">
        <v>347.4</v>
      </c>
      <c r="F61" s="1">
        <v>947.20500000000004</v>
      </c>
      <c r="G61" s="8">
        <v>1</v>
      </c>
      <c r="H61" s="1"/>
      <c r="I61" s="1" t="s">
        <v>158</v>
      </c>
      <c r="J61" s="1"/>
      <c r="K61" s="1">
        <v>380.9</v>
      </c>
      <c r="L61" s="1">
        <f t="shared" si="9"/>
        <v>-33.5</v>
      </c>
      <c r="M61" s="1">
        <f t="shared" si="10"/>
        <v>347.4</v>
      </c>
      <c r="N61" s="1"/>
      <c r="O61" s="1"/>
      <c r="P61" s="1">
        <v>0</v>
      </c>
      <c r="Q61" s="1"/>
      <c r="R61" s="1"/>
      <c r="S61" s="1">
        <f t="shared" si="11"/>
        <v>69.47999999999999</v>
      </c>
      <c r="T61" s="5"/>
      <c r="U61" s="5"/>
      <c r="V61" s="1"/>
      <c r="W61" s="1">
        <f t="shared" si="12"/>
        <v>13.63277202072539</v>
      </c>
      <c r="X61" s="1">
        <f t="shared" si="13"/>
        <v>13.63277202072539</v>
      </c>
      <c r="Y61" s="1">
        <v>56.1828</v>
      </c>
      <c r="Z61" s="1">
        <v>55.811199999999999</v>
      </c>
      <c r="AA61" s="1">
        <v>100.8188</v>
      </c>
      <c r="AB61" s="1">
        <v>49.721200000000003</v>
      </c>
      <c r="AC61" s="1">
        <v>194.2208</v>
      </c>
      <c r="AD61" s="1">
        <v>53.8812</v>
      </c>
      <c r="AE61" s="1"/>
      <c r="AF61" s="1">
        <f t="shared" si="15"/>
        <v>0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159</v>
      </c>
      <c r="B62" s="1" t="s">
        <v>43</v>
      </c>
      <c r="C62" s="1">
        <v>293</v>
      </c>
      <c r="D62" s="1">
        <v>5929</v>
      </c>
      <c r="E62" s="1">
        <v>765</v>
      </c>
      <c r="F62" s="1">
        <v>895</v>
      </c>
      <c r="G62" s="8">
        <v>0.6</v>
      </c>
      <c r="H62" s="1"/>
      <c r="I62" s="1" t="s">
        <v>160</v>
      </c>
      <c r="J62" s="1"/>
      <c r="K62" s="1">
        <v>768</v>
      </c>
      <c r="L62" s="1">
        <f t="shared" si="9"/>
        <v>-3</v>
      </c>
      <c r="M62" s="1">
        <f t="shared" si="10"/>
        <v>765</v>
      </c>
      <c r="N62" s="1"/>
      <c r="O62" s="1">
        <v>452.5954200000001</v>
      </c>
      <c r="P62" s="1">
        <v>126.9154653937947</v>
      </c>
      <c r="Q62" s="1">
        <v>115.9045346062052</v>
      </c>
      <c r="R62" s="1"/>
      <c r="S62" s="1">
        <f t="shared" si="11"/>
        <v>153</v>
      </c>
      <c r="T62" s="5">
        <f>11*S62-R62-Q62-P62-O62-F62</f>
        <v>92.58457999999996</v>
      </c>
      <c r="U62" s="5"/>
      <c r="V62" s="1"/>
      <c r="W62" s="1">
        <f t="shared" si="12"/>
        <v>11</v>
      </c>
      <c r="X62" s="1">
        <f t="shared" si="13"/>
        <v>10.394872026143791</v>
      </c>
      <c r="Y62" s="1">
        <v>154</v>
      </c>
      <c r="Z62" s="1">
        <v>159</v>
      </c>
      <c r="AA62" s="1">
        <v>120.8</v>
      </c>
      <c r="AB62" s="1">
        <v>97.6</v>
      </c>
      <c r="AC62" s="1">
        <v>295</v>
      </c>
      <c r="AD62" s="1">
        <v>193.6</v>
      </c>
      <c r="AE62" s="1"/>
      <c r="AF62" s="1">
        <f t="shared" si="15"/>
        <v>55.550747999999977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161</v>
      </c>
      <c r="B63" s="1" t="s">
        <v>43</v>
      </c>
      <c r="C63" s="1">
        <v>311</v>
      </c>
      <c r="D63" s="1">
        <v>2378</v>
      </c>
      <c r="E63" s="1">
        <v>606</v>
      </c>
      <c r="F63" s="1">
        <v>464</v>
      </c>
      <c r="G63" s="8">
        <v>0.6</v>
      </c>
      <c r="H63" s="1"/>
      <c r="I63" s="1" t="s">
        <v>162</v>
      </c>
      <c r="J63" s="1"/>
      <c r="K63" s="1">
        <v>606</v>
      </c>
      <c r="L63" s="1">
        <f t="shared" si="9"/>
        <v>0</v>
      </c>
      <c r="M63" s="1">
        <f t="shared" si="10"/>
        <v>606</v>
      </c>
      <c r="N63" s="1"/>
      <c r="O63" s="1"/>
      <c r="P63" s="1">
        <v>140.18090692124099</v>
      </c>
      <c r="Q63" s="1">
        <v>128.01909307875891</v>
      </c>
      <c r="R63" s="1"/>
      <c r="S63" s="1">
        <f t="shared" si="11"/>
        <v>121.2</v>
      </c>
      <c r="T63" s="5">
        <f>10*S63-R63-Q63-P63-O63-F63</f>
        <v>479.80000000000007</v>
      </c>
      <c r="U63" s="5"/>
      <c r="V63" s="1"/>
      <c r="W63" s="1">
        <f t="shared" si="12"/>
        <v>10</v>
      </c>
      <c r="X63" s="1">
        <f t="shared" si="13"/>
        <v>6.0412541254125403</v>
      </c>
      <c r="Y63" s="1">
        <v>86.6</v>
      </c>
      <c r="Z63" s="1">
        <v>75.2</v>
      </c>
      <c r="AA63" s="1">
        <v>84.2</v>
      </c>
      <c r="AB63" s="1">
        <v>80.8</v>
      </c>
      <c r="AC63" s="1">
        <v>83</v>
      </c>
      <c r="AD63" s="1">
        <v>106.2</v>
      </c>
      <c r="AE63" s="1"/>
      <c r="AF63" s="1">
        <f t="shared" si="15"/>
        <v>287.88000000000005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164</v>
      </c>
      <c r="B64" s="1" t="s">
        <v>43</v>
      </c>
      <c r="C64" s="1">
        <v>48</v>
      </c>
      <c r="D64" s="1">
        <v>101</v>
      </c>
      <c r="E64" s="1">
        <v>44</v>
      </c>
      <c r="F64" s="1">
        <v>73</v>
      </c>
      <c r="G64" s="8">
        <v>0.35</v>
      </c>
      <c r="H64" s="1"/>
      <c r="I64" s="1" t="s">
        <v>165</v>
      </c>
      <c r="J64" s="1"/>
      <c r="K64" s="1">
        <v>51</v>
      </c>
      <c r="L64" s="1">
        <f t="shared" si="9"/>
        <v>-7</v>
      </c>
      <c r="M64" s="1">
        <f t="shared" si="10"/>
        <v>44</v>
      </c>
      <c r="N64" s="1"/>
      <c r="O64" s="1">
        <v>46.798110000000008</v>
      </c>
      <c r="P64" s="1">
        <v>80.31</v>
      </c>
      <c r="Q64" s="1"/>
      <c r="R64" s="1"/>
      <c r="S64" s="1">
        <f t="shared" si="11"/>
        <v>8.8000000000000007</v>
      </c>
      <c r="T64" s="5"/>
      <c r="U64" s="5"/>
      <c r="V64" s="1"/>
      <c r="W64" s="1">
        <f t="shared" si="12"/>
        <v>22.739557954545454</v>
      </c>
      <c r="X64" s="1">
        <f t="shared" si="13"/>
        <v>22.739557954545454</v>
      </c>
      <c r="Y64" s="1">
        <v>17</v>
      </c>
      <c r="Z64" s="1">
        <v>11</v>
      </c>
      <c r="AA64" s="1">
        <v>5.4</v>
      </c>
      <c r="AB64" s="1">
        <v>7.6</v>
      </c>
      <c r="AC64" s="1">
        <v>11.8</v>
      </c>
      <c r="AD64" s="1">
        <v>4.8</v>
      </c>
      <c r="AE64" s="1"/>
      <c r="AF64" s="1">
        <f t="shared" si="15"/>
        <v>0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166</v>
      </c>
      <c r="B65" s="1" t="s">
        <v>43</v>
      </c>
      <c r="C65" s="1">
        <v>110</v>
      </c>
      <c r="D65" s="1">
        <v>413</v>
      </c>
      <c r="E65" s="1">
        <v>79</v>
      </c>
      <c r="F65" s="1">
        <v>235</v>
      </c>
      <c r="G65" s="8">
        <v>0.37</v>
      </c>
      <c r="H65" s="1"/>
      <c r="I65" s="1" t="s">
        <v>167</v>
      </c>
      <c r="J65" s="1"/>
      <c r="K65" s="1">
        <v>138</v>
      </c>
      <c r="L65" s="1">
        <f t="shared" si="9"/>
        <v>-59</v>
      </c>
      <c r="M65" s="1">
        <f t="shared" si="10"/>
        <v>79</v>
      </c>
      <c r="N65" s="1"/>
      <c r="O65" s="1">
        <v>58.337370000000007</v>
      </c>
      <c r="P65" s="1">
        <v>0</v>
      </c>
      <c r="Q65" s="1"/>
      <c r="R65" s="1"/>
      <c r="S65" s="1">
        <f t="shared" si="11"/>
        <v>15.8</v>
      </c>
      <c r="T65" s="5"/>
      <c r="U65" s="5"/>
      <c r="V65" s="1"/>
      <c r="W65" s="1">
        <f t="shared" si="12"/>
        <v>18.565656329113924</v>
      </c>
      <c r="X65" s="1">
        <f t="shared" si="13"/>
        <v>18.565656329113924</v>
      </c>
      <c r="Y65" s="1">
        <v>23.6</v>
      </c>
      <c r="Z65" s="1">
        <v>31</v>
      </c>
      <c r="AA65" s="1">
        <v>21.4</v>
      </c>
      <c r="AB65" s="1">
        <v>22.4</v>
      </c>
      <c r="AC65" s="1">
        <v>30.2</v>
      </c>
      <c r="AD65" s="1">
        <v>14</v>
      </c>
      <c r="AE65" s="1"/>
      <c r="AF65" s="1">
        <f t="shared" si="15"/>
        <v>0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168</v>
      </c>
      <c r="B66" s="1" t="s">
        <v>43</v>
      </c>
      <c r="C66" s="1">
        <v>464</v>
      </c>
      <c r="D66" s="1">
        <v>1496</v>
      </c>
      <c r="E66" s="1">
        <v>257</v>
      </c>
      <c r="F66" s="1">
        <v>194</v>
      </c>
      <c r="G66" s="8">
        <v>0.6</v>
      </c>
      <c r="H66" s="1"/>
      <c r="I66" s="1" t="s">
        <v>169</v>
      </c>
      <c r="J66" s="1"/>
      <c r="K66" s="1">
        <v>279</v>
      </c>
      <c r="L66" s="1">
        <f t="shared" si="9"/>
        <v>-22</v>
      </c>
      <c r="M66" s="1">
        <f t="shared" si="10"/>
        <v>257</v>
      </c>
      <c r="N66" s="1"/>
      <c r="O66" s="1"/>
      <c r="P66" s="1">
        <v>130.04105011933169</v>
      </c>
      <c r="Q66" s="1">
        <v>118.7589498806682</v>
      </c>
      <c r="R66" s="1"/>
      <c r="S66" s="1">
        <f t="shared" si="11"/>
        <v>51.4</v>
      </c>
      <c r="T66" s="5">
        <f>11*S66-R66-Q66-P66-O66-F66</f>
        <v>122.60000000000014</v>
      </c>
      <c r="U66" s="5"/>
      <c r="V66" s="1"/>
      <c r="W66" s="1">
        <f t="shared" si="12"/>
        <v>11</v>
      </c>
      <c r="X66" s="1">
        <f t="shared" si="13"/>
        <v>8.6147859922178966</v>
      </c>
      <c r="Y66" s="1">
        <v>44.4</v>
      </c>
      <c r="Z66" s="1">
        <v>22.8</v>
      </c>
      <c r="AA66" s="1">
        <v>112.8</v>
      </c>
      <c r="AB66" s="1">
        <v>42</v>
      </c>
      <c r="AC66" s="1">
        <v>61</v>
      </c>
      <c r="AD66" s="1">
        <v>15</v>
      </c>
      <c r="AE66" s="1" t="s">
        <v>163</v>
      </c>
      <c r="AF66" s="1">
        <f t="shared" si="15"/>
        <v>73.560000000000073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170</v>
      </c>
      <c r="B67" s="1" t="s">
        <v>43</v>
      </c>
      <c r="C67" s="1"/>
      <c r="D67" s="1">
        <v>139</v>
      </c>
      <c r="E67" s="1">
        <v>48</v>
      </c>
      <c r="F67" s="1">
        <v>77</v>
      </c>
      <c r="G67" s="8">
        <v>0.33</v>
      </c>
      <c r="H67" s="1"/>
      <c r="I67" s="1" t="s">
        <v>171</v>
      </c>
      <c r="J67" s="1"/>
      <c r="K67" s="1">
        <v>86</v>
      </c>
      <c r="L67" s="1">
        <f t="shared" si="9"/>
        <v>-38</v>
      </c>
      <c r="M67" s="1">
        <f t="shared" si="10"/>
        <v>48</v>
      </c>
      <c r="N67" s="1"/>
      <c r="O67" s="1"/>
      <c r="P67" s="1">
        <v>0</v>
      </c>
      <c r="Q67" s="1"/>
      <c r="R67" s="1"/>
      <c r="S67" s="1">
        <f t="shared" si="11"/>
        <v>9.6</v>
      </c>
      <c r="T67" s="5">
        <f>11*S67-R67-Q67-P67-O67-F67</f>
        <v>28.599999999999994</v>
      </c>
      <c r="U67" s="5"/>
      <c r="V67" s="1"/>
      <c r="W67" s="1">
        <f t="shared" si="12"/>
        <v>11</v>
      </c>
      <c r="X67" s="1">
        <f t="shared" si="13"/>
        <v>8.0208333333333339</v>
      </c>
      <c r="Y67" s="1">
        <v>4.2</v>
      </c>
      <c r="Z67" s="1">
        <v>12</v>
      </c>
      <c r="AA67" s="1">
        <v>13.6</v>
      </c>
      <c r="AB67" s="1">
        <v>21</v>
      </c>
      <c r="AC67" s="1">
        <v>7</v>
      </c>
      <c r="AD67" s="1">
        <v>13.4</v>
      </c>
      <c r="AE67" s="1"/>
      <c r="AF67" s="1">
        <f t="shared" si="15"/>
        <v>9.4379999999999988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172</v>
      </c>
      <c r="B68" s="1" t="s">
        <v>43</v>
      </c>
      <c r="C68" s="1">
        <v>70.260000000000005</v>
      </c>
      <c r="D68" s="1">
        <v>48.74</v>
      </c>
      <c r="E68" s="1">
        <v>68</v>
      </c>
      <c r="F68" s="1">
        <v>1</v>
      </c>
      <c r="G68" s="8">
        <v>0.4</v>
      </c>
      <c r="H68" s="1"/>
      <c r="I68" s="1" t="s">
        <v>173</v>
      </c>
      <c r="J68" s="1"/>
      <c r="K68" s="1">
        <v>92</v>
      </c>
      <c r="L68" s="1">
        <f t="shared" si="9"/>
        <v>-24</v>
      </c>
      <c r="M68" s="1">
        <f t="shared" si="10"/>
        <v>68</v>
      </c>
      <c r="N68" s="1"/>
      <c r="O68" s="1"/>
      <c r="P68" s="1">
        <v>87.539999999999992</v>
      </c>
      <c r="Q68" s="1"/>
      <c r="R68" s="1"/>
      <c r="S68" s="1">
        <f t="shared" si="11"/>
        <v>13.6</v>
      </c>
      <c r="T68" s="5">
        <f>11*S68-R68-Q68-P68-O68-F68</f>
        <v>61.06</v>
      </c>
      <c r="U68" s="5"/>
      <c r="V68" s="1"/>
      <c r="W68" s="1">
        <f t="shared" si="12"/>
        <v>11</v>
      </c>
      <c r="X68" s="1">
        <f t="shared" si="13"/>
        <v>6.5102941176470583</v>
      </c>
      <c r="Y68" s="1">
        <v>13.2</v>
      </c>
      <c r="Z68" s="1">
        <v>10.148</v>
      </c>
      <c r="AA68" s="1">
        <v>10.6</v>
      </c>
      <c r="AB68" s="1">
        <v>12.2</v>
      </c>
      <c r="AC68" s="1">
        <v>11.8</v>
      </c>
      <c r="AD68" s="1">
        <v>9.6</v>
      </c>
      <c r="AE68" s="1"/>
      <c r="AF68" s="1">
        <f t="shared" si="15"/>
        <v>24.424000000000003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174</v>
      </c>
      <c r="B69" s="1" t="s">
        <v>43</v>
      </c>
      <c r="C69" s="1">
        <v>35</v>
      </c>
      <c r="D69" s="1">
        <v>695</v>
      </c>
      <c r="E69" s="1">
        <v>114</v>
      </c>
      <c r="F69" s="1">
        <v>360</v>
      </c>
      <c r="G69" s="8">
        <v>0.35</v>
      </c>
      <c r="H69" s="1"/>
      <c r="I69" s="1" t="s">
        <v>175</v>
      </c>
      <c r="J69" s="1"/>
      <c r="K69" s="1">
        <v>213</v>
      </c>
      <c r="L69" s="1">
        <f t="shared" si="9"/>
        <v>-99</v>
      </c>
      <c r="M69" s="1">
        <f t="shared" si="10"/>
        <v>114</v>
      </c>
      <c r="N69" s="1"/>
      <c r="O69" s="1">
        <v>255.5305020000001</v>
      </c>
      <c r="P69" s="1">
        <v>0</v>
      </c>
      <c r="Q69" s="1"/>
      <c r="R69" s="1"/>
      <c r="S69" s="1">
        <f t="shared" si="11"/>
        <v>22.8</v>
      </c>
      <c r="T69" s="5"/>
      <c r="U69" s="5"/>
      <c r="V69" s="1"/>
      <c r="W69" s="1">
        <f t="shared" si="12"/>
        <v>26.996951842105265</v>
      </c>
      <c r="X69" s="1">
        <f t="shared" si="13"/>
        <v>26.996951842105265</v>
      </c>
      <c r="Y69" s="1">
        <v>51.8</v>
      </c>
      <c r="Z69" s="1">
        <v>47.6</v>
      </c>
      <c r="AA69" s="1">
        <v>42.2</v>
      </c>
      <c r="AB69" s="1">
        <v>31</v>
      </c>
      <c r="AC69" s="1">
        <v>28.6</v>
      </c>
      <c r="AD69" s="1">
        <v>31.6</v>
      </c>
      <c r="AE69" s="1" t="s">
        <v>176</v>
      </c>
      <c r="AF69" s="1">
        <f t="shared" si="15"/>
        <v>0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177</v>
      </c>
      <c r="B70" s="1" t="s">
        <v>43</v>
      </c>
      <c r="C70" s="1">
        <v>357</v>
      </c>
      <c r="D70" s="1">
        <v>804</v>
      </c>
      <c r="E70" s="1">
        <v>613</v>
      </c>
      <c r="F70" s="1">
        <v>188</v>
      </c>
      <c r="G70" s="8">
        <v>0.35</v>
      </c>
      <c r="H70" s="1"/>
      <c r="I70" s="1" t="s">
        <v>178</v>
      </c>
      <c r="J70" s="1"/>
      <c r="K70" s="1">
        <v>638</v>
      </c>
      <c r="L70" s="1">
        <f t="shared" ref="L70:L101" si="16">E70-K70</f>
        <v>-25</v>
      </c>
      <c r="M70" s="1">
        <f t="shared" ref="M70:M101" si="17">E70-N70</f>
        <v>607</v>
      </c>
      <c r="N70" s="1">
        <v>6</v>
      </c>
      <c r="O70" s="1">
        <v>100.51977599999999</v>
      </c>
      <c r="P70" s="1">
        <v>461.68021598090701</v>
      </c>
      <c r="Q70" s="1">
        <v>421.62576801909307</v>
      </c>
      <c r="R70" s="1"/>
      <c r="S70" s="1">
        <f t="shared" ref="S70:S101" si="18">M70/5</f>
        <v>121.4</v>
      </c>
      <c r="T70" s="5">
        <f>11*S70-R70-Q70-P70-O70-F70</f>
        <v>163.57423999999997</v>
      </c>
      <c r="U70" s="5"/>
      <c r="V70" s="1"/>
      <c r="W70" s="1">
        <f t="shared" ref="W70:W101" si="19">(F70+O70+P70+Q70+R70+T70)/S70</f>
        <v>11</v>
      </c>
      <c r="X70" s="1">
        <f t="shared" ref="X70:X101" si="20">(F70+O70+P70+Q70+R70)/S70</f>
        <v>9.6526009884678761</v>
      </c>
      <c r="Y70" s="1">
        <v>133.4</v>
      </c>
      <c r="Z70" s="1">
        <v>75.8</v>
      </c>
      <c r="AA70" s="1">
        <v>79.400000000000006</v>
      </c>
      <c r="AB70" s="1">
        <v>79.400000000000006</v>
      </c>
      <c r="AC70" s="1">
        <v>84.2</v>
      </c>
      <c r="AD70" s="1">
        <v>95.6</v>
      </c>
      <c r="AE70" s="1" t="s">
        <v>37</v>
      </c>
      <c r="AF70" s="1">
        <f t="shared" si="15"/>
        <v>57.250983999999988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179</v>
      </c>
      <c r="B71" s="1" t="s">
        <v>43</v>
      </c>
      <c r="C71" s="1"/>
      <c r="D71" s="1">
        <v>55</v>
      </c>
      <c r="E71" s="1"/>
      <c r="F71" s="1">
        <v>50</v>
      </c>
      <c r="G71" s="8">
        <v>0.4</v>
      </c>
      <c r="H71" s="1"/>
      <c r="I71" s="1" t="s">
        <v>180</v>
      </c>
      <c r="J71" s="1"/>
      <c r="K71" s="1"/>
      <c r="L71" s="1">
        <f t="shared" si="16"/>
        <v>0</v>
      </c>
      <c r="M71" s="1">
        <f t="shared" si="17"/>
        <v>0</v>
      </c>
      <c r="N71" s="1"/>
      <c r="O71" s="1"/>
      <c r="P71" s="1">
        <v>0</v>
      </c>
      <c r="Q71" s="1"/>
      <c r="R71" s="1"/>
      <c r="S71" s="1">
        <f t="shared" si="18"/>
        <v>0</v>
      </c>
      <c r="T71" s="5"/>
      <c r="U71" s="5"/>
      <c r="V71" s="1"/>
      <c r="W71" s="1" t="e">
        <f t="shared" si="19"/>
        <v>#DIV/0!</v>
      </c>
      <c r="X71" s="1" t="e">
        <f t="shared" si="20"/>
        <v>#DIV/0!</v>
      </c>
      <c r="Y71" s="1">
        <v>1</v>
      </c>
      <c r="Z71" s="1">
        <v>1</v>
      </c>
      <c r="AA71" s="1">
        <v>0</v>
      </c>
      <c r="AB71" s="1">
        <v>4.5999999999999996</v>
      </c>
      <c r="AC71" s="1">
        <v>3.4</v>
      </c>
      <c r="AD71" s="1">
        <v>5</v>
      </c>
      <c r="AE71" s="1" t="s">
        <v>181</v>
      </c>
      <c r="AF71" s="1">
        <f t="shared" si="15"/>
        <v>0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182</v>
      </c>
      <c r="B72" s="1" t="s">
        <v>35</v>
      </c>
      <c r="C72" s="1">
        <v>54.326999999999998</v>
      </c>
      <c r="D72" s="1">
        <v>8.1389999999999993</v>
      </c>
      <c r="E72" s="1">
        <v>14.576000000000001</v>
      </c>
      <c r="F72" s="1">
        <v>46.423999999999999</v>
      </c>
      <c r="G72" s="8">
        <v>1</v>
      </c>
      <c r="H72" s="1"/>
      <c r="I72" s="1" t="s">
        <v>183</v>
      </c>
      <c r="J72" s="1"/>
      <c r="K72" s="1">
        <v>14.1</v>
      </c>
      <c r="L72" s="1">
        <f t="shared" si="16"/>
        <v>0.47600000000000087</v>
      </c>
      <c r="M72" s="1">
        <f t="shared" si="17"/>
        <v>14.576000000000001</v>
      </c>
      <c r="N72" s="1"/>
      <c r="O72" s="1"/>
      <c r="P72" s="1">
        <v>28.00719999999999</v>
      </c>
      <c r="Q72" s="1"/>
      <c r="R72" s="1"/>
      <c r="S72" s="1">
        <f t="shared" si="18"/>
        <v>2.9152</v>
      </c>
      <c r="T72" s="5"/>
      <c r="U72" s="5"/>
      <c r="V72" s="1"/>
      <c r="W72" s="1">
        <f t="shared" si="19"/>
        <v>25.532107574094397</v>
      </c>
      <c r="X72" s="1">
        <f t="shared" si="20"/>
        <v>25.532107574094397</v>
      </c>
      <c r="Y72" s="1">
        <v>5.6456</v>
      </c>
      <c r="Z72" s="1">
        <v>4.0502000000000002</v>
      </c>
      <c r="AA72" s="1">
        <v>5.4164000000000003</v>
      </c>
      <c r="AB72" s="1">
        <v>0.78439999999999999</v>
      </c>
      <c r="AC72" s="1">
        <v>1.3715999999999999</v>
      </c>
      <c r="AD72" s="1">
        <v>0.46479999999999999</v>
      </c>
      <c r="AE72" s="15" t="s">
        <v>135</v>
      </c>
      <c r="AF72" s="1">
        <f t="shared" si="15"/>
        <v>0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184</v>
      </c>
      <c r="B73" s="1" t="s">
        <v>35</v>
      </c>
      <c r="C73" s="1">
        <v>4310.6689999999999</v>
      </c>
      <c r="D73" s="1">
        <v>9317.5439999999999</v>
      </c>
      <c r="E73" s="1">
        <v>3838.6840000000002</v>
      </c>
      <c r="F73" s="1">
        <v>3961.7930000000001</v>
      </c>
      <c r="G73" s="8">
        <v>1</v>
      </c>
      <c r="H73" s="1"/>
      <c r="I73" s="1" t="s">
        <v>185</v>
      </c>
      <c r="J73" s="1"/>
      <c r="K73" s="1">
        <v>3868.64</v>
      </c>
      <c r="L73" s="1">
        <f t="shared" si="16"/>
        <v>-29.955999999999676</v>
      </c>
      <c r="M73" s="1">
        <f t="shared" si="17"/>
        <v>3384.3440000000001</v>
      </c>
      <c r="N73" s="1">
        <v>454.34</v>
      </c>
      <c r="O73" s="1">
        <v>310.08491793000042</v>
      </c>
      <c r="P73" s="1">
        <v>1035.5398393214321</v>
      </c>
      <c r="Q73" s="1">
        <v>945.69848339856776</v>
      </c>
      <c r="R73" s="1"/>
      <c r="S73" s="1">
        <f t="shared" si="18"/>
        <v>676.86879999999996</v>
      </c>
      <c r="T73" s="5">
        <f>11*S73-R73-Q73-P73-O73-F73</f>
        <v>1192.4405593499991</v>
      </c>
      <c r="U73" s="5"/>
      <c r="V73" s="1"/>
      <c r="W73" s="1">
        <f t="shared" si="19"/>
        <v>11.000000000000002</v>
      </c>
      <c r="X73" s="1">
        <f t="shared" si="20"/>
        <v>9.2382988263752157</v>
      </c>
      <c r="Y73" s="1">
        <v>668.60320000000002</v>
      </c>
      <c r="Z73" s="1">
        <v>799.48800000000006</v>
      </c>
      <c r="AA73" s="1">
        <v>781.14059999999995</v>
      </c>
      <c r="AB73" s="1">
        <v>821.63319999999999</v>
      </c>
      <c r="AC73" s="1">
        <v>754.90499999999997</v>
      </c>
      <c r="AD73" s="1">
        <v>782.39779999999996</v>
      </c>
      <c r="AE73" s="1" t="s">
        <v>83</v>
      </c>
      <c r="AF73" s="1">
        <f t="shared" si="15"/>
        <v>1192.4405593499991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186</v>
      </c>
      <c r="B74" s="1" t="s">
        <v>43</v>
      </c>
      <c r="C74" s="1">
        <v>101</v>
      </c>
      <c r="D74" s="1">
        <v>877</v>
      </c>
      <c r="E74" s="1">
        <v>181</v>
      </c>
      <c r="F74" s="1">
        <v>337</v>
      </c>
      <c r="G74" s="8">
        <v>0.3</v>
      </c>
      <c r="H74" s="1"/>
      <c r="I74" s="1" t="s">
        <v>187</v>
      </c>
      <c r="J74" s="1"/>
      <c r="K74" s="1">
        <v>181</v>
      </c>
      <c r="L74" s="1">
        <f t="shared" si="16"/>
        <v>0</v>
      </c>
      <c r="M74" s="1">
        <f t="shared" si="17"/>
        <v>181</v>
      </c>
      <c r="N74" s="1"/>
      <c r="O74" s="1">
        <v>193.60314</v>
      </c>
      <c r="P74" s="1">
        <v>0</v>
      </c>
      <c r="Q74" s="1"/>
      <c r="R74" s="1"/>
      <c r="S74" s="1">
        <f t="shared" si="18"/>
        <v>36.200000000000003</v>
      </c>
      <c r="T74" s="5"/>
      <c r="U74" s="5"/>
      <c r="V74" s="1"/>
      <c r="W74" s="1">
        <f t="shared" si="19"/>
        <v>14.657545303867401</v>
      </c>
      <c r="X74" s="1">
        <f t="shared" si="20"/>
        <v>14.657545303867401</v>
      </c>
      <c r="Y74" s="1">
        <v>40.200000000000003</v>
      </c>
      <c r="Z74" s="1">
        <v>53</v>
      </c>
      <c r="AA74" s="1">
        <v>21.2</v>
      </c>
      <c r="AB74" s="1">
        <v>3.6</v>
      </c>
      <c r="AC74" s="1">
        <v>38.200000000000003</v>
      </c>
      <c r="AD74" s="1">
        <v>6</v>
      </c>
      <c r="AE74" s="1"/>
      <c r="AF74" s="1">
        <f t="shared" si="15"/>
        <v>0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188</v>
      </c>
      <c r="B75" s="1" t="s">
        <v>35</v>
      </c>
      <c r="C75" s="1">
        <v>1400.2429999999999</v>
      </c>
      <c r="D75" s="1">
        <v>2781.2139999999999</v>
      </c>
      <c r="E75" s="1">
        <v>1747.3920000000001</v>
      </c>
      <c r="F75" s="1">
        <v>1308.829</v>
      </c>
      <c r="G75" s="8">
        <v>1</v>
      </c>
      <c r="H75" s="1"/>
      <c r="I75" s="1" t="s">
        <v>189</v>
      </c>
      <c r="J75" s="1"/>
      <c r="K75" s="1">
        <v>1858.07</v>
      </c>
      <c r="L75" s="1">
        <f t="shared" si="16"/>
        <v>-110.67799999999988</v>
      </c>
      <c r="M75" s="1">
        <f t="shared" si="17"/>
        <v>1747.3920000000001</v>
      </c>
      <c r="N75" s="1"/>
      <c r="O75" s="1"/>
      <c r="P75" s="1">
        <v>643.08203673508376</v>
      </c>
      <c r="Q75" s="1">
        <v>587.28953126491649</v>
      </c>
      <c r="R75" s="1"/>
      <c r="S75" s="1">
        <f t="shared" si="18"/>
        <v>349.47840000000002</v>
      </c>
      <c r="T75" s="5">
        <f>11*S75-R75-Q75-P75-O75-F75</f>
        <v>1305.0618319999996</v>
      </c>
      <c r="U75" s="5"/>
      <c r="V75" s="1"/>
      <c r="W75" s="1">
        <f t="shared" si="19"/>
        <v>10.999999999999998</v>
      </c>
      <c r="X75" s="1">
        <f t="shared" si="20"/>
        <v>7.2656867148298723</v>
      </c>
      <c r="Y75" s="1">
        <v>308.02800000000002</v>
      </c>
      <c r="Z75" s="1">
        <v>301.47000000000003</v>
      </c>
      <c r="AA75" s="1">
        <v>254.72839999999999</v>
      </c>
      <c r="AB75" s="1">
        <v>276.92239999999998</v>
      </c>
      <c r="AC75" s="1">
        <v>244.89420000000001</v>
      </c>
      <c r="AD75" s="1">
        <v>319.43419999999998</v>
      </c>
      <c r="AE75" s="1" t="s">
        <v>37</v>
      </c>
      <c r="AF75" s="1">
        <f t="shared" si="15"/>
        <v>1305.0618319999996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190</v>
      </c>
      <c r="B76" s="1" t="s">
        <v>35</v>
      </c>
      <c r="C76" s="1">
        <v>2339.4059999999999</v>
      </c>
      <c r="D76" s="1">
        <v>12071.962</v>
      </c>
      <c r="E76" s="1">
        <v>4830.3519999999999</v>
      </c>
      <c r="F76" s="1">
        <v>5937.7039999999997</v>
      </c>
      <c r="G76" s="8">
        <v>1</v>
      </c>
      <c r="H76" s="1"/>
      <c r="I76" s="1" t="s">
        <v>191</v>
      </c>
      <c r="J76" s="1"/>
      <c r="K76" s="1">
        <v>5233.0069999999996</v>
      </c>
      <c r="L76" s="1">
        <f t="shared" si="16"/>
        <v>-402.65499999999975</v>
      </c>
      <c r="M76" s="1">
        <f t="shared" si="17"/>
        <v>4830.3519999999999</v>
      </c>
      <c r="N76" s="1"/>
      <c r="O76" s="1"/>
      <c r="P76" s="1">
        <v>0</v>
      </c>
      <c r="Q76" s="1"/>
      <c r="R76" s="1"/>
      <c r="S76" s="1">
        <f t="shared" si="18"/>
        <v>966.07039999999995</v>
      </c>
      <c r="T76" s="5">
        <f>10*S76-R76-Q76-P76-O76-F76</f>
        <v>3723</v>
      </c>
      <c r="U76" s="5"/>
      <c r="V76" s="1"/>
      <c r="W76" s="1">
        <f t="shared" si="19"/>
        <v>10</v>
      </c>
      <c r="X76" s="1">
        <f t="shared" si="20"/>
        <v>6.146243586388735</v>
      </c>
      <c r="Y76" s="1">
        <v>712.95320000000004</v>
      </c>
      <c r="Z76" s="1">
        <v>686.71839999999997</v>
      </c>
      <c r="AA76" s="1">
        <v>605.00379999999996</v>
      </c>
      <c r="AB76" s="1">
        <v>659.8646</v>
      </c>
      <c r="AC76" s="1">
        <v>643.58459999999991</v>
      </c>
      <c r="AD76" s="1">
        <v>892.06839999999988</v>
      </c>
      <c r="AE76" s="1" t="s">
        <v>37</v>
      </c>
      <c r="AF76" s="1">
        <f t="shared" si="15"/>
        <v>3723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0" t="s">
        <v>76</v>
      </c>
      <c r="B77" s="1" t="s">
        <v>35</v>
      </c>
      <c r="C77" s="1">
        <v>2920.6010000000001</v>
      </c>
      <c r="D77" s="1">
        <v>11887.025</v>
      </c>
      <c r="E77" s="1">
        <v>4168.0079999999998</v>
      </c>
      <c r="F77" s="1">
        <v>5482.4269999999997</v>
      </c>
      <c r="G77" s="8">
        <v>1</v>
      </c>
      <c r="H77" s="1"/>
      <c r="I77" s="1" t="s">
        <v>192</v>
      </c>
      <c r="J77" s="1"/>
      <c r="K77" s="1">
        <v>4510.4579999999996</v>
      </c>
      <c r="L77" s="1">
        <f t="shared" si="16"/>
        <v>-342.44999999999982</v>
      </c>
      <c r="M77" s="1">
        <f t="shared" si="17"/>
        <v>3879.6899999999996</v>
      </c>
      <c r="N77" s="1">
        <v>288.31799999999998</v>
      </c>
      <c r="O77" s="1">
        <v>776.88503877599987</v>
      </c>
      <c r="P77" s="1">
        <v>0</v>
      </c>
      <c r="Q77" s="1"/>
      <c r="R77" s="1"/>
      <c r="S77" s="1">
        <f t="shared" si="18"/>
        <v>775.93799999999987</v>
      </c>
      <c r="T77" s="5">
        <f>11*S77-R77-Q77-P77-O77-F77</f>
        <v>2276.0059612240002</v>
      </c>
      <c r="U77" s="5"/>
      <c r="V77" s="1"/>
      <c r="W77" s="1">
        <f t="shared" si="19"/>
        <v>11</v>
      </c>
      <c r="X77" s="1">
        <f t="shared" si="20"/>
        <v>8.0667682711453743</v>
      </c>
      <c r="Y77" s="1">
        <v>804.43219999999997</v>
      </c>
      <c r="Z77" s="1">
        <v>793.85979999999995</v>
      </c>
      <c r="AA77" s="1">
        <v>670.39440000000002</v>
      </c>
      <c r="AB77" s="1">
        <v>796.82820000000004</v>
      </c>
      <c r="AC77" s="1">
        <v>814.63580000000002</v>
      </c>
      <c r="AD77" s="1">
        <v>890.33680000000004</v>
      </c>
      <c r="AE77" s="1" t="s">
        <v>37</v>
      </c>
      <c r="AF77" s="1">
        <f t="shared" si="15"/>
        <v>2276.0059612240002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193</v>
      </c>
      <c r="B78" s="1" t="s">
        <v>35</v>
      </c>
      <c r="C78" s="1">
        <v>0.111</v>
      </c>
      <c r="D78" s="1">
        <v>199.25</v>
      </c>
      <c r="E78" s="1">
        <v>5.444</v>
      </c>
      <c r="F78" s="1">
        <v>133.90199999999999</v>
      </c>
      <c r="G78" s="8">
        <v>1</v>
      </c>
      <c r="H78" s="1"/>
      <c r="I78" s="1" t="s">
        <v>194</v>
      </c>
      <c r="J78" s="1"/>
      <c r="K78" s="1">
        <v>7.5</v>
      </c>
      <c r="L78" s="1">
        <f t="shared" si="16"/>
        <v>-2.056</v>
      </c>
      <c r="M78" s="1">
        <f t="shared" si="17"/>
        <v>5.444</v>
      </c>
      <c r="N78" s="1"/>
      <c r="O78" s="1">
        <v>88.480096758000002</v>
      </c>
      <c r="P78" s="1">
        <v>0</v>
      </c>
      <c r="Q78" s="1"/>
      <c r="R78" s="1"/>
      <c r="S78" s="1">
        <f t="shared" si="18"/>
        <v>1.0888</v>
      </c>
      <c r="T78" s="5"/>
      <c r="U78" s="5"/>
      <c r="V78" s="1"/>
      <c r="W78" s="1">
        <f t="shared" si="19"/>
        <v>204.24512927810432</v>
      </c>
      <c r="X78" s="1">
        <f t="shared" si="20"/>
        <v>204.24512927810432</v>
      </c>
      <c r="Y78" s="1">
        <v>13.7394</v>
      </c>
      <c r="Z78" s="1">
        <v>13.4664</v>
      </c>
      <c r="AA78" s="1">
        <v>1.6126</v>
      </c>
      <c r="AB78" s="1">
        <v>5.6142000000000003</v>
      </c>
      <c r="AC78" s="1">
        <v>8.8628</v>
      </c>
      <c r="AD78" s="1">
        <v>6.5221999999999998</v>
      </c>
      <c r="AE78" s="1"/>
      <c r="AF78" s="1">
        <f t="shared" si="15"/>
        <v>0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195</v>
      </c>
      <c r="B79" s="1" t="s">
        <v>35</v>
      </c>
      <c r="C79" s="1">
        <v>1.3360000000000001</v>
      </c>
      <c r="D79" s="1"/>
      <c r="E79" s="1">
        <v>1.3360000000000001</v>
      </c>
      <c r="F79" s="1"/>
      <c r="G79" s="8">
        <v>1</v>
      </c>
      <c r="H79" s="1"/>
      <c r="I79" s="1" t="s">
        <v>196</v>
      </c>
      <c r="J79" s="1"/>
      <c r="K79" s="1">
        <v>1</v>
      </c>
      <c r="L79" s="1">
        <f t="shared" si="16"/>
        <v>0.33600000000000008</v>
      </c>
      <c r="M79" s="1">
        <f t="shared" si="17"/>
        <v>1.3360000000000001</v>
      </c>
      <c r="N79" s="1"/>
      <c r="O79" s="1"/>
      <c r="P79" s="1">
        <v>0</v>
      </c>
      <c r="Q79" s="1"/>
      <c r="R79" s="1"/>
      <c r="S79" s="1">
        <f t="shared" si="18"/>
        <v>0.26719999999999999</v>
      </c>
      <c r="T79" s="18">
        <f>11*S79-R79-Q79-P79-O79-F79</f>
        <v>2.9392</v>
      </c>
      <c r="U79" s="5"/>
      <c r="V79" s="1"/>
      <c r="W79" s="1">
        <f t="shared" si="19"/>
        <v>11</v>
      </c>
      <c r="X79" s="1">
        <f t="shared" si="20"/>
        <v>0</v>
      </c>
      <c r="Y79" s="1">
        <v>0.79920000000000002</v>
      </c>
      <c r="Z79" s="1">
        <v>4.7674000000000003</v>
      </c>
      <c r="AA79" s="1">
        <v>0</v>
      </c>
      <c r="AB79" s="1">
        <v>0</v>
      </c>
      <c r="AC79" s="1">
        <v>2.3889999999999998</v>
      </c>
      <c r="AD79" s="1">
        <v>9.5624000000000002</v>
      </c>
      <c r="AE79" s="11" t="s">
        <v>197</v>
      </c>
      <c r="AF79" s="1">
        <f t="shared" si="15"/>
        <v>2.9392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198</v>
      </c>
      <c r="B80" s="1" t="s">
        <v>35</v>
      </c>
      <c r="C80" s="1">
        <v>694.005</v>
      </c>
      <c r="D80" s="1">
        <v>410.13400000000001</v>
      </c>
      <c r="E80" s="1">
        <v>12.082000000000001</v>
      </c>
      <c r="F80" s="1">
        <v>1090.6790000000001</v>
      </c>
      <c r="G80" s="8">
        <v>1</v>
      </c>
      <c r="H80" s="1"/>
      <c r="I80" s="1"/>
      <c r="J80" s="1"/>
      <c r="K80" s="1">
        <v>11.05</v>
      </c>
      <c r="L80" s="1">
        <f t="shared" si="16"/>
        <v>1.032</v>
      </c>
      <c r="M80" s="1">
        <f t="shared" si="17"/>
        <v>12.082000000000001</v>
      </c>
      <c r="N80" s="1"/>
      <c r="O80" s="1"/>
      <c r="P80" s="1">
        <v>0</v>
      </c>
      <c r="Q80" s="1"/>
      <c r="R80" s="1"/>
      <c r="S80" s="1">
        <f t="shared" si="18"/>
        <v>2.4164000000000003</v>
      </c>
      <c r="T80" s="5"/>
      <c r="U80" s="5"/>
      <c r="V80" s="1"/>
      <c r="W80" s="1">
        <f t="shared" si="19"/>
        <v>451.3652540970038</v>
      </c>
      <c r="X80" s="1">
        <f t="shared" si="20"/>
        <v>451.3652540970038</v>
      </c>
      <c r="Y80" s="1">
        <v>1.0773999999999999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6" t="s">
        <v>199</v>
      </c>
      <c r="AF80" s="1">
        <f t="shared" si="15"/>
        <v>0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200</v>
      </c>
      <c r="B81" s="1" t="s">
        <v>43</v>
      </c>
      <c r="C81" s="1">
        <v>37</v>
      </c>
      <c r="D81" s="1">
        <v>478</v>
      </c>
      <c r="E81" s="1">
        <v>49</v>
      </c>
      <c r="F81" s="1">
        <v>273</v>
      </c>
      <c r="G81" s="8">
        <v>0.3</v>
      </c>
      <c r="H81" s="1"/>
      <c r="I81" s="1" t="s">
        <v>201</v>
      </c>
      <c r="J81" s="1"/>
      <c r="K81" s="1">
        <v>129</v>
      </c>
      <c r="L81" s="1">
        <f t="shared" si="16"/>
        <v>-80</v>
      </c>
      <c r="M81" s="1">
        <f t="shared" si="17"/>
        <v>49</v>
      </c>
      <c r="N81" s="1"/>
      <c r="O81" s="1">
        <v>78.723396000000008</v>
      </c>
      <c r="P81" s="1">
        <v>0</v>
      </c>
      <c r="Q81" s="1"/>
      <c r="R81" s="1"/>
      <c r="S81" s="1">
        <f t="shared" si="18"/>
        <v>9.8000000000000007</v>
      </c>
      <c r="T81" s="5"/>
      <c r="U81" s="5"/>
      <c r="V81" s="1"/>
      <c r="W81" s="1">
        <f t="shared" si="19"/>
        <v>35.890142448979589</v>
      </c>
      <c r="X81" s="1">
        <f t="shared" si="20"/>
        <v>35.890142448979589</v>
      </c>
      <c r="Y81" s="1">
        <v>18.399999999999999</v>
      </c>
      <c r="Z81" s="1">
        <v>31.8</v>
      </c>
      <c r="AA81" s="1">
        <v>18.8</v>
      </c>
      <c r="AB81" s="1">
        <v>14.6</v>
      </c>
      <c r="AC81" s="1">
        <v>28.2</v>
      </c>
      <c r="AD81" s="1">
        <v>11.6</v>
      </c>
      <c r="AE81" s="1" t="s">
        <v>202</v>
      </c>
      <c r="AF81" s="1">
        <f t="shared" si="15"/>
        <v>0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203</v>
      </c>
      <c r="B82" s="1" t="s">
        <v>43</v>
      </c>
      <c r="C82" s="1">
        <v>-1</v>
      </c>
      <c r="D82" s="1">
        <v>56</v>
      </c>
      <c r="E82" s="1">
        <v>21</v>
      </c>
      <c r="F82" s="1">
        <v>26</v>
      </c>
      <c r="G82" s="8">
        <v>0.3</v>
      </c>
      <c r="H82" s="1"/>
      <c r="I82" s="1" t="s">
        <v>204</v>
      </c>
      <c r="J82" s="1"/>
      <c r="K82" s="1">
        <v>21</v>
      </c>
      <c r="L82" s="1">
        <f t="shared" si="16"/>
        <v>0</v>
      </c>
      <c r="M82" s="1">
        <f t="shared" si="17"/>
        <v>21</v>
      </c>
      <c r="N82" s="1"/>
      <c r="O82" s="1"/>
      <c r="P82" s="1">
        <v>56.8</v>
      </c>
      <c r="Q82" s="1"/>
      <c r="R82" s="1"/>
      <c r="S82" s="1">
        <f t="shared" si="18"/>
        <v>4.2</v>
      </c>
      <c r="T82" s="5"/>
      <c r="U82" s="5"/>
      <c r="V82" s="1"/>
      <c r="W82" s="1">
        <f t="shared" si="19"/>
        <v>19.714285714285712</v>
      </c>
      <c r="X82" s="1">
        <f t="shared" si="20"/>
        <v>19.714285714285712</v>
      </c>
      <c r="Y82" s="1">
        <v>7.8</v>
      </c>
      <c r="Z82" s="1">
        <v>8.1999999999999993</v>
      </c>
      <c r="AA82" s="1">
        <v>1.4</v>
      </c>
      <c r="AB82" s="1">
        <v>7.4</v>
      </c>
      <c r="AC82" s="1">
        <v>3.4</v>
      </c>
      <c r="AD82" s="1">
        <v>6</v>
      </c>
      <c r="AE82" s="1"/>
      <c r="AF82" s="1">
        <f t="shared" si="15"/>
        <v>0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205</v>
      </c>
      <c r="B83" s="1" t="s">
        <v>43</v>
      </c>
      <c r="C83" s="1">
        <v>32</v>
      </c>
      <c r="D83" s="1">
        <v>210</v>
      </c>
      <c r="E83" s="1">
        <v>84</v>
      </c>
      <c r="F83" s="1">
        <v>93</v>
      </c>
      <c r="G83" s="8">
        <v>7.0000000000000007E-2</v>
      </c>
      <c r="H83" s="1"/>
      <c r="I83" s="1" t="s">
        <v>206</v>
      </c>
      <c r="J83" s="1"/>
      <c r="K83" s="1">
        <v>94</v>
      </c>
      <c r="L83" s="1">
        <f t="shared" si="16"/>
        <v>-10</v>
      </c>
      <c r="M83" s="1">
        <f t="shared" si="17"/>
        <v>84</v>
      </c>
      <c r="N83" s="1"/>
      <c r="O83" s="1">
        <v>63.081287999999986</v>
      </c>
      <c r="P83" s="1">
        <v>0</v>
      </c>
      <c r="Q83" s="1"/>
      <c r="R83" s="1"/>
      <c r="S83" s="1">
        <f t="shared" si="18"/>
        <v>16.8</v>
      </c>
      <c r="T83" s="5">
        <f>11*S83-R83-Q83-P83-O83-F83</f>
        <v>28.718712000000025</v>
      </c>
      <c r="U83" s="5"/>
      <c r="V83" s="1"/>
      <c r="W83" s="1">
        <f t="shared" si="19"/>
        <v>11</v>
      </c>
      <c r="X83" s="1">
        <f t="shared" si="20"/>
        <v>9.2905528571428544</v>
      </c>
      <c r="Y83" s="1">
        <v>16</v>
      </c>
      <c r="Z83" s="1">
        <v>16.399999999999999</v>
      </c>
      <c r="AA83" s="1">
        <v>14.6</v>
      </c>
      <c r="AB83" s="1">
        <v>20.6</v>
      </c>
      <c r="AC83" s="1">
        <v>16.600000000000001</v>
      </c>
      <c r="AD83" s="1">
        <v>14.4</v>
      </c>
      <c r="AE83" s="1"/>
      <c r="AF83" s="1">
        <f t="shared" si="15"/>
        <v>2.0103098400000019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207</v>
      </c>
      <c r="B84" s="1" t="s">
        <v>43</v>
      </c>
      <c r="C84" s="1">
        <v>52</v>
      </c>
      <c r="D84" s="1">
        <v>251</v>
      </c>
      <c r="E84" s="1">
        <v>49</v>
      </c>
      <c r="F84" s="1">
        <v>198</v>
      </c>
      <c r="G84" s="8">
        <v>7.0000000000000007E-2</v>
      </c>
      <c r="H84" s="1"/>
      <c r="I84" s="1" t="s">
        <v>208</v>
      </c>
      <c r="J84" s="1"/>
      <c r="K84" s="1">
        <v>76</v>
      </c>
      <c r="L84" s="1">
        <f t="shared" si="16"/>
        <v>-27</v>
      </c>
      <c r="M84" s="1">
        <f t="shared" si="17"/>
        <v>49</v>
      </c>
      <c r="N84" s="1"/>
      <c r="O84" s="1">
        <v>133.08613199999999</v>
      </c>
      <c r="P84" s="1">
        <v>0</v>
      </c>
      <c r="Q84" s="1"/>
      <c r="R84" s="1"/>
      <c r="S84" s="1">
        <f t="shared" si="18"/>
        <v>9.8000000000000007</v>
      </c>
      <c r="T84" s="5"/>
      <c r="U84" s="5"/>
      <c r="V84" s="1"/>
      <c r="W84" s="1">
        <f t="shared" si="19"/>
        <v>33.784299183673468</v>
      </c>
      <c r="X84" s="1">
        <f t="shared" si="20"/>
        <v>33.784299183673468</v>
      </c>
      <c r="Y84" s="1">
        <v>23.8</v>
      </c>
      <c r="Z84" s="1">
        <v>23.6</v>
      </c>
      <c r="AA84" s="1">
        <v>18.399999999999999</v>
      </c>
      <c r="AB84" s="1">
        <v>30.6</v>
      </c>
      <c r="AC84" s="1">
        <v>19.2</v>
      </c>
      <c r="AD84" s="1">
        <v>15</v>
      </c>
      <c r="AE84" s="1"/>
      <c r="AF84" s="1">
        <f t="shared" si="15"/>
        <v>0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209</v>
      </c>
      <c r="B85" s="1" t="s">
        <v>43</v>
      </c>
      <c r="C85" s="1">
        <v>52</v>
      </c>
      <c r="D85" s="1">
        <v>107</v>
      </c>
      <c r="E85" s="1">
        <v>56</v>
      </c>
      <c r="F85" s="1">
        <v>72</v>
      </c>
      <c r="G85" s="8">
        <v>7.0000000000000007E-2</v>
      </c>
      <c r="H85" s="1"/>
      <c r="I85" s="1" t="s">
        <v>210</v>
      </c>
      <c r="J85" s="1"/>
      <c r="K85" s="1">
        <v>76</v>
      </c>
      <c r="L85" s="1">
        <f t="shared" si="16"/>
        <v>-20</v>
      </c>
      <c r="M85" s="1">
        <f t="shared" si="17"/>
        <v>56</v>
      </c>
      <c r="N85" s="1"/>
      <c r="O85" s="1">
        <v>51.157386000000017</v>
      </c>
      <c r="P85" s="1">
        <v>59.505999999999993</v>
      </c>
      <c r="Q85" s="1"/>
      <c r="R85" s="1"/>
      <c r="S85" s="1">
        <f t="shared" si="18"/>
        <v>11.2</v>
      </c>
      <c r="T85" s="5"/>
      <c r="U85" s="5"/>
      <c r="V85" s="1"/>
      <c r="W85" s="1">
        <f t="shared" si="19"/>
        <v>16.309230892857144</v>
      </c>
      <c r="X85" s="1">
        <f t="shared" si="20"/>
        <v>16.309230892857144</v>
      </c>
      <c r="Y85" s="1">
        <v>16.8</v>
      </c>
      <c r="Z85" s="1">
        <v>13.8</v>
      </c>
      <c r="AA85" s="1">
        <v>14</v>
      </c>
      <c r="AB85" s="1">
        <v>15.2</v>
      </c>
      <c r="AC85" s="1">
        <v>16.600000000000001</v>
      </c>
      <c r="AD85" s="1">
        <v>12</v>
      </c>
      <c r="AE85" s="1"/>
      <c r="AF85" s="1">
        <f t="shared" si="15"/>
        <v>0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211</v>
      </c>
      <c r="B86" s="1" t="s">
        <v>43</v>
      </c>
      <c r="C86" s="1"/>
      <c r="D86" s="1">
        <v>67</v>
      </c>
      <c r="E86" s="1">
        <v>40</v>
      </c>
      <c r="F86" s="1">
        <v>8</v>
      </c>
      <c r="G86" s="8">
        <v>0.05</v>
      </c>
      <c r="H86" s="1"/>
      <c r="I86" s="1" t="s">
        <v>212</v>
      </c>
      <c r="J86" s="1"/>
      <c r="K86" s="1">
        <v>50</v>
      </c>
      <c r="L86" s="1">
        <f t="shared" si="16"/>
        <v>-10</v>
      </c>
      <c r="M86" s="1">
        <f t="shared" si="17"/>
        <v>40</v>
      </c>
      <c r="N86" s="1"/>
      <c r="O86" s="1"/>
      <c r="P86" s="1">
        <v>0</v>
      </c>
      <c r="Q86" s="1"/>
      <c r="R86" s="1"/>
      <c r="S86" s="1">
        <f t="shared" si="18"/>
        <v>8</v>
      </c>
      <c r="T86" s="5">
        <f>8*S86-R86-Q86-P86-O86-F86</f>
        <v>56</v>
      </c>
      <c r="U86" s="5"/>
      <c r="V86" s="1"/>
      <c r="W86" s="1">
        <f t="shared" si="19"/>
        <v>8</v>
      </c>
      <c r="X86" s="1">
        <f t="shared" si="20"/>
        <v>1</v>
      </c>
      <c r="Y86" s="1">
        <v>4.4000000000000004</v>
      </c>
      <c r="Z86" s="1">
        <v>8.4</v>
      </c>
      <c r="AA86" s="1">
        <v>9.1999999999999993</v>
      </c>
      <c r="AB86" s="1">
        <v>10.6</v>
      </c>
      <c r="AC86" s="1">
        <v>6.4</v>
      </c>
      <c r="AD86" s="1">
        <v>7.6</v>
      </c>
      <c r="AE86" s="1"/>
      <c r="AF86" s="1">
        <f t="shared" si="15"/>
        <v>2.8000000000000003</v>
      </c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213</v>
      </c>
      <c r="B87" s="1" t="s">
        <v>43</v>
      </c>
      <c r="C87" s="1">
        <v>101</v>
      </c>
      <c r="D87" s="1">
        <v>17</v>
      </c>
      <c r="E87" s="1">
        <v>79</v>
      </c>
      <c r="F87" s="1">
        <v>17</v>
      </c>
      <c r="G87" s="8">
        <v>0.05</v>
      </c>
      <c r="H87" s="1"/>
      <c r="I87" s="1" t="s">
        <v>214</v>
      </c>
      <c r="J87" s="1"/>
      <c r="K87" s="1">
        <v>89</v>
      </c>
      <c r="L87" s="1">
        <f t="shared" si="16"/>
        <v>-10</v>
      </c>
      <c r="M87" s="1">
        <f t="shared" si="17"/>
        <v>79</v>
      </c>
      <c r="N87" s="1"/>
      <c r="O87" s="1"/>
      <c r="P87" s="1">
        <v>48.399999999999991</v>
      </c>
      <c r="Q87" s="1"/>
      <c r="R87" s="1"/>
      <c r="S87" s="1">
        <f t="shared" si="18"/>
        <v>15.8</v>
      </c>
      <c r="T87" s="5">
        <f>11*S87-R87-Q87-P87-O87-F87</f>
        <v>108.40000000000002</v>
      </c>
      <c r="U87" s="5"/>
      <c r="V87" s="1"/>
      <c r="W87" s="1">
        <f t="shared" si="19"/>
        <v>11</v>
      </c>
      <c r="X87" s="1">
        <f t="shared" si="20"/>
        <v>4.1392405063291129</v>
      </c>
      <c r="Y87" s="1">
        <v>10.199999999999999</v>
      </c>
      <c r="Z87" s="1">
        <v>5.6</v>
      </c>
      <c r="AA87" s="1">
        <v>9.8000000000000007</v>
      </c>
      <c r="AB87" s="1">
        <v>17.399999999999999</v>
      </c>
      <c r="AC87" s="1">
        <v>10.4</v>
      </c>
      <c r="AD87" s="1">
        <v>7.6</v>
      </c>
      <c r="AE87" s="11" t="s">
        <v>197</v>
      </c>
      <c r="AF87" s="1">
        <f t="shared" ref="AF87:AF117" si="21">G87*T87</f>
        <v>5.4200000000000017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215</v>
      </c>
      <c r="B88" s="1" t="s">
        <v>43</v>
      </c>
      <c r="C88" s="1">
        <v>110</v>
      </c>
      <c r="D88" s="1">
        <v>3</v>
      </c>
      <c r="E88" s="1">
        <v>52</v>
      </c>
      <c r="F88" s="1">
        <v>42</v>
      </c>
      <c r="G88" s="8">
        <v>5.5E-2</v>
      </c>
      <c r="H88" s="1"/>
      <c r="I88" s="1" t="s">
        <v>216</v>
      </c>
      <c r="J88" s="1"/>
      <c r="K88" s="1">
        <v>74</v>
      </c>
      <c r="L88" s="1">
        <f t="shared" si="16"/>
        <v>-22</v>
      </c>
      <c r="M88" s="1">
        <f t="shared" si="17"/>
        <v>52</v>
      </c>
      <c r="N88" s="1"/>
      <c r="O88" s="1"/>
      <c r="P88" s="1">
        <v>0</v>
      </c>
      <c r="Q88" s="1"/>
      <c r="R88" s="1"/>
      <c r="S88" s="1">
        <f t="shared" si="18"/>
        <v>10.4</v>
      </c>
      <c r="T88" s="5">
        <f>11*S88-R88-Q88-P88-O88-F88</f>
        <v>72.400000000000006</v>
      </c>
      <c r="U88" s="5"/>
      <c r="V88" s="1"/>
      <c r="W88" s="1">
        <f t="shared" si="19"/>
        <v>11</v>
      </c>
      <c r="X88" s="1">
        <f t="shared" si="20"/>
        <v>4.0384615384615383</v>
      </c>
      <c r="Y88" s="1">
        <v>10.4</v>
      </c>
      <c r="Z88" s="1">
        <v>8.8000000000000007</v>
      </c>
      <c r="AA88" s="1">
        <v>20.399999999999999</v>
      </c>
      <c r="AB88" s="1">
        <v>5.6</v>
      </c>
      <c r="AC88" s="1">
        <v>6.8</v>
      </c>
      <c r="AD88" s="1">
        <v>7.8</v>
      </c>
      <c r="AE88" s="1"/>
      <c r="AF88" s="1">
        <f t="shared" si="21"/>
        <v>3.9820000000000002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 t="s">
        <v>217</v>
      </c>
      <c r="B89" s="1" t="s">
        <v>43</v>
      </c>
      <c r="C89" s="1">
        <v>57</v>
      </c>
      <c r="D89" s="1">
        <v>3</v>
      </c>
      <c r="E89" s="1">
        <v>15</v>
      </c>
      <c r="F89" s="1">
        <v>34</v>
      </c>
      <c r="G89" s="8">
        <v>0.3</v>
      </c>
      <c r="H89" s="1"/>
      <c r="I89" s="1" t="s">
        <v>218</v>
      </c>
      <c r="J89" s="1"/>
      <c r="K89" s="1">
        <v>19</v>
      </c>
      <c r="L89" s="1">
        <f t="shared" si="16"/>
        <v>-4</v>
      </c>
      <c r="M89" s="1">
        <f t="shared" si="17"/>
        <v>15</v>
      </c>
      <c r="N89" s="1"/>
      <c r="O89" s="1"/>
      <c r="P89" s="1">
        <v>30.599999999999991</v>
      </c>
      <c r="Q89" s="1"/>
      <c r="R89" s="1"/>
      <c r="S89" s="1">
        <f t="shared" si="18"/>
        <v>3</v>
      </c>
      <c r="T89" s="5"/>
      <c r="U89" s="5"/>
      <c r="V89" s="1"/>
      <c r="W89" s="1">
        <f t="shared" si="19"/>
        <v>21.533333333333331</v>
      </c>
      <c r="X89" s="1">
        <f t="shared" si="20"/>
        <v>21.533333333333331</v>
      </c>
      <c r="Y89" s="1">
        <v>6.8</v>
      </c>
      <c r="Z89" s="1">
        <v>7.2</v>
      </c>
      <c r="AA89" s="1">
        <v>1.2</v>
      </c>
      <c r="AB89" s="1">
        <v>3.6</v>
      </c>
      <c r="AC89" s="1">
        <v>10.4</v>
      </c>
      <c r="AD89" s="1">
        <v>2</v>
      </c>
      <c r="AE89" s="15" t="s">
        <v>135</v>
      </c>
      <c r="AF89" s="1">
        <f t="shared" si="21"/>
        <v>0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219</v>
      </c>
      <c r="B90" s="1" t="s">
        <v>35</v>
      </c>
      <c r="C90" s="1">
        <v>20.815000000000001</v>
      </c>
      <c r="D90" s="1">
        <v>2.9369999999999998</v>
      </c>
      <c r="E90" s="1">
        <v>17.367000000000001</v>
      </c>
      <c r="F90" s="1">
        <v>6.3849999999999998</v>
      </c>
      <c r="G90" s="8">
        <v>1</v>
      </c>
      <c r="H90" s="1"/>
      <c r="I90" s="1" t="s">
        <v>220</v>
      </c>
      <c r="J90" s="1"/>
      <c r="K90" s="1">
        <v>14.3</v>
      </c>
      <c r="L90" s="1">
        <f t="shared" si="16"/>
        <v>3.0670000000000002</v>
      </c>
      <c r="M90" s="1">
        <f t="shared" si="17"/>
        <v>17.367000000000001</v>
      </c>
      <c r="N90" s="1"/>
      <c r="O90" s="1"/>
      <c r="P90" s="1">
        <v>25.965399999999999</v>
      </c>
      <c r="Q90" s="1"/>
      <c r="R90" s="1"/>
      <c r="S90" s="1">
        <f t="shared" si="18"/>
        <v>3.4734000000000003</v>
      </c>
      <c r="T90" s="5">
        <f>11*S90-R90-Q90-P90-O90-F90</f>
        <v>5.8570000000000011</v>
      </c>
      <c r="U90" s="5"/>
      <c r="V90" s="1"/>
      <c r="W90" s="1">
        <f t="shared" si="19"/>
        <v>10.999999999999998</v>
      </c>
      <c r="X90" s="1">
        <f t="shared" si="20"/>
        <v>9.3137559739736275</v>
      </c>
      <c r="Y90" s="1">
        <v>3.5244</v>
      </c>
      <c r="Z90" s="1">
        <v>3.4784000000000002</v>
      </c>
      <c r="AA90" s="1">
        <v>3.4672000000000001</v>
      </c>
      <c r="AB90" s="1">
        <v>4.1932</v>
      </c>
      <c r="AC90" s="1">
        <v>3.8694000000000002</v>
      </c>
      <c r="AD90" s="1">
        <v>1.2769999999999999</v>
      </c>
      <c r="AE90" s="1"/>
      <c r="AF90" s="1">
        <f t="shared" si="21"/>
        <v>5.8570000000000011</v>
      </c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221</v>
      </c>
      <c r="B91" s="1" t="s">
        <v>43</v>
      </c>
      <c r="C91" s="1">
        <v>5</v>
      </c>
      <c r="D91" s="1">
        <v>50</v>
      </c>
      <c r="E91" s="1">
        <v>31</v>
      </c>
      <c r="F91" s="1">
        <v>1</v>
      </c>
      <c r="G91" s="8">
        <v>0.11</v>
      </c>
      <c r="H91" s="1"/>
      <c r="I91" s="1" t="s">
        <v>222</v>
      </c>
      <c r="J91" s="1"/>
      <c r="K91" s="1">
        <v>46</v>
      </c>
      <c r="L91" s="1">
        <f t="shared" si="16"/>
        <v>-15</v>
      </c>
      <c r="M91" s="1">
        <f t="shared" si="17"/>
        <v>31</v>
      </c>
      <c r="N91" s="1"/>
      <c r="O91" s="1"/>
      <c r="P91" s="1">
        <v>0</v>
      </c>
      <c r="Q91" s="1"/>
      <c r="R91" s="1"/>
      <c r="S91" s="1">
        <f t="shared" si="18"/>
        <v>6.2</v>
      </c>
      <c r="T91" s="5">
        <f>7*S91-R91-Q91-P91-O91-F91</f>
        <v>42.4</v>
      </c>
      <c r="U91" s="5"/>
      <c r="V91" s="1"/>
      <c r="W91" s="1">
        <f t="shared" si="19"/>
        <v>7</v>
      </c>
      <c r="X91" s="1">
        <f t="shared" si="20"/>
        <v>0.16129032258064516</v>
      </c>
      <c r="Y91" s="1">
        <v>2</v>
      </c>
      <c r="Z91" s="1">
        <v>0</v>
      </c>
      <c r="AA91" s="1">
        <v>1.6</v>
      </c>
      <c r="AB91" s="1">
        <v>2.4</v>
      </c>
      <c r="AC91" s="1">
        <v>2.6</v>
      </c>
      <c r="AD91" s="1">
        <v>1.6</v>
      </c>
      <c r="AE91" s="1"/>
      <c r="AF91" s="1">
        <f t="shared" si="21"/>
        <v>4.6639999999999997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223</v>
      </c>
      <c r="B92" s="1" t="s">
        <v>43</v>
      </c>
      <c r="C92" s="1">
        <v>118</v>
      </c>
      <c r="D92" s="1">
        <v>314</v>
      </c>
      <c r="E92" s="1">
        <v>156</v>
      </c>
      <c r="F92" s="1">
        <v>78</v>
      </c>
      <c r="G92" s="8">
        <v>0.08</v>
      </c>
      <c r="H92" s="1"/>
      <c r="I92" s="1" t="s">
        <v>224</v>
      </c>
      <c r="J92" s="1"/>
      <c r="K92" s="1">
        <v>198</v>
      </c>
      <c r="L92" s="1">
        <f t="shared" si="16"/>
        <v>-42</v>
      </c>
      <c r="M92" s="1">
        <f t="shared" si="17"/>
        <v>156</v>
      </c>
      <c r="N92" s="1"/>
      <c r="O92" s="1"/>
      <c r="P92" s="1">
        <v>131.4</v>
      </c>
      <c r="Q92" s="1"/>
      <c r="R92" s="1"/>
      <c r="S92" s="1">
        <f t="shared" si="18"/>
        <v>31.2</v>
      </c>
      <c r="T92" s="5">
        <f>11*S92-R92-Q92-P92-O92-F92</f>
        <v>133.79999999999998</v>
      </c>
      <c r="U92" s="5"/>
      <c r="V92" s="1"/>
      <c r="W92" s="1">
        <f t="shared" si="19"/>
        <v>11</v>
      </c>
      <c r="X92" s="1">
        <f t="shared" si="20"/>
        <v>6.7115384615384617</v>
      </c>
      <c r="Y92" s="1">
        <v>23.2</v>
      </c>
      <c r="Z92" s="1">
        <v>25.6</v>
      </c>
      <c r="AA92" s="1">
        <v>31</v>
      </c>
      <c r="AB92" s="1">
        <v>40.200000000000003</v>
      </c>
      <c r="AC92" s="1">
        <v>36.799999999999997</v>
      </c>
      <c r="AD92" s="1">
        <v>23.2</v>
      </c>
      <c r="AE92" s="1"/>
      <c r="AF92" s="1">
        <f t="shared" si="21"/>
        <v>10.703999999999999</v>
      </c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 t="s">
        <v>225</v>
      </c>
      <c r="B93" s="1" t="s">
        <v>43</v>
      </c>
      <c r="C93" s="1">
        <v>18</v>
      </c>
      <c r="D93" s="1">
        <v>698</v>
      </c>
      <c r="E93" s="1">
        <v>34</v>
      </c>
      <c r="F93" s="1">
        <v>267</v>
      </c>
      <c r="G93" s="8">
        <v>0.08</v>
      </c>
      <c r="H93" s="1"/>
      <c r="I93" s="1" t="s">
        <v>226</v>
      </c>
      <c r="J93" s="1"/>
      <c r="K93" s="1">
        <v>94</v>
      </c>
      <c r="L93" s="1">
        <f t="shared" si="16"/>
        <v>-60</v>
      </c>
      <c r="M93" s="1">
        <f t="shared" si="17"/>
        <v>34</v>
      </c>
      <c r="N93" s="1"/>
      <c r="O93" s="1">
        <v>190.14136199999999</v>
      </c>
      <c r="P93" s="1">
        <v>0</v>
      </c>
      <c r="Q93" s="1"/>
      <c r="R93" s="1"/>
      <c r="S93" s="1">
        <f t="shared" si="18"/>
        <v>6.8</v>
      </c>
      <c r="T93" s="5"/>
      <c r="U93" s="5"/>
      <c r="V93" s="1"/>
      <c r="W93" s="1">
        <f t="shared" si="19"/>
        <v>67.226670882352934</v>
      </c>
      <c r="X93" s="1">
        <f t="shared" si="20"/>
        <v>67.226670882352934</v>
      </c>
      <c r="Y93" s="1">
        <v>16.2</v>
      </c>
      <c r="Z93" s="1">
        <v>28.6</v>
      </c>
      <c r="AA93" s="1">
        <v>23</v>
      </c>
      <c r="AB93" s="1">
        <v>36.200000000000003</v>
      </c>
      <c r="AC93" s="1">
        <v>31.4</v>
      </c>
      <c r="AD93" s="1">
        <v>31.2</v>
      </c>
      <c r="AE93" s="1"/>
      <c r="AF93" s="1">
        <f t="shared" si="21"/>
        <v>0</v>
      </c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227</v>
      </c>
      <c r="B94" s="1" t="s">
        <v>43</v>
      </c>
      <c r="C94" s="1">
        <v>11</v>
      </c>
      <c r="D94" s="1">
        <v>60</v>
      </c>
      <c r="E94" s="1">
        <v>16</v>
      </c>
      <c r="F94" s="1">
        <v>10</v>
      </c>
      <c r="G94" s="8">
        <v>0.17</v>
      </c>
      <c r="H94" s="1"/>
      <c r="I94" s="1" t="s">
        <v>228</v>
      </c>
      <c r="J94" s="1"/>
      <c r="K94" s="1">
        <v>29</v>
      </c>
      <c r="L94" s="1">
        <f t="shared" si="16"/>
        <v>-13</v>
      </c>
      <c r="M94" s="1">
        <f t="shared" si="17"/>
        <v>16</v>
      </c>
      <c r="N94" s="1"/>
      <c r="O94" s="1"/>
      <c r="P94" s="1">
        <v>0</v>
      </c>
      <c r="Q94" s="1"/>
      <c r="R94" s="1"/>
      <c r="S94" s="1">
        <f t="shared" si="18"/>
        <v>3.2</v>
      </c>
      <c r="T94" s="5">
        <f>10*S94-R94-Q94-P94-O94-F94</f>
        <v>22</v>
      </c>
      <c r="U94" s="5"/>
      <c r="V94" s="1"/>
      <c r="W94" s="1">
        <f t="shared" si="19"/>
        <v>10</v>
      </c>
      <c r="X94" s="1">
        <f t="shared" si="20"/>
        <v>3.125</v>
      </c>
      <c r="Y94" s="1">
        <v>-0.8</v>
      </c>
      <c r="Z94" s="1">
        <v>1.2</v>
      </c>
      <c r="AA94" s="1">
        <v>9.8000000000000007</v>
      </c>
      <c r="AB94" s="1">
        <v>6.4</v>
      </c>
      <c r="AC94" s="1">
        <v>1.2</v>
      </c>
      <c r="AD94" s="1">
        <v>3.2</v>
      </c>
      <c r="AE94" s="1"/>
      <c r="AF94" s="1">
        <f t="shared" si="21"/>
        <v>3.74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 t="s">
        <v>229</v>
      </c>
      <c r="B95" s="1" t="s">
        <v>35</v>
      </c>
      <c r="C95" s="1">
        <v>75.887</v>
      </c>
      <c r="D95" s="1">
        <v>689.85599999999999</v>
      </c>
      <c r="E95" s="1">
        <v>253.101</v>
      </c>
      <c r="F95" s="1">
        <v>421.03300000000002</v>
      </c>
      <c r="G95" s="8">
        <v>1</v>
      </c>
      <c r="H95" s="1"/>
      <c r="I95" s="1" t="s">
        <v>230</v>
      </c>
      <c r="J95" s="1"/>
      <c r="K95" s="1">
        <v>259.3</v>
      </c>
      <c r="L95" s="1">
        <f t="shared" si="16"/>
        <v>-6.1990000000000123</v>
      </c>
      <c r="M95" s="1">
        <f t="shared" si="17"/>
        <v>253.101</v>
      </c>
      <c r="N95" s="1"/>
      <c r="O95" s="1">
        <v>149.20442679600001</v>
      </c>
      <c r="P95" s="1">
        <v>0</v>
      </c>
      <c r="Q95" s="1"/>
      <c r="R95" s="1"/>
      <c r="S95" s="1">
        <f t="shared" si="18"/>
        <v>50.620199999999997</v>
      </c>
      <c r="T95" s="5"/>
      <c r="U95" s="5"/>
      <c r="V95" s="1"/>
      <c r="W95" s="1">
        <f t="shared" si="19"/>
        <v>11.265017261804577</v>
      </c>
      <c r="X95" s="1">
        <f t="shared" si="20"/>
        <v>11.265017261804577</v>
      </c>
      <c r="Y95" s="1">
        <v>59.324399999999997</v>
      </c>
      <c r="Z95" s="1">
        <v>63.511800000000008</v>
      </c>
      <c r="AA95" s="1">
        <v>17.624600000000001</v>
      </c>
      <c r="AB95" s="1">
        <v>29.264800000000001</v>
      </c>
      <c r="AC95" s="1">
        <v>53.634</v>
      </c>
      <c r="AD95" s="1">
        <v>62.190800000000003</v>
      </c>
      <c r="AE95" s="1"/>
      <c r="AF95" s="1">
        <f t="shared" si="21"/>
        <v>0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231</v>
      </c>
      <c r="B96" s="1" t="s">
        <v>35</v>
      </c>
      <c r="C96" s="1">
        <v>239.31800000000001</v>
      </c>
      <c r="D96" s="1">
        <v>17.727</v>
      </c>
      <c r="E96" s="1">
        <v>71.013999999999996</v>
      </c>
      <c r="F96" s="1">
        <v>162.09200000000001</v>
      </c>
      <c r="G96" s="8">
        <v>1</v>
      </c>
      <c r="H96" s="1"/>
      <c r="I96" s="1" t="s">
        <v>232</v>
      </c>
      <c r="J96" s="1"/>
      <c r="K96" s="1">
        <v>71.629000000000005</v>
      </c>
      <c r="L96" s="1">
        <f t="shared" si="16"/>
        <v>-0.61500000000000909</v>
      </c>
      <c r="M96" s="1">
        <f t="shared" si="17"/>
        <v>71.013999999999996</v>
      </c>
      <c r="N96" s="1"/>
      <c r="O96" s="1"/>
      <c r="P96" s="1">
        <v>0</v>
      </c>
      <c r="Q96" s="1"/>
      <c r="R96" s="1"/>
      <c r="S96" s="1">
        <f t="shared" si="18"/>
        <v>14.2028</v>
      </c>
      <c r="T96" s="5"/>
      <c r="U96" s="5"/>
      <c r="V96" s="1"/>
      <c r="W96" s="1">
        <f t="shared" si="19"/>
        <v>11.412679190018871</v>
      </c>
      <c r="X96" s="1">
        <f t="shared" si="20"/>
        <v>11.412679190018871</v>
      </c>
      <c r="Y96" s="1">
        <v>11.4068</v>
      </c>
      <c r="Z96" s="1">
        <v>14.0228</v>
      </c>
      <c r="AA96" s="1">
        <v>0</v>
      </c>
      <c r="AB96" s="1">
        <v>0.7268</v>
      </c>
      <c r="AC96" s="1">
        <v>2.4918</v>
      </c>
      <c r="AD96" s="1">
        <v>5.8328000000000007</v>
      </c>
      <c r="AE96" s="1"/>
      <c r="AF96" s="1">
        <f t="shared" si="21"/>
        <v>0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233</v>
      </c>
      <c r="B97" s="1" t="s">
        <v>35</v>
      </c>
      <c r="C97" s="1">
        <v>86.227000000000004</v>
      </c>
      <c r="D97" s="1">
        <v>516.78300000000002</v>
      </c>
      <c r="E97" s="1">
        <v>186.70400000000001</v>
      </c>
      <c r="F97" s="1">
        <v>308.63499999999999</v>
      </c>
      <c r="G97" s="8">
        <v>1</v>
      </c>
      <c r="H97" s="1"/>
      <c r="I97" s="1" t="s">
        <v>234</v>
      </c>
      <c r="J97" s="1"/>
      <c r="K97" s="1">
        <v>198.4</v>
      </c>
      <c r="L97" s="1">
        <f t="shared" si="16"/>
        <v>-11.695999999999998</v>
      </c>
      <c r="M97" s="1">
        <f t="shared" si="17"/>
        <v>186.70400000000001</v>
      </c>
      <c r="N97" s="1"/>
      <c r="O97" s="1">
        <v>135.71477542800011</v>
      </c>
      <c r="P97" s="1">
        <v>0</v>
      </c>
      <c r="Q97" s="1"/>
      <c r="R97" s="1"/>
      <c r="S97" s="1">
        <f t="shared" si="18"/>
        <v>37.340800000000002</v>
      </c>
      <c r="T97" s="5"/>
      <c r="U97" s="5"/>
      <c r="V97" s="1"/>
      <c r="W97" s="1">
        <f t="shared" si="19"/>
        <v>11.899846158304056</v>
      </c>
      <c r="X97" s="1">
        <f t="shared" si="20"/>
        <v>11.899846158304056</v>
      </c>
      <c r="Y97" s="1">
        <v>46.566600000000001</v>
      </c>
      <c r="Z97" s="1">
        <v>47.993400000000001</v>
      </c>
      <c r="AA97" s="1">
        <v>16.330200000000001</v>
      </c>
      <c r="AB97" s="1">
        <v>25.382400000000001</v>
      </c>
      <c r="AC97" s="1">
        <v>45.130600000000001</v>
      </c>
      <c r="AD97" s="1">
        <v>50.688400000000001</v>
      </c>
      <c r="AE97" s="1"/>
      <c r="AF97" s="1">
        <f t="shared" si="21"/>
        <v>0</v>
      </c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235</v>
      </c>
      <c r="B98" s="1" t="s">
        <v>43</v>
      </c>
      <c r="C98" s="1">
        <v>13</v>
      </c>
      <c r="D98" s="1">
        <v>31</v>
      </c>
      <c r="E98" s="1">
        <v>32</v>
      </c>
      <c r="F98" s="1"/>
      <c r="G98" s="8">
        <v>0.3</v>
      </c>
      <c r="H98" s="1"/>
      <c r="I98" s="1" t="s">
        <v>236</v>
      </c>
      <c r="J98" s="1"/>
      <c r="K98" s="1">
        <v>58</v>
      </c>
      <c r="L98" s="1">
        <f t="shared" si="16"/>
        <v>-26</v>
      </c>
      <c r="M98" s="1">
        <f t="shared" si="17"/>
        <v>32</v>
      </c>
      <c r="N98" s="1"/>
      <c r="O98" s="1"/>
      <c r="P98" s="1">
        <v>55</v>
      </c>
      <c r="Q98" s="1"/>
      <c r="R98" s="1"/>
      <c r="S98" s="1">
        <f t="shared" si="18"/>
        <v>6.4</v>
      </c>
      <c r="T98" s="5">
        <f>11*S98-R98-Q98-P98-O98-F98</f>
        <v>15.400000000000006</v>
      </c>
      <c r="U98" s="5"/>
      <c r="V98" s="1"/>
      <c r="W98" s="1">
        <f t="shared" si="19"/>
        <v>11</v>
      </c>
      <c r="X98" s="1">
        <f t="shared" si="20"/>
        <v>8.59375</v>
      </c>
      <c r="Y98" s="1">
        <v>8</v>
      </c>
      <c r="Z98" s="1">
        <v>8.8000000000000007</v>
      </c>
      <c r="AA98" s="1">
        <v>10.199999999999999</v>
      </c>
      <c r="AB98" s="1">
        <v>11.8</v>
      </c>
      <c r="AC98" s="1">
        <v>12.2</v>
      </c>
      <c r="AD98" s="1">
        <v>12.2</v>
      </c>
      <c r="AE98" s="1"/>
      <c r="AF98" s="1">
        <f t="shared" si="21"/>
        <v>4.6200000000000019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 t="s">
        <v>237</v>
      </c>
      <c r="B99" s="1" t="s">
        <v>35</v>
      </c>
      <c r="C99" s="1"/>
      <c r="D99" s="1"/>
      <c r="E99" s="1"/>
      <c r="F99" s="1"/>
      <c r="G99" s="8">
        <v>1</v>
      </c>
      <c r="H99" s="1"/>
      <c r="I99" s="1" t="s">
        <v>238</v>
      </c>
      <c r="J99" s="1"/>
      <c r="K99" s="1"/>
      <c r="L99" s="1">
        <f t="shared" si="16"/>
        <v>0</v>
      </c>
      <c r="M99" s="1">
        <f t="shared" si="17"/>
        <v>0</v>
      </c>
      <c r="N99" s="1"/>
      <c r="O99" s="1"/>
      <c r="P99" s="1">
        <v>5</v>
      </c>
      <c r="Q99" s="1"/>
      <c r="R99" s="1"/>
      <c r="S99" s="1">
        <f t="shared" si="18"/>
        <v>0</v>
      </c>
      <c r="T99" s="5"/>
      <c r="U99" s="5"/>
      <c r="V99" s="1"/>
      <c r="W99" s="1" t="e">
        <f t="shared" si="19"/>
        <v>#DIV/0!</v>
      </c>
      <c r="X99" s="1" t="e">
        <f t="shared" si="20"/>
        <v>#DIV/0!</v>
      </c>
      <c r="Y99" s="1">
        <v>-0.27200000000000002</v>
      </c>
      <c r="Z99" s="1">
        <v>0</v>
      </c>
      <c r="AA99" s="1">
        <v>0</v>
      </c>
      <c r="AB99" s="1">
        <v>1.645</v>
      </c>
      <c r="AC99" s="1">
        <v>0.26779999999999998</v>
      </c>
      <c r="AD99" s="1">
        <v>0.26900000000000002</v>
      </c>
      <c r="AE99" s="1"/>
      <c r="AF99" s="1">
        <f t="shared" si="21"/>
        <v>0</v>
      </c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239</v>
      </c>
      <c r="B100" s="1" t="s">
        <v>43</v>
      </c>
      <c r="C100" s="1">
        <v>262</v>
      </c>
      <c r="D100" s="1">
        <v>751</v>
      </c>
      <c r="E100" s="1">
        <v>396</v>
      </c>
      <c r="F100" s="1">
        <v>421</v>
      </c>
      <c r="G100" s="8">
        <v>0.28000000000000003</v>
      </c>
      <c r="H100" s="1"/>
      <c r="I100" s="1" t="s">
        <v>240</v>
      </c>
      <c r="J100" s="1"/>
      <c r="K100" s="1">
        <v>409</v>
      </c>
      <c r="L100" s="1">
        <f t="shared" si="16"/>
        <v>-13</v>
      </c>
      <c r="M100" s="1">
        <f t="shared" si="17"/>
        <v>396</v>
      </c>
      <c r="N100" s="1"/>
      <c r="O100" s="1">
        <v>211.68131399999999</v>
      </c>
      <c r="P100" s="1">
        <v>116.8665536992842</v>
      </c>
      <c r="Q100" s="1">
        <v>106.7274463007161</v>
      </c>
      <c r="R100" s="1"/>
      <c r="S100" s="1">
        <f t="shared" si="18"/>
        <v>79.2</v>
      </c>
      <c r="T100" s="5">
        <f>11*S100-R100-Q100-P100-O100-F100</f>
        <v>14.924685999999781</v>
      </c>
      <c r="U100" s="5"/>
      <c r="V100" s="1"/>
      <c r="W100" s="1">
        <f t="shared" si="19"/>
        <v>11</v>
      </c>
      <c r="X100" s="1">
        <f t="shared" si="20"/>
        <v>10.811556994949497</v>
      </c>
      <c r="Y100" s="1">
        <v>89.4</v>
      </c>
      <c r="Z100" s="1">
        <v>80.2</v>
      </c>
      <c r="AA100" s="1">
        <v>59.4</v>
      </c>
      <c r="AB100" s="1">
        <v>84.6</v>
      </c>
      <c r="AC100" s="1">
        <v>69</v>
      </c>
      <c r="AD100" s="1">
        <v>77.400000000000006</v>
      </c>
      <c r="AE100" s="1"/>
      <c r="AF100" s="1">
        <f t="shared" si="21"/>
        <v>4.1789120799999386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 t="s">
        <v>241</v>
      </c>
      <c r="B101" s="1" t="s">
        <v>43</v>
      </c>
      <c r="C101" s="1"/>
      <c r="D101" s="1">
        <v>319</v>
      </c>
      <c r="E101" s="1">
        <v>254</v>
      </c>
      <c r="F101" s="1">
        <v>4</v>
      </c>
      <c r="G101" s="8">
        <v>0.28000000000000003</v>
      </c>
      <c r="H101" s="1"/>
      <c r="I101" s="1"/>
      <c r="J101" s="1"/>
      <c r="K101" s="1">
        <v>369</v>
      </c>
      <c r="L101" s="1">
        <f t="shared" si="16"/>
        <v>-115</v>
      </c>
      <c r="M101" s="1">
        <f t="shared" si="17"/>
        <v>254</v>
      </c>
      <c r="N101" s="1"/>
      <c r="O101" s="1"/>
      <c r="P101" s="1">
        <v>0</v>
      </c>
      <c r="Q101" s="1"/>
      <c r="R101" s="1"/>
      <c r="S101" s="1">
        <f t="shared" si="18"/>
        <v>50.8</v>
      </c>
      <c r="T101" s="5">
        <f>7*S101-R101-Q101-P101-O101-F101</f>
        <v>351.59999999999997</v>
      </c>
      <c r="U101" s="5"/>
      <c r="V101" s="1"/>
      <c r="W101" s="1">
        <f t="shared" si="19"/>
        <v>7</v>
      </c>
      <c r="X101" s="1">
        <f t="shared" si="20"/>
        <v>7.874015748031496E-2</v>
      </c>
      <c r="Y101" s="1">
        <v>10.4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/>
      <c r="AF101" s="1">
        <f t="shared" si="21"/>
        <v>98.447999999999993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242</v>
      </c>
      <c r="B102" s="1" t="s">
        <v>43</v>
      </c>
      <c r="C102" s="1">
        <v>164</v>
      </c>
      <c r="D102" s="1">
        <v>983</v>
      </c>
      <c r="E102" s="1">
        <v>535</v>
      </c>
      <c r="F102" s="1">
        <v>374</v>
      </c>
      <c r="G102" s="8">
        <v>0.28000000000000003</v>
      </c>
      <c r="H102" s="1"/>
      <c r="I102" s="1" t="s">
        <v>243</v>
      </c>
      <c r="J102" s="1"/>
      <c r="K102" s="1">
        <v>562</v>
      </c>
      <c r="L102" s="1">
        <f t="shared" ref="L102:L117" si="22">E102-K102</f>
        <v>-27</v>
      </c>
      <c r="M102" s="1">
        <f t="shared" ref="M102:M117" si="23">E102-N102</f>
        <v>535</v>
      </c>
      <c r="N102" s="1"/>
      <c r="O102" s="1">
        <v>276.04474199999999</v>
      </c>
      <c r="P102" s="1">
        <v>185.9576563245823</v>
      </c>
      <c r="Q102" s="1">
        <v>169.82434367541759</v>
      </c>
      <c r="R102" s="1"/>
      <c r="S102" s="1">
        <f t="shared" ref="S102:S117" si="24">M102/5</f>
        <v>107</v>
      </c>
      <c r="T102" s="5">
        <f>11*S102-R102-Q102-P102-O102-F102</f>
        <v>171.17325800000003</v>
      </c>
      <c r="U102" s="5"/>
      <c r="V102" s="1"/>
      <c r="W102" s="1">
        <f t="shared" ref="W102:W117" si="25">(F102+O102+P102+Q102+R102+T102)/S102</f>
        <v>11</v>
      </c>
      <c r="X102" s="1">
        <f t="shared" ref="X102:X117" si="26">(F102+O102+P102+Q102+R102)/S102</f>
        <v>9.4002499252336449</v>
      </c>
      <c r="Y102" s="1">
        <v>107.8</v>
      </c>
      <c r="Z102" s="1">
        <v>88.6</v>
      </c>
      <c r="AA102" s="1">
        <v>68.8</v>
      </c>
      <c r="AB102" s="1">
        <v>91</v>
      </c>
      <c r="AC102" s="1">
        <v>65.8</v>
      </c>
      <c r="AD102" s="1">
        <v>91</v>
      </c>
      <c r="AE102" s="1"/>
      <c r="AF102" s="1">
        <f t="shared" si="21"/>
        <v>47.928512240000011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 t="s">
        <v>244</v>
      </c>
      <c r="B103" s="1" t="s">
        <v>43</v>
      </c>
      <c r="C103" s="1"/>
      <c r="D103" s="1">
        <v>60</v>
      </c>
      <c r="E103" s="1">
        <v>20</v>
      </c>
      <c r="F103" s="1">
        <v>26</v>
      </c>
      <c r="G103" s="8">
        <v>0.09</v>
      </c>
      <c r="H103" s="1"/>
      <c r="I103" s="1"/>
      <c r="J103" s="1"/>
      <c r="K103" s="1">
        <v>20</v>
      </c>
      <c r="L103" s="1">
        <f t="shared" si="22"/>
        <v>0</v>
      </c>
      <c r="M103" s="1">
        <f t="shared" si="23"/>
        <v>20</v>
      </c>
      <c r="N103" s="1"/>
      <c r="O103" s="1">
        <v>20</v>
      </c>
      <c r="P103" s="1">
        <v>0</v>
      </c>
      <c r="Q103" s="1"/>
      <c r="R103" s="1"/>
      <c r="S103" s="1">
        <f t="shared" si="24"/>
        <v>4</v>
      </c>
      <c r="T103" s="5"/>
      <c r="U103" s="5"/>
      <c r="V103" s="1"/>
      <c r="W103" s="1">
        <f t="shared" si="25"/>
        <v>11.5</v>
      </c>
      <c r="X103" s="1">
        <f t="shared" si="26"/>
        <v>11.5</v>
      </c>
      <c r="Y103" s="1">
        <v>2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/>
      <c r="AF103" s="1">
        <f t="shared" si="21"/>
        <v>0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 t="s">
        <v>245</v>
      </c>
      <c r="B104" s="1" t="s">
        <v>35</v>
      </c>
      <c r="C104" s="1">
        <v>111.75700000000001</v>
      </c>
      <c r="D104" s="1">
        <v>35.027999999999999</v>
      </c>
      <c r="E104" s="1">
        <v>50.530999999999999</v>
      </c>
      <c r="F104" s="1">
        <v>58.591999999999999</v>
      </c>
      <c r="G104" s="8">
        <v>1</v>
      </c>
      <c r="H104" s="1"/>
      <c r="I104" s="1" t="s">
        <v>246</v>
      </c>
      <c r="J104" s="1"/>
      <c r="K104" s="1">
        <v>50</v>
      </c>
      <c r="L104" s="1">
        <f t="shared" si="22"/>
        <v>0.53099999999999881</v>
      </c>
      <c r="M104" s="1">
        <f t="shared" si="23"/>
        <v>50.530999999999999</v>
      </c>
      <c r="N104" s="1"/>
      <c r="O104" s="1"/>
      <c r="P104" s="1">
        <v>96.453999999999979</v>
      </c>
      <c r="Q104" s="1"/>
      <c r="R104" s="1"/>
      <c r="S104" s="1">
        <f t="shared" si="24"/>
        <v>10.106199999999999</v>
      </c>
      <c r="T104" s="5"/>
      <c r="U104" s="5"/>
      <c r="V104" s="1"/>
      <c r="W104" s="1">
        <f t="shared" si="25"/>
        <v>15.341671449209397</v>
      </c>
      <c r="X104" s="1">
        <f t="shared" si="26"/>
        <v>15.341671449209397</v>
      </c>
      <c r="Y104" s="1">
        <v>14.573</v>
      </c>
      <c r="Z104" s="1">
        <v>12.059799999999999</v>
      </c>
      <c r="AA104" s="1">
        <v>8.6370000000000005</v>
      </c>
      <c r="AB104" s="1">
        <v>17.559000000000001</v>
      </c>
      <c r="AC104" s="1">
        <v>22.036200000000001</v>
      </c>
      <c r="AD104" s="1">
        <v>12.86</v>
      </c>
      <c r="AE104" s="1"/>
      <c r="AF104" s="1">
        <f t="shared" si="21"/>
        <v>0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 t="s">
        <v>247</v>
      </c>
      <c r="B105" s="1" t="s">
        <v>35</v>
      </c>
      <c r="C105" s="1">
        <v>119.47799999999999</v>
      </c>
      <c r="D105" s="1">
        <v>128.47399999999999</v>
      </c>
      <c r="E105" s="1">
        <v>103.145</v>
      </c>
      <c r="F105" s="1">
        <v>79.543999999999997</v>
      </c>
      <c r="G105" s="8">
        <v>1</v>
      </c>
      <c r="H105" s="1"/>
      <c r="I105" s="1" t="s">
        <v>248</v>
      </c>
      <c r="J105" s="1"/>
      <c r="K105" s="1">
        <v>111.3</v>
      </c>
      <c r="L105" s="1">
        <f t="shared" si="22"/>
        <v>-8.1550000000000011</v>
      </c>
      <c r="M105" s="1">
        <f t="shared" si="23"/>
        <v>103.145</v>
      </c>
      <c r="N105" s="1"/>
      <c r="O105" s="1">
        <v>47.216985138000013</v>
      </c>
      <c r="P105" s="1">
        <v>128.23809800000001</v>
      </c>
      <c r="Q105" s="1"/>
      <c r="R105" s="1"/>
      <c r="S105" s="1">
        <f t="shared" si="24"/>
        <v>20.628999999999998</v>
      </c>
      <c r="T105" s="5"/>
      <c r="U105" s="5"/>
      <c r="V105" s="1"/>
      <c r="W105" s="1">
        <f t="shared" si="25"/>
        <v>12.361194587134618</v>
      </c>
      <c r="X105" s="1">
        <f t="shared" si="26"/>
        <v>12.361194587134618</v>
      </c>
      <c r="Y105" s="1">
        <v>24.804400000000001</v>
      </c>
      <c r="Z105" s="1">
        <v>17.557400000000001</v>
      </c>
      <c r="AA105" s="1">
        <v>6.492</v>
      </c>
      <c r="AB105" s="1">
        <v>11.9696</v>
      </c>
      <c r="AC105" s="1">
        <v>26.448</v>
      </c>
      <c r="AD105" s="1">
        <v>13.8512</v>
      </c>
      <c r="AE105" s="1"/>
      <c r="AF105" s="1">
        <f t="shared" si="21"/>
        <v>0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249</v>
      </c>
      <c r="B106" s="1" t="s">
        <v>43</v>
      </c>
      <c r="C106" s="1"/>
      <c r="D106" s="1">
        <v>70</v>
      </c>
      <c r="E106" s="1">
        <v>15</v>
      </c>
      <c r="F106" s="1">
        <v>37</v>
      </c>
      <c r="G106" s="8">
        <v>0.09</v>
      </c>
      <c r="H106" s="1"/>
      <c r="I106" s="1"/>
      <c r="J106" s="1"/>
      <c r="K106" s="1">
        <v>15</v>
      </c>
      <c r="L106" s="1">
        <f t="shared" si="22"/>
        <v>0</v>
      </c>
      <c r="M106" s="1">
        <f t="shared" si="23"/>
        <v>15</v>
      </c>
      <c r="N106" s="1"/>
      <c r="O106" s="1">
        <v>20</v>
      </c>
      <c r="P106" s="1">
        <v>0</v>
      </c>
      <c r="Q106" s="1"/>
      <c r="R106" s="1"/>
      <c r="S106" s="1">
        <f t="shared" si="24"/>
        <v>3</v>
      </c>
      <c r="T106" s="5"/>
      <c r="U106" s="5"/>
      <c r="V106" s="1"/>
      <c r="W106" s="1">
        <f t="shared" si="25"/>
        <v>19</v>
      </c>
      <c r="X106" s="1">
        <f t="shared" si="26"/>
        <v>19</v>
      </c>
      <c r="Y106" s="1">
        <v>2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/>
      <c r="AF106" s="1">
        <f t="shared" si="21"/>
        <v>0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 t="s">
        <v>250</v>
      </c>
      <c r="B107" s="1" t="s">
        <v>43</v>
      </c>
      <c r="C107" s="1"/>
      <c r="D107" s="1">
        <v>60</v>
      </c>
      <c r="E107" s="1">
        <v>10</v>
      </c>
      <c r="F107" s="1">
        <v>23</v>
      </c>
      <c r="G107" s="8">
        <v>0.09</v>
      </c>
      <c r="H107" s="1"/>
      <c r="I107" s="1"/>
      <c r="J107" s="1"/>
      <c r="K107" s="1">
        <v>10</v>
      </c>
      <c r="L107" s="1">
        <f t="shared" si="22"/>
        <v>0</v>
      </c>
      <c r="M107" s="1">
        <f t="shared" si="23"/>
        <v>10</v>
      </c>
      <c r="N107" s="1"/>
      <c r="O107" s="1">
        <v>20</v>
      </c>
      <c r="P107" s="1">
        <v>0</v>
      </c>
      <c r="Q107" s="1"/>
      <c r="R107" s="1"/>
      <c r="S107" s="1">
        <f t="shared" si="24"/>
        <v>2</v>
      </c>
      <c r="T107" s="5"/>
      <c r="U107" s="5"/>
      <c r="V107" s="1"/>
      <c r="W107" s="1">
        <f t="shared" si="25"/>
        <v>21.5</v>
      </c>
      <c r="X107" s="1">
        <f t="shared" si="26"/>
        <v>21.5</v>
      </c>
      <c r="Y107" s="1">
        <v>2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/>
      <c r="AF107" s="1">
        <f t="shared" si="21"/>
        <v>0</v>
      </c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251</v>
      </c>
      <c r="B108" s="1" t="s">
        <v>35</v>
      </c>
      <c r="C108" s="1"/>
      <c r="D108" s="1">
        <v>6.8339999999999996</v>
      </c>
      <c r="E108" s="1">
        <v>1.371</v>
      </c>
      <c r="F108" s="1"/>
      <c r="G108" s="8">
        <v>1</v>
      </c>
      <c r="H108" s="1"/>
      <c r="I108" s="1" t="s">
        <v>252</v>
      </c>
      <c r="J108" s="1"/>
      <c r="K108" s="1">
        <v>5.2709999999999999</v>
      </c>
      <c r="L108" s="1">
        <f t="shared" si="22"/>
        <v>-3.9</v>
      </c>
      <c r="M108" s="1">
        <f t="shared" si="23"/>
        <v>1.371</v>
      </c>
      <c r="N108" s="1"/>
      <c r="O108" s="1"/>
      <c r="P108" s="1">
        <v>135.89498806682579</v>
      </c>
      <c r="Q108" s="1">
        <v>124.1050119331742</v>
      </c>
      <c r="R108" s="1"/>
      <c r="S108" s="1">
        <f t="shared" si="24"/>
        <v>0.2742</v>
      </c>
      <c r="T108" s="5"/>
      <c r="U108" s="5"/>
      <c r="V108" s="1"/>
      <c r="W108" s="1">
        <f t="shared" si="25"/>
        <v>948.2129832239242</v>
      </c>
      <c r="X108" s="1">
        <f t="shared" si="26"/>
        <v>948.2129832239242</v>
      </c>
      <c r="Y108" s="1">
        <v>0.2742</v>
      </c>
      <c r="Z108" s="1">
        <v>0</v>
      </c>
      <c r="AA108" s="1">
        <v>1.9238</v>
      </c>
      <c r="AB108" s="1">
        <v>15.334</v>
      </c>
      <c r="AC108" s="1">
        <v>10.6714</v>
      </c>
      <c r="AD108" s="1">
        <v>0</v>
      </c>
      <c r="AE108" s="1"/>
      <c r="AF108" s="1">
        <f t="shared" si="21"/>
        <v>0</v>
      </c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253</v>
      </c>
      <c r="B109" s="1" t="s">
        <v>35</v>
      </c>
      <c r="C109" s="1">
        <v>-5.8999999999999997E-2</v>
      </c>
      <c r="D109" s="1">
        <v>1167.5350000000001</v>
      </c>
      <c r="E109" s="1">
        <v>441.33199999999999</v>
      </c>
      <c r="F109" s="1">
        <v>678.15899999999999</v>
      </c>
      <c r="G109" s="8">
        <v>1</v>
      </c>
      <c r="H109" s="1"/>
      <c r="I109" s="1" t="s">
        <v>254</v>
      </c>
      <c r="J109" s="1"/>
      <c r="K109" s="1">
        <v>442.327</v>
      </c>
      <c r="L109" s="1">
        <f t="shared" si="22"/>
        <v>-0.99500000000000455</v>
      </c>
      <c r="M109" s="1">
        <f t="shared" si="23"/>
        <v>441.33199999999999</v>
      </c>
      <c r="N109" s="1"/>
      <c r="O109" s="1"/>
      <c r="P109" s="1">
        <v>0</v>
      </c>
      <c r="Q109" s="1"/>
      <c r="R109" s="1"/>
      <c r="S109" s="1">
        <f t="shared" si="24"/>
        <v>88.266400000000004</v>
      </c>
      <c r="T109" s="5">
        <f>11*S109-R109-Q109-P109-O109-F109</f>
        <v>292.77140000000009</v>
      </c>
      <c r="U109" s="5"/>
      <c r="V109" s="1"/>
      <c r="W109" s="1">
        <f t="shared" si="25"/>
        <v>11</v>
      </c>
      <c r="X109" s="1">
        <f t="shared" si="26"/>
        <v>7.6830934534545419</v>
      </c>
      <c r="Y109" s="1">
        <v>50.457000000000001</v>
      </c>
      <c r="Z109" s="1">
        <v>79.408600000000007</v>
      </c>
      <c r="AA109" s="1">
        <v>43.247599999999998</v>
      </c>
      <c r="AB109" s="1">
        <v>66.809400000000011</v>
      </c>
      <c r="AC109" s="1">
        <v>66.981399999999994</v>
      </c>
      <c r="AD109" s="1">
        <v>119.91800000000001</v>
      </c>
      <c r="AE109" s="1"/>
      <c r="AF109" s="1">
        <f t="shared" si="21"/>
        <v>292.77140000000009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 t="s">
        <v>255</v>
      </c>
      <c r="B110" s="1" t="s">
        <v>35</v>
      </c>
      <c r="C110" s="1"/>
      <c r="D110" s="1">
        <v>49.195</v>
      </c>
      <c r="E110" s="1">
        <v>1.37</v>
      </c>
      <c r="F110" s="1">
        <v>47.825000000000003</v>
      </c>
      <c r="G110" s="8">
        <v>1</v>
      </c>
      <c r="H110" s="1"/>
      <c r="I110" s="1" t="s">
        <v>256</v>
      </c>
      <c r="J110" s="1"/>
      <c r="K110" s="1">
        <v>11.7</v>
      </c>
      <c r="L110" s="1">
        <f t="shared" si="22"/>
        <v>-10.329999999999998</v>
      </c>
      <c r="M110" s="1">
        <f t="shared" si="23"/>
        <v>1.37</v>
      </c>
      <c r="N110" s="1"/>
      <c r="O110" s="1"/>
      <c r="P110" s="1">
        <v>120</v>
      </c>
      <c r="Q110" s="1"/>
      <c r="R110" s="1"/>
      <c r="S110" s="1">
        <f t="shared" si="24"/>
        <v>0.27400000000000002</v>
      </c>
      <c r="T110" s="5"/>
      <c r="U110" s="5"/>
      <c r="V110" s="1"/>
      <c r="W110" s="1">
        <f t="shared" si="25"/>
        <v>612.49999999999989</v>
      </c>
      <c r="X110" s="1">
        <f t="shared" si="26"/>
        <v>612.49999999999989</v>
      </c>
      <c r="Y110" s="1">
        <v>0</v>
      </c>
      <c r="Z110" s="1">
        <v>0.54699999999999993</v>
      </c>
      <c r="AA110" s="1">
        <v>1.3692</v>
      </c>
      <c r="AB110" s="1">
        <v>0.8276</v>
      </c>
      <c r="AC110" s="1">
        <v>1.8240000000000001</v>
      </c>
      <c r="AD110" s="1">
        <v>4.4535999999999998</v>
      </c>
      <c r="AE110" s="1"/>
      <c r="AF110" s="1">
        <f t="shared" si="21"/>
        <v>0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0" t="s">
        <v>67</v>
      </c>
      <c r="B111" s="1" t="s">
        <v>35</v>
      </c>
      <c r="C111" s="1"/>
      <c r="D111" s="1">
        <v>1413.26</v>
      </c>
      <c r="E111" s="17">
        <f>41.674+E19</f>
        <v>795.37900000000002</v>
      </c>
      <c r="F111" s="17">
        <f>1366.631+F19</f>
        <v>1389.7650000000001</v>
      </c>
      <c r="G111" s="8">
        <v>1</v>
      </c>
      <c r="H111" s="1"/>
      <c r="I111" s="1" t="s">
        <v>257</v>
      </c>
      <c r="J111" s="1"/>
      <c r="K111" s="1">
        <v>45</v>
      </c>
      <c r="L111" s="1">
        <f t="shared" si="22"/>
        <v>750.37900000000002</v>
      </c>
      <c r="M111" s="1">
        <f t="shared" si="23"/>
        <v>795.37900000000002</v>
      </c>
      <c r="N111" s="1"/>
      <c r="O111" s="1">
        <v>481.80590276400011</v>
      </c>
      <c r="P111" s="1">
        <v>90.813444000000004</v>
      </c>
      <c r="Q111" s="1"/>
      <c r="R111" s="1"/>
      <c r="S111" s="1">
        <f t="shared" si="24"/>
        <v>159.07580000000002</v>
      </c>
      <c r="T111" s="5"/>
      <c r="U111" s="5"/>
      <c r="V111" s="1"/>
      <c r="W111" s="1">
        <f t="shared" si="25"/>
        <v>12.33615890515088</v>
      </c>
      <c r="X111" s="1">
        <f t="shared" si="26"/>
        <v>12.33615890515088</v>
      </c>
      <c r="Y111" s="1">
        <v>185.3526</v>
      </c>
      <c r="Z111" s="1">
        <v>199.28919999999999</v>
      </c>
      <c r="AA111" s="1">
        <v>315.32100000000003</v>
      </c>
      <c r="AB111" s="1">
        <v>286.202</v>
      </c>
      <c r="AC111" s="1">
        <v>141.9708</v>
      </c>
      <c r="AD111" s="1">
        <v>164.84039999999999</v>
      </c>
      <c r="AE111" s="1" t="s">
        <v>258</v>
      </c>
      <c r="AF111" s="1">
        <f t="shared" si="21"/>
        <v>0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259</v>
      </c>
      <c r="B112" s="1" t="s">
        <v>43</v>
      </c>
      <c r="C112" s="1">
        <v>90</v>
      </c>
      <c r="D112" s="1">
        <v>578</v>
      </c>
      <c r="E112" s="1">
        <v>155</v>
      </c>
      <c r="F112" s="1">
        <v>234</v>
      </c>
      <c r="G112" s="8">
        <v>0.3</v>
      </c>
      <c r="H112" s="1"/>
      <c r="I112" s="1" t="s">
        <v>260</v>
      </c>
      <c r="J112" s="1"/>
      <c r="K112" s="1">
        <v>212</v>
      </c>
      <c r="L112" s="1">
        <f t="shared" si="22"/>
        <v>-57</v>
      </c>
      <c r="M112" s="1">
        <f t="shared" si="23"/>
        <v>155</v>
      </c>
      <c r="N112" s="1"/>
      <c r="O112" s="1">
        <v>121.80329999999999</v>
      </c>
      <c r="P112" s="1">
        <v>0</v>
      </c>
      <c r="Q112" s="1"/>
      <c r="R112" s="1"/>
      <c r="S112" s="1">
        <f t="shared" si="24"/>
        <v>31</v>
      </c>
      <c r="T112" s="5"/>
      <c r="U112" s="5"/>
      <c r="V112" s="1"/>
      <c r="W112" s="1">
        <f t="shared" si="25"/>
        <v>11.477525806451613</v>
      </c>
      <c r="X112" s="1">
        <f t="shared" si="26"/>
        <v>11.477525806451613</v>
      </c>
      <c r="Y112" s="1">
        <v>35.799999999999997</v>
      </c>
      <c r="Z112" s="1">
        <v>40</v>
      </c>
      <c r="AA112" s="1">
        <v>28.6</v>
      </c>
      <c r="AB112" s="1">
        <v>33.799999999999997</v>
      </c>
      <c r="AC112" s="1">
        <v>35.4</v>
      </c>
      <c r="AD112" s="1">
        <v>30.6</v>
      </c>
      <c r="AE112" s="1"/>
      <c r="AF112" s="1">
        <f t="shared" si="21"/>
        <v>0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261</v>
      </c>
      <c r="B113" s="1" t="s">
        <v>43</v>
      </c>
      <c r="C113" s="1"/>
      <c r="D113" s="1">
        <v>261</v>
      </c>
      <c r="E113" s="1">
        <v>89</v>
      </c>
      <c r="F113" s="1">
        <v>118</v>
      </c>
      <c r="G113" s="8">
        <v>0.3</v>
      </c>
      <c r="H113" s="1"/>
      <c r="I113" s="1" t="s">
        <v>262</v>
      </c>
      <c r="J113" s="1"/>
      <c r="K113" s="1">
        <v>100</v>
      </c>
      <c r="L113" s="1">
        <f t="shared" si="22"/>
        <v>-11</v>
      </c>
      <c r="M113" s="1">
        <f t="shared" si="23"/>
        <v>89</v>
      </c>
      <c r="N113" s="1"/>
      <c r="O113" s="1"/>
      <c r="P113" s="1">
        <v>0</v>
      </c>
      <c r="Q113" s="1"/>
      <c r="R113" s="1"/>
      <c r="S113" s="1">
        <f t="shared" si="24"/>
        <v>17.8</v>
      </c>
      <c r="T113" s="5">
        <f>11*S113-R113-Q113-P113-O113-F113</f>
        <v>77.800000000000011</v>
      </c>
      <c r="U113" s="5"/>
      <c r="V113" s="1"/>
      <c r="W113" s="1">
        <f t="shared" si="25"/>
        <v>11</v>
      </c>
      <c r="X113" s="1">
        <f t="shared" si="26"/>
        <v>6.6292134831460672</v>
      </c>
      <c r="Y113" s="1">
        <v>7.4</v>
      </c>
      <c r="Z113" s="1">
        <v>16</v>
      </c>
      <c r="AA113" s="1">
        <v>17.399999999999999</v>
      </c>
      <c r="AB113" s="1">
        <v>24.6</v>
      </c>
      <c r="AC113" s="1">
        <v>19.8</v>
      </c>
      <c r="AD113" s="1">
        <v>20.6</v>
      </c>
      <c r="AE113" s="1"/>
      <c r="AF113" s="1">
        <f t="shared" si="21"/>
        <v>23.340000000000003</v>
      </c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263</v>
      </c>
      <c r="B114" s="1" t="s">
        <v>35</v>
      </c>
      <c r="C114" s="1">
        <v>-5.0000000000000001E-3</v>
      </c>
      <c r="D114" s="1">
        <v>177.71199999999999</v>
      </c>
      <c r="E114" s="1">
        <v>53.668999999999997</v>
      </c>
      <c r="F114" s="1">
        <v>102.422</v>
      </c>
      <c r="G114" s="8">
        <v>1</v>
      </c>
      <c r="H114" s="1"/>
      <c r="I114" s="1" t="s">
        <v>264</v>
      </c>
      <c r="J114" s="1"/>
      <c r="K114" s="1">
        <v>77.7</v>
      </c>
      <c r="L114" s="1">
        <f t="shared" si="22"/>
        <v>-24.031000000000006</v>
      </c>
      <c r="M114" s="1">
        <f t="shared" si="23"/>
        <v>53.668999999999997</v>
      </c>
      <c r="N114" s="1"/>
      <c r="O114" s="1"/>
      <c r="P114" s="1">
        <v>0</v>
      </c>
      <c r="Q114" s="1"/>
      <c r="R114" s="1"/>
      <c r="S114" s="1">
        <f t="shared" si="24"/>
        <v>10.733799999999999</v>
      </c>
      <c r="T114" s="5">
        <f>11*S114-R114-Q114-P114-O114-F114</f>
        <v>15.649799999999985</v>
      </c>
      <c r="U114" s="5"/>
      <c r="V114" s="1"/>
      <c r="W114" s="1">
        <f t="shared" si="25"/>
        <v>11</v>
      </c>
      <c r="X114" s="1">
        <f t="shared" si="26"/>
        <v>9.5420074903575625</v>
      </c>
      <c r="Y114" s="1">
        <v>3.254</v>
      </c>
      <c r="Z114" s="1">
        <v>12.4718</v>
      </c>
      <c r="AA114" s="1">
        <v>9.9214000000000002</v>
      </c>
      <c r="AB114" s="1">
        <v>8.9459999999999997</v>
      </c>
      <c r="AC114" s="1">
        <v>7.6662000000000008</v>
      </c>
      <c r="AD114" s="1">
        <v>8.5355999999999987</v>
      </c>
      <c r="AE114" s="1"/>
      <c r="AF114" s="1">
        <f t="shared" si="21"/>
        <v>15.649799999999985</v>
      </c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265</v>
      </c>
      <c r="B115" s="1" t="s">
        <v>43</v>
      </c>
      <c r="C115" s="1">
        <v>8</v>
      </c>
      <c r="D115" s="1">
        <v>161</v>
      </c>
      <c r="E115" s="1">
        <v>28</v>
      </c>
      <c r="F115" s="1">
        <v>108</v>
      </c>
      <c r="G115" s="8">
        <v>0.3</v>
      </c>
      <c r="H115" s="1"/>
      <c r="I115" s="1" t="s">
        <v>266</v>
      </c>
      <c r="J115" s="1"/>
      <c r="K115" s="1">
        <v>50</v>
      </c>
      <c r="L115" s="1">
        <f t="shared" si="22"/>
        <v>-22</v>
      </c>
      <c r="M115" s="1">
        <f t="shared" si="23"/>
        <v>28</v>
      </c>
      <c r="N115" s="1"/>
      <c r="O115" s="1">
        <v>76.543758000000011</v>
      </c>
      <c r="P115" s="1">
        <v>0</v>
      </c>
      <c r="Q115" s="1"/>
      <c r="R115" s="1"/>
      <c r="S115" s="1">
        <f t="shared" si="24"/>
        <v>5.6</v>
      </c>
      <c r="T115" s="5"/>
      <c r="U115" s="5"/>
      <c r="V115" s="1"/>
      <c r="W115" s="1">
        <f t="shared" si="25"/>
        <v>32.954242500000007</v>
      </c>
      <c r="X115" s="1">
        <f t="shared" si="26"/>
        <v>32.954242500000007</v>
      </c>
      <c r="Y115" s="1">
        <v>9.4</v>
      </c>
      <c r="Z115" s="1">
        <v>13.4</v>
      </c>
      <c r="AA115" s="1">
        <v>10.8</v>
      </c>
      <c r="AB115" s="1">
        <v>11.6</v>
      </c>
      <c r="AC115" s="1">
        <v>12.2</v>
      </c>
      <c r="AD115" s="1">
        <v>8.8000000000000007</v>
      </c>
      <c r="AE115" s="1"/>
      <c r="AF115" s="1">
        <f t="shared" si="21"/>
        <v>0</v>
      </c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 t="s">
        <v>267</v>
      </c>
      <c r="B116" s="1" t="s">
        <v>43</v>
      </c>
      <c r="C116" s="1">
        <v>-4</v>
      </c>
      <c r="D116" s="1">
        <v>42</v>
      </c>
      <c r="E116" s="1">
        <v>24</v>
      </c>
      <c r="F116" s="1">
        <v>-10</v>
      </c>
      <c r="G116" s="8">
        <v>0.12</v>
      </c>
      <c r="H116" s="1"/>
      <c r="I116" s="1" t="s">
        <v>268</v>
      </c>
      <c r="J116" s="1"/>
      <c r="K116" s="1">
        <v>30</v>
      </c>
      <c r="L116" s="1">
        <f t="shared" si="22"/>
        <v>-6</v>
      </c>
      <c r="M116" s="1">
        <f t="shared" si="23"/>
        <v>24</v>
      </c>
      <c r="N116" s="1"/>
      <c r="O116" s="1"/>
      <c r="P116" s="1">
        <v>0</v>
      </c>
      <c r="Q116" s="1"/>
      <c r="R116" s="1"/>
      <c r="S116" s="1">
        <f t="shared" si="24"/>
        <v>4.8</v>
      </c>
      <c r="T116" s="5">
        <v>48</v>
      </c>
      <c r="U116" s="5"/>
      <c r="V116" s="1"/>
      <c r="W116" s="1">
        <f t="shared" si="25"/>
        <v>7.916666666666667</v>
      </c>
      <c r="X116" s="1">
        <f t="shared" si="26"/>
        <v>-2.0833333333333335</v>
      </c>
      <c r="Y116" s="1">
        <v>0.6</v>
      </c>
      <c r="Z116" s="1">
        <v>3.8</v>
      </c>
      <c r="AA116" s="1">
        <v>5.4</v>
      </c>
      <c r="AB116" s="1">
        <v>5.8</v>
      </c>
      <c r="AC116" s="1">
        <v>7.8</v>
      </c>
      <c r="AD116" s="1">
        <v>3.2</v>
      </c>
      <c r="AE116" s="1"/>
      <c r="AF116" s="1">
        <f t="shared" si="21"/>
        <v>5.76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269</v>
      </c>
      <c r="B117" s="1" t="s">
        <v>35</v>
      </c>
      <c r="C117" s="1"/>
      <c r="D117" s="1">
        <v>86.429000000000002</v>
      </c>
      <c r="E117" s="1"/>
      <c r="F117" s="1">
        <v>86.429000000000002</v>
      </c>
      <c r="G117" s="8">
        <v>1</v>
      </c>
      <c r="H117" s="1"/>
      <c r="I117" s="1"/>
      <c r="J117" s="1"/>
      <c r="K117" s="1"/>
      <c r="L117" s="1">
        <f t="shared" si="22"/>
        <v>0</v>
      </c>
      <c r="M117" s="1">
        <f t="shared" si="23"/>
        <v>0</v>
      </c>
      <c r="N117" s="1"/>
      <c r="O117" s="1"/>
      <c r="P117" s="1">
        <v>0</v>
      </c>
      <c r="Q117" s="1"/>
      <c r="R117" s="1"/>
      <c r="S117" s="1">
        <f t="shared" si="24"/>
        <v>0</v>
      </c>
      <c r="T117" s="5"/>
      <c r="U117" s="5"/>
      <c r="V117" s="1"/>
      <c r="W117" s="1" t="e">
        <f t="shared" si="25"/>
        <v>#DIV/0!</v>
      </c>
      <c r="X117" s="1" t="e">
        <f t="shared" si="26"/>
        <v>#DIV/0!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/>
      <c r="AF117" s="1">
        <f t="shared" si="21"/>
        <v>0</v>
      </c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F117" xr:uid="{00000000-0009-0000-0000-000000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2026-06-30T14:10:24Z</dcterms:created>
  <dcterms:modified xsi:type="dcterms:W3CDTF">2026-06-30T14:29:53Z</dcterms:modified>
</cp:coreProperties>
</file>