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27B313E-C61F-458B-96AC-2CD112587A9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AB543" i="1" s="1"/>
  <c r="P530" i="1"/>
  <c r="X527" i="1"/>
  <c r="X526" i="1"/>
  <c r="BP525" i="1"/>
  <c r="BO525" i="1"/>
  <c r="BN525" i="1"/>
  <c r="BM525" i="1"/>
  <c r="Z525" i="1"/>
  <c r="Y525" i="1"/>
  <c r="P525" i="1"/>
  <c r="BO524" i="1"/>
  <c r="BM524" i="1"/>
  <c r="Y524" i="1"/>
  <c r="Y526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Y517" i="1" s="1"/>
  <c r="P515" i="1"/>
  <c r="X513" i="1"/>
  <c r="Y512" i="1"/>
  <c r="X512" i="1"/>
  <c r="BP511" i="1"/>
  <c r="BO511" i="1"/>
  <c r="BN511" i="1"/>
  <c r="BM511" i="1"/>
  <c r="Z511" i="1"/>
  <c r="Z512" i="1" s="1"/>
  <c r="Y511" i="1"/>
  <c r="Y513" i="1" s="1"/>
  <c r="P511" i="1"/>
  <c r="X509" i="1"/>
  <c r="Y508" i="1"/>
  <c r="X508" i="1"/>
  <c r="BP507" i="1"/>
  <c r="BO507" i="1"/>
  <c r="BN507" i="1"/>
  <c r="BM507" i="1"/>
  <c r="Z507" i="1"/>
  <c r="Z508" i="1" s="1"/>
  <c r="Y507" i="1"/>
  <c r="AA543" i="1" s="1"/>
  <c r="P507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Y503" i="1" s="1"/>
  <c r="P495" i="1"/>
  <c r="X493" i="1"/>
  <c r="X492" i="1"/>
  <c r="BP491" i="1"/>
  <c r="BO491" i="1"/>
  <c r="BN491" i="1"/>
  <c r="BM491" i="1"/>
  <c r="Z491" i="1"/>
  <c r="Y491" i="1"/>
  <c r="P491" i="1"/>
  <c r="BO490" i="1"/>
  <c r="BM490" i="1"/>
  <c r="Y490" i="1"/>
  <c r="Y492" i="1" s="1"/>
  <c r="P490" i="1"/>
  <c r="BP489" i="1"/>
  <c r="BO489" i="1"/>
  <c r="BN489" i="1"/>
  <c r="BM489" i="1"/>
  <c r="Z489" i="1"/>
  <c r="Y489" i="1"/>
  <c r="Y493" i="1" s="1"/>
  <c r="P489" i="1"/>
  <c r="X487" i="1"/>
  <c r="X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Y473" i="1" s="1"/>
  <c r="P469" i="1"/>
  <c r="X467" i="1"/>
  <c r="Y466" i="1"/>
  <c r="X466" i="1"/>
  <c r="BP465" i="1"/>
  <c r="BO465" i="1"/>
  <c r="BN465" i="1"/>
  <c r="BM465" i="1"/>
  <c r="Z465" i="1"/>
  <c r="Z466" i="1" s="1"/>
  <c r="Y465" i="1"/>
  <c r="Y543" i="1" s="1"/>
  <c r="P465" i="1"/>
  <c r="X462" i="1"/>
  <c r="X461" i="1"/>
  <c r="BP460" i="1"/>
  <c r="BO460" i="1"/>
  <c r="BN460" i="1"/>
  <c r="BM460" i="1"/>
  <c r="Z460" i="1"/>
  <c r="Y460" i="1"/>
  <c r="P460" i="1"/>
  <c r="BO459" i="1"/>
  <c r="BM459" i="1"/>
  <c r="Y459" i="1"/>
  <c r="Y461" i="1" s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Z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P450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Y445" i="1" s="1"/>
  <c r="P443" i="1"/>
  <c r="BP442" i="1"/>
  <c r="BO442" i="1"/>
  <c r="BN442" i="1"/>
  <c r="BM442" i="1"/>
  <c r="Z442" i="1"/>
  <c r="Y442" i="1"/>
  <c r="Y446" i="1" s="1"/>
  <c r="P442" i="1"/>
  <c r="X440" i="1"/>
  <c r="Y439" i="1"/>
  <c r="X439" i="1"/>
  <c r="BP438" i="1"/>
  <c r="BO438" i="1"/>
  <c r="BN438" i="1"/>
  <c r="BM438" i="1"/>
  <c r="Z438" i="1"/>
  <c r="Z439" i="1" s="1"/>
  <c r="Y438" i="1"/>
  <c r="Y440" i="1" s="1"/>
  <c r="P438" i="1"/>
  <c r="X436" i="1"/>
  <c r="X435" i="1"/>
  <c r="BP434" i="1"/>
  <c r="BO434" i="1"/>
  <c r="BN434" i="1"/>
  <c r="BM434" i="1"/>
  <c r="Z434" i="1"/>
  <c r="Y434" i="1"/>
  <c r="P434" i="1"/>
  <c r="BO433" i="1"/>
  <c r="BM433" i="1"/>
  <c r="Y433" i="1"/>
  <c r="W543" i="1" s="1"/>
  <c r="P433" i="1"/>
  <c r="X430" i="1"/>
  <c r="X429" i="1"/>
  <c r="BO428" i="1"/>
  <c r="BM428" i="1"/>
  <c r="Y428" i="1"/>
  <c r="Y430" i="1" s="1"/>
  <c r="P428" i="1"/>
  <c r="X426" i="1"/>
  <c r="X425" i="1"/>
  <c r="BO424" i="1"/>
  <c r="BM424" i="1"/>
  <c r="Y424" i="1"/>
  <c r="Y426" i="1" s="1"/>
  <c r="P424" i="1"/>
  <c r="BP423" i="1"/>
  <c r="BO423" i="1"/>
  <c r="BN423" i="1"/>
  <c r="BM423" i="1"/>
  <c r="Z423" i="1"/>
  <c r="Y423" i="1"/>
  <c r="Y425" i="1" s="1"/>
  <c r="P423" i="1"/>
  <c r="X421" i="1"/>
  <c r="X420" i="1"/>
  <c r="BP419" i="1"/>
  <c r="BO419" i="1"/>
  <c r="BN419" i="1"/>
  <c r="BM419" i="1"/>
  <c r="Z419" i="1"/>
  <c r="Y419" i="1"/>
  <c r="P419" i="1"/>
  <c r="BO418" i="1"/>
  <c r="BM418" i="1"/>
  <c r="Y418" i="1"/>
  <c r="Y420" i="1" s="1"/>
  <c r="P418" i="1"/>
  <c r="BP417" i="1"/>
  <c r="BO417" i="1"/>
  <c r="BN417" i="1"/>
  <c r="BM417" i="1"/>
  <c r="Z417" i="1"/>
  <c r="Y417" i="1"/>
  <c r="Y421" i="1" s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BO410" i="1"/>
  <c r="BM410" i="1"/>
  <c r="Y410" i="1"/>
  <c r="BP410" i="1" s="1"/>
  <c r="P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V543" i="1" s="1"/>
  <c r="P406" i="1"/>
  <c r="X402" i="1"/>
  <c r="X401" i="1"/>
  <c r="BO400" i="1"/>
  <c r="BM400" i="1"/>
  <c r="Y400" i="1"/>
  <c r="BP400" i="1" s="1"/>
  <c r="P400" i="1"/>
  <c r="BP399" i="1"/>
  <c r="BO399" i="1"/>
  <c r="BN399" i="1"/>
  <c r="BM399" i="1"/>
  <c r="Z399" i="1"/>
  <c r="Y399" i="1"/>
  <c r="P399" i="1"/>
  <c r="BO398" i="1"/>
  <c r="BM398" i="1"/>
  <c r="Y398" i="1"/>
  <c r="U543" i="1" s="1"/>
  <c r="P398" i="1"/>
  <c r="X395" i="1"/>
  <c r="X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Y389" i="1" s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BP378" i="1"/>
  <c r="BO378" i="1"/>
  <c r="BN378" i="1"/>
  <c r="BM378" i="1"/>
  <c r="Z378" i="1"/>
  <c r="Y378" i="1"/>
  <c r="Y382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Y375" i="1" s="1"/>
  <c r="P371" i="1"/>
  <c r="X369" i="1"/>
  <c r="X368" i="1"/>
  <c r="BO367" i="1"/>
  <c r="BM367" i="1"/>
  <c r="Y367" i="1"/>
  <c r="BP367" i="1" s="1"/>
  <c r="P367" i="1"/>
  <c r="BP366" i="1"/>
  <c r="BO366" i="1"/>
  <c r="BN366" i="1"/>
  <c r="BM366" i="1"/>
  <c r="Z366" i="1"/>
  <c r="Y366" i="1"/>
  <c r="P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Y369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T543" i="1" s="1"/>
  <c r="P353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S543" i="1" s="1"/>
  <c r="P346" i="1"/>
  <c r="X343" i="1"/>
  <c r="X342" i="1"/>
  <c r="BO341" i="1"/>
  <c r="BM341" i="1"/>
  <c r="Y341" i="1"/>
  <c r="Y343" i="1" s="1"/>
  <c r="P341" i="1"/>
  <c r="BP340" i="1"/>
  <c r="BO340" i="1"/>
  <c r="BN340" i="1"/>
  <c r="BM340" i="1"/>
  <c r="Z340" i="1"/>
  <c r="Y340" i="1"/>
  <c r="Y342" i="1" s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BP332" i="1"/>
  <c r="BO332" i="1"/>
  <c r="BN332" i="1"/>
  <c r="BM332" i="1"/>
  <c r="Z332" i="1"/>
  <c r="Y332" i="1"/>
  <c r="P332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Y328" i="1" s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Y313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Y282" i="1" s="1"/>
  <c r="P270" i="1"/>
  <c r="X268" i="1"/>
  <c r="X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P259" i="1"/>
  <c r="BO259" i="1"/>
  <c r="BN259" i="1"/>
  <c r="BM259" i="1"/>
  <c r="Z259" i="1"/>
  <c r="Y259" i="1"/>
  <c r="Y267" i="1" s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Y254" i="1"/>
  <c r="Y257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Y236" i="1" s="1"/>
  <c r="P231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O210" i="1"/>
  <c r="BM210" i="1"/>
  <c r="Y210" i="1"/>
  <c r="Y211" i="1" s="1"/>
  <c r="P210" i="1"/>
  <c r="X207" i="1"/>
  <c r="X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K543" i="1" s="1"/>
  <c r="P199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Y191" i="1" s="1"/>
  <c r="P189" i="1"/>
  <c r="BP188" i="1"/>
  <c r="BO188" i="1"/>
  <c r="BN188" i="1"/>
  <c r="BM188" i="1"/>
  <c r="Z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Y179" i="1" s="1"/>
  <c r="P168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J543" i="1" s="1"/>
  <c r="P159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Y156" i="1" s="1"/>
  <c r="P152" i="1"/>
  <c r="BP151" i="1"/>
  <c r="BO151" i="1"/>
  <c r="BN151" i="1"/>
  <c r="BM151" i="1"/>
  <c r="Z151" i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Y143" i="1" s="1"/>
  <c r="P141" i="1"/>
  <c r="BP140" i="1"/>
  <c r="BO140" i="1"/>
  <c r="BN140" i="1"/>
  <c r="BM140" i="1"/>
  <c r="Z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H543" i="1" s="1"/>
  <c r="P135" i="1"/>
  <c r="X132" i="1"/>
  <c r="X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Y128" i="1" s="1"/>
  <c r="P124" i="1"/>
  <c r="BP123" i="1"/>
  <c r="BO123" i="1"/>
  <c r="BN123" i="1"/>
  <c r="BM123" i="1"/>
  <c r="Z123" i="1"/>
  <c r="Y123" i="1"/>
  <c r="Y127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20" i="1" s="1"/>
  <c r="P114" i="1"/>
  <c r="BP113" i="1"/>
  <c r="BO113" i="1"/>
  <c r="BN113" i="1"/>
  <c r="BM113" i="1"/>
  <c r="Z113" i="1"/>
  <c r="Y113" i="1"/>
  <c r="Y121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Y110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Y93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E543" i="1" s="1"/>
  <c r="P60" i="1"/>
  <c r="X57" i="1"/>
  <c r="X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7" i="1" s="1"/>
  <c r="P53" i="1"/>
  <c r="BP52" i="1"/>
  <c r="BO52" i="1"/>
  <c r="BN52" i="1"/>
  <c r="BM52" i="1"/>
  <c r="Z52" i="1"/>
  <c r="Y52" i="1"/>
  <c r="P52" i="1"/>
  <c r="X48" i="1"/>
  <c r="X47" i="1"/>
  <c r="BP46" i="1"/>
  <c r="BO46" i="1"/>
  <c r="BN46" i="1"/>
  <c r="BM46" i="1"/>
  <c r="Z46" i="1"/>
  <c r="Y46" i="1"/>
  <c r="P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Y47" i="1" s="1"/>
  <c r="P43" i="1"/>
  <c r="BP42" i="1"/>
  <c r="BO42" i="1"/>
  <c r="BN42" i="1"/>
  <c r="BM42" i="1"/>
  <c r="Z42" i="1"/>
  <c r="Y42" i="1"/>
  <c r="P42" i="1"/>
  <c r="X38" i="1"/>
  <c r="Y37" i="1"/>
  <c r="X37" i="1"/>
  <c r="BP36" i="1"/>
  <c r="BO36" i="1"/>
  <c r="BN36" i="1"/>
  <c r="BM36" i="1"/>
  <c r="Z36" i="1"/>
  <c r="Z37" i="1" s="1"/>
  <c r="Y36" i="1"/>
  <c r="Y38" i="1" s="1"/>
  <c r="P36" i="1"/>
  <c r="X34" i="1"/>
  <c r="X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37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43" i="1"/>
  <c r="X534" i="1"/>
  <c r="X535" i="1"/>
  <c r="Z23" i="1"/>
  <c r="Z24" i="1" s="1"/>
  <c r="BN23" i="1"/>
  <c r="BP23" i="1"/>
  <c r="Y24" i="1"/>
  <c r="X533" i="1"/>
  <c r="Z27" i="1"/>
  <c r="BN27" i="1"/>
  <c r="BP27" i="1"/>
  <c r="Z29" i="1"/>
  <c r="BN29" i="1"/>
  <c r="Z31" i="1"/>
  <c r="BN31" i="1"/>
  <c r="Y34" i="1"/>
  <c r="Y533" i="1" s="1"/>
  <c r="C543" i="1"/>
  <c r="Z43" i="1"/>
  <c r="Z47" i="1" s="1"/>
  <c r="BN43" i="1"/>
  <c r="BP43" i="1"/>
  <c r="Z45" i="1"/>
  <c r="BN45" i="1"/>
  <c r="Y48" i="1"/>
  <c r="D543" i="1"/>
  <c r="Z53" i="1"/>
  <c r="Z56" i="1" s="1"/>
  <c r="BN53" i="1"/>
  <c r="BP53" i="1"/>
  <c r="Z55" i="1"/>
  <c r="BN55" i="1"/>
  <c r="Y56" i="1"/>
  <c r="Z60" i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43" i="1"/>
  <c r="Z104" i="1"/>
  <c r="Z110" i="1" s="1"/>
  <c r="BN104" i="1"/>
  <c r="BP104" i="1"/>
  <c r="Z106" i="1"/>
  <c r="BN106" i="1"/>
  <c r="Z108" i="1"/>
  <c r="BN108" i="1"/>
  <c r="Y111" i="1"/>
  <c r="Z114" i="1"/>
  <c r="Z120" i="1" s="1"/>
  <c r="BN114" i="1"/>
  <c r="BP114" i="1"/>
  <c r="Z116" i="1"/>
  <c r="BN116" i="1"/>
  <c r="Z118" i="1"/>
  <c r="BN118" i="1"/>
  <c r="Z124" i="1"/>
  <c r="Z127" i="1" s="1"/>
  <c r="BN124" i="1"/>
  <c r="BP124" i="1"/>
  <c r="Z126" i="1"/>
  <c r="BN126" i="1"/>
  <c r="Z130" i="1"/>
  <c r="Z131" i="1" s="1"/>
  <c r="BN130" i="1"/>
  <c r="BP130" i="1"/>
  <c r="Y131" i="1"/>
  <c r="Z135" i="1"/>
  <c r="Z137" i="1" s="1"/>
  <c r="BN135" i="1"/>
  <c r="BP135" i="1"/>
  <c r="Y138" i="1"/>
  <c r="Z141" i="1"/>
  <c r="Z142" i="1" s="1"/>
  <c r="BN141" i="1"/>
  <c r="BP141" i="1"/>
  <c r="Z145" i="1"/>
  <c r="Z147" i="1" s="1"/>
  <c r="BN145" i="1"/>
  <c r="BP145" i="1"/>
  <c r="Y148" i="1"/>
  <c r="I543" i="1"/>
  <c r="Z152" i="1"/>
  <c r="Z155" i="1" s="1"/>
  <c r="BN152" i="1"/>
  <c r="BP152" i="1"/>
  <c r="Z154" i="1"/>
  <c r="BN154" i="1"/>
  <c r="Y155" i="1"/>
  <c r="Z159" i="1"/>
  <c r="Z161" i="1" s="1"/>
  <c r="BN159" i="1"/>
  <c r="BP159" i="1"/>
  <c r="Y162" i="1"/>
  <c r="Z169" i="1"/>
  <c r="Z179" i="1" s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Z189" i="1"/>
  <c r="Z190" i="1" s="1"/>
  <c r="BN189" i="1"/>
  <c r="BP189" i="1"/>
  <c r="Z193" i="1"/>
  <c r="Z194" i="1" s="1"/>
  <c r="BN193" i="1"/>
  <c r="BP193" i="1"/>
  <c r="Y194" i="1"/>
  <c r="Z199" i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28" i="1"/>
  <c r="BP217" i="1"/>
  <c r="BN217" i="1"/>
  <c r="Z217" i="1"/>
  <c r="BP221" i="1"/>
  <c r="BN221" i="1"/>
  <c r="Z221" i="1"/>
  <c r="F9" i="1"/>
  <c r="J9" i="1"/>
  <c r="Y68" i="1"/>
  <c r="Y137" i="1"/>
  <c r="Y161" i="1"/>
  <c r="Y207" i="1"/>
  <c r="L543" i="1"/>
  <c r="Y212" i="1"/>
  <c r="BP215" i="1"/>
  <c r="Y535" i="1" s="1"/>
  <c r="BN215" i="1"/>
  <c r="Y534" i="1" s="1"/>
  <c r="Y536" i="1" s="1"/>
  <c r="Z215" i="1"/>
  <c r="BP219" i="1"/>
  <c r="BN219" i="1"/>
  <c r="Z219" i="1"/>
  <c r="Z228" i="1" s="1"/>
  <c r="Y229" i="1"/>
  <c r="Y235" i="1"/>
  <c r="Y241" i="1"/>
  <c r="Y252" i="1"/>
  <c r="Y256" i="1"/>
  <c r="Y268" i="1"/>
  <c r="Y283" i="1"/>
  <c r="Y288" i="1"/>
  <c r="BP285" i="1"/>
  <c r="BN285" i="1"/>
  <c r="Z285" i="1"/>
  <c r="Z287" i="1" s="1"/>
  <c r="BP294" i="1"/>
  <c r="BN294" i="1"/>
  <c r="Z294" i="1"/>
  <c r="Y298" i="1"/>
  <c r="Z312" i="1"/>
  <c r="BP310" i="1"/>
  <c r="BN310" i="1"/>
  <c r="Z310" i="1"/>
  <c r="Z223" i="1"/>
  <c r="BN223" i="1"/>
  <c r="Z225" i="1"/>
  <c r="BN225" i="1"/>
  <c r="Z227" i="1"/>
  <c r="BN227" i="1"/>
  <c r="Z231" i="1"/>
  <c r="BN231" i="1"/>
  <c r="BP231" i="1"/>
  <c r="Z233" i="1"/>
  <c r="BN233" i="1"/>
  <c r="Z239" i="1"/>
  <c r="Z241" i="1" s="1"/>
  <c r="BN239" i="1"/>
  <c r="M543" i="1"/>
  <c r="Z250" i="1"/>
  <c r="Z251" i="1" s="1"/>
  <c r="BN250" i="1"/>
  <c r="Y251" i="1"/>
  <c r="Z254" i="1"/>
  <c r="Z256" i="1" s="1"/>
  <c r="BN254" i="1"/>
  <c r="BP254" i="1"/>
  <c r="Z260" i="1"/>
  <c r="Z267" i="1" s="1"/>
  <c r="BN260" i="1"/>
  <c r="Z262" i="1"/>
  <c r="BN262" i="1"/>
  <c r="Z264" i="1"/>
  <c r="BN264" i="1"/>
  <c r="Z266" i="1"/>
  <c r="BN266" i="1"/>
  <c r="Z270" i="1"/>
  <c r="BN270" i="1"/>
  <c r="BP270" i="1"/>
  <c r="Z272" i="1"/>
  <c r="BN272" i="1"/>
  <c r="Z274" i="1"/>
  <c r="BN274" i="1"/>
  <c r="Z276" i="1"/>
  <c r="BN276" i="1"/>
  <c r="Z278" i="1"/>
  <c r="BN278" i="1"/>
  <c r="Z280" i="1"/>
  <c r="BN280" i="1"/>
  <c r="Y287" i="1"/>
  <c r="BP292" i="1"/>
  <c r="BN292" i="1"/>
  <c r="Z292" i="1"/>
  <c r="Z298" i="1" s="1"/>
  <c r="BP296" i="1"/>
  <c r="BN296" i="1"/>
  <c r="Z296" i="1"/>
  <c r="Y312" i="1"/>
  <c r="Y321" i="1"/>
  <c r="BP317" i="1"/>
  <c r="BN317" i="1"/>
  <c r="Z317" i="1"/>
  <c r="Z321" i="1" s="1"/>
  <c r="Z342" i="1"/>
  <c r="O543" i="1"/>
  <c r="Y299" i="1"/>
  <c r="P543" i="1"/>
  <c r="Z319" i="1"/>
  <c r="BN319" i="1"/>
  <c r="Y322" i="1"/>
  <c r="Q543" i="1"/>
  <c r="Z326" i="1"/>
  <c r="Z328" i="1" s="1"/>
  <c r="BN326" i="1"/>
  <c r="BP326" i="1"/>
  <c r="Y329" i="1"/>
  <c r="R543" i="1"/>
  <c r="Z333" i="1"/>
  <c r="Z337" i="1" s="1"/>
  <c r="BN333" i="1"/>
  <c r="BP333" i="1"/>
  <c r="Z335" i="1"/>
  <c r="BN335" i="1"/>
  <c r="Y338" i="1"/>
  <c r="Z341" i="1"/>
  <c r="BN341" i="1"/>
  <c r="BP341" i="1"/>
  <c r="Z346" i="1"/>
  <c r="Z349" i="1" s="1"/>
  <c r="BN346" i="1"/>
  <c r="BP346" i="1"/>
  <c r="Z348" i="1"/>
  <c r="BN348" i="1"/>
  <c r="Y349" i="1"/>
  <c r="Z353" i="1"/>
  <c r="Z358" i="1" s="1"/>
  <c r="BN353" i="1"/>
  <c r="BP353" i="1"/>
  <c r="Z355" i="1"/>
  <c r="BN355" i="1"/>
  <c r="Z357" i="1"/>
  <c r="BN357" i="1"/>
  <c r="Y358" i="1"/>
  <c r="Z361" i="1"/>
  <c r="Z368" i="1" s="1"/>
  <c r="BN361" i="1"/>
  <c r="BP361" i="1"/>
  <c r="Z363" i="1"/>
  <c r="BN363" i="1"/>
  <c r="Z365" i="1"/>
  <c r="BN365" i="1"/>
  <c r="Z367" i="1"/>
  <c r="BN367" i="1"/>
  <c r="Y368" i="1"/>
  <c r="Z371" i="1"/>
  <c r="Z375" i="1" s="1"/>
  <c r="BN371" i="1"/>
  <c r="BP371" i="1"/>
  <c r="Z373" i="1"/>
  <c r="BN373" i="1"/>
  <c r="Y376" i="1"/>
  <c r="Z379" i="1"/>
  <c r="Z381" i="1" s="1"/>
  <c r="BN379" i="1"/>
  <c r="BP379" i="1"/>
  <c r="Z385" i="1"/>
  <c r="Z388" i="1" s="1"/>
  <c r="BN385" i="1"/>
  <c r="BP385" i="1"/>
  <c r="Z387" i="1"/>
  <c r="BN387" i="1"/>
  <c r="Z391" i="1"/>
  <c r="Z394" i="1" s="1"/>
  <c r="BN391" i="1"/>
  <c r="BP391" i="1"/>
  <c r="Z393" i="1"/>
  <c r="BN393" i="1"/>
  <c r="Y394" i="1"/>
  <c r="Z398" i="1"/>
  <c r="Z401" i="1" s="1"/>
  <c r="BN398" i="1"/>
  <c r="BP398" i="1"/>
  <c r="Z400" i="1"/>
  <c r="BN400" i="1"/>
  <c r="Y401" i="1"/>
  <c r="Z406" i="1"/>
  <c r="Z414" i="1" s="1"/>
  <c r="BN406" i="1"/>
  <c r="BP406" i="1"/>
  <c r="Z408" i="1"/>
  <c r="BN408" i="1"/>
  <c r="Z410" i="1"/>
  <c r="BN410" i="1"/>
  <c r="Z412" i="1"/>
  <c r="BN412" i="1"/>
  <c r="Y415" i="1"/>
  <c r="Z418" i="1"/>
  <c r="Z420" i="1" s="1"/>
  <c r="BN418" i="1"/>
  <c r="BP418" i="1"/>
  <c r="Z424" i="1"/>
  <c r="Z425" i="1" s="1"/>
  <c r="BN424" i="1"/>
  <c r="BP424" i="1"/>
  <c r="Z428" i="1"/>
  <c r="Z429" i="1" s="1"/>
  <c r="BN428" i="1"/>
  <c r="BP428" i="1"/>
  <c r="Y429" i="1"/>
  <c r="Z433" i="1"/>
  <c r="Z435" i="1" s="1"/>
  <c r="BN433" i="1"/>
  <c r="BP433" i="1"/>
  <c r="Y436" i="1"/>
  <c r="Z443" i="1"/>
  <c r="Z445" i="1" s="1"/>
  <c r="BN443" i="1"/>
  <c r="BP443" i="1"/>
  <c r="X543" i="1"/>
  <c r="Y456" i="1"/>
  <c r="Z451" i="1"/>
  <c r="Z456" i="1" s="1"/>
  <c r="BN451" i="1"/>
  <c r="BP470" i="1"/>
  <c r="BN470" i="1"/>
  <c r="Z470" i="1"/>
  <c r="Z472" i="1" s="1"/>
  <c r="Z543" i="1"/>
  <c r="BP480" i="1"/>
  <c r="BN480" i="1"/>
  <c r="Z480" i="1"/>
  <c r="BP484" i="1"/>
  <c r="BN484" i="1"/>
  <c r="Z484" i="1"/>
  <c r="BP496" i="1"/>
  <c r="BN496" i="1"/>
  <c r="Z496" i="1"/>
  <c r="BP500" i="1"/>
  <c r="BN500" i="1"/>
  <c r="Z500" i="1"/>
  <c r="Y350" i="1"/>
  <c r="Y359" i="1"/>
  <c r="Y402" i="1"/>
  <c r="Y414" i="1"/>
  <c r="Y435" i="1"/>
  <c r="BP453" i="1"/>
  <c r="BN453" i="1"/>
  <c r="BP455" i="1"/>
  <c r="BN455" i="1"/>
  <c r="Z455" i="1"/>
  <c r="Y457" i="1"/>
  <c r="Y462" i="1"/>
  <c r="BP459" i="1"/>
  <c r="BN459" i="1"/>
  <c r="Z459" i="1"/>
  <c r="Z461" i="1" s="1"/>
  <c r="BP478" i="1"/>
  <c r="BN478" i="1"/>
  <c r="Z478" i="1"/>
  <c r="BP482" i="1"/>
  <c r="BN482" i="1"/>
  <c r="Z482" i="1"/>
  <c r="Z486" i="1" s="1"/>
  <c r="Y486" i="1"/>
  <c r="Z492" i="1"/>
  <c r="BP490" i="1"/>
  <c r="BN490" i="1"/>
  <c r="Z490" i="1"/>
  <c r="BP498" i="1"/>
  <c r="BN498" i="1"/>
  <c r="Z498" i="1"/>
  <c r="Z502" i="1" s="1"/>
  <c r="Y502" i="1"/>
  <c r="BP516" i="1"/>
  <c r="BN516" i="1"/>
  <c r="Z516" i="1"/>
  <c r="Z517" i="1" s="1"/>
  <c r="Y518" i="1"/>
  <c r="Y521" i="1"/>
  <c r="BP520" i="1"/>
  <c r="BN520" i="1"/>
  <c r="Z520" i="1"/>
  <c r="Z521" i="1" s="1"/>
  <c r="Y522" i="1"/>
  <c r="Y527" i="1"/>
  <c r="BP524" i="1"/>
  <c r="BN524" i="1"/>
  <c r="Z524" i="1"/>
  <c r="Z526" i="1" s="1"/>
  <c r="Y467" i="1"/>
  <c r="Y487" i="1"/>
  <c r="Y509" i="1"/>
  <c r="Y532" i="1"/>
  <c r="Z530" i="1"/>
  <c r="Z531" i="1" s="1"/>
  <c r="BN530" i="1"/>
  <c r="BP530" i="1"/>
  <c r="Y531" i="1"/>
  <c r="X536" i="1" l="1"/>
  <c r="Z282" i="1"/>
  <c r="Z235" i="1"/>
  <c r="Z206" i="1"/>
  <c r="Z99" i="1"/>
  <c r="Z74" i="1"/>
  <c r="Z67" i="1"/>
  <c r="Z33" i="1"/>
  <c r="Z538" i="1" s="1"/>
  <c r="Y537" i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<sst xmlns="http://schemas.openxmlformats.org/spreadsheetml/2006/main" count="2407" uniqueCount="872">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</sst>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82" t="s">
        <v>0</v>
      </c>
      <c r="E1" s="638"/>
      <c r="F1" s="638"/>
      <c r="G1" s="12" t="s">
        <v>1</v>
      </c>
      <c r="H1" s="682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5"/>
      <c r="R2" s="615"/>
      <c r="S2" s="615"/>
      <c r="T2" s="615"/>
      <c r="U2" s="615"/>
      <c r="V2" s="615"/>
      <c r="W2" s="615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5"/>
      <c r="Q3" s="615"/>
      <c r="R3" s="615"/>
      <c r="S3" s="615"/>
      <c r="T3" s="615"/>
      <c r="U3" s="615"/>
      <c r="V3" s="615"/>
      <c r="W3" s="615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27" t="s">
        <v>8</v>
      </c>
      <c r="B5" s="654"/>
      <c r="C5" s="655"/>
      <c r="D5" s="687"/>
      <c r="E5" s="688"/>
      <c r="F5" s="915" t="s">
        <v>9</v>
      </c>
      <c r="G5" s="655"/>
      <c r="H5" s="687"/>
      <c r="I5" s="847"/>
      <c r="J5" s="847"/>
      <c r="K5" s="847"/>
      <c r="L5" s="847"/>
      <c r="M5" s="688"/>
      <c r="N5" s="58"/>
      <c r="P5" s="24" t="s">
        <v>10</v>
      </c>
      <c r="Q5" s="927">
        <v>46214</v>
      </c>
      <c r="R5" s="725"/>
      <c r="T5" s="771" t="s">
        <v>11</v>
      </c>
      <c r="U5" s="772"/>
      <c r="V5" s="773" t="s">
        <v>12</v>
      </c>
      <c r="W5" s="725"/>
      <c r="AB5" s="51"/>
      <c r="AC5" s="51"/>
      <c r="AD5" s="51"/>
      <c r="AE5" s="51"/>
    </row>
    <row r="6" spans="1:32" s="599" customFormat="1" ht="24" customHeight="1" x14ac:dyDescent="0.2">
      <c r="A6" s="727" t="s">
        <v>13</v>
      </c>
      <c r="B6" s="654"/>
      <c r="C6" s="655"/>
      <c r="D6" s="850"/>
      <c r="E6" s="851"/>
      <c r="F6" s="851"/>
      <c r="G6" s="851"/>
      <c r="H6" s="851"/>
      <c r="I6" s="851"/>
      <c r="J6" s="851"/>
      <c r="K6" s="851"/>
      <c r="L6" s="851"/>
      <c r="M6" s="725"/>
      <c r="N6" s="59"/>
      <c r="P6" s="24" t="s">
        <v>14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610"/>
      <c r="T6" s="781" t="s">
        <v>15</v>
      </c>
      <c r="U6" s="772"/>
      <c r="V6" s="834" t="s">
        <v>16</v>
      </c>
      <c r="W6" s="658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67">
        <f>IFERROR(VLOOKUP(DeliveryAddress,Table,3,0),1)</f>
        <v>1</v>
      </c>
      <c r="E7" s="668"/>
      <c r="F7" s="668"/>
      <c r="G7" s="668"/>
      <c r="H7" s="668"/>
      <c r="I7" s="668"/>
      <c r="J7" s="668"/>
      <c r="K7" s="668"/>
      <c r="L7" s="668"/>
      <c r="M7" s="669"/>
      <c r="N7" s="60"/>
      <c r="P7" s="24"/>
      <c r="Q7" s="42"/>
      <c r="R7" s="42"/>
      <c r="T7" s="615"/>
      <c r="U7" s="772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55" t="s">
        <v>17</v>
      </c>
      <c r="B8" s="623"/>
      <c r="C8" s="624"/>
      <c r="D8" s="675"/>
      <c r="E8" s="676"/>
      <c r="F8" s="676"/>
      <c r="G8" s="676"/>
      <c r="H8" s="676"/>
      <c r="I8" s="676"/>
      <c r="J8" s="676"/>
      <c r="K8" s="676"/>
      <c r="L8" s="676"/>
      <c r="M8" s="677"/>
      <c r="N8" s="61"/>
      <c r="P8" s="24" t="s">
        <v>18</v>
      </c>
      <c r="Q8" s="735">
        <v>0.41666666666666669</v>
      </c>
      <c r="R8" s="669"/>
      <c r="T8" s="615"/>
      <c r="U8" s="772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5"/>
      <c r="C9" s="615"/>
      <c r="D9" s="746"/>
      <c r="E9" s="626"/>
      <c r="F9" s="7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5"/>
      <c r="H9" s="625" t="str">
        <f>IF(AND($A$9="Тип доверенности/получателя при получении в адресе перегруза:",$D$9="Разовая доверенность"),"Введите ФИО","")</f>
        <v/>
      </c>
      <c r="I9" s="626"/>
      <c r="J9" s="62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6"/>
      <c r="L9" s="626"/>
      <c r="M9" s="626"/>
      <c r="N9" s="597"/>
      <c r="P9" s="26" t="s">
        <v>19</v>
      </c>
      <c r="Q9" s="721"/>
      <c r="R9" s="722"/>
      <c r="T9" s="615"/>
      <c r="U9" s="772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5"/>
      <c r="C10" s="615"/>
      <c r="D10" s="746"/>
      <c r="E10" s="626"/>
      <c r="F10" s="7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5"/>
      <c r="H10" s="825" t="str">
        <f>IFERROR(VLOOKUP($D$10,Proxy,2,FALSE),"")</f>
        <v/>
      </c>
      <c r="I10" s="615"/>
      <c r="J10" s="615"/>
      <c r="K10" s="615"/>
      <c r="L10" s="615"/>
      <c r="M10" s="615"/>
      <c r="N10" s="598"/>
      <c r="P10" s="26" t="s">
        <v>20</v>
      </c>
      <c r="Q10" s="782"/>
      <c r="R10" s="783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4"/>
      <c r="R11" s="725"/>
      <c r="U11" s="24" t="s">
        <v>25</v>
      </c>
      <c r="V11" s="876" t="s">
        <v>26</v>
      </c>
      <c r="W11" s="722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7" t="s">
        <v>27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28</v>
      </c>
      <c r="Q12" s="735"/>
      <c r="R12" s="669"/>
      <c r="S12" s="23"/>
      <c r="U12" s="24"/>
      <c r="V12" s="638"/>
      <c r="W12" s="615"/>
      <c r="AB12" s="51"/>
      <c r="AC12" s="51"/>
      <c r="AD12" s="51"/>
      <c r="AE12" s="51"/>
    </row>
    <row r="13" spans="1:32" s="599" customFormat="1" ht="23.25" customHeight="1" x14ac:dyDescent="0.2">
      <c r="A13" s="767" t="s">
        <v>29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30</v>
      </c>
      <c r="Q13" s="876"/>
      <c r="R13" s="7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7" t="s">
        <v>31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802" t="s">
        <v>32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55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6"/>
      <c r="Q16" s="756"/>
      <c r="R16" s="756"/>
      <c r="S16" s="756"/>
      <c r="T16" s="75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1" t="s">
        <v>34</v>
      </c>
      <c r="B17" s="651" t="s">
        <v>35</v>
      </c>
      <c r="C17" s="744" t="s">
        <v>36</v>
      </c>
      <c r="D17" s="651" t="s">
        <v>37</v>
      </c>
      <c r="E17" s="705"/>
      <c r="F17" s="651" t="s">
        <v>38</v>
      </c>
      <c r="G17" s="651" t="s">
        <v>39</v>
      </c>
      <c r="H17" s="651" t="s">
        <v>40</v>
      </c>
      <c r="I17" s="651" t="s">
        <v>41</v>
      </c>
      <c r="J17" s="651" t="s">
        <v>42</v>
      </c>
      <c r="K17" s="651" t="s">
        <v>43</v>
      </c>
      <c r="L17" s="651" t="s">
        <v>44</v>
      </c>
      <c r="M17" s="651" t="s">
        <v>45</v>
      </c>
      <c r="N17" s="651" t="s">
        <v>46</v>
      </c>
      <c r="O17" s="651" t="s">
        <v>47</v>
      </c>
      <c r="P17" s="651" t="s">
        <v>48</v>
      </c>
      <c r="Q17" s="704"/>
      <c r="R17" s="704"/>
      <c r="S17" s="704"/>
      <c r="T17" s="705"/>
      <c r="U17" s="953" t="s">
        <v>49</v>
      </c>
      <c r="V17" s="655"/>
      <c r="W17" s="651" t="s">
        <v>50</v>
      </c>
      <c r="X17" s="651" t="s">
        <v>51</v>
      </c>
      <c r="Y17" s="951" t="s">
        <v>52</v>
      </c>
      <c r="Z17" s="845" t="s">
        <v>53</v>
      </c>
      <c r="AA17" s="823" t="s">
        <v>54</v>
      </c>
      <c r="AB17" s="823" t="s">
        <v>55</v>
      </c>
      <c r="AC17" s="823" t="s">
        <v>56</v>
      </c>
      <c r="AD17" s="823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2"/>
      <c r="B18" s="652"/>
      <c r="C18" s="652"/>
      <c r="D18" s="706"/>
      <c r="E18" s="708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706"/>
      <c r="Q18" s="707"/>
      <c r="R18" s="707"/>
      <c r="S18" s="707"/>
      <c r="T18" s="708"/>
      <c r="U18" s="67" t="s">
        <v>59</v>
      </c>
      <c r="V18" s="67" t="s">
        <v>60</v>
      </c>
      <c r="W18" s="652"/>
      <c r="X18" s="652"/>
      <c r="Y18" s="952"/>
      <c r="Z18" s="846"/>
      <c r="AA18" s="824"/>
      <c r="AB18" s="824"/>
      <c r="AC18" s="824"/>
      <c r="AD18" s="912"/>
      <c r="AE18" s="913"/>
      <c r="AF18" s="914"/>
      <c r="AG18" s="66"/>
      <c r="BD18" s="65"/>
    </row>
    <row r="19" spans="1:68" ht="27.75" customHeight="1" x14ac:dyDescent="0.2">
      <c r="A19" s="627" t="s">
        <v>61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48"/>
      <c r="AB19" s="48"/>
      <c r="AC19" s="48"/>
    </row>
    <row r="20" spans="1:68" ht="16.5" customHeight="1" x14ac:dyDescent="0.25">
      <c r="A20" s="648" t="s">
        <v>61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00"/>
      <c r="AB20" s="600"/>
      <c r="AC20" s="600"/>
    </row>
    <row r="21" spans="1:68" ht="14.25" customHeight="1" x14ac:dyDescent="0.25">
      <c r="A21" s="614" t="s">
        <v>62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01"/>
      <c r="AB21" s="601"/>
      <c r="AC21" s="60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9"/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20"/>
      <c r="P24" s="622" t="s">
        <v>72</v>
      </c>
      <c r="Q24" s="623"/>
      <c r="R24" s="623"/>
      <c r="S24" s="623"/>
      <c r="T24" s="623"/>
      <c r="U24" s="623"/>
      <c r="V24" s="624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20"/>
      <c r="P25" s="622" t="s">
        <v>72</v>
      </c>
      <c r="Q25" s="623"/>
      <c r="R25" s="623"/>
      <c r="S25" s="623"/>
      <c r="T25" s="623"/>
      <c r="U25" s="623"/>
      <c r="V25" s="624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4" t="s">
        <v>74</v>
      </c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01"/>
      <c r="AB26" s="601"/>
      <c r="AC26" s="60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101</v>
      </c>
      <c r="Y29" s="606">
        <f t="shared" si="0"/>
        <v>102.60000000000001</v>
      </c>
      <c r="Z29" s="36">
        <f t="shared" si="1"/>
        <v>0.37107000000000001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178.43333333333334</v>
      </c>
      <c r="BN29" s="64">
        <f t="shared" si="3"/>
        <v>181.26000000000002</v>
      </c>
      <c r="BO29" s="64">
        <f t="shared" si="4"/>
        <v>0.30830280830280832</v>
      </c>
      <c r="BP29" s="64">
        <f t="shared" si="5"/>
        <v>0.31318681318681318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58</v>
      </c>
      <c r="Y30" s="606">
        <f t="shared" si="0"/>
        <v>59.4</v>
      </c>
      <c r="Z30" s="36">
        <f t="shared" si="1"/>
        <v>0.21482999999999999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102.46666666666667</v>
      </c>
      <c r="BN30" s="64">
        <f t="shared" si="3"/>
        <v>104.94</v>
      </c>
      <c r="BO30" s="64">
        <f t="shared" si="4"/>
        <v>0.17704517704517705</v>
      </c>
      <c r="BP30" s="64">
        <f t="shared" si="5"/>
        <v>0.18131868131868134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9">
        <v>4680115887657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9">
        <v>4680115887619</v>
      </c>
      <c r="E32" s="61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9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20"/>
      <c r="P33" s="622" t="s">
        <v>72</v>
      </c>
      <c r="Q33" s="623"/>
      <c r="R33" s="623"/>
      <c r="S33" s="623"/>
      <c r="T33" s="623"/>
      <c r="U33" s="623"/>
      <c r="V33" s="624"/>
      <c r="W33" s="37" t="s">
        <v>73</v>
      </c>
      <c r="X33" s="607">
        <f>IFERROR(X27/H27,"0")+IFERROR(X28/H28,"0")+IFERROR(X29/H29,"0")+IFERROR(X30/H30,"0")+IFERROR(X31/H31,"0")+IFERROR(X32/H32,"0")</f>
        <v>88.333333333333329</v>
      </c>
      <c r="Y33" s="607">
        <f>IFERROR(Y27/H27,"0")+IFERROR(Y28/H28,"0")+IFERROR(Y29/H29,"0")+IFERROR(Y30/H30,"0")+IFERROR(Y31/H31,"0")+IFERROR(Y32/H32,"0")</f>
        <v>90</v>
      </c>
      <c r="Z33" s="607">
        <f>IFERROR(IF(Z27="",0,Z27),"0")+IFERROR(IF(Z28="",0,Z28),"0")+IFERROR(IF(Z29="",0,Z29),"0")+IFERROR(IF(Z30="",0,Z30),"0")+IFERROR(IF(Z31="",0,Z31),"0")+IFERROR(IF(Z32="",0,Z32),"0")</f>
        <v>0.58589999999999998</v>
      </c>
      <c r="AA33" s="608"/>
      <c r="AB33" s="608"/>
      <c r="AC33" s="608"/>
    </row>
    <row r="34" spans="1:68" x14ac:dyDescent="0.2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20"/>
      <c r="P34" s="622" t="s">
        <v>72</v>
      </c>
      <c r="Q34" s="623"/>
      <c r="R34" s="623"/>
      <c r="S34" s="623"/>
      <c r="T34" s="623"/>
      <c r="U34" s="623"/>
      <c r="V34" s="624"/>
      <c r="W34" s="37" t="s">
        <v>67</v>
      </c>
      <c r="X34" s="607">
        <f>IFERROR(SUM(X27:X32),"0")</f>
        <v>159</v>
      </c>
      <c r="Y34" s="607">
        <f>IFERROR(SUM(Y27:Y32),"0")</f>
        <v>162</v>
      </c>
      <c r="Z34" s="37"/>
      <c r="AA34" s="608"/>
      <c r="AB34" s="608"/>
      <c r="AC34" s="608"/>
    </row>
    <row r="35" spans="1:68" ht="14.25" customHeight="1" x14ac:dyDescent="0.25">
      <c r="A35" s="614" t="s">
        <v>95</v>
      </c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  <c r="N35" s="615"/>
      <c r="O35" s="615"/>
      <c r="P35" s="615"/>
      <c r="Q35" s="615"/>
      <c r="R35" s="615"/>
      <c r="S35" s="615"/>
      <c r="T35" s="615"/>
      <c r="U35" s="615"/>
      <c r="V35" s="615"/>
      <c r="W35" s="615"/>
      <c r="X35" s="615"/>
      <c r="Y35" s="615"/>
      <c r="Z35" s="615"/>
      <c r="AA35" s="601"/>
      <c r="AB35" s="601"/>
      <c r="AC35" s="601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9">
        <v>4607091388503</v>
      </c>
      <c r="E36" s="61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9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  <c r="O37" s="620"/>
      <c r="P37" s="622" t="s">
        <v>72</v>
      </c>
      <c r="Q37" s="623"/>
      <c r="R37" s="623"/>
      <c r="S37" s="623"/>
      <c r="T37" s="623"/>
      <c r="U37" s="623"/>
      <c r="V37" s="624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x14ac:dyDescent="0.2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  <c r="O38" s="620"/>
      <c r="P38" s="622" t="s">
        <v>72</v>
      </c>
      <c r="Q38" s="623"/>
      <c r="R38" s="623"/>
      <c r="S38" s="623"/>
      <c r="T38" s="623"/>
      <c r="U38" s="623"/>
      <c r="V38" s="624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customHeight="1" x14ac:dyDescent="0.2">
      <c r="A39" s="627" t="s">
        <v>101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48"/>
      <c r="AB39" s="48"/>
      <c r="AC39" s="48"/>
    </row>
    <row r="40" spans="1:68" ht="16.5" customHeight="1" x14ac:dyDescent="0.25">
      <c r="A40" s="648" t="s">
        <v>102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00"/>
      <c r="AB40" s="600"/>
      <c r="AC40" s="600"/>
    </row>
    <row r="41" spans="1:68" ht="14.25" customHeight="1" x14ac:dyDescent="0.25">
      <c r="A41" s="614" t="s">
        <v>74</v>
      </c>
      <c r="B41" s="615"/>
      <c r="C41" s="615"/>
      <c r="D41" s="615"/>
      <c r="E41" s="615"/>
      <c r="F41" s="615"/>
      <c r="G41" s="615"/>
      <c r="H41" s="615"/>
      <c r="I41" s="615"/>
      <c r="J41" s="615"/>
      <c r="K41" s="615"/>
      <c r="L41" s="615"/>
      <c r="M41" s="615"/>
      <c r="N41" s="615"/>
      <c r="O41" s="615"/>
      <c r="P41" s="615"/>
      <c r="Q41" s="615"/>
      <c r="R41" s="615"/>
      <c r="S41" s="615"/>
      <c r="T41" s="615"/>
      <c r="U41" s="615"/>
      <c r="V41" s="615"/>
      <c r="W41" s="615"/>
      <c r="X41" s="615"/>
      <c r="Y41" s="615"/>
      <c r="Z41" s="615"/>
      <c r="AA41" s="601"/>
      <c r="AB41" s="601"/>
      <c r="AC41" s="601"/>
    </row>
    <row r="42" spans="1:68" ht="27" customHeight="1" x14ac:dyDescent="0.25">
      <c r="A42" s="54" t="s">
        <v>103</v>
      </c>
      <c r="B42" s="54" t="s">
        <v>104</v>
      </c>
      <c r="C42" s="31">
        <v>4301052187</v>
      </c>
      <c r="D42" s="609">
        <v>4680115889354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4301052198</v>
      </c>
      <c r="D43" s="609">
        <v>4680115888463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4301052202</v>
      </c>
      <c r="D44" s="609">
        <v>4680115888494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4301052184</v>
      </c>
      <c r="D45" s="609">
        <v>4680115888272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customHeight="1" x14ac:dyDescent="0.25">
      <c r="A46" s="54" t="s">
        <v>116</v>
      </c>
      <c r="B46" s="54" t="s">
        <v>117</v>
      </c>
      <c r="C46" s="31">
        <v>4301052188</v>
      </c>
      <c r="D46" s="609">
        <v>4680115888364</v>
      </c>
      <c r="E46" s="61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619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20"/>
      <c r="P47" s="622" t="s">
        <v>72</v>
      </c>
      <c r="Q47" s="623"/>
      <c r="R47" s="623"/>
      <c r="S47" s="623"/>
      <c r="T47" s="623"/>
      <c r="U47" s="623"/>
      <c r="V47" s="624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x14ac:dyDescent="0.2">
      <c r="A48" s="615"/>
      <c r="B48" s="615"/>
      <c r="C48" s="615"/>
      <c r="D48" s="615"/>
      <c r="E48" s="615"/>
      <c r="F48" s="615"/>
      <c r="G48" s="615"/>
      <c r="H48" s="615"/>
      <c r="I48" s="615"/>
      <c r="J48" s="615"/>
      <c r="K48" s="615"/>
      <c r="L48" s="615"/>
      <c r="M48" s="615"/>
      <c r="N48" s="615"/>
      <c r="O48" s="620"/>
      <c r="P48" s="622" t="s">
        <v>72</v>
      </c>
      <c r="Q48" s="623"/>
      <c r="R48" s="623"/>
      <c r="S48" s="623"/>
      <c r="T48" s="623"/>
      <c r="U48" s="623"/>
      <c r="V48" s="624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customHeight="1" x14ac:dyDescent="0.2">
      <c r="A49" s="627" t="s">
        <v>119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48"/>
      <c r="AB49" s="48"/>
      <c r="AC49" s="48"/>
    </row>
    <row r="50" spans="1:68" ht="16.5" customHeight="1" x14ac:dyDescent="0.25">
      <c r="A50" s="648" t="s">
        <v>120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00"/>
      <c r="AB50" s="600"/>
      <c r="AC50" s="600"/>
    </row>
    <row r="51" spans="1:68" ht="14.25" customHeight="1" x14ac:dyDescent="0.25">
      <c r="A51" s="614" t="s">
        <v>121</v>
      </c>
      <c r="B51" s="615"/>
      <c r="C51" s="615"/>
      <c r="D51" s="615"/>
      <c r="E51" s="615"/>
      <c r="F51" s="615"/>
      <c r="G51" s="615"/>
      <c r="H51" s="615"/>
      <c r="I51" s="615"/>
      <c r="J51" s="615"/>
      <c r="K51" s="615"/>
      <c r="L51" s="615"/>
      <c r="M51" s="615"/>
      <c r="N51" s="615"/>
      <c r="O51" s="615"/>
      <c r="P51" s="615"/>
      <c r="Q51" s="615"/>
      <c r="R51" s="615"/>
      <c r="S51" s="615"/>
      <c r="T51" s="615"/>
      <c r="U51" s="615"/>
      <c r="V51" s="615"/>
      <c r="W51" s="615"/>
      <c r="X51" s="615"/>
      <c r="Y51" s="615"/>
      <c r="Z51" s="615"/>
      <c r="AA51" s="601"/>
      <c r="AB51" s="601"/>
      <c r="AC51" s="601"/>
    </row>
    <row r="52" spans="1:68" ht="16.5" customHeight="1" x14ac:dyDescent="0.25">
      <c r="A52" s="54" t="s">
        <v>122</v>
      </c>
      <c r="B52" s="54" t="s">
        <v>123</v>
      </c>
      <c r="C52" s="31">
        <v>4301011380</v>
      </c>
      <c r="D52" s="609">
        <v>4607091385670</v>
      </c>
      <c r="E52" s="61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4301012053</v>
      </c>
      <c r="D53" s="609">
        <v>4680115887725</v>
      </c>
      <c r="E53" s="61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4301011382</v>
      </c>
      <c r="D54" s="609">
        <v>4607091385687</v>
      </c>
      <c r="E54" s="61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t="27" customHeight="1" x14ac:dyDescent="0.25">
      <c r="A55" s="54" t="s">
        <v>134</v>
      </c>
      <c r="B55" s="54" t="s">
        <v>135</v>
      </c>
      <c r="C55" s="31">
        <v>4301011565</v>
      </c>
      <c r="D55" s="609">
        <v>4680115882539</v>
      </c>
      <c r="E55" s="61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20</v>
      </c>
      <c r="Y55" s="606">
        <f>IFERROR(IF(X55="",0,CEILING((X55/$H55),1)*$H55),"")</f>
        <v>22.200000000000003</v>
      </c>
      <c r="Z55" s="36">
        <f>IFERROR(IF(Y55=0,"",ROUNDUP(Y55/H55,0)*0.00902),"")</f>
        <v>5.4120000000000001E-2</v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21.027027027027025</v>
      </c>
      <c r="BN55" s="64">
        <f>IFERROR(Y55*I55/H55,"0")</f>
        <v>23.340000000000003</v>
      </c>
      <c r="BO55" s="64">
        <f>IFERROR(1/J55*(X55/H55),"0")</f>
        <v>4.0950040950040949E-2</v>
      </c>
      <c r="BP55" s="64">
        <f>IFERROR(1/J55*(Y55/H55),"0")</f>
        <v>4.5454545454545463E-2</v>
      </c>
    </row>
    <row r="56" spans="1:68" x14ac:dyDescent="0.2">
      <c r="A56" s="619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  <c r="O56" s="620"/>
      <c r="P56" s="622" t="s">
        <v>72</v>
      </c>
      <c r="Q56" s="623"/>
      <c r="R56" s="623"/>
      <c r="S56" s="623"/>
      <c r="T56" s="623"/>
      <c r="U56" s="623"/>
      <c r="V56" s="624"/>
      <c r="W56" s="37" t="s">
        <v>73</v>
      </c>
      <c r="X56" s="607">
        <f>IFERROR(X52/H52,"0")+IFERROR(X53/H53,"0")+IFERROR(X54/H54,"0")+IFERROR(X55/H55,"0")</f>
        <v>5.4054054054054053</v>
      </c>
      <c r="Y56" s="607">
        <f>IFERROR(Y52/H52,"0")+IFERROR(Y53/H53,"0")+IFERROR(Y54/H54,"0")+IFERROR(Y55/H55,"0")</f>
        <v>6.0000000000000009</v>
      </c>
      <c r="Z56" s="607">
        <f>IFERROR(IF(Z52="",0,Z52),"0")+IFERROR(IF(Z53="",0,Z53),"0")+IFERROR(IF(Z54="",0,Z54),"0")+IFERROR(IF(Z55="",0,Z55),"0")</f>
        <v>5.4120000000000001E-2</v>
      </c>
      <c r="AA56" s="608"/>
      <c r="AB56" s="608"/>
      <c r="AC56" s="608"/>
    </row>
    <row r="57" spans="1:68" x14ac:dyDescent="0.2">
      <c r="A57" s="615"/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  <c r="O57" s="620"/>
      <c r="P57" s="622" t="s">
        <v>72</v>
      </c>
      <c r="Q57" s="623"/>
      <c r="R57" s="623"/>
      <c r="S57" s="623"/>
      <c r="T57" s="623"/>
      <c r="U57" s="623"/>
      <c r="V57" s="624"/>
      <c r="W57" s="37" t="s">
        <v>67</v>
      </c>
      <c r="X57" s="607">
        <f>IFERROR(SUM(X52:X55),"0")</f>
        <v>20</v>
      </c>
      <c r="Y57" s="607">
        <f>IFERROR(SUM(Y52:Y55),"0")</f>
        <v>22.200000000000003</v>
      </c>
      <c r="Z57" s="37"/>
      <c r="AA57" s="608"/>
      <c r="AB57" s="608"/>
      <c r="AC57" s="608"/>
    </row>
    <row r="58" spans="1:68" ht="16.5" customHeight="1" x14ac:dyDescent="0.25">
      <c r="A58" s="648" t="s">
        <v>136</v>
      </c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615"/>
      <c r="Y58" s="615"/>
      <c r="Z58" s="615"/>
      <c r="AA58" s="600"/>
      <c r="AB58" s="600"/>
      <c r="AC58" s="600"/>
    </row>
    <row r="59" spans="1:68" ht="14.25" customHeight="1" x14ac:dyDescent="0.25">
      <c r="A59" s="614" t="s">
        <v>121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01"/>
      <c r="AB59" s="601"/>
      <c r="AC59" s="601"/>
    </row>
    <row r="60" spans="1:68" ht="27" customHeight="1" x14ac:dyDescent="0.25">
      <c r="A60" s="54" t="s">
        <v>137</v>
      </c>
      <c r="B60" s="54" t="s">
        <v>138</v>
      </c>
      <c r="C60" s="31">
        <v>4301012030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customHeight="1" x14ac:dyDescent="0.25">
      <c r="A61" s="54" t="s">
        <v>137</v>
      </c>
      <c r="B61" s="54" t="s">
        <v>140</v>
      </c>
      <c r="C61" s="31">
        <v>4301012161</v>
      </c>
      <c r="D61" s="609">
        <v>4680115885882</v>
      </c>
      <c r="E61" s="61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4301011816</v>
      </c>
      <c r="D62" s="609">
        <v>4680115881426</v>
      </c>
      <c r="E62" s="61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86</v>
      </c>
      <c r="Y62" s="606">
        <f t="shared" si="6"/>
        <v>86.4</v>
      </c>
      <c r="Z62" s="36">
        <f>IFERROR(IF(Y62=0,"",ROUNDUP(Y62/H62,0)*0.01898),"")</f>
        <v>0.15184</v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89.264814814814812</v>
      </c>
      <c r="BN62" s="64">
        <f t="shared" si="8"/>
        <v>89.68</v>
      </c>
      <c r="BO62" s="64">
        <f t="shared" si="9"/>
        <v>0.12442129629629629</v>
      </c>
      <c r="BP62" s="64">
        <f t="shared" si="10"/>
        <v>0.125</v>
      </c>
    </row>
    <row r="63" spans="1:68" ht="27" customHeight="1" x14ac:dyDescent="0.25">
      <c r="A63" s="54" t="s">
        <v>145</v>
      </c>
      <c r="B63" s="54" t="s">
        <v>146</v>
      </c>
      <c r="C63" s="31">
        <v>4301011386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7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148</v>
      </c>
      <c r="B64" s="54" t="s">
        <v>149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12</v>
      </c>
      <c r="Y64" s="606">
        <f t="shared" si="6"/>
        <v>12</v>
      </c>
      <c r="Z64" s="36">
        <f>IFERROR(IF(Y64=0,"",ROUNDUP(Y64/H64,0)*0.00902),"")</f>
        <v>2.7060000000000001E-2</v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12.57</v>
      </c>
      <c r="BN64" s="64">
        <f t="shared" si="8"/>
        <v>12.57</v>
      </c>
      <c r="BO64" s="64">
        <f t="shared" si="9"/>
        <v>2.2727272727272728E-2</v>
      </c>
      <c r="BP64" s="64">
        <f t="shared" si="10"/>
        <v>2.2727272727272728E-2</v>
      </c>
    </row>
    <row r="65" spans="1:68" ht="27" customHeight="1" x14ac:dyDescent="0.25">
      <c r="A65" s="54" t="s">
        <v>151</v>
      </c>
      <c r="B65" s="54" t="s">
        <v>152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customHeight="1" x14ac:dyDescent="0.25">
      <c r="A66" s="54" t="s">
        <v>153</v>
      </c>
      <c r="B66" s="54" t="s">
        <v>154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81</v>
      </c>
      <c r="Y66" s="606">
        <f t="shared" si="6"/>
        <v>81</v>
      </c>
      <c r="Z66" s="36">
        <f>IFERROR(IF(Y66=0,"",ROUNDUP(Y66/H66,0)*0.00902),"")</f>
        <v>0.16236</v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84.420000000000016</v>
      </c>
      <c r="BN66" s="64">
        <f t="shared" si="8"/>
        <v>84.420000000000016</v>
      </c>
      <c r="BO66" s="64">
        <f t="shared" si="9"/>
        <v>0.13636363636363635</v>
      </c>
      <c r="BP66" s="64">
        <f t="shared" si="10"/>
        <v>0.13636363636363635</v>
      </c>
    </row>
    <row r="67" spans="1:68" x14ac:dyDescent="0.2">
      <c r="A67" s="619"/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  <c r="O67" s="620"/>
      <c r="P67" s="622" t="s">
        <v>72</v>
      </c>
      <c r="Q67" s="623"/>
      <c r="R67" s="623"/>
      <c r="S67" s="623"/>
      <c r="T67" s="623"/>
      <c r="U67" s="623"/>
      <c r="V67" s="624"/>
      <c r="W67" s="37" t="s">
        <v>73</v>
      </c>
      <c r="X67" s="607">
        <f>IFERROR(X60/H60,"0")+IFERROR(X61/H61,"0")+IFERROR(X62/H62,"0")+IFERROR(X63/H63,"0")+IFERROR(X64/H64,"0")+IFERROR(X65/H65,"0")+IFERROR(X66/H66,"0")</f>
        <v>28.962962962962962</v>
      </c>
      <c r="Y67" s="607">
        <f>IFERROR(Y60/H60,"0")+IFERROR(Y61/H61,"0")+IFERROR(Y62/H62,"0")+IFERROR(Y63/H63,"0")+IFERROR(Y64/H64,"0")+IFERROR(Y65/H65,"0")+IFERROR(Y66/H66,"0")</f>
        <v>29</v>
      </c>
      <c r="Z67" s="607">
        <f>IFERROR(IF(Z60="",0,Z60),"0")+IFERROR(IF(Z61="",0,Z61),"0")+IFERROR(IF(Z62="",0,Z62),"0")+IFERROR(IF(Z63="",0,Z63),"0")+IFERROR(IF(Z64="",0,Z64),"0")+IFERROR(IF(Z65="",0,Z65),"0")+IFERROR(IF(Z66="",0,Z66),"0")</f>
        <v>0.34126000000000001</v>
      </c>
      <c r="AA67" s="608"/>
      <c r="AB67" s="608"/>
      <c r="AC67" s="608"/>
    </row>
    <row r="68" spans="1:68" x14ac:dyDescent="0.2">
      <c r="A68" s="615"/>
      <c r="B68" s="615"/>
      <c r="C68" s="615"/>
      <c r="D68" s="615"/>
      <c r="E68" s="615"/>
      <c r="F68" s="615"/>
      <c r="G68" s="615"/>
      <c r="H68" s="615"/>
      <c r="I68" s="615"/>
      <c r="J68" s="615"/>
      <c r="K68" s="615"/>
      <c r="L68" s="615"/>
      <c r="M68" s="615"/>
      <c r="N68" s="615"/>
      <c r="O68" s="620"/>
      <c r="P68" s="622" t="s">
        <v>72</v>
      </c>
      <c r="Q68" s="623"/>
      <c r="R68" s="623"/>
      <c r="S68" s="623"/>
      <c r="T68" s="623"/>
      <c r="U68" s="623"/>
      <c r="V68" s="624"/>
      <c r="W68" s="37" t="s">
        <v>67</v>
      </c>
      <c r="X68" s="607">
        <f>IFERROR(SUM(X60:X66),"0")</f>
        <v>179</v>
      </c>
      <c r="Y68" s="607">
        <f>IFERROR(SUM(Y60:Y66),"0")</f>
        <v>179.4</v>
      </c>
      <c r="Z68" s="37"/>
      <c r="AA68" s="608"/>
      <c r="AB68" s="608"/>
      <c r="AC68" s="608"/>
    </row>
    <row r="69" spans="1:68" ht="14.25" customHeight="1" x14ac:dyDescent="0.25">
      <c r="A69" s="614" t="s">
        <v>156</v>
      </c>
      <c r="B69" s="615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  <c r="O69" s="615"/>
      <c r="P69" s="615"/>
      <c r="Q69" s="615"/>
      <c r="R69" s="615"/>
      <c r="S69" s="615"/>
      <c r="T69" s="615"/>
      <c r="U69" s="615"/>
      <c r="V69" s="615"/>
      <c r="W69" s="615"/>
      <c r="X69" s="615"/>
      <c r="Y69" s="615"/>
      <c r="Z69" s="615"/>
      <c r="AA69" s="601"/>
      <c r="AB69" s="601"/>
      <c r="AC69" s="601"/>
    </row>
    <row r="70" spans="1:68" ht="16.5" customHeight="1" x14ac:dyDescent="0.25">
      <c r="A70" s="54" t="s">
        <v>157</v>
      </c>
      <c r="B70" s="54" t="s">
        <v>158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350</v>
      </c>
      <c r="Y70" s="606">
        <f>IFERROR(IF(X70="",0,CEILING((X70/$H70),1)*$H70),"")</f>
        <v>356.40000000000003</v>
      </c>
      <c r="Z70" s="36">
        <f>IFERROR(IF(Y70=0,"",ROUNDUP(Y70/H70,0)*0.01898),"")</f>
        <v>0.62634000000000001</v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363.28703703703707</v>
      </c>
      <c r="BN70" s="64">
        <f>IFERROR(Y70*I70/H70,"0")</f>
        <v>369.93</v>
      </c>
      <c r="BO70" s="64">
        <f>IFERROR(1/J70*(X70/H70),"0")</f>
        <v>0.5063657407407407</v>
      </c>
      <c r="BP70" s="64">
        <f>IFERROR(1/J70*(Y70/H70),"0")</f>
        <v>0.515625</v>
      </c>
    </row>
    <row r="71" spans="1:68" ht="16.5" customHeight="1" x14ac:dyDescent="0.25">
      <c r="A71" s="54" t="s">
        <v>160</v>
      </c>
      <c r="B71" s="54" t="s">
        <v>161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162</v>
      </c>
      <c r="B72" s="54" t="s">
        <v>163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165</v>
      </c>
      <c r="B73" s="54" t="s">
        <v>166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9"/>
      <c r="B74" s="615"/>
      <c r="C74" s="615"/>
      <c r="D74" s="615"/>
      <c r="E74" s="615"/>
      <c r="F74" s="615"/>
      <c r="G74" s="615"/>
      <c r="H74" s="615"/>
      <c r="I74" s="615"/>
      <c r="J74" s="615"/>
      <c r="K74" s="615"/>
      <c r="L74" s="615"/>
      <c r="M74" s="615"/>
      <c r="N74" s="615"/>
      <c r="O74" s="620"/>
      <c r="P74" s="622" t="s">
        <v>72</v>
      </c>
      <c r="Q74" s="623"/>
      <c r="R74" s="623"/>
      <c r="S74" s="623"/>
      <c r="T74" s="623"/>
      <c r="U74" s="623"/>
      <c r="V74" s="624"/>
      <c r="W74" s="37" t="s">
        <v>73</v>
      </c>
      <c r="X74" s="607">
        <f>IFERROR(X70/H70,"0")+IFERROR(X71/H71,"0")+IFERROR(X72/H72,"0")+IFERROR(X73/H73,"0")</f>
        <v>32.407407407407405</v>
      </c>
      <c r="Y74" s="607">
        <f>IFERROR(Y70/H70,"0")+IFERROR(Y71/H71,"0")+IFERROR(Y72/H72,"0")+IFERROR(Y73/H73,"0")</f>
        <v>33</v>
      </c>
      <c r="Z74" s="607">
        <f>IFERROR(IF(Z70="",0,Z70),"0")+IFERROR(IF(Z71="",0,Z71),"0")+IFERROR(IF(Z72="",0,Z72),"0")+IFERROR(IF(Z73="",0,Z73),"0")</f>
        <v>0.62634000000000001</v>
      </c>
      <c r="AA74" s="608"/>
      <c r="AB74" s="608"/>
      <c r="AC74" s="608"/>
    </row>
    <row r="75" spans="1:68" x14ac:dyDescent="0.2">
      <c r="A75" s="615"/>
      <c r="B75" s="615"/>
      <c r="C75" s="615"/>
      <c r="D75" s="615"/>
      <c r="E75" s="615"/>
      <c r="F75" s="615"/>
      <c r="G75" s="615"/>
      <c r="H75" s="615"/>
      <c r="I75" s="615"/>
      <c r="J75" s="615"/>
      <c r="K75" s="615"/>
      <c r="L75" s="615"/>
      <c r="M75" s="615"/>
      <c r="N75" s="615"/>
      <c r="O75" s="620"/>
      <c r="P75" s="622" t="s">
        <v>72</v>
      </c>
      <c r="Q75" s="623"/>
      <c r="R75" s="623"/>
      <c r="S75" s="623"/>
      <c r="T75" s="623"/>
      <c r="U75" s="623"/>
      <c r="V75" s="624"/>
      <c r="W75" s="37" t="s">
        <v>67</v>
      </c>
      <c r="X75" s="607">
        <f>IFERROR(SUM(X70:X73),"0")</f>
        <v>350</v>
      </c>
      <c r="Y75" s="607">
        <f>IFERROR(SUM(Y70:Y73),"0")</f>
        <v>356.40000000000003</v>
      </c>
      <c r="Z75" s="37"/>
      <c r="AA75" s="608"/>
      <c r="AB75" s="608"/>
      <c r="AC75" s="608"/>
    </row>
    <row r="76" spans="1:68" ht="14.25" customHeight="1" x14ac:dyDescent="0.25">
      <c r="A76" s="614" t="s">
        <v>74</v>
      </c>
      <c r="B76" s="615"/>
      <c r="C76" s="615"/>
      <c r="D76" s="615"/>
      <c r="E76" s="615"/>
      <c r="F76" s="615"/>
      <c r="G76" s="615"/>
      <c r="H76" s="615"/>
      <c r="I76" s="615"/>
      <c r="J76" s="615"/>
      <c r="K76" s="615"/>
      <c r="L76" s="615"/>
      <c r="M76" s="615"/>
      <c r="N76" s="615"/>
      <c r="O76" s="615"/>
      <c r="P76" s="615"/>
      <c r="Q76" s="615"/>
      <c r="R76" s="615"/>
      <c r="S76" s="615"/>
      <c r="T76" s="615"/>
      <c r="U76" s="615"/>
      <c r="V76" s="615"/>
      <c r="W76" s="615"/>
      <c r="X76" s="615"/>
      <c r="Y76" s="615"/>
      <c r="Z76" s="615"/>
      <c r="AA76" s="601"/>
      <c r="AB76" s="601"/>
      <c r="AC76" s="60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170</v>
      </c>
      <c r="B78" s="54" t="s">
        <v>171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19"/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20"/>
      <c r="P79" s="622" t="s">
        <v>72</v>
      </c>
      <c r="Q79" s="623"/>
      <c r="R79" s="623"/>
      <c r="S79" s="623"/>
      <c r="T79" s="623"/>
      <c r="U79" s="623"/>
      <c r="V79" s="624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5"/>
      <c r="B80" s="615"/>
      <c r="C80" s="615"/>
      <c r="D80" s="615"/>
      <c r="E80" s="615"/>
      <c r="F80" s="615"/>
      <c r="G80" s="615"/>
      <c r="H80" s="615"/>
      <c r="I80" s="615"/>
      <c r="J80" s="615"/>
      <c r="K80" s="615"/>
      <c r="L80" s="615"/>
      <c r="M80" s="615"/>
      <c r="N80" s="615"/>
      <c r="O80" s="620"/>
      <c r="P80" s="622" t="s">
        <v>72</v>
      </c>
      <c r="Q80" s="623"/>
      <c r="R80" s="623"/>
      <c r="S80" s="623"/>
      <c r="T80" s="623"/>
      <c r="U80" s="623"/>
      <c r="V80" s="624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4" t="s">
        <v>173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615"/>
      <c r="N81" s="615"/>
      <c r="O81" s="615"/>
      <c r="P81" s="615"/>
      <c r="Q81" s="615"/>
      <c r="R81" s="615"/>
      <c r="S81" s="615"/>
      <c r="T81" s="615"/>
      <c r="U81" s="615"/>
      <c r="V81" s="615"/>
      <c r="W81" s="615"/>
      <c r="X81" s="615"/>
      <c r="Y81" s="615"/>
      <c r="Z81" s="615"/>
      <c r="AA81" s="601"/>
      <c r="AB81" s="601"/>
      <c r="AC81" s="60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177</v>
      </c>
      <c r="B83" s="54" t="s">
        <v>178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9"/>
      <c r="B84" s="615"/>
      <c r="C84" s="615"/>
      <c r="D84" s="615"/>
      <c r="E84" s="615"/>
      <c r="F84" s="615"/>
      <c r="G84" s="615"/>
      <c r="H84" s="615"/>
      <c r="I84" s="615"/>
      <c r="J84" s="615"/>
      <c r="K84" s="615"/>
      <c r="L84" s="615"/>
      <c r="M84" s="615"/>
      <c r="N84" s="615"/>
      <c r="O84" s="620"/>
      <c r="P84" s="622" t="s">
        <v>72</v>
      </c>
      <c r="Q84" s="623"/>
      <c r="R84" s="623"/>
      <c r="S84" s="623"/>
      <c r="T84" s="623"/>
      <c r="U84" s="623"/>
      <c r="V84" s="624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x14ac:dyDescent="0.2">
      <c r="A85" s="615"/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20"/>
      <c r="P85" s="622" t="s">
        <v>72</v>
      </c>
      <c r="Q85" s="623"/>
      <c r="R85" s="623"/>
      <c r="S85" s="623"/>
      <c r="T85" s="623"/>
      <c r="U85" s="623"/>
      <c r="V85" s="624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customHeight="1" x14ac:dyDescent="0.25">
      <c r="A86" s="648" t="s">
        <v>180</v>
      </c>
      <c r="B86" s="615"/>
      <c r="C86" s="615"/>
      <c r="D86" s="615"/>
      <c r="E86" s="615"/>
      <c r="F86" s="615"/>
      <c r="G86" s="615"/>
      <c r="H86" s="615"/>
      <c r="I86" s="615"/>
      <c r="J86" s="615"/>
      <c r="K86" s="615"/>
      <c r="L86" s="615"/>
      <c r="M86" s="615"/>
      <c r="N86" s="615"/>
      <c r="O86" s="615"/>
      <c r="P86" s="615"/>
      <c r="Q86" s="615"/>
      <c r="R86" s="615"/>
      <c r="S86" s="615"/>
      <c r="T86" s="615"/>
      <c r="U86" s="615"/>
      <c r="V86" s="615"/>
      <c r="W86" s="615"/>
      <c r="X86" s="615"/>
      <c r="Y86" s="615"/>
      <c r="Z86" s="615"/>
      <c r="AA86" s="600"/>
      <c r="AB86" s="600"/>
      <c r="AC86" s="600"/>
    </row>
    <row r="87" spans="1:68" ht="14.25" customHeight="1" x14ac:dyDescent="0.25">
      <c r="A87" s="614" t="s">
        <v>121</v>
      </c>
      <c r="B87" s="615"/>
      <c r="C87" s="615"/>
      <c r="D87" s="615"/>
      <c r="E87" s="615"/>
      <c r="F87" s="615"/>
      <c r="G87" s="615"/>
      <c r="H87" s="615"/>
      <c r="I87" s="615"/>
      <c r="J87" s="615"/>
      <c r="K87" s="615"/>
      <c r="L87" s="615"/>
      <c r="M87" s="615"/>
      <c r="N87" s="615"/>
      <c r="O87" s="615"/>
      <c r="P87" s="615"/>
      <c r="Q87" s="615"/>
      <c r="R87" s="615"/>
      <c r="S87" s="615"/>
      <c r="T87" s="615"/>
      <c r="U87" s="615"/>
      <c r="V87" s="615"/>
      <c r="W87" s="615"/>
      <c r="X87" s="615"/>
      <c r="Y87" s="615"/>
      <c r="Z87" s="615"/>
      <c r="AA87" s="601"/>
      <c r="AB87" s="601"/>
      <c r="AC87" s="601"/>
    </row>
    <row r="88" spans="1:68" ht="27" customHeight="1" x14ac:dyDescent="0.25">
      <c r="A88" s="54" t="s">
        <v>181</v>
      </c>
      <c r="B88" s="54" t="s">
        <v>182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324</v>
      </c>
      <c r="Y88" s="606">
        <f>IFERROR(IF(X88="",0,CEILING((X88/$H88),1)*$H88),"")</f>
        <v>324</v>
      </c>
      <c r="Z88" s="36">
        <f>IFERROR(IF(Y88=0,"",ROUNDUP(Y88/H88,0)*0.01898),"")</f>
        <v>0.56940000000000002</v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336.3</v>
      </c>
      <c r="BN88" s="64">
        <f>IFERROR(Y88*I88/H88,"0")</f>
        <v>336.3</v>
      </c>
      <c r="BO88" s="64">
        <f>IFERROR(1/J88*(X88/H88),"0")</f>
        <v>0.46874999999999994</v>
      </c>
      <c r="BP88" s="64">
        <f>IFERROR(1/J88*(Y88/H88),"0")</f>
        <v>0.46874999999999994</v>
      </c>
    </row>
    <row r="89" spans="1:68" ht="27" customHeight="1" x14ac:dyDescent="0.25">
      <c r="A89" s="54" t="s">
        <v>184</v>
      </c>
      <c r="B89" s="54" t="s">
        <v>185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9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189</v>
      </c>
      <c r="B91" s="54" t="s">
        <v>190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102</v>
      </c>
      <c r="Y91" s="606">
        <f>IFERROR(IF(X91="",0,CEILING((X91/$H91),1)*$H91),"")</f>
        <v>103.5</v>
      </c>
      <c r="Z91" s="36">
        <f>IFERROR(IF(Y91=0,"",ROUNDUP(Y91/H91,0)*0.00902),"")</f>
        <v>0.20746000000000001</v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106.30666666666667</v>
      </c>
      <c r="BN91" s="64">
        <f>IFERROR(Y91*I91/H91,"0")</f>
        <v>107.87</v>
      </c>
      <c r="BO91" s="64">
        <f>IFERROR(1/J91*(X91/H91),"0")</f>
        <v>0.17171717171717174</v>
      </c>
      <c r="BP91" s="64">
        <f>IFERROR(1/J91*(Y91/H91),"0")</f>
        <v>0.17424242424242425</v>
      </c>
    </row>
    <row r="92" spans="1:68" x14ac:dyDescent="0.2">
      <c r="A92" s="619"/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  <c r="O92" s="620"/>
      <c r="P92" s="622" t="s">
        <v>72</v>
      </c>
      <c r="Q92" s="623"/>
      <c r="R92" s="623"/>
      <c r="S92" s="623"/>
      <c r="T92" s="623"/>
      <c r="U92" s="623"/>
      <c r="V92" s="624"/>
      <c r="W92" s="37" t="s">
        <v>73</v>
      </c>
      <c r="X92" s="607">
        <f>IFERROR(X88/H88,"0")+IFERROR(X89/H89,"0")+IFERROR(X90/H90,"0")+IFERROR(X91/H91,"0")</f>
        <v>52.666666666666664</v>
      </c>
      <c r="Y92" s="607">
        <f>IFERROR(Y88/H88,"0")+IFERROR(Y89/H89,"0")+IFERROR(Y90/H90,"0")+IFERROR(Y91/H91,"0")</f>
        <v>53</v>
      </c>
      <c r="Z92" s="607">
        <f>IFERROR(IF(Z88="",0,Z88),"0")+IFERROR(IF(Z89="",0,Z89),"0")+IFERROR(IF(Z90="",0,Z90),"0")+IFERROR(IF(Z91="",0,Z91),"0")</f>
        <v>0.77685999999999999</v>
      </c>
      <c r="AA92" s="608"/>
      <c r="AB92" s="608"/>
      <c r="AC92" s="608"/>
    </row>
    <row r="93" spans="1:68" x14ac:dyDescent="0.2">
      <c r="A93" s="615"/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M93" s="615"/>
      <c r="N93" s="615"/>
      <c r="O93" s="620"/>
      <c r="P93" s="622" t="s">
        <v>72</v>
      </c>
      <c r="Q93" s="623"/>
      <c r="R93" s="623"/>
      <c r="S93" s="623"/>
      <c r="T93" s="623"/>
      <c r="U93" s="623"/>
      <c r="V93" s="624"/>
      <c r="W93" s="37" t="s">
        <v>67</v>
      </c>
      <c r="X93" s="607">
        <f>IFERROR(SUM(X88:X91),"0")</f>
        <v>426</v>
      </c>
      <c r="Y93" s="607">
        <f>IFERROR(SUM(Y88:Y91),"0")</f>
        <v>427.5</v>
      </c>
      <c r="Z93" s="37"/>
      <c r="AA93" s="608"/>
      <c r="AB93" s="608"/>
      <c r="AC93" s="608"/>
    </row>
    <row r="94" spans="1:68" ht="14.25" customHeight="1" x14ac:dyDescent="0.25">
      <c r="A94" s="614" t="s">
        <v>74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615"/>
      <c r="N94" s="615"/>
      <c r="O94" s="615"/>
      <c r="P94" s="615"/>
      <c r="Q94" s="615"/>
      <c r="R94" s="615"/>
      <c r="S94" s="615"/>
      <c r="T94" s="615"/>
      <c r="U94" s="615"/>
      <c r="V94" s="615"/>
      <c r="W94" s="615"/>
      <c r="X94" s="615"/>
      <c r="Y94" s="615"/>
      <c r="Z94" s="615"/>
      <c r="AA94" s="601"/>
      <c r="AB94" s="601"/>
      <c r="AC94" s="601"/>
    </row>
    <row r="95" spans="1:68" ht="27" customHeight="1" x14ac:dyDescent="0.25">
      <c r="A95" s="54" t="s">
        <v>191</v>
      </c>
      <c r="B95" s="54" t="s">
        <v>192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8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109</v>
      </c>
      <c r="Y95" s="606">
        <f>IFERROR(IF(X95="",0,CEILING((X95/$H95),1)*$H95),"")</f>
        <v>113.39999999999999</v>
      </c>
      <c r="Z95" s="36">
        <f>IFERROR(IF(Y95=0,"",ROUNDUP(Y95/H95,0)*0.01898),"")</f>
        <v>0.26572000000000001</v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115.64765432098766</v>
      </c>
      <c r="BN95" s="64">
        <f>IFERROR(Y95*I95/H95,"0")</f>
        <v>120.31599999999999</v>
      </c>
      <c r="BO95" s="64">
        <f>IFERROR(1/J95*(X95/H95),"0")</f>
        <v>0.21026234567901236</v>
      </c>
      <c r="BP95" s="64">
        <f>IFERROR(1/J95*(Y95/H95),"0")</f>
        <v>0.21875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196</v>
      </c>
      <c r="B97" s="54" t="s">
        <v>197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108</v>
      </c>
      <c r="Y97" s="606">
        <f>IFERROR(IF(X97="",0,CEILING((X97/$H97),1)*$H97),"")</f>
        <v>108</v>
      </c>
      <c r="Z97" s="36">
        <f>IFERROR(IF(Y97=0,"",ROUNDUP(Y97/H97,0)*0.00651),"")</f>
        <v>0.26040000000000002</v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118.07999999999998</v>
      </c>
      <c r="BN97" s="64">
        <f>IFERROR(Y97*I97/H97,"0")</f>
        <v>118.07999999999998</v>
      </c>
      <c r="BO97" s="64">
        <f>IFERROR(1/J97*(X97/H97),"0")</f>
        <v>0.2197802197802198</v>
      </c>
      <c r="BP97" s="64">
        <f>IFERROR(1/J97*(Y97/H97),"0")</f>
        <v>0.2197802197802198</v>
      </c>
    </row>
    <row r="98" spans="1:68" ht="16.5" customHeight="1" x14ac:dyDescent="0.25">
      <c r="A98" s="54" t="s">
        <v>198</v>
      </c>
      <c r="B98" s="54" t="s">
        <v>199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9"/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20"/>
      <c r="P99" s="622" t="s">
        <v>72</v>
      </c>
      <c r="Q99" s="623"/>
      <c r="R99" s="623"/>
      <c r="S99" s="623"/>
      <c r="T99" s="623"/>
      <c r="U99" s="623"/>
      <c r="V99" s="624"/>
      <c r="W99" s="37" t="s">
        <v>73</v>
      </c>
      <c r="X99" s="607">
        <f>IFERROR(X95/H95,"0")+IFERROR(X96/H96,"0")+IFERROR(X97/H97,"0")+IFERROR(X98/H98,"0")</f>
        <v>53.456790123456791</v>
      </c>
      <c r="Y99" s="607">
        <f>IFERROR(Y95/H95,"0")+IFERROR(Y96/H96,"0")+IFERROR(Y97/H97,"0")+IFERROR(Y98/H98,"0")</f>
        <v>54</v>
      </c>
      <c r="Z99" s="607">
        <f>IFERROR(IF(Z95="",0,Z95),"0")+IFERROR(IF(Z96="",0,Z96),"0")+IFERROR(IF(Z97="",0,Z97),"0")+IFERROR(IF(Z98="",0,Z98),"0")</f>
        <v>0.52612000000000003</v>
      </c>
      <c r="AA99" s="608"/>
      <c r="AB99" s="608"/>
      <c r="AC99" s="608"/>
    </row>
    <row r="100" spans="1:68" x14ac:dyDescent="0.2">
      <c r="A100" s="615"/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  <c r="O100" s="620"/>
      <c r="P100" s="622" t="s">
        <v>72</v>
      </c>
      <c r="Q100" s="623"/>
      <c r="R100" s="623"/>
      <c r="S100" s="623"/>
      <c r="T100" s="623"/>
      <c r="U100" s="623"/>
      <c r="V100" s="624"/>
      <c r="W100" s="37" t="s">
        <v>67</v>
      </c>
      <c r="X100" s="607">
        <f>IFERROR(SUM(X95:X98),"0")</f>
        <v>217</v>
      </c>
      <c r="Y100" s="607">
        <f>IFERROR(SUM(Y95:Y98),"0")</f>
        <v>221.39999999999998</v>
      </c>
      <c r="Z100" s="37"/>
      <c r="AA100" s="608"/>
      <c r="AB100" s="608"/>
      <c r="AC100" s="608"/>
    </row>
    <row r="101" spans="1:68" ht="16.5" customHeight="1" x14ac:dyDescent="0.25">
      <c r="A101" s="648" t="s">
        <v>201</v>
      </c>
      <c r="B101" s="615"/>
      <c r="C101" s="615"/>
      <c r="D101" s="615"/>
      <c r="E101" s="615"/>
      <c r="F101" s="615"/>
      <c r="G101" s="615"/>
      <c r="H101" s="615"/>
      <c r="I101" s="615"/>
      <c r="J101" s="615"/>
      <c r="K101" s="615"/>
      <c r="L101" s="615"/>
      <c r="M101" s="615"/>
      <c r="N101" s="615"/>
      <c r="O101" s="615"/>
      <c r="P101" s="615"/>
      <c r="Q101" s="615"/>
      <c r="R101" s="615"/>
      <c r="S101" s="615"/>
      <c r="T101" s="615"/>
      <c r="U101" s="615"/>
      <c r="V101" s="615"/>
      <c r="W101" s="615"/>
      <c r="X101" s="615"/>
      <c r="Y101" s="615"/>
      <c r="Z101" s="615"/>
      <c r="AA101" s="600"/>
      <c r="AB101" s="600"/>
      <c r="AC101" s="600"/>
    </row>
    <row r="102" spans="1:68" ht="14.25" customHeight="1" x14ac:dyDescent="0.25">
      <c r="A102" s="614" t="s">
        <v>121</v>
      </c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M102" s="615"/>
      <c r="N102" s="615"/>
      <c r="O102" s="615"/>
      <c r="P102" s="615"/>
      <c r="Q102" s="615"/>
      <c r="R102" s="615"/>
      <c r="S102" s="615"/>
      <c r="T102" s="615"/>
      <c r="U102" s="615"/>
      <c r="V102" s="615"/>
      <c r="W102" s="615"/>
      <c r="X102" s="615"/>
      <c r="Y102" s="615"/>
      <c r="Z102" s="615"/>
      <c r="AA102" s="601"/>
      <c r="AB102" s="601"/>
      <c r="AC102" s="601"/>
    </row>
    <row r="103" spans="1:68" ht="37.5" customHeight="1" x14ac:dyDescent="0.25">
      <c r="A103" s="54" t="s">
        <v>202</v>
      </c>
      <c r="B103" s="54" t="s">
        <v>203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6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1093</v>
      </c>
      <c r="Y103" s="606">
        <f t="shared" ref="Y103:Y109" si="11">IFERROR(IF(X103="",0,CEILING((X103/$H103),1)*$H103),"")</f>
        <v>1101.6000000000001</v>
      </c>
      <c r="Z103" s="36">
        <f>IFERROR(IF(Y103=0,"",ROUNDUP(Y103/H103,0)*0.01898),"")</f>
        <v>1.9359600000000001</v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1134.4935185185186</v>
      </c>
      <c r="BN103" s="64">
        <f t="shared" ref="BN103:BN109" si="13">IFERROR(Y103*I103/H103,"0")</f>
        <v>1143.4200000000003</v>
      </c>
      <c r="BO103" s="64">
        <f t="shared" ref="BO103:BO109" si="14">IFERROR(1/J103*(X103/H103),"0")</f>
        <v>1.5813078703703702</v>
      </c>
      <c r="BP103" s="64">
        <f t="shared" ref="BP103:BP109" si="15">IFERROR(1/J103*(Y103/H103),"0")</f>
        <v>1.59375</v>
      </c>
    </row>
    <row r="104" spans="1:68" ht="27" customHeight="1" x14ac:dyDescent="0.25">
      <c r="A104" s="54" t="s">
        <v>205</v>
      </c>
      <c r="B104" s="54" t="s">
        <v>206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208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customHeight="1" x14ac:dyDescent="0.25">
      <c r="A106" s="54" t="s">
        <v>209</v>
      </c>
      <c r="B106" s="54" t="s">
        <v>210</v>
      </c>
      <c r="C106" s="31">
        <v>4301012226</v>
      </c>
      <c r="D106" s="609">
        <v>4680115887749</v>
      </c>
      <c r="E106" s="61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211</v>
      </c>
      <c r="B107" s="54" t="s">
        <v>212</v>
      </c>
      <c r="C107" s="31">
        <v>4301011417</v>
      </c>
      <c r="D107" s="609">
        <v>4680115880269</v>
      </c>
      <c r="E107" s="61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213</v>
      </c>
      <c r="B108" s="54" t="s">
        <v>214</v>
      </c>
      <c r="C108" s="31">
        <v>4301011415</v>
      </c>
      <c r="D108" s="609">
        <v>4680115880429</v>
      </c>
      <c r="E108" s="61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147</v>
      </c>
      <c r="Y108" s="606">
        <f t="shared" si="11"/>
        <v>148.5</v>
      </c>
      <c r="Z108" s="36">
        <f>IFERROR(IF(Y108=0,"",ROUNDUP(Y108/H108,0)*0.00902),"")</f>
        <v>0.29766000000000004</v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153.20666666666668</v>
      </c>
      <c r="BN108" s="64">
        <f t="shared" si="13"/>
        <v>154.77000000000001</v>
      </c>
      <c r="BO108" s="64">
        <f t="shared" si="14"/>
        <v>0.24747474747474746</v>
      </c>
      <c r="BP108" s="64">
        <f t="shared" si="15"/>
        <v>0.25</v>
      </c>
    </row>
    <row r="109" spans="1:68" ht="37.5" customHeight="1" x14ac:dyDescent="0.25">
      <c r="A109" s="54" t="s">
        <v>215</v>
      </c>
      <c r="B109" s="54" t="s">
        <v>216</v>
      </c>
      <c r="C109" s="31">
        <v>4301011462</v>
      </c>
      <c r="D109" s="609">
        <v>4680115881457</v>
      </c>
      <c r="E109" s="61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x14ac:dyDescent="0.2">
      <c r="A110" s="619"/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M110" s="615"/>
      <c r="N110" s="615"/>
      <c r="O110" s="620"/>
      <c r="P110" s="622" t="s">
        <v>72</v>
      </c>
      <c r="Q110" s="623"/>
      <c r="R110" s="623"/>
      <c r="S110" s="623"/>
      <c r="T110" s="623"/>
      <c r="U110" s="623"/>
      <c r="V110" s="624"/>
      <c r="W110" s="37" t="s">
        <v>73</v>
      </c>
      <c r="X110" s="607">
        <f>IFERROR(X103/H103,"0")+IFERROR(X104/H104,"0")+IFERROR(X105/H105,"0")+IFERROR(X106/H106,"0")+IFERROR(X107/H107,"0")+IFERROR(X108/H108,"0")+IFERROR(X109/H109,"0")</f>
        <v>133.87037037037035</v>
      </c>
      <c r="Y110" s="607">
        <f>IFERROR(Y103/H103,"0")+IFERROR(Y104/H104,"0")+IFERROR(Y105/H105,"0")+IFERROR(Y106/H106,"0")+IFERROR(Y107/H107,"0")+IFERROR(Y108/H108,"0")+IFERROR(Y109/H109,"0")</f>
        <v>135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2.2336200000000002</v>
      </c>
      <c r="AA110" s="608"/>
      <c r="AB110" s="608"/>
      <c r="AC110" s="608"/>
    </row>
    <row r="111" spans="1:68" x14ac:dyDescent="0.2">
      <c r="A111" s="615"/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M111" s="615"/>
      <c r="N111" s="615"/>
      <c r="O111" s="620"/>
      <c r="P111" s="622" t="s">
        <v>72</v>
      </c>
      <c r="Q111" s="623"/>
      <c r="R111" s="623"/>
      <c r="S111" s="623"/>
      <c r="T111" s="623"/>
      <c r="U111" s="623"/>
      <c r="V111" s="624"/>
      <c r="W111" s="37" t="s">
        <v>67</v>
      </c>
      <c r="X111" s="607">
        <f>IFERROR(SUM(X103:X109),"0")</f>
        <v>1240</v>
      </c>
      <c r="Y111" s="607">
        <f>IFERROR(SUM(Y103:Y109),"0")</f>
        <v>1250.1000000000001</v>
      </c>
      <c r="Z111" s="37"/>
      <c r="AA111" s="608"/>
      <c r="AB111" s="608"/>
      <c r="AC111" s="608"/>
    </row>
    <row r="112" spans="1:68" ht="14.25" customHeight="1" x14ac:dyDescent="0.25">
      <c r="A112" s="614" t="s">
        <v>156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01"/>
      <c r="AB112" s="601"/>
      <c r="AC112" s="601"/>
    </row>
    <row r="113" spans="1:68" ht="16.5" customHeight="1" x14ac:dyDescent="0.25">
      <c r="A113" s="54" t="s">
        <v>217</v>
      </c>
      <c r="B113" s="54" t="s">
        <v>218</v>
      </c>
      <c r="C113" s="31">
        <v>4301020345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70</v>
      </c>
      <c r="Y113" s="606">
        <f t="shared" ref="Y113:Y119" si="16">IFERROR(IF(X113="",0,CEILING((X113/$H113),1)*$H113),"")</f>
        <v>75.600000000000009</v>
      </c>
      <c r="Z113" s="36">
        <f>IFERROR(IF(Y113=0,"",ROUNDUP(Y113/H113,0)*0.01898),"")</f>
        <v>0.13286000000000001</v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72.657407407407405</v>
      </c>
      <c r="BN113" s="64">
        <f t="shared" ref="BN113:BN119" si="18">IFERROR(Y113*I113/H113,"0")</f>
        <v>78.47</v>
      </c>
      <c r="BO113" s="64">
        <f t="shared" ref="BO113:BO119" si="19">IFERROR(1/J113*(X113/H113),"0")</f>
        <v>0.10127314814814814</v>
      </c>
      <c r="BP113" s="64">
        <f t="shared" ref="BP113:BP119" si="20">IFERROR(1/J113*(Y113/H113),"0")</f>
        <v>0.109375</v>
      </c>
    </row>
    <row r="114" spans="1:68" ht="27" customHeight="1" x14ac:dyDescent="0.25">
      <c r="A114" s="54" t="s">
        <v>217</v>
      </c>
      <c r="B114" s="54" t="s">
        <v>220</v>
      </c>
      <c r="C114" s="31">
        <v>4301020391</v>
      </c>
      <c r="D114" s="609">
        <v>4680115881488</v>
      </c>
      <c r="E114" s="61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4301020186</v>
      </c>
      <c r="D115" s="609">
        <v>4680115887664</v>
      </c>
      <c r="E115" s="61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222</v>
      </c>
      <c r="B116" s="54" t="s">
        <v>226</v>
      </c>
      <c r="C116" s="31">
        <v>4301020430</v>
      </c>
      <c r="D116" s="609">
        <v>4680115887664</v>
      </c>
      <c r="E116" s="61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6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4301020393</v>
      </c>
      <c r="D117" s="609">
        <v>4680115882775</v>
      </c>
      <c r="E117" s="61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customHeight="1" x14ac:dyDescent="0.25">
      <c r="A118" s="54" t="s">
        <v>229</v>
      </c>
      <c r="B118" s="54" t="s">
        <v>230</v>
      </c>
      <c r="C118" s="31">
        <v>4301020344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18</v>
      </c>
      <c r="Y118" s="606">
        <f t="shared" si="16"/>
        <v>19.2</v>
      </c>
      <c r="Z118" s="36">
        <f>IFERROR(IF(Y118=0,"",ROUNDUP(Y118/H118,0)*0.00651),"")</f>
        <v>5.2080000000000001E-2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19.350000000000001</v>
      </c>
      <c r="BN118" s="64">
        <f t="shared" si="18"/>
        <v>20.64</v>
      </c>
      <c r="BO118" s="64">
        <f t="shared" si="19"/>
        <v>4.1208791208791215E-2</v>
      </c>
      <c r="BP118" s="64">
        <f t="shared" si="20"/>
        <v>4.3956043956043959E-2</v>
      </c>
    </row>
    <row r="119" spans="1:68" ht="27" customHeight="1" x14ac:dyDescent="0.25">
      <c r="A119" s="54" t="s">
        <v>229</v>
      </c>
      <c r="B119" s="54" t="s">
        <v>231</v>
      </c>
      <c r="C119" s="31">
        <v>4301020392</v>
      </c>
      <c r="D119" s="609">
        <v>4680115880658</v>
      </c>
      <c r="E119" s="61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3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9"/>
      <c r="B120" s="615"/>
      <c r="C120" s="615"/>
      <c r="D120" s="615"/>
      <c r="E120" s="615"/>
      <c r="F120" s="615"/>
      <c r="G120" s="615"/>
      <c r="H120" s="615"/>
      <c r="I120" s="615"/>
      <c r="J120" s="615"/>
      <c r="K120" s="615"/>
      <c r="L120" s="615"/>
      <c r="M120" s="615"/>
      <c r="N120" s="615"/>
      <c r="O120" s="620"/>
      <c r="P120" s="622" t="s">
        <v>72</v>
      </c>
      <c r="Q120" s="623"/>
      <c r="R120" s="623"/>
      <c r="S120" s="623"/>
      <c r="T120" s="623"/>
      <c r="U120" s="623"/>
      <c r="V120" s="624"/>
      <c r="W120" s="37" t="s">
        <v>73</v>
      </c>
      <c r="X120" s="607">
        <f>IFERROR(X113/H113,"0")+IFERROR(X114/H114,"0")+IFERROR(X115/H115,"0")+IFERROR(X116/H116,"0")+IFERROR(X117/H117,"0")+IFERROR(X118/H118,"0")+IFERROR(X119/H119,"0")</f>
        <v>13.981481481481481</v>
      </c>
      <c r="Y120" s="607">
        <f>IFERROR(Y113/H113,"0")+IFERROR(Y114/H114,"0")+IFERROR(Y115/H115,"0")+IFERROR(Y116/H116,"0")+IFERROR(Y117/H117,"0")+IFERROR(Y118/H118,"0")+IFERROR(Y119/H119,"0")</f>
        <v>15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0.18493999999999999</v>
      </c>
      <c r="AA120" s="608"/>
      <c r="AB120" s="608"/>
      <c r="AC120" s="608"/>
    </row>
    <row r="121" spans="1:68" x14ac:dyDescent="0.2">
      <c r="A121" s="615"/>
      <c r="B121" s="615"/>
      <c r="C121" s="615"/>
      <c r="D121" s="615"/>
      <c r="E121" s="615"/>
      <c r="F121" s="615"/>
      <c r="G121" s="615"/>
      <c r="H121" s="615"/>
      <c r="I121" s="615"/>
      <c r="J121" s="615"/>
      <c r="K121" s="615"/>
      <c r="L121" s="615"/>
      <c r="M121" s="615"/>
      <c r="N121" s="615"/>
      <c r="O121" s="620"/>
      <c r="P121" s="622" t="s">
        <v>72</v>
      </c>
      <c r="Q121" s="623"/>
      <c r="R121" s="623"/>
      <c r="S121" s="623"/>
      <c r="T121" s="623"/>
      <c r="U121" s="623"/>
      <c r="V121" s="624"/>
      <c r="W121" s="37" t="s">
        <v>67</v>
      </c>
      <c r="X121" s="607">
        <f>IFERROR(SUM(X113:X119),"0")</f>
        <v>88</v>
      </c>
      <c r="Y121" s="607">
        <f>IFERROR(SUM(Y113:Y119),"0")</f>
        <v>94.800000000000011</v>
      </c>
      <c r="Z121" s="37"/>
      <c r="AA121" s="608"/>
      <c r="AB121" s="608"/>
      <c r="AC121" s="608"/>
    </row>
    <row r="122" spans="1:68" ht="14.25" customHeight="1" x14ac:dyDescent="0.25">
      <c r="A122" s="614" t="s">
        <v>74</v>
      </c>
      <c r="B122" s="615"/>
      <c r="C122" s="615"/>
      <c r="D122" s="615"/>
      <c r="E122" s="615"/>
      <c r="F122" s="615"/>
      <c r="G122" s="615"/>
      <c r="H122" s="615"/>
      <c r="I122" s="615"/>
      <c r="J122" s="615"/>
      <c r="K122" s="615"/>
      <c r="L122" s="615"/>
      <c r="M122" s="615"/>
      <c r="N122" s="615"/>
      <c r="O122" s="615"/>
      <c r="P122" s="615"/>
      <c r="Q122" s="615"/>
      <c r="R122" s="615"/>
      <c r="S122" s="615"/>
      <c r="T122" s="615"/>
      <c r="U122" s="615"/>
      <c r="V122" s="615"/>
      <c r="W122" s="615"/>
      <c r="X122" s="615"/>
      <c r="Y122" s="615"/>
      <c r="Z122" s="615"/>
      <c r="AA122" s="601"/>
      <c r="AB122" s="601"/>
      <c r="AC122" s="601"/>
    </row>
    <row r="123" spans="1:68" ht="27" customHeight="1" x14ac:dyDescent="0.25">
      <c r="A123" s="54" t="s">
        <v>232</v>
      </c>
      <c r="B123" s="54" t="s">
        <v>233</v>
      </c>
      <c r="C123" s="31">
        <v>4301051724</v>
      </c>
      <c r="D123" s="609">
        <v>4607091385168</v>
      </c>
      <c r="E123" s="61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70</v>
      </c>
      <c r="Y123" s="606">
        <f>IFERROR(IF(X123="",0,CEILING((X123/$H123),1)*$H123),"")</f>
        <v>72.899999999999991</v>
      </c>
      <c r="Z123" s="36">
        <f>IFERROR(IF(Y123=0,"",ROUNDUP(Y123/H123,0)*0.01898),"")</f>
        <v>0.17082</v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74.217283950617286</v>
      </c>
      <c r="BN123" s="64">
        <f>IFERROR(Y123*I123/H123,"0")</f>
        <v>77.291999999999987</v>
      </c>
      <c r="BO123" s="64">
        <f>IFERROR(1/J123*(X123/H123),"0")</f>
        <v>0.13503086419753088</v>
      </c>
      <c r="BP123" s="64">
        <f>IFERROR(1/J123*(Y123/H123),"0")</f>
        <v>0.140625</v>
      </c>
    </row>
    <row r="124" spans="1:68" ht="27" customHeight="1" x14ac:dyDescent="0.25">
      <c r="A124" s="54" t="s">
        <v>235</v>
      </c>
      <c r="B124" s="54" t="s">
        <v>236</v>
      </c>
      <c r="C124" s="31">
        <v>4301051730</v>
      </c>
      <c r="D124" s="609">
        <v>4607091383256</v>
      </c>
      <c r="E124" s="61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09">
        <v>4607091385748</v>
      </c>
      <c r="E125" s="61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384</v>
      </c>
      <c r="Y125" s="606">
        <f>IFERROR(IF(X125="",0,CEILING((X125/$H125),1)*$H125),"")</f>
        <v>386.1</v>
      </c>
      <c r="Z125" s="36">
        <f>IFERROR(IF(Y125=0,"",ROUNDUP(Y125/H125,0)*0.00651),"")</f>
        <v>0.93093000000000004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419.84</v>
      </c>
      <c r="BN125" s="64">
        <f>IFERROR(Y125*I125/H125,"0")</f>
        <v>422.13599999999997</v>
      </c>
      <c r="BO125" s="64">
        <f>IFERROR(1/J125*(X125/H125),"0")</f>
        <v>0.78144078144078133</v>
      </c>
      <c r="BP125" s="64">
        <f>IFERROR(1/J125*(Y125/H125),"0")</f>
        <v>0.78571428571428581</v>
      </c>
    </row>
    <row r="126" spans="1:68" ht="16.5" customHeight="1" x14ac:dyDescent="0.25">
      <c r="A126" s="54" t="s">
        <v>239</v>
      </c>
      <c r="B126" s="54" t="s">
        <v>240</v>
      </c>
      <c r="C126" s="31">
        <v>4301051740</v>
      </c>
      <c r="D126" s="609">
        <v>4680115884533</v>
      </c>
      <c r="E126" s="61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5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9"/>
      <c r="B127" s="615"/>
      <c r="C127" s="615"/>
      <c r="D127" s="615"/>
      <c r="E127" s="615"/>
      <c r="F127" s="615"/>
      <c r="G127" s="615"/>
      <c r="H127" s="615"/>
      <c r="I127" s="615"/>
      <c r="J127" s="615"/>
      <c r="K127" s="615"/>
      <c r="L127" s="615"/>
      <c r="M127" s="615"/>
      <c r="N127" s="615"/>
      <c r="O127" s="620"/>
      <c r="P127" s="622" t="s">
        <v>72</v>
      </c>
      <c r="Q127" s="623"/>
      <c r="R127" s="623"/>
      <c r="S127" s="623"/>
      <c r="T127" s="623"/>
      <c r="U127" s="623"/>
      <c r="V127" s="624"/>
      <c r="W127" s="37" t="s">
        <v>73</v>
      </c>
      <c r="X127" s="607">
        <f>IFERROR(X123/H123,"0")+IFERROR(X124/H124,"0")+IFERROR(X125/H125,"0")+IFERROR(X126/H126,"0")</f>
        <v>150.86419753086417</v>
      </c>
      <c r="Y127" s="607">
        <f>IFERROR(Y123/H123,"0")+IFERROR(Y124/H124,"0")+IFERROR(Y125/H125,"0")+IFERROR(Y126/H126,"0")</f>
        <v>152</v>
      </c>
      <c r="Z127" s="607">
        <f>IFERROR(IF(Z123="",0,Z123),"0")+IFERROR(IF(Z124="",0,Z124),"0")+IFERROR(IF(Z125="",0,Z125),"0")+IFERROR(IF(Z126="",0,Z126),"0")</f>
        <v>1.10175</v>
      </c>
      <c r="AA127" s="608"/>
      <c r="AB127" s="608"/>
      <c r="AC127" s="608"/>
    </row>
    <row r="128" spans="1:68" x14ac:dyDescent="0.2">
      <c r="A128" s="615"/>
      <c r="B128" s="615"/>
      <c r="C128" s="615"/>
      <c r="D128" s="615"/>
      <c r="E128" s="615"/>
      <c r="F128" s="615"/>
      <c r="G128" s="615"/>
      <c r="H128" s="615"/>
      <c r="I128" s="615"/>
      <c r="J128" s="615"/>
      <c r="K128" s="615"/>
      <c r="L128" s="615"/>
      <c r="M128" s="615"/>
      <c r="N128" s="615"/>
      <c r="O128" s="620"/>
      <c r="P128" s="622" t="s">
        <v>72</v>
      </c>
      <c r="Q128" s="623"/>
      <c r="R128" s="623"/>
      <c r="S128" s="623"/>
      <c r="T128" s="623"/>
      <c r="U128" s="623"/>
      <c r="V128" s="624"/>
      <c r="W128" s="37" t="s">
        <v>67</v>
      </c>
      <c r="X128" s="607">
        <f>IFERROR(SUM(X123:X126),"0")</f>
        <v>454</v>
      </c>
      <c r="Y128" s="607">
        <f>IFERROR(SUM(Y123:Y126),"0")</f>
        <v>459</v>
      </c>
      <c r="Z128" s="37"/>
      <c r="AA128" s="608"/>
      <c r="AB128" s="608"/>
      <c r="AC128" s="608"/>
    </row>
    <row r="129" spans="1:68" ht="14.25" customHeight="1" x14ac:dyDescent="0.25">
      <c r="A129" s="614" t="s">
        <v>173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01"/>
      <c r="AB129" s="601"/>
      <c r="AC129" s="601"/>
    </row>
    <row r="130" spans="1:68" ht="16.5" customHeight="1" x14ac:dyDescent="0.25">
      <c r="A130" s="54" t="s">
        <v>242</v>
      </c>
      <c r="B130" s="54" t="s">
        <v>243</v>
      </c>
      <c r="C130" s="31">
        <v>4301060317</v>
      </c>
      <c r="D130" s="609">
        <v>4680115880238</v>
      </c>
      <c r="E130" s="61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11</v>
      </c>
      <c r="Y130" s="606">
        <f>IFERROR(IF(X130="",0,CEILING((X130/$H130),1)*$H130),"")</f>
        <v>11.879999999999999</v>
      </c>
      <c r="Z130" s="36">
        <f>IFERROR(IF(Y130=0,"",ROUNDUP(Y130/H130,0)*0.00651),"")</f>
        <v>3.9059999999999997E-2</v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12.433333333333334</v>
      </c>
      <c r="BN130" s="64">
        <f>IFERROR(Y130*I130/H130,"0")</f>
        <v>13.427999999999999</v>
      </c>
      <c r="BO130" s="64">
        <f>IFERROR(1/J130*(X130/H130),"0")</f>
        <v>3.0525030525030528E-2</v>
      </c>
      <c r="BP130" s="64">
        <f>IFERROR(1/J130*(Y130/H130),"0")</f>
        <v>3.2967032967032968E-2</v>
      </c>
    </row>
    <row r="131" spans="1:68" x14ac:dyDescent="0.2">
      <c r="A131" s="619"/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20"/>
      <c r="P131" s="622" t="s">
        <v>72</v>
      </c>
      <c r="Q131" s="623"/>
      <c r="R131" s="623"/>
      <c r="S131" s="623"/>
      <c r="T131" s="623"/>
      <c r="U131" s="623"/>
      <c r="V131" s="624"/>
      <c r="W131" s="37" t="s">
        <v>73</v>
      </c>
      <c r="X131" s="607">
        <f>IFERROR(X130/H130,"0")</f>
        <v>5.5555555555555554</v>
      </c>
      <c r="Y131" s="607">
        <f>IFERROR(Y130/H130,"0")</f>
        <v>5.9999999999999991</v>
      </c>
      <c r="Z131" s="607">
        <f>IFERROR(IF(Z130="",0,Z130),"0")</f>
        <v>3.9059999999999997E-2</v>
      </c>
      <c r="AA131" s="608"/>
      <c r="AB131" s="608"/>
      <c r="AC131" s="608"/>
    </row>
    <row r="132" spans="1:68" x14ac:dyDescent="0.2">
      <c r="A132" s="615"/>
      <c r="B132" s="615"/>
      <c r="C132" s="615"/>
      <c r="D132" s="615"/>
      <c r="E132" s="615"/>
      <c r="F132" s="615"/>
      <c r="G132" s="615"/>
      <c r="H132" s="615"/>
      <c r="I132" s="615"/>
      <c r="J132" s="615"/>
      <c r="K132" s="615"/>
      <c r="L132" s="615"/>
      <c r="M132" s="615"/>
      <c r="N132" s="615"/>
      <c r="O132" s="620"/>
      <c r="P132" s="622" t="s">
        <v>72</v>
      </c>
      <c r="Q132" s="623"/>
      <c r="R132" s="623"/>
      <c r="S132" s="623"/>
      <c r="T132" s="623"/>
      <c r="U132" s="623"/>
      <c r="V132" s="624"/>
      <c r="W132" s="37" t="s">
        <v>67</v>
      </c>
      <c r="X132" s="607">
        <f>IFERROR(SUM(X130:X130),"0")</f>
        <v>11</v>
      </c>
      <c r="Y132" s="607">
        <f>IFERROR(SUM(Y130:Y130),"0")</f>
        <v>11.879999999999999</v>
      </c>
      <c r="Z132" s="37"/>
      <c r="AA132" s="608"/>
      <c r="AB132" s="608"/>
      <c r="AC132" s="608"/>
    </row>
    <row r="133" spans="1:68" ht="16.5" customHeight="1" x14ac:dyDescent="0.25">
      <c r="A133" s="648" t="s">
        <v>245</v>
      </c>
      <c r="B133" s="615"/>
      <c r="C133" s="615"/>
      <c r="D133" s="615"/>
      <c r="E133" s="615"/>
      <c r="F133" s="615"/>
      <c r="G133" s="615"/>
      <c r="H133" s="615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  <c r="T133" s="615"/>
      <c r="U133" s="615"/>
      <c r="V133" s="615"/>
      <c r="W133" s="615"/>
      <c r="X133" s="615"/>
      <c r="Y133" s="615"/>
      <c r="Z133" s="615"/>
      <c r="AA133" s="600"/>
      <c r="AB133" s="600"/>
      <c r="AC133" s="600"/>
    </row>
    <row r="134" spans="1:68" ht="14.25" customHeight="1" x14ac:dyDescent="0.25">
      <c r="A134" s="614" t="s">
        <v>121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01"/>
      <c r="AB134" s="601"/>
      <c r="AC134" s="601"/>
    </row>
    <row r="135" spans="1:68" ht="27" customHeight="1" x14ac:dyDescent="0.25">
      <c r="A135" s="54" t="s">
        <v>246</v>
      </c>
      <c r="B135" s="54" t="s">
        <v>247</v>
      </c>
      <c r="C135" s="31">
        <v>4301011562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40</v>
      </c>
      <c r="Y135" s="606">
        <f>IFERROR(IF(X135="",0,CEILING((X135/$H135),1)*$H135),"")</f>
        <v>41.6</v>
      </c>
      <c r="Z135" s="36">
        <f>IFERROR(IF(Y135=0,"",ROUNDUP(Y135/H135,0)*0.00651),"")</f>
        <v>8.4629999999999997E-2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42.249999999999993</v>
      </c>
      <c r="BN135" s="64">
        <f>IFERROR(Y135*I135/H135,"0")</f>
        <v>43.94</v>
      </c>
      <c r="BO135" s="64">
        <f>IFERROR(1/J135*(X135/H135),"0")</f>
        <v>6.8681318681318687E-2</v>
      </c>
      <c r="BP135" s="64">
        <f>IFERROR(1/J135*(Y135/H135),"0")</f>
        <v>7.1428571428571438E-2</v>
      </c>
    </row>
    <row r="136" spans="1:68" ht="27" customHeight="1" x14ac:dyDescent="0.25">
      <c r="A136" s="54" t="s">
        <v>246</v>
      </c>
      <c r="B136" s="54" t="s">
        <v>249</v>
      </c>
      <c r="C136" s="31">
        <v>4301011564</v>
      </c>
      <c r="D136" s="609">
        <v>4680115882577</v>
      </c>
      <c r="E136" s="61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19"/>
      <c r="B137" s="615"/>
      <c r="C137" s="615"/>
      <c r="D137" s="615"/>
      <c r="E137" s="615"/>
      <c r="F137" s="615"/>
      <c r="G137" s="615"/>
      <c r="H137" s="615"/>
      <c r="I137" s="615"/>
      <c r="J137" s="615"/>
      <c r="K137" s="615"/>
      <c r="L137" s="615"/>
      <c r="M137" s="615"/>
      <c r="N137" s="615"/>
      <c r="O137" s="620"/>
      <c r="P137" s="622" t="s">
        <v>72</v>
      </c>
      <c r="Q137" s="623"/>
      <c r="R137" s="623"/>
      <c r="S137" s="623"/>
      <c r="T137" s="623"/>
      <c r="U137" s="623"/>
      <c r="V137" s="624"/>
      <c r="W137" s="37" t="s">
        <v>73</v>
      </c>
      <c r="X137" s="607">
        <f>IFERROR(X135/H135,"0")+IFERROR(X136/H136,"0")</f>
        <v>12.5</v>
      </c>
      <c r="Y137" s="607">
        <f>IFERROR(Y135/H135,"0")+IFERROR(Y136/H136,"0")</f>
        <v>13</v>
      </c>
      <c r="Z137" s="607">
        <f>IFERROR(IF(Z135="",0,Z135),"0")+IFERROR(IF(Z136="",0,Z136),"0")</f>
        <v>8.4629999999999997E-2</v>
      </c>
      <c r="AA137" s="608"/>
      <c r="AB137" s="608"/>
      <c r="AC137" s="608"/>
    </row>
    <row r="138" spans="1:68" x14ac:dyDescent="0.2">
      <c r="A138" s="615"/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20"/>
      <c r="P138" s="622" t="s">
        <v>72</v>
      </c>
      <c r="Q138" s="623"/>
      <c r="R138" s="623"/>
      <c r="S138" s="623"/>
      <c r="T138" s="623"/>
      <c r="U138" s="623"/>
      <c r="V138" s="624"/>
      <c r="W138" s="37" t="s">
        <v>67</v>
      </c>
      <c r="X138" s="607">
        <f>IFERROR(SUM(X135:X136),"0")</f>
        <v>40</v>
      </c>
      <c r="Y138" s="607">
        <f>IFERROR(SUM(Y135:Y136),"0")</f>
        <v>41.6</v>
      </c>
      <c r="Z138" s="37"/>
      <c r="AA138" s="608"/>
      <c r="AB138" s="608"/>
      <c r="AC138" s="608"/>
    </row>
    <row r="139" spans="1:68" ht="14.25" customHeight="1" x14ac:dyDescent="0.25">
      <c r="A139" s="614" t="s">
        <v>62</v>
      </c>
      <c r="B139" s="615"/>
      <c r="C139" s="615"/>
      <c r="D139" s="615"/>
      <c r="E139" s="615"/>
      <c r="F139" s="615"/>
      <c r="G139" s="615"/>
      <c r="H139" s="615"/>
      <c r="I139" s="615"/>
      <c r="J139" s="615"/>
      <c r="K139" s="615"/>
      <c r="L139" s="615"/>
      <c r="M139" s="615"/>
      <c r="N139" s="615"/>
      <c r="O139" s="615"/>
      <c r="P139" s="615"/>
      <c r="Q139" s="615"/>
      <c r="R139" s="615"/>
      <c r="S139" s="615"/>
      <c r="T139" s="615"/>
      <c r="U139" s="615"/>
      <c r="V139" s="615"/>
      <c r="W139" s="615"/>
      <c r="X139" s="615"/>
      <c r="Y139" s="615"/>
      <c r="Z139" s="615"/>
      <c r="AA139" s="601"/>
      <c r="AB139" s="601"/>
      <c r="AC139" s="601"/>
    </row>
    <row r="140" spans="1:68" ht="27" customHeight="1" x14ac:dyDescent="0.25">
      <c r="A140" s="54" t="s">
        <v>250</v>
      </c>
      <c r="B140" s="54" t="s">
        <v>251</v>
      </c>
      <c r="C140" s="31">
        <v>4301031234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250</v>
      </c>
      <c r="B141" s="54" t="s">
        <v>253</v>
      </c>
      <c r="C141" s="31">
        <v>4301031235</v>
      </c>
      <c r="D141" s="609">
        <v>4680115883444</v>
      </c>
      <c r="E141" s="61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19"/>
      <c r="B142" s="615"/>
      <c r="C142" s="615"/>
      <c r="D142" s="615"/>
      <c r="E142" s="615"/>
      <c r="F142" s="615"/>
      <c r="G142" s="615"/>
      <c r="H142" s="615"/>
      <c r="I142" s="615"/>
      <c r="J142" s="615"/>
      <c r="K142" s="615"/>
      <c r="L142" s="615"/>
      <c r="M142" s="615"/>
      <c r="N142" s="615"/>
      <c r="O142" s="620"/>
      <c r="P142" s="622" t="s">
        <v>72</v>
      </c>
      <c r="Q142" s="623"/>
      <c r="R142" s="623"/>
      <c r="S142" s="623"/>
      <c r="T142" s="623"/>
      <c r="U142" s="623"/>
      <c r="V142" s="624"/>
      <c r="W142" s="37" t="s">
        <v>73</v>
      </c>
      <c r="X142" s="607">
        <f>IFERROR(X140/H140,"0")+IFERROR(X141/H141,"0")</f>
        <v>0</v>
      </c>
      <c r="Y142" s="607">
        <f>IFERROR(Y140/H140,"0")+IFERROR(Y141/H141,"0")</f>
        <v>0</v>
      </c>
      <c r="Z142" s="607">
        <f>IFERROR(IF(Z140="",0,Z140),"0")+IFERROR(IF(Z141="",0,Z141),"0")</f>
        <v>0</v>
      </c>
      <c r="AA142" s="608"/>
      <c r="AB142" s="608"/>
      <c r="AC142" s="608"/>
    </row>
    <row r="143" spans="1:68" x14ac:dyDescent="0.2">
      <c r="A143" s="615"/>
      <c r="B143" s="615"/>
      <c r="C143" s="615"/>
      <c r="D143" s="615"/>
      <c r="E143" s="615"/>
      <c r="F143" s="615"/>
      <c r="G143" s="615"/>
      <c r="H143" s="615"/>
      <c r="I143" s="615"/>
      <c r="J143" s="615"/>
      <c r="K143" s="615"/>
      <c r="L143" s="615"/>
      <c r="M143" s="615"/>
      <c r="N143" s="615"/>
      <c r="O143" s="620"/>
      <c r="P143" s="622" t="s">
        <v>72</v>
      </c>
      <c r="Q143" s="623"/>
      <c r="R143" s="623"/>
      <c r="S143" s="623"/>
      <c r="T143" s="623"/>
      <c r="U143" s="623"/>
      <c r="V143" s="624"/>
      <c r="W143" s="37" t="s">
        <v>67</v>
      </c>
      <c r="X143" s="607">
        <f>IFERROR(SUM(X140:X141),"0")</f>
        <v>0</v>
      </c>
      <c r="Y143" s="607">
        <f>IFERROR(SUM(Y140:Y141),"0")</f>
        <v>0</v>
      </c>
      <c r="Z143" s="37"/>
      <c r="AA143" s="608"/>
      <c r="AB143" s="608"/>
      <c r="AC143" s="608"/>
    </row>
    <row r="144" spans="1:68" ht="14.25" customHeight="1" x14ac:dyDescent="0.25">
      <c r="A144" s="614" t="s">
        <v>74</v>
      </c>
      <c r="B144" s="615"/>
      <c r="C144" s="615"/>
      <c r="D144" s="615"/>
      <c r="E144" s="615"/>
      <c r="F144" s="615"/>
      <c r="G144" s="615"/>
      <c r="H144" s="615"/>
      <c r="I144" s="615"/>
      <c r="J144" s="615"/>
      <c r="K144" s="615"/>
      <c r="L144" s="615"/>
      <c r="M144" s="615"/>
      <c r="N144" s="615"/>
      <c r="O144" s="615"/>
      <c r="P144" s="615"/>
      <c r="Q144" s="615"/>
      <c r="R144" s="615"/>
      <c r="S144" s="615"/>
      <c r="T144" s="615"/>
      <c r="U144" s="615"/>
      <c r="V144" s="615"/>
      <c r="W144" s="615"/>
      <c r="X144" s="615"/>
      <c r="Y144" s="615"/>
      <c r="Z144" s="615"/>
      <c r="AA144" s="601"/>
      <c r="AB144" s="601"/>
      <c r="AC144" s="601"/>
    </row>
    <row r="145" spans="1:68" ht="16.5" customHeight="1" x14ac:dyDescent="0.25">
      <c r="A145" s="54" t="s">
        <v>254</v>
      </c>
      <c r="B145" s="54" t="s">
        <v>255</v>
      </c>
      <c r="C145" s="31">
        <v>4301051476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65</v>
      </c>
      <c r="Y145" s="606">
        <f>IFERROR(IF(X145="",0,CEILING((X145/$H145),1)*$H145),"")</f>
        <v>66</v>
      </c>
      <c r="Z145" s="36">
        <f>IFERROR(IF(Y145=0,"",ROUNDUP(Y145/H145,0)*0.00651),"")</f>
        <v>0.16275000000000001</v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71.598484848484844</v>
      </c>
      <c r="BN145" s="64">
        <f>IFERROR(Y145*I145/H145,"0")</f>
        <v>72.699999999999989</v>
      </c>
      <c r="BO145" s="64">
        <f>IFERROR(1/J145*(X145/H145),"0")</f>
        <v>0.13528138528138528</v>
      </c>
      <c r="BP145" s="64">
        <f>IFERROR(1/J145*(Y145/H145),"0")</f>
        <v>0.13736263736263737</v>
      </c>
    </row>
    <row r="146" spans="1:68" ht="16.5" customHeight="1" x14ac:dyDescent="0.25">
      <c r="A146" s="54" t="s">
        <v>254</v>
      </c>
      <c r="B146" s="54" t="s">
        <v>256</v>
      </c>
      <c r="C146" s="31">
        <v>4301051477</v>
      </c>
      <c r="D146" s="609">
        <v>4680115882584</v>
      </c>
      <c r="E146" s="61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19"/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20"/>
      <c r="P147" s="622" t="s">
        <v>72</v>
      </c>
      <c r="Q147" s="623"/>
      <c r="R147" s="623"/>
      <c r="S147" s="623"/>
      <c r="T147" s="623"/>
      <c r="U147" s="623"/>
      <c r="V147" s="624"/>
      <c r="W147" s="37" t="s">
        <v>73</v>
      </c>
      <c r="X147" s="607">
        <f>IFERROR(X145/H145,"0")+IFERROR(X146/H146,"0")</f>
        <v>24.621212121212121</v>
      </c>
      <c r="Y147" s="607">
        <f>IFERROR(Y145/H145,"0")+IFERROR(Y146/H146,"0")</f>
        <v>25</v>
      </c>
      <c r="Z147" s="607">
        <f>IFERROR(IF(Z145="",0,Z145),"0")+IFERROR(IF(Z146="",0,Z146),"0")</f>
        <v>0.16275000000000001</v>
      </c>
      <c r="AA147" s="608"/>
      <c r="AB147" s="608"/>
      <c r="AC147" s="608"/>
    </row>
    <row r="148" spans="1:68" x14ac:dyDescent="0.2">
      <c r="A148" s="615"/>
      <c r="B148" s="615"/>
      <c r="C148" s="615"/>
      <c r="D148" s="615"/>
      <c r="E148" s="615"/>
      <c r="F148" s="615"/>
      <c r="G148" s="615"/>
      <c r="H148" s="615"/>
      <c r="I148" s="615"/>
      <c r="J148" s="615"/>
      <c r="K148" s="615"/>
      <c r="L148" s="615"/>
      <c r="M148" s="615"/>
      <c r="N148" s="615"/>
      <c r="O148" s="620"/>
      <c r="P148" s="622" t="s">
        <v>72</v>
      </c>
      <c r="Q148" s="623"/>
      <c r="R148" s="623"/>
      <c r="S148" s="623"/>
      <c r="T148" s="623"/>
      <c r="U148" s="623"/>
      <c r="V148" s="624"/>
      <c r="W148" s="37" t="s">
        <v>67</v>
      </c>
      <c r="X148" s="607">
        <f>IFERROR(SUM(X145:X146),"0")</f>
        <v>65</v>
      </c>
      <c r="Y148" s="607">
        <f>IFERROR(SUM(Y145:Y146),"0")</f>
        <v>66</v>
      </c>
      <c r="Z148" s="37"/>
      <c r="AA148" s="608"/>
      <c r="AB148" s="608"/>
      <c r="AC148" s="608"/>
    </row>
    <row r="149" spans="1:68" ht="16.5" customHeight="1" x14ac:dyDescent="0.25">
      <c r="A149" s="648" t="s">
        <v>257</v>
      </c>
      <c r="B149" s="615"/>
      <c r="C149" s="615"/>
      <c r="D149" s="615"/>
      <c r="E149" s="615"/>
      <c r="F149" s="615"/>
      <c r="G149" s="615"/>
      <c r="H149" s="615"/>
      <c r="I149" s="615"/>
      <c r="J149" s="615"/>
      <c r="K149" s="615"/>
      <c r="L149" s="615"/>
      <c r="M149" s="615"/>
      <c r="N149" s="615"/>
      <c r="O149" s="615"/>
      <c r="P149" s="615"/>
      <c r="Q149" s="615"/>
      <c r="R149" s="615"/>
      <c r="S149" s="615"/>
      <c r="T149" s="615"/>
      <c r="U149" s="615"/>
      <c r="V149" s="615"/>
      <c r="W149" s="615"/>
      <c r="X149" s="615"/>
      <c r="Y149" s="615"/>
      <c r="Z149" s="615"/>
      <c r="AA149" s="600"/>
      <c r="AB149" s="600"/>
      <c r="AC149" s="600"/>
    </row>
    <row r="150" spans="1:68" ht="14.25" customHeight="1" x14ac:dyDescent="0.25">
      <c r="A150" s="614" t="s">
        <v>74</v>
      </c>
      <c r="B150" s="615"/>
      <c r="C150" s="615"/>
      <c r="D150" s="615"/>
      <c r="E150" s="615"/>
      <c r="F150" s="615"/>
      <c r="G150" s="615"/>
      <c r="H150" s="615"/>
      <c r="I150" s="615"/>
      <c r="J150" s="615"/>
      <c r="K150" s="615"/>
      <c r="L150" s="615"/>
      <c r="M150" s="615"/>
      <c r="N150" s="615"/>
      <c r="O150" s="615"/>
      <c r="P150" s="615"/>
      <c r="Q150" s="615"/>
      <c r="R150" s="615"/>
      <c r="S150" s="615"/>
      <c r="T150" s="615"/>
      <c r="U150" s="615"/>
      <c r="V150" s="615"/>
      <c r="W150" s="615"/>
      <c r="X150" s="615"/>
      <c r="Y150" s="615"/>
      <c r="Z150" s="615"/>
      <c r="AA150" s="601"/>
      <c r="AB150" s="601"/>
      <c r="AC150" s="601"/>
    </row>
    <row r="151" spans="1:68" ht="27" customHeight="1" x14ac:dyDescent="0.25">
      <c r="A151" s="54" t="s">
        <v>258</v>
      </c>
      <c r="B151" s="54" t="s">
        <v>259</v>
      </c>
      <c r="C151" s="31">
        <v>4301052174</v>
      </c>
      <c r="D151" s="609">
        <v>4680115888203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4301052172</v>
      </c>
      <c r="D152" s="609">
        <v>4680115888180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4301052173</v>
      </c>
      <c r="D153" s="609">
        <v>4680115888197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267</v>
      </c>
      <c r="B154" s="54" t="s">
        <v>268</v>
      </c>
      <c r="C154" s="31">
        <v>4301052175</v>
      </c>
      <c r="D154" s="609">
        <v>4680115888210</v>
      </c>
      <c r="E154" s="61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619"/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20"/>
      <c r="P155" s="622" t="s">
        <v>72</v>
      </c>
      <c r="Q155" s="623"/>
      <c r="R155" s="623"/>
      <c r="S155" s="623"/>
      <c r="T155" s="623"/>
      <c r="U155" s="623"/>
      <c r="V155" s="624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x14ac:dyDescent="0.2">
      <c r="A156" s="615"/>
      <c r="B156" s="615"/>
      <c r="C156" s="615"/>
      <c r="D156" s="615"/>
      <c r="E156" s="615"/>
      <c r="F156" s="615"/>
      <c r="G156" s="615"/>
      <c r="H156" s="615"/>
      <c r="I156" s="615"/>
      <c r="J156" s="615"/>
      <c r="K156" s="615"/>
      <c r="L156" s="615"/>
      <c r="M156" s="615"/>
      <c r="N156" s="615"/>
      <c r="O156" s="620"/>
      <c r="P156" s="622" t="s">
        <v>72</v>
      </c>
      <c r="Q156" s="623"/>
      <c r="R156" s="623"/>
      <c r="S156" s="623"/>
      <c r="T156" s="623"/>
      <c r="U156" s="623"/>
      <c r="V156" s="624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customHeight="1" x14ac:dyDescent="0.25">
      <c r="A157" s="648" t="s">
        <v>119</v>
      </c>
      <c r="B157" s="615"/>
      <c r="C157" s="615"/>
      <c r="D157" s="615"/>
      <c r="E157" s="615"/>
      <c r="F157" s="615"/>
      <c r="G157" s="615"/>
      <c r="H157" s="615"/>
      <c r="I157" s="615"/>
      <c r="J157" s="615"/>
      <c r="K157" s="615"/>
      <c r="L157" s="615"/>
      <c r="M157" s="615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615"/>
      <c r="Y157" s="615"/>
      <c r="Z157" s="615"/>
      <c r="AA157" s="600"/>
      <c r="AB157" s="600"/>
      <c r="AC157" s="600"/>
    </row>
    <row r="158" spans="1:68" ht="14.25" customHeight="1" x14ac:dyDescent="0.25">
      <c r="A158" s="614" t="s">
        <v>121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01"/>
      <c r="AB158" s="601"/>
      <c r="AC158" s="601"/>
    </row>
    <row r="159" spans="1:68" ht="27" customHeight="1" x14ac:dyDescent="0.25">
      <c r="A159" s="54" t="s">
        <v>270</v>
      </c>
      <c r="B159" s="54" t="s">
        <v>271</v>
      </c>
      <c r="C159" s="31">
        <v>4301012244</v>
      </c>
      <c r="D159" s="609">
        <v>4680115887374</v>
      </c>
      <c r="E159" s="61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8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4</v>
      </c>
      <c r="Y159" s="606">
        <f>IFERROR(IF(X159="",0,CEILING((X159/$H159),1)*$H159),"")</f>
        <v>12.8</v>
      </c>
      <c r="Z159" s="36">
        <f>IFERROR(IF(Y159=0,"",ROUNDUP(Y159/H159,0)*0.01898),"")</f>
        <v>1.898E-2</v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4.1281249999999998</v>
      </c>
      <c r="BN159" s="64">
        <f>IFERROR(Y159*I159/H159,"0")</f>
        <v>13.21</v>
      </c>
      <c r="BO159" s="64">
        <f>IFERROR(1/J159*(X159/H159),"0")</f>
        <v>4.8828125E-3</v>
      </c>
      <c r="BP159" s="64">
        <f>IFERROR(1/J159*(Y159/H159),"0")</f>
        <v>1.5625E-2</v>
      </c>
    </row>
    <row r="160" spans="1:68" ht="27" customHeight="1" x14ac:dyDescent="0.25">
      <c r="A160" s="54" t="s">
        <v>273</v>
      </c>
      <c r="B160" s="54" t="s">
        <v>274</v>
      </c>
      <c r="C160" s="31">
        <v>4301011705</v>
      </c>
      <c r="D160" s="609">
        <v>4607091384604</v>
      </c>
      <c r="E160" s="61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19"/>
      <c r="B161" s="615"/>
      <c r="C161" s="615"/>
      <c r="D161" s="615"/>
      <c r="E161" s="615"/>
      <c r="F161" s="615"/>
      <c r="G161" s="615"/>
      <c r="H161" s="615"/>
      <c r="I161" s="615"/>
      <c r="J161" s="615"/>
      <c r="K161" s="615"/>
      <c r="L161" s="615"/>
      <c r="M161" s="615"/>
      <c r="N161" s="615"/>
      <c r="O161" s="620"/>
      <c r="P161" s="622" t="s">
        <v>72</v>
      </c>
      <c r="Q161" s="623"/>
      <c r="R161" s="623"/>
      <c r="S161" s="623"/>
      <c r="T161" s="623"/>
      <c r="U161" s="623"/>
      <c r="V161" s="624"/>
      <c r="W161" s="37" t="s">
        <v>73</v>
      </c>
      <c r="X161" s="607">
        <f>IFERROR(X159/H159,"0")+IFERROR(X160/H160,"0")</f>
        <v>0.3125</v>
      </c>
      <c r="Y161" s="607">
        <f>IFERROR(Y159/H159,"0")+IFERROR(Y160/H160,"0")</f>
        <v>1</v>
      </c>
      <c r="Z161" s="607">
        <f>IFERROR(IF(Z159="",0,Z159),"0")+IFERROR(IF(Z160="",0,Z160),"0")</f>
        <v>1.898E-2</v>
      </c>
      <c r="AA161" s="608"/>
      <c r="AB161" s="608"/>
      <c r="AC161" s="608"/>
    </row>
    <row r="162" spans="1:68" x14ac:dyDescent="0.2">
      <c r="A162" s="615"/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20"/>
      <c r="P162" s="622" t="s">
        <v>72</v>
      </c>
      <c r="Q162" s="623"/>
      <c r="R162" s="623"/>
      <c r="S162" s="623"/>
      <c r="T162" s="623"/>
      <c r="U162" s="623"/>
      <c r="V162" s="624"/>
      <c r="W162" s="37" t="s">
        <v>67</v>
      </c>
      <c r="X162" s="607">
        <f>IFERROR(SUM(X159:X160),"0")</f>
        <v>4</v>
      </c>
      <c r="Y162" s="607">
        <f>IFERROR(SUM(Y159:Y160),"0")</f>
        <v>12.8</v>
      </c>
      <c r="Z162" s="37"/>
      <c r="AA162" s="608"/>
      <c r="AB162" s="608"/>
      <c r="AC162" s="608"/>
    </row>
    <row r="163" spans="1:68" ht="14.25" customHeight="1" x14ac:dyDescent="0.25">
      <c r="A163" s="614" t="s">
        <v>156</v>
      </c>
      <c r="B163" s="615"/>
      <c r="C163" s="615"/>
      <c r="D163" s="615"/>
      <c r="E163" s="615"/>
      <c r="F163" s="615"/>
      <c r="G163" s="615"/>
      <c r="H163" s="615"/>
      <c r="I163" s="615"/>
      <c r="J163" s="615"/>
      <c r="K163" s="615"/>
      <c r="L163" s="615"/>
      <c r="M163" s="615"/>
      <c r="N163" s="615"/>
      <c r="O163" s="615"/>
      <c r="P163" s="615"/>
      <c r="Q163" s="615"/>
      <c r="R163" s="615"/>
      <c r="S163" s="615"/>
      <c r="T163" s="615"/>
      <c r="U163" s="615"/>
      <c r="V163" s="615"/>
      <c r="W163" s="615"/>
      <c r="X163" s="615"/>
      <c r="Y163" s="615"/>
      <c r="Z163" s="615"/>
      <c r="AA163" s="601"/>
      <c r="AB163" s="601"/>
      <c r="AC163" s="601"/>
    </row>
    <row r="164" spans="1:68" ht="16.5" customHeight="1" x14ac:dyDescent="0.25">
      <c r="A164" s="54" t="s">
        <v>276</v>
      </c>
      <c r="B164" s="54" t="s">
        <v>277</v>
      </c>
      <c r="C164" s="31">
        <v>4301020410</v>
      </c>
      <c r="D164" s="609">
        <v>4680115887695</v>
      </c>
      <c r="E164" s="61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86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19"/>
      <c r="B165" s="615"/>
      <c r="C165" s="615"/>
      <c r="D165" s="615"/>
      <c r="E165" s="615"/>
      <c r="F165" s="615"/>
      <c r="G165" s="615"/>
      <c r="H165" s="615"/>
      <c r="I165" s="615"/>
      <c r="J165" s="615"/>
      <c r="K165" s="615"/>
      <c r="L165" s="615"/>
      <c r="M165" s="615"/>
      <c r="N165" s="615"/>
      <c r="O165" s="620"/>
      <c r="P165" s="622" t="s">
        <v>72</v>
      </c>
      <c r="Q165" s="623"/>
      <c r="R165" s="623"/>
      <c r="S165" s="623"/>
      <c r="T165" s="623"/>
      <c r="U165" s="623"/>
      <c r="V165" s="624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x14ac:dyDescent="0.2">
      <c r="A166" s="615"/>
      <c r="B166" s="615"/>
      <c r="C166" s="615"/>
      <c r="D166" s="615"/>
      <c r="E166" s="615"/>
      <c r="F166" s="615"/>
      <c r="G166" s="615"/>
      <c r="H166" s="615"/>
      <c r="I166" s="615"/>
      <c r="J166" s="615"/>
      <c r="K166" s="615"/>
      <c r="L166" s="615"/>
      <c r="M166" s="615"/>
      <c r="N166" s="615"/>
      <c r="O166" s="620"/>
      <c r="P166" s="622" t="s">
        <v>72</v>
      </c>
      <c r="Q166" s="623"/>
      <c r="R166" s="623"/>
      <c r="S166" s="623"/>
      <c r="T166" s="623"/>
      <c r="U166" s="623"/>
      <c r="V166" s="624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customHeight="1" x14ac:dyDescent="0.25">
      <c r="A167" s="614" t="s">
        <v>62</v>
      </c>
      <c r="B167" s="615"/>
      <c r="C167" s="615"/>
      <c r="D167" s="615"/>
      <c r="E167" s="615"/>
      <c r="F167" s="615"/>
      <c r="G167" s="615"/>
      <c r="H167" s="615"/>
      <c r="I167" s="615"/>
      <c r="J167" s="615"/>
      <c r="K167" s="615"/>
      <c r="L167" s="615"/>
      <c r="M167" s="615"/>
      <c r="N167" s="615"/>
      <c r="O167" s="615"/>
      <c r="P167" s="615"/>
      <c r="Q167" s="615"/>
      <c r="R167" s="615"/>
      <c r="S167" s="615"/>
      <c r="T167" s="615"/>
      <c r="U167" s="615"/>
      <c r="V167" s="615"/>
      <c r="W167" s="615"/>
      <c r="X167" s="615"/>
      <c r="Y167" s="615"/>
      <c r="Z167" s="615"/>
      <c r="AA167" s="601"/>
      <c r="AB167" s="601"/>
      <c r="AC167" s="601"/>
    </row>
    <row r="168" spans="1:68" ht="27" customHeight="1" x14ac:dyDescent="0.25">
      <c r="A168" s="54" t="s">
        <v>279</v>
      </c>
      <c r="B168" s="54" t="s">
        <v>280</v>
      </c>
      <c r="C168" s="31">
        <v>4301031496</v>
      </c>
      <c r="D168" s="609">
        <v>4680115887428</v>
      </c>
      <c r="E168" s="61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54</v>
      </c>
      <c r="Y168" s="606">
        <f t="shared" ref="Y168:Y178" si="21">IFERROR(IF(X168="",0,CEILING((X168/$H168),1)*$H168),"")</f>
        <v>56</v>
      </c>
      <c r="Z168" s="36">
        <f>IFERROR(IF(Y168=0,"",ROUNDUP(Y168/H168,0)*0.00902),"")</f>
        <v>0.14432</v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56.931428571428569</v>
      </c>
      <c r="BN168" s="64">
        <f t="shared" ref="BN168:BN178" si="23">IFERROR(Y168*I168/H168,"0")</f>
        <v>59.04</v>
      </c>
      <c r="BO168" s="64">
        <f t="shared" ref="BO168:BO178" si="24">IFERROR(1/J168*(X168/H168),"0")</f>
        <v>0.11688311688311689</v>
      </c>
      <c r="BP168" s="64">
        <f t="shared" ref="BP168:BP178" si="25">IFERROR(1/J168*(Y168/H168),"0")</f>
        <v>0.12121212121212122</v>
      </c>
    </row>
    <row r="169" spans="1:68" ht="27" customHeight="1" x14ac:dyDescent="0.25">
      <c r="A169" s="54" t="s">
        <v>282</v>
      </c>
      <c r="B169" s="54" t="s">
        <v>283</v>
      </c>
      <c r="C169" s="31">
        <v>4301030963</v>
      </c>
      <c r="D169" s="609">
        <v>4607091382426</v>
      </c>
      <c r="E169" s="61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4301031498</v>
      </c>
      <c r="D170" s="609">
        <v>4680115887398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4301031497</v>
      </c>
      <c r="D171" s="609">
        <v>4680115887336</v>
      </c>
      <c r="E171" s="61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8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60</v>
      </c>
      <c r="Y171" s="606">
        <f t="shared" si="21"/>
        <v>63</v>
      </c>
      <c r="Z171" s="36">
        <f>IFERROR(IF(Y171=0,"",ROUNDUP(Y171/H171,0)*0.00902),"")</f>
        <v>0.16236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63.25714285714286</v>
      </c>
      <c r="BN171" s="64">
        <f t="shared" si="23"/>
        <v>66.42</v>
      </c>
      <c r="BO171" s="64">
        <f t="shared" si="24"/>
        <v>0.12987012987012986</v>
      </c>
      <c r="BP171" s="64">
        <f t="shared" si="25"/>
        <v>0.13636363636363635</v>
      </c>
    </row>
    <row r="172" spans="1:68" ht="16.5" customHeight="1" x14ac:dyDescent="0.25">
      <c r="A172" s="54" t="s">
        <v>291</v>
      </c>
      <c r="B172" s="54" t="s">
        <v>292</v>
      </c>
      <c r="C172" s="31">
        <v>4301032049</v>
      </c>
      <c r="D172" s="609">
        <v>4680115887787</v>
      </c>
      <c r="E172" s="61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3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21"/>
        <v>0</v>
      </c>
      <c r="Z172" s="36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4301031448</v>
      </c>
      <c r="D173" s="609">
        <v>4680115887503</v>
      </c>
      <c r="E173" s="61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13</v>
      </c>
      <c r="Y173" s="606">
        <f t="shared" si="21"/>
        <v>13.44</v>
      </c>
      <c r="Z173" s="36">
        <f>IFERROR(IF(Y173=0,"",ROUNDUP(Y173/H173,0)*0.00502),"")</f>
        <v>4.0160000000000001E-2</v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13.773809523809526</v>
      </c>
      <c r="BN173" s="64">
        <f t="shared" si="23"/>
        <v>14.239999999999998</v>
      </c>
      <c r="BO173" s="64">
        <f t="shared" si="24"/>
        <v>3.3068783068783074E-2</v>
      </c>
      <c r="BP173" s="64">
        <f t="shared" si="25"/>
        <v>3.4188034188034191E-2</v>
      </c>
    </row>
    <row r="174" spans="1:68" ht="27" customHeight="1" x14ac:dyDescent="0.25">
      <c r="A174" s="54" t="s">
        <v>296</v>
      </c>
      <c r="B174" s="54" t="s">
        <v>297</v>
      </c>
      <c r="C174" s="31">
        <v>4301031389</v>
      </c>
      <c r="D174" s="609">
        <v>4680115887763</v>
      </c>
      <c r="E174" s="61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299</v>
      </c>
      <c r="C175" s="31">
        <v>4301031510</v>
      </c>
      <c r="D175" s="609">
        <v>4680115887763</v>
      </c>
      <c r="E175" s="61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4301031454</v>
      </c>
      <c r="D176" s="609">
        <v>4680115887480</v>
      </c>
      <c r="E176" s="61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7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21"/>
        <v>0</v>
      </c>
      <c r="Z176" s="36" t="str">
        <f>IFERROR(IF(Y176=0,"",ROUNDUP(Y176/H176,0)*0.00502),"")</f>
        <v/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4301031434</v>
      </c>
      <c r="D177" s="609">
        <v>4680115888067</v>
      </c>
      <c r="E177" s="61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4301031451</v>
      </c>
      <c r="D178" s="609">
        <v>4680115887435</v>
      </c>
      <c r="E178" s="61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22</v>
      </c>
      <c r="Y178" s="606">
        <f t="shared" si="21"/>
        <v>23.52</v>
      </c>
      <c r="Z178" s="36">
        <f>IFERROR(IF(Y178=0,"",ROUNDUP(Y178/H178,0)*0.00502),"")</f>
        <v>7.0280000000000009E-2</v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23.309523809523814</v>
      </c>
      <c r="BN178" s="64">
        <f t="shared" si="23"/>
        <v>24.92</v>
      </c>
      <c r="BO178" s="64">
        <f t="shared" si="24"/>
        <v>5.596255596255597E-2</v>
      </c>
      <c r="BP178" s="64">
        <f t="shared" si="25"/>
        <v>5.9829059829059839E-2</v>
      </c>
    </row>
    <row r="179" spans="1:68" x14ac:dyDescent="0.2">
      <c r="A179" s="619"/>
      <c r="B179" s="615"/>
      <c r="C179" s="615"/>
      <c r="D179" s="615"/>
      <c r="E179" s="615"/>
      <c r="F179" s="615"/>
      <c r="G179" s="615"/>
      <c r="H179" s="615"/>
      <c r="I179" s="615"/>
      <c r="J179" s="615"/>
      <c r="K179" s="615"/>
      <c r="L179" s="615"/>
      <c r="M179" s="615"/>
      <c r="N179" s="615"/>
      <c r="O179" s="620"/>
      <c r="P179" s="622" t="s">
        <v>72</v>
      </c>
      <c r="Q179" s="623"/>
      <c r="R179" s="623"/>
      <c r="S179" s="623"/>
      <c r="T179" s="623"/>
      <c r="U179" s="623"/>
      <c r="V179" s="624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53.404761904761905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56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0.41712000000000005</v>
      </c>
      <c r="AA179" s="608"/>
      <c r="AB179" s="608"/>
      <c r="AC179" s="608"/>
    </row>
    <row r="180" spans="1:68" x14ac:dyDescent="0.2">
      <c r="A180" s="615"/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20"/>
      <c r="P180" s="622" t="s">
        <v>72</v>
      </c>
      <c r="Q180" s="623"/>
      <c r="R180" s="623"/>
      <c r="S180" s="623"/>
      <c r="T180" s="623"/>
      <c r="U180" s="623"/>
      <c r="V180" s="624"/>
      <c r="W180" s="37" t="s">
        <v>67</v>
      </c>
      <c r="X180" s="607">
        <f>IFERROR(SUM(X168:X178),"0")</f>
        <v>149</v>
      </c>
      <c r="Y180" s="607">
        <f>IFERROR(SUM(Y168:Y178),"0")</f>
        <v>155.96</v>
      </c>
      <c r="Z180" s="37"/>
      <c r="AA180" s="608"/>
      <c r="AB180" s="608"/>
      <c r="AC180" s="608"/>
    </row>
    <row r="181" spans="1:68" ht="14.25" customHeight="1" x14ac:dyDescent="0.25">
      <c r="A181" s="614" t="s">
        <v>74</v>
      </c>
      <c r="B181" s="615"/>
      <c r="C181" s="615"/>
      <c r="D181" s="615"/>
      <c r="E181" s="615"/>
      <c r="F181" s="615"/>
      <c r="G181" s="615"/>
      <c r="H181" s="615"/>
      <c r="I181" s="615"/>
      <c r="J181" s="615"/>
      <c r="K181" s="615"/>
      <c r="L181" s="615"/>
      <c r="M181" s="615"/>
      <c r="N181" s="615"/>
      <c r="O181" s="615"/>
      <c r="P181" s="615"/>
      <c r="Q181" s="615"/>
      <c r="R181" s="615"/>
      <c r="S181" s="615"/>
      <c r="T181" s="615"/>
      <c r="U181" s="615"/>
      <c r="V181" s="615"/>
      <c r="W181" s="615"/>
      <c r="X181" s="615"/>
      <c r="Y181" s="615"/>
      <c r="Z181" s="615"/>
      <c r="AA181" s="601"/>
      <c r="AB181" s="601"/>
      <c r="AC181" s="601"/>
    </row>
    <row r="182" spans="1:68" ht="16.5" customHeight="1" x14ac:dyDescent="0.25">
      <c r="A182" s="54" t="s">
        <v>307</v>
      </c>
      <c r="B182" s="54" t="s">
        <v>308</v>
      </c>
      <c r="C182" s="31">
        <v>4301052193</v>
      </c>
      <c r="D182" s="609">
        <v>4680115888395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310</v>
      </c>
      <c r="B183" s="54" t="s">
        <v>311</v>
      </c>
      <c r="C183" s="31">
        <v>4301052191</v>
      </c>
      <c r="D183" s="609">
        <v>4680115888371</v>
      </c>
      <c r="E183" s="61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313</v>
      </c>
      <c r="B184" s="54" t="s">
        <v>314</v>
      </c>
      <c r="C184" s="31">
        <v>4301052064</v>
      </c>
      <c r="D184" s="609">
        <v>4680115887459</v>
      </c>
      <c r="E184" s="61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8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9"/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20"/>
      <c r="P185" s="622" t="s">
        <v>72</v>
      </c>
      <c r="Q185" s="623"/>
      <c r="R185" s="623"/>
      <c r="S185" s="623"/>
      <c r="T185" s="623"/>
      <c r="U185" s="623"/>
      <c r="V185" s="624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x14ac:dyDescent="0.2">
      <c r="A186" s="615"/>
      <c r="B186" s="615"/>
      <c r="C186" s="615"/>
      <c r="D186" s="615"/>
      <c r="E186" s="615"/>
      <c r="F186" s="615"/>
      <c r="G186" s="615"/>
      <c r="H186" s="615"/>
      <c r="I186" s="615"/>
      <c r="J186" s="615"/>
      <c r="K186" s="615"/>
      <c r="L186" s="615"/>
      <c r="M186" s="615"/>
      <c r="N186" s="615"/>
      <c r="O186" s="620"/>
      <c r="P186" s="622" t="s">
        <v>72</v>
      </c>
      <c r="Q186" s="623"/>
      <c r="R186" s="623"/>
      <c r="S186" s="623"/>
      <c r="T186" s="623"/>
      <c r="U186" s="623"/>
      <c r="V186" s="624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customHeight="1" x14ac:dyDescent="0.25">
      <c r="A187" s="614" t="s">
        <v>95</v>
      </c>
      <c r="B187" s="615"/>
      <c r="C187" s="615"/>
      <c r="D187" s="615"/>
      <c r="E187" s="615"/>
      <c r="F187" s="615"/>
      <c r="G187" s="615"/>
      <c r="H187" s="615"/>
      <c r="I187" s="615"/>
      <c r="J187" s="615"/>
      <c r="K187" s="615"/>
      <c r="L187" s="615"/>
      <c r="M187" s="615"/>
      <c r="N187" s="615"/>
      <c r="O187" s="615"/>
      <c r="P187" s="615"/>
      <c r="Q187" s="615"/>
      <c r="R187" s="615"/>
      <c r="S187" s="615"/>
      <c r="T187" s="615"/>
      <c r="U187" s="615"/>
      <c r="V187" s="615"/>
      <c r="W187" s="615"/>
      <c r="X187" s="615"/>
      <c r="Y187" s="615"/>
      <c r="Z187" s="615"/>
      <c r="AA187" s="601"/>
      <c r="AB187" s="601"/>
      <c r="AC187" s="601"/>
    </row>
    <row r="188" spans="1:68" ht="16.5" customHeight="1" x14ac:dyDescent="0.25">
      <c r="A188" s="54" t="s">
        <v>316</v>
      </c>
      <c r="B188" s="54" t="s">
        <v>317</v>
      </c>
      <c r="C188" s="31">
        <v>4301032058</v>
      </c>
      <c r="D188" s="609">
        <v>4680115889026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6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321</v>
      </c>
      <c r="B189" s="54" t="s">
        <v>322</v>
      </c>
      <c r="C189" s="31">
        <v>4301032057</v>
      </c>
      <c r="D189" s="609">
        <v>4680115889088</v>
      </c>
      <c r="E189" s="61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9"/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20"/>
      <c r="P190" s="622" t="s">
        <v>72</v>
      </c>
      <c r="Q190" s="623"/>
      <c r="R190" s="623"/>
      <c r="S190" s="623"/>
      <c r="T190" s="623"/>
      <c r="U190" s="623"/>
      <c r="V190" s="624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x14ac:dyDescent="0.2">
      <c r="A191" s="615"/>
      <c r="B191" s="615"/>
      <c r="C191" s="615"/>
      <c r="D191" s="615"/>
      <c r="E191" s="615"/>
      <c r="F191" s="615"/>
      <c r="G191" s="615"/>
      <c r="H191" s="615"/>
      <c r="I191" s="615"/>
      <c r="J191" s="615"/>
      <c r="K191" s="615"/>
      <c r="L191" s="615"/>
      <c r="M191" s="615"/>
      <c r="N191" s="615"/>
      <c r="O191" s="620"/>
      <c r="P191" s="622" t="s">
        <v>72</v>
      </c>
      <c r="Q191" s="623"/>
      <c r="R191" s="623"/>
      <c r="S191" s="623"/>
      <c r="T191" s="623"/>
      <c r="U191" s="623"/>
      <c r="V191" s="624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customHeight="1" x14ac:dyDescent="0.25">
      <c r="A192" s="614" t="s">
        <v>324</v>
      </c>
      <c r="B192" s="615"/>
      <c r="C192" s="615"/>
      <c r="D192" s="615"/>
      <c r="E192" s="615"/>
      <c r="F192" s="615"/>
      <c r="G192" s="615"/>
      <c r="H192" s="615"/>
      <c r="I192" s="615"/>
      <c r="J192" s="615"/>
      <c r="K192" s="615"/>
      <c r="L192" s="615"/>
      <c r="M192" s="615"/>
      <c r="N192" s="615"/>
      <c r="O192" s="615"/>
      <c r="P192" s="615"/>
      <c r="Q192" s="615"/>
      <c r="R192" s="615"/>
      <c r="S192" s="615"/>
      <c r="T192" s="615"/>
      <c r="U192" s="615"/>
      <c r="V192" s="615"/>
      <c r="W192" s="615"/>
      <c r="X192" s="615"/>
      <c r="Y192" s="615"/>
      <c r="Z192" s="615"/>
      <c r="AA192" s="601"/>
      <c r="AB192" s="601"/>
      <c r="AC192" s="601"/>
    </row>
    <row r="193" spans="1:68" ht="27" customHeight="1" x14ac:dyDescent="0.25">
      <c r="A193" s="54" t="s">
        <v>325</v>
      </c>
      <c r="B193" s="54" t="s">
        <v>326</v>
      </c>
      <c r="C193" s="31">
        <v>4301041009</v>
      </c>
      <c r="D193" s="609">
        <v>4680115889033</v>
      </c>
      <c r="E193" s="61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9"/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20"/>
      <c r="P194" s="622" t="s">
        <v>72</v>
      </c>
      <c r="Q194" s="623"/>
      <c r="R194" s="623"/>
      <c r="S194" s="623"/>
      <c r="T194" s="623"/>
      <c r="U194" s="623"/>
      <c r="V194" s="624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x14ac:dyDescent="0.2">
      <c r="A195" s="615"/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20"/>
      <c r="P195" s="622" t="s">
        <v>72</v>
      </c>
      <c r="Q195" s="623"/>
      <c r="R195" s="623"/>
      <c r="S195" s="623"/>
      <c r="T195" s="623"/>
      <c r="U195" s="623"/>
      <c r="V195" s="624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customHeight="1" x14ac:dyDescent="0.2">
      <c r="A196" s="627" t="s">
        <v>328</v>
      </c>
      <c r="B196" s="628"/>
      <c r="C196" s="628"/>
      <c r="D196" s="628"/>
      <c r="E196" s="628"/>
      <c r="F196" s="628"/>
      <c r="G196" s="628"/>
      <c r="H196" s="628"/>
      <c r="I196" s="628"/>
      <c r="J196" s="628"/>
      <c r="K196" s="628"/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/>
      <c r="AA196" s="48"/>
      <c r="AB196" s="48"/>
      <c r="AC196" s="48"/>
    </row>
    <row r="197" spans="1:68" ht="16.5" customHeight="1" x14ac:dyDescent="0.25">
      <c r="A197" s="648" t="s">
        <v>329</v>
      </c>
      <c r="B197" s="615"/>
      <c r="C197" s="615"/>
      <c r="D197" s="615"/>
      <c r="E197" s="615"/>
      <c r="F197" s="615"/>
      <c r="G197" s="615"/>
      <c r="H197" s="615"/>
      <c r="I197" s="615"/>
      <c r="J197" s="615"/>
      <c r="K197" s="615"/>
      <c r="L197" s="615"/>
      <c r="M197" s="615"/>
      <c r="N197" s="615"/>
      <c r="O197" s="615"/>
      <c r="P197" s="615"/>
      <c r="Q197" s="615"/>
      <c r="R197" s="615"/>
      <c r="S197" s="615"/>
      <c r="T197" s="615"/>
      <c r="U197" s="615"/>
      <c r="V197" s="615"/>
      <c r="W197" s="615"/>
      <c r="X197" s="615"/>
      <c r="Y197" s="615"/>
      <c r="Z197" s="615"/>
      <c r="AA197" s="600"/>
      <c r="AB197" s="600"/>
      <c r="AC197" s="600"/>
    </row>
    <row r="198" spans="1:68" ht="14.25" customHeight="1" x14ac:dyDescent="0.25">
      <c r="A198" s="614" t="s">
        <v>121</v>
      </c>
      <c r="B198" s="615"/>
      <c r="C198" s="615"/>
      <c r="D198" s="615"/>
      <c r="E198" s="615"/>
      <c r="F198" s="615"/>
      <c r="G198" s="615"/>
      <c r="H198" s="615"/>
      <c r="I198" s="615"/>
      <c r="J198" s="615"/>
      <c r="K198" s="615"/>
      <c r="L198" s="615"/>
      <c r="M198" s="615"/>
      <c r="N198" s="615"/>
      <c r="O198" s="615"/>
      <c r="P198" s="615"/>
      <c r="Q198" s="615"/>
      <c r="R198" s="615"/>
      <c r="S198" s="615"/>
      <c r="T198" s="615"/>
      <c r="U198" s="615"/>
      <c r="V198" s="615"/>
      <c r="W198" s="615"/>
      <c r="X198" s="615"/>
      <c r="Y198" s="615"/>
      <c r="Z198" s="615"/>
      <c r="AA198" s="601"/>
      <c r="AB198" s="601"/>
      <c r="AC198" s="601"/>
    </row>
    <row r="199" spans="1:68" ht="27" customHeight="1" x14ac:dyDescent="0.25">
      <c r="A199" s="54" t="s">
        <v>330</v>
      </c>
      <c r="B199" s="54" t="s">
        <v>331</v>
      </c>
      <c r="C199" s="31">
        <v>4301012340</v>
      </c>
      <c r="D199" s="609">
        <v>4680115888760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4301012341</v>
      </c>
      <c r="D200" s="609">
        <v>4680115888807</v>
      </c>
      <c r="E200" s="61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4301012342</v>
      </c>
      <c r="D201" s="609">
        <v>4680115888852</v>
      </c>
      <c r="E201" s="61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customHeight="1" x14ac:dyDescent="0.25">
      <c r="A202" s="54" t="s">
        <v>339</v>
      </c>
      <c r="B202" s="54" t="s">
        <v>340</v>
      </c>
      <c r="C202" s="31">
        <v>4301011223</v>
      </c>
      <c r="D202" s="609">
        <v>4607091383423</v>
      </c>
      <c r="E202" s="61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customHeight="1" x14ac:dyDescent="0.25">
      <c r="A203" s="54" t="s">
        <v>341</v>
      </c>
      <c r="B203" s="54" t="s">
        <v>342</v>
      </c>
      <c r="C203" s="31">
        <v>4301012370</v>
      </c>
      <c r="D203" s="609">
        <v>4680115886957</v>
      </c>
      <c r="E203" s="61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4301012098</v>
      </c>
      <c r="D204" s="609">
        <v>4680115885660</v>
      </c>
      <c r="E204" s="61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4301012369</v>
      </c>
      <c r="D205" s="609">
        <v>4680115886773</v>
      </c>
      <c r="E205" s="61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x14ac:dyDescent="0.2">
      <c r="A206" s="619"/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20"/>
      <c r="P206" s="622" t="s">
        <v>72</v>
      </c>
      <c r="Q206" s="623"/>
      <c r="R206" s="623"/>
      <c r="S206" s="623"/>
      <c r="T206" s="623"/>
      <c r="U206" s="623"/>
      <c r="V206" s="624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x14ac:dyDescent="0.2">
      <c r="A207" s="615"/>
      <c r="B207" s="615"/>
      <c r="C207" s="615"/>
      <c r="D207" s="615"/>
      <c r="E207" s="615"/>
      <c r="F207" s="615"/>
      <c r="G207" s="615"/>
      <c r="H207" s="615"/>
      <c r="I207" s="615"/>
      <c r="J207" s="615"/>
      <c r="K207" s="615"/>
      <c r="L207" s="615"/>
      <c r="M207" s="615"/>
      <c r="N207" s="615"/>
      <c r="O207" s="620"/>
      <c r="P207" s="622" t="s">
        <v>72</v>
      </c>
      <c r="Q207" s="623"/>
      <c r="R207" s="623"/>
      <c r="S207" s="623"/>
      <c r="T207" s="623"/>
      <c r="U207" s="623"/>
      <c r="V207" s="624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customHeight="1" x14ac:dyDescent="0.25">
      <c r="A208" s="648" t="s">
        <v>350</v>
      </c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5"/>
      <c r="P208" s="615"/>
      <c r="Q208" s="615"/>
      <c r="R208" s="615"/>
      <c r="S208" s="615"/>
      <c r="T208" s="615"/>
      <c r="U208" s="615"/>
      <c r="V208" s="615"/>
      <c r="W208" s="615"/>
      <c r="X208" s="615"/>
      <c r="Y208" s="615"/>
      <c r="Z208" s="615"/>
      <c r="AA208" s="600"/>
      <c r="AB208" s="600"/>
      <c r="AC208" s="600"/>
    </row>
    <row r="209" spans="1:68" ht="14.25" customHeight="1" x14ac:dyDescent="0.25">
      <c r="A209" s="614" t="s">
        <v>156</v>
      </c>
      <c r="B209" s="615"/>
      <c r="C209" s="615"/>
      <c r="D209" s="615"/>
      <c r="E209" s="615"/>
      <c r="F209" s="615"/>
      <c r="G209" s="615"/>
      <c r="H209" s="615"/>
      <c r="I209" s="615"/>
      <c r="J209" s="615"/>
      <c r="K209" s="615"/>
      <c r="L209" s="615"/>
      <c r="M209" s="615"/>
      <c r="N209" s="615"/>
      <c r="O209" s="615"/>
      <c r="P209" s="615"/>
      <c r="Q209" s="615"/>
      <c r="R209" s="615"/>
      <c r="S209" s="615"/>
      <c r="T209" s="615"/>
      <c r="U209" s="615"/>
      <c r="V209" s="615"/>
      <c r="W209" s="615"/>
      <c r="X209" s="615"/>
      <c r="Y209" s="615"/>
      <c r="Z209" s="615"/>
      <c r="AA209" s="601"/>
      <c r="AB209" s="601"/>
      <c r="AC209" s="601"/>
    </row>
    <row r="210" spans="1:68" ht="27" customHeight="1" x14ac:dyDescent="0.25">
      <c r="A210" s="54" t="s">
        <v>351</v>
      </c>
      <c r="B210" s="54" t="s">
        <v>352</v>
      </c>
      <c r="C210" s="31">
        <v>4301020323</v>
      </c>
      <c r="D210" s="609">
        <v>4680115886223</v>
      </c>
      <c r="E210" s="61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x14ac:dyDescent="0.2">
      <c r="A211" s="619"/>
      <c r="B211" s="615"/>
      <c r="C211" s="615"/>
      <c r="D211" s="615"/>
      <c r="E211" s="615"/>
      <c r="F211" s="615"/>
      <c r="G211" s="615"/>
      <c r="H211" s="615"/>
      <c r="I211" s="615"/>
      <c r="J211" s="615"/>
      <c r="K211" s="615"/>
      <c r="L211" s="615"/>
      <c r="M211" s="615"/>
      <c r="N211" s="615"/>
      <c r="O211" s="620"/>
      <c r="P211" s="622" t="s">
        <v>72</v>
      </c>
      <c r="Q211" s="623"/>
      <c r="R211" s="623"/>
      <c r="S211" s="623"/>
      <c r="T211" s="623"/>
      <c r="U211" s="623"/>
      <c r="V211" s="624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x14ac:dyDescent="0.2">
      <c r="A212" s="615"/>
      <c r="B212" s="615"/>
      <c r="C212" s="615"/>
      <c r="D212" s="615"/>
      <c r="E212" s="615"/>
      <c r="F212" s="615"/>
      <c r="G212" s="615"/>
      <c r="H212" s="615"/>
      <c r="I212" s="615"/>
      <c r="J212" s="615"/>
      <c r="K212" s="615"/>
      <c r="L212" s="615"/>
      <c r="M212" s="615"/>
      <c r="N212" s="615"/>
      <c r="O212" s="620"/>
      <c r="P212" s="622" t="s">
        <v>72</v>
      </c>
      <c r="Q212" s="623"/>
      <c r="R212" s="623"/>
      <c r="S212" s="623"/>
      <c r="T212" s="623"/>
      <c r="U212" s="623"/>
      <c r="V212" s="624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customHeight="1" x14ac:dyDescent="0.25">
      <c r="A213" s="614" t="s">
        <v>62</v>
      </c>
      <c r="B213" s="615"/>
      <c r="C213" s="615"/>
      <c r="D213" s="615"/>
      <c r="E213" s="615"/>
      <c r="F213" s="615"/>
      <c r="G213" s="615"/>
      <c r="H213" s="615"/>
      <c r="I213" s="615"/>
      <c r="J213" s="615"/>
      <c r="K213" s="615"/>
      <c r="L213" s="615"/>
      <c r="M213" s="615"/>
      <c r="N213" s="615"/>
      <c r="O213" s="615"/>
      <c r="P213" s="615"/>
      <c r="Q213" s="615"/>
      <c r="R213" s="615"/>
      <c r="S213" s="615"/>
      <c r="T213" s="615"/>
      <c r="U213" s="615"/>
      <c r="V213" s="615"/>
      <c r="W213" s="615"/>
      <c r="X213" s="615"/>
      <c r="Y213" s="615"/>
      <c r="Z213" s="615"/>
      <c r="AA213" s="601"/>
      <c r="AB213" s="601"/>
      <c r="AC213" s="601"/>
    </row>
    <row r="214" spans="1:68" ht="27" customHeight="1" x14ac:dyDescent="0.25">
      <c r="A214" s="54" t="s">
        <v>354</v>
      </c>
      <c r="B214" s="54" t="s">
        <v>355</v>
      </c>
      <c r="C214" s="31">
        <v>4301031191</v>
      </c>
      <c r="D214" s="609">
        <v>4680115880993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4301031204</v>
      </c>
      <c r="D215" s="609">
        <v>4680115881761</v>
      </c>
      <c r="E215" s="61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4301031201</v>
      </c>
      <c r="D216" s="609">
        <v>4680115881563</v>
      </c>
      <c r="E216" s="61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32"/>
        <v>0</v>
      </c>
      <c r="Z216" s="36" t="str">
        <f>IFERROR(IF(Y216=0,"",ROUNDUP(Y216/H216,0)*0.00902),"")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37.5" customHeight="1" x14ac:dyDescent="0.25">
      <c r="A217" s="54" t="s">
        <v>363</v>
      </c>
      <c r="B217" s="54" t="s">
        <v>364</v>
      </c>
      <c r="C217" s="31">
        <v>4301031447</v>
      </c>
      <c r="D217" s="609">
        <v>4680115887565</v>
      </c>
      <c r="E217" s="61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17</v>
      </c>
      <c r="Y217" s="606">
        <f t="shared" si="32"/>
        <v>17.600000000000001</v>
      </c>
      <c r="Z217" s="36">
        <f>IFERROR(IF(Y217=0,"",ROUNDUP(Y217/H217,0)*0.00556),"")</f>
        <v>0.12232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19.762499999999999</v>
      </c>
      <c r="BN217" s="64">
        <f t="shared" si="34"/>
        <v>20.46</v>
      </c>
      <c r="BO217" s="64">
        <f t="shared" si="35"/>
        <v>8.4325396825396817E-2</v>
      </c>
      <c r="BP217" s="64">
        <f t="shared" si="36"/>
        <v>8.7301587301587297E-2</v>
      </c>
    </row>
    <row r="218" spans="1:68" ht="27" customHeight="1" x14ac:dyDescent="0.25">
      <c r="A218" s="54" t="s">
        <v>366</v>
      </c>
      <c r="B218" s="54" t="s">
        <v>367</v>
      </c>
      <c r="C218" s="31">
        <v>4301031199</v>
      </c>
      <c r="D218" s="609">
        <v>4680115880986</v>
      </c>
      <c r="E218" s="61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11</v>
      </c>
      <c r="Y218" s="606">
        <f t="shared" si="32"/>
        <v>12.600000000000001</v>
      </c>
      <c r="Z218" s="36">
        <f t="shared" ref="Z218:Z223" si="37">IFERROR(IF(Y218=0,"",ROUNDUP(Y218/H218,0)*0.00502),"")</f>
        <v>3.0120000000000001E-2</v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11.68095238095238</v>
      </c>
      <c r="BN218" s="64">
        <f t="shared" si="34"/>
        <v>13.38</v>
      </c>
      <c r="BO218" s="64">
        <f t="shared" si="35"/>
        <v>2.2385022385022386E-2</v>
      </c>
      <c r="BP218" s="64">
        <f t="shared" si="36"/>
        <v>2.5641025641025644E-2</v>
      </c>
    </row>
    <row r="219" spans="1:68" ht="27" customHeight="1" x14ac:dyDescent="0.25">
      <c r="A219" s="54" t="s">
        <v>368</v>
      </c>
      <c r="B219" s="54" t="s">
        <v>369</v>
      </c>
      <c r="C219" s="31">
        <v>4301031443</v>
      </c>
      <c r="D219" s="609">
        <v>4680115887213</v>
      </c>
      <c r="E219" s="61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5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4301031205</v>
      </c>
      <c r="D220" s="609">
        <v>4680115881785</v>
      </c>
      <c r="E220" s="61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4301031499</v>
      </c>
      <c r="D221" s="609">
        <v>4680115888432</v>
      </c>
      <c r="E221" s="61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4301031427</v>
      </c>
      <c r="D222" s="609">
        <v>4680115888104</v>
      </c>
      <c r="E222" s="61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4301031399</v>
      </c>
      <c r="D223" s="609">
        <v>4680115886537</v>
      </c>
      <c r="E223" s="61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1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17</v>
      </c>
      <c r="Y223" s="606">
        <f t="shared" si="32"/>
        <v>18</v>
      </c>
      <c r="Z223" s="36">
        <f t="shared" si="37"/>
        <v>5.0200000000000002E-2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18.227777777777778</v>
      </c>
      <c r="BN223" s="64">
        <f t="shared" si="34"/>
        <v>19.3</v>
      </c>
      <c r="BO223" s="64">
        <f t="shared" si="35"/>
        <v>4.0360873694207031E-2</v>
      </c>
      <c r="BP223" s="64">
        <f t="shared" si="36"/>
        <v>4.2735042735042736E-2</v>
      </c>
    </row>
    <row r="224" spans="1:68" ht="27" customHeight="1" x14ac:dyDescent="0.25">
      <c r="A224" s="54" t="s">
        <v>382</v>
      </c>
      <c r="B224" s="54" t="s">
        <v>383</v>
      </c>
      <c r="C224" s="31">
        <v>4301031279</v>
      </c>
      <c r="D224" s="609">
        <v>4680115887596</v>
      </c>
      <c r="E224" s="61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13</v>
      </c>
      <c r="Y224" s="606">
        <f t="shared" si="32"/>
        <v>13.600000000000001</v>
      </c>
      <c r="Z224" s="36">
        <f>IFERROR(IF(Y224=0,"",ROUNDUP(Y224/H224,0)*0.00417),"")</f>
        <v>7.0890000000000009E-2</v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16.412500000000001</v>
      </c>
      <c r="BN224" s="64">
        <f t="shared" si="34"/>
        <v>17.170000000000002</v>
      </c>
      <c r="BO224" s="64">
        <f t="shared" si="35"/>
        <v>4.8363095238095233E-2</v>
      </c>
      <c r="BP224" s="64">
        <f t="shared" si="36"/>
        <v>5.0595238095238096E-2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09">
        <v>4680115881679</v>
      </c>
      <c r="E225" s="61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31</v>
      </c>
      <c r="Y225" s="606">
        <f t="shared" si="32"/>
        <v>31.5</v>
      </c>
      <c r="Z225" s="36">
        <f>IFERROR(IF(Y225=0,"",ROUNDUP(Y225/H225,0)*0.00502),"")</f>
        <v>7.5300000000000006E-2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32.476190476190474</v>
      </c>
      <c r="BN225" s="64">
        <f t="shared" si="34"/>
        <v>33.000000000000007</v>
      </c>
      <c r="BO225" s="64">
        <f t="shared" si="35"/>
        <v>6.3085063085063092E-2</v>
      </c>
      <c r="BP225" s="64">
        <f t="shared" si="36"/>
        <v>6.4102564102564111E-2</v>
      </c>
    </row>
    <row r="226" spans="1:68" ht="27" customHeight="1" x14ac:dyDescent="0.25">
      <c r="A226" s="54" t="s">
        <v>387</v>
      </c>
      <c r="B226" s="54" t="s">
        <v>388</v>
      </c>
      <c r="C226" s="31">
        <v>4301031158</v>
      </c>
      <c r="D226" s="609">
        <v>4680115880191</v>
      </c>
      <c r="E226" s="61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389</v>
      </c>
      <c r="B227" s="54" t="s">
        <v>390</v>
      </c>
      <c r="C227" s="31">
        <v>4301031245</v>
      </c>
      <c r="D227" s="609">
        <v>4680115883963</v>
      </c>
      <c r="E227" s="61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9"/>
      <c r="B228" s="615"/>
      <c r="C228" s="615"/>
      <c r="D228" s="615"/>
      <c r="E228" s="615"/>
      <c r="F228" s="615"/>
      <c r="G228" s="615"/>
      <c r="H228" s="615"/>
      <c r="I228" s="615"/>
      <c r="J228" s="615"/>
      <c r="K228" s="615"/>
      <c r="L228" s="615"/>
      <c r="M228" s="615"/>
      <c r="N228" s="615"/>
      <c r="O228" s="620"/>
      <c r="P228" s="622" t="s">
        <v>72</v>
      </c>
      <c r="Q228" s="623"/>
      <c r="R228" s="623"/>
      <c r="S228" s="623"/>
      <c r="T228" s="623"/>
      <c r="U228" s="623"/>
      <c r="V228" s="624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66.944444444444443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70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0.34882999999999997</v>
      </c>
      <c r="AA228" s="608"/>
      <c r="AB228" s="608"/>
      <c r="AC228" s="608"/>
    </row>
    <row r="229" spans="1:68" x14ac:dyDescent="0.2">
      <c r="A229" s="615"/>
      <c r="B229" s="615"/>
      <c r="C229" s="615"/>
      <c r="D229" s="615"/>
      <c r="E229" s="615"/>
      <c r="F229" s="615"/>
      <c r="G229" s="615"/>
      <c r="H229" s="615"/>
      <c r="I229" s="615"/>
      <c r="J229" s="615"/>
      <c r="K229" s="615"/>
      <c r="L229" s="615"/>
      <c r="M229" s="615"/>
      <c r="N229" s="615"/>
      <c r="O229" s="620"/>
      <c r="P229" s="622" t="s">
        <v>72</v>
      </c>
      <c r="Q229" s="623"/>
      <c r="R229" s="623"/>
      <c r="S229" s="623"/>
      <c r="T229" s="623"/>
      <c r="U229" s="623"/>
      <c r="V229" s="624"/>
      <c r="W229" s="37" t="s">
        <v>67</v>
      </c>
      <c r="X229" s="607">
        <f>IFERROR(SUM(X214:X227),"0")</f>
        <v>89</v>
      </c>
      <c r="Y229" s="607">
        <f>IFERROR(SUM(Y214:Y227),"0")</f>
        <v>93.300000000000011</v>
      </c>
      <c r="Z229" s="37"/>
      <c r="AA229" s="608"/>
      <c r="AB229" s="608"/>
      <c r="AC229" s="608"/>
    </row>
    <row r="230" spans="1:68" ht="14.25" customHeight="1" x14ac:dyDescent="0.25">
      <c r="A230" s="614" t="s">
        <v>74</v>
      </c>
      <c r="B230" s="615"/>
      <c r="C230" s="615"/>
      <c r="D230" s="615"/>
      <c r="E230" s="615"/>
      <c r="F230" s="615"/>
      <c r="G230" s="615"/>
      <c r="H230" s="615"/>
      <c r="I230" s="615"/>
      <c r="J230" s="615"/>
      <c r="K230" s="615"/>
      <c r="L230" s="615"/>
      <c r="M230" s="615"/>
      <c r="N230" s="615"/>
      <c r="O230" s="615"/>
      <c r="P230" s="615"/>
      <c r="Q230" s="615"/>
      <c r="R230" s="615"/>
      <c r="S230" s="615"/>
      <c r="T230" s="615"/>
      <c r="U230" s="615"/>
      <c r="V230" s="615"/>
      <c r="W230" s="615"/>
      <c r="X230" s="615"/>
      <c r="Y230" s="615"/>
      <c r="Z230" s="615"/>
      <c r="AA230" s="601"/>
      <c r="AB230" s="601"/>
      <c r="AC230" s="601"/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0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19"/>
      <c r="B235" s="615"/>
      <c r="C235" s="615"/>
      <c r="D235" s="615"/>
      <c r="E235" s="615"/>
      <c r="F235" s="615"/>
      <c r="G235" s="615"/>
      <c r="H235" s="615"/>
      <c r="I235" s="615"/>
      <c r="J235" s="615"/>
      <c r="K235" s="615"/>
      <c r="L235" s="615"/>
      <c r="M235" s="615"/>
      <c r="N235" s="615"/>
      <c r="O235" s="620"/>
      <c r="P235" s="622" t="s">
        <v>72</v>
      </c>
      <c r="Q235" s="623"/>
      <c r="R235" s="623"/>
      <c r="S235" s="623"/>
      <c r="T235" s="623"/>
      <c r="U235" s="623"/>
      <c r="V235" s="624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5"/>
      <c r="B236" s="615"/>
      <c r="C236" s="615"/>
      <c r="D236" s="615"/>
      <c r="E236" s="615"/>
      <c r="F236" s="615"/>
      <c r="G236" s="615"/>
      <c r="H236" s="615"/>
      <c r="I236" s="615"/>
      <c r="J236" s="615"/>
      <c r="K236" s="615"/>
      <c r="L236" s="615"/>
      <c r="M236" s="615"/>
      <c r="N236" s="615"/>
      <c r="O236" s="620"/>
      <c r="P236" s="622" t="s">
        <v>72</v>
      </c>
      <c r="Q236" s="623"/>
      <c r="R236" s="623"/>
      <c r="S236" s="623"/>
      <c r="T236" s="623"/>
      <c r="U236" s="623"/>
      <c r="V236" s="624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customHeight="1" x14ac:dyDescent="0.25">
      <c r="A237" s="614" t="s">
        <v>95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01"/>
      <c r="AB237" s="601"/>
      <c r="AC237" s="601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1</v>
      </c>
      <c r="Y238" s="606">
        <f>IFERROR(IF(X238="",0,CEILING((X238/$H238),1)*$H238),"")</f>
        <v>1.26</v>
      </c>
      <c r="Z238" s="36">
        <f>IFERROR(IF(Y238=0,"",ROUNDUP(Y238/H238,0)*0.0059),"")</f>
        <v>5.8999999999999999E-3</v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1.1507936507936507</v>
      </c>
      <c r="BN238" s="64">
        <f>IFERROR(Y238*I238/H238,"0")</f>
        <v>1.45</v>
      </c>
      <c r="BO238" s="64">
        <f>IFERROR(1/J238*(X238/H238),"0")</f>
        <v>3.6743092298647849E-3</v>
      </c>
      <c r="BP238" s="64">
        <f>IFERROR(1/J238*(Y238/H238),"0")</f>
        <v>4.6296296296296294E-3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69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12</v>
      </c>
      <c r="Y240" s="606">
        <f>IFERROR(IF(X240="",0,CEILING((X240/$H240),1)*$H240),"")</f>
        <v>12.6</v>
      </c>
      <c r="Z240" s="36">
        <f>IFERROR(IF(Y240=0,"",ROUNDUP(Y240/H240,0)*0.0059),"")</f>
        <v>5.8999999999999997E-2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13.809523809523808</v>
      </c>
      <c r="BN240" s="64">
        <f>IFERROR(Y240*I240/H240,"0")</f>
        <v>14.5</v>
      </c>
      <c r="BO240" s="64">
        <f>IFERROR(1/J240*(X240/H240),"0")</f>
        <v>4.4091710758377423E-2</v>
      </c>
      <c r="BP240" s="64">
        <f>IFERROR(1/J240*(Y240/H240),"0")</f>
        <v>4.6296296296296294E-2</v>
      </c>
    </row>
    <row r="241" spans="1:68" x14ac:dyDescent="0.2">
      <c r="A241" s="619"/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20"/>
      <c r="P241" s="622" t="s">
        <v>72</v>
      </c>
      <c r="Q241" s="623"/>
      <c r="R241" s="623"/>
      <c r="S241" s="623"/>
      <c r="T241" s="623"/>
      <c r="U241" s="623"/>
      <c r="V241" s="624"/>
      <c r="W241" s="37" t="s">
        <v>73</v>
      </c>
      <c r="X241" s="607">
        <f>IFERROR(X238/H238,"0")+IFERROR(X239/H239,"0")+IFERROR(X240/H240,"0")</f>
        <v>10.317460317460318</v>
      </c>
      <c r="Y241" s="607">
        <f>IFERROR(Y238/H238,"0")+IFERROR(Y239/H239,"0")+IFERROR(Y240/H240,"0")</f>
        <v>11</v>
      </c>
      <c r="Z241" s="607">
        <f>IFERROR(IF(Z238="",0,Z238),"0")+IFERROR(IF(Z239="",0,Z239),"0")+IFERROR(IF(Z240="",0,Z240),"0")</f>
        <v>6.4899999999999999E-2</v>
      </c>
      <c r="AA241" s="608"/>
      <c r="AB241" s="608"/>
      <c r="AC241" s="608"/>
    </row>
    <row r="242" spans="1:68" x14ac:dyDescent="0.2">
      <c r="A242" s="615"/>
      <c r="B242" s="615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20"/>
      <c r="P242" s="622" t="s">
        <v>72</v>
      </c>
      <c r="Q242" s="623"/>
      <c r="R242" s="623"/>
      <c r="S242" s="623"/>
      <c r="T242" s="623"/>
      <c r="U242" s="623"/>
      <c r="V242" s="624"/>
      <c r="W242" s="37" t="s">
        <v>67</v>
      </c>
      <c r="X242" s="607">
        <f>IFERROR(SUM(X238:X240),"0")</f>
        <v>13</v>
      </c>
      <c r="Y242" s="607">
        <f>IFERROR(SUM(Y238:Y240),"0")</f>
        <v>13.86</v>
      </c>
      <c r="Z242" s="37"/>
      <c r="AA242" s="608"/>
      <c r="AB242" s="608"/>
      <c r="AC242" s="608"/>
    </row>
    <row r="243" spans="1:68" ht="14.25" customHeight="1" x14ac:dyDescent="0.25">
      <c r="A243" s="614" t="s">
        <v>411</v>
      </c>
      <c r="B243" s="615"/>
      <c r="C243" s="615"/>
      <c r="D243" s="615"/>
      <c r="E243" s="615"/>
      <c r="F243" s="615"/>
      <c r="G243" s="615"/>
      <c r="H243" s="615"/>
      <c r="I243" s="615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615"/>
      <c r="Z243" s="615"/>
      <c r="AA243" s="601"/>
      <c r="AB243" s="601"/>
      <c r="AC243" s="60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4</v>
      </c>
      <c r="Y244" s="60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19"/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20"/>
      <c r="P245" s="622" t="s">
        <v>72</v>
      </c>
      <c r="Q245" s="623"/>
      <c r="R245" s="623"/>
      <c r="S245" s="623"/>
      <c r="T245" s="623"/>
      <c r="U245" s="623"/>
      <c r="V245" s="624"/>
      <c r="W245" s="37" t="s">
        <v>73</v>
      </c>
      <c r="X245" s="607">
        <f>IFERROR(X244/H244,"0")</f>
        <v>3.1746031746031744</v>
      </c>
      <c r="Y245" s="607">
        <f>IFERROR(Y244/H244,"0")</f>
        <v>4</v>
      </c>
      <c r="Z245" s="607">
        <f>IFERROR(IF(Z244="",0,Z244),"0")</f>
        <v>2.3599999999999999E-2</v>
      </c>
      <c r="AA245" s="608"/>
      <c r="AB245" s="608"/>
      <c r="AC245" s="608"/>
    </row>
    <row r="246" spans="1:68" x14ac:dyDescent="0.2">
      <c r="A246" s="615"/>
      <c r="B246" s="615"/>
      <c r="C246" s="615"/>
      <c r="D246" s="615"/>
      <c r="E246" s="615"/>
      <c r="F246" s="615"/>
      <c r="G246" s="615"/>
      <c r="H246" s="615"/>
      <c r="I246" s="615"/>
      <c r="J246" s="615"/>
      <c r="K246" s="615"/>
      <c r="L246" s="615"/>
      <c r="M246" s="615"/>
      <c r="N246" s="615"/>
      <c r="O246" s="620"/>
      <c r="P246" s="622" t="s">
        <v>72</v>
      </c>
      <c r="Q246" s="623"/>
      <c r="R246" s="623"/>
      <c r="S246" s="623"/>
      <c r="T246" s="623"/>
      <c r="U246" s="623"/>
      <c r="V246" s="624"/>
      <c r="W246" s="37" t="s">
        <v>67</v>
      </c>
      <c r="X246" s="607">
        <f>IFERROR(SUM(X244:X244),"0")</f>
        <v>4</v>
      </c>
      <c r="Y246" s="607">
        <f>IFERROR(SUM(Y244:Y244),"0")</f>
        <v>5.04</v>
      </c>
      <c r="Z246" s="37"/>
      <c r="AA246" s="608"/>
      <c r="AB246" s="608"/>
      <c r="AC246" s="608"/>
    </row>
    <row r="247" spans="1:68" ht="16.5" customHeight="1" x14ac:dyDescent="0.25">
      <c r="A247" s="648" t="s">
        <v>414</v>
      </c>
      <c r="B247" s="615"/>
      <c r="C247" s="615"/>
      <c r="D247" s="615"/>
      <c r="E247" s="615"/>
      <c r="F247" s="615"/>
      <c r="G247" s="615"/>
      <c r="H247" s="615"/>
      <c r="I247" s="615"/>
      <c r="J247" s="615"/>
      <c r="K247" s="615"/>
      <c r="L247" s="615"/>
      <c r="M247" s="615"/>
      <c r="N247" s="615"/>
      <c r="O247" s="615"/>
      <c r="P247" s="615"/>
      <c r="Q247" s="615"/>
      <c r="R247" s="615"/>
      <c r="S247" s="615"/>
      <c r="T247" s="615"/>
      <c r="U247" s="615"/>
      <c r="V247" s="615"/>
      <c r="W247" s="615"/>
      <c r="X247" s="615"/>
      <c r="Y247" s="615"/>
      <c r="Z247" s="615"/>
      <c r="AA247" s="600"/>
      <c r="AB247" s="600"/>
      <c r="AC247" s="600"/>
    </row>
    <row r="248" spans="1:68" ht="14.25" customHeight="1" x14ac:dyDescent="0.25">
      <c r="A248" s="614" t="s">
        <v>121</v>
      </c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5"/>
      <c r="P248" s="615"/>
      <c r="Q248" s="615"/>
      <c r="R248" s="615"/>
      <c r="S248" s="615"/>
      <c r="T248" s="615"/>
      <c r="U248" s="615"/>
      <c r="V248" s="615"/>
      <c r="W248" s="615"/>
      <c r="X248" s="615"/>
      <c r="Y248" s="615"/>
      <c r="Z248" s="615"/>
      <c r="AA248" s="601"/>
      <c r="AB248" s="601"/>
      <c r="AC248" s="601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9"/>
      <c r="B251" s="615"/>
      <c r="C251" s="615"/>
      <c r="D251" s="615"/>
      <c r="E251" s="615"/>
      <c r="F251" s="615"/>
      <c r="G251" s="615"/>
      <c r="H251" s="615"/>
      <c r="I251" s="615"/>
      <c r="J251" s="615"/>
      <c r="K251" s="615"/>
      <c r="L251" s="615"/>
      <c r="M251" s="615"/>
      <c r="N251" s="615"/>
      <c r="O251" s="620"/>
      <c r="P251" s="622" t="s">
        <v>72</v>
      </c>
      <c r="Q251" s="623"/>
      <c r="R251" s="623"/>
      <c r="S251" s="623"/>
      <c r="T251" s="623"/>
      <c r="U251" s="623"/>
      <c r="V251" s="624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5"/>
      <c r="B252" s="615"/>
      <c r="C252" s="615"/>
      <c r="D252" s="615"/>
      <c r="E252" s="615"/>
      <c r="F252" s="615"/>
      <c r="G252" s="615"/>
      <c r="H252" s="615"/>
      <c r="I252" s="615"/>
      <c r="J252" s="615"/>
      <c r="K252" s="615"/>
      <c r="L252" s="615"/>
      <c r="M252" s="615"/>
      <c r="N252" s="615"/>
      <c r="O252" s="620"/>
      <c r="P252" s="622" t="s">
        <v>72</v>
      </c>
      <c r="Q252" s="623"/>
      <c r="R252" s="623"/>
      <c r="S252" s="623"/>
      <c r="T252" s="623"/>
      <c r="U252" s="623"/>
      <c r="V252" s="624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4" t="s">
        <v>156</v>
      </c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5"/>
      <c r="P253" s="615"/>
      <c r="Q253" s="615"/>
      <c r="R253" s="615"/>
      <c r="S253" s="615"/>
      <c r="T253" s="615"/>
      <c r="U253" s="615"/>
      <c r="V253" s="615"/>
      <c r="W253" s="615"/>
      <c r="X253" s="615"/>
      <c r="Y253" s="615"/>
      <c r="Z253" s="615"/>
      <c r="AA253" s="601"/>
      <c r="AB253" s="601"/>
      <c r="AC253" s="601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0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19"/>
      <c r="B256" s="615"/>
      <c r="C256" s="615"/>
      <c r="D256" s="615"/>
      <c r="E256" s="615"/>
      <c r="F256" s="615"/>
      <c r="G256" s="615"/>
      <c r="H256" s="615"/>
      <c r="I256" s="615"/>
      <c r="J256" s="615"/>
      <c r="K256" s="615"/>
      <c r="L256" s="615"/>
      <c r="M256" s="615"/>
      <c r="N256" s="615"/>
      <c r="O256" s="620"/>
      <c r="P256" s="622" t="s">
        <v>72</v>
      </c>
      <c r="Q256" s="623"/>
      <c r="R256" s="623"/>
      <c r="S256" s="623"/>
      <c r="T256" s="623"/>
      <c r="U256" s="623"/>
      <c r="V256" s="624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5"/>
      <c r="B257" s="615"/>
      <c r="C257" s="615"/>
      <c r="D257" s="615"/>
      <c r="E257" s="615"/>
      <c r="F257" s="615"/>
      <c r="G257" s="615"/>
      <c r="H257" s="615"/>
      <c r="I257" s="615"/>
      <c r="J257" s="615"/>
      <c r="K257" s="615"/>
      <c r="L257" s="615"/>
      <c r="M257" s="615"/>
      <c r="N257" s="615"/>
      <c r="O257" s="620"/>
      <c r="P257" s="622" t="s">
        <v>72</v>
      </c>
      <c r="Q257" s="623"/>
      <c r="R257" s="623"/>
      <c r="S257" s="623"/>
      <c r="T257" s="623"/>
      <c r="U257" s="623"/>
      <c r="V257" s="624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4" t="s">
        <v>62</v>
      </c>
      <c r="B258" s="615"/>
      <c r="C258" s="615"/>
      <c r="D258" s="615"/>
      <c r="E258" s="615"/>
      <c r="F258" s="615"/>
      <c r="G258" s="615"/>
      <c r="H258" s="615"/>
      <c r="I258" s="615"/>
      <c r="J258" s="615"/>
      <c r="K258" s="615"/>
      <c r="L258" s="615"/>
      <c r="M258" s="615"/>
      <c r="N258" s="615"/>
      <c r="O258" s="615"/>
      <c r="P258" s="615"/>
      <c r="Q258" s="615"/>
      <c r="R258" s="615"/>
      <c r="S258" s="615"/>
      <c r="T258" s="615"/>
      <c r="U258" s="615"/>
      <c r="V258" s="615"/>
      <c r="W258" s="615"/>
      <c r="X258" s="615"/>
      <c r="Y258" s="615"/>
      <c r="Z258" s="615"/>
      <c r="AA258" s="601"/>
      <c r="AB258" s="601"/>
      <c r="AC258" s="601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89</v>
      </c>
      <c r="Y259" s="606">
        <f t="shared" ref="Y259:Y266" si="38">IFERROR(IF(X259="",0,CEILING((X259/$H259),1)*$H259),"")</f>
        <v>91.800000000000011</v>
      </c>
      <c r="Z259" s="36">
        <f>IFERROR(IF(Y259=0,"",ROUNDUP(Y259/H259,0)*0.00902),"")</f>
        <v>0.15334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92.131481481481472</v>
      </c>
      <c r="BN259" s="64">
        <f t="shared" ref="BN259:BN266" si="40">IFERROR(Y259*I259/H259,"0")</f>
        <v>95.03</v>
      </c>
      <c r="BO259" s="64">
        <f t="shared" ref="BO259:BO266" si="41">IFERROR(1/J259*(X259/H259),"0")</f>
        <v>0.12485970819304153</v>
      </c>
      <c r="BP259" s="64">
        <f t="shared" ref="BP259:BP266" si="42">IFERROR(1/J259*(Y259/H259),"0")</f>
        <v>0.12878787878787878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525</v>
      </c>
      <c r="Y260" s="606">
        <f t="shared" si="38"/>
        <v>529.20000000000005</v>
      </c>
      <c r="Z260" s="36">
        <f>IFERROR(IF(Y260=0,"",ROUNDUP(Y260/H260,0)*0.00902),"")</f>
        <v>0.88396000000000008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543.47222222222217</v>
      </c>
      <c r="BN260" s="64">
        <f t="shared" si="40"/>
        <v>547.81999999999994</v>
      </c>
      <c r="BO260" s="64">
        <f t="shared" si="41"/>
        <v>0.73653198653198648</v>
      </c>
      <c r="BP260" s="64">
        <f t="shared" si="42"/>
        <v>0.74242424242424243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8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0</v>
      </c>
      <c r="BN261" s="64">
        <f t="shared" si="40"/>
        <v>0</v>
      </c>
      <c r="BO261" s="64">
        <f t="shared" si="41"/>
        <v>0</v>
      </c>
      <c r="BP261" s="64">
        <f t="shared" si="42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17</v>
      </c>
      <c r="Y262" s="606">
        <f t="shared" si="38"/>
        <v>21.6</v>
      </c>
      <c r="Z262" s="36">
        <f>IFERROR(IF(Y262=0,"",ROUNDUP(Y262/H262,0)*0.00902),"")</f>
        <v>3.6080000000000001E-2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17.598148148148148</v>
      </c>
      <c r="BN262" s="64">
        <f t="shared" si="40"/>
        <v>22.36</v>
      </c>
      <c r="BO262" s="64">
        <f t="shared" si="41"/>
        <v>2.3849607182940515E-2</v>
      </c>
      <c r="BP262" s="64">
        <f t="shared" si="42"/>
        <v>3.0303030303030304E-2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31</v>
      </c>
      <c r="Y263" s="606">
        <f t="shared" si="38"/>
        <v>32.4</v>
      </c>
      <c r="Z263" s="36">
        <f>IFERROR(IF(Y263=0,"",ROUNDUP(Y263/H263,0)*0.00502),"")</f>
        <v>9.0359999999999996E-2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33.238888888888887</v>
      </c>
      <c r="BN263" s="64">
        <f t="shared" si="40"/>
        <v>34.739999999999995</v>
      </c>
      <c r="BO263" s="64">
        <f t="shared" si="41"/>
        <v>7.3599240265906932E-2</v>
      </c>
      <c r="BP263" s="64">
        <f t="shared" si="42"/>
        <v>7.6923076923076927E-2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38</v>
      </c>
      <c r="Y264" s="606">
        <f t="shared" si="38"/>
        <v>39.6</v>
      </c>
      <c r="Z264" s="36">
        <f>IFERROR(IF(Y264=0,"",ROUNDUP(Y264/H264,0)*0.00502),"")</f>
        <v>0.11044000000000001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40.111111111111114</v>
      </c>
      <c r="BN264" s="64">
        <f t="shared" si="40"/>
        <v>41.8</v>
      </c>
      <c r="BO264" s="64">
        <f t="shared" si="41"/>
        <v>9.0218423551756896E-2</v>
      </c>
      <c r="BP264" s="64">
        <f t="shared" si="42"/>
        <v>9.401709401709403E-2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25</v>
      </c>
      <c r="Y266" s="606">
        <f t="shared" si="38"/>
        <v>25.2</v>
      </c>
      <c r="Z266" s="36">
        <f>IFERROR(IF(Y266=0,"",ROUNDUP(Y266/H266,0)*0.00502),"")</f>
        <v>7.0280000000000009E-2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26.388888888888889</v>
      </c>
      <c r="BN266" s="64">
        <f t="shared" si="40"/>
        <v>26.599999999999998</v>
      </c>
      <c r="BO266" s="64">
        <f t="shared" si="41"/>
        <v>5.9354226020892693E-2</v>
      </c>
      <c r="BP266" s="64">
        <f t="shared" si="42"/>
        <v>5.9829059829059839E-2</v>
      </c>
    </row>
    <row r="267" spans="1:68" x14ac:dyDescent="0.2">
      <c r="A267" s="619"/>
      <c r="B267" s="615"/>
      <c r="C267" s="615"/>
      <c r="D267" s="615"/>
      <c r="E267" s="615"/>
      <c r="F267" s="615"/>
      <c r="G267" s="615"/>
      <c r="H267" s="615"/>
      <c r="I267" s="615"/>
      <c r="J267" s="615"/>
      <c r="K267" s="615"/>
      <c r="L267" s="615"/>
      <c r="M267" s="615"/>
      <c r="N267" s="615"/>
      <c r="O267" s="620"/>
      <c r="P267" s="622" t="s">
        <v>72</v>
      </c>
      <c r="Q267" s="623"/>
      <c r="R267" s="623"/>
      <c r="S267" s="623"/>
      <c r="T267" s="623"/>
      <c r="U267" s="623"/>
      <c r="V267" s="624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169.07407407407408</v>
      </c>
      <c r="Y267" s="607">
        <f>IFERROR(Y259/H259,"0")+IFERROR(Y260/H260,"0")+IFERROR(Y261/H261,"0")+IFERROR(Y262/H262,"0")+IFERROR(Y263/H263,"0")+IFERROR(Y264/H264,"0")+IFERROR(Y265/H265,"0")+IFERROR(Y266/H266,"0")</f>
        <v>173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1.3444600000000002</v>
      </c>
      <c r="AA267" s="608"/>
      <c r="AB267" s="608"/>
      <c r="AC267" s="608"/>
    </row>
    <row r="268" spans="1:68" x14ac:dyDescent="0.2">
      <c r="A268" s="615"/>
      <c r="B268" s="615"/>
      <c r="C268" s="615"/>
      <c r="D268" s="615"/>
      <c r="E268" s="615"/>
      <c r="F268" s="615"/>
      <c r="G268" s="615"/>
      <c r="H268" s="615"/>
      <c r="I268" s="615"/>
      <c r="J268" s="615"/>
      <c r="K268" s="615"/>
      <c r="L268" s="615"/>
      <c r="M268" s="615"/>
      <c r="N268" s="615"/>
      <c r="O268" s="620"/>
      <c r="P268" s="622" t="s">
        <v>72</v>
      </c>
      <c r="Q268" s="623"/>
      <c r="R268" s="623"/>
      <c r="S268" s="623"/>
      <c r="T268" s="623"/>
      <c r="U268" s="623"/>
      <c r="V268" s="624"/>
      <c r="W268" s="37" t="s">
        <v>67</v>
      </c>
      <c r="X268" s="607">
        <f>IFERROR(SUM(X259:X266),"0")</f>
        <v>725</v>
      </c>
      <c r="Y268" s="607">
        <f>IFERROR(SUM(Y259:Y266),"0")</f>
        <v>739.80000000000007</v>
      </c>
      <c r="Z268" s="37"/>
      <c r="AA268" s="608"/>
      <c r="AB268" s="608"/>
      <c r="AC268" s="608"/>
    </row>
    <row r="269" spans="1:68" ht="14.25" customHeight="1" x14ac:dyDescent="0.25">
      <c r="A269" s="614" t="s">
        <v>74</v>
      </c>
      <c r="B269" s="615"/>
      <c r="C269" s="615"/>
      <c r="D269" s="615"/>
      <c r="E269" s="615"/>
      <c r="F269" s="615"/>
      <c r="G269" s="615"/>
      <c r="H269" s="615"/>
      <c r="I269" s="615"/>
      <c r="J269" s="615"/>
      <c r="K269" s="615"/>
      <c r="L269" s="615"/>
      <c r="M269" s="615"/>
      <c r="N269" s="615"/>
      <c r="O269" s="615"/>
      <c r="P269" s="615"/>
      <c r="Q269" s="615"/>
      <c r="R269" s="615"/>
      <c r="S269" s="615"/>
      <c r="T269" s="615"/>
      <c r="U269" s="615"/>
      <c r="V269" s="615"/>
      <c r="W269" s="615"/>
      <c r="X269" s="615"/>
      <c r="Y269" s="615"/>
      <c r="Z269" s="615"/>
      <c r="AA269" s="601"/>
      <c r="AB269" s="601"/>
      <c r="AC269" s="601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21</v>
      </c>
      <c r="Y270" s="606">
        <f t="shared" ref="Y270:Y281" si="43">IFERROR(IF(X270="",0,CEILING((X270/$H270),1)*$H270),"")</f>
        <v>24.299999999999997</v>
      </c>
      <c r="Z270" s="36">
        <f>IFERROR(IF(Y270=0,"",ROUNDUP(Y270/H270,0)*0.01898),"")</f>
        <v>5.6940000000000004E-2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22.28074074074074</v>
      </c>
      <c r="BN270" s="64">
        <f t="shared" ref="BN270:BN281" si="45">IFERROR(Y270*I270/H270,"0")</f>
        <v>25.781999999999996</v>
      </c>
      <c r="BO270" s="64">
        <f t="shared" ref="BO270:BO281" si="46">IFERROR(1/J270*(X270/H270),"0")</f>
        <v>4.0509259259259259E-2</v>
      </c>
      <c r="BP270" s="64">
        <f t="shared" ref="BP270:BP281" si="47">IFERROR(1/J270*(Y270/H270),"0")</f>
        <v>4.6875E-2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43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151</v>
      </c>
      <c r="Y272" s="606">
        <f t="shared" si="43"/>
        <v>156.6</v>
      </c>
      <c r="Z272" s="36">
        <f>IFERROR(IF(Y272=0,"",ROUNDUP(Y272/H272,0)*0.01898),"")</f>
        <v>0.34164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159.57402298850576</v>
      </c>
      <c r="BN272" s="64">
        <f t="shared" si="45"/>
        <v>165.49200000000002</v>
      </c>
      <c r="BO272" s="64">
        <f t="shared" si="46"/>
        <v>0.27119252873563221</v>
      </c>
      <c r="BP272" s="64">
        <f t="shared" si="47"/>
        <v>0.28125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124</v>
      </c>
      <c r="Y273" s="606">
        <f t="shared" si="43"/>
        <v>124.8</v>
      </c>
      <c r="Z273" s="36">
        <f>IFERROR(IF(Y273=0,"",ROUNDUP(Y273/H273,0)*0.00651),"")</f>
        <v>0.33851999999999999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137.94999999999999</v>
      </c>
      <c r="BN273" s="64">
        <f t="shared" si="45"/>
        <v>138.84</v>
      </c>
      <c r="BO273" s="64">
        <f t="shared" si="46"/>
        <v>0.28388278388278393</v>
      </c>
      <c r="BP273" s="64">
        <f t="shared" si="47"/>
        <v>0.28571428571428575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152</v>
      </c>
      <c r="Y276" s="606">
        <f t="shared" si="43"/>
        <v>153.6</v>
      </c>
      <c r="Z276" s="36">
        <f>IFERROR(IF(Y276=0,"",ROUNDUP(Y276/H276,0)*0.00651),"")</f>
        <v>0.41664000000000001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167.96000000000004</v>
      </c>
      <c r="BN276" s="64">
        <f t="shared" si="45"/>
        <v>169.72800000000001</v>
      </c>
      <c r="BO276" s="64">
        <f t="shared" si="46"/>
        <v>0.34798534798534803</v>
      </c>
      <c r="BP276" s="64">
        <f t="shared" si="47"/>
        <v>0.35164835164835168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19</v>
      </c>
      <c r="Y278" s="606">
        <f t="shared" si="43"/>
        <v>19.2</v>
      </c>
      <c r="Z278" s="36">
        <f>IFERROR(IF(Y278=0,"",ROUNDUP(Y278/H278,0)*0.00651),"")</f>
        <v>5.2080000000000001E-2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20.995000000000005</v>
      </c>
      <c r="BN278" s="64">
        <f t="shared" si="45"/>
        <v>21.216000000000001</v>
      </c>
      <c r="BO278" s="64">
        <f t="shared" si="46"/>
        <v>4.3498168498168503E-2</v>
      </c>
      <c r="BP278" s="64">
        <f t="shared" si="47"/>
        <v>4.3956043956043959E-2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172</v>
      </c>
      <c r="Y279" s="606">
        <f t="shared" si="43"/>
        <v>172.79999999999998</v>
      </c>
      <c r="Z279" s="36">
        <f>IFERROR(IF(Y279=0,"",ROUNDUP(Y279/H279,0)*0.00651),"")</f>
        <v>0.46872000000000003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190.06</v>
      </c>
      <c r="BN279" s="64">
        <f t="shared" si="45"/>
        <v>190.94400000000002</v>
      </c>
      <c r="BO279" s="64">
        <f t="shared" si="46"/>
        <v>0.39377289377289382</v>
      </c>
      <c r="BP279" s="64">
        <f t="shared" si="47"/>
        <v>0.39560439560439564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123</v>
      </c>
      <c r="Y280" s="606">
        <f t="shared" si="43"/>
        <v>124.8</v>
      </c>
      <c r="Z280" s="36">
        <f>IFERROR(IF(Y280=0,"",ROUNDUP(Y280/H280,0)*0.00651),"")</f>
        <v>0.33851999999999999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136.2225</v>
      </c>
      <c r="BN280" s="64">
        <f t="shared" si="45"/>
        <v>138.21600000000001</v>
      </c>
      <c r="BO280" s="64">
        <f t="shared" si="46"/>
        <v>0.28159340659340659</v>
      </c>
      <c r="BP280" s="64">
        <f t="shared" si="47"/>
        <v>0.28571428571428575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9"/>
      <c r="B282" s="615"/>
      <c r="C282" s="615"/>
      <c r="D282" s="615"/>
      <c r="E282" s="615"/>
      <c r="F282" s="615"/>
      <c r="G282" s="615"/>
      <c r="H282" s="615"/>
      <c r="I282" s="615"/>
      <c r="J282" s="615"/>
      <c r="K282" s="615"/>
      <c r="L282" s="615"/>
      <c r="M282" s="615"/>
      <c r="N282" s="615"/>
      <c r="O282" s="620"/>
      <c r="P282" s="622" t="s">
        <v>72</v>
      </c>
      <c r="Q282" s="623"/>
      <c r="R282" s="623"/>
      <c r="S282" s="623"/>
      <c r="T282" s="623"/>
      <c r="U282" s="623"/>
      <c r="V282" s="624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265.78224776500639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269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2.0130599999999998</v>
      </c>
      <c r="AA282" s="608"/>
      <c r="AB282" s="608"/>
      <c r="AC282" s="608"/>
    </row>
    <row r="283" spans="1:68" x14ac:dyDescent="0.2">
      <c r="A283" s="615"/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20"/>
      <c r="P283" s="622" t="s">
        <v>72</v>
      </c>
      <c r="Q283" s="623"/>
      <c r="R283" s="623"/>
      <c r="S283" s="623"/>
      <c r="T283" s="623"/>
      <c r="U283" s="623"/>
      <c r="V283" s="624"/>
      <c r="W283" s="37" t="s">
        <v>67</v>
      </c>
      <c r="X283" s="607">
        <f>IFERROR(SUM(X270:X281),"0")</f>
        <v>762</v>
      </c>
      <c r="Y283" s="607">
        <f>IFERROR(SUM(Y270:Y281),"0")</f>
        <v>776.09999999999991</v>
      </c>
      <c r="Z283" s="37"/>
      <c r="AA283" s="608"/>
      <c r="AB283" s="608"/>
      <c r="AC283" s="608"/>
    </row>
    <row r="284" spans="1:68" ht="14.25" customHeight="1" x14ac:dyDescent="0.25">
      <c r="A284" s="614" t="s">
        <v>173</v>
      </c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5"/>
      <c r="P284" s="615"/>
      <c r="Q284" s="615"/>
      <c r="R284" s="615"/>
      <c r="S284" s="615"/>
      <c r="T284" s="615"/>
      <c r="U284" s="615"/>
      <c r="V284" s="615"/>
      <c r="W284" s="615"/>
      <c r="X284" s="615"/>
      <c r="Y284" s="615"/>
      <c r="Z284" s="615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13</v>
      </c>
      <c r="Y285" s="606">
        <f>IFERROR(IF(X285="",0,CEILING((X285/$H285),1)*$H285),"")</f>
        <v>14.399999999999999</v>
      </c>
      <c r="Z285" s="36">
        <f>IFERROR(IF(Y285=0,"",ROUNDUP(Y285/H285,0)*0.00651),"")</f>
        <v>3.9059999999999997E-2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14.365</v>
      </c>
      <c r="BN285" s="64">
        <f>IFERROR(Y285*I285/H285,"0")</f>
        <v>15.912000000000001</v>
      </c>
      <c r="BO285" s="64">
        <f>IFERROR(1/J285*(X285/H285),"0")</f>
        <v>2.9761904761904767E-2</v>
      </c>
      <c r="BP285" s="64">
        <f>IFERROR(1/J285*(Y285/H285),"0")</f>
        <v>3.2967032967032968E-2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9"/>
      <c r="B287" s="615"/>
      <c r="C287" s="615"/>
      <c r="D287" s="615"/>
      <c r="E287" s="615"/>
      <c r="F287" s="615"/>
      <c r="G287" s="615"/>
      <c r="H287" s="615"/>
      <c r="I287" s="615"/>
      <c r="J287" s="615"/>
      <c r="K287" s="615"/>
      <c r="L287" s="615"/>
      <c r="M287" s="615"/>
      <c r="N287" s="615"/>
      <c r="O287" s="620"/>
      <c r="P287" s="622" t="s">
        <v>72</v>
      </c>
      <c r="Q287" s="623"/>
      <c r="R287" s="623"/>
      <c r="S287" s="623"/>
      <c r="T287" s="623"/>
      <c r="U287" s="623"/>
      <c r="V287" s="624"/>
      <c r="W287" s="37" t="s">
        <v>73</v>
      </c>
      <c r="X287" s="607">
        <f>IFERROR(X285/H285,"0")+IFERROR(X286/H286,"0")</f>
        <v>5.416666666666667</v>
      </c>
      <c r="Y287" s="607">
        <f>IFERROR(Y285/H285,"0")+IFERROR(Y286/H286,"0")</f>
        <v>6</v>
      </c>
      <c r="Z287" s="607">
        <f>IFERROR(IF(Z285="",0,Z285),"0")+IFERROR(IF(Z286="",0,Z286),"0")</f>
        <v>3.9059999999999997E-2</v>
      </c>
      <c r="AA287" s="608"/>
      <c r="AB287" s="608"/>
      <c r="AC287" s="608"/>
    </row>
    <row r="288" spans="1:68" x14ac:dyDescent="0.2">
      <c r="A288" s="615"/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20"/>
      <c r="P288" s="622" t="s">
        <v>72</v>
      </c>
      <c r="Q288" s="623"/>
      <c r="R288" s="623"/>
      <c r="S288" s="623"/>
      <c r="T288" s="623"/>
      <c r="U288" s="623"/>
      <c r="V288" s="624"/>
      <c r="W288" s="37" t="s">
        <v>67</v>
      </c>
      <c r="X288" s="607">
        <f>IFERROR(SUM(X285:X286),"0")</f>
        <v>13</v>
      </c>
      <c r="Y288" s="607">
        <f>IFERROR(SUM(Y285:Y286),"0")</f>
        <v>14.399999999999999</v>
      </c>
      <c r="Z288" s="37"/>
      <c r="AA288" s="608"/>
      <c r="AB288" s="608"/>
      <c r="AC288" s="608"/>
    </row>
    <row r="289" spans="1:68" ht="16.5" customHeight="1" x14ac:dyDescent="0.25">
      <c r="A289" s="648" t="s">
        <v>482</v>
      </c>
      <c r="B289" s="615"/>
      <c r="C289" s="615"/>
      <c r="D289" s="615"/>
      <c r="E289" s="615"/>
      <c r="F289" s="615"/>
      <c r="G289" s="615"/>
      <c r="H289" s="615"/>
      <c r="I289" s="615"/>
      <c r="J289" s="615"/>
      <c r="K289" s="615"/>
      <c r="L289" s="615"/>
      <c r="M289" s="615"/>
      <c r="N289" s="615"/>
      <c r="O289" s="615"/>
      <c r="P289" s="615"/>
      <c r="Q289" s="615"/>
      <c r="R289" s="615"/>
      <c r="S289" s="615"/>
      <c r="T289" s="615"/>
      <c r="U289" s="615"/>
      <c r="V289" s="615"/>
      <c r="W289" s="615"/>
      <c r="X289" s="615"/>
      <c r="Y289" s="615"/>
      <c r="Z289" s="615"/>
      <c r="AA289" s="600"/>
      <c r="AB289" s="600"/>
      <c r="AC289" s="600"/>
    </row>
    <row r="290" spans="1:68" ht="14.25" customHeight="1" x14ac:dyDescent="0.25">
      <c r="A290" s="614" t="s">
        <v>121</v>
      </c>
      <c r="B290" s="615"/>
      <c r="C290" s="615"/>
      <c r="D290" s="615"/>
      <c r="E290" s="615"/>
      <c r="F290" s="615"/>
      <c r="G290" s="615"/>
      <c r="H290" s="615"/>
      <c r="I290" s="615"/>
      <c r="J290" s="615"/>
      <c r="K290" s="615"/>
      <c r="L290" s="615"/>
      <c r="M290" s="615"/>
      <c r="N290" s="615"/>
      <c r="O290" s="615"/>
      <c r="P290" s="615"/>
      <c r="Q290" s="615"/>
      <c r="R290" s="615"/>
      <c r="S290" s="615"/>
      <c r="T290" s="615"/>
      <c r="U290" s="615"/>
      <c r="V290" s="615"/>
      <c r="W290" s="615"/>
      <c r="X290" s="615"/>
      <c r="Y290" s="615"/>
      <c r="Z290" s="615"/>
      <c r="AA290" s="601"/>
      <c r="AB290" s="601"/>
      <c r="AC290" s="601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8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7</v>
      </c>
      <c r="Y294" s="606">
        <f t="shared" si="48"/>
        <v>8</v>
      </c>
      <c r="Z294" s="36">
        <f>IFERROR(IF(Y294=0,"",ROUNDUP(Y294/H294,0)*0.00902),"")</f>
        <v>1.804E-2</v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7.3325000000000005</v>
      </c>
      <c r="BN294" s="64">
        <f t="shared" si="50"/>
        <v>8.3800000000000008</v>
      </c>
      <c r="BO294" s="64">
        <f t="shared" si="51"/>
        <v>1.3257575757575758E-2</v>
      </c>
      <c r="BP294" s="64">
        <f t="shared" si="52"/>
        <v>1.5151515151515152E-2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57</v>
      </c>
      <c r="Y297" s="606">
        <f t="shared" si="48"/>
        <v>60</v>
      </c>
      <c r="Z297" s="36">
        <f>IFERROR(IF(Y297=0,"",ROUNDUP(Y297/H297,0)*0.00902),"")</f>
        <v>0.1353</v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59.707500000000003</v>
      </c>
      <c r="BN297" s="64">
        <f t="shared" si="50"/>
        <v>62.850000000000009</v>
      </c>
      <c r="BO297" s="64">
        <f t="shared" si="51"/>
        <v>0.10795454545454546</v>
      </c>
      <c r="BP297" s="64">
        <f t="shared" si="52"/>
        <v>0.11363636363636365</v>
      </c>
    </row>
    <row r="298" spans="1:68" x14ac:dyDescent="0.2">
      <c r="A298" s="619"/>
      <c r="B298" s="615"/>
      <c r="C298" s="615"/>
      <c r="D298" s="615"/>
      <c r="E298" s="615"/>
      <c r="F298" s="615"/>
      <c r="G298" s="615"/>
      <c r="H298" s="615"/>
      <c r="I298" s="615"/>
      <c r="J298" s="615"/>
      <c r="K298" s="615"/>
      <c r="L298" s="615"/>
      <c r="M298" s="615"/>
      <c r="N298" s="615"/>
      <c r="O298" s="620"/>
      <c r="P298" s="622" t="s">
        <v>72</v>
      </c>
      <c r="Q298" s="623"/>
      <c r="R298" s="623"/>
      <c r="S298" s="623"/>
      <c r="T298" s="623"/>
      <c r="U298" s="623"/>
      <c r="V298" s="624"/>
      <c r="W298" s="37" t="s">
        <v>73</v>
      </c>
      <c r="X298" s="607">
        <f>IFERROR(X291/H291,"0")+IFERROR(X292/H292,"0")+IFERROR(X293/H293,"0")+IFERROR(X294/H294,"0")+IFERROR(X295/H295,"0")+IFERROR(X296/H296,"0")+IFERROR(X297/H297,"0")</f>
        <v>16</v>
      </c>
      <c r="Y298" s="607">
        <f>IFERROR(Y291/H291,"0")+IFERROR(Y292/H292,"0")+IFERROR(Y293/H293,"0")+IFERROR(Y294/H294,"0")+IFERROR(Y295/H295,"0")+IFERROR(Y296/H296,"0")+IFERROR(Y297/H297,"0")</f>
        <v>17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0.15334</v>
      </c>
      <c r="AA298" s="608"/>
      <c r="AB298" s="608"/>
      <c r="AC298" s="608"/>
    </row>
    <row r="299" spans="1:68" x14ac:dyDescent="0.2">
      <c r="A299" s="615"/>
      <c r="B299" s="615"/>
      <c r="C299" s="615"/>
      <c r="D299" s="615"/>
      <c r="E299" s="615"/>
      <c r="F299" s="615"/>
      <c r="G299" s="615"/>
      <c r="H299" s="615"/>
      <c r="I299" s="615"/>
      <c r="J299" s="615"/>
      <c r="K299" s="615"/>
      <c r="L299" s="615"/>
      <c r="M299" s="615"/>
      <c r="N299" s="615"/>
      <c r="O299" s="620"/>
      <c r="P299" s="622" t="s">
        <v>72</v>
      </c>
      <c r="Q299" s="623"/>
      <c r="R299" s="623"/>
      <c r="S299" s="623"/>
      <c r="T299" s="623"/>
      <c r="U299" s="623"/>
      <c r="V299" s="624"/>
      <c r="W299" s="37" t="s">
        <v>67</v>
      </c>
      <c r="X299" s="607">
        <f>IFERROR(SUM(X291:X297),"0")</f>
        <v>64</v>
      </c>
      <c r="Y299" s="607">
        <f>IFERROR(SUM(Y291:Y297),"0")</f>
        <v>68</v>
      </c>
      <c r="Z299" s="37"/>
      <c r="AA299" s="608"/>
      <c r="AB299" s="608"/>
      <c r="AC299" s="608"/>
    </row>
    <row r="300" spans="1:68" ht="14.25" customHeight="1" x14ac:dyDescent="0.25">
      <c r="A300" s="614" t="s">
        <v>156</v>
      </c>
      <c r="B300" s="615"/>
      <c r="C300" s="615"/>
      <c r="D300" s="615"/>
      <c r="E300" s="615"/>
      <c r="F300" s="615"/>
      <c r="G300" s="615"/>
      <c r="H300" s="615"/>
      <c r="I300" s="615"/>
      <c r="J300" s="615"/>
      <c r="K300" s="615"/>
      <c r="L300" s="615"/>
      <c r="M300" s="615"/>
      <c r="N300" s="615"/>
      <c r="O300" s="615"/>
      <c r="P300" s="615"/>
      <c r="Q300" s="615"/>
      <c r="R300" s="615"/>
      <c r="S300" s="615"/>
      <c r="T300" s="615"/>
      <c r="U300" s="615"/>
      <c r="V300" s="615"/>
      <c r="W300" s="615"/>
      <c r="X300" s="615"/>
      <c r="Y300" s="615"/>
      <c r="Z300" s="615"/>
      <c r="AA300" s="601"/>
      <c r="AB300" s="601"/>
      <c r="AC300" s="601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19"/>
      <c r="B302" s="615"/>
      <c r="C302" s="615"/>
      <c r="D302" s="615"/>
      <c r="E302" s="615"/>
      <c r="F302" s="615"/>
      <c r="G302" s="615"/>
      <c r="H302" s="615"/>
      <c r="I302" s="615"/>
      <c r="J302" s="615"/>
      <c r="K302" s="615"/>
      <c r="L302" s="615"/>
      <c r="M302" s="615"/>
      <c r="N302" s="615"/>
      <c r="O302" s="620"/>
      <c r="P302" s="622" t="s">
        <v>72</v>
      </c>
      <c r="Q302" s="623"/>
      <c r="R302" s="623"/>
      <c r="S302" s="623"/>
      <c r="T302" s="623"/>
      <c r="U302" s="623"/>
      <c r="V302" s="624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5"/>
      <c r="B303" s="615"/>
      <c r="C303" s="615"/>
      <c r="D303" s="615"/>
      <c r="E303" s="615"/>
      <c r="F303" s="615"/>
      <c r="G303" s="615"/>
      <c r="H303" s="615"/>
      <c r="I303" s="615"/>
      <c r="J303" s="615"/>
      <c r="K303" s="615"/>
      <c r="L303" s="615"/>
      <c r="M303" s="615"/>
      <c r="N303" s="615"/>
      <c r="O303" s="620"/>
      <c r="P303" s="622" t="s">
        <v>72</v>
      </c>
      <c r="Q303" s="623"/>
      <c r="R303" s="623"/>
      <c r="S303" s="623"/>
      <c r="T303" s="623"/>
      <c r="U303" s="623"/>
      <c r="V303" s="624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4" t="s">
        <v>504</v>
      </c>
      <c r="B304" s="615"/>
      <c r="C304" s="615"/>
      <c r="D304" s="615"/>
      <c r="E304" s="615"/>
      <c r="F304" s="615"/>
      <c r="G304" s="615"/>
      <c r="H304" s="615"/>
      <c r="I304" s="615"/>
      <c r="J304" s="615"/>
      <c r="K304" s="615"/>
      <c r="L304" s="615"/>
      <c r="M304" s="615"/>
      <c r="N304" s="615"/>
      <c r="O304" s="615"/>
      <c r="P304" s="615"/>
      <c r="Q304" s="615"/>
      <c r="R304" s="615"/>
      <c r="S304" s="615"/>
      <c r="T304" s="615"/>
      <c r="U304" s="615"/>
      <c r="V304" s="615"/>
      <c r="W304" s="615"/>
      <c r="X304" s="615"/>
      <c r="Y304" s="615"/>
      <c r="Z304" s="615"/>
      <c r="AA304" s="601"/>
      <c r="AB304" s="601"/>
      <c r="AC304" s="601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7</v>
      </c>
      <c r="Y305" s="606">
        <f>IFERROR(IF(X305="",0,CEILING((X305/$H305),1)*$H305),"")</f>
        <v>7.2</v>
      </c>
      <c r="Z305" s="36">
        <f>IFERROR(IF(Y305=0,"",ROUNDUP(Y305/H305,0)*0.0059),"")</f>
        <v>2.3599999999999999E-2</v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7.6805555555555562</v>
      </c>
      <c r="BN305" s="64">
        <f>IFERROR(Y305*I305/H305,"0")</f>
        <v>7.9</v>
      </c>
      <c r="BO305" s="64">
        <f>IFERROR(1/J305*(X305/H305),"0")</f>
        <v>1.8004115226337446E-2</v>
      </c>
      <c r="BP305" s="64">
        <f>IFERROR(1/J305*(Y305/H305),"0")</f>
        <v>1.8518518518518517E-2</v>
      </c>
    </row>
    <row r="306" spans="1:68" x14ac:dyDescent="0.2">
      <c r="A306" s="619"/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20"/>
      <c r="P306" s="622" t="s">
        <v>72</v>
      </c>
      <c r="Q306" s="623"/>
      <c r="R306" s="623"/>
      <c r="S306" s="623"/>
      <c r="T306" s="623"/>
      <c r="U306" s="623"/>
      <c r="V306" s="624"/>
      <c r="W306" s="37" t="s">
        <v>73</v>
      </c>
      <c r="X306" s="607">
        <f>IFERROR(X305/H305,"0")</f>
        <v>3.8888888888888888</v>
      </c>
      <c r="Y306" s="607">
        <f>IFERROR(Y305/H305,"0")</f>
        <v>4</v>
      </c>
      <c r="Z306" s="607">
        <f>IFERROR(IF(Z305="",0,Z305),"0")</f>
        <v>2.3599999999999999E-2</v>
      </c>
      <c r="AA306" s="608"/>
      <c r="AB306" s="608"/>
      <c r="AC306" s="608"/>
    </row>
    <row r="307" spans="1:68" x14ac:dyDescent="0.2">
      <c r="A307" s="615"/>
      <c r="B307" s="615"/>
      <c r="C307" s="615"/>
      <c r="D307" s="615"/>
      <c r="E307" s="615"/>
      <c r="F307" s="615"/>
      <c r="G307" s="615"/>
      <c r="H307" s="615"/>
      <c r="I307" s="615"/>
      <c r="J307" s="615"/>
      <c r="K307" s="615"/>
      <c r="L307" s="615"/>
      <c r="M307" s="615"/>
      <c r="N307" s="615"/>
      <c r="O307" s="620"/>
      <c r="P307" s="622" t="s">
        <v>72</v>
      </c>
      <c r="Q307" s="623"/>
      <c r="R307" s="623"/>
      <c r="S307" s="623"/>
      <c r="T307" s="623"/>
      <c r="U307" s="623"/>
      <c r="V307" s="624"/>
      <c r="W307" s="37" t="s">
        <v>67</v>
      </c>
      <c r="X307" s="607">
        <f>IFERROR(SUM(X305:X305),"0")</f>
        <v>7</v>
      </c>
      <c r="Y307" s="607">
        <f>IFERROR(SUM(Y305:Y305),"0")</f>
        <v>7.2</v>
      </c>
      <c r="Z307" s="37"/>
      <c r="AA307" s="608"/>
      <c r="AB307" s="608"/>
      <c r="AC307" s="608"/>
    </row>
    <row r="308" spans="1:68" ht="14.25" customHeight="1" x14ac:dyDescent="0.25">
      <c r="A308" s="614" t="s">
        <v>324</v>
      </c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5"/>
      <c r="P308" s="615"/>
      <c r="Q308" s="615"/>
      <c r="R308" s="615"/>
      <c r="S308" s="615"/>
      <c r="T308" s="615"/>
      <c r="U308" s="615"/>
      <c r="V308" s="615"/>
      <c r="W308" s="615"/>
      <c r="X308" s="615"/>
      <c r="Y308" s="615"/>
      <c r="Z308" s="615"/>
      <c r="AA308" s="601"/>
      <c r="AB308" s="601"/>
      <c r="AC308" s="601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19"/>
      <c r="B312" s="615"/>
      <c r="C312" s="615"/>
      <c r="D312" s="615"/>
      <c r="E312" s="615"/>
      <c r="F312" s="615"/>
      <c r="G312" s="615"/>
      <c r="H312" s="615"/>
      <c r="I312" s="615"/>
      <c r="J312" s="615"/>
      <c r="K312" s="615"/>
      <c r="L312" s="615"/>
      <c r="M312" s="615"/>
      <c r="N312" s="615"/>
      <c r="O312" s="620"/>
      <c r="P312" s="622" t="s">
        <v>72</v>
      </c>
      <c r="Q312" s="623"/>
      <c r="R312" s="623"/>
      <c r="S312" s="623"/>
      <c r="T312" s="623"/>
      <c r="U312" s="623"/>
      <c r="V312" s="624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5"/>
      <c r="B313" s="615"/>
      <c r="C313" s="615"/>
      <c r="D313" s="615"/>
      <c r="E313" s="615"/>
      <c r="F313" s="615"/>
      <c r="G313" s="615"/>
      <c r="H313" s="615"/>
      <c r="I313" s="615"/>
      <c r="J313" s="615"/>
      <c r="K313" s="615"/>
      <c r="L313" s="615"/>
      <c r="M313" s="615"/>
      <c r="N313" s="615"/>
      <c r="O313" s="620"/>
      <c r="P313" s="622" t="s">
        <v>72</v>
      </c>
      <c r="Q313" s="623"/>
      <c r="R313" s="623"/>
      <c r="S313" s="623"/>
      <c r="T313" s="623"/>
      <c r="U313" s="623"/>
      <c r="V313" s="624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48" t="s">
        <v>515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00"/>
      <c r="AB314" s="600"/>
      <c r="AC314" s="600"/>
    </row>
    <row r="315" spans="1:68" ht="14.25" customHeight="1" x14ac:dyDescent="0.25">
      <c r="A315" s="614" t="s">
        <v>121</v>
      </c>
      <c r="B315" s="615"/>
      <c r="C315" s="615"/>
      <c r="D315" s="615"/>
      <c r="E315" s="615"/>
      <c r="F315" s="615"/>
      <c r="G315" s="615"/>
      <c r="H315" s="615"/>
      <c r="I315" s="615"/>
      <c r="J315" s="615"/>
      <c r="K315" s="615"/>
      <c r="L315" s="615"/>
      <c r="M315" s="615"/>
      <c r="N315" s="615"/>
      <c r="O315" s="615"/>
      <c r="P315" s="615"/>
      <c r="Q315" s="615"/>
      <c r="R315" s="615"/>
      <c r="S315" s="615"/>
      <c r="T315" s="615"/>
      <c r="U315" s="615"/>
      <c r="V315" s="615"/>
      <c r="W315" s="615"/>
      <c r="X315" s="615"/>
      <c r="Y315" s="615"/>
      <c r="Z315" s="615"/>
      <c r="AA315" s="601"/>
      <c r="AB315" s="601"/>
      <c r="AC315" s="601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10</v>
      </c>
      <c r="Y318" s="606">
        <f>IFERROR(IF(X318="",0,CEILING((X318/$H318),1)*$H318),"")</f>
        <v>10.8</v>
      </c>
      <c r="Z318" s="36">
        <f>IFERROR(IF(Y318=0,"",ROUNDUP(Y318/H318,0)*0.01898),"")</f>
        <v>1.898E-2</v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10.37962962962963</v>
      </c>
      <c r="BN318" s="64">
        <f>IFERROR(Y318*I318/H318,"0")</f>
        <v>11.21</v>
      </c>
      <c r="BO318" s="64">
        <f>IFERROR(1/J318*(X318/H318),"0")</f>
        <v>1.4467592592592591E-2</v>
      </c>
      <c r="BP318" s="64">
        <f>IFERROR(1/J318*(Y318/H318),"0")</f>
        <v>1.5625E-2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19"/>
      <c r="B321" s="615"/>
      <c r="C321" s="615"/>
      <c r="D321" s="615"/>
      <c r="E321" s="615"/>
      <c r="F321" s="615"/>
      <c r="G321" s="615"/>
      <c r="H321" s="615"/>
      <c r="I321" s="615"/>
      <c r="J321" s="615"/>
      <c r="K321" s="615"/>
      <c r="L321" s="615"/>
      <c r="M321" s="615"/>
      <c r="N321" s="615"/>
      <c r="O321" s="620"/>
      <c r="P321" s="622" t="s">
        <v>72</v>
      </c>
      <c r="Q321" s="623"/>
      <c r="R321" s="623"/>
      <c r="S321" s="623"/>
      <c r="T321" s="623"/>
      <c r="U321" s="623"/>
      <c r="V321" s="624"/>
      <c r="W321" s="37" t="s">
        <v>73</v>
      </c>
      <c r="X321" s="607">
        <f>IFERROR(X316/H316,"0")+IFERROR(X317/H317,"0")+IFERROR(X318/H318,"0")+IFERROR(X319/H319,"0")+IFERROR(X320/H320,"0")</f>
        <v>0.92592592592592582</v>
      </c>
      <c r="Y321" s="607">
        <f>IFERROR(Y316/H316,"0")+IFERROR(Y317/H317,"0")+IFERROR(Y318/H318,"0")+IFERROR(Y319/H319,"0")+IFERROR(Y320/H320,"0")</f>
        <v>1</v>
      </c>
      <c r="Z321" s="607">
        <f>IFERROR(IF(Z316="",0,Z316),"0")+IFERROR(IF(Z317="",0,Z317),"0")+IFERROR(IF(Z318="",0,Z318),"0")+IFERROR(IF(Z319="",0,Z319),"0")+IFERROR(IF(Z320="",0,Z320),"0")</f>
        <v>1.898E-2</v>
      </c>
      <c r="AA321" s="608"/>
      <c r="AB321" s="608"/>
      <c r="AC321" s="608"/>
    </row>
    <row r="322" spans="1:68" x14ac:dyDescent="0.2">
      <c r="A322" s="615"/>
      <c r="B322" s="615"/>
      <c r="C322" s="615"/>
      <c r="D322" s="615"/>
      <c r="E322" s="615"/>
      <c r="F322" s="615"/>
      <c r="G322" s="615"/>
      <c r="H322" s="615"/>
      <c r="I322" s="615"/>
      <c r="J322" s="615"/>
      <c r="K322" s="615"/>
      <c r="L322" s="615"/>
      <c r="M322" s="615"/>
      <c r="N322" s="615"/>
      <c r="O322" s="620"/>
      <c r="P322" s="622" t="s">
        <v>72</v>
      </c>
      <c r="Q322" s="623"/>
      <c r="R322" s="623"/>
      <c r="S322" s="623"/>
      <c r="T322" s="623"/>
      <c r="U322" s="623"/>
      <c r="V322" s="624"/>
      <c r="W322" s="37" t="s">
        <v>67</v>
      </c>
      <c r="X322" s="607">
        <f>IFERROR(SUM(X316:X320),"0")</f>
        <v>10</v>
      </c>
      <c r="Y322" s="607">
        <f>IFERROR(SUM(Y316:Y320),"0")</f>
        <v>10.8</v>
      </c>
      <c r="Z322" s="37"/>
      <c r="AA322" s="608"/>
      <c r="AB322" s="608"/>
      <c r="AC322" s="608"/>
    </row>
    <row r="323" spans="1:68" ht="16.5" customHeight="1" x14ac:dyDescent="0.25">
      <c r="A323" s="648" t="s">
        <v>531</v>
      </c>
      <c r="B323" s="615"/>
      <c r="C323" s="615"/>
      <c r="D323" s="615"/>
      <c r="E323" s="615"/>
      <c r="F323" s="615"/>
      <c r="G323" s="615"/>
      <c r="H323" s="615"/>
      <c r="I323" s="615"/>
      <c r="J323" s="615"/>
      <c r="K323" s="615"/>
      <c r="L323" s="615"/>
      <c r="M323" s="615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615"/>
      <c r="Y323" s="615"/>
      <c r="Z323" s="615"/>
      <c r="AA323" s="600"/>
      <c r="AB323" s="600"/>
      <c r="AC323" s="600"/>
    </row>
    <row r="324" spans="1:68" ht="14.25" customHeight="1" x14ac:dyDescent="0.25">
      <c r="A324" s="614" t="s">
        <v>74</v>
      </c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5"/>
      <c r="P324" s="615"/>
      <c r="Q324" s="615"/>
      <c r="R324" s="615"/>
      <c r="S324" s="615"/>
      <c r="T324" s="615"/>
      <c r="U324" s="615"/>
      <c r="V324" s="615"/>
      <c r="W324" s="615"/>
      <c r="X324" s="615"/>
      <c r="Y324" s="615"/>
      <c r="Z324" s="615"/>
      <c r="AA324" s="601"/>
      <c r="AB324" s="601"/>
      <c r="AC324" s="601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35</v>
      </c>
      <c r="Y326" s="606">
        <f>IFERROR(IF(X326="",0,CEILING((X326/$H326),1)*$H326),"")</f>
        <v>36</v>
      </c>
      <c r="Z326" s="36">
        <f>IFERROR(IF(Y326=0,"",ROUNDUP(Y326/H326,0)*0.00651),"")</f>
        <v>9.7650000000000001E-2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38.675000000000004</v>
      </c>
      <c r="BN326" s="64">
        <f>IFERROR(Y326*I326/H326,"0")</f>
        <v>39.780000000000008</v>
      </c>
      <c r="BO326" s="64">
        <f>IFERROR(1/J326*(X326/H326),"0")</f>
        <v>8.0128205128205135E-2</v>
      </c>
      <c r="BP326" s="64">
        <f>IFERROR(1/J326*(Y326/H326),"0")</f>
        <v>8.241758241758243E-2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3</v>
      </c>
      <c r="Y327" s="606">
        <f>IFERROR(IF(X327="",0,CEILING((X327/$H327),1)*$H327),"")</f>
        <v>4.8</v>
      </c>
      <c r="Z327" s="36">
        <f>IFERROR(IF(Y327=0,"",ROUNDUP(Y327/H327,0)*0.00651),"")</f>
        <v>1.302E-2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3.2250000000000001</v>
      </c>
      <c r="BN327" s="64">
        <f>IFERROR(Y327*I327/H327,"0")</f>
        <v>5.16</v>
      </c>
      <c r="BO327" s="64">
        <f>IFERROR(1/J327*(X327/H327),"0")</f>
        <v>6.8681318681318689E-3</v>
      </c>
      <c r="BP327" s="64">
        <f>IFERROR(1/J327*(Y327/H327),"0")</f>
        <v>1.098901098901099E-2</v>
      </c>
    </row>
    <row r="328" spans="1:68" x14ac:dyDescent="0.2">
      <c r="A328" s="619"/>
      <c r="B328" s="615"/>
      <c r="C328" s="615"/>
      <c r="D328" s="615"/>
      <c r="E328" s="615"/>
      <c r="F328" s="615"/>
      <c r="G328" s="615"/>
      <c r="H328" s="615"/>
      <c r="I328" s="615"/>
      <c r="J328" s="615"/>
      <c r="K328" s="615"/>
      <c r="L328" s="615"/>
      <c r="M328" s="615"/>
      <c r="N328" s="615"/>
      <c r="O328" s="620"/>
      <c r="P328" s="622" t="s">
        <v>72</v>
      </c>
      <c r="Q328" s="623"/>
      <c r="R328" s="623"/>
      <c r="S328" s="623"/>
      <c r="T328" s="623"/>
      <c r="U328" s="623"/>
      <c r="V328" s="624"/>
      <c r="W328" s="37" t="s">
        <v>73</v>
      </c>
      <c r="X328" s="607">
        <f>IFERROR(X325/H325,"0")+IFERROR(X326/H326,"0")+IFERROR(X327/H327,"0")</f>
        <v>15.833333333333334</v>
      </c>
      <c r="Y328" s="607">
        <f>IFERROR(Y325/H325,"0")+IFERROR(Y326/H326,"0")+IFERROR(Y327/H327,"0")</f>
        <v>17</v>
      </c>
      <c r="Z328" s="607">
        <f>IFERROR(IF(Z325="",0,Z325),"0")+IFERROR(IF(Z326="",0,Z326),"0")+IFERROR(IF(Z327="",0,Z327),"0")</f>
        <v>0.11067</v>
      </c>
      <c r="AA328" s="608"/>
      <c r="AB328" s="608"/>
      <c r="AC328" s="608"/>
    </row>
    <row r="329" spans="1:68" x14ac:dyDescent="0.2">
      <c r="A329" s="615"/>
      <c r="B329" s="615"/>
      <c r="C329" s="615"/>
      <c r="D329" s="615"/>
      <c r="E329" s="615"/>
      <c r="F329" s="615"/>
      <c r="G329" s="615"/>
      <c r="H329" s="615"/>
      <c r="I329" s="615"/>
      <c r="J329" s="615"/>
      <c r="K329" s="615"/>
      <c r="L329" s="615"/>
      <c r="M329" s="615"/>
      <c r="N329" s="615"/>
      <c r="O329" s="620"/>
      <c r="P329" s="622" t="s">
        <v>72</v>
      </c>
      <c r="Q329" s="623"/>
      <c r="R329" s="623"/>
      <c r="S329" s="623"/>
      <c r="T329" s="623"/>
      <c r="U329" s="623"/>
      <c r="V329" s="624"/>
      <c r="W329" s="37" t="s">
        <v>67</v>
      </c>
      <c r="X329" s="607">
        <f>IFERROR(SUM(X325:X327),"0")</f>
        <v>38</v>
      </c>
      <c r="Y329" s="607">
        <f>IFERROR(SUM(Y325:Y327),"0")</f>
        <v>40.799999999999997</v>
      </c>
      <c r="Z329" s="37"/>
      <c r="AA329" s="608"/>
      <c r="AB329" s="608"/>
      <c r="AC329" s="608"/>
    </row>
    <row r="330" spans="1:68" ht="16.5" customHeight="1" x14ac:dyDescent="0.25">
      <c r="A330" s="648" t="s">
        <v>540</v>
      </c>
      <c r="B330" s="615"/>
      <c r="C330" s="615"/>
      <c r="D330" s="615"/>
      <c r="E330" s="615"/>
      <c r="F330" s="615"/>
      <c r="G330" s="615"/>
      <c r="H330" s="615"/>
      <c r="I330" s="615"/>
      <c r="J330" s="615"/>
      <c r="K330" s="615"/>
      <c r="L330" s="615"/>
      <c r="M330" s="615"/>
      <c r="N330" s="615"/>
      <c r="O330" s="615"/>
      <c r="P330" s="615"/>
      <c r="Q330" s="615"/>
      <c r="R330" s="615"/>
      <c r="S330" s="615"/>
      <c r="T330" s="615"/>
      <c r="U330" s="615"/>
      <c r="V330" s="615"/>
      <c r="W330" s="615"/>
      <c r="X330" s="615"/>
      <c r="Y330" s="615"/>
      <c r="Z330" s="615"/>
      <c r="AA330" s="600"/>
      <c r="AB330" s="600"/>
      <c r="AC330" s="600"/>
    </row>
    <row r="331" spans="1:68" ht="14.25" customHeight="1" x14ac:dyDescent="0.25">
      <c r="A331" s="614" t="s">
        <v>62</v>
      </c>
      <c r="B331" s="615"/>
      <c r="C331" s="615"/>
      <c r="D331" s="615"/>
      <c r="E331" s="615"/>
      <c r="F331" s="615"/>
      <c r="G331" s="615"/>
      <c r="H331" s="615"/>
      <c r="I331" s="615"/>
      <c r="J331" s="615"/>
      <c r="K331" s="615"/>
      <c r="L331" s="615"/>
      <c r="M331" s="615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615"/>
      <c r="Y331" s="615"/>
      <c r="Z331" s="615"/>
      <c r="AA331" s="601"/>
      <c r="AB331" s="601"/>
      <c r="AC331" s="601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19"/>
      <c r="B337" s="615"/>
      <c r="C337" s="615"/>
      <c r="D337" s="615"/>
      <c r="E337" s="615"/>
      <c r="F337" s="615"/>
      <c r="G337" s="615"/>
      <c r="H337" s="615"/>
      <c r="I337" s="615"/>
      <c r="J337" s="615"/>
      <c r="K337" s="615"/>
      <c r="L337" s="615"/>
      <c r="M337" s="615"/>
      <c r="N337" s="615"/>
      <c r="O337" s="620"/>
      <c r="P337" s="622" t="s">
        <v>72</v>
      </c>
      <c r="Q337" s="623"/>
      <c r="R337" s="623"/>
      <c r="S337" s="623"/>
      <c r="T337" s="623"/>
      <c r="U337" s="623"/>
      <c r="V337" s="624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5"/>
      <c r="B338" s="615"/>
      <c r="C338" s="615"/>
      <c r="D338" s="615"/>
      <c r="E338" s="615"/>
      <c r="F338" s="615"/>
      <c r="G338" s="615"/>
      <c r="H338" s="615"/>
      <c r="I338" s="615"/>
      <c r="J338" s="615"/>
      <c r="K338" s="615"/>
      <c r="L338" s="615"/>
      <c r="M338" s="615"/>
      <c r="N338" s="615"/>
      <c r="O338" s="620"/>
      <c r="P338" s="622" t="s">
        <v>72</v>
      </c>
      <c r="Q338" s="623"/>
      <c r="R338" s="623"/>
      <c r="S338" s="623"/>
      <c r="T338" s="623"/>
      <c r="U338" s="623"/>
      <c r="V338" s="624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4" t="s">
        <v>74</v>
      </c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5"/>
      <c r="P339" s="615"/>
      <c r="Q339" s="615"/>
      <c r="R339" s="615"/>
      <c r="S339" s="615"/>
      <c r="T339" s="615"/>
      <c r="U339" s="615"/>
      <c r="V339" s="615"/>
      <c r="W339" s="615"/>
      <c r="X339" s="615"/>
      <c r="Y339" s="615"/>
      <c r="Z339" s="615"/>
      <c r="AA339" s="601"/>
      <c r="AB339" s="601"/>
      <c r="AC339" s="601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19"/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20"/>
      <c r="P342" s="622" t="s">
        <v>72</v>
      </c>
      <c r="Q342" s="623"/>
      <c r="R342" s="623"/>
      <c r="S342" s="623"/>
      <c r="T342" s="623"/>
      <c r="U342" s="623"/>
      <c r="V342" s="624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5"/>
      <c r="B343" s="615"/>
      <c r="C343" s="615"/>
      <c r="D343" s="615"/>
      <c r="E343" s="615"/>
      <c r="F343" s="615"/>
      <c r="G343" s="615"/>
      <c r="H343" s="615"/>
      <c r="I343" s="615"/>
      <c r="J343" s="615"/>
      <c r="K343" s="615"/>
      <c r="L343" s="615"/>
      <c r="M343" s="615"/>
      <c r="N343" s="615"/>
      <c r="O343" s="620"/>
      <c r="P343" s="622" t="s">
        <v>72</v>
      </c>
      <c r="Q343" s="623"/>
      <c r="R343" s="623"/>
      <c r="S343" s="623"/>
      <c r="T343" s="623"/>
      <c r="U343" s="623"/>
      <c r="V343" s="624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48" t="s">
        <v>561</v>
      </c>
      <c r="B344" s="615"/>
      <c r="C344" s="615"/>
      <c r="D344" s="615"/>
      <c r="E344" s="615"/>
      <c r="F344" s="615"/>
      <c r="G344" s="615"/>
      <c r="H344" s="615"/>
      <c r="I344" s="615"/>
      <c r="J344" s="615"/>
      <c r="K344" s="615"/>
      <c r="L344" s="615"/>
      <c r="M344" s="615"/>
      <c r="N344" s="615"/>
      <c r="O344" s="615"/>
      <c r="P344" s="615"/>
      <c r="Q344" s="615"/>
      <c r="R344" s="615"/>
      <c r="S344" s="615"/>
      <c r="T344" s="615"/>
      <c r="U344" s="615"/>
      <c r="V344" s="615"/>
      <c r="W344" s="615"/>
      <c r="X344" s="615"/>
      <c r="Y344" s="615"/>
      <c r="Z344" s="615"/>
      <c r="AA344" s="600"/>
      <c r="AB344" s="600"/>
      <c r="AC344" s="600"/>
    </row>
    <row r="345" spans="1:68" ht="14.25" customHeight="1" x14ac:dyDescent="0.25">
      <c r="A345" s="614" t="s">
        <v>121</v>
      </c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5"/>
      <c r="P345" s="615"/>
      <c r="Q345" s="615"/>
      <c r="R345" s="615"/>
      <c r="S345" s="615"/>
      <c r="T345" s="615"/>
      <c r="U345" s="615"/>
      <c r="V345" s="615"/>
      <c r="W345" s="615"/>
      <c r="X345" s="615"/>
      <c r="Y345" s="615"/>
      <c r="Z345" s="615"/>
      <c r="AA345" s="601"/>
      <c r="AB345" s="601"/>
      <c r="AC345" s="601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11</v>
      </c>
      <c r="Y346" s="606">
        <f>IFERROR(IF(X346="",0,CEILING((X346/$H346),1)*$H346),"")</f>
        <v>15.6</v>
      </c>
      <c r="Z346" s="36">
        <f>IFERROR(IF(Y346=0,"",ROUNDUP(Y346/H346,0)*0.01898),"")</f>
        <v>3.7960000000000001E-2</v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11.578205128205129</v>
      </c>
      <c r="BN346" s="64">
        <f>IFERROR(Y346*I346/H346,"0")</f>
        <v>16.420000000000002</v>
      </c>
      <c r="BO346" s="64">
        <f>IFERROR(1/J346*(X346/H346),"0")</f>
        <v>2.2035256410256412E-2</v>
      </c>
      <c r="BP346" s="64">
        <f>IFERROR(1/J346*(Y346/H346),"0")</f>
        <v>3.125E-2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19"/>
      <c r="B349" s="615"/>
      <c r="C349" s="615"/>
      <c r="D349" s="615"/>
      <c r="E349" s="615"/>
      <c r="F349" s="615"/>
      <c r="G349" s="615"/>
      <c r="H349" s="615"/>
      <c r="I349" s="615"/>
      <c r="J349" s="615"/>
      <c r="K349" s="615"/>
      <c r="L349" s="615"/>
      <c r="M349" s="615"/>
      <c r="N349" s="615"/>
      <c r="O349" s="620"/>
      <c r="P349" s="622" t="s">
        <v>72</v>
      </c>
      <c r="Q349" s="623"/>
      <c r="R349" s="623"/>
      <c r="S349" s="623"/>
      <c r="T349" s="623"/>
      <c r="U349" s="623"/>
      <c r="V349" s="624"/>
      <c r="W349" s="37" t="s">
        <v>73</v>
      </c>
      <c r="X349" s="607">
        <f>IFERROR(X346/H346,"0")+IFERROR(X347/H347,"0")+IFERROR(X348/H348,"0")</f>
        <v>1.4102564102564104</v>
      </c>
      <c r="Y349" s="607">
        <f>IFERROR(Y346/H346,"0")+IFERROR(Y347/H347,"0")+IFERROR(Y348/H348,"0")</f>
        <v>2</v>
      </c>
      <c r="Z349" s="607">
        <f>IFERROR(IF(Z346="",0,Z346),"0")+IFERROR(IF(Z347="",0,Z347),"0")+IFERROR(IF(Z348="",0,Z348),"0")</f>
        <v>3.7960000000000001E-2</v>
      </c>
      <c r="AA349" s="608"/>
      <c r="AB349" s="608"/>
      <c r="AC349" s="608"/>
    </row>
    <row r="350" spans="1:68" x14ac:dyDescent="0.2">
      <c r="A350" s="615"/>
      <c r="B350" s="615"/>
      <c r="C350" s="615"/>
      <c r="D350" s="615"/>
      <c r="E350" s="615"/>
      <c r="F350" s="615"/>
      <c r="G350" s="615"/>
      <c r="H350" s="615"/>
      <c r="I350" s="615"/>
      <c r="J350" s="615"/>
      <c r="K350" s="615"/>
      <c r="L350" s="615"/>
      <c r="M350" s="615"/>
      <c r="N350" s="615"/>
      <c r="O350" s="620"/>
      <c r="P350" s="622" t="s">
        <v>72</v>
      </c>
      <c r="Q350" s="623"/>
      <c r="R350" s="623"/>
      <c r="S350" s="623"/>
      <c r="T350" s="623"/>
      <c r="U350" s="623"/>
      <c r="V350" s="624"/>
      <c r="W350" s="37" t="s">
        <v>67</v>
      </c>
      <c r="X350" s="607">
        <f>IFERROR(SUM(X346:X348),"0")</f>
        <v>11</v>
      </c>
      <c r="Y350" s="607">
        <f>IFERROR(SUM(Y346:Y348),"0")</f>
        <v>15.6</v>
      </c>
      <c r="Z350" s="37"/>
      <c r="AA350" s="608"/>
      <c r="AB350" s="608"/>
      <c r="AC350" s="608"/>
    </row>
    <row r="351" spans="1:68" ht="16.5" customHeight="1" x14ac:dyDescent="0.25">
      <c r="A351" s="648" t="s">
        <v>570</v>
      </c>
      <c r="B351" s="615"/>
      <c r="C351" s="615"/>
      <c r="D351" s="615"/>
      <c r="E351" s="615"/>
      <c r="F351" s="615"/>
      <c r="G351" s="615"/>
      <c r="H351" s="615"/>
      <c r="I351" s="615"/>
      <c r="J351" s="615"/>
      <c r="K351" s="615"/>
      <c r="L351" s="615"/>
      <c r="M351" s="615"/>
      <c r="N351" s="615"/>
      <c r="O351" s="615"/>
      <c r="P351" s="615"/>
      <c r="Q351" s="615"/>
      <c r="R351" s="615"/>
      <c r="S351" s="615"/>
      <c r="T351" s="615"/>
      <c r="U351" s="615"/>
      <c r="V351" s="615"/>
      <c r="W351" s="615"/>
      <c r="X351" s="615"/>
      <c r="Y351" s="615"/>
      <c r="Z351" s="615"/>
      <c r="AA351" s="600"/>
      <c r="AB351" s="600"/>
      <c r="AC351" s="600"/>
    </row>
    <row r="352" spans="1:68" ht="14.25" customHeight="1" x14ac:dyDescent="0.25">
      <c r="A352" s="614" t="s">
        <v>121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01"/>
      <c r="AB352" s="601"/>
      <c r="AC352" s="601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20</v>
      </c>
      <c r="Y354" s="606">
        <f>IFERROR(IF(X354="",0,CEILING((X354/$H354),1)*$H354),"")</f>
        <v>21.6</v>
      </c>
      <c r="Z354" s="36">
        <f>IFERROR(IF(Y354=0,"",ROUNDUP(Y354/H354,0)*0.01898),"")</f>
        <v>3.7960000000000001E-2</v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20.75925925925926</v>
      </c>
      <c r="BN354" s="64">
        <f>IFERROR(Y354*I354/H354,"0")</f>
        <v>22.42</v>
      </c>
      <c r="BO354" s="64">
        <f>IFERROR(1/J354*(X354/H354),"0")</f>
        <v>2.8935185185185182E-2</v>
      </c>
      <c r="BP354" s="64">
        <f>IFERROR(1/J354*(Y354/H354),"0")</f>
        <v>3.125E-2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129</v>
      </c>
      <c r="Y355" s="606">
        <f>IFERROR(IF(X355="",0,CEILING((X355/$H355),1)*$H355),"")</f>
        <v>129.60000000000002</v>
      </c>
      <c r="Z355" s="36">
        <f>IFERROR(IF(Y355=0,"",ROUNDUP(Y355/H355,0)*0.01898),"")</f>
        <v>0.22776000000000002</v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133.89722222222224</v>
      </c>
      <c r="BN355" s="64">
        <f>IFERROR(Y355*I355/H355,"0")</f>
        <v>134.52000000000001</v>
      </c>
      <c r="BO355" s="64">
        <f>IFERROR(1/J355*(X355/H355),"0")</f>
        <v>0.18663194444444442</v>
      </c>
      <c r="BP355" s="64">
        <f>IFERROR(1/J355*(Y355/H355),"0")</f>
        <v>0.18750000000000003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9"/>
      <c r="B358" s="615"/>
      <c r="C358" s="615"/>
      <c r="D358" s="615"/>
      <c r="E358" s="615"/>
      <c r="F358" s="615"/>
      <c r="G358" s="615"/>
      <c r="H358" s="615"/>
      <c r="I358" s="615"/>
      <c r="J358" s="615"/>
      <c r="K358" s="615"/>
      <c r="L358" s="615"/>
      <c r="M358" s="615"/>
      <c r="N358" s="615"/>
      <c r="O358" s="620"/>
      <c r="P358" s="622" t="s">
        <v>72</v>
      </c>
      <c r="Q358" s="623"/>
      <c r="R358" s="623"/>
      <c r="S358" s="623"/>
      <c r="T358" s="623"/>
      <c r="U358" s="623"/>
      <c r="V358" s="624"/>
      <c r="W358" s="37" t="s">
        <v>73</v>
      </c>
      <c r="X358" s="607">
        <f>IFERROR(X353/H353,"0")+IFERROR(X354/H354,"0")+IFERROR(X355/H355,"0")+IFERROR(X356/H356,"0")+IFERROR(X357/H357,"0")</f>
        <v>13.796296296296294</v>
      </c>
      <c r="Y358" s="607">
        <f>IFERROR(Y353/H353,"0")+IFERROR(Y354/H354,"0")+IFERROR(Y355/H355,"0")+IFERROR(Y356/H356,"0")+IFERROR(Y357/H357,"0")</f>
        <v>14.000000000000002</v>
      </c>
      <c r="Z358" s="607">
        <f>IFERROR(IF(Z353="",0,Z353),"0")+IFERROR(IF(Z354="",0,Z354),"0")+IFERROR(IF(Z355="",0,Z355),"0")+IFERROR(IF(Z356="",0,Z356),"0")+IFERROR(IF(Z357="",0,Z357),"0")</f>
        <v>0.26572000000000001</v>
      </c>
      <c r="AA358" s="608"/>
      <c r="AB358" s="608"/>
      <c r="AC358" s="608"/>
    </row>
    <row r="359" spans="1:68" x14ac:dyDescent="0.2">
      <c r="A359" s="615"/>
      <c r="B359" s="615"/>
      <c r="C359" s="615"/>
      <c r="D359" s="615"/>
      <c r="E359" s="615"/>
      <c r="F359" s="615"/>
      <c r="G359" s="615"/>
      <c r="H359" s="615"/>
      <c r="I359" s="615"/>
      <c r="J359" s="615"/>
      <c r="K359" s="615"/>
      <c r="L359" s="615"/>
      <c r="M359" s="615"/>
      <c r="N359" s="615"/>
      <c r="O359" s="620"/>
      <c r="P359" s="622" t="s">
        <v>72</v>
      </c>
      <c r="Q359" s="623"/>
      <c r="R359" s="623"/>
      <c r="S359" s="623"/>
      <c r="T359" s="623"/>
      <c r="U359" s="623"/>
      <c r="V359" s="624"/>
      <c r="W359" s="37" t="s">
        <v>67</v>
      </c>
      <c r="X359" s="607">
        <f>IFERROR(SUM(X353:X357),"0")</f>
        <v>149</v>
      </c>
      <c r="Y359" s="607">
        <f>IFERROR(SUM(Y353:Y357),"0")</f>
        <v>151.20000000000002</v>
      </c>
      <c r="Z359" s="37"/>
      <c r="AA359" s="608"/>
      <c r="AB359" s="608"/>
      <c r="AC359" s="608"/>
    </row>
    <row r="360" spans="1:68" ht="14.25" customHeight="1" x14ac:dyDescent="0.25">
      <c r="A360" s="614" t="s">
        <v>62</v>
      </c>
      <c r="B360" s="615"/>
      <c r="C360" s="615"/>
      <c r="D360" s="615"/>
      <c r="E360" s="615"/>
      <c r="F360" s="615"/>
      <c r="G360" s="615"/>
      <c r="H360" s="615"/>
      <c r="I360" s="615"/>
      <c r="J360" s="615"/>
      <c r="K360" s="615"/>
      <c r="L360" s="615"/>
      <c r="M360" s="615"/>
      <c r="N360" s="615"/>
      <c r="O360" s="615"/>
      <c r="P360" s="615"/>
      <c r="Q360" s="615"/>
      <c r="R360" s="615"/>
      <c r="S360" s="615"/>
      <c r="T360" s="615"/>
      <c r="U360" s="615"/>
      <c r="V360" s="615"/>
      <c r="W360" s="615"/>
      <c r="X360" s="615"/>
      <c r="Y360" s="615"/>
      <c r="Z360" s="615"/>
      <c r="AA360" s="601"/>
      <c r="AB360" s="601"/>
      <c r="AC360" s="601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85</v>
      </c>
      <c r="Y362" s="606">
        <f t="shared" si="53"/>
        <v>88.2</v>
      </c>
      <c r="Z362" s="36">
        <f>IFERROR(IF(Y362=0,"",ROUNDUP(Y362/H362,0)*0.00902),"")</f>
        <v>0.18942000000000001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90.05952380952381</v>
      </c>
      <c r="BN362" s="64">
        <f t="shared" si="55"/>
        <v>93.45</v>
      </c>
      <c r="BO362" s="64">
        <f t="shared" si="56"/>
        <v>0.15331890331890333</v>
      </c>
      <c r="BP362" s="64">
        <f t="shared" si="57"/>
        <v>0.15909090909090909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7</v>
      </c>
      <c r="Y367" s="606">
        <f t="shared" si="53"/>
        <v>7.2</v>
      </c>
      <c r="Z367" s="36">
        <f>IFERROR(IF(Y367=0,"",ROUNDUP(Y367/H367,0)*0.00651),"")</f>
        <v>2.6040000000000001E-2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7.8866666666666667</v>
      </c>
      <c r="BN367" s="64">
        <f t="shared" si="55"/>
        <v>8.1120000000000001</v>
      </c>
      <c r="BO367" s="64">
        <f t="shared" si="56"/>
        <v>2.1367521367521368E-2</v>
      </c>
      <c r="BP367" s="64">
        <f t="shared" si="57"/>
        <v>2.197802197802198E-2</v>
      </c>
    </row>
    <row r="368" spans="1:68" x14ac:dyDescent="0.2">
      <c r="A368" s="619"/>
      <c r="B368" s="615"/>
      <c r="C368" s="615"/>
      <c r="D368" s="615"/>
      <c r="E368" s="615"/>
      <c r="F368" s="615"/>
      <c r="G368" s="615"/>
      <c r="H368" s="615"/>
      <c r="I368" s="615"/>
      <c r="J368" s="615"/>
      <c r="K368" s="615"/>
      <c r="L368" s="615"/>
      <c r="M368" s="615"/>
      <c r="N368" s="615"/>
      <c r="O368" s="620"/>
      <c r="P368" s="622" t="s">
        <v>72</v>
      </c>
      <c r="Q368" s="623"/>
      <c r="R368" s="623"/>
      <c r="S368" s="623"/>
      <c r="T368" s="623"/>
      <c r="U368" s="623"/>
      <c r="V368" s="624"/>
      <c r="W368" s="37" t="s">
        <v>73</v>
      </c>
      <c r="X368" s="607">
        <f>IFERROR(X361/H361,"0")+IFERROR(X362/H362,"0")+IFERROR(X363/H363,"0")+IFERROR(X364/H364,"0")+IFERROR(X365/H365,"0")+IFERROR(X366/H366,"0")+IFERROR(X367/H367,"0")</f>
        <v>24.126984126984127</v>
      </c>
      <c r="Y368" s="607">
        <f>IFERROR(Y361/H361,"0")+IFERROR(Y362/H362,"0")+IFERROR(Y363/H363,"0")+IFERROR(Y364/H364,"0")+IFERROR(Y365/H365,"0")+IFERROR(Y366/H366,"0")+IFERROR(Y367/H367,"0")</f>
        <v>25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0.21546000000000001</v>
      </c>
      <c r="AA368" s="608"/>
      <c r="AB368" s="608"/>
      <c r="AC368" s="608"/>
    </row>
    <row r="369" spans="1:68" x14ac:dyDescent="0.2">
      <c r="A369" s="615"/>
      <c r="B369" s="615"/>
      <c r="C369" s="615"/>
      <c r="D369" s="615"/>
      <c r="E369" s="615"/>
      <c r="F369" s="615"/>
      <c r="G369" s="615"/>
      <c r="H369" s="615"/>
      <c r="I369" s="615"/>
      <c r="J369" s="615"/>
      <c r="K369" s="615"/>
      <c r="L369" s="615"/>
      <c r="M369" s="615"/>
      <c r="N369" s="615"/>
      <c r="O369" s="620"/>
      <c r="P369" s="622" t="s">
        <v>72</v>
      </c>
      <c r="Q369" s="623"/>
      <c r="R369" s="623"/>
      <c r="S369" s="623"/>
      <c r="T369" s="623"/>
      <c r="U369" s="623"/>
      <c r="V369" s="624"/>
      <c r="W369" s="37" t="s">
        <v>67</v>
      </c>
      <c r="X369" s="607">
        <f>IFERROR(SUM(X361:X367),"0")</f>
        <v>92</v>
      </c>
      <c r="Y369" s="607">
        <f>IFERROR(SUM(Y361:Y367),"0")</f>
        <v>95.4</v>
      </c>
      <c r="Z369" s="37"/>
      <c r="AA369" s="608"/>
      <c r="AB369" s="608"/>
      <c r="AC369" s="608"/>
    </row>
    <row r="370" spans="1:68" ht="14.25" customHeight="1" x14ac:dyDescent="0.25">
      <c r="A370" s="614" t="s">
        <v>74</v>
      </c>
      <c r="B370" s="615"/>
      <c r="C370" s="615"/>
      <c r="D370" s="615"/>
      <c r="E370" s="615"/>
      <c r="F370" s="615"/>
      <c r="G370" s="615"/>
      <c r="H370" s="615"/>
      <c r="I370" s="615"/>
      <c r="J370" s="615"/>
      <c r="K370" s="615"/>
      <c r="L370" s="615"/>
      <c r="M370" s="615"/>
      <c r="N370" s="615"/>
      <c r="O370" s="615"/>
      <c r="P370" s="615"/>
      <c r="Q370" s="615"/>
      <c r="R370" s="615"/>
      <c r="S370" s="615"/>
      <c r="T370" s="615"/>
      <c r="U370" s="615"/>
      <c r="V370" s="615"/>
      <c r="W370" s="615"/>
      <c r="X370" s="615"/>
      <c r="Y370" s="615"/>
      <c r="Z370" s="615"/>
      <c r="AA370" s="601"/>
      <c r="AB370" s="601"/>
      <c r="AC370" s="601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77</v>
      </c>
      <c r="Y371" s="606">
        <f>IFERROR(IF(X371="",0,CEILING((X371/$H371),1)*$H371),"")</f>
        <v>78</v>
      </c>
      <c r="Z371" s="36">
        <f>IFERROR(IF(Y371=0,"",ROUNDUP(Y371/H371,0)*0.01898),"")</f>
        <v>0.1898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81.8174358974359</v>
      </c>
      <c r="BN371" s="64">
        <f>IFERROR(Y371*I371/H371,"0")</f>
        <v>82.88000000000001</v>
      </c>
      <c r="BO371" s="64">
        <f>IFERROR(1/J371*(X371/H371),"0")</f>
        <v>0.15424679487179488</v>
      </c>
      <c r="BP371" s="64">
        <f>IFERROR(1/J371*(Y371/H371),"0")</f>
        <v>0.15625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9"/>
      <c r="B375" s="615"/>
      <c r="C375" s="615"/>
      <c r="D375" s="615"/>
      <c r="E375" s="615"/>
      <c r="F375" s="615"/>
      <c r="G375" s="615"/>
      <c r="H375" s="615"/>
      <c r="I375" s="615"/>
      <c r="J375" s="615"/>
      <c r="K375" s="615"/>
      <c r="L375" s="615"/>
      <c r="M375" s="615"/>
      <c r="N375" s="615"/>
      <c r="O375" s="620"/>
      <c r="P375" s="622" t="s">
        <v>72</v>
      </c>
      <c r="Q375" s="623"/>
      <c r="R375" s="623"/>
      <c r="S375" s="623"/>
      <c r="T375" s="623"/>
      <c r="U375" s="623"/>
      <c r="V375" s="624"/>
      <c r="W375" s="37" t="s">
        <v>73</v>
      </c>
      <c r="X375" s="607">
        <f>IFERROR(X371/H371,"0")+IFERROR(X372/H372,"0")+IFERROR(X373/H373,"0")+IFERROR(X374/H374,"0")</f>
        <v>9.8717948717948723</v>
      </c>
      <c r="Y375" s="607">
        <f>IFERROR(Y371/H371,"0")+IFERROR(Y372/H372,"0")+IFERROR(Y373/H373,"0")+IFERROR(Y374/H374,"0")</f>
        <v>10</v>
      </c>
      <c r="Z375" s="607">
        <f>IFERROR(IF(Z371="",0,Z371),"0")+IFERROR(IF(Z372="",0,Z372),"0")+IFERROR(IF(Z373="",0,Z373),"0")+IFERROR(IF(Z374="",0,Z374),"0")</f>
        <v>0.1898</v>
      </c>
      <c r="AA375" s="608"/>
      <c r="AB375" s="608"/>
      <c r="AC375" s="608"/>
    </row>
    <row r="376" spans="1:68" x14ac:dyDescent="0.2">
      <c r="A376" s="615"/>
      <c r="B376" s="615"/>
      <c r="C376" s="615"/>
      <c r="D376" s="615"/>
      <c r="E376" s="615"/>
      <c r="F376" s="615"/>
      <c r="G376" s="615"/>
      <c r="H376" s="615"/>
      <c r="I376" s="615"/>
      <c r="J376" s="615"/>
      <c r="K376" s="615"/>
      <c r="L376" s="615"/>
      <c r="M376" s="615"/>
      <c r="N376" s="615"/>
      <c r="O376" s="620"/>
      <c r="P376" s="622" t="s">
        <v>72</v>
      </c>
      <c r="Q376" s="623"/>
      <c r="R376" s="623"/>
      <c r="S376" s="623"/>
      <c r="T376" s="623"/>
      <c r="U376" s="623"/>
      <c r="V376" s="624"/>
      <c r="W376" s="37" t="s">
        <v>67</v>
      </c>
      <c r="X376" s="607">
        <f>IFERROR(SUM(X371:X374),"0")</f>
        <v>77</v>
      </c>
      <c r="Y376" s="607">
        <f>IFERROR(SUM(Y371:Y374),"0")</f>
        <v>78</v>
      </c>
      <c r="Z376" s="37"/>
      <c r="AA376" s="608"/>
      <c r="AB376" s="608"/>
      <c r="AC376" s="608"/>
    </row>
    <row r="377" spans="1:68" ht="14.25" customHeight="1" x14ac:dyDescent="0.25">
      <c r="A377" s="614" t="s">
        <v>173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01"/>
      <c r="AB377" s="601"/>
      <c r="AC377" s="601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2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0</v>
      </c>
      <c r="Y379" s="60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36</v>
      </c>
      <c r="Y380" s="606">
        <f>IFERROR(IF(X380="",0,CEILING((X380/$H380),1)*$H380),"")</f>
        <v>42</v>
      </c>
      <c r="Z380" s="36">
        <f>IFERROR(IF(Y380=0,"",ROUNDUP(Y380/H380,0)*0.01898),"")</f>
        <v>9.4899999999999998E-2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38.117142857142859</v>
      </c>
      <c r="BN380" s="64">
        <f>IFERROR(Y380*I380/H380,"0")</f>
        <v>44.47</v>
      </c>
      <c r="BO380" s="64">
        <f>IFERROR(1/J380*(X380/H380),"0")</f>
        <v>6.6964285714285712E-2</v>
      </c>
      <c r="BP380" s="64">
        <f>IFERROR(1/J380*(Y380/H380),"0")</f>
        <v>7.8125E-2</v>
      </c>
    </row>
    <row r="381" spans="1:68" x14ac:dyDescent="0.2">
      <c r="A381" s="619"/>
      <c r="B381" s="615"/>
      <c r="C381" s="615"/>
      <c r="D381" s="615"/>
      <c r="E381" s="615"/>
      <c r="F381" s="615"/>
      <c r="G381" s="615"/>
      <c r="H381" s="615"/>
      <c r="I381" s="615"/>
      <c r="J381" s="615"/>
      <c r="K381" s="615"/>
      <c r="L381" s="615"/>
      <c r="M381" s="615"/>
      <c r="N381" s="615"/>
      <c r="O381" s="620"/>
      <c r="P381" s="622" t="s">
        <v>72</v>
      </c>
      <c r="Q381" s="623"/>
      <c r="R381" s="623"/>
      <c r="S381" s="623"/>
      <c r="T381" s="623"/>
      <c r="U381" s="623"/>
      <c r="V381" s="624"/>
      <c r="W381" s="37" t="s">
        <v>73</v>
      </c>
      <c r="X381" s="607">
        <f>IFERROR(X378/H378,"0")+IFERROR(X379/H379,"0")+IFERROR(X380/H380,"0")</f>
        <v>4.2857142857142856</v>
      </c>
      <c r="Y381" s="607">
        <f>IFERROR(Y378/H378,"0")+IFERROR(Y379/H379,"0")+IFERROR(Y380/H380,"0")</f>
        <v>5</v>
      </c>
      <c r="Z381" s="607">
        <f>IFERROR(IF(Z378="",0,Z378),"0")+IFERROR(IF(Z379="",0,Z379),"0")+IFERROR(IF(Z380="",0,Z380),"0")</f>
        <v>9.4899999999999998E-2</v>
      </c>
      <c r="AA381" s="608"/>
      <c r="AB381" s="608"/>
      <c r="AC381" s="608"/>
    </row>
    <row r="382" spans="1:68" x14ac:dyDescent="0.2">
      <c r="A382" s="615"/>
      <c r="B382" s="615"/>
      <c r="C382" s="615"/>
      <c r="D382" s="615"/>
      <c r="E382" s="615"/>
      <c r="F382" s="615"/>
      <c r="G382" s="615"/>
      <c r="H382" s="615"/>
      <c r="I382" s="615"/>
      <c r="J382" s="615"/>
      <c r="K382" s="615"/>
      <c r="L382" s="615"/>
      <c r="M382" s="615"/>
      <c r="N382" s="615"/>
      <c r="O382" s="620"/>
      <c r="P382" s="622" t="s">
        <v>72</v>
      </c>
      <c r="Q382" s="623"/>
      <c r="R382" s="623"/>
      <c r="S382" s="623"/>
      <c r="T382" s="623"/>
      <c r="U382" s="623"/>
      <c r="V382" s="624"/>
      <c r="W382" s="37" t="s">
        <v>67</v>
      </c>
      <c r="X382" s="607">
        <f>IFERROR(SUM(X378:X380),"0")</f>
        <v>36</v>
      </c>
      <c r="Y382" s="607">
        <f>IFERROR(SUM(Y378:Y380),"0")</f>
        <v>42</v>
      </c>
      <c r="Z382" s="37"/>
      <c r="AA382" s="608"/>
      <c r="AB382" s="608"/>
      <c r="AC382" s="608"/>
    </row>
    <row r="383" spans="1:68" ht="14.25" customHeight="1" x14ac:dyDescent="0.25">
      <c r="A383" s="614" t="s">
        <v>95</v>
      </c>
      <c r="B383" s="615"/>
      <c r="C383" s="615"/>
      <c r="D383" s="615"/>
      <c r="E383" s="615"/>
      <c r="F383" s="615"/>
      <c r="G383" s="615"/>
      <c r="H383" s="615"/>
      <c r="I383" s="615"/>
      <c r="J383" s="615"/>
      <c r="K383" s="615"/>
      <c r="L383" s="615"/>
      <c r="M383" s="615"/>
      <c r="N383" s="615"/>
      <c r="O383" s="615"/>
      <c r="P383" s="615"/>
      <c r="Q383" s="615"/>
      <c r="R383" s="615"/>
      <c r="S383" s="615"/>
      <c r="T383" s="615"/>
      <c r="U383" s="615"/>
      <c r="V383" s="615"/>
      <c r="W383" s="615"/>
      <c r="X383" s="615"/>
      <c r="Y383" s="615"/>
      <c r="Z383" s="615"/>
      <c r="AA383" s="601"/>
      <c r="AB383" s="601"/>
      <c r="AC383" s="601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19"/>
      <c r="B388" s="615"/>
      <c r="C388" s="615"/>
      <c r="D388" s="615"/>
      <c r="E388" s="615"/>
      <c r="F388" s="615"/>
      <c r="G388" s="615"/>
      <c r="H388" s="615"/>
      <c r="I388" s="615"/>
      <c r="J388" s="615"/>
      <c r="K388" s="615"/>
      <c r="L388" s="615"/>
      <c r="M388" s="615"/>
      <c r="N388" s="615"/>
      <c r="O388" s="620"/>
      <c r="P388" s="622" t="s">
        <v>72</v>
      </c>
      <c r="Q388" s="623"/>
      <c r="R388" s="623"/>
      <c r="S388" s="623"/>
      <c r="T388" s="623"/>
      <c r="U388" s="623"/>
      <c r="V388" s="624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x14ac:dyDescent="0.2">
      <c r="A389" s="615"/>
      <c r="B389" s="615"/>
      <c r="C389" s="615"/>
      <c r="D389" s="615"/>
      <c r="E389" s="615"/>
      <c r="F389" s="615"/>
      <c r="G389" s="615"/>
      <c r="H389" s="615"/>
      <c r="I389" s="615"/>
      <c r="J389" s="615"/>
      <c r="K389" s="615"/>
      <c r="L389" s="615"/>
      <c r="M389" s="615"/>
      <c r="N389" s="615"/>
      <c r="O389" s="620"/>
      <c r="P389" s="622" t="s">
        <v>72</v>
      </c>
      <c r="Q389" s="623"/>
      <c r="R389" s="623"/>
      <c r="S389" s="623"/>
      <c r="T389" s="623"/>
      <c r="U389" s="623"/>
      <c r="V389" s="624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customHeight="1" x14ac:dyDescent="0.25">
      <c r="A390" s="614" t="s">
        <v>633</v>
      </c>
      <c r="B390" s="615"/>
      <c r="C390" s="615"/>
      <c r="D390" s="615"/>
      <c r="E390" s="615"/>
      <c r="F390" s="615"/>
      <c r="G390" s="615"/>
      <c r="H390" s="615"/>
      <c r="I390" s="615"/>
      <c r="J390" s="615"/>
      <c r="K390" s="615"/>
      <c r="L390" s="615"/>
      <c r="M390" s="615"/>
      <c r="N390" s="615"/>
      <c r="O390" s="615"/>
      <c r="P390" s="615"/>
      <c r="Q390" s="615"/>
      <c r="R390" s="615"/>
      <c r="S390" s="615"/>
      <c r="T390" s="615"/>
      <c r="U390" s="615"/>
      <c r="V390" s="615"/>
      <c r="W390" s="615"/>
      <c r="X390" s="615"/>
      <c r="Y390" s="615"/>
      <c r="Z390" s="615"/>
      <c r="AA390" s="601"/>
      <c r="AB390" s="601"/>
      <c r="AC390" s="601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19"/>
      <c r="B394" s="615"/>
      <c r="C394" s="615"/>
      <c r="D394" s="615"/>
      <c r="E394" s="615"/>
      <c r="F394" s="615"/>
      <c r="G394" s="615"/>
      <c r="H394" s="615"/>
      <c r="I394" s="615"/>
      <c r="J394" s="615"/>
      <c r="K394" s="615"/>
      <c r="L394" s="615"/>
      <c r="M394" s="615"/>
      <c r="N394" s="615"/>
      <c r="O394" s="620"/>
      <c r="P394" s="622" t="s">
        <v>72</v>
      </c>
      <c r="Q394" s="623"/>
      <c r="R394" s="623"/>
      <c r="S394" s="623"/>
      <c r="T394" s="623"/>
      <c r="U394" s="623"/>
      <c r="V394" s="624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5"/>
      <c r="B395" s="615"/>
      <c r="C395" s="615"/>
      <c r="D395" s="615"/>
      <c r="E395" s="615"/>
      <c r="F395" s="615"/>
      <c r="G395" s="615"/>
      <c r="H395" s="615"/>
      <c r="I395" s="615"/>
      <c r="J395" s="615"/>
      <c r="K395" s="615"/>
      <c r="L395" s="615"/>
      <c r="M395" s="615"/>
      <c r="N395" s="615"/>
      <c r="O395" s="620"/>
      <c r="P395" s="622" t="s">
        <v>72</v>
      </c>
      <c r="Q395" s="623"/>
      <c r="R395" s="623"/>
      <c r="S395" s="623"/>
      <c r="T395" s="623"/>
      <c r="U395" s="623"/>
      <c r="V395" s="624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48" t="s">
        <v>642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00"/>
      <c r="AB396" s="600"/>
      <c r="AC396" s="600"/>
    </row>
    <row r="397" spans="1:68" ht="14.25" customHeight="1" x14ac:dyDescent="0.25">
      <c r="A397" s="614" t="s">
        <v>74</v>
      </c>
      <c r="B397" s="615"/>
      <c r="C397" s="615"/>
      <c r="D397" s="615"/>
      <c r="E397" s="615"/>
      <c r="F397" s="615"/>
      <c r="G397" s="615"/>
      <c r="H397" s="615"/>
      <c r="I397" s="615"/>
      <c r="J397" s="615"/>
      <c r="K397" s="615"/>
      <c r="L397" s="615"/>
      <c r="M397" s="615"/>
      <c r="N397" s="615"/>
      <c r="O397" s="615"/>
      <c r="P397" s="615"/>
      <c r="Q397" s="615"/>
      <c r="R397" s="615"/>
      <c r="S397" s="615"/>
      <c r="T397" s="615"/>
      <c r="U397" s="615"/>
      <c r="V397" s="615"/>
      <c r="W397" s="615"/>
      <c r="X397" s="615"/>
      <c r="Y397" s="615"/>
      <c r="Z397" s="615"/>
      <c r="AA397" s="601"/>
      <c r="AB397" s="601"/>
      <c r="AC397" s="601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171</v>
      </c>
      <c r="Y399" s="606">
        <f>IFERROR(IF(X399="",0,CEILING((X399/$H399),1)*$H399),"")</f>
        <v>172.20000000000002</v>
      </c>
      <c r="Z399" s="36">
        <f>IFERROR(IF(Y399=0,"",ROUNDUP(Y399/H399,0)*0.00651),"")</f>
        <v>0.53381999999999996</v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191.51999999999998</v>
      </c>
      <c r="BN399" s="64">
        <f>IFERROR(Y399*I399/H399,"0")</f>
        <v>192.864</v>
      </c>
      <c r="BO399" s="64">
        <f>IFERROR(1/J399*(X399/H399),"0")</f>
        <v>0.44740973312401888</v>
      </c>
      <c r="BP399" s="64">
        <f>IFERROR(1/J399*(Y399/H399),"0")</f>
        <v>0.45054945054945056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3</v>
      </c>
      <c r="Y400" s="606">
        <f>IFERROR(IF(X400="",0,CEILING((X400/$H400),1)*$H400),"")</f>
        <v>4.2</v>
      </c>
      <c r="Z400" s="36">
        <f>IFERROR(IF(Y400=0,"",ROUNDUP(Y400/H400,0)*0.00651),"")</f>
        <v>1.302E-2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3.3428571428571425</v>
      </c>
      <c r="BN400" s="64">
        <f>IFERROR(Y400*I400/H400,"0")</f>
        <v>4.68</v>
      </c>
      <c r="BO400" s="64">
        <f>IFERROR(1/J400*(X400/H400),"0")</f>
        <v>7.849293563579279E-3</v>
      </c>
      <c r="BP400" s="64">
        <f>IFERROR(1/J400*(Y400/H400),"0")</f>
        <v>1.098901098901099E-2</v>
      </c>
    </row>
    <row r="401" spans="1:68" x14ac:dyDescent="0.2">
      <c r="A401" s="619"/>
      <c r="B401" s="615"/>
      <c r="C401" s="615"/>
      <c r="D401" s="615"/>
      <c r="E401" s="615"/>
      <c r="F401" s="615"/>
      <c r="G401" s="615"/>
      <c r="H401" s="615"/>
      <c r="I401" s="615"/>
      <c r="J401" s="615"/>
      <c r="K401" s="615"/>
      <c r="L401" s="615"/>
      <c r="M401" s="615"/>
      <c r="N401" s="615"/>
      <c r="O401" s="620"/>
      <c r="P401" s="622" t="s">
        <v>72</v>
      </c>
      <c r="Q401" s="623"/>
      <c r="R401" s="623"/>
      <c r="S401" s="623"/>
      <c r="T401" s="623"/>
      <c r="U401" s="623"/>
      <c r="V401" s="624"/>
      <c r="W401" s="37" t="s">
        <v>73</v>
      </c>
      <c r="X401" s="607">
        <f>IFERROR(X398/H398,"0")+IFERROR(X399/H399,"0")+IFERROR(X400/H400,"0")</f>
        <v>82.857142857142861</v>
      </c>
      <c r="Y401" s="607">
        <f>IFERROR(Y398/H398,"0")+IFERROR(Y399/H399,"0")+IFERROR(Y400/H400,"0")</f>
        <v>84</v>
      </c>
      <c r="Z401" s="607">
        <f>IFERROR(IF(Z398="",0,Z398),"0")+IFERROR(IF(Z399="",0,Z399),"0")+IFERROR(IF(Z400="",0,Z400),"0")</f>
        <v>0.54683999999999999</v>
      </c>
      <c r="AA401" s="608"/>
      <c r="AB401" s="608"/>
      <c r="AC401" s="608"/>
    </row>
    <row r="402" spans="1:68" x14ac:dyDescent="0.2">
      <c r="A402" s="615"/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20"/>
      <c r="P402" s="622" t="s">
        <v>72</v>
      </c>
      <c r="Q402" s="623"/>
      <c r="R402" s="623"/>
      <c r="S402" s="623"/>
      <c r="T402" s="623"/>
      <c r="U402" s="623"/>
      <c r="V402" s="624"/>
      <c r="W402" s="37" t="s">
        <v>67</v>
      </c>
      <c r="X402" s="607">
        <f>IFERROR(SUM(X398:X400),"0")</f>
        <v>174</v>
      </c>
      <c r="Y402" s="607">
        <f>IFERROR(SUM(Y398:Y400),"0")</f>
        <v>176.4</v>
      </c>
      <c r="Z402" s="37"/>
      <c r="AA402" s="608"/>
      <c r="AB402" s="608"/>
      <c r="AC402" s="608"/>
    </row>
    <row r="403" spans="1:68" ht="27.75" customHeight="1" x14ac:dyDescent="0.2">
      <c r="A403" s="627" t="s">
        <v>652</v>
      </c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8"/>
      <c r="P403" s="628"/>
      <c r="Q403" s="628"/>
      <c r="R403" s="628"/>
      <c r="S403" s="628"/>
      <c r="T403" s="628"/>
      <c r="U403" s="628"/>
      <c r="V403" s="628"/>
      <c r="W403" s="628"/>
      <c r="X403" s="628"/>
      <c r="Y403" s="628"/>
      <c r="Z403" s="628"/>
      <c r="AA403" s="48"/>
      <c r="AB403" s="48"/>
      <c r="AC403" s="48"/>
    </row>
    <row r="404" spans="1:68" ht="16.5" customHeight="1" x14ac:dyDescent="0.25">
      <c r="A404" s="648" t="s">
        <v>653</v>
      </c>
      <c r="B404" s="615"/>
      <c r="C404" s="615"/>
      <c r="D404" s="615"/>
      <c r="E404" s="615"/>
      <c r="F404" s="615"/>
      <c r="G404" s="615"/>
      <c r="H404" s="615"/>
      <c r="I404" s="615"/>
      <c r="J404" s="615"/>
      <c r="K404" s="615"/>
      <c r="L404" s="615"/>
      <c r="M404" s="615"/>
      <c r="N404" s="615"/>
      <c r="O404" s="615"/>
      <c r="P404" s="615"/>
      <c r="Q404" s="615"/>
      <c r="R404" s="615"/>
      <c r="S404" s="615"/>
      <c r="T404" s="615"/>
      <c r="U404" s="615"/>
      <c r="V404" s="615"/>
      <c r="W404" s="615"/>
      <c r="X404" s="615"/>
      <c r="Y404" s="615"/>
      <c r="Z404" s="615"/>
      <c r="AA404" s="600"/>
      <c r="AB404" s="600"/>
      <c r="AC404" s="600"/>
    </row>
    <row r="405" spans="1:68" ht="14.25" customHeight="1" x14ac:dyDescent="0.25">
      <c r="A405" s="614" t="s">
        <v>121</v>
      </c>
      <c r="B405" s="615"/>
      <c r="C405" s="615"/>
      <c r="D405" s="615"/>
      <c r="E405" s="615"/>
      <c r="F405" s="615"/>
      <c r="G405" s="615"/>
      <c r="H405" s="615"/>
      <c r="I405" s="615"/>
      <c r="J405" s="615"/>
      <c r="K405" s="615"/>
      <c r="L405" s="615"/>
      <c r="M405" s="615"/>
      <c r="N405" s="615"/>
      <c r="O405" s="615"/>
      <c r="P405" s="615"/>
      <c r="Q405" s="615"/>
      <c r="R405" s="615"/>
      <c r="S405" s="615"/>
      <c r="T405" s="615"/>
      <c r="U405" s="615"/>
      <c r="V405" s="615"/>
      <c r="W405" s="615"/>
      <c r="X405" s="615"/>
      <c r="Y405" s="615"/>
      <c r="Z405" s="615"/>
      <c r="AA405" s="601"/>
      <c r="AB405" s="601"/>
      <c r="AC405" s="601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4</v>
      </c>
      <c r="Y406" s="606">
        <f t="shared" ref="Y406:Y413" si="58">IFERROR(IF(X406="",0,CEILING((X406/$H406),1)*$H406),"")</f>
        <v>15</v>
      </c>
      <c r="Z406" s="36">
        <f>IFERROR(IF(Y406=0,"",ROUNDUP(Y406/H406,0)*0.02175),"")</f>
        <v>2.1749999999999999E-2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4.1253333333333337</v>
      </c>
      <c r="BN406" s="64">
        <f t="shared" ref="BN406:BN413" si="60">IFERROR(Y406*I406/H406,"0")</f>
        <v>15.47</v>
      </c>
      <c r="BO406" s="64">
        <f t="shared" ref="BO406:BO413" si="61">IFERROR(1/J406*(X406/H406),"0")</f>
        <v>5.5555555555555549E-3</v>
      </c>
      <c r="BP406" s="64">
        <f t="shared" ref="BP406:BP413" si="62">IFERROR(1/J406*(Y406/H406),"0")</f>
        <v>2.0833333333333332E-2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554</v>
      </c>
      <c r="Y407" s="606">
        <f t="shared" si="58"/>
        <v>555</v>
      </c>
      <c r="Z407" s="36">
        <f>IFERROR(IF(Y407=0,"",ROUNDUP(Y407/H407,0)*0.02175),"")</f>
        <v>0.80474999999999997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571.35866666666675</v>
      </c>
      <c r="BN407" s="64">
        <f t="shared" si="60"/>
        <v>572.39</v>
      </c>
      <c r="BO407" s="64">
        <f t="shared" si="61"/>
        <v>0.76944444444444438</v>
      </c>
      <c r="BP407" s="64">
        <f t="shared" si="62"/>
        <v>0.77083333333333326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107</v>
      </c>
      <c r="Y408" s="606">
        <f t="shared" si="58"/>
        <v>120</v>
      </c>
      <c r="Z408" s="36">
        <f>IFERROR(IF(Y408=0,"",ROUNDUP(Y408/H408,0)*0.02175),"")</f>
        <v>0.17399999999999999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110.35266666666666</v>
      </c>
      <c r="BN408" s="64">
        <f t="shared" si="60"/>
        <v>123.76</v>
      </c>
      <c r="BO408" s="64">
        <f t="shared" si="61"/>
        <v>0.14861111111111111</v>
      </c>
      <c r="BP408" s="64">
        <f t="shared" si="62"/>
        <v>0.16666666666666666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263</v>
      </c>
      <c r="Y409" s="606">
        <f t="shared" si="58"/>
        <v>270</v>
      </c>
      <c r="Z409" s="36">
        <f>IFERROR(IF(Y409=0,"",ROUNDUP(Y409/H409,0)*0.02175),"")</f>
        <v>0.39149999999999996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271.2406666666667</v>
      </c>
      <c r="BN409" s="64">
        <f t="shared" si="60"/>
        <v>278.46000000000004</v>
      </c>
      <c r="BO409" s="64">
        <f t="shared" si="61"/>
        <v>0.36527777777777781</v>
      </c>
      <c r="BP409" s="64">
        <f t="shared" si="62"/>
        <v>0.375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3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9"/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20"/>
      <c r="P414" s="622" t="s">
        <v>72</v>
      </c>
      <c r="Q414" s="623"/>
      <c r="R414" s="623"/>
      <c r="S414" s="623"/>
      <c r="T414" s="623"/>
      <c r="U414" s="623"/>
      <c r="V414" s="624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61.86666666666666</v>
      </c>
      <c r="Y414" s="607">
        <f>IFERROR(Y406/H406,"0")+IFERROR(Y407/H407,"0")+IFERROR(Y408/H408,"0")+IFERROR(Y409/H409,"0")+IFERROR(Y410/H410,"0")+IFERROR(Y411/H411,"0")+IFERROR(Y412/H412,"0")+IFERROR(Y413/H413,"0")</f>
        <v>64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1.3919999999999999</v>
      </c>
      <c r="AA414" s="608"/>
      <c r="AB414" s="608"/>
      <c r="AC414" s="608"/>
    </row>
    <row r="415" spans="1:68" x14ac:dyDescent="0.2">
      <c r="A415" s="615"/>
      <c r="B415" s="615"/>
      <c r="C415" s="615"/>
      <c r="D415" s="615"/>
      <c r="E415" s="615"/>
      <c r="F415" s="615"/>
      <c r="G415" s="615"/>
      <c r="H415" s="615"/>
      <c r="I415" s="615"/>
      <c r="J415" s="615"/>
      <c r="K415" s="615"/>
      <c r="L415" s="615"/>
      <c r="M415" s="615"/>
      <c r="N415" s="615"/>
      <c r="O415" s="620"/>
      <c r="P415" s="622" t="s">
        <v>72</v>
      </c>
      <c r="Q415" s="623"/>
      <c r="R415" s="623"/>
      <c r="S415" s="623"/>
      <c r="T415" s="623"/>
      <c r="U415" s="623"/>
      <c r="V415" s="624"/>
      <c r="W415" s="37" t="s">
        <v>67</v>
      </c>
      <c r="X415" s="607">
        <f>IFERROR(SUM(X406:X413),"0")</f>
        <v>928</v>
      </c>
      <c r="Y415" s="607">
        <f>IFERROR(SUM(Y406:Y413),"0")</f>
        <v>960</v>
      </c>
      <c r="Z415" s="37"/>
      <c r="AA415" s="608"/>
      <c r="AB415" s="608"/>
      <c r="AC415" s="608"/>
    </row>
    <row r="416" spans="1:68" ht="14.25" customHeight="1" x14ac:dyDescent="0.25">
      <c r="A416" s="614" t="s">
        <v>156</v>
      </c>
      <c r="B416" s="615"/>
      <c r="C416" s="615"/>
      <c r="D416" s="615"/>
      <c r="E416" s="615"/>
      <c r="F416" s="615"/>
      <c r="G416" s="615"/>
      <c r="H416" s="615"/>
      <c r="I416" s="615"/>
      <c r="J416" s="615"/>
      <c r="K416" s="615"/>
      <c r="L416" s="615"/>
      <c r="M416" s="615"/>
      <c r="N416" s="615"/>
      <c r="O416" s="615"/>
      <c r="P416" s="615"/>
      <c r="Q416" s="615"/>
      <c r="R416" s="615"/>
      <c r="S416" s="615"/>
      <c r="T416" s="615"/>
      <c r="U416" s="615"/>
      <c r="V416" s="615"/>
      <c r="W416" s="615"/>
      <c r="X416" s="615"/>
      <c r="Y416" s="615"/>
      <c r="Z416" s="615"/>
      <c r="AA416" s="601"/>
      <c r="AB416" s="601"/>
      <c r="AC416" s="601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0</v>
      </c>
      <c r="Y417" s="606">
        <f>IFERROR(IF(X417="",0,CEILING((X417/$H417),1)*$H417),"")</f>
        <v>0</v>
      </c>
      <c r="Z417" s="36" t="str">
        <f>IFERROR(IF(Y417=0,"",ROUNDUP(Y417/H417,0)*0.02175),"")</f>
        <v/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7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9"/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20"/>
      <c r="P420" s="622" t="s">
        <v>72</v>
      </c>
      <c r="Q420" s="623"/>
      <c r="R420" s="623"/>
      <c r="S420" s="623"/>
      <c r="T420" s="623"/>
      <c r="U420" s="623"/>
      <c r="V420" s="624"/>
      <c r="W420" s="37" t="s">
        <v>73</v>
      </c>
      <c r="X420" s="607">
        <f>IFERROR(X417/H417,"0")+IFERROR(X418/H418,"0")+IFERROR(X419/H419,"0")</f>
        <v>0</v>
      </c>
      <c r="Y420" s="607">
        <f>IFERROR(Y417/H417,"0")+IFERROR(Y418/H418,"0")+IFERROR(Y419/H419,"0")</f>
        <v>0</v>
      </c>
      <c r="Z420" s="607">
        <f>IFERROR(IF(Z417="",0,Z417),"0")+IFERROR(IF(Z418="",0,Z418),"0")+IFERROR(IF(Z419="",0,Z419),"0")</f>
        <v>0</v>
      </c>
      <c r="AA420" s="608"/>
      <c r="AB420" s="608"/>
      <c r="AC420" s="608"/>
    </row>
    <row r="421" spans="1:68" x14ac:dyDescent="0.2">
      <c r="A421" s="615"/>
      <c r="B421" s="615"/>
      <c r="C421" s="615"/>
      <c r="D421" s="615"/>
      <c r="E421" s="615"/>
      <c r="F421" s="615"/>
      <c r="G421" s="615"/>
      <c r="H421" s="615"/>
      <c r="I421" s="615"/>
      <c r="J421" s="615"/>
      <c r="K421" s="615"/>
      <c r="L421" s="615"/>
      <c r="M421" s="615"/>
      <c r="N421" s="615"/>
      <c r="O421" s="620"/>
      <c r="P421" s="622" t="s">
        <v>72</v>
      </c>
      <c r="Q421" s="623"/>
      <c r="R421" s="623"/>
      <c r="S421" s="623"/>
      <c r="T421" s="623"/>
      <c r="U421" s="623"/>
      <c r="V421" s="624"/>
      <c r="W421" s="37" t="s">
        <v>67</v>
      </c>
      <c r="X421" s="607">
        <f>IFERROR(SUM(X417:X419),"0")</f>
        <v>0</v>
      </c>
      <c r="Y421" s="607">
        <f>IFERROR(SUM(Y417:Y419),"0")</f>
        <v>0</v>
      </c>
      <c r="Z421" s="37"/>
      <c r="AA421" s="608"/>
      <c r="AB421" s="608"/>
      <c r="AC421" s="608"/>
    </row>
    <row r="422" spans="1:68" ht="14.25" customHeight="1" x14ac:dyDescent="0.25">
      <c r="A422" s="614" t="s">
        <v>74</v>
      </c>
      <c r="B422" s="615"/>
      <c r="C422" s="615"/>
      <c r="D422" s="615"/>
      <c r="E422" s="615"/>
      <c r="F422" s="615"/>
      <c r="G422" s="615"/>
      <c r="H422" s="615"/>
      <c r="I422" s="615"/>
      <c r="J422" s="615"/>
      <c r="K422" s="615"/>
      <c r="L422" s="615"/>
      <c r="M422" s="615"/>
      <c r="N422" s="615"/>
      <c r="O422" s="615"/>
      <c r="P422" s="615"/>
      <c r="Q422" s="615"/>
      <c r="R422" s="615"/>
      <c r="S422" s="615"/>
      <c r="T422" s="615"/>
      <c r="U422" s="615"/>
      <c r="V422" s="615"/>
      <c r="W422" s="615"/>
      <c r="X422" s="615"/>
      <c r="Y422" s="615"/>
      <c r="Z422" s="615"/>
      <c r="AA422" s="601"/>
      <c r="AB422" s="601"/>
      <c r="AC422" s="601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19"/>
      <c r="B425" s="615"/>
      <c r="C425" s="615"/>
      <c r="D425" s="615"/>
      <c r="E425" s="615"/>
      <c r="F425" s="615"/>
      <c r="G425" s="615"/>
      <c r="H425" s="615"/>
      <c r="I425" s="615"/>
      <c r="J425" s="615"/>
      <c r="K425" s="615"/>
      <c r="L425" s="615"/>
      <c r="M425" s="615"/>
      <c r="N425" s="615"/>
      <c r="O425" s="620"/>
      <c r="P425" s="622" t="s">
        <v>72</v>
      </c>
      <c r="Q425" s="623"/>
      <c r="R425" s="623"/>
      <c r="S425" s="623"/>
      <c r="T425" s="623"/>
      <c r="U425" s="623"/>
      <c r="V425" s="624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5"/>
      <c r="B426" s="615"/>
      <c r="C426" s="615"/>
      <c r="D426" s="615"/>
      <c r="E426" s="615"/>
      <c r="F426" s="615"/>
      <c r="G426" s="615"/>
      <c r="H426" s="615"/>
      <c r="I426" s="615"/>
      <c r="J426" s="615"/>
      <c r="K426" s="615"/>
      <c r="L426" s="615"/>
      <c r="M426" s="615"/>
      <c r="N426" s="615"/>
      <c r="O426" s="620"/>
      <c r="P426" s="622" t="s">
        <v>72</v>
      </c>
      <c r="Q426" s="623"/>
      <c r="R426" s="623"/>
      <c r="S426" s="623"/>
      <c r="T426" s="623"/>
      <c r="U426" s="623"/>
      <c r="V426" s="624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4" t="s">
        <v>173</v>
      </c>
      <c r="B427" s="615"/>
      <c r="C427" s="615"/>
      <c r="D427" s="615"/>
      <c r="E427" s="615"/>
      <c r="F427" s="615"/>
      <c r="G427" s="615"/>
      <c r="H427" s="615"/>
      <c r="I427" s="615"/>
      <c r="J427" s="615"/>
      <c r="K427" s="615"/>
      <c r="L427" s="615"/>
      <c r="M427" s="615"/>
      <c r="N427" s="615"/>
      <c r="O427" s="615"/>
      <c r="P427" s="615"/>
      <c r="Q427" s="615"/>
      <c r="R427" s="615"/>
      <c r="S427" s="615"/>
      <c r="T427" s="615"/>
      <c r="U427" s="615"/>
      <c r="V427" s="615"/>
      <c r="W427" s="615"/>
      <c r="X427" s="615"/>
      <c r="Y427" s="615"/>
      <c r="Z427" s="615"/>
      <c r="AA427" s="601"/>
      <c r="AB427" s="601"/>
      <c r="AC427" s="601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103</v>
      </c>
      <c r="Y428" s="606">
        <f>IFERROR(IF(X428="",0,CEILING((X428/$H428),1)*$H428),"")</f>
        <v>108</v>
      </c>
      <c r="Z428" s="36">
        <f>IFERROR(IF(Y428=0,"",ROUNDUP(Y428/H428,0)*0.01898),"")</f>
        <v>0.22776000000000002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108.65355555555556</v>
      </c>
      <c r="BN428" s="64">
        <f>IFERROR(Y428*I428/H428,"0")</f>
        <v>113.92799999999998</v>
      </c>
      <c r="BO428" s="64">
        <f>IFERROR(1/J428*(X428/H428),"0")</f>
        <v>0.17881944444444445</v>
      </c>
      <c r="BP428" s="64">
        <f>IFERROR(1/J428*(Y428/H428),"0")</f>
        <v>0.1875</v>
      </c>
    </row>
    <row r="429" spans="1:68" x14ac:dyDescent="0.2">
      <c r="A429" s="619"/>
      <c r="B429" s="615"/>
      <c r="C429" s="615"/>
      <c r="D429" s="615"/>
      <c r="E429" s="615"/>
      <c r="F429" s="615"/>
      <c r="G429" s="615"/>
      <c r="H429" s="615"/>
      <c r="I429" s="615"/>
      <c r="J429" s="615"/>
      <c r="K429" s="615"/>
      <c r="L429" s="615"/>
      <c r="M429" s="615"/>
      <c r="N429" s="615"/>
      <c r="O429" s="620"/>
      <c r="P429" s="622" t="s">
        <v>72</v>
      </c>
      <c r="Q429" s="623"/>
      <c r="R429" s="623"/>
      <c r="S429" s="623"/>
      <c r="T429" s="623"/>
      <c r="U429" s="623"/>
      <c r="V429" s="624"/>
      <c r="W429" s="37" t="s">
        <v>73</v>
      </c>
      <c r="X429" s="607">
        <f>IFERROR(X428/H428,"0")</f>
        <v>11.444444444444445</v>
      </c>
      <c r="Y429" s="607">
        <f>IFERROR(Y428/H428,"0")</f>
        <v>12</v>
      </c>
      <c r="Z429" s="607">
        <f>IFERROR(IF(Z428="",0,Z428),"0")</f>
        <v>0.22776000000000002</v>
      </c>
      <c r="AA429" s="608"/>
      <c r="AB429" s="608"/>
      <c r="AC429" s="608"/>
    </row>
    <row r="430" spans="1:68" x14ac:dyDescent="0.2">
      <c r="A430" s="615"/>
      <c r="B430" s="615"/>
      <c r="C430" s="615"/>
      <c r="D430" s="615"/>
      <c r="E430" s="615"/>
      <c r="F430" s="615"/>
      <c r="G430" s="615"/>
      <c r="H430" s="615"/>
      <c r="I430" s="615"/>
      <c r="J430" s="615"/>
      <c r="K430" s="615"/>
      <c r="L430" s="615"/>
      <c r="M430" s="615"/>
      <c r="N430" s="615"/>
      <c r="O430" s="620"/>
      <c r="P430" s="622" t="s">
        <v>72</v>
      </c>
      <c r="Q430" s="623"/>
      <c r="R430" s="623"/>
      <c r="S430" s="623"/>
      <c r="T430" s="623"/>
      <c r="U430" s="623"/>
      <c r="V430" s="624"/>
      <c r="W430" s="37" t="s">
        <v>67</v>
      </c>
      <c r="X430" s="607">
        <f>IFERROR(SUM(X428:X428),"0")</f>
        <v>103</v>
      </c>
      <c r="Y430" s="607">
        <f>IFERROR(SUM(Y428:Y428),"0")</f>
        <v>108</v>
      </c>
      <c r="Z430" s="37"/>
      <c r="AA430" s="608"/>
      <c r="AB430" s="608"/>
      <c r="AC430" s="608"/>
    </row>
    <row r="431" spans="1:68" ht="16.5" customHeight="1" x14ac:dyDescent="0.25">
      <c r="A431" s="648" t="s">
        <v>696</v>
      </c>
      <c r="B431" s="615"/>
      <c r="C431" s="615"/>
      <c r="D431" s="615"/>
      <c r="E431" s="615"/>
      <c r="F431" s="615"/>
      <c r="G431" s="615"/>
      <c r="H431" s="615"/>
      <c r="I431" s="615"/>
      <c r="J431" s="615"/>
      <c r="K431" s="615"/>
      <c r="L431" s="615"/>
      <c r="M431" s="615"/>
      <c r="N431" s="615"/>
      <c r="O431" s="615"/>
      <c r="P431" s="615"/>
      <c r="Q431" s="615"/>
      <c r="R431" s="615"/>
      <c r="S431" s="615"/>
      <c r="T431" s="615"/>
      <c r="U431" s="615"/>
      <c r="V431" s="615"/>
      <c r="W431" s="615"/>
      <c r="X431" s="615"/>
      <c r="Y431" s="615"/>
      <c r="Z431" s="615"/>
      <c r="AA431" s="600"/>
      <c r="AB431" s="600"/>
      <c r="AC431" s="600"/>
    </row>
    <row r="432" spans="1:68" ht="14.25" customHeight="1" x14ac:dyDescent="0.25">
      <c r="A432" s="614" t="s">
        <v>121</v>
      </c>
      <c r="B432" s="615"/>
      <c r="C432" s="615"/>
      <c r="D432" s="615"/>
      <c r="E432" s="615"/>
      <c r="F432" s="615"/>
      <c r="G432" s="615"/>
      <c r="H432" s="615"/>
      <c r="I432" s="615"/>
      <c r="J432" s="615"/>
      <c r="K432" s="615"/>
      <c r="L432" s="615"/>
      <c r="M432" s="615"/>
      <c r="N432" s="615"/>
      <c r="O432" s="615"/>
      <c r="P432" s="615"/>
      <c r="Q432" s="615"/>
      <c r="R432" s="615"/>
      <c r="S432" s="615"/>
      <c r="T432" s="615"/>
      <c r="U432" s="615"/>
      <c r="V432" s="615"/>
      <c r="W432" s="615"/>
      <c r="X432" s="615"/>
      <c r="Y432" s="615"/>
      <c r="Z432" s="615"/>
      <c r="AA432" s="601"/>
      <c r="AB432" s="601"/>
      <c r="AC432" s="601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9"/>
      <c r="B435" s="615"/>
      <c r="C435" s="615"/>
      <c r="D435" s="615"/>
      <c r="E435" s="615"/>
      <c r="F435" s="615"/>
      <c r="G435" s="615"/>
      <c r="H435" s="615"/>
      <c r="I435" s="615"/>
      <c r="J435" s="615"/>
      <c r="K435" s="615"/>
      <c r="L435" s="615"/>
      <c r="M435" s="615"/>
      <c r="N435" s="615"/>
      <c r="O435" s="620"/>
      <c r="P435" s="622" t="s">
        <v>72</v>
      </c>
      <c r="Q435" s="623"/>
      <c r="R435" s="623"/>
      <c r="S435" s="623"/>
      <c r="T435" s="623"/>
      <c r="U435" s="623"/>
      <c r="V435" s="624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5"/>
      <c r="B436" s="615"/>
      <c r="C436" s="615"/>
      <c r="D436" s="615"/>
      <c r="E436" s="615"/>
      <c r="F436" s="615"/>
      <c r="G436" s="615"/>
      <c r="H436" s="615"/>
      <c r="I436" s="615"/>
      <c r="J436" s="615"/>
      <c r="K436" s="615"/>
      <c r="L436" s="615"/>
      <c r="M436" s="615"/>
      <c r="N436" s="615"/>
      <c r="O436" s="620"/>
      <c r="P436" s="622" t="s">
        <v>72</v>
      </c>
      <c r="Q436" s="623"/>
      <c r="R436" s="623"/>
      <c r="S436" s="623"/>
      <c r="T436" s="623"/>
      <c r="U436" s="623"/>
      <c r="V436" s="624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4" t="s">
        <v>62</v>
      </c>
      <c r="B437" s="615"/>
      <c r="C437" s="615"/>
      <c r="D437" s="615"/>
      <c r="E437" s="615"/>
      <c r="F437" s="615"/>
      <c r="G437" s="615"/>
      <c r="H437" s="615"/>
      <c r="I437" s="615"/>
      <c r="J437" s="615"/>
      <c r="K437" s="615"/>
      <c r="L437" s="615"/>
      <c r="M437" s="615"/>
      <c r="N437" s="615"/>
      <c r="O437" s="615"/>
      <c r="P437" s="615"/>
      <c r="Q437" s="615"/>
      <c r="R437" s="615"/>
      <c r="S437" s="615"/>
      <c r="T437" s="615"/>
      <c r="U437" s="615"/>
      <c r="V437" s="615"/>
      <c r="W437" s="615"/>
      <c r="X437" s="615"/>
      <c r="Y437" s="615"/>
      <c r="Z437" s="615"/>
      <c r="AA437" s="601"/>
      <c r="AB437" s="601"/>
      <c r="AC437" s="601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19"/>
      <c r="B439" s="615"/>
      <c r="C439" s="615"/>
      <c r="D439" s="615"/>
      <c r="E439" s="615"/>
      <c r="F439" s="615"/>
      <c r="G439" s="615"/>
      <c r="H439" s="615"/>
      <c r="I439" s="615"/>
      <c r="J439" s="615"/>
      <c r="K439" s="615"/>
      <c r="L439" s="615"/>
      <c r="M439" s="615"/>
      <c r="N439" s="615"/>
      <c r="O439" s="620"/>
      <c r="P439" s="622" t="s">
        <v>72</v>
      </c>
      <c r="Q439" s="623"/>
      <c r="R439" s="623"/>
      <c r="S439" s="623"/>
      <c r="T439" s="623"/>
      <c r="U439" s="623"/>
      <c r="V439" s="624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5"/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20"/>
      <c r="P440" s="622" t="s">
        <v>72</v>
      </c>
      <c r="Q440" s="623"/>
      <c r="R440" s="623"/>
      <c r="S440" s="623"/>
      <c r="T440" s="623"/>
      <c r="U440" s="623"/>
      <c r="V440" s="624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4" t="s">
        <v>74</v>
      </c>
      <c r="B441" s="615"/>
      <c r="C441" s="615"/>
      <c r="D441" s="615"/>
      <c r="E441" s="615"/>
      <c r="F441" s="615"/>
      <c r="G441" s="615"/>
      <c r="H441" s="615"/>
      <c r="I441" s="615"/>
      <c r="J441" s="615"/>
      <c r="K441" s="615"/>
      <c r="L441" s="615"/>
      <c r="M441" s="615"/>
      <c r="N441" s="615"/>
      <c r="O441" s="615"/>
      <c r="P441" s="615"/>
      <c r="Q441" s="615"/>
      <c r="R441" s="615"/>
      <c r="S441" s="615"/>
      <c r="T441" s="615"/>
      <c r="U441" s="615"/>
      <c r="V441" s="615"/>
      <c r="W441" s="615"/>
      <c r="X441" s="615"/>
      <c r="Y441" s="615"/>
      <c r="Z441" s="615"/>
      <c r="AA441" s="601"/>
      <c r="AB441" s="601"/>
      <c r="AC441" s="601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600</v>
      </c>
      <c r="Y442" s="606">
        <f>IFERROR(IF(X442="",0,CEILING((X442/$H442),1)*$H442),"")</f>
        <v>603</v>
      </c>
      <c r="Z442" s="36">
        <f>IFERROR(IF(Y442=0,"",ROUNDUP(Y442/H442,0)*0.01898),"")</f>
        <v>1.27166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632.93333333333328</v>
      </c>
      <c r="BN442" s="64">
        <f>IFERROR(Y442*I442/H442,"0")</f>
        <v>636.09799999999996</v>
      </c>
      <c r="BO442" s="64">
        <f>IFERROR(1/J442*(X442/H442),"0")</f>
        <v>1.0416666666666667</v>
      </c>
      <c r="BP442" s="64">
        <f>IFERROR(1/J442*(Y442/H442),"0")</f>
        <v>1.046875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9"/>
      <c r="B445" s="615"/>
      <c r="C445" s="615"/>
      <c r="D445" s="615"/>
      <c r="E445" s="615"/>
      <c r="F445" s="615"/>
      <c r="G445" s="615"/>
      <c r="H445" s="615"/>
      <c r="I445" s="615"/>
      <c r="J445" s="615"/>
      <c r="K445" s="615"/>
      <c r="L445" s="615"/>
      <c r="M445" s="615"/>
      <c r="N445" s="615"/>
      <c r="O445" s="620"/>
      <c r="P445" s="622" t="s">
        <v>72</v>
      </c>
      <c r="Q445" s="623"/>
      <c r="R445" s="623"/>
      <c r="S445" s="623"/>
      <c r="T445" s="623"/>
      <c r="U445" s="623"/>
      <c r="V445" s="624"/>
      <c r="W445" s="37" t="s">
        <v>73</v>
      </c>
      <c r="X445" s="607">
        <f>IFERROR(X442/H442,"0")+IFERROR(X443/H443,"0")+IFERROR(X444/H444,"0")</f>
        <v>66.666666666666671</v>
      </c>
      <c r="Y445" s="607">
        <f>IFERROR(Y442/H442,"0")+IFERROR(Y443/H443,"0")+IFERROR(Y444/H444,"0")</f>
        <v>67</v>
      </c>
      <c r="Z445" s="607">
        <f>IFERROR(IF(Z442="",0,Z442),"0")+IFERROR(IF(Z443="",0,Z443),"0")+IFERROR(IF(Z444="",0,Z444),"0")</f>
        <v>1.27166</v>
      </c>
      <c r="AA445" s="608"/>
      <c r="AB445" s="608"/>
      <c r="AC445" s="608"/>
    </row>
    <row r="446" spans="1:68" x14ac:dyDescent="0.2">
      <c r="A446" s="615"/>
      <c r="B446" s="615"/>
      <c r="C446" s="615"/>
      <c r="D446" s="615"/>
      <c r="E446" s="615"/>
      <c r="F446" s="615"/>
      <c r="G446" s="615"/>
      <c r="H446" s="615"/>
      <c r="I446" s="615"/>
      <c r="J446" s="615"/>
      <c r="K446" s="615"/>
      <c r="L446" s="615"/>
      <c r="M446" s="615"/>
      <c r="N446" s="615"/>
      <c r="O446" s="620"/>
      <c r="P446" s="622" t="s">
        <v>72</v>
      </c>
      <c r="Q446" s="623"/>
      <c r="R446" s="623"/>
      <c r="S446" s="623"/>
      <c r="T446" s="623"/>
      <c r="U446" s="623"/>
      <c r="V446" s="624"/>
      <c r="W446" s="37" t="s">
        <v>67</v>
      </c>
      <c r="X446" s="607">
        <f>IFERROR(SUM(X442:X444),"0")</f>
        <v>600</v>
      </c>
      <c r="Y446" s="607">
        <f>IFERROR(SUM(Y442:Y444),"0")</f>
        <v>603</v>
      </c>
      <c r="Z446" s="37"/>
      <c r="AA446" s="608"/>
      <c r="AB446" s="608"/>
      <c r="AC446" s="608"/>
    </row>
    <row r="447" spans="1:68" ht="27.75" customHeight="1" x14ac:dyDescent="0.2">
      <c r="A447" s="627" t="s">
        <v>712</v>
      </c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8"/>
      <c r="P447" s="628"/>
      <c r="Q447" s="628"/>
      <c r="R447" s="628"/>
      <c r="S447" s="628"/>
      <c r="T447" s="628"/>
      <c r="U447" s="628"/>
      <c r="V447" s="628"/>
      <c r="W447" s="628"/>
      <c r="X447" s="628"/>
      <c r="Y447" s="628"/>
      <c r="Z447" s="628"/>
      <c r="AA447" s="48"/>
      <c r="AB447" s="48"/>
      <c r="AC447" s="48"/>
    </row>
    <row r="448" spans="1:68" ht="16.5" customHeight="1" x14ac:dyDescent="0.25">
      <c r="A448" s="648" t="s">
        <v>713</v>
      </c>
      <c r="B448" s="615"/>
      <c r="C448" s="615"/>
      <c r="D448" s="615"/>
      <c r="E448" s="615"/>
      <c r="F448" s="615"/>
      <c r="G448" s="615"/>
      <c r="H448" s="615"/>
      <c r="I448" s="615"/>
      <c r="J448" s="615"/>
      <c r="K448" s="615"/>
      <c r="L448" s="615"/>
      <c r="M448" s="615"/>
      <c r="N448" s="615"/>
      <c r="O448" s="615"/>
      <c r="P448" s="615"/>
      <c r="Q448" s="615"/>
      <c r="R448" s="615"/>
      <c r="S448" s="615"/>
      <c r="T448" s="615"/>
      <c r="U448" s="615"/>
      <c r="V448" s="615"/>
      <c r="W448" s="615"/>
      <c r="X448" s="615"/>
      <c r="Y448" s="615"/>
      <c r="Z448" s="615"/>
      <c r="AA448" s="600"/>
      <c r="AB448" s="600"/>
      <c r="AC448" s="600"/>
    </row>
    <row r="449" spans="1:68" ht="14.25" customHeight="1" x14ac:dyDescent="0.25">
      <c r="A449" s="614" t="s">
        <v>62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01"/>
      <c r="AB449" s="601"/>
      <c r="AC449" s="601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7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x14ac:dyDescent="0.2">
      <c r="A456" s="619"/>
      <c r="B456" s="615"/>
      <c r="C456" s="615"/>
      <c r="D456" s="615"/>
      <c r="E456" s="615"/>
      <c r="F456" s="615"/>
      <c r="G456" s="615"/>
      <c r="H456" s="615"/>
      <c r="I456" s="615"/>
      <c r="J456" s="615"/>
      <c r="K456" s="615"/>
      <c r="L456" s="615"/>
      <c r="M456" s="615"/>
      <c r="N456" s="615"/>
      <c r="O456" s="620"/>
      <c r="P456" s="622" t="s">
        <v>72</v>
      </c>
      <c r="Q456" s="623"/>
      <c r="R456" s="623"/>
      <c r="S456" s="623"/>
      <c r="T456" s="623"/>
      <c r="U456" s="623"/>
      <c r="V456" s="624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5"/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20"/>
      <c r="P457" s="622" t="s">
        <v>72</v>
      </c>
      <c r="Q457" s="623"/>
      <c r="R457" s="623"/>
      <c r="S457" s="623"/>
      <c r="T457" s="623"/>
      <c r="U457" s="623"/>
      <c r="V457" s="624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4" t="s">
        <v>74</v>
      </c>
      <c r="B458" s="615"/>
      <c r="C458" s="615"/>
      <c r="D458" s="615"/>
      <c r="E458" s="615"/>
      <c r="F458" s="615"/>
      <c r="G458" s="615"/>
      <c r="H458" s="615"/>
      <c r="I458" s="615"/>
      <c r="J458" s="615"/>
      <c r="K458" s="615"/>
      <c r="L458" s="615"/>
      <c r="M458" s="615"/>
      <c r="N458" s="615"/>
      <c r="O458" s="615"/>
      <c r="P458" s="615"/>
      <c r="Q458" s="615"/>
      <c r="R458" s="615"/>
      <c r="S458" s="615"/>
      <c r="T458" s="615"/>
      <c r="U458" s="615"/>
      <c r="V458" s="615"/>
      <c r="W458" s="615"/>
      <c r="X458" s="615"/>
      <c r="Y458" s="615"/>
      <c r="Z458" s="615"/>
      <c r="AA458" s="601"/>
      <c r="AB458" s="601"/>
      <c r="AC458" s="601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19"/>
      <c r="B461" s="615"/>
      <c r="C461" s="615"/>
      <c r="D461" s="615"/>
      <c r="E461" s="615"/>
      <c r="F461" s="615"/>
      <c r="G461" s="615"/>
      <c r="H461" s="615"/>
      <c r="I461" s="615"/>
      <c r="J461" s="615"/>
      <c r="K461" s="615"/>
      <c r="L461" s="615"/>
      <c r="M461" s="615"/>
      <c r="N461" s="615"/>
      <c r="O461" s="620"/>
      <c r="P461" s="622" t="s">
        <v>72</v>
      </c>
      <c r="Q461" s="623"/>
      <c r="R461" s="623"/>
      <c r="S461" s="623"/>
      <c r="T461" s="623"/>
      <c r="U461" s="623"/>
      <c r="V461" s="624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5"/>
      <c r="B462" s="615"/>
      <c r="C462" s="615"/>
      <c r="D462" s="615"/>
      <c r="E462" s="615"/>
      <c r="F462" s="615"/>
      <c r="G462" s="615"/>
      <c r="H462" s="615"/>
      <c r="I462" s="615"/>
      <c r="J462" s="615"/>
      <c r="K462" s="615"/>
      <c r="L462" s="615"/>
      <c r="M462" s="615"/>
      <c r="N462" s="615"/>
      <c r="O462" s="620"/>
      <c r="P462" s="622" t="s">
        <v>72</v>
      </c>
      <c r="Q462" s="623"/>
      <c r="R462" s="623"/>
      <c r="S462" s="623"/>
      <c r="T462" s="623"/>
      <c r="U462" s="623"/>
      <c r="V462" s="624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48" t="s">
        <v>736</v>
      </c>
      <c r="B463" s="615"/>
      <c r="C463" s="615"/>
      <c r="D463" s="615"/>
      <c r="E463" s="615"/>
      <c r="F463" s="615"/>
      <c r="G463" s="615"/>
      <c r="H463" s="615"/>
      <c r="I463" s="615"/>
      <c r="J463" s="615"/>
      <c r="K463" s="615"/>
      <c r="L463" s="615"/>
      <c r="M463" s="615"/>
      <c r="N463" s="615"/>
      <c r="O463" s="615"/>
      <c r="P463" s="615"/>
      <c r="Q463" s="615"/>
      <c r="R463" s="615"/>
      <c r="S463" s="615"/>
      <c r="T463" s="615"/>
      <c r="U463" s="615"/>
      <c r="V463" s="615"/>
      <c r="W463" s="615"/>
      <c r="X463" s="615"/>
      <c r="Y463" s="615"/>
      <c r="Z463" s="615"/>
      <c r="AA463" s="600"/>
      <c r="AB463" s="600"/>
      <c r="AC463" s="600"/>
    </row>
    <row r="464" spans="1:68" ht="14.25" customHeight="1" x14ac:dyDescent="0.25">
      <c r="A464" s="614" t="s">
        <v>156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01"/>
      <c r="AB464" s="601"/>
      <c r="AC464" s="601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19"/>
      <c r="B466" s="615"/>
      <c r="C466" s="615"/>
      <c r="D466" s="615"/>
      <c r="E466" s="615"/>
      <c r="F466" s="615"/>
      <c r="G466" s="615"/>
      <c r="H466" s="615"/>
      <c r="I466" s="615"/>
      <c r="J466" s="615"/>
      <c r="K466" s="615"/>
      <c r="L466" s="615"/>
      <c r="M466" s="615"/>
      <c r="N466" s="615"/>
      <c r="O466" s="620"/>
      <c r="P466" s="622" t="s">
        <v>72</v>
      </c>
      <c r="Q466" s="623"/>
      <c r="R466" s="623"/>
      <c r="S466" s="623"/>
      <c r="T466" s="623"/>
      <c r="U466" s="623"/>
      <c r="V466" s="624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5"/>
      <c r="B467" s="615"/>
      <c r="C467" s="615"/>
      <c r="D467" s="615"/>
      <c r="E467" s="615"/>
      <c r="F467" s="615"/>
      <c r="G467" s="615"/>
      <c r="H467" s="615"/>
      <c r="I467" s="615"/>
      <c r="J467" s="615"/>
      <c r="K467" s="615"/>
      <c r="L467" s="615"/>
      <c r="M467" s="615"/>
      <c r="N467" s="615"/>
      <c r="O467" s="620"/>
      <c r="P467" s="622" t="s">
        <v>72</v>
      </c>
      <c r="Q467" s="623"/>
      <c r="R467" s="623"/>
      <c r="S467" s="623"/>
      <c r="T467" s="623"/>
      <c r="U467" s="623"/>
      <c r="V467" s="624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4" t="s">
        <v>62</v>
      </c>
      <c r="B468" s="615"/>
      <c r="C468" s="615"/>
      <c r="D468" s="615"/>
      <c r="E468" s="615"/>
      <c r="F468" s="615"/>
      <c r="G468" s="615"/>
      <c r="H468" s="615"/>
      <c r="I468" s="615"/>
      <c r="J468" s="615"/>
      <c r="K468" s="615"/>
      <c r="L468" s="615"/>
      <c r="M468" s="615"/>
      <c r="N468" s="615"/>
      <c r="O468" s="615"/>
      <c r="P468" s="615"/>
      <c r="Q468" s="615"/>
      <c r="R468" s="615"/>
      <c r="S468" s="615"/>
      <c r="T468" s="615"/>
      <c r="U468" s="615"/>
      <c r="V468" s="615"/>
      <c r="W468" s="615"/>
      <c r="X468" s="615"/>
      <c r="Y468" s="615"/>
      <c r="Z468" s="615"/>
      <c r="AA468" s="601"/>
      <c r="AB468" s="601"/>
      <c r="AC468" s="601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19"/>
      <c r="B472" s="615"/>
      <c r="C472" s="615"/>
      <c r="D472" s="615"/>
      <c r="E472" s="615"/>
      <c r="F472" s="615"/>
      <c r="G472" s="615"/>
      <c r="H472" s="615"/>
      <c r="I472" s="615"/>
      <c r="J472" s="615"/>
      <c r="K472" s="615"/>
      <c r="L472" s="615"/>
      <c r="M472" s="615"/>
      <c r="N472" s="615"/>
      <c r="O472" s="620"/>
      <c r="P472" s="622" t="s">
        <v>72</v>
      </c>
      <c r="Q472" s="623"/>
      <c r="R472" s="623"/>
      <c r="S472" s="623"/>
      <c r="T472" s="623"/>
      <c r="U472" s="623"/>
      <c r="V472" s="624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5"/>
      <c r="B473" s="615"/>
      <c r="C473" s="615"/>
      <c r="D473" s="615"/>
      <c r="E473" s="615"/>
      <c r="F473" s="615"/>
      <c r="G473" s="615"/>
      <c r="H473" s="615"/>
      <c r="I473" s="615"/>
      <c r="J473" s="615"/>
      <c r="K473" s="615"/>
      <c r="L473" s="615"/>
      <c r="M473" s="615"/>
      <c r="N473" s="615"/>
      <c r="O473" s="620"/>
      <c r="P473" s="622" t="s">
        <v>72</v>
      </c>
      <c r="Q473" s="623"/>
      <c r="R473" s="623"/>
      <c r="S473" s="623"/>
      <c r="T473" s="623"/>
      <c r="U473" s="623"/>
      <c r="V473" s="624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27" t="s">
        <v>748</v>
      </c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8"/>
      <c r="P474" s="628"/>
      <c r="Q474" s="628"/>
      <c r="R474" s="628"/>
      <c r="S474" s="628"/>
      <c r="T474" s="628"/>
      <c r="U474" s="628"/>
      <c r="V474" s="628"/>
      <c r="W474" s="628"/>
      <c r="X474" s="628"/>
      <c r="Y474" s="628"/>
      <c r="Z474" s="628"/>
      <c r="AA474" s="48"/>
      <c r="AB474" s="48"/>
      <c r="AC474" s="48"/>
    </row>
    <row r="475" spans="1:68" ht="16.5" customHeight="1" x14ac:dyDescent="0.25">
      <c r="A475" s="648" t="s">
        <v>748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00"/>
      <c r="AB475" s="600"/>
      <c r="AC475" s="600"/>
    </row>
    <row r="476" spans="1:68" ht="14.25" customHeight="1" x14ac:dyDescent="0.25">
      <c r="A476" s="614" t="s">
        <v>121</v>
      </c>
      <c r="B476" s="615"/>
      <c r="C476" s="615"/>
      <c r="D476" s="615"/>
      <c r="E476" s="615"/>
      <c r="F476" s="615"/>
      <c r="G476" s="615"/>
      <c r="H476" s="615"/>
      <c r="I476" s="615"/>
      <c r="J476" s="615"/>
      <c r="K476" s="615"/>
      <c r="L476" s="615"/>
      <c r="M476" s="615"/>
      <c r="N476" s="615"/>
      <c r="O476" s="615"/>
      <c r="P476" s="615"/>
      <c r="Q476" s="615"/>
      <c r="R476" s="615"/>
      <c r="S476" s="615"/>
      <c r="T476" s="615"/>
      <c r="U476" s="615"/>
      <c r="V476" s="615"/>
      <c r="W476" s="615"/>
      <c r="X476" s="615"/>
      <c r="Y476" s="615"/>
      <c r="Z476" s="615"/>
      <c r="AA476" s="601"/>
      <c r="AB476" s="601"/>
      <c r="AC476" s="601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17</v>
      </c>
      <c r="Y477" s="606">
        <f t="shared" ref="Y477:Y485" si="68">IFERROR(IF(X477="",0,CEILING((X477/$H477),1)*$H477),"")</f>
        <v>21.12</v>
      </c>
      <c r="Z477" s="36">
        <f t="shared" ref="Z477:Z482" si="69">IFERROR(IF(Y477=0,"",ROUNDUP(Y477/H477,0)*0.01196),"")</f>
        <v>4.7840000000000001E-2</v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18.126893939393938</v>
      </c>
      <c r="BN477" s="64">
        <f t="shared" ref="BN477:BN485" si="71">IFERROR(Y477*I477/H477,"0")</f>
        <v>22.52</v>
      </c>
      <c r="BO477" s="64">
        <f t="shared" ref="BO477:BO485" si="72">IFERROR(1/J477*(X477/H477),"0")</f>
        <v>3.0958624708624712E-2</v>
      </c>
      <c r="BP477" s="64">
        <f t="shared" ref="BP477:BP485" si="73">IFERROR(1/J477*(Y477/H477),"0")</f>
        <v>3.8461538461538464E-2</v>
      </c>
    </row>
    <row r="478" spans="1:68" ht="27" customHeight="1" x14ac:dyDescent="0.25">
      <c r="A478" s="54" t="s">
        <v>751</v>
      </c>
      <c r="B478" s="54" t="s">
        <v>752</v>
      </c>
      <c r="C478" s="31">
        <v>4301012210</v>
      </c>
      <c r="D478" s="609">
        <v>4607091383522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7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8"/>
        <v>0</v>
      </c>
      <c r="Z480" s="36" t="str">
        <f t="shared" si="69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7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225</v>
      </c>
      <c r="Y482" s="606">
        <f t="shared" si="68"/>
        <v>227.04000000000002</v>
      </c>
      <c r="Z482" s="36">
        <f t="shared" si="69"/>
        <v>0.51427999999999996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239.91477272727272</v>
      </c>
      <c r="BN482" s="64">
        <f t="shared" si="71"/>
        <v>242.09</v>
      </c>
      <c r="BO482" s="64">
        <f t="shared" si="72"/>
        <v>0.40974650349650349</v>
      </c>
      <c r="BP482" s="64">
        <f t="shared" si="73"/>
        <v>0.41346153846153849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8"/>
        <v>0</v>
      </c>
      <c r="Z484" s="36" t="str">
        <f>IFERROR(IF(Y484=0,"",ROUNDUP(Y484/H484,0)*0.00902),"")</f>
        <v/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9"/>
      <c r="B486" s="615"/>
      <c r="C486" s="615"/>
      <c r="D486" s="615"/>
      <c r="E486" s="615"/>
      <c r="F486" s="615"/>
      <c r="G486" s="615"/>
      <c r="H486" s="615"/>
      <c r="I486" s="615"/>
      <c r="J486" s="615"/>
      <c r="K486" s="615"/>
      <c r="L486" s="615"/>
      <c r="M486" s="615"/>
      <c r="N486" s="615"/>
      <c r="O486" s="620"/>
      <c r="P486" s="622" t="s">
        <v>72</v>
      </c>
      <c r="Q486" s="623"/>
      <c r="R486" s="623"/>
      <c r="S486" s="623"/>
      <c r="T486" s="623"/>
      <c r="U486" s="623"/>
      <c r="V486" s="624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45.833333333333329</v>
      </c>
      <c r="Y486" s="607">
        <f>IFERROR(Y477/H477,"0")+IFERROR(Y478/H478,"0")+IFERROR(Y479/H479,"0")+IFERROR(Y480/H480,"0")+IFERROR(Y481/H481,"0")+IFERROR(Y482/H482,"0")+IFERROR(Y483/H483,"0")+IFERROR(Y484/H484,"0")+IFERROR(Y485/H485,"0")</f>
        <v>47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0.56211999999999995</v>
      </c>
      <c r="AA486" s="608"/>
      <c r="AB486" s="608"/>
      <c r="AC486" s="608"/>
    </row>
    <row r="487" spans="1:68" x14ac:dyDescent="0.2">
      <c r="A487" s="615"/>
      <c r="B487" s="615"/>
      <c r="C487" s="615"/>
      <c r="D487" s="615"/>
      <c r="E487" s="615"/>
      <c r="F487" s="615"/>
      <c r="G487" s="615"/>
      <c r="H487" s="615"/>
      <c r="I487" s="615"/>
      <c r="J487" s="615"/>
      <c r="K487" s="615"/>
      <c r="L487" s="615"/>
      <c r="M487" s="615"/>
      <c r="N487" s="615"/>
      <c r="O487" s="620"/>
      <c r="P487" s="622" t="s">
        <v>72</v>
      </c>
      <c r="Q487" s="623"/>
      <c r="R487" s="623"/>
      <c r="S487" s="623"/>
      <c r="T487" s="623"/>
      <c r="U487" s="623"/>
      <c r="V487" s="624"/>
      <c r="W487" s="37" t="s">
        <v>67</v>
      </c>
      <c r="X487" s="607">
        <f>IFERROR(SUM(X477:X485),"0")</f>
        <v>242</v>
      </c>
      <c r="Y487" s="607">
        <f>IFERROR(SUM(Y477:Y485),"0")</f>
        <v>248.16000000000003</v>
      </c>
      <c r="Z487" s="37"/>
      <c r="AA487" s="608"/>
      <c r="AB487" s="608"/>
      <c r="AC487" s="608"/>
    </row>
    <row r="488" spans="1:68" ht="14.25" customHeight="1" x14ac:dyDescent="0.25">
      <c r="A488" s="614" t="s">
        <v>156</v>
      </c>
      <c r="B488" s="615"/>
      <c r="C488" s="615"/>
      <c r="D488" s="615"/>
      <c r="E488" s="615"/>
      <c r="F488" s="615"/>
      <c r="G488" s="615"/>
      <c r="H488" s="615"/>
      <c r="I488" s="615"/>
      <c r="J488" s="615"/>
      <c r="K488" s="615"/>
      <c r="L488" s="615"/>
      <c r="M488" s="615"/>
      <c r="N488" s="615"/>
      <c r="O488" s="615"/>
      <c r="P488" s="615"/>
      <c r="Q488" s="615"/>
      <c r="R488" s="615"/>
      <c r="S488" s="615"/>
      <c r="T488" s="615"/>
      <c r="U488" s="615"/>
      <c r="V488" s="615"/>
      <c r="W488" s="615"/>
      <c r="X488" s="615"/>
      <c r="Y488" s="615"/>
      <c r="Z488" s="615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318</v>
      </c>
      <c r="Y489" s="606">
        <f>IFERROR(IF(X489="",0,CEILING((X489/$H489),1)*$H489),"")</f>
        <v>322.08000000000004</v>
      </c>
      <c r="Z489" s="36">
        <f>IFERROR(IF(Y489=0,"",ROUNDUP(Y489/H489,0)*0.01196),"")</f>
        <v>0.72955999999999999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339.07954545454544</v>
      </c>
      <c r="BN489" s="64">
        <f>IFERROR(Y489*I489/H489,"0")</f>
        <v>343.43000000000006</v>
      </c>
      <c r="BO489" s="64">
        <f>IFERROR(1/J489*(X489/H489),"0")</f>
        <v>0.57910839160839167</v>
      </c>
      <c r="BP489" s="64">
        <f>IFERROR(1/J489*(Y489/H489),"0")</f>
        <v>0.58653846153846168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9"/>
      <c r="B492" s="615"/>
      <c r="C492" s="615"/>
      <c r="D492" s="615"/>
      <c r="E492" s="615"/>
      <c r="F492" s="615"/>
      <c r="G492" s="615"/>
      <c r="H492" s="615"/>
      <c r="I492" s="615"/>
      <c r="J492" s="615"/>
      <c r="K492" s="615"/>
      <c r="L492" s="615"/>
      <c r="M492" s="615"/>
      <c r="N492" s="615"/>
      <c r="O492" s="620"/>
      <c r="P492" s="622" t="s">
        <v>72</v>
      </c>
      <c r="Q492" s="623"/>
      <c r="R492" s="623"/>
      <c r="S492" s="623"/>
      <c r="T492" s="623"/>
      <c r="U492" s="623"/>
      <c r="V492" s="624"/>
      <c r="W492" s="37" t="s">
        <v>73</v>
      </c>
      <c r="X492" s="607">
        <f>IFERROR(X489/H489,"0")+IFERROR(X490/H490,"0")+IFERROR(X491/H491,"0")</f>
        <v>60.227272727272727</v>
      </c>
      <c r="Y492" s="607">
        <f>IFERROR(Y489/H489,"0")+IFERROR(Y490/H490,"0")+IFERROR(Y491/H491,"0")</f>
        <v>61.000000000000007</v>
      </c>
      <c r="Z492" s="607">
        <f>IFERROR(IF(Z489="",0,Z489),"0")+IFERROR(IF(Z490="",0,Z490),"0")+IFERROR(IF(Z491="",0,Z491),"0")</f>
        <v>0.72955999999999999</v>
      </c>
      <c r="AA492" s="608"/>
      <c r="AB492" s="608"/>
      <c r="AC492" s="608"/>
    </row>
    <row r="493" spans="1:68" x14ac:dyDescent="0.2">
      <c r="A493" s="615"/>
      <c r="B493" s="615"/>
      <c r="C493" s="615"/>
      <c r="D493" s="615"/>
      <c r="E493" s="615"/>
      <c r="F493" s="615"/>
      <c r="G493" s="615"/>
      <c r="H493" s="615"/>
      <c r="I493" s="615"/>
      <c r="J493" s="615"/>
      <c r="K493" s="615"/>
      <c r="L493" s="615"/>
      <c r="M493" s="615"/>
      <c r="N493" s="615"/>
      <c r="O493" s="620"/>
      <c r="P493" s="622" t="s">
        <v>72</v>
      </c>
      <c r="Q493" s="623"/>
      <c r="R493" s="623"/>
      <c r="S493" s="623"/>
      <c r="T493" s="623"/>
      <c r="U493" s="623"/>
      <c r="V493" s="624"/>
      <c r="W493" s="37" t="s">
        <v>67</v>
      </c>
      <c r="X493" s="607">
        <f>IFERROR(SUM(X489:X491),"0")</f>
        <v>318</v>
      </c>
      <c r="Y493" s="607">
        <f>IFERROR(SUM(Y489:Y491),"0")</f>
        <v>322.08000000000004</v>
      </c>
      <c r="Z493" s="37"/>
      <c r="AA493" s="608"/>
      <c r="AB493" s="608"/>
      <c r="AC493" s="608"/>
    </row>
    <row r="494" spans="1:68" ht="14.25" customHeight="1" x14ac:dyDescent="0.25">
      <c r="A494" s="614" t="s">
        <v>62</v>
      </c>
      <c r="B494" s="615"/>
      <c r="C494" s="615"/>
      <c r="D494" s="615"/>
      <c r="E494" s="615"/>
      <c r="F494" s="615"/>
      <c r="G494" s="615"/>
      <c r="H494" s="615"/>
      <c r="I494" s="615"/>
      <c r="J494" s="615"/>
      <c r="K494" s="615"/>
      <c r="L494" s="615"/>
      <c r="M494" s="615"/>
      <c r="N494" s="615"/>
      <c r="O494" s="615"/>
      <c r="P494" s="615"/>
      <c r="Q494" s="615"/>
      <c r="R494" s="615"/>
      <c r="S494" s="615"/>
      <c r="T494" s="615"/>
      <c r="U494" s="615"/>
      <c r="V494" s="615"/>
      <c r="W494" s="615"/>
      <c r="X494" s="615"/>
      <c r="Y494" s="615"/>
      <c r="Z494" s="615"/>
      <c r="AA494" s="601"/>
      <c r="AB494" s="601"/>
      <c r="AC494" s="601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294</v>
      </c>
      <c r="Y495" s="606">
        <f t="shared" ref="Y495:Y501" si="74">IFERROR(IF(X495="",0,CEILING((X495/$H495),1)*$H495),"")</f>
        <v>295.68</v>
      </c>
      <c r="Z495" s="36">
        <f>IFERROR(IF(Y495=0,"",ROUNDUP(Y495/H495,0)*0.01196),"")</f>
        <v>0.66976000000000002</v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313.48863636363637</v>
      </c>
      <c r="BN495" s="64">
        <f t="shared" ref="BN495:BN501" si="76">IFERROR(Y495*I495/H495,"0")</f>
        <v>315.27999999999997</v>
      </c>
      <c r="BO495" s="64">
        <f t="shared" ref="BO495:BO501" si="77">IFERROR(1/J495*(X495/H495),"0")</f>
        <v>0.53540209790209792</v>
      </c>
      <c r="BP495" s="64">
        <f t="shared" ref="BP495:BP501" si="78">IFERROR(1/J495*(Y495/H495),"0")</f>
        <v>0.53846153846153855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213</v>
      </c>
      <c r="Y496" s="606">
        <f t="shared" si="74"/>
        <v>216.48000000000002</v>
      </c>
      <c r="Z496" s="36">
        <f>IFERROR(IF(Y496=0,"",ROUNDUP(Y496/H496,0)*0.01196),"")</f>
        <v>0.49036000000000002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227.11931818181819</v>
      </c>
      <c r="BN496" s="64">
        <f t="shared" si="76"/>
        <v>230.83</v>
      </c>
      <c r="BO496" s="64">
        <f t="shared" si="77"/>
        <v>0.38789335664335661</v>
      </c>
      <c r="BP496" s="64">
        <f t="shared" si="78"/>
        <v>0.39423076923076927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174</v>
      </c>
      <c r="Y497" s="606">
        <f t="shared" si="74"/>
        <v>174.24</v>
      </c>
      <c r="Z497" s="36">
        <f>IFERROR(IF(Y497=0,"",ROUNDUP(Y497/H497,0)*0.01196),"")</f>
        <v>0.39468000000000003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185.53409090909091</v>
      </c>
      <c r="BN497" s="64">
        <f t="shared" si="76"/>
        <v>185.79</v>
      </c>
      <c r="BO497" s="64">
        <f t="shared" si="77"/>
        <v>0.31687062937062938</v>
      </c>
      <c r="BP497" s="64">
        <f t="shared" si="78"/>
        <v>0.31730769230769235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2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x14ac:dyDescent="0.2">
      <c r="A502" s="619"/>
      <c r="B502" s="615"/>
      <c r="C502" s="615"/>
      <c r="D502" s="615"/>
      <c r="E502" s="615"/>
      <c r="F502" s="615"/>
      <c r="G502" s="615"/>
      <c r="H502" s="615"/>
      <c r="I502" s="615"/>
      <c r="J502" s="615"/>
      <c r="K502" s="615"/>
      <c r="L502" s="615"/>
      <c r="M502" s="615"/>
      <c r="N502" s="615"/>
      <c r="O502" s="620"/>
      <c r="P502" s="622" t="s">
        <v>72</v>
      </c>
      <c r="Q502" s="623"/>
      <c r="R502" s="623"/>
      <c r="S502" s="623"/>
      <c r="T502" s="623"/>
      <c r="U502" s="623"/>
      <c r="V502" s="624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128.97727272727272</v>
      </c>
      <c r="Y502" s="607">
        <f>IFERROR(Y495/H495,"0")+IFERROR(Y496/H496,"0")+IFERROR(Y497/H497,"0")+IFERROR(Y498/H498,"0")+IFERROR(Y499/H499,"0")+IFERROR(Y500/H500,"0")+IFERROR(Y501/H501,"0")</f>
        <v>130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1.5548000000000002</v>
      </c>
      <c r="AA502" s="608"/>
      <c r="AB502" s="608"/>
      <c r="AC502" s="608"/>
    </row>
    <row r="503" spans="1:68" x14ac:dyDescent="0.2">
      <c r="A503" s="615"/>
      <c r="B503" s="615"/>
      <c r="C503" s="615"/>
      <c r="D503" s="615"/>
      <c r="E503" s="615"/>
      <c r="F503" s="615"/>
      <c r="G503" s="615"/>
      <c r="H503" s="615"/>
      <c r="I503" s="615"/>
      <c r="J503" s="615"/>
      <c r="K503" s="615"/>
      <c r="L503" s="615"/>
      <c r="M503" s="615"/>
      <c r="N503" s="615"/>
      <c r="O503" s="620"/>
      <c r="P503" s="622" t="s">
        <v>72</v>
      </c>
      <c r="Q503" s="623"/>
      <c r="R503" s="623"/>
      <c r="S503" s="623"/>
      <c r="T503" s="623"/>
      <c r="U503" s="623"/>
      <c r="V503" s="624"/>
      <c r="W503" s="37" t="s">
        <v>67</v>
      </c>
      <c r="X503" s="607">
        <f>IFERROR(SUM(X495:X501),"0")</f>
        <v>681</v>
      </c>
      <c r="Y503" s="607">
        <f>IFERROR(SUM(Y495:Y501),"0")</f>
        <v>686.40000000000009</v>
      </c>
      <c r="Z503" s="37"/>
      <c r="AA503" s="608"/>
      <c r="AB503" s="608"/>
      <c r="AC503" s="608"/>
    </row>
    <row r="504" spans="1:68" ht="27.75" customHeight="1" x14ac:dyDescent="0.2">
      <c r="A504" s="627" t="s">
        <v>795</v>
      </c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48"/>
      <c r="AB504" s="48"/>
      <c r="AC504" s="48"/>
    </row>
    <row r="505" spans="1:68" ht="16.5" customHeight="1" x14ac:dyDescent="0.25">
      <c r="A505" s="648" t="s">
        <v>795</v>
      </c>
      <c r="B505" s="615"/>
      <c r="C505" s="615"/>
      <c r="D505" s="615"/>
      <c r="E505" s="615"/>
      <c r="F505" s="615"/>
      <c r="G505" s="615"/>
      <c r="H505" s="615"/>
      <c r="I505" s="615"/>
      <c r="J505" s="615"/>
      <c r="K505" s="615"/>
      <c r="L505" s="615"/>
      <c r="M505" s="615"/>
      <c r="N505" s="615"/>
      <c r="O505" s="615"/>
      <c r="P505" s="615"/>
      <c r="Q505" s="615"/>
      <c r="R505" s="615"/>
      <c r="S505" s="615"/>
      <c r="T505" s="615"/>
      <c r="U505" s="615"/>
      <c r="V505" s="615"/>
      <c r="W505" s="615"/>
      <c r="X505" s="615"/>
      <c r="Y505" s="615"/>
      <c r="Z505" s="615"/>
      <c r="AA505" s="600"/>
      <c r="AB505" s="600"/>
      <c r="AC505" s="600"/>
    </row>
    <row r="506" spans="1:68" ht="14.25" customHeight="1" x14ac:dyDescent="0.25">
      <c r="A506" s="614" t="s">
        <v>121</v>
      </c>
      <c r="B506" s="615"/>
      <c r="C506" s="615"/>
      <c r="D506" s="615"/>
      <c r="E506" s="615"/>
      <c r="F506" s="615"/>
      <c r="G506" s="615"/>
      <c r="H506" s="615"/>
      <c r="I506" s="615"/>
      <c r="J506" s="615"/>
      <c r="K506" s="615"/>
      <c r="L506" s="615"/>
      <c r="M506" s="615"/>
      <c r="N506" s="615"/>
      <c r="O506" s="615"/>
      <c r="P506" s="615"/>
      <c r="Q506" s="615"/>
      <c r="R506" s="615"/>
      <c r="S506" s="615"/>
      <c r="T506" s="615"/>
      <c r="U506" s="615"/>
      <c r="V506" s="615"/>
      <c r="W506" s="615"/>
      <c r="X506" s="615"/>
      <c r="Y506" s="615"/>
      <c r="Z506" s="615"/>
      <c r="AA506" s="601"/>
      <c r="AB506" s="601"/>
      <c r="AC506" s="601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9"/>
      <c r="B508" s="615"/>
      <c r="C508" s="615"/>
      <c r="D508" s="615"/>
      <c r="E508" s="615"/>
      <c r="F508" s="615"/>
      <c r="G508" s="615"/>
      <c r="H508" s="615"/>
      <c r="I508" s="615"/>
      <c r="J508" s="615"/>
      <c r="K508" s="615"/>
      <c r="L508" s="615"/>
      <c r="M508" s="615"/>
      <c r="N508" s="615"/>
      <c r="O508" s="620"/>
      <c r="P508" s="622" t="s">
        <v>72</v>
      </c>
      <c r="Q508" s="623"/>
      <c r="R508" s="623"/>
      <c r="S508" s="623"/>
      <c r="T508" s="623"/>
      <c r="U508" s="623"/>
      <c r="V508" s="624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5"/>
      <c r="B509" s="615"/>
      <c r="C509" s="615"/>
      <c r="D509" s="615"/>
      <c r="E509" s="615"/>
      <c r="F509" s="615"/>
      <c r="G509" s="615"/>
      <c r="H509" s="615"/>
      <c r="I509" s="615"/>
      <c r="J509" s="615"/>
      <c r="K509" s="615"/>
      <c r="L509" s="615"/>
      <c r="M509" s="615"/>
      <c r="N509" s="615"/>
      <c r="O509" s="620"/>
      <c r="P509" s="622" t="s">
        <v>72</v>
      </c>
      <c r="Q509" s="623"/>
      <c r="R509" s="623"/>
      <c r="S509" s="623"/>
      <c r="T509" s="623"/>
      <c r="U509" s="623"/>
      <c r="V509" s="624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4" t="s">
        <v>156</v>
      </c>
      <c r="B510" s="615"/>
      <c r="C510" s="615"/>
      <c r="D510" s="615"/>
      <c r="E510" s="615"/>
      <c r="F510" s="615"/>
      <c r="G510" s="615"/>
      <c r="H510" s="615"/>
      <c r="I510" s="615"/>
      <c r="J510" s="615"/>
      <c r="K510" s="615"/>
      <c r="L510" s="615"/>
      <c r="M510" s="615"/>
      <c r="N510" s="615"/>
      <c r="O510" s="615"/>
      <c r="P510" s="615"/>
      <c r="Q510" s="615"/>
      <c r="R510" s="615"/>
      <c r="S510" s="615"/>
      <c r="T510" s="615"/>
      <c r="U510" s="615"/>
      <c r="V510" s="615"/>
      <c r="W510" s="615"/>
      <c r="X510" s="615"/>
      <c r="Y510" s="615"/>
      <c r="Z510" s="615"/>
      <c r="AA510" s="601"/>
      <c r="AB510" s="601"/>
      <c r="AC510" s="601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7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19"/>
      <c r="B512" s="615"/>
      <c r="C512" s="615"/>
      <c r="D512" s="615"/>
      <c r="E512" s="615"/>
      <c r="F512" s="615"/>
      <c r="G512" s="615"/>
      <c r="H512" s="615"/>
      <c r="I512" s="615"/>
      <c r="J512" s="615"/>
      <c r="K512" s="615"/>
      <c r="L512" s="615"/>
      <c r="M512" s="615"/>
      <c r="N512" s="615"/>
      <c r="O512" s="620"/>
      <c r="P512" s="622" t="s">
        <v>72</v>
      </c>
      <c r="Q512" s="623"/>
      <c r="R512" s="623"/>
      <c r="S512" s="623"/>
      <c r="T512" s="623"/>
      <c r="U512" s="623"/>
      <c r="V512" s="624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5"/>
      <c r="B513" s="615"/>
      <c r="C513" s="615"/>
      <c r="D513" s="615"/>
      <c r="E513" s="615"/>
      <c r="F513" s="615"/>
      <c r="G513" s="615"/>
      <c r="H513" s="615"/>
      <c r="I513" s="615"/>
      <c r="J513" s="615"/>
      <c r="K513" s="615"/>
      <c r="L513" s="615"/>
      <c r="M513" s="615"/>
      <c r="N513" s="615"/>
      <c r="O513" s="620"/>
      <c r="P513" s="622" t="s">
        <v>72</v>
      </c>
      <c r="Q513" s="623"/>
      <c r="R513" s="623"/>
      <c r="S513" s="623"/>
      <c r="T513" s="623"/>
      <c r="U513" s="623"/>
      <c r="V513" s="624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4" t="s">
        <v>62</v>
      </c>
      <c r="B514" s="615"/>
      <c r="C514" s="615"/>
      <c r="D514" s="615"/>
      <c r="E514" s="615"/>
      <c r="F514" s="615"/>
      <c r="G514" s="615"/>
      <c r="H514" s="615"/>
      <c r="I514" s="615"/>
      <c r="J514" s="615"/>
      <c r="K514" s="615"/>
      <c r="L514" s="615"/>
      <c r="M514" s="615"/>
      <c r="N514" s="615"/>
      <c r="O514" s="615"/>
      <c r="P514" s="615"/>
      <c r="Q514" s="615"/>
      <c r="R514" s="615"/>
      <c r="S514" s="615"/>
      <c r="T514" s="615"/>
      <c r="U514" s="615"/>
      <c r="V514" s="615"/>
      <c r="W514" s="615"/>
      <c r="X514" s="615"/>
      <c r="Y514" s="615"/>
      <c r="Z514" s="615"/>
      <c r="AA514" s="601"/>
      <c r="AB514" s="601"/>
      <c r="AC514" s="601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9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19"/>
      <c r="B517" s="615"/>
      <c r="C517" s="615"/>
      <c r="D517" s="615"/>
      <c r="E517" s="615"/>
      <c r="F517" s="615"/>
      <c r="G517" s="615"/>
      <c r="H517" s="615"/>
      <c r="I517" s="615"/>
      <c r="J517" s="615"/>
      <c r="K517" s="615"/>
      <c r="L517" s="615"/>
      <c r="M517" s="615"/>
      <c r="N517" s="615"/>
      <c r="O517" s="620"/>
      <c r="P517" s="622" t="s">
        <v>72</v>
      </c>
      <c r="Q517" s="623"/>
      <c r="R517" s="623"/>
      <c r="S517" s="623"/>
      <c r="T517" s="623"/>
      <c r="U517" s="623"/>
      <c r="V517" s="624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5"/>
      <c r="B518" s="615"/>
      <c r="C518" s="615"/>
      <c r="D518" s="615"/>
      <c r="E518" s="615"/>
      <c r="F518" s="615"/>
      <c r="G518" s="615"/>
      <c r="H518" s="615"/>
      <c r="I518" s="615"/>
      <c r="J518" s="615"/>
      <c r="K518" s="615"/>
      <c r="L518" s="615"/>
      <c r="M518" s="615"/>
      <c r="N518" s="615"/>
      <c r="O518" s="620"/>
      <c r="P518" s="622" t="s">
        <v>72</v>
      </c>
      <c r="Q518" s="623"/>
      <c r="R518" s="623"/>
      <c r="S518" s="623"/>
      <c r="T518" s="623"/>
      <c r="U518" s="623"/>
      <c r="V518" s="624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4" t="s">
        <v>74</v>
      </c>
      <c r="B519" s="615"/>
      <c r="C519" s="615"/>
      <c r="D519" s="615"/>
      <c r="E519" s="615"/>
      <c r="F519" s="615"/>
      <c r="G519" s="615"/>
      <c r="H519" s="615"/>
      <c r="I519" s="615"/>
      <c r="J519" s="615"/>
      <c r="K519" s="615"/>
      <c r="L519" s="615"/>
      <c r="M519" s="615"/>
      <c r="N519" s="615"/>
      <c r="O519" s="615"/>
      <c r="P519" s="615"/>
      <c r="Q519" s="615"/>
      <c r="R519" s="615"/>
      <c r="S519" s="615"/>
      <c r="T519" s="615"/>
      <c r="U519" s="615"/>
      <c r="V519" s="615"/>
      <c r="W519" s="615"/>
      <c r="X519" s="615"/>
      <c r="Y519" s="615"/>
      <c r="Z519" s="615"/>
      <c r="AA519" s="601"/>
      <c r="AB519" s="601"/>
      <c r="AC519" s="601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60</v>
      </c>
      <c r="Y520" s="606">
        <f>IFERROR(IF(X520="",0,CEILING((X520/$H520),1)*$H520),"")</f>
        <v>63</v>
      </c>
      <c r="Z520" s="36">
        <f>IFERROR(IF(Y520=0,"",ROUNDUP(Y520/H520,0)*0.01898),"")</f>
        <v>0.13286000000000001</v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63.293333333333329</v>
      </c>
      <c r="BN520" s="64">
        <f>IFERROR(Y520*I520/H520,"0")</f>
        <v>66.457999999999998</v>
      </c>
      <c r="BO520" s="64">
        <f>IFERROR(1/J520*(X520/H520),"0")</f>
        <v>0.10416666666666667</v>
      </c>
      <c r="BP520" s="64">
        <f>IFERROR(1/J520*(Y520/H520),"0")</f>
        <v>0.109375</v>
      </c>
    </row>
    <row r="521" spans="1:68" x14ac:dyDescent="0.2">
      <c r="A521" s="619"/>
      <c r="B521" s="615"/>
      <c r="C521" s="615"/>
      <c r="D521" s="615"/>
      <c r="E521" s="615"/>
      <c r="F521" s="615"/>
      <c r="G521" s="615"/>
      <c r="H521" s="615"/>
      <c r="I521" s="615"/>
      <c r="J521" s="615"/>
      <c r="K521" s="615"/>
      <c r="L521" s="615"/>
      <c r="M521" s="615"/>
      <c r="N521" s="615"/>
      <c r="O521" s="620"/>
      <c r="P521" s="622" t="s">
        <v>72</v>
      </c>
      <c r="Q521" s="623"/>
      <c r="R521" s="623"/>
      <c r="S521" s="623"/>
      <c r="T521" s="623"/>
      <c r="U521" s="623"/>
      <c r="V521" s="624"/>
      <c r="W521" s="37" t="s">
        <v>73</v>
      </c>
      <c r="X521" s="607">
        <f>IFERROR(X520/H520,"0")</f>
        <v>6.666666666666667</v>
      </c>
      <c r="Y521" s="607">
        <f>IFERROR(Y520/H520,"0")</f>
        <v>7</v>
      </c>
      <c r="Z521" s="607">
        <f>IFERROR(IF(Z520="",0,Z520),"0")</f>
        <v>0.13286000000000001</v>
      </c>
      <c r="AA521" s="608"/>
      <c r="AB521" s="608"/>
      <c r="AC521" s="608"/>
    </row>
    <row r="522" spans="1:68" x14ac:dyDescent="0.2">
      <c r="A522" s="615"/>
      <c r="B522" s="615"/>
      <c r="C522" s="615"/>
      <c r="D522" s="615"/>
      <c r="E522" s="615"/>
      <c r="F522" s="615"/>
      <c r="G522" s="615"/>
      <c r="H522" s="615"/>
      <c r="I522" s="615"/>
      <c r="J522" s="615"/>
      <c r="K522" s="615"/>
      <c r="L522" s="615"/>
      <c r="M522" s="615"/>
      <c r="N522" s="615"/>
      <c r="O522" s="620"/>
      <c r="P522" s="622" t="s">
        <v>72</v>
      </c>
      <c r="Q522" s="623"/>
      <c r="R522" s="623"/>
      <c r="S522" s="623"/>
      <c r="T522" s="623"/>
      <c r="U522" s="623"/>
      <c r="V522" s="624"/>
      <c r="W522" s="37" t="s">
        <v>67</v>
      </c>
      <c r="X522" s="607">
        <f>IFERROR(SUM(X520:X520),"0")</f>
        <v>60</v>
      </c>
      <c r="Y522" s="607">
        <f>IFERROR(SUM(Y520:Y520),"0")</f>
        <v>63</v>
      </c>
      <c r="Z522" s="37"/>
      <c r="AA522" s="608"/>
      <c r="AB522" s="608"/>
      <c r="AC522" s="608"/>
    </row>
    <row r="523" spans="1:68" ht="14.25" customHeight="1" x14ac:dyDescent="0.25">
      <c r="A523" s="614" t="s">
        <v>173</v>
      </c>
      <c r="B523" s="615"/>
      <c r="C523" s="615"/>
      <c r="D523" s="615"/>
      <c r="E523" s="615"/>
      <c r="F523" s="615"/>
      <c r="G523" s="615"/>
      <c r="H523" s="615"/>
      <c r="I523" s="615"/>
      <c r="J523" s="615"/>
      <c r="K523" s="615"/>
      <c r="L523" s="615"/>
      <c r="M523" s="615"/>
      <c r="N523" s="615"/>
      <c r="O523" s="615"/>
      <c r="P523" s="615"/>
      <c r="Q523" s="615"/>
      <c r="R523" s="615"/>
      <c r="S523" s="615"/>
      <c r="T523" s="615"/>
      <c r="U523" s="615"/>
      <c r="V523" s="615"/>
      <c r="W523" s="615"/>
      <c r="X523" s="615"/>
      <c r="Y523" s="615"/>
      <c r="Z523" s="615"/>
      <c r="AA523" s="601"/>
      <c r="AB523" s="601"/>
      <c r="AC523" s="601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19"/>
      <c r="B526" s="615"/>
      <c r="C526" s="615"/>
      <c r="D526" s="615"/>
      <c r="E526" s="615"/>
      <c r="F526" s="615"/>
      <c r="G526" s="615"/>
      <c r="H526" s="615"/>
      <c r="I526" s="615"/>
      <c r="J526" s="615"/>
      <c r="K526" s="615"/>
      <c r="L526" s="615"/>
      <c r="M526" s="615"/>
      <c r="N526" s="615"/>
      <c r="O526" s="620"/>
      <c r="P526" s="622" t="s">
        <v>72</v>
      </c>
      <c r="Q526" s="623"/>
      <c r="R526" s="623"/>
      <c r="S526" s="623"/>
      <c r="T526" s="623"/>
      <c r="U526" s="623"/>
      <c r="V526" s="624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5"/>
      <c r="B527" s="615"/>
      <c r="C527" s="615"/>
      <c r="D527" s="615"/>
      <c r="E527" s="615"/>
      <c r="F527" s="615"/>
      <c r="G527" s="615"/>
      <c r="H527" s="615"/>
      <c r="I527" s="615"/>
      <c r="J527" s="615"/>
      <c r="K527" s="615"/>
      <c r="L527" s="615"/>
      <c r="M527" s="615"/>
      <c r="N527" s="615"/>
      <c r="O527" s="620"/>
      <c r="P527" s="622" t="s">
        <v>72</v>
      </c>
      <c r="Q527" s="623"/>
      <c r="R527" s="623"/>
      <c r="S527" s="623"/>
      <c r="T527" s="623"/>
      <c r="U527" s="623"/>
      <c r="V527" s="624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48" t="s">
        <v>816</v>
      </c>
      <c r="B528" s="615"/>
      <c r="C528" s="615"/>
      <c r="D528" s="615"/>
      <c r="E528" s="615"/>
      <c r="F528" s="615"/>
      <c r="G528" s="615"/>
      <c r="H528" s="615"/>
      <c r="I528" s="615"/>
      <c r="J528" s="615"/>
      <c r="K528" s="615"/>
      <c r="L528" s="615"/>
      <c r="M528" s="615"/>
      <c r="N528" s="615"/>
      <c r="O528" s="615"/>
      <c r="P528" s="615"/>
      <c r="Q528" s="615"/>
      <c r="R528" s="615"/>
      <c r="S528" s="615"/>
      <c r="T528" s="615"/>
      <c r="U528" s="615"/>
      <c r="V528" s="615"/>
      <c r="W528" s="615"/>
      <c r="X528" s="615"/>
      <c r="Y528" s="615"/>
      <c r="Z528" s="615"/>
      <c r="AA528" s="600"/>
      <c r="AB528" s="600"/>
      <c r="AC528" s="600"/>
    </row>
    <row r="529" spans="1:68" ht="14.25" customHeight="1" x14ac:dyDescent="0.25">
      <c r="A529" s="614" t="s">
        <v>156</v>
      </c>
      <c r="B529" s="615"/>
      <c r="C529" s="615"/>
      <c r="D529" s="615"/>
      <c r="E529" s="615"/>
      <c r="F529" s="615"/>
      <c r="G529" s="615"/>
      <c r="H529" s="615"/>
      <c r="I529" s="615"/>
      <c r="J529" s="615"/>
      <c r="K529" s="615"/>
      <c r="L529" s="615"/>
      <c r="M529" s="615"/>
      <c r="N529" s="615"/>
      <c r="O529" s="615"/>
      <c r="P529" s="615"/>
      <c r="Q529" s="615"/>
      <c r="R529" s="615"/>
      <c r="S529" s="615"/>
      <c r="T529" s="615"/>
      <c r="U529" s="615"/>
      <c r="V529" s="615"/>
      <c r="W529" s="615"/>
      <c r="X529" s="615"/>
      <c r="Y529" s="615"/>
      <c r="Z529" s="615"/>
      <c r="AA529" s="601"/>
      <c r="AB529" s="601"/>
      <c r="AC529" s="601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3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19"/>
      <c r="B531" s="615"/>
      <c r="C531" s="615"/>
      <c r="D531" s="615"/>
      <c r="E531" s="615"/>
      <c r="F531" s="615"/>
      <c r="G531" s="615"/>
      <c r="H531" s="615"/>
      <c r="I531" s="615"/>
      <c r="J531" s="615"/>
      <c r="K531" s="615"/>
      <c r="L531" s="615"/>
      <c r="M531" s="615"/>
      <c r="N531" s="615"/>
      <c r="O531" s="620"/>
      <c r="P531" s="622" t="s">
        <v>72</v>
      </c>
      <c r="Q531" s="623"/>
      <c r="R531" s="623"/>
      <c r="S531" s="623"/>
      <c r="T531" s="623"/>
      <c r="U531" s="623"/>
      <c r="V531" s="624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5"/>
      <c r="B532" s="615"/>
      <c r="C532" s="615"/>
      <c r="D532" s="615"/>
      <c r="E532" s="615"/>
      <c r="F532" s="615"/>
      <c r="G532" s="615"/>
      <c r="H532" s="615"/>
      <c r="I532" s="615"/>
      <c r="J532" s="615"/>
      <c r="K532" s="615"/>
      <c r="L532" s="615"/>
      <c r="M532" s="615"/>
      <c r="N532" s="615"/>
      <c r="O532" s="620"/>
      <c r="P532" s="622" t="s">
        <v>72</v>
      </c>
      <c r="Q532" s="623"/>
      <c r="R532" s="623"/>
      <c r="S532" s="623"/>
      <c r="T532" s="623"/>
      <c r="U532" s="623"/>
      <c r="V532" s="624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5"/>
      <c r="B533" s="615"/>
      <c r="C533" s="615"/>
      <c r="D533" s="615"/>
      <c r="E533" s="615"/>
      <c r="F533" s="615"/>
      <c r="G533" s="615"/>
      <c r="H533" s="615"/>
      <c r="I533" s="615"/>
      <c r="J533" s="615"/>
      <c r="K533" s="615"/>
      <c r="L533" s="615"/>
      <c r="M533" s="615"/>
      <c r="N533" s="615"/>
      <c r="O533" s="772"/>
      <c r="P533" s="653" t="s">
        <v>820</v>
      </c>
      <c r="Q533" s="654"/>
      <c r="R533" s="654"/>
      <c r="S533" s="654"/>
      <c r="T533" s="654"/>
      <c r="U533" s="654"/>
      <c r="V533" s="655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8598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8779.58</v>
      </c>
      <c r="Z533" s="37"/>
      <c r="AA533" s="608"/>
      <c r="AB533" s="608"/>
      <c r="AC533" s="608"/>
    </row>
    <row r="534" spans="1:68" x14ac:dyDescent="0.2">
      <c r="A534" s="615"/>
      <c r="B534" s="615"/>
      <c r="C534" s="615"/>
      <c r="D534" s="615"/>
      <c r="E534" s="615"/>
      <c r="F534" s="615"/>
      <c r="G534" s="615"/>
      <c r="H534" s="615"/>
      <c r="I534" s="615"/>
      <c r="J534" s="615"/>
      <c r="K534" s="615"/>
      <c r="L534" s="615"/>
      <c r="M534" s="615"/>
      <c r="N534" s="615"/>
      <c r="O534" s="772"/>
      <c r="P534" s="653" t="s">
        <v>821</v>
      </c>
      <c r="Q534" s="654"/>
      <c r="R534" s="654"/>
      <c r="S534" s="654"/>
      <c r="T534" s="654"/>
      <c r="U534" s="654"/>
      <c r="V534" s="655"/>
      <c r="W534" s="37" t="s">
        <v>67</v>
      </c>
      <c r="X534" s="607">
        <f>IFERROR(SUM(BM22:BM530),"0")</f>
        <v>9200.9206528216764</v>
      </c>
      <c r="Y534" s="607">
        <f>IFERROR(SUM(BN22:BN530),"0")</f>
        <v>9394.4720000000052</v>
      </c>
      <c r="Z534" s="37"/>
      <c r="AA534" s="608"/>
      <c r="AB534" s="608"/>
      <c r="AC534" s="608"/>
    </row>
    <row r="535" spans="1:68" x14ac:dyDescent="0.2">
      <c r="A535" s="615"/>
      <c r="B535" s="615"/>
      <c r="C535" s="615"/>
      <c r="D535" s="615"/>
      <c r="E535" s="615"/>
      <c r="F535" s="615"/>
      <c r="G535" s="615"/>
      <c r="H535" s="615"/>
      <c r="I535" s="615"/>
      <c r="J535" s="615"/>
      <c r="K535" s="615"/>
      <c r="L535" s="615"/>
      <c r="M535" s="615"/>
      <c r="N535" s="615"/>
      <c r="O535" s="772"/>
      <c r="P535" s="653" t="s">
        <v>822</v>
      </c>
      <c r="Q535" s="654"/>
      <c r="R535" s="654"/>
      <c r="S535" s="654"/>
      <c r="T535" s="654"/>
      <c r="U535" s="654"/>
      <c r="V535" s="655"/>
      <c r="W535" s="37" t="s">
        <v>823</v>
      </c>
      <c r="X535" s="38">
        <f>ROUNDUP(SUM(BO22:BO530),0)</f>
        <v>16</v>
      </c>
      <c r="Y535" s="38">
        <f>ROUNDUP(SUM(BP22:BP530),0)</f>
        <v>16</v>
      </c>
      <c r="Z535" s="37"/>
      <c r="AA535" s="608"/>
      <c r="AB535" s="608"/>
      <c r="AC535" s="608"/>
    </row>
    <row r="536" spans="1:68" x14ac:dyDescent="0.2">
      <c r="A536" s="615"/>
      <c r="B536" s="615"/>
      <c r="C536" s="615"/>
      <c r="D536" s="615"/>
      <c r="E536" s="615"/>
      <c r="F536" s="615"/>
      <c r="G536" s="615"/>
      <c r="H536" s="615"/>
      <c r="I536" s="615"/>
      <c r="J536" s="615"/>
      <c r="K536" s="615"/>
      <c r="L536" s="615"/>
      <c r="M536" s="615"/>
      <c r="N536" s="615"/>
      <c r="O536" s="772"/>
      <c r="P536" s="653" t="s">
        <v>824</v>
      </c>
      <c r="Q536" s="654"/>
      <c r="R536" s="654"/>
      <c r="S536" s="654"/>
      <c r="T536" s="654"/>
      <c r="U536" s="654"/>
      <c r="V536" s="655"/>
      <c r="W536" s="37" t="s">
        <v>67</v>
      </c>
      <c r="X536" s="607">
        <f>GrossWeightTotal+PalletQtyTotal*25</f>
        <v>9600.9206528216764</v>
      </c>
      <c r="Y536" s="607">
        <f>GrossWeightTotalR+PalletQtyTotalR*25</f>
        <v>9794.4720000000052</v>
      </c>
      <c r="Z536" s="37"/>
      <c r="AA536" s="608"/>
      <c r="AB536" s="608"/>
      <c r="AC536" s="608"/>
    </row>
    <row r="537" spans="1:68" x14ac:dyDescent="0.2">
      <c r="A537" s="615"/>
      <c r="B537" s="615"/>
      <c r="C537" s="615"/>
      <c r="D537" s="615"/>
      <c r="E537" s="615"/>
      <c r="F537" s="615"/>
      <c r="G537" s="615"/>
      <c r="H537" s="615"/>
      <c r="I537" s="615"/>
      <c r="J537" s="615"/>
      <c r="K537" s="615"/>
      <c r="L537" s="615"/>
      <c r="M537" s="615"/>
      <c r="N537" s="615"/>
      <c r="O537" s="772"/>
      <c r="P537" s="653" t="s">
        <v>825</v>
      </c>
      <c r="Q537" s="654"/>
      <c r="R537" s="654"/>
      <c r="S537" s="654"/>
      <c r="T537" s="654"/>
      <c r="U537" s="654"/>
      <c r="V537" s="655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1731.7308015343931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1768</v>
      </c>
      <c r="Z537" s="37"/>
      <c r="AA537" s="608"/>
      <c r="AB537" s="608"/>
      <c r="AC537" s="608"/>
    </row>
    <row r="538" spans="1:68" ht="14.25" customHeight="1" x14ac:dyDescent="0.2">
      <c r="A538" s="615"/>
      <c r="B538" s="615"/>
      <c r="C538" s="615"/>
      <c r="D538" s="615"/>
      <c r="E538" s="615"/>
      <c r="F538" s="615"/>
      <c r="G538" s="615"/>
      <c r="H538" s="615"/>
      <c r="I538" s="615"/>
      <c r="J538" s="615"/>
      <c r="K538" s="615"/>
      <c r="L538" s="615"/>
      <c r="M538" s="615"/>
      <c r="N538" s="615"/>
      <c r="O538" s="772"/>
      <c r="P538" s="653" t="s">
        <v>826</v>
      </c>
      <c r="Q538" s="654"/>
      <c r="R538" s="654"/>
      <c r="S538" s="654"/>
      <c r="T538" s="654"/>
      <c r="U538" s="654"/>
      <c r="V538" s="655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18.51539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7" t="s">
        <v>119</v>
      </c>
      <c r="E540" s="833"/>
      <c r="F540" s="833"/>
      <c r="G540" s="833"/>
      <c r="H540" s="833"/>
      <c r="I540" s="833"/>
      <c r="J540" s="659"/>
      <c r="K540" s="617" t="s">
        <v>328</v>
      </c>
      <c r="L540" s="833"/>
      <c r="M540" s="833"/>
      <c r="N540" s="833"/>
      <c r="O540" s="833"/>
      <c r="P540" s="833"/>
      <c r="Q540" s="833"/>
      <c r="R540" s="833"/>
      <c r="S540" s="833"/>
      <c r="T540" s="833"/>
      <c r="U540" s="659"/>
      <c r="V540" s="617" t="s">
        <v>652</v>
      </c>
      <c r="W540" s="659"/>
      <c r="X540" s="617" t="s">
        <v>712</v>
      </c>
      <c r="Y540" s="659"/>
      <c r="Z540" s="602" t="s">
        <v>748</v>
      </c>
      <c r="AA540" s="617" t="s">
        <v>795</v>
      </c>
      <c r="AB540" s="659"/>
      <c r="AC540" s="52"/>
      <c r="AF540" s="603"/>
    </row>
    <row r="541" spans="1:68" ht="14.25" customHeight="1" thickTop="1" x14ac:dyDescent="0.2">
      <c r="A541" s="873" t="s">
        <v>829</v>
      </c>
      <c r="B541" s="617" t="s">
        <v>61</v>
      </c>
      <c r="C541" s="617" t="s">
        <v>102</v>
      </c>
      <c r="D541" s="617" t="s">
        <v>120</v>
      </c>
      <c r="E541" s="617" t="s">
        <v>136</v>
      </c>
      <c r="F541" s="617" t="s">
        <v>180</v>
      </c>
      <c r="G541" s="617" t="s">
        <v>201</v>
      </c>
      <c r="H541" s="617" t="s">
        <v>245</v>
      </c>
      <c r="I541" s="617" t="s">
        <v>257</v>
      </c>
      <c r="J541" s="617" t="s">
        <v>119</v>
      </c>
      <c r="K541" s="617" t="s">
        <v>329</v>
      </c>
      <c r="L541" s="617" t="s">
        <v>350</v>
      </c>
      <c r="M541" s="617" t="s">
        <v>414</v>
      </c>
      <c r="N541" s="603"/>
      <c r="O541" s="617" t="s">
        <v>482</v>
      </c>
      <c r="P541" s="617" t="s">
        <v>515</v>
      </c>
      <c r="Q541" s="617" t="s">
        <v>531</v>
      </c>
      <c r="R541" s="617" t="s">
        <v>540</v>
      </c>
      <c r="S541" s="617" t="s">
        <v>561</v>
      </c>
      <c r="T541" s="617" t="s">
        <v>570</v>
      </c>
      <c r="U541" s="617" t="s">
        <v>642</v>
      </c>
      <c r="V541" s="617" t="s">
        <v>653</v>
      </c>
      <c r="W541" s="617" t="s">
        <v>696</v>
      </c>
      <c r="X541" s="617" t="s">
        <v>713</v>
      </c>
      <c r="Y541" s="617" t="s">
        <v>736</v>
      </c>
      <c r="Z541" s="617" t="s">
        <v>748</v>
      </c>
      <c r="AA541" s="617" t="s">
        <v>795</v>
      </c>
      <c r="AB541" s="617" t="s">
        <v>816</v>
      </c>
      <c r="AC541" s="52"/>
      <c r="AF541" s="603"/>
    </row>
    <row r="542" spans="1:68" ht="13.5" customHeight="1" thickBot="1" x14ac:dyDescent="0.25">
      <c r="A542" s="874"/>
      <c r="B542" s="618"/>
      <c r="C542" s="618"/>
      <c r="D542" s="618"/>
      <c r="E542" s="618"/>
      <c r="F542" s="618"/>
      <c r="G542" s="618"/>
      <c r="H542" s="618"/>
      <c r="I542" s="618"/>
      <c r="J542" s="618"/>
      <c r="K542" s="618"/>
      <c r="L542" s="618"/>
      <c r="M542" s="618"/>
      <c r="N542" s="603"/>
      <c r="O542" s="618"/>
      <c r="P542" s="618"/>
      <c r="Q542" s="618"/>
      <c r="R542" s="618"/>
      <c r="S542" s="618"/>
      <c r="T542" s="618"/>
      <c r="U542" s="618"/>
      <c r="V542" s="618"/>
      <c r="W542" s="618"/>
      <c r="X542" s="618"/>
      <c r="Y542" s="618"/>
      <c r="Z542" s="618"/>
      <c r="AA542" s="618"/>
      <c r="AB542" s="618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162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22.200000000000003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535.80000000000007</v>
      </c>
      <c r="F543" s="46">
        <f>IFERROR(Y88*1,"0")+IFERROR(Y89*1,"0")+IFERROR(Y90*1,"0")+IFERROR(Y91*1,"0")+IFERROR(Y95*1,"0")+IFERROR(Y96*1,"0")+IFERROR(Y97*1,"0")+IFERROR(Y98*1,"0")</f>
        <v>648.9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1815.7800000000002</v>
      </c>
      <c r="H543" s="46">
        <f>IFERROR(Y135*1,"0")+IFERROR(Y136*1,"0")+IFERROR(Y140*1,"0")+IFERROR(Y141*1,"0")+IFERROR(Y145*1,"0")+IFERROR(Y146*1,"0")</f>
        <v>107.6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168.76000000000002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112.20000000000002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1530.3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75.2</v>
      </c>
      <c r="P543" s="46">
        <f>IFERROR(Y316*1,"0")+IFERROR(Y317*1,"0")+IFERROR(Y318*1,"0")+IFERROR(Y319*1,"0")+IFERROR(Y320*1,"0")</f>
        <v>10.8</v>
      </c>
      <c r="Q543" s="46">
        <f>IFERROR(Y325*1,"0")+IFERROR(Y326*1,"0")+IFERROR(Y327*1,"0")</f>
        <v>40.799999999999997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15.6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366.6</v>
      </c>
      <c r="U543" s="46">
        <f>IFERROR(Y398*1,"0")+IFERROR(Y399*1,"0")+IFERROR(Y400*1,"0")</f>
        <v>176.4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1068</v>
      </c>
      <c r="W543" s="46">
        <f>IFERROR(Y433*1,"0")+IFERROR(Y434*1,"0")+IFERROR(Y438*1,"0")+IFERROR(Y442*1,"0")+IFERROR(Y443*1,"0")+IFERROR(Y444*1,"0")</f>
        <v>603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1256.6400000000001</v>
      </c>
      <c r="AA543" s="46">
        <f>IFERROR(Y507*1,"0")+IFERROR(Y511*1,"0")+IFERROR(Y515*1,"0")+IFERROR(Y516*1,"0")+IFERROR(Y520*1,"0")+IFERROR(Y524*1,"0")+IFERROR(Y525*1,"0")</f>
        <v>63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27:V527"/>
    <mergeCell ref="P507:T507"/>
    <mergeCell ref="P363:T363"/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P513:V513"/>
    <mergeCell ref="A251:O252"/>
    <mergeCell ref="P292:T292"/>
    <mergeCell ref="A269:Z269"/>
    <mergeCell ref="P294:T294"/>
    <mergeCell ref="P381:V381"/>
    <mergeCell ref="A35:Z35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293:T293"/>
    <mergeCell ref="D407:E4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D164:E164"/>
    <mergeCell ref="P365:T365"/>
    <mergeCell ref="P62:T62"/>
    <mergeCell ref="U17:V17"/>
    <mergeCell ref="P36:T36"/>
    <mergeCell ref="P478:T478"/>
    <mergeCell ref="P278:T278"/>
    <mergeCell ref="P107:T107"/>
    <mergeCell ref="P465:T465"/>
    <mergeCell ref="D386:E386"/>
    <mergeCell ref="D215:E215"/>
    <mergeCell ref="P194:V194"/>
    <mergeCell ref="P492:V492"/>
    <mergeCell ref="P456:V456"/>
    <mergeCell ref="P484:T484"/>
    <mergeCell ref="P434:T434"/>
    <mergeCell ref="A9:C9"/>
    <mergeCell ref="P125:T125"/>
    <mergeCell ref="D373:E373"/>
    <mergeCell ref="D202:E202"/>
    <mergeCell ref="D500:E500"/>
    <mergeCell ref="D294:E294"/>
    <mergeCell ref="P348:T348"/>
    <mergeCell ref="D231:E231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Q13:R13"/>
    <mergeCell ref="P47:V47"/>
    <mergeCell ref="P176:T176"/>
    <mergeCell ref="P114:T114"/>
    <mergeCell ref="P483:T483"/>
    <mergeCell ref="A157:Z157"/>
    <mergeCell ref="D22:E22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A508:O509"/>
    <mergeCell ref="A230:Z230"/>
    <mergeCell ref="D222:E222"/>
    <mergeCell ref="P399:T399"/>
    <mergeCell ref="P333:T333"/>
    <mergeCell ref="P57:V57"/>
    <mergeCell ref="G17:G18"/>
    <mergeCell ref="A167:Z167"/>
    <mergeCell ref="P242:V242"/>
    <mergeCell ref="D159:E159"/>
    <mergeCell ref="A403:Z403"/>
    <mergeCell ref="P121:V121"/>
    <mergeCell ref="P46:T46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D489:E489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536:V536"/>
    <mergeCell ref="A94:Z94"/>
    <mergeCell ref="P79:V79"/>
    <mergeCell ref="A69:Z69"/>
    <mergeCell ref="A196:Z196"/>
    <mergeCell ref="P115:T115"/>
    <mergeCell ref="A427:Z427"/>
    <mergeCell ref="D254:E254"/>
    <mergeCell ref="P302:V302"/>
    <mergeCell ref="P238:T238"/>
    <mergeCell ref="D490:E490"/>
    <mergeCell ref="D346:E346"/>
    <mergeCell ref="D477:E477"/>
    <mergeCell ref="A517:O518"/>
    <mergeCell ref="A133:Z133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P511:T511"/>
    <mergeCell ref="A435:O436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15:T16"/>
    <mergeCell ref="P450:T450"/>
    <mergeCell ref="D116:E116"/>
    <mergeCell ref="P419:T419"/>
    <mergeCell ref="P219:T219"/>
    <mergeCell ref="D91:E91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479:T479"/>
    <mergeCell ref="D400:E400"/>
    <mergeCell ref="D77:E77"/>
    <mergeCell ref="D108:E108"/>
    <mergeCell ref="P423:T423"/>
    <mergeCell ref="P223:T223"/>
    <mergeCell ref="P52:T52"/>
    <mergeCell ref="D160:E160"/>
    <mergeCell ref="P481:T481"/>
    <mergeCell ref="P153:T153"/>
    <mergeCell ref="P90:T90"/>
    <mergeCell ref="P332:T332"/>
    <mergeCell ref="P217:T217"/>
    <mergeCell ref="D204:E204"/>
    <mergeCell ref="P459:T459"/>
    <mergeCell ref="D465:E465"/>
    <mergeCell ref="D296:E296"/>
    <mergeCell ref="A321:O322"/>
    <mergeCell ref="P164:T164"/>
    <mergeCell ref="P120:V120"/>
    <mergeCell ref="D384:E384"/>
    <mergeCell ref="P341:T341"/>
    <mergeCell ref="D151:E151"/>
    <mergeCell ref="A110:O111"/>
    <mergeCell ref="A531:O532"/>
    <mergeCell ref="A468:Z468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A523:Z523"/>
    <mergeCell ref="A87:Z87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D524:E524"/>
    <mergeCell ref="P407:T407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W541:W542"/>
    <mergeCell ref="D470:E470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P533:V533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P206:V206"/>
    <mergeCell ref="A258:Z258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D60:E60"/>
    <mergeCell ref="P73:T7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2026-07-08T09:31:25Z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