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42816B0-CD46-487B-B8ED-2A5541C201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59" i="2" l="1"/>
  <c r="BP202" i="2"/>
  <c r="Z304" i="2"/>
  <c r="BN304" i="2"/>
  <c r="Z167" i="2"/>
  <c r="Z264" i="2"/>
  <c r="BN264" i="2"/>
  <c r="Z364" i="2"/>
  <c r="BN364" i="2"/>
  <c r="Z428" i="2"/>
  <c r="Z35" i="2"/>
  <c r="Z36" i="2" s="1"/>
  <c r="BP127" i="2"/>
  <c r="Y128" i="2"/>
  <c r="Z132" i="2"/>
  <c r="Z134" i="2"/>
  <c r="BP187" i="2"/>
  <c r="Z244" i="2"/>
  <c r="Z280" i="2"/>
  <c r="Z328" i="2"/>
  <c r="Z457" i="2"/>
  <c r="Z458" i="2" s="1"/>
  <c r="BN457" i="2"/>
  <c r="Y37" i="2"/>
  <c r="Z113" i="2"/>
  <c r="Z157" i="2"/>
  <c r="Z230" i="2"/>
  <c r="Z250" i="2"/>
  <c r="Z290" i="2"/>
  <c r="BN290" i="2"/>
  <c r="Z320" i="2"/>
  <c r="Z363" i="2"/>
  <c r="BP31" i="2"/>
  <c r="Z31" i="2"/>
  <c r="BN43" i="2"/>
  <c r="Z43" i="2"/>
  <c r="BN77" i="2"/>
  <c r="BN115" i="2"/>
  <c r="BN148" i="2"/>
  <c r="BN173" i="2"/>
  <c r="Z173" i="2"/>
  <c r="BN182" i="2"/>
  <c r="Z182" i="2"/>
  <c r="BN186" i="2"/>
  <c r="BN192" i="2"/>
  <c r="Z192" i="2"/>
  <c r="BP226" i="2"/>
  <c r="BN226" i="2"/>
  <c r="BN28" i="2"/>
  <c r="BN61" i="2"/>
  <c r="BN90" i="2"/>
  <c r="Z90" i="2"/>
  <c r="BP122" i="2"/>
  <c r="Z122" i="2"/>
  <c r="BP156" i="2"/>
  <c r="Z156" i="2"/>
  <c r="BN185" i="2"/>
  <c r="Z185" i="2"/>
  <c r="BN389" i="2"/>
  <c r="BN441" i="2"/>
  <c r="BN463" i="2"/>
  <c r="BN473" i="2"/>
  <c r="BN259" i="2"/>
  <c r="BP273" i="2"/>
  <c r="BN274" i="2"/>
  <c r="BP283" i="2"/>
  <c r="BN284" i="2"/>
  <c r="BN374" i="2"/>
  <c r="BN416" i="2"/>
  <c r="BN515" i="2"/>
  <c r="BN517" i="2"/>
  <c r="Y25" i="2"/>
  <c r="X555" i="2"/>
  <c r="BN30" i="2"/>
  <c r="BP35" i="2"/>
  <c r="BN72" i="2"/>
  <c r="Y79" i="2"/>
  <c r="BN82" i="2"/>
  <c r="BN106" i="2"/>
  <c r="BN120" i="2"/>
  <c r="Y137" i="2"/>
  <c r="Y158" i="2"/>
  <c r="BN155" i="2"/>
  <c r="BN209" i="2"/>
  <c r="BN214" i="2"/>
  <c r="Z231" i="2"/>
  <c r="BN231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P363" i="2"/>
  <c r="BN368" i="2"/>
  <c r="Z373" i="2"/>
  <c r="BN373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N358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51" i="2" l="1"/>
  <c r="Z475" i="2"/>
  <c r="Z338" i="2"/>
  <c r="Z480" i="2"/>
  <c r="Z245" i="2"/>
  <c r="Z158" i="2"/>
  <c r="Z136" i="2"/>
  <c r="Z544" i="2"/>
  <c r="Z277" i="2"/>
  <c r="Z215" i="2"/>
  <c r="Z464" i="2"/>
  <c r="Z150" i="2"/>
  <c r="Z117" i="2"/>
  <c r="Z411" i="2"/>
  <c r="Z174" i="2"/>
  <c r="Z386" i="2"/>
  <c r="Z292" i="2"/>
  <c r="Z405" i="2"/>
  <c r="Z369" i="2"/>
  <c r="Z32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<sst xmlns="http://schemas.openxmlformats.org/spreadsheetml/2006/main" count="4193" uniqueCount="890">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</sst>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zoomScaleNormal="100" zoomScaleSheetLayoutView="100" workbookViewId="0">
      <selection activeCell="X551" sqref="X5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46229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8.6</v>
      </c>
      <c r="Y166" s="55">
        <f>IFERROR(IF(X166="",0,CEILING((X166/$H166),1)*$H166),"")</f>
        <v>10.32</v>
      </c>
      <c r="Z166" s="41">
        <f>IFERROR(IF(Y166=0,"",ROUNDUP(Y166/H166,0)*0.00651),"")</f>
        <v>2.6040000000000001E-2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9.1999999999999993</v>
      </c>
      <c r="BN166" s="78">
        <f>IFERROR(Y166*I166/H166,"0")</f>
        <v>11.04</v>
      </c>
      <c r="BO166" s="78">
        <f>IFERROR(1/J166*(X166/H166),"0")</f>
        <v>1.8315018315018316E-2</v>
      </c>
      <c r="BP166" s="78">
        <f>IFERROR(1/J166*(Y166/H166),"0")</f>
        <v>2.197802197802198E-2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3.333333333333333</v>
      </c>
      <c r="Y169" s="43">
        <f>IFERROR(Y166/H166,"0")+IFERROR(Y167/H167,"0")+IFERROR(Y168/H168,"0")</f>
        <v>4</v>
      </c>
      <c r="Z169" s="43">
        <f>IFERROR(IF(Z166="",0,Z166),"0")+IFERROR(IF(Z167="",0,Z167),"0")+IFERROR(IF(Z168="",0,Z168),"0")</f>
        <v>2.6040000000000001E-2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8.6</v>
      </c>
      <c r="Y170" s="43">
        <f>IFERROR(SUM(Y166:Y168),"0")</f>
        <v>10.32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20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21.051282051282055</v>
      </c>
      <c r="BN357" s="78">
        <f>IFERROR(Y357*I357/H357,"0")</f>
        <v>24.630000000000003</v>
      </c>
      <c r="BO357" s="78">
        <f>IFERROR(1/J357*(X357/H357),"0")</f>
        <v>4.0064102564102567E-2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20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21.051282051282055</v>
      </c>
      <c r="BN358" s="78">
        <f>IFERROR(Y358*I358/H358,"0")</f>
        <v>24.630000000000003</v>
      </c>
      <c r="BO358" s="78">
        <f>IFERROR(1/J358*(X358/H358),"0")</f>
        <v>4.0064102564102567E-2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5.1282051282051286</v>
      </c>
      <c r="Y359" s="43">
        <f>IFERROR(Y356/H356,"0")+IFERROR(Y357/H357,"0")+IFERROR(Y358/H358,"0")</f>
        <v>6</v>
      </c>
      <c r="Z359" s="43">
        <f>IFERROR(IF(Z356="",0,Z356),"0")+IFERROR(IF(Z357="",0,Z357),"0")+IFERROR(IF(Z358="",0,Z358),"0")</f>
        <v>0.11388000000000001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40</v>
      </c>
      <c r="Y360" s="43">
        <f>IFERROR(SUM(Y356:Y358),"0")</f>
        <v>46.8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48.6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57.12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51.302564102564105</v>
      </c>
      <c r="Y552" s="43">
        <f>IFERROR(SUM(BN22:BN548),"0")</f>
        <v>60.300000000000004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76.302564102564105</v>
      </c>
      <c r="Y554" s="43">
        <f>GrossWeightTotalR+PalletQtyTotalR*25</f>
        <v>85.300000000000011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8.4615384615384617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10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0.13992000000000002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10.32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46.8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2026-08-05T09:44:17Z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