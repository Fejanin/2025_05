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71D5FAF3-05A2-4FEF-A8E8-A264E7195C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R7" i="1" l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6" i="1"/>
  <c r="R5" i="1" l="1"/>
  <c r="M7" i="1"/>
  <c r="S7" i="1" s="1"/>
  <c r="T7" i="1" s="1"/>
  <c r="AI7" i="1" s="1"/>
  <c r="M8" i="1"/>
  <c r="S8" i="1" s="1"/>
  <c r="T8" i="1" s="1"/>
  <c r="M9" i="1"/>
  <c r="S9" i="1" s="1"/>
  <c r="T9" i="1" s="1"/>
  <c r="AI9" i="1" s="1"/>
  <c r="M10" i="1"/>
  <c r="S10" i="1" s="1"/>
  <c r="T10" i="1" s="1"/>
  <c r="M11" i="1"/>
  <c r="S11" i="1" s="1"/>
  <c r="M12" i="1"/>
  <c r="S12" i="1" s="1"/>
  <c r="T12" i="1" s="1"/>
  <c r="M13" i="1"/>
  <c r="S13" i="1" s="1"/>
  <c r="T13" i="1" s="1"/>
  <c r="AI13" i="1" s="1"/>
  <c r="M14" i="1"/>
  <c r="S14" i="1" s="1"/>
  <c r="T14" i="1" s="1"/>
  <c r="M15" i="1"/>
  <c r="S15" i="1" s="1"/>
  <c r="T15" i="1" s="1"/>
  <c r="AI15" i="1" s="1"/>
  <c r="M16" i="1"/>
  <c r="S16" i="1" s="1"/>
  <c r="T16" i="1" s="1"/>
  <c r="M17" i="1"/>
  <c r="S17" i="1" s="1"/>
  <c r="M18" i="1"/>
  <c r="S18" i="1" s="1"/>
  <c r="M19" i="1"/>
  <c r="S19" i="1" s="1"/>
  <c r="M20" i="1"/>
  <c r="S20" i="1" s="1"/>
  <c r="AI20" i="1" s="1"/>
  <c r="M21" i="1"/>
  <c r="S21" i="1" s="1"/>
  <c r="T21" i="1" s="1"/>
  <c r="AI21" i="1" s="1"/>
  <c r="M22" i="1"/>
  <c r="S22" i="1" s="1"/>
  <c r="AI22" i="1" s="1"/>
  <c r="M23" i="1"/>
  <c r="S23" i="1" s="1"/>
  <c r="T23" i="1" s="1"/>
  <c r="AI23" i="1" s="1"/>
  <c r="M24" i="1"/>
  <c r="S24" i="1" s="1"/>
  <c r="AI24" i="1" s="1"/>
  <c r="M25" i="1"/>
  <c r="S25" i="1" s="1"/>
  <c r="T25" i="1" s="1"/>
  <c r="AI25" i="1" s="1"/>
  <c r="M26" i="1"/>
  <c r="S26" i="1" s="1"/>
  <c r="M27" i="1"/>
  <c r="S27" i="1" s="1"/>
  <c r="M28" i="1"/>
  <c r="S28" i="1" s="1"/>
  <c r="T28" i="1" s="1"/>
  <c r="AI28" i="1" s="1"/>
  <c r="M29" i="1"/>
  <c r="S29" i="1" s="1"/>
  <c r="M30" i="1"/>
  <c r="S30" i="1" s="1"/>
  <c r="M31" i="1"/>
  <c r="S31" i="1" s="1"/>
  <c r="M32" i="1"/>
  <c r="S32" i="1" s="1"/>
  <c r="M33" i="1"/>
  <c r="S33" i="1" s="1"/>
  <c r="T33" i="1" s="1"/>
  <c r="AI33" i="1" s="1"/>
  <c r="M34" i="1"/>
  <c r="S34" i="1" s="1"/>
  <c r="T34" i="1" s="1"/>
  <c r="AI34" i="1" s="1"/>
  <c r="M35" i="1"/>
  <c r="S35" i="1" s="1"/>
  <c r="M36" i="1"/>
  <c r="S36" i="1" s="1"/>
  <c r="T36" i="1" s="1"/>
  <c r="AI36" i="1" s="1"/>
  <c r="M37" i="1"/>
  <c r="S37" i="1" s="1"/>
  <c r="M38" i="1"/>
  <c r="S38" i="1" s="1"/>
  <c r="T38" i="1" s="1"/>
  <c r="AI38" i="1" s="1"/>
  <c r="M39" i="1"/>
  <c r="S39" i="1" s="1"/>
  <c r="T39" i="1" s="1"/>
  <c r="AI39" i="1" s="1"/>
  <c r="M40" i="1"/>
  <c r="S40" i="1" s="1"/>
  <c r="T40" i="1" s="1"/>
  <c r="AI40" i="1" s="1"/>
  <c r="M41" i="1"/>
  <c r="S41" i="1" s="1"/>
  <c r="M42" i="1"/>
  <c r="S42" i="1" s="1"/>
  <c r="T42" i="1" s="1"/>
  <c r="AI42" i="1" s="1"/>
  <c r="M43" i="1"/>
  <c r="S43" i="1" s="1"/>
  <c r="M44" i="1"/>
  <c r="S44" i="1" s="1"/>
  <c r="T44" i="1" s="1"/>
  <c r="AI44" i="1" s="1"/>
  <c r="M45" i="1"/>
  <c r="S45" i="1" s="1"/>
  <c r="T45" i="1" s="1"/>
  <c r="AI45" i="1" s="1"/>
  <c r="M46" i="1"/>
  <c r="S46" i="1" s="1"/>
  <c r="T46" i="1" s="1"/>
  <c r="AI46" i="1" s="1"/>
  <c r="M47" i="1"/>
  <c r="S47" i="1" s="1"/>
  <c r="T47" i="1" s="1"/>
  <c r="AI47" i="1" s="1"/>
  <c r="M48" i="1"/>
  <c r="S48" i="1" s="1"/>
  <c r="AI48" i="1" s="1"/>
  <c r="M49" i="1"/>
  <c r="S49" i="1" s="1"/>
  <c r="M50" i="1"/>
  <c r="S50" i="1" s="1"/>
  <c r="T50" i="1" s="1"/>
  <c r="M51" i="1"/>
  <c r="S51" i="1" s="1"/>
  <c r="T51" i="1" s="1"/>
  <c r="AI51" i="1" s="1"/>
  <c r="M52" i="1"/>
  <c r="S52" i="1" s="1"/>
  <c r="T52" i="1" s="1"/>
  <c r="M53" i="1"/>
  <c r="S53" i="1" s="1"/>
  <c r="M54" i="1"/>
  <c r="S54" i="1" s="1"/>
  <c r="T54" i="1" s="1"/>
  <c r="M55" i="1"/>
  <c r="S55" i="1" s="1"/>
  <c r="T55" i="1" s="1"/>
  <c r="AI55" i="1" s="1"/>
  <c r="M56" i="1"/>
  <c r="S56" i="1" s="1"/>
  <c r="T56" i="1" s="1"/>
  <c r="M57" i="1"/>
  <c r="S57" i="1" s="1"/>
  <c r="T57" i="1" s="1"/>
  <c r="AI57" i="1" s="1"/>
  <c r="M58" i="1"/>
  <c r="S58" i="1" s="1"/>
  <c r="T58" i="1" s="1"/>
  <c r="M59" i="1"/>
  <c r="S59" i="1" s="1"/>
  <c r="M60" i="1"/>
  <c r="S60" i="1" s="1"/>
  <c r="M61" i="1"/>
  <c r="S61" i="1" s="1"/>
  <c r="T61" i="1" s="1"/>
  <c r="AI61" i="1" s="1"/>
  <c r="M62" i="1"/>
  <c r="S62" i="1" s="1"/>
  <c r="T62" i="1" s="1"/>
  <c r="M63" i="1"/>
  <c r="S63" i="1" s="1"/>
  <c r="T63" i="1" s="1"/>
  <c r="AI63" i="1" s="1"/>
  <c r="M64" i="1"/>
  <c r="S64" i="1" s="1"/>
  <c r="T64" i="1" s="1"/>
  <c r="M65" i="1"/>
  <c r="S65" i="1" s="1"/>
  <c r="T65" i="1" s="1"/>
  <c r="AI65" i="1" s="1"/>
  <c r="M66" i="1"/>
  <c r="S66" i="1" s="1"/>
  <c r="T66" i="1" s="1"/>
  <c r="M67" i="1"/>
  <c r="S67" i="1" s="1"/>
  <c r="T67" i="1" s="1"/>
  <c r="AI67" i="1" s="1"/>
  <c r="M68" i="1"/>
  <c r="S68" i="1" s="1"/>
  <c r="M69" i="1"/>
  <c r="S69" i="1" s="1"/>
  <c r="M70" i="1"/>
  <c r="S70" i="1" s="1"/>
  <c r="T70" i="1" s="1"/>
  <c r="M71" i="1"/>
  <c r="S71" i="1" s="1"/>
  <c r="M72" i="1"/>
  <c r="S72" i="1" s="1"/>
  <c r="T72" i="1" s="1"/>
  <c r="AI72" i="1" s="1"/>
  <c r="M73" i="1"/>
  <c r="S73" i="1" s="1"/>
  <c r="M74" i="1"/>
  <c r="S74" i="1" s="1"/>
  <c r="T74" i="1" s="1"/>
  <c r="M75" i="1"/>
  <c r="S75" i="1" s="1"/>
  <c r="T75" i="1" s="1"/>
  <c r="AI75" i="1" s="1"/>
  <c r="M76" i="1"/>
  <c r="S76" i="1" s="1"/>
  <c r="T76" i="1" s="1"/>
  <c r="M77" i="1"/>
  <c r="S77" i="1" s="1"/>
  <c r="M78" i="1"/>
  <c r="S78" i="1" s="1"/>
  <c r="M79" i="1"/>
  <c r="S79" i="1" s="1"/>
  <c r="M80" i="1"/>
  <c r="S80" i="1" s="1"/>
  <c r="M81" i="1"/>
  <c r="S81" i="1" s="1"/>
  <c r="T81" i="1" s="1"/>
  <c r="AI81" i="1" s="1"/>
  <c r="M82" i="1"/>
  <c r="S82" i="1" s="1"/>
  <c r="T82" i="1" s="1"/>
  <c r="AI82" i="1" s="1"/>
  <c r="M83" i="1"/>
  <c r="S83" i="1" s="1"/>
  <c r="T83" i="1" s="1"/>
  <c r="AI83" i="1" s="1"/>
  <c r="M84" i="1"/>
  <c r="S84" i="1" s="1"/>
  <c r="T84" i="1" s="1"/>
  <c r="AI84" i="1" s="1"/>
  <c r="M85" i="1"/>
  <c r="S85" i="1" s="1"/>
  <c r="T85" i="1" s="1"/>
  <c r="AI85" i="1" s="1"/>
  <c r="M86" i="1"/>
  <c r="S86" i="1" s="1"/>
  <c r="T86" i="1" s="1"/>
  <c r="AI86" i="1" s="1"/>
  <c r="M87" i="1"/>
  <c r="S87" i="1" s="1"/>
  <c r="M88" i="1"/>
  <c r="S88" i="1" s="1"/>
  <c r="M89" i="1"/>
  <c r="S89" i="1" s="1"/>
  <c r="T89" i="1" s="1"/>
  <c r="AI89" i="1" s="1"/>
  <c r="M90" i="1"/>
  <c r="S90" i="1" s="1"/>
  <c r="AI90" i="1" s="1"/>
  <c r="M91" i="1"/>
  <c r="S91" i="1" s="1"/>
  <c r="T91" i="1" s="1"/>
  <c r="AI91" i="1" s="1"/>
  <c r="M92" i="1"/>
  <c r="S92" i="1" s="1"/>
  <c r="T92" i="1" s="1"/>
  <c r="M93" i="1"/>
  <c r="S93" i="1" s="1"/>
  <c r="M94" i="1"/>
  <c r="S94" i="1" s="1"/>
  <c r="M95" i="1"/>
  <c r="S95" i="1" s="1"/>
  <c r="M96" i="1"/>
  <c r="S96" i="1" s="1"/>
  <c r="M6" i="1"/>
  <c r="AI96" i="1"/>
  <c r="L96" i="1"/>
  <c r="AI95" i="1"/>
  <c r="L95" i="1"/>
  <c r="AI94" i="1"/>
  <c r="L94" i="1"/>
  <c r="AI93" i="1"/>
  <c r="L93" i="1"/>
  <c r="AI92" i="1"/>
  <c r="L92" i="1"/>
  <c r="L91" i="1"/>
  <c r="L90" i="1"/>
  <c r="L89" i="1"/>
  <c r="L88" i="1"/>
  <c r="AI87" i="1"/>
  <c r="L87" i="1"/>
  <c r="L86" i="1"/>
  <c r="L85" i="1"/>
  <c r="L84" i="1"/>
  <c r="L83" i="1"/>
  <c r="L82" i="1"/>
  <c r="L81" i="1"/>
  <c r="L80" i="1"/>
  <c r="AI79" i="1"/>
  <c r="L79" i="1"/>
  <c r="AI78" i="1"/>
  <c r="L78" i="1"/>
  <c r="AI77" i="1"/>
  <c r="L77" i="1"/>
  <c r="AI76" i="1"/>
  <c r="L76" i="1"/>
  <c r="L75" i="1"/>
  <c r="AI74" i="1"/>
  <c r="L74" i="1"/>
  <c r="L73" i="1"/>
  <c r="L72" i="1"/>
  <c r="L71" i="1"/>
  <c r="AI70" i="1"/>
  <c r="L70" i="1"/>
  <c r="L69" i="1"/>
  <c r="L68" i="1"/>
  <c r="L67" i="1"/>
  <c r="AI66" i="1"/>
  <c r="L66" i="1"/>
  <c r="L65" i="1"/>
  <c r="AI64" i="1"/>
  <c r="L64" i="1"/>
  <c r="L63" i="1"/>
  <c r="AI62" i="1"/>
  <c r="L62" i="1"/>
  <c r="L61" i="1"/>
  <c r="AI60" i="1"/>
  <c r="L60" i="1"/>
  <c r="AI59" i="1"/>
  <c r="L59" i="1"/>
  <c r="AI58" i="1"/>
  <c r="L58" i="1"/>
  <c r="L57" i="1"/>
  <c r="AI56" i="1"/>
  <c r="L56" i="1"/>
  <c r="L55" i="1"/>
  <c r="AI54" i="1"/>
  <c r="L54" i="1"/>
  <c r="AI53" i="1"/>
  <c r="L53" i="1"/>
  <c r="AI52" i="1"/>
  <c r="L52" i="1"/>
  <c r="L51" i="1"/>
  <c r="AI50" i="1"/>
  <c r="L50" i="1"/>
  <c r="L49" i="1"/>
  <c r="L48" i="1"/>
  <c r="L47" i="1"/>
  <c r="L46" i="1"/>
  <c r="L45" i="1"/>
  <c r="L44" i="1"/>
  <c r="AI43" i="1"/>
  <c r="L43" i="1"/>
  <c r="L42" i="1"/>
  <c r="AI41" i="1"/>
  <c r="L41" i="1"/>
  <c r="L40" i="1"/>
  <c r="L39" i="1"/>
  <c r="L38" i="1"/>
  <c r="AI37" i="1"/>
  <c r="L37" i="1"/>
  <c r="L36" i="1"/>
  <c r="AI35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AI18" i="1"/>
  <c r="L18" i="1"/>
  <c r="AI17" i="1"/>
  <c r="L17" i="1"/>
  <c r="AI16" i="1"/>
  <c r="L16" i="1"/>
  <c r="L15" i="1"/>
  <c r="AI14" i="1"/>
  <c r="L14" i="1"/>
  <c r="L13" i="1"/>
  <c r="AI12" i="1"/>
  <c r="L12" i="1"/>
  <c r="AI11" i="1"/>
  <c r="L11" i="1"/>
  <c r="AI10" i="1"/>
  <c r="L10" i="1"/>
  <c r="L9" i="1"/>
  <c r="AI8" i="1"/>
  <c r="L8" i="1"/>
  <c r="L7" i="1"/>
  <c r="L6" i="1"/>
  <c r="AG5" i="1"/>
  <c r="AF5" i="1"/>
  <c r="AE5" i="1"/>
  <c r="AD5" i="1"/>
  <c r="AC5" i="1"/>
  <c r="AB5" i="1"/>
  <c r="AA5" i="1"/>
  <c r="Z5" i="1"/>
  <c r="U5" i="1"/>
  <c r="Q5" i="1"/>
  <c r="P5" i="1"/>
  <c r="O5" i="1"/>
  <c r="N5" i="1"/>
  <c r="K5" i="1"/>
  <c r="F5" i="1"/>
  <c r="E5" i="1"/>
  <c r="T5" i="1" l="1"/>
  <c r="L5" i="1"/>
  <c r="AI5" i="1"/>
  <c r="M5" i="1"/>
  <c r="Y96" i="1"/>
  <c r="X96" i="1"/>
  <c r="Y94" i="1"/>
  <c r="X94" i="1"/>
  <c r="X91" i="1"/>
  <c r="Y91" i="1"/>
  <c r="X89" i="1"/>
  <c r="Y89" i="1"/>
  <c r="X87" i="1"/>
  <c r="Y87" i="1"/>
  <c r="X85" i="1"/>
  <c r="Y85" i="1"/>
  <c r="X83" i="1"/>
  <c r="Y83" i="1"/>
  <c r="X81" i="1"/>
  <c r="Y81" i="1"/>
  <c r="X79" i="1"/>
  <c r="Y79" i="1"/>
  <c r="X77" i="1"/>
  <c r="Y77" i="1"/>
  <c r="X75" i="1"/>
  <c r="Y75" i="1"/>
  <c r="X73" i="1"/>
  <c r="Y73" i="1"/>
  <c r="X71" i="1"/>
  <c r="Y71" i="1"/>
  <c r="X69" i="1"/>
  <c r="Y69" i="1"/>
  <c r="X67" i="1"/>
  <c r="Y67" i="1"/>
  <c r="X65" i="1"/>
  <c r="Y65" i="1"/>
  <c r="X63" i="1"/>
  <c r="Y63" i="1"/>
  <c r="X61" i="1"/>
  <c r="Y61" i="1"/>
  <c r="X59" i="1"/>
  <c r="Y59" i="1"/>
  <c r="X57" i="1"/>
  <c r="Y57" i="1"/>
  <c r="X55" i="1"/>
  <c r="Y55" i="1"/>
  <c r="X53" i="1"/>
  <c r="Y53" i="1"/>
  <c r="X51" i="1"/>
  <c r="Y51" i="1"/>
  <c r="X49" i="1"/>
  <c r="Y49" i="1"/>
  <c r="X47" i="1"/>
  <c r="Y47" i="1"/>
  <c r="X45" i="1"/>
  <c r="Y45" i="1"/>
  <c r="X43" i="1"/>
  <c r="Y43" i="1"/>
  <c r="X41" i="1"/>
  <c r="Y41" i="1"/>
  <c r="X39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Y95" i="1"/>
  <c r="X95" i="1"/>
  <c r="Y93" i="1"/>
  <c r="X93" i="1"/>
  <c r="Y92" i="1"/>
  <c r="X92" i="1"/>
  <c r="X90" i="1"/>
  <c r="Y90" i="1"/>
  <c r="X88" i="1"/>
  <c r="Y88" i="1"/>
  <c r="X86" i="1"/>
  <c r="Y86" i="1"/>
  <c r="X84" i="1"/>
  <c r="Y84" i="1"/>
  <c r="X82" i="1"/>
  <c r="Y82" i="1"/>
  <c r="X80" i="1"/>
  <c r="Y80" i="1"/>
  <c r="X78" i="1"/>
  <c r="Y78" i="1"/>
  <c r="X76" i="1"/>
  <c r="Y76" i="1"/>
  <c r="X74" i="1"/>
  <c r="Y74" i="1"/>
  <c r="X72" i="1"/>
  <c r="Y72" i="1"/>
  <c r="X70" i="1"/>
  <c r="Y70" i="1"/>
  <c r="X68" i="1"/>
  <c r="Y68" i="1"/>
  <c r="X66" i="1"/>
  <c r="Y66" i="1"/>
  <c r="X64" i="1"/>
  <c r="Y64" i="1"/>
  <c r="X62" i="1"/>
  <c r="Y62" i="1"/>
  <c r="X60" i="1"/>
  <c r="Y60" i="1"/>
  <c r="X58" i="1"/>
  <c r="Y58" i="1"/>
  <c r="X56" i="1"/>
  <c r="Y56" i="1"/>
  <c r="X54" i="1"/>
  <c r="Y54" i="1"/>
  <c r="X52" i="1"/>
  <c r="Y52" i="1"/>
  <c r="X50" i="1"/>
  <c r="Y50" i="1"/>
  <c r="X48" i="1"/>
  <c r="Y48" i="1"/>
  <c r="X46" i="1"/>
  <c r="Y46" i="1"/>
  <c r="X44" i="1"/>
  <c r="Y44" i="1"/>
  <c r="X42" i="1"/>
  <c r="Y42" i="1"/>
  <c r="X40" i="1"/>
  <c r="Y40" i="1"/>
  <c r="X38" i="1"/>
  <c r="Y38" i="1"/>
  <c r="X36" i="1"/>
  <c r="Y36" i="1"/>
  <c r="X34" i="1"/>
  <c r="Y34" i="1"/>
  <c r="X32" i="1"/>
  <c r="Y32" i="1"/>
  <c r="X30" i="1"/>
  <c r="Y30" i="1"/>
  <c r="X28" i="1"/>
  <c r="Y28" i="1"/>
  <c r="X26" i="1"/>
  <c r="Y26" i="1"/>
  <c r="X24" i="1"/>
  <c r="Y24" i="1"/>
  <c r="X22" i="1"/>
  <c r="Y22" i="1"/>
  <c r="X20" i="1"/>
  <c r="Y20" i="1"/>
  <c r="X18" i="1"/>
  <c r="Y18" i="1"/>
  <c r="X16" i="1"/>
  <c r="Y16" i="1"/>
  <c r="X14" i="1"/>
  <c r="Y14" i="1"/>
  <c r="X12" i="1"/>
  <c r="Y12" i="1"/>
  <c r="X10" i="1"/>
  <c r="Y10" i="1"/>
  <c r="X8" i="1"/>
  <c r="Y8" i="1"/>
  <c r="S6" i="1"/>
  <c r="S5" i="1" l="1"/>
  <c r="X6" i="1"/>
  <c r="Y6" i="1"/>
</calcChain>
</file>

<file path=xl/sharedStrings.xml><?xml version="1.0" encoding="utf-8"?>
<sst xmlns="http://schemas.openxmlformats.org/spreadsheetml/2006/main" count="369" uniqueCount="155">
  <si>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</si>
  <si>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</si>
  <si>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</si>
  <si>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</si>
  <si>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</si>
  <si>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</si>
  <si>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</si>
  <si>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</si>
  <si>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</si>
  <si>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</si>
  <si>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</si>
  <si>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</si>
  <si>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</si>
  <si>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</si>
  <si>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</si>
  <si>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</si>
  <si>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</si>
  <si>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</si>
  <si>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</si>
  <si>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</si>
  <si>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</si>
  <si>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</si>
  <si>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</si>
  <si>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</si>
  <si>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16,11,</t>
  </si>
  <si>
    <t>19,11,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</si>
  <si>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</si>
  <si>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</si>
  <si>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</si>
  <si>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</si>
  <si>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</si>
  <si>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</si>
  <si>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</si>
  <si>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</si>
  <si>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</si>
  <si>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</si>
  <si>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</si>
  <si>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</si>
  <si>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</si>
  <si>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</si>
  <si>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</si>
  <si>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</si>
  <si>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</si>
  <si>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</si>
  <si>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</si>
  <si>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</si>
  <si>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</si>
  <si>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</si>
  <si>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</si>
  <si>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</si>
  <si>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</si>
  <si>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</si>
  <si>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</si>
  <si>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</si>
  <si>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</si>
  <si>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</si>
  <si>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</si>
  <si>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</si>
  <si>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</si>
  <si>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</si>
  <si>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</si>
  <si>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</si>
  <si>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</si>
  <si>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</si>
  <si>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</si>
  <si>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</si>
  <si>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</si>
  <si>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</si>
  <si>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</si>
  <si>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</si>
  <si>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</si>
  <si>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</si>
  <si>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</si>
  <si>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</si>
  <si>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</si>
  <si>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</si>
  <si>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</si>
  <si>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</si>
  <si>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</si>
  <si>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</si>
  <si>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</si>
  <si>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</si>
  <si>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</si>
  <si>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</si>
  <si>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</si>
  <si>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</si>
  <si>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</si>
  <si>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</si>
  <si>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</si>
  <si>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</si>
  <si>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</si>
  <si>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</si>
  <si>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</si>
  <si>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</si>
  <si>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</si>
  <si>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</si>
  <si>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</si>
  <si>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</si>
  <si>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</si>
  <si>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</si>
  <si>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</si>
  <si>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</si>
  <si>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</si>
  <si>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</si>
  <si>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</si>
  <si>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</si>
  <si>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</si>
  <si>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</si>
  <si>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</si>
  <si>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</si>
  <si>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</si>
  <si>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</si>
  <si>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</si>
  <si>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</si>
  <si>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</si>
  <si>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</si>
  <si>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</si>
  <si>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</si>
  <si>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</si>
  <si>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</si>
  <si>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</si>
  <si>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</si>
  <si>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09,12,24 в уценку 498кг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</si>
  <si>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</si>
  <si>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</si>
  <si>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</si>
  <si>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октябрь_ноябрь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</si>
  <si>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</si>
  <si>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</si>
  <si>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</si>
  <si>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</si>
  <si>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</si>
  <si>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</si>
  <si>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</si>
  <si>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</si>
  <si>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</si>
  <si>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</si>
  <si>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</si>
  <si>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</si>
  <si>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</si>
  <si>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</si>
  <si>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</si>
  <si>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</si>
  <si>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</si>
  <si>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</si>
  <si>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</si>
  <si>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</si>
  <si>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</si>
  <si>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</si>
  <si>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</si>
  <si>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</si>
  <si>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Бутырин(22,11)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</si>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</sst>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0" fontId="0" fillId="0" borderId="1" xfId="0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17,11,25%20&#1041;&#1091;&#1090;&#1099;&#1088;&#1080;&#1085;%20&#1085;&#1072;%20&#1087;&#1086;&#1075;&#1088;&#1091;&#1079;&#1082;&#1091;%20&#1089;%20&#1092;&#1080;&#1083;&#1080;&#1072;&#1083;&#1072;&#1084;&#1080;%2022,11,25/&#1041;&#1091;&#1090;&#1099;&#1088;&#1080;&#1085;%20&#1044;.&#1042;%2025.11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1944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98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98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112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121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103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279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70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47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75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82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279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261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79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85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155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7" width="7" customWidth="1"/>
    <col min="18" max="18" width="7" style="10" customWidth="1"/>
    <col min="19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28.1406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2" t="s">
        <v>154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1" t="s">
        <v>151</v>
      </c>
      <c r="S4" s="1" t="s">
        <v>27</v>
      </c>
      <c r="T4" s="1"/>
      <c r="U4" s="1"/>
      <c r="V4" s="1"/>
      <c r="W4" s="1"/>
      <c r="X4" s="1"/>
      <c r="Y4" s="1"/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40238.561999999998</v>
      </c>
      <c r="F5" s="4">
        <f>SUM(F6:F499)</f>
        <v>28639.735000000004</v>
      </c>
      <c r="G5" s="8"/>
      <c r="H5" s="1"/>
      <c r="I5" s="1"/>
      <c r="J5" s="1"/>
      <c r="K5" s="4">
        <f t="shared" ref="K5:W5" si="0">SUM(K6:K499)</f>
        <v>48530.862000000001</v>
      </c>
      <c r="L5" s="4">
        <f t="shared" si="0"/>
        <v>-8292.2999999999975</v>
      </c>
      <c r="M5" s="4">
        <f t="shared" si="0"/>
        <v>33918.548000000003</v>
      </c>
      <c r="N5" s="4">
        <f t="shared" si="0"/>
        <v>6320.0139999999992</v>
      </c>
      <c r="O5" s="4">
        <f t="shared" si="0"/>
        <v>18273.207579999998</v>
      </c>
      <c r="P5" s="4">
        <f t="shared" si="0"/>
        <v>5295.608400000001</v>
      </c>
      <c r="Q5" s="4">
        <f t="shared" si="0"/>
        <v>20746.495524000002</v>
      </c>
      <c r="R5" s="4">
        <f t="shared" si="0"/>
        <v>1944</v>
      </c>
      <c r="S5" s="4">
        <f t="shared" si="0"/>
        <v>6783.7095999999992</v>
      </c>
      <c r="T5" s="4">
        <f t="shared" si="0"/>
        <v>10554.18744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SUM(Z6:Z499)</f>
        <v>7266.0890000000036</v>
      </c>
      <c r="AA5" s="4">
        <f t="shared" si="1"/>
        <v>6578.8743999999988</v>
      </c>
      <c r="AB5" s="4">
        <f t="shared" si="1"/>
        <v>6915.7627999999986</v>
      </c>
      <c r="AC5" s="4">
        <f t="shared" si="1"/>
        <v>6589.2025999999978</v>
      </c>
      <c r="AD5" s="4">
        <f t="shared" si="1"/>
        <v>6230.5201999999999</v>
      </c>
      <c r="AE5" s="4">
        <f t="shared" si="1"/>
        <v>6226.690999999998</v>
      </c>
      <c r="AF5" s="4">
        <f t="shared" si="1"/>
        <v>6689.2725999999984</v>
      </c>
      <c r="AG5" s="4">
        <f t="shared" si="1"/>
        <v>7099.0152000000007</v>
      </c>
      <c r="AH5" s="1"/>
      <c r="AI5" s="4">
        <f>SUM(AI6:AI499)</f>
        <v>8253.0724400000017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36</v>
      </c>
      <c r="B6" s="13" t="s">
        <v>37</v>
      </c>
      <c r="C6" s="13">
        <v>2.72</v>
      </c>
      <c r="D6" s="13"/>
      <c r="E6" s="13"/>
      <c r="F6" s="13">
        <v>2.72</v>
      </c>
      <c r="G6" s="14">
        <v>0</v>
      </c>
      <c r="H6" s="13" t="e">
        <v>#N/A</v>
      </c>
      <c r="I6" s="13" t="s">
        <v>38</v>
      </c>
      <c r="J6" s="13"/>
      <c r="K6" s="13"/>
      <c r="L6" s="13">
        <f t="shared" ref="L6:L37" si="2">E6-K6</f>
        <v>0</v>
      </c>
      <c r="M6" s="13">
        <f>E6-N6</f>
        <v>0</v>
      </c>
      <c r="N6" s="13"/>
      <c r="O6" s="13">
        <v>0</v>
      </c>
      <c r="P6" s="13"/>
      <c r="Q6" s="13">
        <v>0</v>
      </c>
      <c r="R6" s="13">
        <f>IFERROR(VLOOKUP(A6,[1]Sheet!$A:$D,4,0),0)</f>
        <v>0</v>
      </c>
      <c r="S6" s="13">
        <f>M6/5</f>
        <v>0</v>
      </c>
      <c r="T6" s="15"/>
      <c r="U6" s="15"/>
      <c r="V6" s="13"/>
      <c r="W6" s="13"/>
      <c r="X6" s="13" t="e">
        <f>(F6+O6+P6+Q6+T6)/S6</f>
        <v>#DIV/0!</v>
      </c>
      <c r="Y6" s="13" t="e">
        <f>(F6+O6+P6+Q6)/S6</f>
        <v>#DIV/0!</v>
      </c>
      <c r="Z6" s="13">
        <v>0</v>
      </c>
      <c r="AA6" s="13">
        <v>0.26800000000000002</v>
      </c>
      <c r="AB6" s="13">
        <v>0.26800000000000002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/>
      <c r="AI6" s="13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6.2590000000000003</v>
      </c>
      <c r="D7" s="1">
        <v>799.52800000000002</v>
      </c>
      <c r="E7" s="1">
        <v>413.048</v>
      </c>
      <c r="F7" s="1">
        <v>236.11500000000001</v>
      </c>
      <c r="G7" s="8">
        <v>1</v>
      </c>
      <c r="H7" s="1">
        <v>50</v>
      </c>
      <c r="I7" s="1" t="s">
        <v>40</v>
      </c>
      <c r="J7" s="1"/>
      <c r="K7" s="1">
        <v>637.21199999999999</v>
      </c>
      <c r="L7" s="1">
        <f t="shared" si="2"/>
        <v>-224.16399999999999</v>
      </c>
      <c r="M7" s="1">
        <f t="shared" ref="M7:M70" si="3">E7-N7</f>
        <v>259.13599999999997</v>
      </c>
      <c r="N7" s="1">
        <v>153.91200000000001</v>
      </c>
      <c r="O7" s="1">
        <v>0</v>
      </c>
      <c r="P7" s="1"/>
      <c r="Q7" s="1">
        <v>34.748000000000047</v>
      </c>
      <c r="R7" s="1">
        <f>IFERROR(VLOOKUP(A7,[1]Sheet!$A:$D,4,0),0)</f>
        <v>0</v>
      </c>
      <c r="S7" s="1">
        <f t="shared" ref="S7:S70" si="4">M7/5</f>
        <v>51.827199999999991</v>
      </c>
      <c r="T7" s="5">
        <f>12*S7-Q7-P7-O7-F7</f>
        <v>351.06339999999977</v>
      </c>
      <c r="U7" s="5"/>
      <c r="V7" s="1"/>
      <c r="W7" s="1"/>
      <c r="X7" s="1">
        <f t="shared" ref="X7:X70" si="5">(F7+O7+P7+Q7+T7)/S7</f>
        <v>11.999999999999998</v>
      </c>
      <c r="Y7" s="1">
        <f t="shared" ref="Y7:Y70" si="6">(F7+O7+P7+Q7)/S7</f>
        <v>5.226271147196841</v>
      </c>
      <c r="Z7" s="1">
        <v>36.511000000000003</v>
      </c>
      <c r="AA7" s="1">
        <v>40.831000000000003</v>
      </c>
      <c r="AB7" s="1">
        <v>68.038399999999996</v>
      </c>
      <c r="AC7" s="1">
        <v>62.137599999999999</v>
      </c>
      <c r="AD7" s="1">
        <v>52.611200000000011</v>
      </c>
      <c r="AE7" s="1">
        <v>57.664200000000008</v>
      </c>
      <c r="AF7" s="1">
        <v>49.654800000000002</v>
      </c>
      <c r="AG7" s="1">
        <v>64.250799999999998</v>
      </c>
      <c r="AH7" s="1"/>
      <c r="AI7" s="1">
        <f t="shared" ref="AI7:AI18" si="7">G7*T7</f>
        <v>351.06339999999977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97.447000000000003</v>
      </c>
      <c r="D8" s="1">
        <v>220.435</v>
      </c>
      <c r="E8" s="1">
        <v>232.76400000000001</v>
      </c>
      <c r="F8" s="1">
        <v>65.947000000000003</v>
      </c>
      <c r="G8" s="8">
        <v>1</v>
      </c>
      <c r="H8" s="1">
        <v>45</v>
      </c>
      <c r="I8" s="1" t="s">
        <v>40</v>
      </c>
      <c r="J8" s="1"/>
      <c r="K8" s="1">
        <v>227.22800000000001</v>
      </c>
      <c r="L8" s="1">
        <f t="shared" si="2"/>
        <v>5.5360000000000014</v>
      </c>
      <c r="M8" s="1">
        <f t="shared" si="3"/>
        <v>151.23599999999999</v>
      </c>
      <c r="N8" s="1">
        <v>81.528000000000006</v>
      </c>
      <c r="O8" s="1">
        <v>248.9254</v>
      </c>
      <c r="P8" s="1"/>
      <c r="Q8" s="1">
        <v>0</v>
      </c>
      <c r="R8" s="1">
        <f>IFERROR(VLOOKUP(A8,[1]Sheet!$A:$D,4,0),0)</f>
        <v>98</v>
      </c>
      <c r="S8" s="1">
        <f t="shared" si="4"/>
        <v>30.247199999999999</v>
      </c>
      <c r="T8" s="5">
        <f t="shared" ref="T8:T16" si="8">12*S8-Q8-P8-O8-F8</f>
        <v>48.094000000000023</v>
      </c>
      <c r="U8" s="5"/>
      <c r="V8" s="1"/>
      <c r="W8" s="1"/>
      <c r="X8" s="1">
        <f t="shared" si="5"/>
        <v>12.000000000000002</v>
      </c>
      <c r="Y8" s="1">
        <f t="shared" si="6"/>
        <v>10.409968526012324</v>
      </c>
      <c r="Z8" s="1">
        <v>30.461200000000002</v>
      </c>
      <c r="AA8" s="1">
        <v>35.405799999999999</v>
      </c>
      <c r="AB8" s="1">
        <v>27.854800000000001</v>
      </c>
      <c r="AC8" s="1">
        <v>29.2608</v>
      </c>
      <c r="AD8" s="1">
        <v>33.061999999999998</v>
      </c>
      <c r="AE8" s="1">
        <v>38.053400000000003</v>
      </c>
      <c r="AF8" s="1">
        <v>37.585400000000007</v>
      </c>
      <c r="AG8" s="1">
        <v>52.689799999999991</v>
      </c>
      <c r="AH8" s="1"/>
      <c r="AI8" s="1">
        <f t="shared" si="7"/>
        <v>48.094000000000023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37</v>
      </c>
      <c r="C9" s="1">
        <v>1176.4110000000001</v>
      </c>
      <c r="D9" s="1">
        <v>448.82</v>
      </c>
      <c r="E9" s="1">
        <v>1022.271</v>
      </c>
      <c r="F9" s="1">
        <v>248.37299999999999</v>
      </c>
      <c r="G9" s="8">
        <v>1</v>
      </c>
      <c r="H9" s="1">
        <v>45</v>
      </c>
      <c r="I9" s="1" t="s">
        <v>40</v>
      </c>
      <c r="J9" s="1"/>
      <c r="K9" s="1">
        <v>1306.864</v>
      </c>
      <c r="L9" s="1">
        <f t="shared" si="2"/>
        <v>-284.59300000000007</v>
      </c>
      <c r="M9" s="1">
        <f t="shared" si="3"/>
        <v>624.55199999999991</v>
      </c>
      <c r="N9" s="1">
        <v>397.71899999999999</v>
      </c>
      <c r="O9" s="1">
        <v>271.82920000000018</v>
      </c>
      <c r="P9" s="1">
        <v>159.27600000000001</v>
      </c>
      <c r="Q9" s="1">
        <v>498.04617999999982</v>
      </c>
      <c r="R9" s="1">
        <f>IFERROR(VLOOKUP(A9,[1]Sheet!$A:$D,4,0),0)</f>
        <v>98</v>
      </c>
      <c r="S9" s="1">
        <f t="shared" si="4"/>
        <v>124.91039999999998</v>
      </c>
      <c r="T9" s="5">
        <f t="shared" si="8"/>
        <v>321.40041999999977</v>
      </c>
      <c r="U9" s="5"/>
      <c r="V9" s="1"/>
      <c r="W9" s="1"/>
      <c r="X9" s="1">
        <f t="shared" si="5"/>
        <v>12</v>
      </c>
      <c r="Y9" s="1">
        <f t="shared" si="6"/>
        <v>9.4269522793938716</v>
      </c>
      <c r="Z9" s="1">
        <v>127.4502</v>
      </c>
      <c r="AA9" s="1">
        <v>106.184</v>
      </c>
      <c r="AB9" s="1">
        <v>88.690399999999997</v>
      </c>
      <c r="AC9" s="1">
        <v>92.993200000000002</v>
      </c>
      <c r="AD9" s="1">
        <v>90.106599999999986</v>
      </c>
      <c r="AE9" s="1">
        <v>98.149000000000001</v>
      </c>
      <c r="AF9" s="1">
        <v>100.4714</v>
      </c>
      <c r="AG9" s="1">
        <v>124.4312</v>
      </c>
      <c r="AH9" s="1"/>
      <c r="AI9" s="1">
        <f t="shared" si="7"/>
        <v>321.40041999999977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44</v>
      </c>
      <c r="C10" s="1">
        <v>3</v>
      </c>
      <c r="D10" s="1">
        <v>1230</v>
      </c>
      <c r="E10" s="1">
        <v>885</v>
      </c>
      <c r="F10" s="1">
        <v>180</v>
      </c>
      <c r="G10" s="8">
        <v>0.45</v>
      </c>
      <c r="H10" s="1">
        <v>45</v>
      </c>
      <c r="I10" s="1" t="s">
        <v>40</v>
      </c>
      <c r="J10" s="1"/>
      <c r="K10" s="1">
        <v>1067</v>
      </c>
      <c r="L10" s="1">
        <f t="shared" si="2"/>
        <v>-182</v>
      </c>
      <c r="M10" s="1">
        <f t="shared" si="3"/>
        <v>705</v>
      </c>
      <c r="N10" s="1">
        <v>180</v>
      </c>
      <c r="O10" s="1">
        <v>677.02000000000032</v>
      </c>
      <c r="P10" s="1">
        <v>203.1</v>
      </c>
      <c r="Q10" s="1">
        <v>120.42</v>
      </c>
      <c r="R10" s="1">
        <f>IFERROR(VLOOKUP(A10,[1]Sheet!$A:$D,4,0),0)</f>
        <v>0</v>
      </c>
      <c r="S10" s="1">
        <f t="shared" si="4"/>
        <v>141</v>
      </c>
      <c r="T10" s="5">
        <f t="shared" si="8"/>
        <v>511.4599999999997</v>
      </c>
      <c r="U10" s="5"/>
      <c r="V10" s="1"/>
      <c r="W10" s="1"/>
      <c r="X10" s="1">
        <f t="shared" si="5"/>
        <v>12</v>
      </c>
      <c r="Y10" s="1">
        <f t="shared" si="6"/>
        <v>8.3726241134751795</v>
      </c>
      <c r="Z10" s="1">
        <v>133.80000000000001</v>
      </c>
      <c r="AA10" s="1">
        <v>135.4</v>
      </c>
      <c r="AB10" s="1">
        <v>130</v>
      </c>
      <c r="AC10" s="1">
        <v>121.2</v>
      </c>
      <c r="AD10" s="1">
        <v>96.2</v>
      </c>
      <c r="AE10" s="1">
        <v>108.4</v>
      </c>
      <c r="AF10" s="1">
        <v>118.2</v>
      </c>
      <c r="AG10" s="1">
        <v>123.4</v>
      </c>
      <c r="AH10" s="1" t="s">
        <v>45</v>
      </c>
      <c r="AI10" s="1">
        <f t="shared" si="7"/>
        <v>230.15699999999987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44</v>
      </c>
      <c r="C11" s="1">
        <v>1102</v>
      </c>
      <c r="D11" s="1">
        <v>2925</v>
      </c>
      <c r="E11" s="1">
        <v>2019</v>
      </c>
      <c r="F11" s="1">
        <v>1579</v>
      </c>
      <c r="G11" s="8">
        <v>0.45</v>
      </c>
      <c r="H11" s="1">
        <v>45</v>
      </c>
      <c r="I11" s="1" t="s">
        <v>40</v>
      </c>
      <c r="J11" s="1"/>
      <c r="K11" s="1">
        <v>2362</v>
      </c>
      <c r="L11" s="1">
        <f t="shared" si="2"/>
        <v>-343</v>
      </c>
      <c r="M11" s="1">
        <f t="shared" si="3"/>
        <v>1679</v>
      </c>
      <c r="N11" s="1">
        <v>340</v>
      </c>
      <c r="O11" s="1">
        <v>1227.8920000000001</v>
      </c>
      <c r="P11" s="1">
        <v>582.90000000000009</v>
      </c>
      <c r="Q11" s="1">
        <v>998.36799999999926</v>
      </c>
      <c r="R11" s="1">
        <f>IFERROR(VLOOKUP(A11,[1]Sheet!$A:$D,4,0),0)</f>
        <v>0</v>
      </c>
      <c r="S11" s="1">
        <f t="shared" si="4"/>
        <v>335.8</v>
      </c>
      <c r="T11" s="5"/>
      <c r="U11" s="5"/>
      <c r="V11" s="1"/>
      <c r="W11" s="1"/>
      <c r="X11" s="1">
        <f t="shared" si="5"/>
        <v>13.067778439547347</v>
      </c>
      <c r="Y11" s="1">
        <f t="shared" si="6"/>
        <v>13.067778439547347</v>
      </c>
      <c r="Z11" s="1">
        <v>416.4</v>
      </c>
      <c r="AA11" s="1">
        <v>388.6</v>
      </c>
      <c r="AB11" s="1">
        <v>393.6</v>
      </c>
      <c r="AC11" s="1">
        <v>368.6</v>
      </c>
      <c r="AD11" s="1">
        <v>271.39999999999998</v>
      </c>
      <c r="AE11" s="1">
        <v>269.60000000000002</v>
      </c>
      <c r="AF11" s="1">
        <v>208</v>
      </c>
      <c r="AG11" s="1">
        <v>191.4</v>
      </c>
      <c r="AH11" s="1" t="s">
        <v>45</v>
      </c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44</v>
      </c>
      <c r="C12" s="1">
        <v>50</v>
      </c>
      <c r="D12" s="1">
        <v>30</v>
      </c>
      <c r="E12" s="1">
        <v>71</v>
      </c>
      <c r="F12" s="1">
        <v>9</v>
      </c>
      <c r="G12" s="8">
        <v>0.17</v>
      </c>
      <c r="H12" s="1">
        <v>180</v>
      </c>
      <c r="I12" s="1" t="s">
        <v>40</v>
      </c>
      <c r="J12" s="1"/>
      <c r="K12" s="1">
        <v>71</v>
      </c>
      <c r="L12" s="1">
        <f t="shared" si="2"/>
        <v>0</v>
      </c>
      <c r="M12" s="1">
        <f t="shared" si="3"/>
        <v>71</v>
      </c>
      <c r="N12" s="1"/>
      <c r="O12" s="1">
        <v>48.399999999999977</v>
      </c>
      <c r="P12" s="1"/>
      <c r="Q12" s="1">
        <v>14.600000000000019</v>
      </c>
      <c r="R12" s="1">
        <f>IFERROR(VLOOKUP(A12,[1]Sheet!$A:$D,4,0),0)</f>
        <v>0</v>
      </c>
      <c r="S12" s="1">
        <f t="shared" si="4"/>
        <v>14.2</v>
      </c>
      <c r="T12" s="5">
        <f t="shared" si="8"/>
        <v>98.399999999999977</v>
      </c>
      <c r="U12" s="5"/>
      <c r="V12" s="1"/>
      <c r="W12" s="1"/>
      <c r="X12" s="1">
        <f t="shared" si="5"/>
        <v>11.999999999999998</v>
      </c>
      <c r="Y12" s="1">
        <f t="shared" si="6"/>
        <v>5.070422535211268</v>
      </c>
      <c r="Z12" s="1">
        <v>11</v>
      </c>
      <c r="AA12" s="1">
        <v>9.6</v>
      </c>
      <c r="AB12" s="1">
        <v>9</v>
      </c>
      <c r="AC12" s="1">
        <v>9.8000000000000007</v>
      </c>
      <c r="AD12" s="1">
        <v>10.4</v>
      </c>
      <c r="AE12" s="1">
        <v>9.4</v>
      </c>
      <c r="AF12" s="1">
        <v>7.4</v>
      </c>
      <c r="AG12" s="1">
        <v>11.4</v>
      </c>
      <c r="AH12" s="1" t="s">
        <v>45</v>
      </c>
      <c r="AI12" s="1">
        <f t="shared" si="7"/>
        <v>16.727999999999998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44</v>
      </c>
      <c r="C13" s="1">
        <v>28</v>
      </c>
      <c r="D13" s="1">
        <v>4</v>
      </c>
      <c r="E13" s="1">
        <v>23</v>
      </c>
      <c r="F13" s="1">
        <v>4</v>
      </c>
      <c r="G13" s="8">
        <v>0.3</v>
      </c>
      <c r="H13" s="1">
        <v>40</v>
      </c>
      <c r="I13" s="1" t="s">
        <v>40</v>
      </c>
      <c r="J13" s="1"/>
      <c r="K13" s="1">
        <v>26</v>
      </c>
      <c r="L13" s="1">
        <f t="shared" si="2"/>
        <v>-3</v>
      </c>
      <c r="M13" s="1">
        <f t="shared" si="3"/>
        <v>23</v>
      </c>
      <c r="N13" s="1"/>
      <c r="O13" s="1">
        <v>0</v>
      </c>
      <c r="P13" s="1"/>
      <c r="Q13" s="1">
        <v>19.399999999999999</v>
      </c>
      <c r="R13" s="1">
        <f>IFERROR(VLOOKUP(A13,[1]Sheet!$A:$D,4,0),0)</f>
        <v>0</v>
      </c>
      <c r="S13" s="1">
        <f t="shared" si="4"/>
        <v>4.5999999999999996</v>
      </c>
      <c r="T13" s="5">
        <f t="shared" si="8"/>
        <v>31.799999999999997</v>
      </c>
      <c r="U13" s="5"/>
      <c r="V13" s="1"/>
      <c r="W13" s="1"/>
      <c r="X13" s="1">
        <f t="shared" si="5"/>
        <v>12</v>
      </c>
      <c r="Y13" s="1">
        <f t="shared" si="6"/>
        <v>5.0869565217391308</v>
      </c>
      <c r="Z13" s="1">
        <v>3.4</v>
      </c>
      <c r="AA13" s="1">
        <v>2.4</v>
      </c>
      <c r="AB13" s="1">
        <v>1.8</v>
      </c>
      <c r="AC13" s="1">
        <v>2.2000000000000002</v>
      </c>
      <c r="AD13" s="1">
        <v>2</v>
      </c>
      <c r="AE13" s="1">
        <v>3.6</v>
      </c>
      <c r="AF13" s="1">
        <v>3.4</v>
      </c>
      <c r="AG13" s="1">
        <v>1.6</v>
      </c>
      <c r="AH13" s="1"/>
      <c r="AI13" s="1">
        <f t="shared" si="7"/>
        <v>9.5399999999999991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44</v>
      </c>
      <c r="C14" s="1">
        <v>62</v>
      </c>
      <c r="D14" s="1">
        <v>225</v>
      </c>
      <c r="E14" s="1">
        <v>194</v>
      </c>
      <c r="F14" s="1">
        <v>3</v>
      </c>
      <c r="G14" s="8">
        <v>0.17</v>
      </c>
      <c r="H14" s="1">
        <v>180</v>
      </c>
      <c r="I14" s="1" t="s">
        <v>40</v>
      </c>
      <c r="J14" s="1"/>
      <c r="K14" s="1">
        <v>284</v>
      </c>
      <c r="L14" s="1">
        <f t="shared" si="2"/>
        <v>-90</v>
      </c>
      <c r="M14" s="1">
        <f t="shared" si="3"/>
        <v>104</v>
      </c>
      <c r="N14" s="1">
        <v>90</v>
      </c>
      <c r="O14" s="1">
        <v>95.199999999999932</v>
      </c>
      <c r="P14" s="1"/>
      <c r="Q14" s="1">
        <v>42.400000000000091</v>
      </c>
      <c r="R14" s="1">
        <f>IFERROR(VLOOKUP(A14,[1]Sheet!$A:$D,4,0),0)</f>
        <v>0</v>
      </c>
      <c r="S14" s="1">
        <f t="shared" si="4"/>
        <v>20.8</v>
      </c>
      <c r="T14" s="5">
        <f t="shared" si="8"/>
        <v>109</v>
      </c>
      <c r="U14" s="5"/>
      <c r="V14" s="1"/>
      <c r="W14" s="1"/>
      <c r="X14" s="1">
        <f t="shared" si="5"/>
        <v>12</v>
      </c>
      <c r="Y14" s="1">
        <f t="shared" si="6"/>
        <v>6.7596153846153859</v>
      </c>
      <c r="Z14" s="1">
        <v>18.600000000000001</v>
      </c>
      <c r="AA14" s="1">
        <v>22.4</v>
      </c>
      <c r="AB14" s="1">
        <v>20.6</v>
      </c>
      <c r="AC14" s="1">
        <v>24.2</v>
      </c>
      <c r="AD14" s="1">
        <v>19.8</v>
      </c>
      <c r="AE14" s="1">
        <v>24.6</v>
      </c>
      <c r="AF14" s="1">
        <v>22.6</v>
      </c>
      <c r="AG14" s="1">
        <v>22.4</v>
      </c>
      <c r="AH14" s="1"/>
      <c r="AI14" s="1">
        <f t="shared" si="7"/>
        <v>18.53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37</v>
      </c>
      <c r="C15" s="1">
        <v>2605.98</v>
      </c>
      <c r="D15" s="1">
        <v>917.81399999999996</v>
      </c>
      <c r="E15" s="1">
        <v>1633.8869999999999</v>
      </c>
      <c r="F15" s="1">
        <v>1216.143</v>
      </c>
      <c r="G15" s="8">
        <v>1</v>
      </c>
      <c r="H15" s="1">
        <v>55</v>
      </c>
      <c r="I15" s="1" t="s">
        <v>40</v>
      </c>
      <c r="J15" s="1"/>
      <c r="K15" s="1">
        <v>1619.383</v>
      </c>
      <c r="L15" s="1">
        <f t="shared" si="2"/>
        <v>14.503999999999905</v>
      </c>
      <c r="M15" s="1">
        <f t="shared" si="3"/>
        <v>1517.0039999999999</v>
      </c>
      <c r="N15" s="1">
        <v>116.883</v>
      </c>
      <c r="O15" s="1">
        <v>893.19251199999974</v>
      </c>
      <c r="P15" s="1">
        <v>434.66520000000003</v>
      </c>
      <c r="Q15" s="1">
        <v>852.03128800000002</v>
      </c>
      <c r="R15" s="1">
        <f>IFERROR(VLOOKUP(A15,[1]Sheet!$A:$D,4,0),0)</f>
        <v>112</v>
      </c>
      <c r="S15" s="1">
        <f t="shared" si="4"/>
        <v>303.4008</v>
      </c>
      <c r="T15" s="5">
        <f t="shared" si="8"/>
        <v>244.77760000000035</v>
      </c>
      <c r="U15" s="5"/>
      <c r="V15" s="1"/>
      <c r="W15" s="1"/>
      <c r="X15" s="1">
        <f t="shared" si="5"/>
        <v>12</v>
      </c>
      <c r="Y15" s="1">
        <f t="shared" si="6"/>
        <v>11.193220321106601</v>
      </c>
      <c r="Z15" s="1">
        <v>324.76</v>
      </c>
      <c r="AA15" s="1">
        <v>289.77679999999998</v>
      </c>
      <c r="AB15" s="1">
        <v>288.3716</v>
      </c>
      <c r="AC15" s="1">
        <v>293.42880000000002</v>
      </c>
      <c r="AD15" s="1">
        <v>350.74720000000002</v>
      </c>
      <c r="AE15" s="1">
        <v>329.55340000000001</v>
      </c>
      <c r="AF15" s="1">
        <v>310.42039999999997</v>
      </c>
      <c r="AG15" s="1">
        <v>357.29320000000001</v>
      </c>
      <c r="AH15" s="1" t="s">
        <v>51</v>
      </c>
      <c r="AI15" s="1">
        <f t="shared" si="7"/>
        <v>244.77760000000035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37</v>
      </c>
      <c r="C16" s="1">
        <v>2884.4169999999999</v>
      </c>
      <c r="D16" s="1">
        <v>2155.9850000000001</v>
      </c>
      <c r="E16" s="1">
        <v>2460.7759999999998</v>
      </c>
      <c r="F16" s="1">
        <v>1549.117</v>
      </c>
      <c r="G16" s="8">
        <v>1</v>
      </c>
      <c r="H16" s="1">
        <v>50</v>
      </c>
      <c r="I16" s="1" t="s">
        <v>40</v>
      </c>
      <c r="J16" s="1"/>
      <c r="K16" s="1">
        <v>3212.6930000000002</v>
      </c>
      <c r="L16" s="1">
        <f t="shared" si="2"/>
        <v>-751.91700000000037</v>
      </c>
      <c r="M16" s="1">
        <f t="shared" si="3"/>
        <v>1602.9829999999997</v>
      </c>
      <c r="N16" s="1">
        <v>857.79300000000001</v>
      </c>
      <c r="O16" s="1">
        <v>642.11128000000008</v>
      </c>
      <c r="P16" s="1">
        <v>493.83089999999999</v>
      </c>
      <c r="Q16" s="1">
        <v>1118.0743200000011</v>
      </c>
      <c r="R16" s="1">
        <f>IFERROR(VLOOKUP(A16,[1]Sheet!$A:$D,4,0),0)</f>
        <v>121</v>
      </c>
      <c r="S16" s="1">
        <f t="shared" si="4"/>
        <v>320.59659999999997</v>
      </c>
      <c r="T16" s="5">
        <f t="shared" si="8"/>
        <v>44.025699999998551</v>
      </c>
      <c r="U16" s="5"/>
      <c r="V16" s="1"/>
      <c r="W16" s="1"/>
      <c r="X16" s="1">
        <f t="shared" si="5"/>
        <v>12.000000000000002</v>
      </c>
      <c r="Y16" s="1">
        <f t="shared" si="6"/>
        <v>11.862675711470432</v>
      </c>
      <c r="Z16" s="1">
        <v>356.32499999999999</v>
      </c>
      <c r="AA16" s="1">
        <v>329.22059999999999</v>
      </c>
      <c r="AB16" s="1">
        <v>334.84500000000003</v>
      </c>
      <c r="AC16" s="1">
        <v>307.7106</v>
      </c>
      <c r="AD16" s="1">
        <v>403.55239999999998</v>
      </c>
      <c r="AE16" s="1">
        <v>423.70960000000002</v>
      </c>
      <c r="AF16" s="1">
        <v>566.99279999999999</v>
      </c>
      <c r="AG16" s="1">
        <v>561.90120000000002</v>
      </c>
      <c r="AH16" s="1" t="s">
        <v>51</v>
      </c>
      <c r="AI16" s="1">
        <f t="shared" si="7"/>
        <v>44.025699999998551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37</v>
      </c>
      <c r="C17" s="1">
        <v>126.708</v>
      </c>
      <c r="D17" s="1">
        <v>229.167</v>
      </c>
      <c r="E17" s="1">
        <v>171.97</v>
      </c>
      <c r="F17" s="1">
        <v>49.478000000000002</v>
      </c>
      <c r="G17" s="8">
        <v>1</v>
      </c>
      <c r="H17" s="1">
        <v>60</v>
      </c>
      <c r="I17" s="1" t="s">
        <v>40</v>
      </c>
      <c r="J17" s="1"/>
      <c r="K17" s="1">
        <v>210.548</v>
      </c>
      <c r="L17" s="1">
        <f t="shared" si="2"/>
        <v>-38.578000000000003</v>
      </c>
      <c r="M17" s="1">
        <f t="shared" si="3"/>
        <v>123.422</v>
      </c>
      <c r="N17" s="1">
        <v>48.548000000000002</v>
      </c>
      <c r="O17" s="1">
        <v>198.96760000000009</v>
      </c>
      <c r="P17" s="1"/>
      <c r="Q17" s="1">
        <v>49.769399999999877</v>
      </c>
      <c r="R17" s="1">
        <f>IFERROR(VLOOKUP(A17,[1]Sheet!$A:$D,4,0),0)</f>
        <v>0</v>
      </c>
      <c r="S17" s="1">
        <f t="shared" si="4"/>
        <v>24.6844</v>
      </c>
      <c r="T17" s="5"/>
      <c r="U17" s="5"/>
      <c r="V17" s="1"/>
      <c r="W17" s="1"/>
      <c r="X17" s="1">
        <f t="shared" si="5"/>
        <v>12.081111957349581</v>
      </c>
      <c r="Y17" s="1">
        <f t="shared" si="6"/>
        <v>12.081111957349581</v>
      </c>
      <c r="Z17" s="1">
        <v>33.172999999999988</v>
      </c>
      <c r="AA17" s="1">
        <v>36.040999999999997</v>
      </c>
      <c r="AB17" s="1">
        <v>29.628399999999999</v>
      </c>
      <c r="AC17" s="1">
        <v>32.635000000000012</v>
      </c>
      <c r="AD17" s="1">
        <v>27.845800000000001</v>
      </c>
      <c r="AE17" s="1">
        <v>36.688800000000001</v>
      </c>
      <c r="AF17" s="1">
        <v>41.7346</v>
      </c>
      <c r="AG17" s="1">
        <v>39.415599999999998</v>
      </c>
      <c r="AH17" s="1"/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37</v>
      </c>
      <c r="C18" s="1">
        <v>442.61599999999999</v>
      </c>
      <c r="D18" s="1">
        <v>1284.0119999999999</v>
      </c>
      <c r="E18" s="1">
        <v>701.81600000000003</v>
      </c>
      <c r="F18" s="1">
        <v>835.90099999999995</v>
      </c>
      <c r="G18" s="8">
        <v>1</v>
      </c>
      <c r="H18" s="1">
        <v>60</v>
      </c>
      <c r="I18" s="1" t="s">
        <v>40</v>
      </c>
      <c r="J18" s="1"/>
      <c r="K18" s="1">
        <v>706.10400000000004</v>
      </c>
      <c r="L18" s="1">
        <f t="shared" si="2"/>
        <v>-4.2880000000000109</v>
      </c>
      <c r="M18" s="1">
        <f t="shared" si="3"/>
        <v>597.01200000000006</v>
      </c>
      <c r="N18" s="1">
        <v>104.804</v>
      </c>
      <c r="O18" s="1">
        <v>342.96492000000001</v>
      </c>
      <c r="P18" s="1">
        <v>199.6386</v>
      </c>
      <c r="Q18" s="1">
        <v>219.79657999999981</v>
      </c>
      <c r="R18" s="1">
        <f>IFERROR(VLOOKUP(A18,[1]Sheet!$A:$D,4,0),0)</f>
        <v>103</v>
      </c>
      <c r="S18" s="1">
        <f t="shared" si="4"/>
        <v>119.40240000000001</v>
      </c>
      <c r="T18" s="5"/>
      <c r="U18" s="5"/>
      <c r="V18" s="1"/>
      <c r="W18" s="1"/>
      <c r="X18" s="1">
        <f t="shared" si="5"/>
        <v>13.385837303102781</v>
      </c>
      <c r="Y18" s="1">
        <f t="shared" si="6"/>
        <v>13.385837303102781</v>
      </c>
      <c r="Z18" s="1">
        <v>147.22900000000001</v>
      </c>
      <c r="AA18" s="1">
        <v>133.0924</v>
      </c>
      <c r="AB18" s="1">
        <v>110.7876</v>
      </c>
      <c r="AC18" s="1">
        <v>121.3826</v>
      </c>
      <c r="AD18" s="1">
        <v>143.16040000000001</v>
      </c>
      <c r="AE18" s="1">
        <v>164.77780000000001</v>
      </c>
      <c r="AF18" s="1">
        <v>190.661</v>
      </c>
      <c r="AG18" s="1">
        <v>164.2568</v>
      </c>
      <c r="AH18" s="1" t="s">
        <v>55</v>
      </c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6" t="s">
        <v>56</v>
      </c>
      <c r="B19" s="16" t="s">
        <v>37</v>
      </c>
      <c r="C19" s="16"/>
      <c r="D19" s="16"/>
      <c r="E19" s="16"/>
      <c r="F19" s="16"/>
      <c r="G19" s="17">
        <v>0</v>
      </c>
      <c r="H19" s="16">
        <v>60</v>
      </c>
      <c r="I19" s="16" t="s">
        <v>40</v>
      </c>
      <c r="J19" s="16"/>
      <c r="K19" s="16"/>
      <c r="L19" s="16">
        <f t="shared" si="2"/>
        <v>0</v>
      </c>
      <c r="M19" s="16">
        <f t="shared" si="3"/>
        <v>0</v>
      </c>
      <c r="N19" s="16"/>
      <c r="O19" s="16">
        <v>0</v>
      </c>
      <c r="P19" s="16"/>
      <c r="Q19" s="16">
        <v>0</v>
      </c>
      <c r="R19" s="16">
        <f>IFERROR(VLOOKUP(A19,[1]Sheet!$A:$D,4,0),0)</f>
        <v>0</v>
      </c>
      <c r="S19" s="16">
        <f t="shared" si="4"/>
        <v>0</v>
      </c>
      <c r="T19" s="18"/>
      <c r="U19" s="18"/>
      <c r="V19" s="16"/>
      <c r="W19" s="16"/>
      <c r="X19" s="16" t="e">
        <f t="shared" si="5"/>
        <v>#DIV/0!</v>
      </c>
      <c r="Y19" s="16" t="e">
        <f t="shared" si="6"/>
        <v>#DIV/0!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 t="s">
        <v>57</v>
      </c>
      <c r="AI19" s="16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37</v>
      </c>
      <c r="C20" s="1">
        <v>28.956</v>
      </c>
      <c r="D20" s="1"/>
      <c r="E20" s="1">
        <v>3.62</v>
      </c>
      <c r="F20" s="1">
        <v>25.335999999999999</v>
      </c>
      <c r="G20" s="8">
        <v>1</v>
      </c>
      <c r="H20" s="1">
        <v>180</v>
      </c>
      <c r="I20" s="1" t="s">
        <v>40</v>
      </c>
      <c r="J20" s="1"/>
      <c r="K20" s="1">
        <v>3.15</v>
      </c>
      <c r="L20" s="1">
        <f t="shared" si="2"/>
        <v>0.4700000000000002</v>
      </c>
      <c r="M20" s="1">
        <f t="shared" si="3"/>
        <v>3.62</v>
      </c>
      <c r="N20" s="1"/>
      <c r="O20" s="1">
        <v>0</v>
      </c>
      <c r="P20" s="1"/>
      <c r="Q20" s="1">
        <v>0</v>
      </c>
      <c r="R20" s="1">
        <f>IFERROR(VLOOKUP(A20,[1]Sheet!$A:$D,4,0),0)</f>
        <v>0</v>
      </c>
      <c r="S20" s="1">
        <f t="shared" si="4"/>
        <v>0.72399999999999998</v>
      </c>
      <c r="T20" s="5"/>
      <c r="U20" s="5"/>
      <c r="V20" s="1"/>
      <c r="W20" s="1"/>
      <c r="X20" s="1">
        <f t="shared" si="5"/>
        <v>34.994475138121544</v>
      </c>
      <c r="Y20" s="1">
        <f t="shared" si="6"/>
        <v>34.994475138121544</v>
      </c>
      <c r="Z20" s="1">
        <v>0.80120000000000002</v>
      </c>
      <c r="AA20" s="1">
        <v>0.55959999999999999</v>
      </c>
      <c r="AB20" s="1">
        <v>0.40360000000000001</v>
      </c>
      <c r="AC20" s="1">
        <v>0.39419999999999999</v>
      </c>
      <c r="AD20" s="1">
        <v>0.23319999999999999</v>
      </c>
      <c r="AE20" s="1">
        <v>0.3876</v>
      </c>
      <c r="AF20" s="1">
        <v>0.78059999999999996</v>
      </c>
      <c r="AG20" s="1">
        <v>0.4748</v>
      </c>
      <c r="AH20" s="21" t="s">
        <v>59</v>
      </c>
      <c r="AI20" s="1">
        <f t="shared" ref="AI20:AI25" si="9">G20*T20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60</v>
      </c>
      <c r="B21" s="1" t="s">
        <v>37</v>
      </c>
      <c r="C21" s="1">
        <v>3247.384</v>
      </c>
      <c r="D21" s="1">
        <v>6387.317</v>
      </c>
      <c r="E21" s="1">
        <v>2758.6709999999998</v>
      </c>
      <c r="F21" s="1">
        <v>3270.5940000000001</v>
      </c>
      <c r="G21" s="8">
        <v>1</v>
      </c>
      <c r="H21" s="1">
        <v>60</v>
      </c>
      <c r="I21" s="1" t="s">
        <v>40</v>
      </c>
      <c r="J21" s="1"/>
      <c r="K21" s="1">
        <v>2813.6750000000002</v>
      </c>
      <c r="L21" s="1">
        <f t="shared" si="2"/>
        <v>-55.00400000000036</v>
      </c>
      <c r="M21" s="1">
        <f t="shared" si="3"/>
        <v>2468.1909999999998</v>
      </c>
      <c r="N21" s="1">
        <v>290.48</v>
      </c>
      <c r="O21" s="1">
        <v>858.55374400000142</v>
      </c>
      <c r="P21" s="1">
        <v>760.92720000000008</v>
      </c>
      <c r="Q21" s="1">
        <v>952.88341599999853</v>
      </c>
      <c r="R21" s="1">
        <f>IFERROR(VLOOKUP(A21,[1]Sheet!$A:$D,4,0),0)</f>
        <v>279</v>
      </c>
      <c r="S21" s="1">
        <f t="shared" si="4"/>
        <v>493.63819999999998</v>
      </c>
      <c r="T21" s="5">
        <f t="shared" ref="T21:T25" si="10">12*S21-Q21-P21-O21-F21</f>
        <v>80.700039999999717</v>
      </c>
      <c r="U21" s="5"/>
      <c r="V21" s="1"/>
      <c r="W21" s="1"/>
      <c r="X21" s="1">
        <f t="shared" si="5"/>
        <v>12.000000000000002</v>
      </c>
      <c r="Y21" s="1">
        <f t="shared" si="6"/>
        <v>11.836519864143417</v>
      </c>
      <c r="Z21" s="1">
        <v>556.68439999999998</v>
      </c>
      <c r="AA21" s="1">
        <v>507.28480000000002</v>
      </c>
      <c r="AB21" s="1">
        <v>484.88119999999998</v>
      </c>
      <c r="AC21" s="1">
        <v>478.17899999999997</v>
      </c>
      <c r="AD21" s="1">
        <v>456.48239999999998</v>
      </c>
      <c r="AE21" s="1">
        <v>440.69179999999989</v>
      </c>
      <c r="AF21" s="1">
        <v>439.44260000000003</v>
      </c>
      <c r="AG21" s="1">
        <v>497.03280000000012</v>
      </c>
      <c r="AH21" s="1" t="s">
        <v>51</v>
      </c>
      <c r="AI21" s="1">
        <f t="shared" si="9"/>
        <v>80.700039999999717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37</v>
      </c>
      <c r="C22" s="1">
        <v>123.387</v>
      </c>
      <c r="D22" s="1">
        <v>1176.2059999999999</v>
      </c>
      <c r="E22" s="1">
        <v>420.91399999999999</v>
      </c>
      <c r="F22" s="1">
        <v>441.75200000000001</v>
      </c>
      <c r="G22" s="8">
        <v>1</v>
      </c>
      <c r="H22" s="1">
        <v>60</v>
      </c>
      <c r="I22" s="1" t="s">
        <v>40</v>
      </c>
      <c r="J22" s="1"/>
      <c r="K22" s="1">
        <v>516.66999999999996</v>
      </c>
      <c r="L22" s="1">
        <f t="shared" si="2"/>
        <v>-95.755999999999972</v>
      </c>
      <c r="M22" s="1">
        <f t="shared" si="3"/>
        <v>357.66399999999999</v>
      </c>
      <c r="N22" s="1">
        <v>63.25</v>
      </c>
      <c r="O22" s="1">
        <v>331.96020400000032</v>
      </c>
      <c r="P22" s="1">
        <v>133.929</v>
      </c>
      <c r="Q22" s="1">
        <v>0</v>
      </c>
      <c r="R22" s="1">
        <f>IFERROR(VLOOKUP(A22,[1]Sheet!$A:$D,4,0),0)</f>
        <v>70</v>
      </c>
      <c r="S22" s="1">
        <f t="shared" si="4"/>
        <v>71.532799999999995</v>
      </c>
      <c r="T22" s="5"/>
      <c r="U22" s="5"/>
      <c r="V22" s="1"/>
      <c r="W22" s="1"/>
      <c r="X22" s="1">
        <f t="shared" si="5"/>
        <v>12.68846185246489</v>
      </c>
      <c r="Y22" s="1">
        <f t="shared" si="6"/>
        <v>12.68846185246489</v>
      </c>
      <c r="Z22" s="1">
        <v>82.011799999999994</v>
      </c>
      <c r="AA22" s="1">
        <v>89.286000000000016</v>
      </c>
      <c r="AB22" s="1">
        <v>88.266199999999998</v>
      </c>
      <c r="AC22" s="1">
        <v>66.234999999999999</v>
      </c>
      <c r="AD22" s="1">
        <v>65.243600000000001</v>
      </c>
      <c r="AE22" s="1">
        <v>61.306800000000003</v>
      </c>
      <c r="AF22" s="1">
        <v>67.211399999999998</v>
      </c>
      <c r="AG22" s="1">
        <v>73.938999999999993</v>
      </c>
      <c r="AH22" s="1"/>
      <c r="AI22" s="1">
        <f t="shared" si="9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37</v>
      </c>
      <c r="C23" s="1">
        <v>467.26900000000001</v>
      </c>
      <c r="D23" s="1">
        <v>631.173</v>
      </c>
      <c r="E23" s="1">
        <v>666.21699999999998</v>
      </c>
      <c r="F23" s="1">
        <v>311.577</v>
      </c>
      <c r="G23" s="8">
        <v>1</v>
      </c>
      <c r="H23" s="1">
        <v>60</v>
      </c>
      <c r="I23" s="1" t="s">
        <v>40</v>
      </c>
      <c r="J23" s="1"/>
      <c r="K23" s="1">
        <v>737.38800000000003</v>
      </c>
      <c r="L23" s="1">
        <f t="shared" si="2"/>
        <v>-71.171000000000049</v>
      </c>
      <c r="M23" s="1">
        <f t="shared" si="3"/>
        <v>538.92899999999997</v>
      </c>
      <c r="N23" s="1">
        <v>127.288</v>
      </c>
      <c r="O23" s="1">
        <v>288.50862400000011</v>
      </c>
      <c r="P23" s="1">
        <v>145.69919999999999</v>
      </c>
      <c r="Q23" s="1">
        <v>325.60003599999982</v>
      </c>
      <c r="R23" s="1">
        <f>IFERROR(VLOOKUP(A23,[1]Sheet!$A:$D,4,0),0)</f>
        <v>47</v>
      </c>
      <c r="S23" s="1">
        <f t="shared" si="4"/>
        <v>107.78579999999999</v>
      </c>
      <c r="T23" s="5">
        <f t="shared" si="10"/>
        <v>222.04474000000005</v>
      </c>
      <c r="U23" s="5"/>
      <c r="V23" s="1"/>
      <c r="W23" s="1"/>
      <c r="X23" s="1">
        <f t="shared" si="5"/>
        <v>12</v>
      </c>
      <c r="Y23" s="1">
        <f t="shared" si="6"/>
        <v>9.9399444082615709</v>
      </c>
      <c r="Z23" s="1">
        <v>108.6494</v>
      </c>
      <c r="AA23" s="1">
        <v>97.132800000000003</v>
      </c>
      <c r="AB23" s="1">
        <v>101.2252</v>
      </c>
      <c r="AC23" s="1">
        <v>111.41200000000001</v>
      </c>
      <c r="AD23" s="1">
        <v>99.580799999999996</v>
      </c>
      <c r="AE23" s="1">
        <v>118.0684</v>
      </c>
      <c r="AF23" s="1">
        <v>126.5534</v>
      </c>
      <c r="AG23" s="1">
        <v>116.301</v>
      </c>
      <c r="AH23" s="1"/>
      <c r="AI23" s="1">
        <f t="shared" si="9"/>
        <v>222.04474000000005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37</v>
      </c>
      <c r="C24" s="1">
        <v>18.963000000000001</v>
      </c>
      <c r="D24" s="1"/>
      <c r="E24" s="1">
        <v>11.88</v>
      </c>
      <c r="F24" s="1">
        <v>6.7229999999999999</v>
      </c>
      <c r="G24" s="8">
        <v>1</v>
      </c>
      <c r="H24" s="1">
        <v>180</v>
      </c>
      <c r="I24" s="1" t="s">
        <v>40</v>
      </c>
      <c r="J24" s="1"/>
      <c r="K24" s="1">
        <v>11.05</v>
      </c>
      <c r="L24" s="1">
        <f t="shared" si="2"/>
        <v>0.83000000000000007</v>
      </c>
      <c r="M24" s="1">
        <f t="shared" si="3"/>
        <v>11.88</v>
      </c>
      <c r="N24" s="1"/>
      <c r="O24" s="1">
        <v>0</v>
      </c>
      <c r="P24" s="1"/>
      <c r="Q24" s="1">
        <v>19.4648</v>
      </c>
      <c r="R24" s="1">
        <f>IFERROR(VLOOKUP(A24,[1]Sheet!$A:$D,4,0),0)</f>
        <v>0</v>
      </c>
      <c r="S24" s="1">
        <f t="shared" si="4"/>
        <v>2.3760000000000003</v>
      </c>
      <c r="T24" s="5">
        <v>4</v>
      </c>
      <c r="U24" s="5"/>
      <c r="V24" s="1"/>
      <c r="W24" s="1"/>
      <c r="X24" s="1">
        <f t="shared" si="5"/>
        <v>12.705303030303028</v>
      </c>
      <c r="Y24" s="1">
        <f t="shared" si="6"/>
        <v>11.021801346801345</v>
      </c>
      <c r="Z24" s="1">
        <v>2.4468000000000001</v>
      </c>
      <c r="AA24" s="1">
        <v>0.501</v>
      </c>
      <c r="AB24" s="1">
        <v>0.57279999999999998</v>
      </c>
      <c r="AC24" s="1">
        <v>0.71020000000000005</v>
      </c>
      <c r="AD24" s="1">
        <v>1.2882</v>
      </c>
      <c r="AE24" s="1">
        <v>1.5911999999999999</v>
      </c>
      <c r="AF24" s="1">
        <v>0.8</v>
      </c>
      <c r="AG24" s="1">
        <v>0.14319999999999999</v>
      </c>
      <c r="AH24" s="1"/>
      <c r="AI24" s="1">
        <f t="shared" si="9"/>
        <v>4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37</v>
      </c>
      <c r="C25" s="1">
        <v>1780.9059999999999</v>
      </c>
      <c r="D25" s="1">
        <v>1000.087</v>
      </c>
      <c r="E25" s="1">
        <v>1083.1500000000001</v>
      </c>
      <c r="F25" s="1">
        <v>915.346</v>
      </c>
      <c r="G25" s="8">
        <v>1</v>
      </c>
      <c r="H25" s="1">
        <v>60</v>
      </c>
      <c r="I25" s="1" t="s">
        <v>40</v>
      </c>
      <c r="J25" s="1"/>
      <c r="K25" s="1">
        <v>1044.2159999999999</v>
      </c>
      <c r="L25" s="1">
        <f t="shared" si="2"/>
        <v>38.934000000000196</v>
      </c>
      <c r="M25" s="1">
        <f t="shared" si="3"/>
        <v>1008.5340000000001</v>
      </c>
      <c r="N25" s="1">
        <v>74.616</v>
      </c>
      <c r="O25" s="1">
        <v>682.0831399999995</v>
      </c>
      <c r="P25" s="1">
        <v>313.97609999999997</v>
      </c>
      <c r="Q25" s="1">
        <v>275.27686000000068</v>
      </c>
      <c r="R25" s="1">
        <f>IFERROR(VLOOKUP(A25,[1]Sheet!$A:$D,4,0),0)</f>
        <v>75</v>
      </c>
      <c r="S25" s="1">
        <f t="shared" si="4"/>
        <v>201.70680000000002</v>
      </c>
      <c r="T25" s="5">
        <f t="shared" si="10"/>
        <v>233.79949999999985</v>
      </c>
      <c r="U25" s="5"/>
      <c r="V25" s="1"/>
      <c r="W25" s="1"/>
      <c r="X25" s="1">
        <f t="shared" si="5"/>
        <v>12</v>
      </c>
      <c r="Y25" s="1">
        <f t="shared" si="6"/>
        <v>10.840894307975736</v>
      </c>
      <c r="Z25" s="1">
        <v>217.13900000000001</v>
      </c>
      <c r="AA25" s="1">
        <v>209.31739999999999</v>
      </c>
      <c r="AB25" s="1">
        <v>211.536</v>
      </c>
      <c r="AC25" s="1">
        <v>228.21039999999999</v>
      </c>
      <c r="AD25" s="1">
        <v>258.85700000000003</v>
      </c>
      <c r="AE25" s="1">
        <v>238.00819999999999</v>
      </c>
      <c r="AF25" s="1">
        <v>244.3116</v>
      </c>
      <c r="AG25" s="1">
        <v>241.23759999999999</v>
      </c>
      <c r="AH25" s="1" t="s">
        <v>51</v>
      </c>
      <c r="AI25" s="1">
        <f t="shared" si="9"/>
        <v>233.79949999999985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6" t="s">
        <v>65</v>
      </c>
      <c r="B26" s="16" t="s">
        <v>37</v>
      </c>
      <c r="C26" s="16"/>
      <c r="D26" s="16"/>
      <c r="E26" s="16"/>
      <c r="F26" s="16"/>
      <c r="G26" s="17">
        <v>0</v>
      </c>
      <c r="H26" s="16">
        <v>30</v>
      </c>
      <c r="I26" s="16" t="s">
        <v>40</v>
      </c>
      <c r="J26" s="16"/>
      <c r="K26" s="16"/>
      <c r="L26" s="16">
        <f t="shared" si="2"/>
        <v>0</v>
      </c>
      <c r="M26" s="16">
        <f t="shared" si="3"/>
        <v>0</v>
      </c>
      <c r="N26" s="16"/>
      <c r="O26" s="16">
        <v>0</v>
      </c>
      <c r="P26" s="16"/>
      <c r="Q26" s="16">
        <v>0</v>
      </c>
      <c r="R26" s="16">
        <f>IFERROR(VLOOKUP(A26,[1]Sheet!$A:$D,4,0),0)</f>
        <v>0</v>
      </c>
      <c r="S26" s="16">
        <f t="shared" si="4"/>
        <v>0</v>
      </c>
      <c r="T26" s="18"/>
      <c r="U26" s="18"/>
      <c r="V26" s="16"/>
      <c r="W26" s="16"/>
      <c r="X26" s="16" t="e">
        <f t="shared" si="5"/>
        <v>#DIV/0!</v>
      </c>
      <c r="Y26" s="16" t="e">
        <f t="shared" si="6"/>
        <v>#DIV/0!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 t="s">
        <v>57</v>
      </c>
      <c r="AI26" s="16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6" t="s">
        <v>66</v>
      </c>
      <c r="B27" s="16" t="s">
        <v>37</v>
      </c>
      <c r="C27" s="16"/>
      <c r="D27" s="16"/>
      <c r="E27" s="16"/>
      <c r="F27" s="16"/>
      <c r="G27" s="17">
        <v>0</v>
      </c>
      <c r="H27" s="16">
        <v>30</v>
      </c>
      <c r="I27" s="16" t="s">
        <v>40</v>
      </c>
      <c r="J27" s="16"/>
      <c r="K27" s="16"/>
      <c r="L27" s="16">
        <f t="shared" si="2"/>
        <v>0</v>
      </c>
      <c r="M27" s="16">
        <f t="shared" si="3"/>
        <v>0</v>
      </c>
      <c r="N27" s="16"/>
      <c r="O27" s="16">
        <v>0</v>
      </c>
      <c r="P27" s="16"/>
      <c r="Q27" s="16">
        <v>0</v>
      </c>
      <c r="R27" s="16">
        <f>IFERROR(VLOOKUP(A27,[1]Sheet!$A:$D,4,0),0)</f>
        <v>0</v>
      </c>
      <c r="S27" s="16">
        <f t="shared" si="4"/>
        <v>0</v>
      </c>
      <c r="T27" s="18"/>
      <c r="U27" s="18"/>
      <c r="V27" s="16"/>
      <c r="W27" s="16"/>
      <c r="X27" s="16" t="e">
        <f t="shared" si="5"/>
        <v>#DIV/0!</v>
      </c>
      <c r="Y27" s="16" t="e">
        <f t="shared" si="6"/>
        <v>#DIV/0!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 t="s">
        <v>57</v>
      </c>
      <c r="AI27" s="16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37</v>
      </c>
      <c r="C28" s="1">
        <v>274.608</v>
      </c>
      <c r="D28" s="1">
        <v>1663.568</v>
      </c>
      <c r="E28" s="1">
        <v>885.46299999999997</v>
      </c>
      <c r="F28" s="1">
        <v>309.428</v>
      </c>
      <c r="G28" s="8">
        <v>1</v>
      </c>
      <c r="H28" s="1">
        <v>30</v>
      </c>
      <c r="I28" s="1" t="s">
        <v>40</v>
      </c>
      <c r="J28" s="1"/>
      <c r="K28" s="1">
        <v>1031.3330000000001</v>
      </c>
      <c r="L28" s="1">
        <f t="shared" si="2"/>
        <v>-145.87000000000012</v>
      </c>
      <c r="M28" s="1">
        <f t="shared" si="3"/>
        <v>726.05</v>
      </c>
      <c r="N28" s="1">
        <v>159.41300000000001</v>
      </c>
      <c r="O28" s="1">
        <v>836.36199999999974</v>
      </c>
      <c r="P28" s="1"/>
      <c r="Q28" s="1">
        <v>3.6183999999998382</v>
      </c>
      <c r="R28" s="1">
        <f>IFERROR(VLOOKUP(A28,[1]Sheet!$A:$D,4,0),0)</f>
        <v>82</v>
      </c>
      <c r="S28" s="1">
        <f t="shared" si="4"/>
        <v>145.20999999999998</v>
      </c>
      <c r="T28" s="5">
        <f>12*S28-Q28-P28-O28-F28</f>
        <v>593.11160000000018</v>
      </c>
      <c r="U28" s="5"/>
      <c r="V28" s="1"/>
      <c r="W28" s="1"/>
      <c r="X28" s="1">
        <f t="shared" si="5"/>
        <v>12</v>
      </c>
      <c r="Y28" s="1">
        <f t="shared" si="6"/>
        <v>7.9154906686867275</v>
      </c>
      <c r="Z28" s="1">
        <v>137.3604</v>
      </c>
      <c r="AA28" s="1">
        <v>156.0812</v>
      </c>
      <c r="AB28" s="1">
        <v>138.68039999999999</v>
      </c>
      <c r="AC28" s="1">
        <v>136.8252</v>
      </c>
      <c r="AD28" s="1">
        <v>150.864</v>
      </c>
      <c r="AE28" s="1">
        <v>163.73560000000001</v>
      </c>
      <c r="AF28" s="1">
        <v>187.96440000000001</v>
      </c>
      <c r="AG28" s="1">
        <v>228.16579999999999</v>
      </c>
      <c r="AH28" s="1" t="s">
        <v>51</v>
      </c>
      <c r="AI28" s="1">
        <f>G28*T28</f>
        <v>593.11160000000018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6" t="s">
        <v>68</v>
      </c>
      <c r="B29" s="16" t="s">
        <v>37</v>
      </c>
      <c r="C29" s="16"/>
      <c r="D29" s="16"/>
      <c r="E29" s="16"/>
      <c r="F29" s="16"/>
      <c r="G29" s="17">
        <v>0</v>
      </c>
      <c r="H29" s="16">
        <v>45</v>
      </c>
      <c r="I29" s="16" t="s">
        <v>40</v>
      </c>
      <c r="J29" s="16"/>
      <c r="K29" s="16"/>
      <c r="L29" s="16">
        <f t="shared" si="2"/>
        <v>0</v>
      </c>
      <c r="M29" s="16">
        <f t="shared" si="3"/>
        <v>0</v>
      </c>
      <c r="N29" s="16"/>
      <c r="O29" s="16">
        <v>0</v>
      </c>
      <c r="P29" s="16"/>
      <c r="Q29" s="16">
        <v>0</v>
      </c>
      <c r="R29" s="16">
        <f>IFERROR(VLOOKUP(A29,[1]Sheet!$A:$D,4,0),0)</f>
        <v>0</v>
      </c>
      <c r="S29" s="16">
        <f t="shared" si="4"/>
        <v>0</v>
      </c>
      <c r="T29" s="18"/>
      <c r="U29" s="18"/>
      <c r="V29" s="16"/>
      <c r="W29" s="16"/>
      <c r="X29" s="16" t="e">
        <f t="shared" si="5"/>
        <v>#DIV/0!</v>
      </c>
      <c r="Y29" s="16" t="e">
        <f t="shared" si="6"/>
        <v>#DIV/0!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 t="s">
        <v>57</v>
      </c>
      <c r="AI29" s="16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6" t="s">
        <v>69</v>
      </c>
      <c r="B30" s="16" t="s">
        <v>37</v>
      </c>
      <c r="C30" s="16"/>
      <c r="D30" s="16"/>
      <c r="E30" s="16"/>
      <c r="F30" s="16"/>
      <c r="G30" s="17">
        <v>0</v>
      </c>
      <c r="H30" s="16">
        <v>40</v>
      </c>
      <c r="I30" s="16" t="s">
        <v>40</v>
      </c>
      <c r="J30" s="16"/>
      <c r="K30" s="16"/>
      <c r="L30" s="16">
        <f t="shared" si="2"/>
        <v>0</v>
      </c>
      <c r="M30" s="16">
        <f t="shared" si="3"/>
        <v>0</v>
      </c>
      <c r="N30" s="16"/>
      <c r="O30" s="16">
        <v>0</v>
      </c>
      <c r="P30" s="16"/>
      <c r="Q30" s="16">
        <v>0</v>
      </c>
      <c r="R30" s="16">
        <f>IFERROR(VLOOKUP(A30,[1]Sheet!$A:$D,4,0),0)</f>
        <v>0</v>
      </c>
      <c r="S30" s="16">
        <f t="shared" si="4"/>
        <v>0</v>
      </c>
      <c r="T30" s="18"/>
      <c r="U30" s="18"/>
      <c r="V30" s="16"/>
      <c r="W30" s="16"/>
      <c r="X30" s="16" t="e">
        <f t="shared" si="5"/>
        <v>#DIV/0!</v>
      </c>
      <c r="Y30" s="16" t="e">
        <f t="shared" si="6"/>
        <v>#DIV/0!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 t="s">
        <v>57</v>
      </c>
      <c r="AI30" s="16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6" t="s">
        <v>70</v>
      </c>
      <c r="B31" s="16" t="s">
        <v>37</v>
      </c>
      <c r="C31" s="16"/>
      <c r="D31" s="16"/>
      <c r="E31" s="16"/>
      <c r="F31" s="16"/>
      <c r="G31" s="17">
        <v>0</v>
      </c>
      <c r="H31" s="16">
        <v>30</v>
      </c>
      <c r="I31" s="16" t="s">
        <v>40</v>
      </c>
      <c r="J31" s="16"/>
      <c r="K31" s="16"/>
      <c r="L31" s="16">
        <f t="shared" si="2"/>
        <v>0</v>
      </c>
      <c r="M31" s="16">
        <f t="shared" si="3"/>
        <v>0</v>
      </c>
      <c r="N31" s="16"/>
      <c r="O31" s="16">
        <v>0</v>
      </c>
      <c r="P31" s="16"/>
      <c r="Q31" s="16">
        <v>0</v>
      </c>
      <c r="R31" s="16">
        <f>IFERROR(VLOOKUP(A31,[1]Sheet!$A:$D,4,0),0)</f>
        <v>0</v>
      </c>
      <c r="S31" s="16">
        <f t="shared" si="4"/>
        <v>0</v>
      </c>
      <c r="T31" s="18"/>
      <c r="U31" s="18"/>
      <c r="V31" s="16"/>
      <c r="W31" s="16"/>
      <c r="X31" s="16" t="e">
        <f t="shared" si="5"/>
        <v>#DIV/0!</v>
      </c>
      <c r="Y31" s="16" t="e">
        <f t="shared" si="6"/>
        <v>#DIV/0!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 t="s">
        <v>57</v>
      </c>
      <c r="AI31" s="16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6" t="s">
        <v>71</v>
      </c>
      <c r="B32" s="16" t="s">
        <v>37</v>
      </c>
      <c r="C32" s="16"/>
      <c r="D32" s="16"/>
      <c r="E32" s="16"/>
      <c r="F32" s="16"/>
      <c r="G32" s="17">
        <v>0</v>
      </c>
      <c r="H32" s="16">
        <v>50</v>
      </c>
      <c r="I32" s="16" t="s">
        <v>40</v>
      </c>
      <c r="J32" s="16"/>
      <c r="K32" s="16"/>
      <c r="L32" s="16">
        <f t="shared" si="2"/>
        <v>0</v>
      </c>
      <c r="M32" s="16">
        <f t="shared" si="3"/>
        <v>0</v>
      </c>
      <c r="N32" s="16"/>
      <c r="O32" s="16">
        <v>0</v>
      </c>
      <c r="P32" s="16"/>
      <c r="Q32" s="16">
        <v>0</v>
      </c>
      <c r="R32" s="16">
        <f>IFERROR(VLOOKUP(A32,[1]Sheet!$A:$D,4,0),0)</f>
        <v>0</v>
      </c>
      <c r="S32" s="16">
        <f t="shared" si="4"/>
        <v>0</v>
      </c>
      <c r="T32" s="18"/>
      <c r="U32" s="18"/>
      <c r="V32" s="16"/>
      <c r="W32" s="16"/>
      <c r="X32" s="16" t="e">
        <f t="shared" si="5"/>
        <v>#DIV/0!</v>
      </c>
      <c r="Y32" s="16" t="e">
        <f t="shared" si="6"/>
        <v>#DIV/0!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 t="s">
        <v>57</v>
      </c>
      <c r="AI32" s="16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37</v>
      </c>
      <c r="C33" s="1">
        <v>16.14</v>
      </c>
      <c r="D33" s="1"/>
      <c r="E33" s="1">
        <v>8.1020000000000003</v>
      </c>
      <c r="F33" s="1">
        <v>8.0380000000000003</v>
      </c>
      <c r="G33" s="8">
        <v>1</v>
      </c>
      <c r="H33" s="1">
        <v>50</v>
      </c>
      <c r="I33" s="1" t="s">
        <v>40</v>
      </c>
      <c r="J33" s="1"/>
      <c r="K33" s="1">
        <v>7.4</v>
      </c>
      <c r="L33" s="1">
        <f t="shared" si="2"/>
        <v>0.70199999999999996</v>
      </c>
      <c r="M33" s="1">
        <f t="shared" si="3"/>
        <v>8.1020000000000003</v>
      </c>
      <c r="N33" s="1"/>
      <c r="O33" s="1">
        <v>4</v>
      </c>
      <c r="P33" s="1"/>
      <c r="Q33" s="1">
        <v>0</v>
      </c>
      <c r="R33" s="1">
        <f>IFERROR(VLOOKUP(A33,[1]Sheet!$A:$D,4,0),0)</f>
        <v>0</v>
      </c>
      <c r="S33" s="1">
        <f t="shared" si="4"/>
        <v>1.6204000000000001</v>
      </c>
      <c r="T33" s="5">
        <f t="shared" ref="T33:T47" si="11">12*S33-Q33-P33-O33-F33</f>
        <v>7.4068000000000005</v>
      </c>
      <c r="U33" s="5"/>
      <c r="V33" s="1"/>
      <c r="W33" s="1"/>
      <c r="X33" s="1">
        <f t="shared" si="5"/>
        <v>12</v>
      </c>
      <c r="Y33" s="1">
        <f t="shared" si="6"/>
        <v>7.4290298691681063</v>
      </c>
      <c r="Z33" s="1">
        <v>1.2534000000000001</v>
      </c>
      <c r="AA33" s="1">
        <v>1.5980000000000001</v>
      </c>
      <c r="AB33" s="1">
        <v>1.0651999999999999</v>
      </c>
      <c r="AC33" s="1">
        <v>0.70679999999999998</v>
      </c>
      <c r="AD33" s="1">
        <v>1.7784</v>
      </c>
      <c r="AE33" s="1">
        <v>1.4236</v>
      </c>
      <c r="AF33" s="1">
        <v>0.53239999999999998</v>
      </c>
      <c r="AG33" s="1">
        <v>0.5252</v>
      </c>
      <c r="AH33" s="1" t="s">
        <v>73</v>
      </c>
      <c r="AI33" s="1">
        <f t="shared" ref="AI33:AI48" si="12">G33*T33</f>
        <v>7.4068000000000005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44</v>
      </c>
      <c r="C34" s="1">
        <v>409</v>
      </c>
      <c r="D34" s="1">
        <v>1578</v>
      </c>
      <c r="E34" s="1">
        <v>1624</v>
      </c>
      <c r="F34" s="1">
        <v>136</v>
      </c>
      <c r="G34" s="8">
        <v>0.4</v>
      </c>
      <c r="H34" s="1">
        <v>45</v>
      </c>
      <c r="I34" s="1" t="s">
        <v>40</v>
      </c>
      <c r="J34" s="1"/>
      <c r="K34" s="1">
        <v>1837</v>
      </c>
      <c r="L34" s="1">
        <f t="shared" si="2"/>
        <v>-213</v>
      </c>
      <c r="M34" s="1">
        <f t="shared" si="3"/>
        <v>1234</v>
      </c>
      <c r="N34" s="1">
        <v>390</v>
      </c>
      <c r="O34" s="1">
        <v>1378.7439999999999</v>
      </c>
      <c r="P34" s="1">
        <v>328.8</v>
      </c>
      <c r="Q34" s="1">
        <v>647.97600000000011</v>
      </c>
      <c r="R34" s="1">
        <f>IFERROR(VLOOKUP(A34,[1]Sheet!$A:$D,4,0),0)</f>
        <v>279</v>
      </c>
      <c r="S34" s="1">
        <f t="shared" si="4"/>
        <v>246.8</v>
      </c>
      <c r="T34" s="5">
        <f t="shared" si="11"/>
        <v>470.08000000000038</v>
      </c>
      <c r="U34" s="5"/>
      <c r="V34" s="1"/>
      <c r="W34" s="1"/>
      <c r="X34" s="1">
        <f t="shared" si="5"/>
        <v>12.000000000000002</v>
      </c>
      <c r="Y34" s="1">
        <f t="shared" si="6"/>
        <v>10.095299837925445</v>
      </c>
      <c r="Z34" s="1">
        <v>260.8</v>
      </c>
      <c r="AA34" s="1">
        <v>219.2</v>
      </c>
      <c r="AB34" s="1">
        <v>195.2</v>
      </c>
      <c r="AC34" s="1">
        <v>215.4</v>
      </c>
      <c r="AD34" s="1">
        <v>169</v>
      </c>
      <c r="AE34" s="1">
        <v>160.6</v>
      </c>
      <c r="AF34" s="1">
        <v>157.6</v>
      </c>
      <c r="AG34" s="1">
        <v>151</v>
      </c>
      <c r="AH34" s="1" t="s">
        <v>75</v>
      </c>
      <c r="AI34" s="1">
        <f t="shared" si="12"/>
        <v>188.03200000000015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44</v>
      </c>
      <c r="C35" s="1">
        <v>17</v>
      </c>
      <c r="D35" s="1">
        <v>635</v>
      </c>
      <c r="E35" s="1">
        <v>460</v>
      </c>
      <c r="F35" s="1">
        <v>141</v>
      </c>
      <c r="G35" s="8">
        <v>0.45</v>
      </c>
      <c r="H35" s="1">
        <v>50</v>
      </c>
      <c r="I35" s="12" t="s">
        <v>77</v>
      </c>
      <c r="J35" s="1"/>
      <c r="K35" s="1">
        <v>514</v>
      </c>
      <c r="L35" s="1">
        <f t="shared" si="2"/>
        <v>-54</v>
      </c>
      <c r="M35" s="1">
        <f t="shared" si="3"/>
        <v>430</v>
      </c>
      <c r="N35" s="1">
        <v>30</v>
      </c>
      <c r="O35" s="1">
        <v>370</v>
      </c>
      <c r="P35" s="1"/>
      <c r="Q35" s="1">
        <v>721</v>
      </c>
      <c r="R35" s="1">
        <f>IFERROR(VLOOKUP(A35,[1]Sheet!$A:$D,4,0),0)</f>
        <v>0</v>
      </c>
      <c r="S35" s="1">
        <f t="shared" si="4"/>
        <v>86</v>
      </c>
      <c r="T35" s="5"/>
      <c r="U35" s="5"/>
      <c r="V35" s="1"/>
      <c r="W35" s="1"/>
      <c r="X35" s="1">
        <f t="shared" si="5"/>
        <v>14.325581395348838</v>
      </c>
      <c r="Y35" s="1">
        <f t="shared" si="6"/>
        <v>14.325581395348838</v>
      </c>
      <c r="Z35" s="1">
        <v>132.4</v>
      </c>
      <c r="AA35" s="1">
        <v>154.6</v>
      </c>
      <c r="AB35" s="1">
        <v>196.6</v>
      </c>
      <c r="AC35" s="1">
        <v>162</v>
      </c>
      <c r="AD35" s="1">
        <v>72.2</v>
      </c>
      <c r="AE35" s="1">
        <v>77.8</v>
      </c>
      <c r="AF35" s="1">
        <v>59</v>
      </c>
      <c r="AG35" s="1">
        <v>49</v>
      </c>
      <c r="AH35" s="1" t="s">
        <v>45</v>
      </c>
      <c r="AI35" s="1">
        <f t="shared" si="12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78</v>
      </c>
      <c r="B36" s="1" t="s">
        <v>44</v>
      </c>
      <c r="C36" s="1">
        <v>395</v>
      </c>
      <c r="D36" s="1">
        <v>2503</v>
      </c>
      <c r="E36" s="1">
        <v>1353</v>
      </c>
      <c r="F36" s="1">
        <v>1294</v>
      </c>
      <c r="G36" s="8">
        <v>0.4</v>
      </c>
      <c r="H36" s="1">
        <v>45</v>
      </c>
      <c r="I36" s="1" t="s">
        <v>40</v>
      </c>
      <c r="J36" s="1"/>
      <c r="K36" s="1">
        <v>1594</v>
      </c>
      <c r="L36" s="1">
        <f t="shared" si="2"/>
        <v>-241</v>
      </c>
      <c r="M36" s="1">
        <f t="shared" si="3"/>
        <v>1179</v>
      </c>
      <c r="N36" s="1">
        <v>174</v>
      </c>
      <c r="O36" s="1">
        <v>393.69199999999881</v>
      </c>
      <c r="P36" s="1">
        <v>327.3</v>
      </c>
      <c r="Q36" s="1">
        <v>521.52800000000138</v>
      </c>
      <c r="R36" s="1">
        <f>IFERROR(VLOOKUP(A36,[1]Sheet!$A:$D,4,0),0)</f>
        <v>261</v>
      </c>
      <c r="S36" s="1">
        <f t="shared" si="4"/>
        <v>235.8</v>
      </c>
      <c r="T36" s="5">
        <f t="shared" si="11"/>
        <v>293.08000000000038</v>
      </c>
      <c r="U36" s="5"/>
      <c r="V36" s="1"/>
      <c r="W36" s="1"/>
      <c r="X36" s="1">
        <f t="shared" si="5"/>
        <v>12.000000000000004</v>
      </c>
      <c r="Y36" s="1">
        <f t="shared" si="6"/>
        <v>10.757082273112809</v>
      </c>
      <c r="Z36" s="1">
        <v>260.8</v>
      </c>
      <c r="AA36" s="1">
        <v>218.2</v>
      </c>
      <c r="AB36" s="1">
        <v>259.60000000000002</v>
      </c>
      <c r="AC36" s="1">
        <v>192</v>
      </c>
      <c r="AD36" s="1">
        <v>143.4</v>
      </c>
      <c r="AE36" s="1">
        <v>126.2</v>
      </c>
      <c r="AF36" s="1">
        <v>135</v>
      </c>
      <c r="AG36" s="1">
        <v>128</v>
      </c>
      <c r="AH36" s="1"/>
      <c r="AI36" s="1">
        <f t="shared" si="12"/>
        <v>117.23200000000016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79</v>
      </c>
      <c r="B37" s="1" t="s">
        <v>44</v>
      </c>
      <c r="C37" s="1">
        <v>158</v>
      </c>
      <c r="D37" s="1">
        <v>1</v>
      </c>
      <c r="E37" s="1">
        <v>77</v>
      </c>
      <c r="F37" s="1">
        <v>82</v>
      </c>
      <c r="G37" s="8">
        <v>0.4</v>
      </c>
      <c r="H37" s="1">
        <v>40</v>
      </c>
      <c r="I37" s="1" t="s">
        <v>40</v>
      </c>
      <c r="J37" s="1"/>
      <c r="K37" s="1">
        <v>77</v>
      </c>
      <c r="L37" s="1">
        <f t="shared" si="2"/>
        <v>0</v>
      </c>
      <c r="M37" s="1">
        <f t="shared" si="3"/>
        <v>77</v>
      </c>
      <c r="N37" s="1"/>
      <c r="O37" s="1">
        <v>0</v>
      </c>
      <c r="P37" s="1"/>
      <c r="Q37" s="1">
        <v>100</v>
      </c>
      <c r="R37" s="1">
        <f>IFERROR(VLOOKUP(A37,[1]Sheet!$A:$D,4,0),0)</f>
        <v>0</v>
      </c>
      <c r="S37" s="1">
        <f t="shared" si="4"/>
        <v>15.4</v>
      </c>
      <c r="T37" s="5"/>
      <c r="U37" s="5"/>
      <c r="V37" s="1"/>
      <c r="W37" s="1"/>
      <c r="X37" s="1">
        <f t="shared" si="5"/>
        <v>11.818181818181818</v>
      </c>
      <c r="Y37" s="1">
        <f t="shared" si="6"/>
        <v>11.818181818181818</v>
      </c>
      <c r="Z37" s="1">
        <v>19</v>
      </c>
      <c r="AA37" s="1">
        <v>9.1999999999999993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 t="s">
        <v>80</v>
      </c>
      <c r="AI37" s="1">
        <f t="shared" si="12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81</v>
      </c>
      <c r="B38" s="1" t="s">
        <v>37</v>
      </c>
      <c r="C38" s="1">
        <v>68.507999999999996</v>
      </c>
      <c r="D38" s="1">
        <v>803.83399999999995</v>
      </c>
      <c r="E38" s="1">
        <v>384.43</v>
      </c>
      <c r="F38" s="1">
        <v>147.166</v>
      </c>
      <c r="G38" s="8">
        <v>1</v>
      </c>
      <c r="H38" s="1">
        <v>45</v>
      </c>
      <c r="I38" s="1" t="s">
        <v>40</v>
      </c>
      <c r="J38" s="1"/>
      <c r="K38" s="1">
        <v>506.572</v>
      </c>
      <c r="L38" s="1">
        <f t="shared" ref="L38:L69" si="13">E38-K38</f>
        <v>-122.142</v>
      </c>
      <c r="M38" s="1">
        <f t="shared" si="3"/>
        <v>384.43</v>
      </c>
      <c r="N38" s="1"/>
      <c r="O38" s="1">
        <v>40</v>
      </c>
      <c r="P38" s="1"/>
      <c r="Q38" s="1">
        <v>471.25400000000002</v>
      </c>
      <c r="R38" s="1">
        <f>IFERROR(VLOOKUP(A38,[1]Sheet!$A:$D,4,0),0)</f>
        <v>0</v>
      </c>
      <c r="S38" s="1">
        <f t="shared" si="4"/>
        <v>76.885999999999996</v>
      </c>
      <c r="T38" s="5">
        <f t="shared" si="11"/>
        <v>264.21199999999993</v>
      </c>
      <c r="U38" s="5"/>
      <c r="V38" s="1"/>
      <c r="W38" s="1"/>
      <c r="X38" s="1">
        <f t="shared" si="5"/>
        <v>12.000000000000002</v>
      </c>
      <c r="Y38" s="1">
        <f t="shared" si="6"/>
        <v>8.5635876492469389</v>
      </c>
      <c r="Z38" s="1">
        <v>77.734999999999999</v>
      </c>
      <c r="AA38" s="1">
        <v>41.408200000000001</v>
      </c>
      <c r="AB38" s="1">
        <v>57.390799999999999</v>
      </c>
      <c r="AC38" s="1">
        <v>62.910200000000003</v>
      </c>
      <c r="AD38" s="1">
        <v>37.391199999999998</v>
      </c>
      <c r="AE38" s="1">
        <v>29.7164</v>
      </c>
      <c r="AF38" s="1">
        <v>38.979200000000013</v>
      </c>
      <c r="AG38" s="1">
        <v>50.124000000000002</v>
      </c>
      <c r="AH38" s="1"/>
      <c r="AI38" s="1">
        <f t="shared" si="12"/>
        <v>264.21199999999993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82</v>
      </c>
      <c r="B39" s="1" t="s">
        <v>44</v>
      </c>
      <c r="C39" s="1">
        <v>299</v>
      </c>
      <c r="D39" s="1">
        <v>4</v>
      </c>
      <c r="E39" s="1">
        <v>156</v>
      </c>
      <c r="F39" s="1">
        <v>143</v>
      </c>
      <c r="G39" s="8">
        <v>0.1</v>
      </c>
      <c r="H39" s="1">
        <v>730</v>
      </c>
      <c r="I39" s="1" t="s">
        <v>40</v>
      </c>
      <c r="J39" s="1"/>
      <c r="K39" s="1">
        <v>158</v>
      </c>
      <c r="L39" s="1">
        <f t="shared" si="13"/>
        <v>-2</v>
      </c>
      <c r="M39" s="1">
        <f t="shared" si="3"/>
        <v>156</v>
      </c>
      <c r="N39" s="1"/>
      <c r="O39" s="1">
        <v>44.200000000000053</v>
      </c>
      <c r="P39" s="1"/>
      <c r="Q39" s="1">
        <v>107.6</v>
      </c>
      <c r="R39" s="1">
        <f>IFERROR(VLOOKUP(A39,[1]Sheet!$A:$D,4,0),0)</f>
        <v>0</v>
      </c>
      <c r="S39" s="1">
        <f t="shared" si="4"/>
        <v>31.2</v>
      </c>
      <c r="T39" s="5">
        <f t="shared" si="11"/>
        <v>79.599999999999909</v>
      </c>
      <c r="U39" s="5"/>
      <c r="V39" s="1"/>
      <c r="W39" s="1"/>
      <c r="X39" s="1">
        <f t="shared" si="5"/>
        <v>12</v>
      </c>
      <c r="Y39" s="1">
        <f t="shared" si="6"/>
        <v>9.4487179487179507</v>
      </c>
      <c r="Z39" s="1">
        <v>31.8</v>
      </c>
      <c r="AA39" s="1">
        <v>28.6</v>
      </c>
      <c r="AB39" s="1">
        <v>32.6</v>
      </c>
      <c r="AC39" s="1">
        <v>35.200000000000003</v>
      </c>
      <c r="AD39" s="1">
        <v>35.799999999999997</v>
      </c>
      <c r="AE39" s="1">
        <v>44.2</v>
      </c>
      <c r="AF39" s="1">
        <v>56.2</v>
      </c>
      <c r="AG39" s="1">
        <v>44.4</v>
      </c>
      <c r="AH39" s="1"/>
      <c r="AI39" s="1">
        <f t="shared" si="12"/>
        <v>7.9599999999999911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83</v>
      </c>
      <c r="B40" s="1" t="s">
        <v>44</v>
      </c>
      <c r="C40" s="1">
        <v>83.941999999999993</v>
      </c>
      <c r="D40" s="1">
        <v>336.05799999999999</v>
      </c>
      <c r="E40" s="1">
        <v>186</v>
      </c>
      <c r="F40" s="1">
        <v>141</v>
      </c>
      <c r="G40" s="8">
        <v>0.35</v>
      </c>
      <c r="H40" s="1">
        <v>40</v>
      </c>
      <c r="I40" s="1" t="s">
        <v>40</v>
      </c>
      <c r="J40" s="1"/>
      <c r="K40" s="1">
        <v>218</v>
      </c>
      <c r="L40" s="1">
        <f t="shared" si="13"/>
        <v>-32</v>
      </c>
      <c r="M40" s="1">
        <f t="shared" si="3"/>
        <v>186</v>
      </c>
      <c r="N40" s="1"/>
      <c r="O40" s="1">
        <v>99.672400000000053</v>
      </c>
      <c r="P40" s="1"/>
      <c r="Q40" s="1">
        <v>123.3276</v>
      </c>
      <c r="R40" s="1">
        <f>IFERROR(VLOOKUP(A40,[1]Sheet!$A:$D,4,0),0)</f>
        <v>0</v>
      </c>
      <c r="S40" s="1">
        <f t="shared" si="4"/>
        <v>37.200000000000003</v>
      </c>
      <c r="T40" s="5">
        <f t="shared" si="11"/>
        <v>82.399999999999977</v>
      </c>
      <c r="U40" s="5"/>
      <c r="V40" s="1"/>
      <c r="W40" s="1"/>
      <c r="X40" s="1">
        <f t="shared" si="5"/>
        <v>12</v>
      </c>
      <c r="Y40" s="1">
        <f t="shared" si="6"/>
        <v>9.78494623655914</v>
      </c>
      <c r="Z40" s="1">
        <v>39</v>
      </c>
      <c r="AA40" s="1">
        <v>33</v>
      </c>
      <c r="AB40" s="1">
        <v>35.211599999999997</v>
      </c>
      <c r="AC40" s="1">
        <v>27.011600000000001</v>
      </c>
      <c r="AD40" s="1">
        <v>30.2</v>
      </c>
      <c r="AE40" s="1">
        <v>33.4</v>
      </c>
      <c r="AF40" s="1">
        <v>32.6</v>
      </c>
      <c r="AG40" s="1">
        <v>28.6</v>
      </c>
      <c r="AH40" s="1"/>
      <c r="AI40" s="1">
        <f t="shared" si="12"/>
        <v>28.839999999999989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84</v>
      </c>
      <c r="B41" s="1" t="s">
        <v>37</v>
      </c>
      <c r="C41" s="1">
        <v>24.873000000000001</v>
      </c>
      <c r="D41" s="1">
        <v>28.518000000000001</v>
      </c>
      <c r="E41" s="1">
        <v>36.709000000000003</v>
      </c>
      <c r="F41" s="1">
        <v>10.117000000000001</v>
      </c>
      <c r="G41" s="8">
        <v>1</v>
      </c>
      <c r="H41" s="1">
        <v>40</v>
      </c>
      <c r="I41" s="1" t="s">
        <v>40</v>
      </c>
      <c r="J41" s="1"/>
      <c r="K41" s="1">
        <v>42</v>
      </c>
      <c r="L41" s="1">
        <f t="shared" si="13"/>
        <v>-5.2909999999999968</v>
      </c>
      <c r="M41" s="1">
        <f t="shared" si="3"/>
        <v>32.409000000000006</v>
      </c>
      <c r="N41" s="1">
        <v>4.3</v>
      </c>
      <c r="O41" s="1">
        <v>58.941199999999988</v>
      </c>
      <c r="P41" s="1"/>
      <c r="Q41" s="1">
        <v>14.458600000000009</v>
      </c>
      <c r="R41" s="1">
        <f>IFERROR(VLOOKUP(A41,[1]Sheet!$A:$D,4,0),0)</f>
        <v>0</v>
      </c>
      <c r="S41" s="1">
        <f t="shared" si="4"/>
        <v>6.4818000000000016</v>
      </c>
      <c r="T41" s="5"/>
      <c r="U41" s="5"/>
      <c r="V41" s="1"/>
      <c r="W41" s="1"/>
      <c r="X41" s="1">
        <f t="shared" si="5"/>
        <v>12.884815946187782</v>
      </c>
      <c r="Y41" s="1">
        <f t="shared" si="6"/>
        <v>12.884815946187782</v>
      </c>
      <c r="Z41" s="1">
        <v>8.1997999999999998</v>
      </c>
      <c r="AA41" s="1">
        <v>8.4890000000000008</v>
      </c>
      <c r="AB41" s="1">
        <v>5.4808000000000003</v>
      </c>
      <c r="AC41" s="1">
        <v>4.2202000000000002</v>
      </c>
      <c r="AD41" s="1">
        <v>6.6763999999999992</v>
      </c>
      <c r="AE41" s="1">
        <v>6.9366000000000003</v>
      </c>
      <c r="AF41" s="1">
        <v>4.9272</v>
      </c>
      <c r="AG41" s="1">
        <v>6.3929999999999998</v>
      </c>
      <c r="AH41" s="1"/>
      <c r="AI41" s="1">
        <f t="shared" si="12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44</v>
      </c>
      <c r="C42" s="1">
        <v>158</v>
      </c>
      <c r="D42" s="1">
        <v>144</v>
      </c>
      <c r="E42" s="1">
        <v>202</v>
      </c>
      <c r="F42" s="1">
        <v>95</v>
      </c>
      <c r="G42" s="8">
        <v>0.4</v>
      </c>
      <c r="H42" s="1">
        <v>40</v>
      </c>
      <c r="I42" s="1" t="s">
        <v>40</v>
      </c>
      <c r="J42" s="1"/>
      <c r="K42" s="1">
        <v>207</v>
      </c>
      <c r="L42" s="1">
        <f t="shared" si="13"/>
        <v>-5</v>
      </c>
      <c r="M42" s="1">
        <f t="shared" si="3"/>
        <v>142</v>
      </c>
      <c r="N42" s="1">
        <v>60</v>
      </c>
      <c r="O42" s="1">
        <v>239.2</v>
      </c>
      <c r="P42" s="1"/>
      <c r="Q42" s="1">
        <v>0</v>
      </c>
      <c r="R42" s="1">
        <f>IFERROR(VLOOKUP(A42,[1]Sheet!$A:$D,4,0),0)</f>
        <v>79</v>
      </c>
      <c r="S42" s="1">
        <f t="shared" si="4"/>
        <v>28.4</v>
      </c>
      <c r="T42" s="5">
        <f t="shared" si="11"/>
        <v>6.5999999999999659</v>
      </c>
      <c r="U42" s="5"/>
      <c r="V42" s="1"/>
      <c r="W42" s="1"/>
      <c r="X42" s="1">
        <f t="shared" si="5"/>
        <v>11.999999999999998</v>
      </c>
      <c r="Y42" s="1">
        <f t="shared" si="6"/>
        <v>11.767605633802818</v>
      </c>
      <c r="Z42" s="1">
        <v>31.8</v>
      </c>
      <c r="AA42" s="1">
        <v>35.200000000000003</v>
      </c>
      <c r="AB42" s="1">
        <v>30</v>
      </c>
      <c r="AC42" s="1">
        <v>29.8</v>
      </c>
      <c r="AD42" s="1">
        <v>27</v>
      </c>
      <c r="AE42" s="1">
        <v>41.2</v>
      </c>
      <c r="AF42" s="1">
        <v>42.4</v>
      </c>
      <c r="AG42" s="1">
        <v>35</v>
      </c>
      <c r="AH42" s="1"/>
      <c r="AI42" s="1">
        <f t="shared" si="12"/>
        <v>2.6399999999999864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86</v>
      </c>
      <c r="B43" s="1" t="s">
        <v>44</v>
      </c>
      <c r="C43" s="1">
        <v>302</v>
      </c>
      <c r="D43" s="1">
        <v>657</v>
      </c>
      <c r="E43" s="1">
        <v>449</v>
      </c>
      <c r="F43" s="1">
        <v>504</v>
      </c>
      <c r="G43" s="8">
        <v>0.4</v>
      </c>
      <c r="H43" s="1">
        <v>45</v>
      </c>
      <c r="I43" s="1" t="s">
        <v>40</v>
      </c>
      <c r="J43" s="1"/>
      <c r="K43" s="1">
        <v>455</v>
      </c>
      <c r="L43" s="1">
        <f t="shared" si="13"/>
        <v>-6</v>
      </c>
      <c r="M43" s="1">
        <f t="shared" si="3"/>
        <v>329</v>
      </c>
      <c r="N43" s="1">
        <v>120</v>
      </c>
      <c r="O43" s="1">
        <v>316.73200000000008</v>
      </c>
      <c r="P43" s="1">
        <v>125.1</v>
      </c>
      <c r="Q43" s="1">
        <v>0</v>
      </c>
      <c r="R43" s="1">
        <f>IFERROR(VLOOKUP(A43,[1]Sheet!$A:$D,4,0),0)</f>
        <v>85</v>
      </c>
      <c r="S43" s="1">
        <f t="shared" si="4"/>
        <v>65.8</v>
      </c>
      <c r="T43" s="5"/>
      <c r="U43" s="5"/>
      <c r="V43" s="1"/>
      <c r="W43" s="1"/>
      <c r="X43" s="1">
        <f t="shared" si="5"/>
        <v>14.374346504559274</v>
      </c>
      <c r="Y43" s="1">
        <f t="shared" si="6"/>
        <v>14.374346504559274</v>
      </c>
      <c r="Z43" s="1">
        <v>84.6</v>
      </c>
      <c r="AA43" s="1">
        <v>83.4</v>
      </c>
      <c r="AB43" s="1">
        <v>83.6</v>
      </c>
      <c r="AC43" s="1">
        <v>60.2</v>
      </c>
      <c r="AD43" s="1">
        <v>56.2</v>
      </c>
      <c r="AE43" s="1">
        <v>79</v>
      </c>
      <c r="AF43" s="1">
        <v>83.2</v>
      </c>
      <c r="AG43" s="1">
        <v>71.400000000000006</v>
      </c>
      <c r="AH43" s="1" t="s">
        <v>45</v>
      </c>
      <c r="AI43" s="1">
        <f t="shared" si="12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87</v>
      </c>
      <c r="B44" s="1" t="s">
        <v>37</v>
      </c>
      <c r="C44" s="1">
        <v>-0.70599999999999996</v>
      </c>
      <c r="D44" s="1">
        <v>174.10499999999999</v>
      </c>
      <c r="E44" s="1">
        <v>131.98400000000001</v>
      </c>
      <c r="F44" s="1">
        <v>0.78200000000000003</v>
      </c>
      <c r="G44" s="8">
        <v>1</v>
      </c>
      <c r="H44" s="1">
        <v>40</v>
      </c>
      <c r="I44" s="1" t="s">
        <v>40</v>
      </c>
      <c r="J44" s="1"/>
      <c r="K44" s="1">
        <v>179.00399999999999</v>
      </c>
      <c r="L44" s="1">
        <f t="shared" si="13"/>
        <v>-47.019999999999982</v>
      </c>
      <c r="M44" s="1">
        <f t="shared" si="3"/>
        <v>93.080000000000013</v>
      </c>
      <c r="N44" s="1">
        <v>38.904000000000003</v>
      </c>
      <c r="O44" s="1">
        <v>95.665800000000033</v>
      </c>
      <c r="P44" s="1"/>
      <c r="Q44" s="1">
        <v>26.726800000000011</v>
      </c>
      <c r="R44" s="1">
        <f>IFERROR(VLOOKUP(A44,[1]Sheet!$A:$D,4,0),0)</f>
        <v>0</v>
      </c>
      <c r="S44" s="1">
        <f t="shared" si="4"/>
        <v>18.616000000000003</v>
      </c>
      <c r="T44" s="5">
        <f t="shared" si="11"/>
        <v>100.2174</v>
      </c>
      <c r="U44" s="5"/>
      <c r="V44" s="1"/>
      <c r="W44" s="1"/>
      <c r="X44" s="1">
        <f t="shared" si="5"/>
        <v>12</v>
      </c>
      <c r="Y44" s="1">
        <f t="shared" si="6"/>
        <v>6.6165986248388498</v>
      </c>
      <c r="Z44" s="1">
        <v>17.1266</v>
      </c>
      <c r="AA44" s="1">
        <v>18.4694</v>
      </c>
      <c r="AB44" s="1">
        <v>16.678000000000001</v>
      </c>
      <c r="AC44" s="1">
        <v>14.911199999999999</v>
      </c>
      <c r="AD44" s="1">
        <v>12.282999999999999</v>
      </c>
      <c r="AE44" s="1">
        <v>12.53</v>
      </c>
      <c r="AF44" s="1">
        <v>11.486800000000001</v>
      </c>
      <c r="AG44" s="1">
        <v>13.9436</v>
      </c>
      <c r="AH44" s="1"/>
      <c r="AI44" s="1">
        <f t="shared" si="12"/>
        <v>100.2174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88</v>
      </c>
      <c r="B45" s="1" t="s">
        <v>44</v>
      </c>
      <c r="C45" s="1">
        <v>585</v>
      </c>
      <c r="D45" s="1">
        <v>357</v>
      </c>
      <c r="E45" s="1">
        <v>556</v>
      </c>
      <c r="F45" s="1">
        <v>326</v>
      </c>
      <c r="G45" s="8">
        <v>0.35</v>
      </c>
      <c r="H45" s="1">
        <v>40</v>
      </c>
      <c r="I45" s="1" t="s">
        <v>40</v>
      </c>
      <c r="J45" s="1"/>
      <c r="K45" s="1">
        <v>625</v>
      </c>
      <c r="L45" s="1">
        <f t="shared" si="13"/>
        <v>-69</v>
      </c>
      <c r="M45" s="1">
        <f t="shared" si="3"/>
        <v>508</v>
      </c>
      <c r="N45" s="1">
        <v>48</v>
      </c>
      <c r="O45" s="1">
        <v>279.52999999999997</v>
      </c>
      <c r="P45" s="1"/>
      <c r="Q45" s="1">
        <v>344.67000000000007</v>
      </c>
      <c r="R45" s="1">
        <f>IFERROR(VLOOKUP(A45,[1]Sheet!$A:$D,4,0),0)</f>
        <v>0</v>
      </c>
      <c r="S45" s="1">
        <f t="shared" si="4"/>
        <v>101.6</v>
      </c>
      <c r="T45" s="5">
        <f t="shared" si="11"/>
        <v>268.99999999999977</v>
      </c>
      <c r="U45" s="5"/>
      <c r="V45" s="1"/>
      <c r="W45" s="1"/>
      <c r="X45" s="1">
        <f t="shared" si="5"/>
        <v>11.999999999999998</v>
      </c>
      <c r="Y45" s="1">
        <f t="shared" si="6"/>
        <v>9.352362204724411</v>
      </c>
      <c r="Z45" s="1">
        <v>104.2</v>
      </c>
      <c r="AA45" s="1">
        <v>94</v>
      </c>
      <c r="AB45" s="1">
        <v>97</v>
      </c>
      <c r="AC45" s="1">
        <v>112.2</v>
      </c>
      <c r="AD45" s="1">
        <v>107.8</v>
      </c>
      <c r="AE45" s="1">
        <v>91.8</v>
      </c>
      <c r="AF45" s="1">
        <v>83.4</v>
      </c>
      <c r="AG45" s="1">
        <v>87</v>
      </c>
      <c r="AH45" s="1" t="s">
        <v>51</v>
      </c>
      <c r="AI45" s="1">
        <f t="shared" si="12"/>
        <v>94.14999999999992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89</v>
      </c>
      <c r="B46" s="1" t="s">
        <v>44</v>
      </c>
      <c r="C46" s="1">
        <v>280</v>
      </c>
      <c r="D46" s="1">
        <v>286</v>
      </c>
      <c r="E46" s="1">
        <v>359</v>
      </c>
      <c r="F46" s="1">
        <v>169</v>
      </c>
      <c r="G46" s="8">
        <v>0.4</v>
      </c>
      <c r="H46" s="1">
        <v>40</v>
      </c>
      <c r="I46" s="1" t="s">
        <v>40</v>
      </c>
      <c r="J46" s="1"/>
      <c r="K46" s="1">
        <v>398</v>
      </c>
      <c r="L46" s="1">
        <f t="shared" si="13"/>
        <v>-39</v>
      </c>
      <c r="M46" s="1">
        <f t="shared" si="3"/>
        <v>359</v>
      </c>
      <c r="N46" s="1"/>
      <c r="O46" s="1">
        <v>342.45999999999981</v>
      </c>
      <c r="P46" s="1"/>
      <c r="Q46" s="1">
        <v>213.94000000000031</v>
      </c>
      <c r="R46" s="1">
        <f>IFERROR(VLOOKUP(A46,[1]Sheet!$A:$D,4,0),0)</f>
        <v>0</v>
      </c>
      <c r="S46" s="1">
        <f t="shared" si="4"/>
        <v>71.8</v>
      </c>
      <c r="T46" s="5">
        <f t="shared" si="11"/>
        <v>136.19999999999982</v>
      </c>
      <c r="U46" s="5"/>
      <c r="V46" s="1"/>
      <c r="W46" s="1"/>
      <c r="X46" s="1">
        <f t="shared" si="5"/>
        <v>12</v>
      </c>
      <c r="Y46" s="1">
        <f t="shared" si="6"/>
        <v>10.103064066852369</v>
      </c>
      <c r="Z46" s="1">
        <v>79.400000000000006</v>
      </c>
      <c r="AA46" s="1">
        <v>71.8</v>
      </c>
      <c r="AB46" s="1">
        <v>63.2</v>
      </c>
      <c r="AC46" s="1">
        <v>77.400000000000006</v>
      </c>
      <c r="AD46" s="1">
        <v>71.8</v>
      </c>
      <c r="AE46" s="1">
        <v>59.6</v>
      </c>
      <c r="AF46" s="1">
        <v>60.2</v>
      </c>
      <c r="AG46" s="1">
        <v>71.400000000000006</v>
      </c>
      <c r="AH46" s="1" t="s">
        <v>45</v>
      </c>
      <c r="AI46" s="1">
        <f t="shared" si="12"/>
        <v>54.479999999999933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90</v>
      </c>
      <c r="B47" s="1" t="s">
        <v>37</v>
      </c>
      <c r="C47" s="1">
        <v>12.14</v>
      </c>
      <c r="D47" s="1">
        <v>90.037999999999997</v>
      </c>
      <c r="E47" s="1">
        <v>75.834000000000003</v>
      </c>
      <c r="F47" s="1">
        <v>21.914999999999999</v>
      </c>
      <c r="G47" s="8">
        <v>1</v>
      </c>
      <c r="H47" s="1">
        <v>50</v>
      </c>
      <c r="I47" s="1" t="s">
        <v>40</v>
      </c>
      <c r="J47" s="1"/>
      <c r="K47" s="1">
        <v>91.18</v>
      </c>
      <c r="L47" s="1">
        <f t="shared" si="13"/>
        <v>-15.346000000000004</v>
      </c>
      <c r="M47" s="1">
        <f t="shared" si="3"/>
        <v>73.153999999999996</v>
      </c>
      <c r="N47" s="1">
        <v>2.68</v>
      </c>
      <c r="O47" s="1">
        <v>86.090799999999987</v>
      </c>
      <c r="P47" s="1"/>
      <c r="Q47" s="1">
        <v>58.155599999999993</v>
      </c>
      <c r="R47" s="1">
        <f>IFERROR(VLOOKUP(A47,[1]Sheet!$A:$D,4,0),0)</f>
        <v>0</v>
      </c>
      <c r="S47" s="1">
        <f t="shared" si="4"/>
        <v>14.630799999999999</v>
      </c>
      <c r="T47" s="5">
        <f t="shared" si="11"/>
        <v>9.4082000000000008</v>
      </c>
      <c r="U47" s="5"/>
      <c r="V47" s="1"/>
      <c r="W47" s="1"/>
      <c r="X47" s="1">
        <f t="shared" si="5"/>
        <v>12</v>
      </c>
      <c r="Y47" s="1">
        <f t="shared" si="6"/>
        <v>11.356959291357956</v>
      </c>
      <c r="Z47" s="1">
        <v>17.389399999999998</v>
      </c>
      <c r="AA47" s="1">
        <v>14.558400000000001</v>
      </c>
      <c r="AB47" s="1">
        <v>12.037000000000001</v>
      </c>
      <c r="AC47" s="1">
        <v>15.0456</v>
      </c>
      <c r="AD47" s="1">
        <v>13.2912</v>
      </c>
      <c r="AE47" s="1">
        <v>16.248999999999999</v>
      </c>
      <c r="AF47" s="1">
        <v>25.131799999999998</v>
      </c>
      <c r="AG47" s="1">
        <v>23.292999999999999</v>
      </c>
      <c r="AH47" s="1"/>
      <c r="AI47" s="1">
        <f t="shared" si="12"/>
        <v>9.4082000000000008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91</v>
      </c>
      <c r="B48" s="1" t="s">
        <v>37</v>
      </c>
      <c r="C48" s="1">
        <v>89.69</v>
      </c>
      <c r="D48" s="1">
        <v>384.77</v>
      </c>
      <c r="E48" s="1">
        <v>357.291</v>
      </c>
      <c r="F48" s="1">
        <v>-19.89</v>
      </c>
      <c r="G48" s="8">
        <v>1</v>
      </c>
      <c r="H48" s="1">
        <v>50</v>
      </c>
      <c r="I48" s="1" t="s">
        <v>40</v>
      </c>
      <c r="J48" s="1"/>
      <c r="K48" s="1">
        <v>467.65199999999999</v>
      </c>
      <c r="L48" s="1">
        <f t="shared" si="13"/>
        <v>-110.36099999999999</v>
      </c>
      <c r="M48" s="1">
        <f t="shared" si="3"/>
        <v>268.13900000000001</v>
      </c>
      <c r="N48" s="1">
        <v>89.152000000000001</v>
      </c>
      <c r="O48" s="1">
        <v>736.81227600000022</v>
      </c>
      <c r="P48" s="1"/>
      <c r="Q48" s="1">
        <v>85.916403999999659</v>
      </c>
      <c r="R48" s="1">
        <f>IFERROR(VLOOKUP(A48,[1]Sheet!$A:$D,4,0),0)</f>
        <v>0</v>
      </c>
      <c r="S48" s="1">
        <f t="shared" si="4"/>
        <v>53.627800000000001</v>
      </c>
      <c r="T48" s="5"/>
      <c r="U48" s="5"/>
      <c r="V48" s="1"/>
      <c r="W48" s="1"/>
      <c r="X48" s="1">
        <f t="shared" si="5"/>
        <v>14.970568995931211</v>
      </c>
      <c r="Y48" s="1">
        <f t="shared" si="6"/>
        <v>14.970568995931211</v>
      </c>
      <c r="Z48" s="1">
        <v>76.497199999999992</v>
      </c>
      <c r="AA48" s="1">
        <v>104.42659999999999</v>
      </c>
      <c r="AB48" s="1">
        <v>57.78779999999999</v>
      </c>
      <c r="AC48" s="1">
        <v>78.423999999999992</v>
      </c>
      <c r="AD48" s="1">
        <v>81.393799999999985</v>
      </c>
      <c r="AE48" s="1">
        <v>71.273999999999987</v>
      </c>
      <c r="AF48" s="1">
        <v>95.15</v>
      </c>
      <c r="AG48" s="1">
        <v>105.3668</v>
      </c>
      <c r="AH48" s="1"/>
      <c r="AI48" s="1">
        <f t="shared" si="12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6" t="s">
        <v>92</v>
      </c>
      <c r="B49" s="16" t="s">
        <v>37</v>
      </c>
      <c r="C49" s="16"/>
      <c r="D49" s="16"/>
      <c r="E49" s="16"/>
      <c r="F49" s="16"/>
      <c r="G49" s="17">
        <v>0</v>
      </c>
      <c r="H49" s="16">
        <v>40</v>
      </c>
      <c r="I49" s="16" t="s">
        <v>40</v>
      </c>
      <c r="J49" s="16"/>
      <c r="K49" s="16"/>
      <c r="L49" s="16">
        <f t="shared" si="13"/>
        <v>0</v>
      </c>
      <c r="M49" s="16">
        <f t="shared" si="3"/>
        <v>0</v>
      </c>
      <c r="N49" s="16"/>
      <c r="O49" s="16">
        <v>0</v>
      </c>
      <c r="P49" s="16"/>
      <c r="Q49" s="16">
        <v>0</v>
      </c>
      <c r="R49" s="16">
        <f>IFERROR(VLOOKUP(A49,[1]Sheet!$A:$D,4,0),0)</f>
        <v>0</v>
      </c>
      <c r="S49" s="16">
        <f t="shared" si="4"/>
        <v>0</v>
      </c>
      <c r="T49" s="18"/>
      <c r="U49" s="18"/>
      <c r="V49" s="16"/>
      <c r="W49" s="16"/>
      <c r="X49" s="16" t="e">
        <f t="shared" si="5"/>
        <v>#DIV/0!</v>
      </c>
      <c r="Y49" s="16" t="e">
        <f t="shared" si="6"/>
        <v>#DIV/0!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 t="s">
        <v>57</v>
      </c>
      <c r="AI49" s="16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93</v>
      </c>
      <c r="B50" s="1" t="s">
        <v>44</v>
      </c>
      <c r="C50" s="1">
        <v>64</v>
      </c>
      <c r="D50" s="1">
        <v>300</v>
      </c>
      <c r="E50" s="1">
        <v>189</v>
      </c>
      <c r="F50" s="1">
        <v>22</v>
      </c>
      <c r="G50" s="8">
        <v>0.45</v>
      </c>
      <c r="H50" s="1">
        <v>50</v>
      </c>
      <c r="I50" s="1" t="s">
        <v>40</v>
      </c>
      <c r="J50" s="1"/>
      <c r="K50" s="1">
        <v>233</v>
      </c>
      <c r="L50" s="1">
        <f t="shared" si="13"/>
        <v>-44</v>
      </c>
      <c r="M50" s="1">
        <f t="shared" si="3"/>
        <v>149</v>
      </c>
      <c r="N50" s="1">
        <v>40</v>
      </c>
      <c r="O50" s="1">
        <v>247.8</v>
      </c>
      <c r="P50" s="1"/>
      <c r="Q50" s="1">
        <v>26.199999999999989</v>
      </c>
      <c r="R50" s="1">
        <f>IFERROR(VLOOKUP(A50,[1]Sheet!$A:$D,4,0),0)</f>
        <v>0</v>
      </c>
      <c r="S50" s="1">
        <f t="shared" si="4"/>
        <v>29.8</v>
      </c>
      <c r="T50" s="5">
        <f t="shared" ref="T50:T67" si="14">12*S50-Q50-P50-O50-F50</f>
        <v>61.600000000000023</v>
      </c>
      <c r="U50" s="5"/>
      <c r="V50" s="1"/>
      <c r="W50" s="1"/>
      <c r="X50" s="1">
        <f t="shared" si="5"/>
        <v>12</v>
      </c>
      <c r="Y50" s="1">
        <f t="shared" si="6"/>
        <v>9.9328859060402674</v>
      </c>
      <c r="Z50" s="1">
        <v>33</v>
      </c>
      <c r="AA50" s="1">
        <v>38.4</v>
      </c>
      <c r="AB50" s="1">
        <v>29</v>
      </c>
      <c r="AC50" s="1">
        <v>27.8</v>
      </c>
      <c r="AD50" s="1">
        <v>30.4</v>
      </c>
      <c r="AE50" s="1">
        <v>28.4</v>
      </c>
      <c r="AF50" s="1">
        <v>31.6</v>
      </c>
      <c r="AG50" s="1">
        <v>38</v>
      </c>
      <c r="AH50" s="1" t="s">
        <v>45</v>
      </c>
      <c r="AI50" s="1">
        <f t="shared" ref="AI50:AI67" si="15">G50*T50</f>
        <v>27.72000000000001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94</v>
      </c>
      <c r="B51" s="1" t="s">
        <v>44</v>
      </c>
      <c r="C51" s="1">
        <v>40</v>
      </c>
      <c r="D51" s="1">
        <v>108</v>
      </c>
      <c r="E51" s="1">
        <v>56</v>
      </c>
      <c r="F51" s="1">
        <v>90</v>
      </c>
      <c r="G51" s="8">
        <v>0.4</v>
      </c>
      <c r="H51" s="1">
        <v>40</v>
      </c>
      <c r="I51" s="1" t="s">
        <v>40</v>
      </c>
      <c r="J51" s="1"/>
      <c r="K51" s="1">
        <v>58</v>
      </c>
      <c r="L51" s="1">
        <f t="shared" si="13"/>
        <v>-2</v>
      </c>
      <c r="M51" s="1">
        <f t="shared" si="3"/>
        <v>56</v>
      </c>
      <c r="N51" s="1"/>
      <c r="O51" s="1">
        <v>0</v>
      </c>
      <c r="P51" s="1"/>
      <c r="Q51" s="1">
        <v>0</v>
      </c>
      <c r="R51" s="1">
        <f>IFERROR(VLOOKUP(A51,[1]Sheet!$A:$D,4,0),0)</f>
        <v>0</v>
      </c>
      <c r="S51" s="1">
        <f t="shared" si="4"/>
        <v>11.2</v>
      </c>
      <c r="T51" s="5">
        <f t="shared" si="14"/>
        <v>44.399999999999977</v>
      </c>
      <c r="U51" s="5"/>
      <c r="V51" s="1"/>
      <c r="W51" s="1"/>
      <c r="X51" s="1">
        <f t="shared" si="5"/>
        <v>11.999999999999998</v>
      </c>
      <c r="Y51" s="1">
        <f t="shared" si="6"/>
        <v>8.0357142857142865</v>
      </c>
      <c r="Z51" s="1">
        <v>8.6</v>
      </c>
      <c r="AA51" s="1">
        <v>8.1999999999999993</v>
      </c>
      <c r="AB51" s="1">
        <v>14.6</v>
      </c>
      <c r="AC51" s="1">
        <v>15.4</v>
      </c>
      <c r="AD51" s="1">
        <v>11.6</v>
      </c>
      <c r="AE51" s="1">
        <v>9.6</v>
      </c>
      <c r="AF51" s="1">
        <v>7</v>
      </c>
      <c r="AG51" s="1">
        <v>11.2</v>
      </c>
      <c r="AH51" s="1"/>
      <c r="AI51" s="1">
        <f t="shared" si="15"/>
        <v>17.759999999999991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95</v>
      </c>
      <c r="B52" s="1" t="s">
        <v>44</v>
      </c>
      <c r="C52" s="1">
        <v>37</v>
      </c>
      <c r="D52" s="1">
        <v>168</v>
      </c>
      <c r="E52" s="1">
        <v>119</v>
      </c>
      <c r="F52" s="1">
        <v>84</v>
      </c>
      <c r="G52" s="8">
        <v>0.4</v>
      </c>
      <c r="H52" s="1">
        <v>40</v>
      </c>
      <c r="I52" s="1" t="s">
        <v>40</v>
      </c>
      <c r="J52" s="1"/>
      <c r="K52" s="1">
        <v>121</v>
      </c>
      <c r="L52" s="1">
        <f t="shared" si="13"/>
        <v>-2</v>
      </c>
      <c r="M52" s="1">
        <f t="shared" si="3"/>
        <v>119</v>
      </c>
      <c r="N52" s="1"/>
      <c r="O52" s="1">
        <v>0</v>
      </c>
      <c r="P52" s="1"/>
      <c r="Q52" s="1">
        <v>88.399999999999977</v>
      </c>
      <c r="R52" s="1">
        <f>IFERROR(VLOOKUP(A52,[1]Sheet!$A:$D,4,0),0)</f>
        <v>0</v>
      </c>
      <c r="S52" s="1">
        <f t="shared" si="4"/>
        <v>23.8</v>
      </c>
      <c r="T52" s="5">
        <f t="shared" si="14"/>
        <v>113.20000000000005</v>
      </c>
      <c r="U52" s="5"/>
      <c r="V52" s="1"/>
      <c r="W52" s="1"/>
      <c r="X52" s="1">
        <f t="shared" si="5"/>
        <v>12</v>
      </c>
      <c r="Y52" s="1">
        <f t="shared" si="6"/>
        <v>7.2436974789915958</v>
      </c>
      <c r="Z52" s="1">
        <v>20.399999999999999</v>
      </c>
      <c r="AA52" s="1">
        <v>9.6</v>
      </c>
      <c r="AB52" s="1">
        <v>17.399999999999999</v>
      </c>
      <c r="AC52" s="1">
        <v>22.8</v>
      </c>
      <c r="AD52" s="1">
        <v>13</v>
      </c>
      <c r="AE52" s="1">
        <v>9.4</v>
      </c>
      <c r="AF52" s="1">
        <v>7.2</v>
      </c>
      <c r="AG52" s="1">
        <v>11.4</v>
      </c>
      <c r="AH52" s="1" t="s">
        <v>96</v>
      </c>
      <c r="AI52" s="1">
        <f t="shared" si="15"/>
        <v>45.280000000000022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97</v>
      </c>
      <c r="B53" s="1" t="s">
        <v>37</v>
      </c>
      <c r="C53" s="1">
        <v>103.711</v>
      </c>
      <c r="D53" s="1">
        <v>207.07499999999999</v>
      </c>
      <c r="E53" s="1">
        <v>205.75899999999999</v>
      </c>
      <c r="F53" s="1">
        <v>-7.758</v>
      </c>
      <c r="G53" s="8">
        <v>1</v>
      </c>
      <c r="H53" s="1">
        <v>50</v>
      </c>
      <c r="I53" s="1" t="s">
        <v>40</v>
      </c>
      <c r="J53" s="1"/>
      <c r="K53" s="1">
        <v>286.96499999999997</v>
      </c>
      <c r="L53" s="1">
        <f t="shared" si="13"/>
        <v>-81.205999999999989</v>
      </c>
      <c r="M53" s="1">
        <f t="shared" si="3"/>
        <v>117.49399999999999</v>
      </c>
      <c r="N53" s="1">
        <v>88.265000000000001</v>
      </c>
      <c r="O53" s="1">
        <v>210.94180000000009</v>
      </c>
      <c r="P53" s="1"/>
      <c r="Q53" s="1">
        <v>253.89539999999991</v>
      </c>
      <c r="R53" s="1">
        <f>IFERROR(VLOOKUP(A53,[1]Sheet!$A:$D,4,0),0)</f>
        <v>0</v>
      </c>
      <c r="S53" s="1">
        <f t="shared" si="4"/>
        <v>23.498799999999996</v>
      </c>
      <c r="T53" s="5"/>
      <c r="U53" s="5"/>
      <c r="V53" s="1"/>
      <c r="W53" s="1"/>
      <c r="X53" s="1">
        <f t="shared" si="5"/>
        <v>19.45117197473914</v>
      </c>
      <c r="Y53" s="1">
        <f t="shared" si="6"/>
        <v>19.45117197473914</v>
      </c>
      <c r="Z53" s="1">
        <v>44.981200000000001</v>
      </c>
      <c r="AA53" s="1">
        <v>31.518799999999999</v>
      </c>
      <c r="AB53" s="1">
        <v>16.065999999999999</v>
      </c>
      <c r="AC53" s="1">
        <v>33.654400000000003</v>
      </c>
      <c r="AD53" s="1">
        <v>35.505600000000001</v>
      </c>
      <c r="AE53" s="1">
        <v>26.068000000000001</v>
      </c>
      <c r="AF53" s="1">
        <v>35.746400000000001</v>
      </c>
      <c r="AG53" s="1">
        <v>27.843800000000002</v>
      </c>
      <c r="AH53" s="1"/>
      <c r="AI53" s="1">
        <f t="shared" si="15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98</v>
      </c>
      <c r="B54" s="1" t="s">
        <v>44</v>
      </c>
      <c r="C54" s="1">
        <v>200</v>
      </c>
      <c r="D54" s="1">
        <v>42</v>
      </c>
      <c r="E54" s="1">
        <v>126</v>
      </c>
      <c r="F54" s="1">
        <v>114</v>
      </c>
      <c r="G54" s="8">
        <v>0.1</v>
      </c>
      <c r="H54" s="1">
        <v>730</v>
      </c>
      <c r="I54" s="1" t="s">
        <v>40</v>
      </c>
      <c r="J54" s="1"/>
      <c r="K54" s="1">
        <v>126</v>
      </c>
      <c r="L54" s="1">
        <f t="shared" si="13"/>
        <v>0</v>
      </c>
      <c r="M54" s="1">
        <f t="shared" si="3"/>
        <v>126</v>
      </c>
      <c r="N54" s="1"/>
      <c r="O54" s="1">
        <v>24.799999999999951</v>
      </c>
      <c r="P54" s="1"/>
      <c r="Q54" s="1">
        <v>77.200000000000045</v>
      </c>
      <c r="R54" s="1">
        <f>IFERROR(VLOOKUP(A54,[1]Sheet!$A:$D,4,0),0)</f>
        <v>0</v>
      </c>
      <c r="S54" s="1">
        <f t="shared" si="4"/>
        <v>25.2</v>
      </c>
      <c r="T54" s="5">
        <f t="shared" si="14"/>
        <v>86.399999999999977</v>
      </c>
      <c r="U54" s="5"/>
      <c r="V54" s="1"/>
      <c r="W54" s="1"/>
      <c r="X54" s="1">
        <f t="shared" si="5"/>
        <v>12</v>
      </c>
      <c r="Y54" s="1">
        <f t="shared" si="6"/>
        <v>8.5714285714285712</v>
      </c>
      <c r="Z54" s="1">
        <v>24</v>
      </c>
      <c r="AA54" s="1">
        <v>21.4</v>
      </c>
      <c r="AB54" s="1">
        <v>25</v>
      </c>
      <c r="AC54" s="1">
        <v>29</v>
      </c>
      <c r="AD54" s="1">
        <v>33.6</v>
      </c>
      <c r="AE54" s="1">
        <v>36.200000000000003</v>
      </c>
      <c r="AF54" s="1">
        <v>34</v>
      </c>
      <c r="AG54" s="1">
        <v>25.4</v>
      </c>
      <c r="AH54" s="1"/>
      <c r="AI54" s="1">
        <f t="shared" si="15"/>
        <v>8.6399999999999988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99</v>
      </c>
      <c r="B55" s="1" t="s">
        <v>37</v>
      </c>
      <c r="C55" s="1">
        <v>435.76</v>
      </c>
      <c r="D55" s="1">
        <v>592.96600000000001</v>
      </c>
      <c r="E55" s="1">
        <v>612.25099999999998</v>
      </c>
      <c r="F55" s="1">
        <v>178.04900000000001</v>
      </c>
      <c r="G55" s="8">
        <v>1</v>
      </c>
      <c r="H55" s="1">
        <v>50</v>
      </c>
      <c r="I55" s="1" t="s">
        <v>40</v>
      </c>
      <c r="J55" s="1"/>
      <c r="K55" s="1">
        <v>832.70399999999995</v>
      </c>
      <c r="L55" s="1">
        <f t="shared" si="13"/>
        <v>-220.45299999999997</v>
      </c>
      <c r="M55" s="1">
        <f t="shared" si="3"/>
        <v>429.90800000000002</v>
      </c>
      <c r="N55" s="1">
        <v>182.34299999999999</v>
      </c>
      <c r="O55" s="1">
        <v>197.30132</v>
      </c>
      <c r="P55" s="1">
        <v>116.8077</v>
      </c>
      <c r="Q55" s="1">
        <v>341.16279999999989</v>
      </c>
      <c r="R55" s="1">
        <f>IFERROR(VLOOKUP(A55,[1]Sheet!$A:$D,4,0),0)</f>
        <v>0</v>
      </c>
      <c r="S55" s="1">
        <f t="shared" si="4"/>
        <v>85.9816</v>
      </c>
      <c r="T55" s="5">
        <f t="shared" si="14"/>
        <v>198.45838000000012</v>
      </c>
      <c r="U55" s="5"/>
      <c r="V55" s="1"/>
      <c r="W55" s="1"/>
      <c r="X55" s="1">
        <f t="shared" si="5"/>
        <v>12</v>
      </c>
      <c r="Y55" s="1">
        <f t="shared" si="6"/>
        <v>9.6918505819849816</v>
      </c>
      <c r="Z55" s="1">
        <v>88.577799999999996</v>
      </c>
      <c r="AA55" s="1">
        <v>77.871799999999993</v>
      </c>
      <c r="AB55" s="1">
        <v>85.628999999999991</v>
      </c>
      <c r="AC55" s="1">
        <v>79.4756</v>
      </c>
      <c r="AD55" s="1">
        <v>96.695400000000006</v>
      </c>
      <c r="AE55" s="1">
        <v>119.4696</v>
      </c>
      <c r="AF55" s="1">
        <v>142.035</v>
      </c>
      <c r="AG55" s="1">
        <v>149.1806</v>
      </c>
      <c r="AH55" s="1"/>
      <c r="AI55" s="1">
        <f t="shared" si="15"/>
        <v>198.45838000000012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100</v>
      </c>
      <c r="B56" s="1" t="s">
        <v>37</v>
      </c>
      <c r="C56" s="1">
        <v>-1.7000000000000001E-2</v>
      </c>
      <c r="D56" s="1">
        <v>68.965999999999994</v>
      </c>
      <c r="E56" s="1">
        <v>35.148000000000003</v>
      </c>
      <c r="F56" s="1">
        <v>29.74</v>
      </c>
      <c r="G56" s="8">
        <v>1</v>
      </c>
      <c r="H56" s="1">
        <v>50</v>
      </c>
      <c r="I56" s="1" t="s">
        <v>40</v>
      </c>
      <c r="J56" s="1"/>
      <c r="K56" s="1">
        <v>37.695</v>
      </c>
      <c r="L56" s="1">
        <f t="shared" si="13"/>
        <v>-2.546999999999997</v>
      </c>
      <c r="M56" s="1">
        <f t="shared" si="3"/>
        <v>32.453000000000003</v>
      </c>
      <c r="N56" s="1">
        <v>2.6949999999999998</v>
      </c>
      <c r="O56" s="1">
        <v>0</v>
      </c>
      <c r="P56" s="1"/>
      <c r="Q56" s="1">
        <v>36.382199999999997</v>
      </c>
      <c r="R56" s="1">
        <f>IFERROR(VLOOKUP(A56,[1]Sheet!$A:$D,4,0),0)</f>
        <v>0</v>
      </c>
      <c r="S56" s="1">
        <f t="shared" si="4"/>
        <v>6.4906000000000006</v>
      </c>
      <c r="T56" s="5">
        <f t="shared" si="14"/>
        <v>11.765000000000011</v>
      </c>
      <c r="U56" s="5"/>
      <c r="V56" s="1"/>
      <c r="W56" s="1"/>
      <c r="X56" s="1">
        <f t="shared" si="5"/>
        <v>12</v>
      </c>
      <c r="Y56" s="1">
        <f t="shared" si="6"/>
        <v>10.187378670693001</v>
      </c>
      <c r="Z56" s="1">
        <v>6.5042</v>
      </c>
      <c r="AA56" s="1">
        <v>2.1112000000000002</v>
      </c>
      <c r="AB56" s="1">
        <v>5.3954000000000004</v>
      </c>
      <c r="AC56" s="1">
        <v>6.2653999999999996</v>
      </c>
      <c r="AD56" s="1">
        <v>2.9667999999999979</v>
      </c>
      <c r="AE56" s="1">
        <v>4.0518000000000018</v>
      </c>
      <c r="AF56" s="1">
        <v>5.3885999999999994</v>
      </c>
      <c r="AG56" s="1">
        <v>6.200599999999997</v>
      </c>
      <c r="AH56" s="1" t="s">
        <v>101</v>
      </c>
      <c r="AI56" s="1">
        <f t="shared" si="15"/>
        <v>11.765000000000011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102</v>
      </c>
      <c r="B57" s="1" t="s">
        <v>44</v>
      </c>
      <c r="C57" s="1">
        <v>158</v>
      </c>
      <c r="D57" s="1">
        <v>142</v>
      </c>
      <c r="E57" s="1">
        <v>118</v>
      </c>
      <c r="F57" s="1">
        <v>180</v>
      </c>
      <c r="G57" s="8">
        <v>0.1</v>
      </c>
      <c r="H57" s="1">
        <v>730</v>
      </c>
      <c r="I57" s="1" t="s">
        <v>40</v>
      </c>
      <c r="J57" s="1"/>
      <c r="K57" s="1">
        <v>118</v>
      </c>
      <c r="L57" s="1">
        <f t="shared" si="13"/>
        <v>0</v>
      </c>
      <c r="M57" s="1">
        <f t="shared" si="3"/>
        <v>118</v>
      </c>
      <c r="N57" s="1"/>
      <c r="O57" s="1">
        <v>24</v>
      </c>
      <c r="P57" s="1"/>
      <c r="Q57" s="1">
        <v>0</v>
      </c>
      <c r="R57" s="1">
        <f>IFERROR(VLOOKUP(A57,[1]Sheet!$A:$D,4,0),0)</f>
        <v>0</v>
      </c>
      <c r="S57" s="1">
        <f t="shared" si="4"/>
        <v>23.6</v>
      </c>
      <c r="T57" s="5">
        <f t="shared" si="14"/>
        <v>79.200000000000045</v>
      </c>
      <c r="U57" s="5"/>
      <c r="V57" s="1"/>
      <c r="W57" s="1"/>
      <c r="X57" s="1">
        <f t="shared" si="5"/>
        <v>12.000000000000002</v>
      </c>
      <c r="Y57" s="1">
        <f t="shared" si="6"/>
        <v>8.6440677966101696</v>
      </c>
      <c r="Z57" s="1">
        <v>22.6</v>
      </c>
      <c r="AA57" s="1">
        <v>24.8</v>
      </c>
      <c r="AB57" s="1">
        <v>29.6</v>
      </c>
      <c r="AC57" s="1">
        <v>28.8</v>
      </c>
      <c r="AD57" s="1">
        <v>29.4</v>
      </c>
      <c r="AE57" s="1">
        <v>37.4</v>
      </c>
      <c r="AF57" s="1">
        <v>39.200000000000003</v>
      </c>
      <c r="AG57" s="1">
        <v>28.8</v>
      </c>
      <c r="AH57" s="1"/>
      <c r="AI57" s="1">
        <f t="shared" si="15"/>
        <v>7.9200000000000053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103</v>
      </c>
      <c r="B58" s="1" t="s">
        <v>44</v>
      </c>
      <c r="C58" s="1">
        <v>93</v>
      </c>
      <c r="D58" s="1">
        <v>280</v>
      </c>
      <c r="E58" s="1">
        <v>169</v>
      </c>
      <c r="F58" s="1">
        <v>134</v>
      </c>
      <c r="G58" s="8">
        <v>0.4</v>
      </c>
      <c r="H58" s="1">
        <v>50</v>
      </c>
      <c r="I58" s="1" t="s">
        <v>40</v>
      </c>
      <c r="J58" s="1"/>
      <c r="K58" s="1">
        <v>239</v>
      </c>
      <c r="L58" s="1">
        <f t="shared" si="13"/>
        <v>-70</v>
      </c>
      <c r="M58" s="1">
        <f t="shared" si="3"/>
        <v>169</v>
      </c>
      <c r="N58" s="1"/>
      <c r="O58" s="1">
        <v>0</v>
      </c>
      <c r="P58" s="1"/>
      <c r="Q58" s="1">
        <v>150</v>
      </c>
      <c r="R58" s="1">
        <f>IFERROR(VLOOKUP(A58,[1]Sheet!$A:$D,4,0),0)</f>
        <v>0</v>
      </c>
      <c r="S58" s="1">
        <f t="shared" si="4"/>
        <v>33.799999999999997</v>
      </c>
      <c r="T58" s="5">
        <f t="shared" si="14"/>
        <v>121.59999999999997</v>
      </c>
      <c r="U58" s="5"/>
      <c r="V58" s="1"/>
      <c r="W58" s="1"/>
      <c r="X58" s="1">
        <f t="shared" si="5"/>
        <v>12</v>
      </c>
      <c r="Y58" s="1">
        <f t="shared" si="6"/>
        <v>8.4023668639053266</v>
      </c>
      <c r="Z58" s="1">
        <v>30</v>
      </c>
      <c r="AA58" s="1">
        <v>18.8</v>
      </c>
      <c r="AB58" s="1">
        <v>30.8</v>
      </c>
      <c r="AC58" s="1">
        <v>26.8</v>
      </c>
      <c r="AD58" s="1">
        <v>22.2</v>
      </c>
      <c r="AE58" s="1">
        <v>17.2</v>
      </c>
      <c r="AF58" s="1">
        <v>18.2</v>
      </c>
      <c r="AG58" s="1">
        <v>20.2</v>
      </c>
      <c r="AH58" s="1"/>
      <c r="AI58" s="1">
        <f t="shared" si="15"/>
        <v>48.639999999999986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104</v>
      </c>
      <c r="B59" s="1" t="s">
        <v>37</v>
      </c>
      <c r="C59" s="1">
        <v>22.645</v>
      </c>
      <c r="D59" s="1">
        <v>1.375</v>
      </c>
      <c r="E59" s="1">
        <v>6.7450000000000001</v>
      </c>
      <c r="F59" s="1">
        <v>15.9</v>
      </c>
      <c r="G59" s="8">
        <v>1</v>
      </c>
      <c r="H59" s="1">
        <v>40</v>
      </c>
      <c r="I59" s="1" t="s">
        <v>40</v>
      </c>
      <c r="J59" s="1"/>
      <c r="K59" s="1">
        <v>36.6</v>
      </c>
      <c r="L59" s="1">
        <f t="shared" si="13"/>
        <v>-29.855</v>
      </c>
      <c r="M59" s="1">
        <f t="shared" si="3"/>
        <v>6.7450000000000001</v>
      </c>
      <c r="N59" s="1"/>
      <c r="O59" s="1">
        <v>44.244999999999997</v>
      </c>
      <c r="P59" s="1"/>
      <c r="Q59" s="1">
        <v>6.6890000000000107</v>
      </c>
      <c r="R59" s="1">
        <f>IFERROR(VLOOKUP(A59,[1]Sheet!$A:$D,4,0),0)</f>
        <v>0</v>
      </c>
      <c r="S59" s="1">
        <f t="shared" si="4"/>
        <v>1.349</v>
      </c>
      <c r="T59" s="5"/>
      <c r="U59" s="5"/>
      <c r="V59" s="1"/>
      <c r="W59" s="1"/>
      <c r="X59" s="1">
        <f t="shared" si="5"/>
        <v>49.543365455893259</v>
      </c>
      <c r="Y59" s="1">
        <f t="shared" si="6"/>
        <v>49.543365455893259</v>
      </c>
      <c r="Z59" s="1">
        <v>6.6890000000000001</v>
      </c>
      <c r="AA59" s="1">
        <v>6.6890000000000001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20" t="s">
        <v>153</v>
      </c>
      <c r="AI59" s="1">
        <f t="shared" si="15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105</v>
      </c>
      <c r="B60" s="1" t="s">
        <v>37</v>
      </c>
      <c r="C60" s="1">
        <v>33.100999999999999</v>
      </c>
      <c r="D60" s="1">
        <v>1.3740000000000001</v>
      </c>
      <c r="E60" s="1">
        <v>5.4930000000000003</v>
      </c>
      <c r="F60" s="1">
        <v>15.211</v>
      </c>
      <c r="G60" s="8">
        <v>1</v>
      </c>
      <c r="H60" s="1">
        <v>40</v>
      </c>
      <c r="I60" s="1" t="s">
        <v>40</v>
      </c>
      <c r="J60" s="1"/>
      <c r="K60" s="1">
        <v>35.200000000000003</v>
      </c>
      <c r="L60" s="1">
        <f t="shared" si="13"/>
        <v>-29.707000000000001</v>
      </c>
      <c r="M60" s="1">
        <f t="shared" si="3"/>
        <v>5.4930000000000003</v>
      </c>
      <c r="N60" s="1"/>
      <c r="O60" s="1">
        <v>26.6158</v>
      </c>
      <c r="P60" s="1"/>
      <c r="Q60" s="1">
        <v>0</v>
      </c>
      <c r="R60" s="1">
        <f>IFERROR(VLOOKUP(A60,[1]Sheet!$A:$D,4,0),0)</f>
        <v>0</v>
      </c>
      <c r="S60" s="1">
        <f t="shared" si="4"/>
        <v>1.0986</v>
      </c>
      <c r="T60" s="5"/>
      <c r="U60" s="5"/>
      <c r="V60" s="1"/>
      <c r="W60" s="1"/>
      <c r="X60" s="1">
        <f t="shared" si="5"/>
        <v>38.072819952667032</v>
      </c>
      <c r="Y60" s="1">
        <f t="shared" si="6"/>
        <v>38.072819952667032</v>
      </c>
      <c r="Z60" s="1">
        <v>5.2514000000000003</v>
      </c>
      <c r="AA60" s="1">
        <v>4.9763999999999999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20" t="s">
        <v>153</v>
      </c>
      <c r="AI60" s="1">
        <f t="shared" si="15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106</v>
      </c>
      <c r="B61" s="1" t="s">
        <v>44</v>
      </c>
      <c r="C61" s="1">
        <v>322</v>
      </c>
      <c r="D61" s="1">
        <v>810</v>
      </c>
      <c r="E61" s="1">
        <v>811</v>
      </c>
      <c r="F61" s="1">
        <v>56</v>
      </c>
      <c r="G61" s="8">
        <v>0.4</v>
      </c>
      <c r="H61" s="1">
        <v>40</v>
      </c>
      <c r="I61" s="1" t="s">
        <v>40</v>
      </c>
      <c r="J61" s="1"/>
      <c r="K61" s="1">
        <v>1027</v>
      </c>
      <c r="L61" s="1">
        <f t="shared" si="13"/>
        <v>-216</v>
      </c>
      <c r="M61" s="1">
        <f t="shared" si="3"/>
        <v>589</v>
      </c>
      <c r="N61" s="1">
        <v>222</v>
      </c>
      <c r="O61" s="1">
        <v>717</v>
      </c>
      <c r="P61" s="1"/>
      <c r="Q61" s="1">
        <v>359.59999999999991</v>
      </c>
      <c r="R61" s="1">
        <f>IFERROR(VLOOKUP(A61,[1]Sheet!$A:$D,4,0),0)</f>
        <v>0</v>
      </c>
      <c r="S61" s="1">
        <f t="shared" si="4"/>
        <v>117.8</v>
      </c>
      <c r="T61" s="5">
        <f t="shared" si="14"/>
        <v>281</v>
      </c>
      <c r="U61" s="5"/>
      <c r="V61" s="1"/>
      <c r="W61" s="1"/>
      <c r="X61" s="1">
        <f t="shared" si="5"/>
        <v>12</v>
      </c>
      <c r="Y61" s="1">
        <f t="shared" si="6"/>
        <v>9.6146010186757209</v>
      </c>
      <c r="Z61" s="1">
        <v>125.6</v>
      </c>
      <c r="AA61" s="1">
        <v>123</v>
      </c>
      <c r="AB61" s="1">
        <v>112</v>
      </c>
      <c r="AC61" s="1">
        <v>134</v>
      </c>
      <c r="AD61" s="1">
        <v>132.80000000000001</v>
      </c>
      <c r="AE61" s="1">
        <v>127</v>
      </c>
      <c r="AF61" s="1">
        <v>178.2</v>
      </c>
      <c r="AG61" s="1">
        <v>178.2</v>
      </c>
      <c r="AH61" s="1"/>
      <c r="AI61" s="1">
        <f t="shared" si="15"/>
        <v>112.4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107</v>
      </c>
      <c r="B62" s="1" t="s">
        <v>44</v>
      </c>
      <c r="C62" s="1">
        <v>198</v>
      </c>
      <c r="D62" s="1">
        <v>550</v>
      </c>
      <c r="E62" s="1">
        <v>589</v>
      </c>
      <c r="F62" s="1">
        <v>4</v>
      </c>
      <c r="G62" s="8">
        <v>0.4</v>
      </c>
      <c r="H62" s="1">
        <v>40</v>
      </c>
      <c r="I62" s="1" t="s">
        <v>40</v>
      </c>
      <c r="J62" s="1"/>
      <c r="K62" s="1">
        <v>721</v>
      </c>
      <c r="L62" s="1">
        <f t="shared" si="13"/>
        <v>-132</v>
      </c>
      <c r="M62" s="1">
        <f t="shared" si="3"/>
        <v>445</v>
      </c>
      <c r="N62" s="1">
        <v>144</v>
      </c>
      <c r="O62" s="1">
        <v>648.40000000000009</v>
      </c>
      <c r="P62" s="1"/>
      <c r="Q62" s="1">
        <v>296.19999999999982</v>
      </c>
      <c r="R62" s="1">
        <f>IFERROR(VLOOKUP(A62,[1]Sheet!$A:$D,4,0),0)</f>
        <v>0</v>
      </c>
      <c r="S62" s="1">
        <f t="shared" si="4"/>
        <v>89</v>
      </c>
      <c r="T62" s="5">
        <f t="shared" si="14"/>
        <v>119.40000000000009</v>
      </c>
      <c r="U62" s="5"/>
      <c r="V62" s="1"/>
      <c r="W62" s="1"/>
      <c r="X62" s="1">
        <f t="shared" si="5"/>
        <v>12</v>
      </c>
      <c r="Y62" s="1">
        <f t="shared" si="6"/>
        <v>10.658426966292133</v>
      </c>
      <c r="Z62" s="1">
        <v>104.6</v>
      </c>
      <c r="AA62" s="1">
        <v>96.2</v>
      </c>
      <c r="AB62" s="1">
        <v>83</v>
      </c>
      <c r="AC62" s="1">
        <v>101.6</v>
      </c>
      <c r="AD62" s="1">
        <v>95</v>
      </c>
      <c r="AE62" s="1">
        <v>81.8</v>
      </c>
      <c r="AF62" s="1">
        <v>133.80000000000001</v>
      </c>
      <c r="AG62" s="1">
        <v>128.19999999999999</v>
      </c>
      <c r="AH62" s="1"/>
      <c r="AI62" s="1">
        <f t="shared" si="15"/>
        <v>47.760000000000041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108</v>
      </c>
      <c r="B63" s="1" t="s">
        <v>37</v>
      </c>
      <c r="C63" s="1">
        <v>295.916</v>
      </c>
      <c r="D63" s="1">
        <v>1466.9960000000001</v>
      </c>
      <c r="E63" s="1">
        <v>673.99</v>
      </c>
      <c r="F63" s="1">
        <v>406.11900000000003</v>
      </c>
      <c r="G63" s="8">
        <v>1</v>
      </c>
      <c r="H63" s="1">
        <v>40</v>
      </c>
      <c r="I63" s="1" t="s">
        <v>40</v>
      </c>
      <c r="J63" s="1"/>
      <c r="K63" s="1">
        <v>1053.242</v>
      </c>
      <c r="L63" s="1">
        <f t="shared" si="13"/>
        <v>-379.25199999999995</v>
      </c>
      <c r="M63" s="1">
        <f t="shared" si="3"/>
        <v>673.99</v>
      </c>
      <c r="N63" s="1"/>
      <c r="O63" s="1">
        <v>696.00799999999981</v>
      </c>
      <c r="P63" s="1"/>
      <c r="Q63" s="1">
        <v>262.40780000000001</v>
      </c>
      <c r="R63" s="1">
        <f>IFERROR(VLOOKUP(A63,[1]Sheet!$A:$D,4,0),0)</f>
        <v>0</v>
      </c>
      <c r="S63" s="1">
        <f t="shared" si="4"/>
        <v>134.798</v>
      </c>
      <c r="T63" s="5">
        <f t="shared" si="14"/>
        <v>253.04120000000023</v>
      </c>
      <c r="U63" s="5"/>
      <c r="V63" s="1"/>
      <c r="W63" s="1"/>
      <c r="X63" s="1">
        <f t="shared" si="5"/>
        <v>12</v>
      </c>
      <c r="Y63" s="1">
        <f t="shared" si="6"/>
        <v>10.122811911155951</v>
      </c>
      <c r="Z63" s="1">
        <v>142.23079999999999</v>
      </c>
      <c r="AA63" s="1">
        <v>134.5926</v>
      </c>
      <c r="AB63" s="1">
        <v>123.28319999999999</v>
      </c>
      <c r="AC63" s="1">
        <v>116.29859999999999</v>
      </c>
      <c r="AD63" s="1">
        <v>103.773</v>
      </c>
      <c r="AE63" s="1">
        <v>101.7516</v>
      </c>
      <c r="AF63" s="1">
        <v>95.836199999999991</v>
      </c>
      <c r="AG63" s="1">
        <v>127.2068</v>
      </c>
      <c r="AH63" s="1"/>
      <c r="AI63" s="1">
        <f t="shared" si="15"/>
        <v>253.04120000000023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109</v>
      </c>
      <c r="B64" s="1" t="s">
        <v>37</v>
      </c>
      <c r="C64" s="1">
        <v>0.73699999999999999</v>
      </c>
      <c r="D64" s="1">
        <v>656.24300000000005</v>
      </c>
      <c r="E64" s="1">
        <v>313.47000000000003</v>
      </c>
      <c r="F64" s="1">
        <v>199.32400000000001</v>
      </c>
      <c r="G64" s="8">
        <v>1</v>
      </c>
      <c r="H64" s="1">
        <v>40</v>
      </c>
      <c r="I64" s="1" t="s">
        <v>40</v>
      </c>
      <c r="J64" s="1"/>
      <c r="K64" s="1">
        <v>412.83600000000001</v>
      </c>
      <c r="L64" s="1">
        <f t="shared" si="13"/>
        <v>-99.365999999999985</v>
      </c>
      <c r="M64" s="1">
        <f t="shared" si="3"/>
        <v>194.63400000000001</v>
      </c>
      <c r="N64" s="1">
        <v>118.836</v>
      </c>
      <c r="O64" s="1">
        <v>0</v>
      </c>
      <c r="P64" s="1"/>
      <c r="Q64" s="1">
        <v>136.54300000000009</v>
      </c>
      <c r="R64" s="1">
        <f>IFERROR(VLOOKUP(A64,[1]Sheet!$A:$D,4,0),0)</f>
        <v>0</v>
      </c>
      <c r="S64" s="1">
        <f t="shared" si="4"/>
        <v>38.9268</v>
      </c>
      <c r="T64" s="5">
        <f t="shared" si="14"/>
        <v>131.25459999999993</v>
      </c>
      <c r="U64" s="5"/>
      <c r="V64" s="1"/>
      <c r="W64" s="1"/>
      <c r="X64" s="1">
        <f t="shared" si="5"/>
        <v>12</v>
      </c>
      <c r="Y64" s="1">
        <f t="shared" si="6"/>
        <v>8.6281687680466952</v>
      </c>
      <c r="Z64" s="1">
        <v>41.825000000000003</v>
      </c>
      <c r="AA64" s="1">
        <v>31.602799999999998</v>
      </c>
      <c r="AB64" s="1">
        <v>52.027199999999993</v>
      </c>
      <c r="AC64" s="1">
        <v>59.866200000000013</v>
      </c>
      <c r="AD64" s="1">
        <v>36.925400000000003</v>
      </c>
      <c r="AE64" s="1">
        <v>62.423400000000001</v>
      </c>
      <c r="AF64" s="1">
        <v>72.507599999999996</v>
      </c>
      <c r="AG64" s="1">
        <v>80.549800000000005</v>
      </c>
      <c r="AH64" s="1"/>
      <c r="AI64" s="1">
        <f t="shared" si="15"/>
        <v>131.25459999999993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110</v>
      </c>
      <c r="B65" s="1" t="s">
        <v>37</v>
      </c>
      <c r="C65" s="1">
        <v>41.51</v>
      </c>
      <c r="D65" s="1">
        <v>1164.951</v>
      </c>
      <c r="E65" s="1">
        <v>552.98400000000004</v>
      </c>
      <c r="F65" s="1">
        <v>289.83100000000002</v>
      </c>
      <c r="G65" s="8">
        <v>1</v>
      </c>
      <c r="H65" s="1">
        <v>40</v>
      </c>
      <c r="I65" s="1" t="s">
        <v>40</v>
      </c>
      <c r="J65" s="1"/>
      <c r="K65" s="1">
        <v>828.46600000000001</v>
      </c>
      <c r="L65" s="1">
        <f t="shared" si="13"/>
        <v>-275.48199999999997</v>
      </c>
      <c r="M65" s="1">
        <f t="shared" si="3"/>
        <v>303.35900000000004</v>
      </c>
      <c r="N65" s="1">
        <v>249.625</v>
      </c>
      <c r="O65" s="1">
        <v>155.1870000000001</v>
      </c>
      <c r="P65" s="1"/>
      <c r="Q65" s="1">
        <v>101.1404</v>
      </c>
      <c r="R65" s="1">
        <f>IFERROR(VLOOKUP(A65,[1]Sheet!$A:$D,4,0),0)</f>
        <v>0</v>
      </c>
      <c r="S65" s="1">
        <f t="shared" si="4"/>
        <v>60.671800000000005</v>
      </c>
      <c r="T65" s="5">
        <f t="shared" si="14"/>
        <v>181.90319999999986</v>
      </c>
      <c r="U65" s="5"/>
      <c r="V65" s="1"/>
      <c r="W65" s="1"/>
      <c r="X65" s="1">
        <f t="shared" si="5"/>
        <v>11.999999999999998</v>
      </c>
      <c r="Y65" s="1">
        <f t="shared" si="6"/>
        <v>9.0018492940707233</v>
      </c>
      <c r="Z65" s="1">
        <v>72.136400000000009</v>
      </c>
      <c r="AA65" s="1">
        <v>81.566000000000003</v>
      </c>
      <c r="AB65" s="1">
        <v>95.064999999999998</v>
      </c>
      <c r="AC65" s="1">
        <v>99.543599999999998</v>
      </c>
      <c r="AD65" s="1">
        <v>85.085399999999993</v>
      </c>
      <c r="AE65" s="1">
        <v>105.01519999999999</v>
      </c>
      <c r="AF65" s="1">
        <v>133.00880000000001</v>
      </c>
      <c r="AG65" s="1">
        <v>148.1208</v>
      </c>
      <c r="AH65" s="1"/>
      <c r="AI65" s="1">
        <f t="shared" si="15"/>
        <v>181.90319999999986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111</v>
      </c>
      <c r="B66" s="1" t="s">
        <v>37</v>
      </c>
      <c r="C66" s="1">
        <v>47.835999999999999</v>
      </c>
      <c r="D66" s="1">
        <v>39.466000000000001</v>
      </c>
      <c r="E66" s="1">
        <v>45.597000000000001</v>
      </c>
      <c r="F66" s="1">
        <v>39.491</v>
      </c>
      <c r="G66" s="8">
        <v>1</v>
      </c>
      <c r="H66" s="1">
        <v>30</v>
      </c>
      <c r="I66" s="1" t="s">
        <v>40</v>
      </c>
      <c r="J66" s="1"/>
      <c r="K66" s="1">
        <v>46.5</v>
      </c>
      <c r="L66" s="1">
        <f t="shared" si="13"/>
        <v>-0.90299999999999869</v>
      </c>
      <c r="M66" s="1">
        <f t="shared" si="3"/>
        <v>45.597000000000001</v>
      </c>
      <c r="N66" s="1"/>
      <c r="O66" s="1">
        <v>56.008400000000009</v>
      </c>
      <c r="P66" s="1"/>
      <c r="Q66" s="1">
        <v>0</v>
      </c>
      <c r="R66" s="1">
        <f>IFERROR(VLOOKUP(A66,[1]Sheet!$A:$D,4,0),0)</f>
        <v>0</v>
      </c>
      <c r="S66" s="1">
        <f t="shared" si="4"/>
        <v>9.1194000000000006</v>
      </c>
      <c r="T66" s="5">
        <f t="shared" si="14"/>
        <v>13.933400000000006</v>
      </c>
      <c r="U66" s="5"/>
      <c r="V66" s="1"/>
      <c r="W66" s="1"/>
      <c r="X66" s="1">
        <f t="shared" si="5"/>
        <v>12</v>
      </c>
      <c r="Y66" s="1">
        <f t="shared" si="6"/>
        <v>10.4721143934908</v>
      </c>
      <c r="Z66" s="1">
        <v>10.2104</v>
      </c>
      <c r="AA66" s="1">
        <v>11.2958</v>
      </c>
      <c r="AB66" s="1">
        <v>9.4171999999999993</v>
      </c>
      <c r="AC66" s="1">
        <v>8.4593999999999987</v>
      </c>
      <c r="AD66" s="1">
        <v>10.456</v>
      </c>
      <c r="AE66" s="1">
        <v>9.4792000000000005</v>
      </c>
      <c r="AF66" s="1">
        <v>7.7307999999999986</v>
      </c>
      <c r="AG66" s="1">
        <v>7.35</v>
      </c>
      <c r="AH66" s="1"/>
      <c r="AI66" s="1">
        <f t="shared" si="15"/>
        <v>13.933400000000006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112</v>
      </c>
      <c r="B67" s="1" t="s">
        <v>44</v>
      </c>
      <c r="C67" s="1">
        <v>67</v>
      </c>
      <c r="D67" s="1">
        <v>97</v>
      </c>
      <c r="E67" s="1">
        <v>107</v>
      </c>
      <c r="F67" s="1">
        <v>57</v>
      </c>
      <c r="G67" s="8">
        <v>0.6</v>
      </c>
      <c r="H67" s="1">
        <v>60</v>
      </c>
      <c r="I67" s="1" t="s">
        <v>40</v>
      </c>
      <c r="J67" s="1"/>
      <c r="K67" s="1">
        <v>107</v>
      </c>
      <c r="L67" s="1">
        <f t="shared" si="13"/>
        <v>0</v>
      </c>
      <c r="M67" s="1">
        <f t="shared" si="3"/>
        <v>107</v>
      </c>
      <c r="N67" s="1"/>
      <c r="O67" s="1">
        <v>29.400000000000031</v>
      </c>
      <c r="P67" s="1"/>
      <c r="Q67" s="1">
        <v>12.99999999999997</v>
      </c>
      <c r="R67" s="1">
        <f>IFERROR(VLOOKUP(A67,[1]Sheet!$A:$D,4,0),0)</f>
        <v>0</v>
      </c>
      <c r="S67" s="1">
        <f t="shared" si="4"/>
        <v>21.4</v>
      </c>
      <c r="T67" s="5">
        <f t="shared" si="14"/>
        <v>157.39999999999995</v>
      </c>
      <c r="U67" s="5"/>
      <c r="V67" s="1"/>
      <c r="W67" s="1"/>
      <c r="X67" s="1">
        <f t="shared" si="5"/>
        <v>11.999999999999998</v>
      </c>
      <c r="Y67" s="1">
        <f t="shared" si="6"/>
        <v>4.6448598130841123</v>
      </c>
      <c r="Z67" s="1">
        <v>14.4</v>
      </c>
      <c r="AA67" s="1">
        <v>15.4</v>
      </c>
      <c r="AB67" s="1">
        <v>16.399999999999999</v>
      </c>
      <c r="AC67" s="1">
        <v>16.2</v>
      </c>
      <c r="AD67" s="1">
        <v>14.6</v>
      </c>
      <c r="AE67" s="1">
        <v>14.6</v>
      </c>
      <c r="AF67" s="1">
        <v>12</v>
      </c>
      <c r="AG67" s="1">
        <v>17.600000000000001</v>
      </c>
      <c r="AH67" s="1" t="s">
        <v>45</v>
      </c>
      <c r="AI67" s="1">
        <f t="shared" si="15"/>
        <v>94.439999999999969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6" t="s">
        <v>113</v>
      </c>
      <c r="B68" s="16" t="s">
        <v>44</v>
      </c>
      <c r="C68" s="16"/>
      <c r="D68" s="16"/>
      <c r="E68" s="16"/>
      <c r="F68" s="16"/>
      <c r="G68" s="17">
        <v>0</v>
      </c>
      <c r="H68" s="16">
        <v>50</v>
      </c>
      <c r="I68" s="16" t="s">
        <v>40</v>
      </c>
      <c r="J68" s="16"/>
      <c r="K68" s="16"/>
      <c r="L68" s="16">
        <f t="shared" si="13"/>
        <v>0</v>
      </c>
      <c r="M68" s="16">
        <f t="shared" si="3"/>
        <v>0</v>
      </c>
      <c r="N68" s="16"/>
      <c r="O68" s="16">
        <v>0</v>
      </c>
      <c r="P68" s="16"/>
      <c r="Q68" s="16">
        <v>0</v>
      </c>
      <c r="R68" s="16">
        <f>IFERROR(VLOOKUP(A68,[1]Sheet!$A:$D,4,0),0)</f>
        <v>0</v>
      </c>
      <c r="S68" s="16">
        <f t="shared" si="4"/>
        <v>0</v>
      </c>
      <c r="T68" s="18"/>
      <c r="U68" s="18"/>
      <c r="V68" s="16"/>
      <c r="W68" s="16"/>
      <c r="X68" s="16" t="e">
        <f t="shared" si="5"/>
        <v>#DIV/0!</v>
      </c>
      <c r="Y68" s="16" t="e">
        <f t="shared" si="6"/>
        <v>#DIV/0!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 t="s">
        <v>57</v>
      </c>
      <c r="AI68" s="16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6" t="s">
        <v>114</v>
      </c>
      <c r="B69" s="16" t="s">
        <v>44</v>
      </c>
      <c r="C69" s="16"/>
      <c r="D69" s="16"/>
      <c r="E69" s="16"/>
      <c r="F69" s="16"/>
      <c r="G69" s="17">
        <v>0</v>
      </c>
      <c r="H69" s="16">
        <v>30</v>
      </c>
      <c r="I69" s="16" t="s">
        <v>40</v>
      </c>
      <c r="J69" s="16"/>
      <c r="K69" s="16"/>
      <c r="L69" s="16">
        <f t="shared" si="13"/>
        <v>0</v>
      </c>
      <c r="M69" s="16">
        <f t="shared" si="3"/>
        <v>0</v>
      </c>
      <c r="N69" s="16"/>
      <c r="O69" s="16">
        <v>0</v>
      </c>
      <c r="P69" s="16"/>
      <c r="Q69" s="16">
        <v>0</v>
      </c>
      <c r="R69" s="16">
        <f>IFERROR(VLOOKUP(A69,[1]Sheet!$A:$D,4,0),0)</f>
        <v>0</v>
      </c>
      <c r="S69" s="16">
        <f t="shared" si="4"/>
        <v>0</v>
      </c>
      <c r="T69" s="18"/>
      <c r="U69" s="18"/>
      <c r="V69" s="16"/>
      <c r="W69" s="16"/>
      <c r="X69" s="16" t="e">
        <f t="shared" si="5"/>
        <v>#DIV/0!</v>
      </c>
      <c r="Y69" s="16" t="e">
        <f t="shared" si="6"/>
        <v>#DIV/0!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 t="s">
        <v>57</v>
      </c>
      <c r="AI69" s="16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115</v>
      </c>
      <c r="B70" s="1" t="s">
        <v>44</v>
      </c>
      <c r="C70" s="1">
        <v>61</v>
      </c>
      <c r="D70" s="1">
        <v>41</v>
      </c>
      <c r="E70" s="1">
        <v>82</v>
      </c>
      <c r="F70" s="1">
        <v>20</v>
      </c>
      <c r="G70" s="8">
        <v>0.6</v>
      </c>
      <c r="H70" s="1">
        <v>55</v>
      </c>
      <c r="I70" s="1" t="s">
        <v>40</v>
      </c>
      <c r="J70" s="1"/>
      <c r="K70" s="1">
        <v>82</v>
      </c>
      <c r="L70" s="1">
        <f t="shared" ref="L70:L96" si="16">E70-K70</f>
        <v>0</v>
      </c>
      <c r="M70" s="1">
        <f t="shared" si="3"/>
        <v>82</v>
      </c>
      <c r="N70" s="1"/>
      <c r="O70" s="1">
        <v>0</v>
      </c>
      <c r="P70" s="1"/>
      <c r="Q70" s="1">
        <v>29.400000000000009</v>
      </c>
      <c r="R70" s="1">
        <f>IFERROR(VLOOKUP(A70,[1]Sheet!$A:$D,4,0),0)</f>
        <v>0</v>
      </c>
      <c r="S70" s="1">
        <f t="shared" si="4"/>
        <v>16.399999999999999</v>
      </c>
      <c r="T70" s="5">
        <f>10*S70-Q70-P70-O70-F70</f>
        <v>114.6</v>
      </c>
      <c r="U70" s="5"/>
      <c r="V70" s="1"/>
      <c r="W70" s="1"/>
      <c r="X70" s="1">
        <f t="shared" si="5"/>
        <v>10</v>
      </c>
      <c r="Y70" s="1">
        <f t="shared" si="6"/>
        <v>3.01219512195122</v>
      </c>
      <c r="Z70" s="1">
        <v>9.4</v>
      </c>
      <c r="AA70" s="1">
        <v>7.2</v>
      </c>
      <c r="AB70" s="1">
        <v>8.6</v>
      </c>
      <c r="AC70" s="1">
        <v>10.8</v>
      </c>
      <c r="AD70" s="1">
        <v>10.199999999999999</v>
      </c>
      <c r="AE70" s="1">
        <v>10.199999999999999</v>
      </c>
      <c r="AF70" s="1">
        <v>11</v>
      </c>
      <c r="AG70" s="1">
        <v>13.4</v>
      </c>
      <c r="AH70" s="1"/>
      <c r="AI70" s="1">
        <f>G70*T70</f>
        <v>68.759999999999991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6" t="s">
        <v>116</v>
      </c>
      <c r="B71" s="16" t="s">
        <v>44</v>
      </c>
      <c r="C71" s="16"/>
      <c r="D71" s="16"/>
      <c r="E71" s="16"/>
      <c r="F71" s="16"/>
      <c r="G71" s="17">
        <v>0</v>
      </c>
      <c r="H71" s="16">
        <v>40</v>
      </c>
      <c r="I71" s="16" t="s">
        <v>40</v>
      </c>
      <c r="J71" s="16"/>
      <c r="K71" s="16"/>
      <c r="L71" s="16">
        <f t="shared" si="16"/>
        <v>0</v>
      </c>
      <c r="M71" s="16">
        <f t="shared" ref="M71:M96" si="17">E71-N71</f>
        <v>0</v>
      </c>
      <c r="N71" s="16"/>
      <c r="O71" s="16">
        <v>0</v>
      </c>
      <c r="P71" s="16"/>
      <c r="Q71" s="16">
        <v>0</v>
      </c>
      <c r="R71" s="16">
        <f>IFERROR(VLOOKUP(A71,[1]Sheet!$A:$D,4,0),0)</f>
        <v>0</v>
      </c>
      <c r="S71" s="16">
        <f t="shared" ref="S71:S96" si="18">M71/5</f>
        <v>0</v>
      </c>
      <c r="T71" s="18"/>
      <c r="U71" s="18"/>
      <c r="V71" s="16"/>
      <c r="W71" s="16"/>
      <c r="X71" s="16" t="e">
        <f t="shared" ref="X71:X96" si="19">(F71+O71+P71+Q71+T71)/S71</f>
        <v>#DIV/0!</v>
      </c>
      <c r="Y71" s="16" t="e">
        <f t="shared" ref="Y71:Y96" si="20">(F71+O71+P71+Q71)/S71</f>
        <v>#DIV/0!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 t="s">
        <v>117</v>
      </c>
      <c r="AI71" s="16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118</v>
      </c>
      <c r="B72" s="1" t="s">
        <v>44</v>
      </c>
      <c r="C72" s="1">
        <v>80</v>
      </c>
      <c r="D72" s="1">
        <v>84</v>
      </c>
      <c r="E72" s="1">
        <v>67</v>
      </c>
      <c r="F72" s="1">
        <v>55</v>
      </c>
      <c r="G72" s="8">
        <v>0.4</v>
      </c>
      <c r="H72" s="1">
        <v>50</v>
      </c>
      <c r="I72" s="1" t="s">
        <v>40</v>
      </c>
      <c r="J72" s="1"/>
      <c r="K72" s="1">
        <v>67</v>
      </c>
      <c r="L72" s="1">
        <f t="shared" si="16"/>
        <v>0</v>
      </c>
      <c r="M72" s="1">
        <f t="shared" si="17"/>
        <v>67</v>
      </c>
      <c r="N72" s="1"/>
      <c r="O72" s="1">
        <v>0</v>
      </c>
      <c r="P72" s="1"/>
      <c r="Q72" s="1">
        <v>41</v>
      </c>
      <c r="R72" s="1">
        <f>IFERROR(VLOOKUP(A72,[1]Sheet!$A:$D,4,0),0)</f>
        <v>0</v>
      </c>
      <c r="S72" s="1">
        <f t="shared" si="18"/>
        <v>13.4</v>
      </c>
      <c r="T72" s="5">
        <f>12*S72-Q72-P72-O72-F72</f>
        <v>64.800000000000011</v>
      </c>
      <c r="U72" s="5"/>
      <c r="V72" s="1"/>
      <c r="W72" s="1"/>
      <c r="X72" s="1">
        <f t="shared" si="19"/>
        <v>12</v>
      </c>
      <c r="Y72" s="1">
        <f t="shared" si="20"/>
        <v>7.1641791044776122</v>
      </c>
      <c r="Z72" s="1">
        <v>11</v>
      </c>
      <c r="AA72" s="1">
        <v>6.2</v>
      </c>
      <c r="AB72" s="1">
        <v>8.8000000000000007</v>
      </c>
      <c r="AC72" s="1">
        <v>11</v>
      </c>
      <c r="AD72" s="1">
        <v>11.8</v>
      </c>
      <c r="AE72" s="1">
        <v>10.199999999999999</v>
      </c>
      <c r="AF72" s="1">
        <v>10.199999999999999</v>
      </c>
      <c r="AG72" s="1">
        <v>12.6</v>
      </c>
      <c r="AH72" s="1" t="s">
        <v>45</v>
      </c>
      <c r="AI72" s="1">
        <f>G72*T72</f>
        <v>25.920000000000005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119</v>
      </c>
      <c r="B73" s="16" t="s">
        <v>44</v>
      </c>
      <c r="C73" s="16"/>
      <c r="D73" s="16"/>
      <c r="E73" s="16"/>
      <c r="F73" s="16"/>
      <c r="G73" s="17">
        <v>0</v>
      </c>
      <c r="H73" s="16">
        <v>55</v>
      </c>
      <c r="I73" s="16" t="s">
        <v>40</v>
      </c>
      <c r="J73" s="16"/>
      <c r="K73" s="16"/>
      <c r="L73" s="16">
        <f t="shared" si="16"/>
        <v>0</v>
      </c>
      <c r="M73" s="16">
        <f t="shared" si="17"/>
        <v>0</v>
      </c>
      <c r="N73" s="16"/>
      <c r="O73" s="16">
        <v>0</v>
      </c>
      <c r="P73" s="16"/>
      <c r="Q73" s="16">
        <v>0</v>
      </c>
      <c r="R73" s="16">
        <f>IFERROR(VLOOKUP(A73,[1]Sheet!$A:$D,4,0),0)</f>
        <v>0</v>
      </c>
      <c r="S73" s="16">
        <f t="shared" si="18"/>
        <v>0</v>
      </c>
      <c r="T73" s="18"/>
      <c r="U73" s="18"/>
      <c r="V73" s="16"/>
      <c r="W73" s="16"/>
      <c r="X73" s="16" t="e">
        <f t="shared" si="19"/>
        <v>#DIV/0!</v>
      </c>
      <c r="Y73" s="16" t="e">
        <f t="shared" si="20"/>
        <v>#DIV/0!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 t="s">
        <v>120</v>
      </c>
      <c r="AI73" s="16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121</v>
      </c>
      <c r="B74" s="1" t="s">
        <v>37</v>
      </c>
      <c r="C74" s="1">
        <v>21.663</v>
      </c>
      <c r="D74" s="1"/>
      <c r="E74" s="1">
        <v>12.997999999999999</v>
      </c>
      <c r="F74" s="1">
        <v>8.6649999999999991</v>
      </c>
      <c r="G74" s="8">
        <v>1</v>
      </c>
      <c r="H74" s="1">
        <v>55</v>
      </c>
      <c r="I74" s="1" t="s">
        <v>40</v>
      </c>
      <c r="J74" s="1"/>
      <c r="K74" s="1">
        <v>12.4</v>
      </c>
      <c r="L74" s="1">
        <f t="shared" si="16"/>
        <v>0.59799999999999898</v>
      </c>
      <c r="M74" s="1">
        <f t="shared" si="17"/>
        <v>12.997999999999999</v>
      </c>
      <c r="N74" s="1"/>
      <c r="O74" s="1">
        <v>4</v>
      </c>
      <c r="P74" s="1"/>
      <c r="Q74" s="1">
        <v>0</v>
      </c>
      <c r="R74" s="1">
        <f>IFERROR(VLOOKUP(A74,[1]Sheet!$A:$D,4,0),0)</f>
        <v>0</v>
      </c>
      <c r="S74" s="1">
        <f t="shared" si="18"/>
        <v>2.5995999999999997</v>
      </c>
      <c r="T74" s="5">
        <f t="shared" ref="T74:T76" si="21">12*S74-Q74-P74-O74-F74</f>
        <v>18.530199999999997</v>
      </c>
      <c r="U74" s="5"/>
      <c r="V74" s="1"/>
      <c r="W74" s="1"/>
      <c r="X74" s="1">
        <f t="shared" si="19"/>
        <v>12</v>
      </c>
      <c r="Y74" s="1">
        <f t="shared" si="20"/>
        <v>4.8719033697491927</v>
      </c>
      <c r="Z74" s="1">
        <v>1.7298</v>
      </c>
      <c r="AA74" s="1">
        <v>2.2995999999999999</v>
      </c>
      <c r="AB74" s="1">
        <v>1.7254</v>
      </c>
      <c r="AC74" s="1">
        <v>0</v>
      </c>
      <c r="AD74" s="1">
        <v>0</v>
      </c>
      <c r="AE74" s="1">
        <v>0.2868</v>
      </c>
      <c r="AF74" s="1">
        <v>0.2868</v>
      </c>
      <c r="AG74" s="1">
        <v>0</v>
      </c>
      <c r="AH74" s="1" t="s">
        <v>122</v>
      </c>
      <c r="AI74" s="1">
        <f t="shared" ref="AI74:AI79" si="22">G74*T74</f>
        <v>18.530199999999997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123</v>
      </c>
      <c r="B75" s="1" t="s">
        <v>37</v>
      </c>
      <c r="C75" s="1">
        <v>2856.7429999999999</v>
      </c>
      <c r="D75" s="1">
        <v>2293.1120000000001</v>
      </c>
      <c r="E75" s="1">
        <v>2248.7310000000002</v>
      </c>
      <c r="F75" s="1">
        <v>2336.645</v>
      </c>
      <c r="G75" s="8">
        <v>1</v>
      </c>
      <c r="H75" s="1">
        <v>60</v>
      </c>
      <c r="I75" s="1" t="s">
        <v>40</v>
      </c>
      <c r="J75" s="1"/>
      <c r="K75" s="1">
        <v>2741.79</v>
      </c>
      <c r="L75" s="1">
        <f t="shared" si="16"/>
        <v>-493.05899999999974</v>
      </c>
      <c r="M75" s="1">
        <f t="shared" si="17"/>
        <v>2248.7310000000002</v>
      </c>
      <c r="N75" s="1"/>
      <c r="O75" s="1">
        <v>0</v>
      </c>
      <c r="P75" s="1"/>
      <c r="Q75" s="1">
        <v>2398.092200000001</v>
      </c>
      <c r="R75" s="1">
        <f>IFERROR(VLOOKUP(A75,[1]Sheet!$A:$D,4,0),0)</f>
        <v>0</v>
      </c>
      <c r="S75" s="1">
        <f t="shared" si="18"/>
        <v>449.74620000000004</v>
      </c>
      <c r="T75" s="5">
        <f t="shared" si="21"/>
        <v>662.21719999999959</v>
      </c>
      <c r="U75" s="5"/>
      <c r="V75" s="1"/>
      <c r="W75" s="1"/>
      <c r="X75" s="1">
        <f t="shared" si="19"/>
        <v>12</v>
      </c>
      <c r="Y75" s="1">
        <f t="shared" si="20"/>
        <v>10.527575774959301</v>
      </c>
      <c r="Z75" s="1">
        <v>438.57800000000009</v>
      </c>
      <c r="AA75" s="1">
        <v>343.56400000000002</v>
      </c>
      <c r="AB75" s="1">
        <v>445.36980000000011</v>
      </c>
      <c r="AC75" s="1">
        <v>401.02140000000003</v>
      </c>
      <c r="AD75" s="1">
        <v>365.46319999999997</v>
      </c>
      <c r="AE75" s="1">
        <v>306.22660000000002</v>
      </c>
      <c r="AF75" s="1">
        <v>311.7722</v>
      </c>
      <c r="AG75" s="1">
        <v>366.33</v>
      </c>
      <c r="AH75" s="1" t="s">
        <v>51</v>
      </c>
      <c r="AI75" s="1">
        <f t="shared" si="22"/>
        <v>662.21719999999959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124</v>
      </c>
      <c r="B76" s="1" t="s">
        <v>37</v>
      </c>
      <c r="C76" s="1">
        <v>623.07000000000005</v>
      </c>
      <c r="D76" s="1">
        <v>2982.451</v>
      </c>
      <c r="E76" s="1">
        <v>1160.827</v>
      </c>
      <c r="F76" s="1">
        <v>1869.144</v>
      </c>
      <c r="G76" s="8">
        <v>1</v>
      </c>
      <c r="H76" s="1">
        <v>60</v>
      </c>
      <c r="I76" s="1" t="s">
        <v>40</v>
      </c>
      <c r="J76" s="1"/>
      <c r="K76" s="1">
        <v>1733.38</v>
      </c>
      <c r="L76" s="1">
        <f t="shared" si="16"/>
        <v>-572.55300000000011</v>
      </c>
      <c r="M76" s="1">
        <f t="shared" si="17"/>
        <v>1085.4670000000001</v>
      </c>
      <c r="N76" s="1">
        <v>75.36</v>
      </c>
      <c r="O76" s="1">
        <v>0</v>
      </c>
      <c r="P76" s="1"/>
      <c r="Q76" s="1">
        <v>447.55014000000062</v>
      </c>
      <c r="R76" s="1">
        <f>IFERROR(VLOOKUP(A76,[1]Sheet!$A:$D,4,0),0)</f>
        <v>0</v>
      </c>
      <c r="S76" s="1">
        <f t="shared" si="18"/>
        <v>217.09340000000003</v>
      </c>
      <c r="T76" s="5">
        <f t="shared" si="21"/>
        <v>288.42665999999986</v>
      </c>
      <c r="U76" s="5"/>
      <c r="V76" s="1"/>
      <c r="W76" s="1"/>
      <c r="X76" s="1">
        <f t="shared" si="19"/>
        <v>12.000000000000002</v>
      </c>
      <c r="Y76" s="1">
        <f t="shared" si="20"/>
        <v>10.6714167266255</v>
      </c>
      <c r="Z76" s="1">
        <v>212.60059999999999</v>
      </c>
      <c r="AA76" s="1">
        <v>128.0436</v>
      </c>
      <c r="AB76" s="1">
        <v>281.48399999999998</v>
      </c>
      <c r="AC76" s="1">
        <v>153.85640000000001</v>
      </c>
      <c r="AD76" s="1">
        <v>127.7578</v>
      </c>
      <c r="AE76" s="1">
        <v>126.42919999999999</v>
      </c>
      <c r="AF76" s="1">
        <v>141.66480000000001</v>
      </c>
      <c r="AG76" s="1">
        <v>142.9308</v>
      </c>
      <c r="AH76" s="1"/>
      <c r="AI76" s="1">
        <f t="shared" si="22"/>
        <v>288.42665999999986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125</v>
      </c>
      <c r="B77" s="1" t="s">
        <v>37</v>
      </c>
      <c r="C77" s="1">
        <v>1508.008</v>
      </c>
      <c r="D77" s="1">
        <v>1836.3109999999999</v>
      </c>
      <c r="E77" s="1">
        <v>2097.2600000000002</v>
      </c>
      <c r="F77" s="1">
        <v>220.55500000000001</v>
      </c>
      <c r="G77" s="8">
        <v>1</v>
      </c>
      <c r="H77" s="1">
        <v>60</v>
      </c>
      <c r="I77" s="1" t="s">
        <v>40</v>
      </c>
      <c r="J77" s="1"/>
      <c r="K77" s="1">
        <v>3055.6149999999998</v>
      </c>
      <c r="L77" s="1">
        <f t="shared" si="16"/>
        <v>-958.35499999999956</v>
      </c>
      <c r="M77" s="1">
        <f t="shared" si="17"/>
        <v>1110.9450000000002</v>
      </c>
      <c r="N77" s="1">
        <v>986.31500000000005</v>
      </c>
      <c r="O77" s="1">
        <v>692.99112400000013</v>
      </c>
      <c r="P77" s="1">
        <v>362.05829999999997</v>
      </c>
      <c r="Q77" s="1">
        <v>1451.583196</v>
      </c>
      <c r="R77" s="1">
        <f>IFERROR(VLOOKUP(A77,[1]Sheet!$A:$D,4,0),0)</f>
        <v>0</v>
      </c>
      <c r="S77" s="1">
        <f t="shared" si="18"/>
        <v>222.18900000000002</v>
      </c>
      <c r="T77" s="5"/>
      <c r="U77" s="5"/>
      <c r="V77" s="1"/>
      <c r="W77" s="1"/>
      <c r="X77" s="1">
        <f t="shared" si="19"/>
        <v>12.274179279802331</v>
      </c>
      <c r="Y77" s="1">
        <f t="shared" si="20"/>
        <v>12.274179279802331</v>
      </c>
      <c r="Z77" s="1">
        <v>257.75979999999998</v>
      </c>
      <c r="AA77" s="1">
        <v>241.37219999999999</v>
      </c>
      <c r="AB77" s="1">
        <v>245.13919999999999</v>
      </c>
      <c r="AC77" s="1">
        <v>251.12299999999999</v>
      </c>
      <c r="AD77" s="1">
        <v>248.63159999999999</v>
      </c>
      <c r="AE77" s="1">
        <v>266.42500000000001</v>
      </c>
      <c r="AF77" s="1">
        <v>273.30919999999998</v>
      </c>
      <c r="AG77" s="1">
        <v>397.70679999999999</v>
      </c>
      <c r="AH77" s="1" t="s">
        <v>126</v>
      </c>
      <c r="AI77" s="1">
        <f t="shared" si="22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127</v>
      </c>
      <c r="B78" s="1" t="s">
        <v>37</v>
      </c>
      <c r="C78" s="1">
        <v>1644.232</v>
      </c>
      <c r="D78" s="1">
        <v>4319.1019999999999</v>
      </c>
      <c r="E78" s="1">
        <v>2288.6219999999998</v>
      </c>
      <c r="F78" s="1">
        <v>2584.9720000000002</v>
      </c>
      <c r="G78" s="8">
        <v>1</v>
      </c>
      <c r="H78" s="1">
        <v>60</v>
      </c>
      <c r="I78" s="1" t="s">
        <v>40</v>
      </c>
      <c r="J78" s="1"/>
      <c r="K78" s="1">
        <v>3231.7220000000002</v>
      </c>
      <c r="L78" s="1">
        <f t="shared" si="16"/>
        <v>-943.10000000000036</v>
      </c>
      <c r="M78" s="1">
        <f t="shared" si="17"/>
        <v>2124.002</v>
      </c>
      <c r="N78" s="1">
        <v>164.62</v>
      </c>
      <c r="O78" s="1">
        <v>810.34123600000032</v>
      </c>
      <c r="P78" s="1">
        <v>607.60019999999997</v>
      </c>
      <c r="Q78" s="1">
        <v>1493.500704</v>
      </c>
      <c r="R78" s="1">
        <f>IFERROR(VLOOKUP(A78,[1]Sheet!$A:$D,4,0),0)</f>
        <v>155</v>
      </c>
      <c r="S78" s="1">
        <f t="shared" si="18"/>
        <v>424.80039999999997</v>
      </c>
      <c r="T78" s="5"/>
      <c r="U78" s="5"/>
      <c r="V78" s="1"/>
      <c r="W78" s="1"/>
      <c r="X78" s="1">
        <f t="shared" si="19"/>
        <v>12.938815829740276</v>
      </c>
      <c r="Y78" s="1">
        <f t="shared" si="20"/>
        <v>12.938815829740276</v>
      </c>
      <c r="Z78" s="1">
        <v>503.06060000000002</v>
      </c>
      <c r="AA78" s="1">
        <v>405.0668</v>
      </c>
      <c r="AB78" s="1">
        <v>491.63380000000001</v>
      </c>
      <c r="AC78" s="1">
        <v>336.88099999999997</v>
      </c>
      <c r="AD78" s="1">
        <v>323.82159999999999</v>
      </c>
      <c r="AE78" s="1">
        <v>264.303</v>
      </c>
      <c r="AF78" s="1">
        <v>270.36279999999999</v>
      </c>
      <c r="AG78" s="1">
        <v>289.75439999999998</v>
      </c>
      <c r="AH78" s="1" t="s">
        <v>51</v>
      </c>
      <c r="AI78" s="1">
        <f t="shared" si="22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128</v>
      </c>
      <c r="B79" s="1" t="s">
        <v>37</v>
      </c>
      <c r="C79" s="1">
        <v>215.82</v>
      </c>
      <c r="D79" s="1">
        <v>24.288</v>
      </c>
      <c r="E79" s="1">
        <v>12.141999999999999</v>
      </c>
      <c r="F79" s="1">
        <v>203.678</v>
      </c>
      <c r="G79" s="8">
        <v>1</v>
      </c>
      <c r="H79" s="1">
        <v>60</v>
      </c>
      <c r="I79" s="1" t="s">
        <v>40</v>
      </c>
      <c r="J79" s="1"/>
      <c r="K79" s="1">
        <v>12</v>
      </c>
      <c r="L79" s="1">
        <f t="shared" si="16"/>
        <v>0.14199999999999946</v>
      </c>
      <c r="M79" s="1">
        <f t="shared" si="17"/>
        <v>12.141999999999999</v>
      </c>
      <c r="N79" s="1"/>
      <c r="O79" s="1">
        <v>0</v>
      </c>
      <c r="P79" s="1"/>
      <c r="Q79" s="1">
        <v>0</v>
      </c>
      <c r="R79" s="1">
        <f>IFERROR(VLOOKUP(A79,[1]Sheet!$A:$D,4,0),0)</f>
        <v>0</v>
      </c>
      <c r="S79" s="1">
        <f t="shared" si="18"/>
        <v>2.4283999999999999</v>
      </c>
      <c r="T79" s="5"/>
      <c r="U79" s="5"/>
      <c r="V79" s="1"/>
      <c r="W79" s="1"/>
      <c r="X79" s="1">
        <f t="shared" si="19"/>
        <v>83.873332235216608</v>
      </c>
      <c r="Y79" s="1">
        <f t="shared" si="20"/>
        <v>83.873332235216608</v>
      </c>
      <c r="Z79" s="1">
        <v>0</v>
      </c>
      <c r="AA79" s="1">
        <v>5.8215999999999992</v>
      </c>
      <c r="AB79" s="1">
        <v>1.2829999999999999</v>
      </c>
      <c r="AC79" s="1">
        <v>0.79899999999999982</v>
      </c>
      <c r="AD79" s="1">
        <v>0.48000000000000009</v>
      </c>
      <c r="AE79" s="1">
        <v>0</v>
      </c>
      <c r="AF79" s="1">
        <v>0.15999999999999939</v>
      </c>
      <c r="AG79" s="1">
        <v>2.5788000000000011</v>
      </c>
      <c r="AH79" s="21" t="s">
        <v>59</v>
      </c>
      <c r="AI79" s="1">
        <f t="shared" si="22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3" t="s">
        <v>129</v>
      </c>
      <c r="B80" s="13" t="s">
        <v>44</v>
      </c>
      <c r="C80" s="13">
        <v>-4</v>
      </c>
      <c r="D80" s="13">
        <v>4</v>
      </c>
      <c r="E80" s="13"/>
      <c r="F80" s="13"/>
      <c r="G80" s="14">
        <v>0</v>
      </c>
      <c r="H80" s="13">
        <v>40</v>
      </c>
      <c r="I80" s="13" t="s">
        <v>38</v>
      </c>
      <c r="J80" s="13"/>
      <c r="K80" s="13"/>
      <c r="L80" s="13">
        <f t="shared" si="16"/>
        <v>0</v>
      </c>
      <c r="M80" s="13">
        <f t="shared" si="17"/>
        <v>0</v>
      </c>
      <c r="N80" s="13"/>
      <c r="O80" s="13">
        <v>0</v>
      </c>
      <c r="P80" s="13"/>
      <c r="Q80" s="13">
        <v>0</v>
      </c>
      <c r="R80" s="13">
        <f>IFERROR(VLOOKUP(A80,[1]Sheet!$A:$D,4,0),0)</f>
        <v>0</v>
      </c>
      <c r="S80" s="13">
        <f t="shared" si="18"/>
        <v>0</v>
      </c>
      <c r="T80" s="15"/>
      <c r="U80" s="15"/>
      <c r="V80" s="13"/>
      <c r="W80" s="13"/>
      <c r="X80" s="13" t="e">
        <f t="shared" si="19"/>
        <v>#DIV/0!</v>
      </c>
      <c r="Y80" s="13" t="e">
        <f t="shared" si="20"/>
        <v>#DIV/0!</v>
      </c>
      <c r="Z80" s="13">
        <v>0</v>
      </c>
      <c r="AA80" s="13">
        <v>-0.4</v>
      </c>
      <c r="AB80" s="13">
        <v>-0.6</v>
      </c>
      <c r="AC80" s="13">
        <v>-0.2</v>
      </c>
      <c r="AD80" s="13">
        <v>0</v>
      </c>
      <c r="AE80" s="13">
        <v>-0.4</v>
      </c>
      <c r="AF80" s="13">
        <v>-0.2</v>
      </c>
      <c r="AG80" s="13">
        <v>0.2</v>
      </c>
      <c r="AH80" s="13"/>
      <c r="AI80" s="13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130</v>
      </c>
      <c r="B81" s="1" t="s">
        <v>44</v>
      </c>
      <c r="C81" s="1">
        <v>51</v>
      </c>
      <c r="D81" s="1">
        <v>91</v>
      </c>
      <c r="E81" s="1">
        <v>90</v>
      </c>
      <c r="F81" s="1">
        <v>47</v>
      </c>
      <c r="G81" s="8">
        <v>0.3</v>
      </c>
      <c r="H81" s="1">
        <v>40</v>
      </c>
      <c r="I81" s="1" t="s">
        <v>40</v>
      </c>
      <c r="J81" s="1"/>
      <c r="K81" s="1">
        <v>94</v>
      </c>
      <c r="L81" s="1">
        <f t="shared" si="16"/>
        <v>-4</v>
      </c>
      <c r="M81" s="1">
        <f t="shared" si="17"/>
        <v>90</v>
      </c>
      <c r="N81" s="1"/>
      <c r="O81" s="1">
        <v>57.199999999999989</v>
      </c>
      <c r="P81" s="1"/>
      <c r="Q81" s="1">
        <v>63.400000000000027</v>
      </c>
      <c r="R81" s="1">
        <f>IFERROR(VLOOKUP(A81,[1]Sheet!$A:$D,4,0),0)</f>
        <v>0</v>
      </c>
      <c r="S81" s="1">
        <f t="shared" si="18"/>
        <v>18</v>
      </c>
      <c r="T81" s="5">
        <f t="shared" ref="T81:T86" si="23">12*S81-Q81-P81-O81-F81</f>
        <v>48.399999999999977</v>
      </c>
      <c r="U81" s="5"/>
      <c r="V81" s="1"/>
      <c r="W81" s="1"/>
      <c r="X81" s="1">
        <f t="shared" si="19"/>
        <v>12</v>
      </c>
      <c r="Y81" s="1">
        <f t="shared" si="20"/>
        <v>9.3111111111111118</v>
      </c>
      <c r="Z81" s="1">
        <v>18.600000000000001</v>
      </c>
      <c r="AA81" s="1">
        <v>16.2</v>
      </c>
      <c r="AB81" s="1">
        <v>16.2</v>
      </c>
      <c r="AC81" s="1">
        <v>16.600000000000001</v>
      </c>
      <c r="AD81" s="1">
        <v>15.2</v>
      </c>
      <c r="AE81" s="1">
        <v>16</v>
      </c>
      <c r="AF81" s="1">
        <v>17</v>
      </c>
      <c r="AG81" s="1">
        <v>16.600000000000001</v>
      </c>
      <c r="AH81" s="1"/>
      <c r="AI81" s="1">
        <f t="shared" ref="AI81:AI87" si="24">G81*T81</f>
        <v>14.519999999999992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131</v>
      </c>
      <c r="B82" s="1" t="s">
        <v>44</v>
      </c>
      <c r="C82" s="1">
        <v>139</v>
      </c>
      <c r="D82" s="1">
        <v>4</v>
      </c>
      <c r="E82" s="1">
        <v>60</v>
      </c>
      <c r="F82" s="1">
        <v>79</v>
      </c>
      <c r="G82" s="8">
        <v>7.0000000000000007E-2</v>
      </c>
      <c r="H82" s="1">
        <v>90</v>
      </c>
      <c r="I82" s="1" t="s">
        <v>40</v>
      </c>
      <c r="J82" s="1"/>
      <c r="K82" s="1">
        <v>60</v>
      </c>
      <c r="L82" s="1">
        <f t="shared" si="16"/>
        <v>0</v>
      </c>
      <c r="M82" s="1">
        <f t="shared" si="17"/>
        <v>60</v>
      </c>
      <c r="N82" s="1"/>
      <c r="O82" s="1">
        <v>6</v>
      </c>
      <c r="P82" s="1"/>
      <c r="Q82" s="1">
        <v>45</v>
      </c>
      <c r="R82" s="1">
        <f>IFERROR(VLOOKUP(A82,[1]Sheet!$A:$D,4,0),0)</f>
        <v>0</v>
      </c>
      <c r="S82" s="1">
        <f t="shared" si="18"/>
        <v>12</v>
      </c>
      <c r="T82" s="5">
        <f t="shared" si="23"/>
        <v>14</v>
      </c>
      <c r="U82" s="5"/>
      <c r="V82" s="1"/>
      <c r="W82" s="1"/>
      <c r="X82" s="1">
        <f t="shared" si="19"/>
        <v>12</v>
      </c>
      <c r="Y82" s="1">
        <f t="shared" si="20"/>
        <v>10.833333333333334</v>
      </c>
      <c r="Z82" s="1">
        <v>13</v>
      </c>
      <c r="AA82" s="1">
        <v>12</v>
      </c>
      <c r="AB82" s="1">
        <v>14.4</v>
      </c>
      <c r="AC82" s="1">
        <v>15.6</v>
      </c>
      <c r="AD82" s="1">
        <v>13.4</v>
      </c>
      <c r="AE82" s="1">
        <v>13.4</v>
      </c>
      <c r="AF82" s="1">
        <v>18.600000000000001</v>
      </c>
      <c r="AG82" s="1">
        <v>21</v>
      </c>
      <c r="AH82" s="1"/>
      <c r="AI82" s="1">
        <f t="shared" si="24"/>
        <v>0.98000000000000009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132</v>
      </c>
      <c r="B83" s="1" t="s">
        <v>44</v>
      </c>
      <c r="C83" s="1">
        <v>188</v>
      </c>
      <c r="D83" s="1">
        <v>4</v>
      </c>
      <c r="E83" s="1">
        <v>90</v>
      </c>
      <c r="F83" s="1">
        <v>98</v>
      </c>
      <c r="G83" s="8">
        <v>7.0000000000000007E-2</v>
      </c>
      <c r="H83" s="1">
        <v>90</v>
      </c>
      <c r="I83" s="1" t="s">
        <v>40</v>
      </c>
      <c r="J83" s="1"/>
      <c r="K83" s="1">
        <v>90</v>
      </c>
      <c r="L83" s="1">
        <f t="shared" si="16"/>
        <v>0</v>
      </c>
      <c r="M83" s="1">
        <f t="shared" si="17"/>
        <v>90</v>
      </c>
      <c r="N83" s="1"/>
      <c r="O83" s="1">
        <v>0</v>
      </c>
      <c r="P83" s="1"/>
      <c r="Q83" s="1">
        <v>95.600000000000023</v>
      </c>
      <c r="R83" s="1">
        <f>IFERROR(VLOOKUP(A83,[1]Sheet!$A:$D,4,0),0)</f>
        <v>0</v>
      </c>
      <c r="S83" s="1">
        <f t="shared" si="18"/>
        <v>18</v>
      </c>
      <c r="T83" s="5">
        <f t="shared" si="23"/>
        <v>22.399999999999977</v>
      </c>
      <c r="U83" s="5"/>
      <c r="V83" s="1"/>
      <c r="W83" s="1"/>
      <c r="X83" s="1">
        <f t="shared" si="19"/>
        <v>12</v>
      </c>
      <c r="Y83" s="1">
        <f t="shared" si="20"/>
        <v>10.755555555555556</v>
      </c>
      <c r="Z83" s="1">
        <v>19.600000000000001</v>
      </c>
      <c r="AA83" s="1">
        <v>14.4</v>
      </c>
      <c r="AB83" s="1">
        <v>18</v>
      </c>
      <c r="AC83" s="1">
        <v>15.2</v>
      </c>
      <c r="AD83" s="1">
        <v>10.6</v>
      </c>
      <c r="AE83" s="1">
        <v>14.4</v>
      </c>
      <c r="AF83" s="1">
        <v>21.6</v>
      </c>
      <c r="AG83" s="1">
        <v>23</v>
      </c>
      <c r="AH83" s="1"/>
      <c r="AI83" s="1">
        <f t="shared" si="24"/>
        <v>1.5679999999999985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133</v>
      </c>
      <c r="B84" s="1" t="s">
        <v>44</v>
      </c>
      <c r="C84" s="1">
        <v>55</v>
      </c>
      <c r="D84" s="1">
        <v>78</v>
      </c>
      <c r="E84" s="1">
        <v>60</v>
      </c>
      <c r="F84" s="1">
        <v>68</v>
      </c>
      <c r="G84" s="8">
        <v>7.0000000000000007E-2</v>
      </c>
      <c r="H84" s="1">
        <v>90</v>
      </c>
      <c r="I84" s="1" t="s">
        <v>40</v>
      </c>
      <c r="J84" s="1"/>
      <c r="K84" s="1">
        <v>61</v>
      </c>
      <c r="L84" s="1">
        <f t="shared" si="16"/>
        <v>-1</v>
      </c>
      <c r="M84" s="1">
        <f t="shared" si="17"/>
        <v>60</v>
      </c>
      <c r="N84" s="1"/>
      <c r="O84" s="1">
        <v>29.799999999999979</v>
      </c>
      <c r="P84" s="1"/>
      <c r="Q84" s="1">
        <v>35.800000000000011</v>
      </c>
      <c r="R84" s="1">
        <f>IFERROR(VLOOKUP(A84,[1]Sheet!$A:$D,4,0),0)</f>
        <v>0</v>
      </c>
      <c r="S84" s="1">
        <f t="shared" si="18"/>
        <v>12</v>
      </c>
      <c r="T84" s="5">
        <f t="shared" si="23"/>
        <v>10.400000000000006</v>
      </c>
      <c r="U84" s="5"/>
      <c r="V84" s="1"/>
      <c r="W84" s="1"/>
      <c r="X84" s="1">
        <f t="shared" si="19"/>
        <v>12</v>
      </c>
      <c r="Y84" s="1">
        <f t="shared" si="20"/>
        <v>11.133333333333333</v>
      </c>
      <c r="Z84" s="1">
        <v>13.6</v>
      </c>
      <c r="AA84" s="1">
        <v>12.6</v>
      </c>
      <c r="AB84" s="1">
        <v>13.4</v>
      </c>
      <c r="AC84" s="1">
        <v>12.8</v>
      </c>
      <c r="AD84" s="1">
        <v>10.4</v>
      </c>
      <c r="AE84" s="1">
        <v>10.199999999999999</v>
      </c>
      <c r="AF84" s="1">
        <v>10</v>
      </c>
      <c r="AG84" s="1">
        <v>15.4</v>
      </c>
      <c r="AH84" s="1"/>
      <c r="AI84" s="1">
        <f t="shared" si="24"/>
        <v>0.72800000000000042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134</v>
      </c>
      <c r="B85" s="1" t="s">
        <v>44</v>
      </c>
      <c r="C85" s="1">
        <v>142</v>
      </c>
      <c r="D85" s="1">
        <v>5</v>
      </c>
      <c r="E85" s="1">
        <v>51</v>
      </c>
      <c r="F85" s="1">
        <v>91</v>
      </c>
      <c r="G85" s="8">
        <v>0.05</v>
      </c>
      <c r="H85" s="1">
        <v>90</v>
      </c>
      <c r="I85" s="1" t="s">
        <v>40</v>
      </c>
      <c r="J85" s="1"/>
      <c r="K85" s="1">
        <v>52</v>
      </c>
      <c r="L85" s="1">
        <f t="shared" si="16"/>
        <v>-1</v>
      </c>
      <c r="M85" s="1">
        <f t="shared" si="17"/>
        <v>51</v>
      </c>
      <c r="N85" s="1"/>
      <c r="O85" s="1">
        <v>10</v>
      </c>
      <c r="P85" s="1"/>
      <c r="Q85" s="1">
        <v>5.4000000000000057</v>
      </c>
      <c r="R85" s="1">
        <f>IFERROR(VLOOKUP(A85,[1]Sheet!$A:$D,4,0),0)</f>
        <v>0</v>
      </c>
      <c r="S85" s="1">
        <f t="shared" si="18"/>
        <v>10.199999999999999</v>
      </c>
      <c r="T85" s="5">
        <f t="shared" si="23"/>
        <v>15.999999999999986</v>
      </c>
      <c r="U85" s="5"/>
      <c r="V85" s="1"/>
      <c r="W85" s="1"/>
      <c r="X85" s="1">
        <f t="shared" si="19"/>
        <v>12</v>
      </c>
      <c r="Y85" s="1">
        <f t="shared" si="20"/>
        <v>10.43137254901961</v>
      </c>
      <c r="Z85" s="1">
        <v>11.4</v>
      </c>
      <c r="AA85" s="1">
        <v>13</v>
      </c>
      <c r="AB85" s="1">
        <v>15.6</v>
      </c>
      <c r="AC85" s="1">
        <v>10.8</v>
      </c>
      <c r="AD85" s="1">
        <v>6.2</v>
      </c>
      <c r="AE85" s="1">
        <v>8.6</v>
      </c>
      <c r="AF85" s="1">
        <v>13.2</v>
      </c>
      <c r="AG85" s="1">
        <v>15.8</v>
      </c>
      <c r="AH85" s="1"/>
      <c r="AI85" s="1">
        <f t="shared" si="24"/>
        <v>0.79999999999999938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135</v>
      </c>
      <c r="B86" s="1" t="s">
        <v>44</v>
      </c>
      <c r="C86" s="1">
        <v>121</v>
      </c>
      <c r="D86" s="1">
        <v>2</v>
      </c>
      <c r="E86" s="1">
        <v>59</v>
      </c>
      <c r="F86" s="1">
        <v>62</v>
      </c>
      <c r="G86" s="8">
        <v>0.05</v>
      </c>
      <c r="H86" s="1">
        <v>90</v>
      </c>
      <c r="I86" s="1" t="s">
        <v>40</v>
      </c>
      <c r="J86" s="1"/>
      <c r="K86" s="1">
        <v>59</v>
      </c>
      <c r="L86" s="1">
        <f t="shared" si="16"/>
        <v>0</v>
      </c>
      <c r="M86" s="1">
        <f t="shared" si="17"/>
        <v>59</v>
      </c>
      <c r="N86" s="1"/>
      <c r="O86" s="1">
        <v>32.600000000000023</v>
      </c>
      <c r="P86" s="1"/>
      <c r="Q86" s="1">
        <v>24.999999999999972</v>
      </c>
      <c r="R86" s="1">
        <f>IFERROR(VLOOKUP(A86,[1]Sheet!$A:$D,4,0),0)</f>
        <v>0</v>
      </c>
      <c r="S86" s="1">
        <f t="shared" si="18"/>
        <v>11.8</v>
      </c>
      <c r="T86" s="5">
        <f t="shared" si="23"/>
        <v>22.000000000000028</v>
      </c>
      <c r="U86" s="5"/>
      <c r="V86" s="1"/>
      <c r="W86" s="1"/>
      <c r="X86" s="1">
        <f t="shared" si="19"/>
        <v>12.000000000000002</v>
      </c>
      <c r="Y86" s="1">
        <f t="shared" si="20"/>
        <v>10.135593220338983</v>
      </c>
      <c r="Z86" s="1">
        <v>12.6</v>
      </c>
      <c r="AA86" s="1">
        <v>12.8</v>
      </c>
      <c r="AB86" s="1">
        <v>12.6</v>
      </c>
      <c r="AC86" s="1">
        <v>7.2</v>
      </c>
      <c r="AD86" s="1">
        <v>5.4</v>
      </c>
      <c r="AE86" s="1">
        <v>3.2</v>
      </c>
      <c r="AF86" s="1">
        <v>8.8000000000000007</v>
      </c>
      <c r="AG86" s="1">
        <v>13.6</v>
      </c>
      <c r="AH86" s="1"/>
      <c r="AI86" s="1">
        <f t="shared" si="24"/>
        <v>1.1000000000000014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136</v>
      </c>
      <c r="B87" s="1" t="s">
        <v>44</v>
      </c>
      <c r="C87" s="1">
        <v>183</v>
      </c>
      <c r="D87" s="1">
        <v>1</v>
      </c>
      <c r="E87" s="1">
        <v>33</v>
      </c>
      <c r="F87" s="1">
        <v>150</v>
      </c>
      <c r="G87" s="8">
        <v>5.5E-2</v>
      </c>
      <c r="H87" s="1">
        <v>90</v>
      </c>
      <c r="I87" s="1" t="s">
        <v>40</v>
      </c>
      <c r="J87" s="1"/>
      <c r="K87" s="1">
        <v>33</v>
      </c>
      <c r="L87" s="1">
        <f t="shared" si="16"/>
        <v>0</v>
      </c>
      <c r="M87" s="1">
        <f t="shared" si="17"/>
        <v>33</v>
      </c>
      <c r="N87" s="1"/>
      <c r="O87" s="1">
        <v>0</v>
      </c>
      <c r="P87" s="1"/>
      <c r="Q87" s="1">
        <v>0</v>
      </c>
      <c r="R87" s="1">
        <f>IFERROR(VLOOKUP(A87,[1]Sheet!$A:$D,4,0),0)</f>
        <v>0</v>
      </c>
      <c r="S87" s="1">
        <f t="shared" si="18"/>
        <v>6.6</v>
      </c>
      <c r="T87" s="5"/>
      <c r="U87" s="5"/>
      <c r="V87" s="1"/>
      <c r="W87" s="1"/>
      <c r="X87" s="1">
        <f t="shared" si="19"/>
        <v>22.72727272727273</v>
      </c>
      <c r="Y87" s="1">
        <f t="shared" si="20"/>
        <v>22.72727272727273</v>
      </c>
      <c r="Z87" s="1">
        <v>7.8</v>
      </c>
      <c r="AA87" s="1">
        <v>10.6</v>
      </c>
      <c r="AB87" s="1">
        <v>11</v>
      </c>
      <c r="AC87" s="1">
        <v>6.4</v>
      </c>
      <c r="AD87" s="1">
        <v>4.4000000000000004</v>
      </c>
      <c r="AE87" s="1">
        <v>9.6</v>
      </c>
      <c r="AF87" s="1">
        <v>15.4</v>
      </c>
      <c r="AG87" s="1">
        <v>12</v>
      </c>
      <c r="AH87" s="21" t="s">
        <v>59</v>
      </c>
      <c r="AI87" s="1">
        <f t="shared" si="24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3" t="s">
        <v>137</v>
      </c>
      <c r="B88" s="13" t="s">
        <v>44</v>
      </c>
      <c r="C88" s="13">
        <v>14</v>
      </c>
      <c r="D88" s="13"/>
      <c r="E88" s="13"/>
      <c r="F88" s="13">
        <v>14</v>
      </c>
      <c r="G88" s="14">
        <v>0</v>
      </c>
      <c r="H88" s="13">
        <v>120</v>
      </c>
      <c r="I88" s="13" t="s">
        <v>138</v>
      </c>
      <c r="J88" s="13"/>
      <c r="K88" s="13"/>
      <c r="L88" s="13">
        <f t="shared" si="16"/>
        <v>0</v>
      </c>
      <c r="M88" s="13">
        <f t="shared" si="17"/>
        <v>0</v>
      </c>
      <c r="N88" s="13"/>
      <c r="O88" s="13">
        <v>0</v>
      </c>
      <c r="P88" s="13"/>
      <c r="Q88" s="13">
        <v>0</v>
      </c>
      <c r="R88" s="13">
        <f>IFERROR(VLOOKUP(A88,[1]Sheet!$A:$D,4,0),0)</f>
        <v>0</v>
      </c>
      <c r="S88" s="13">
        <f t="shared" si="18"/>
        <v>0</v>
      </c>
      <c r="T88" s="15"/>
      <c r="U88" s="15"/>
      <c r="V88" s="13"/>
      <c r="W88" s="13"/>
      <c r="X88" s="13" t="e">
        <f t="shared" si="19"/>
        <v>#DIV/0!</v>
      </c>
      <c r="Y88" s="13" t="e">
        <f t="shared" si="20"/>
        <v>#DIV/0!</v>
      </c>
      <c r="Z88" s="13">
        <v>0.6</v>
      </c>
      <c r="AA88" s="13">
        <v>0.6</v>
      </c>
      <c r="AB88" s="13">
        <v>0</v>
      </c>
      <c r="AC88" s="13">
        <v>0</v>
      </c>
      <c r="AD88" s="13">
        <v>0.8</v>
      </c>
      <c r="AE88" s="13">
        <v>1.4</v>
      </c>
      <c r="AF88" s="13">
        <v>0.6</v>
      </c>
      <c r="AG88" s="13">
        <v>0</v>
      </c>
      <c r="AH88" s="13" t="s">
        <v>139</v>
      </c>
      <c r="AI88" s="13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140</v>
      </c>
      <c r="B89" s="1" t="s">
        <v>37</v>
      </c>
      <c r="C89" s="1">
        <v>5832.3890000000001</v>
      </c>
      <c r="D89" s="1">
        <v>3640.9360000000001</v>
      </c>
      <c r="E89" s="1">
        <v>4633.8760000000002</v>
      </c>
      <c r="F89" s="1">
        <v>4001.971</v>
      </c>
      <c r="G89" s="8">
        <v>1</v>
      </c>
      <c r="H89" s="1">
        <v>40</v>
      </c>
      <c r="I89" s="1" t="s">
        <v>40</v>
      </c>
      <c r="J89" s="1"/>
      <c r="K89" s="1">
        <v>5163.9399999999996</v>
      </c>
      <c r="L89" s="1">
        <f t="shared" si="16"/>
        <v>-530.0639999999994</v>
      </c>
      <c r="M89" s="1">
        <f t="shared" si="17"/>
        <v>4633.8760000000002</v>
      </c>
      <c r="N89" s="1"/>
      <c r="O89" s="1">
        <v>1173.2568000000001</v>
      </c>
      <c r="P89" s="1"/>
      <c r="Q89" s="1">
        <v>3329.6983999999979</v>
      </c>
      <c r="R89" s="1">
        <f>IFERROR(VLOOKUP(A89,[1]Sheet!$A:$D,4,0),0)</f>
        <v>0</v>
      </c>
      <c r="S89" s="1">
        <f t="shared" si="18"/>
        <v>926.77520000000004</v>
      </c>
      <c r="T89" s="5">
        <f t="shared" ref="T89:T92" si="25">12*S89-Q89-P89-O89-F89</f>
        <v>2616.3762000000029</v>
      </c>
      <c r="U89" s="5"/>
      <c r="V89" s="1"/>
      <c r="W89" s="1"/>
      <c r="X89" s="1">
        <f t="shared" si="19"/>
        <v>12</v>
      </c>
      <c r="Y89" s="1">
        <f t="shared" si="20"/>
        <v>9.1769030936520508</v>
      </c>
      <c r="Z89" s="1">
        <v>871.38319999999987</v>
      </c>
      <c r="AA89" s="1">
        <v>808.63199999999995</v>
      </c>
      <c r="AB89" s="1">
        <v>837.73419999999987</v>
      </c>
      <c r="AC89" s="1">
        <v>878.66679999999997</v>
      </c>
      <c r="AD89" s="1">
        <v>853.15179999999998</v>
      </c>
      <c r="AE89" s="1">
        <v>861.34960000000012</v>
      </c>
      <c r="AF89" s="1">
        <v>927.4846</v>
      </c>
      <c r="AG89" s="1">
        <v>944.47799999999984</v>
      </c>
      <c r="AH89" s="1" t="s">
        <v>51</v>
      </c>
      <c r="AI89" s="1">
        <f t="shared" ref="AI89:AI96" si="26">G89*T89</f>
        <v>2616.3762000000029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2" t="s">
        <v>141</v>
      </c>
      <c r="B90" s="1" t="s">
        <v>37</v>
      </c>
      <c r="C90" s="1">
        <v>57.505000000000003</v>
      </c>
      <c r="D90" s="1"/>
      <c r="E90" s="1">
        <v>17.975000000000001</v>
      </c>
      <c r="F90" s="1">
        <v>39.53</v>
      </c>
      <c r="G90" s="8">
        <v>1</v>
      </c>
      <c r="H90" s="1">
        <v>60</v>
      </c>
      <c r="I90" s="1" t="s">
        <v>40</v>
      </c>
      <c r="J90" s="1"/>
      <c r="K90" s="1">
        <v>17.5</v>
      </c>
      <c r="L90" s="1">
        <f t="shared" si="16"/>
        <v>0.47500000000000142</v>
      </c>
      <c r="M90" s="1">
        <f t="shared" si="17"/>
        <v>17.975000000000001</v>
      </c>
      <c r="N90" s="1"/>
      <c r="O90" s="1">
        <v>0</v>
      </c>
      <c r="P90" s="1"/>
      <c r="Q90" s="1">
        <v>0</v>
      </c>
      <c r="R90" s="1">
        <f>IFERROR(VLOOKUP(A90,[1]Sheet!$A:$D,4,0),0)</f>
        <v>0</v>
      </c>
      <c r="S90" s="1">
        <f t="shared" si="18"/>
        <v>3.5950000000000002</v>
      </c>
      <c r="T90" s="5"/>
      <c r="U90" s="5"/>
      <c r="V90" s="1"/>
      <c r="W90" s="1"/>
      <c r="X90" s="1">
        <f t="shared" si="19"/>
        <v>10.995827538247566</v>
      </c>
      <c r="Y90" s="1">
        <f t="shared" si="20"/>
        <v>10.995827538247566</v>
      </c>
      <c r="Z90" s="1">
        <v>2.875</v>
      </c>
      <c r="AA90" s="1">
        <v>1.7969999999999999</v>
      </c>
      <c r="AB90" s="1">
        <v>1.4372</v>
      </c>
      <c r="AC90" s="1">
        <v>2.1514000000000002</v>
      </c>
      <c r="AD90" s="1">
        <v>1.7951999999999999</v>
      </c>
      <c r="AE90" s="1">
        <v>10.064399999999999</v>
      </c>
      <c r="AF90" s="1">
        <v>10.785399999999999</v>
      </c>
      <c r="AG90" s="1">
        <v>3.2477999999999998</v>
      </c>
      <c r="AH90" s="20" t="s">
        <v>152</v>
      </c>
      <c r="AI90" s="1">
        <f t="shared" si="26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142</v>
      </c>
      <c r="B91" s="1" t="s">
        <v>44</v>
      </c>
      <c r="C91" s="1">
        <v>94</v>
      </c>
      <c r="D91" s="1">
        <v>223</v>
      </c>
      <c r="E91" s="1">
        <v>183</v>
      </c>
      <c r="F91" s="1">
        <v>128</v>
      </c>
      <c r="G91" s="8">
        <v>0.3</v>
      </c>
      <c r="H91" s="1">
        <v>40</v>
      </c>
      <c r="I91" s="1" t="s">
        <v>40</v>
      </c>
      <c r="J91" s="1"/>
      <c r="K91" s="1">
        <v>188</v>
      </c>
      <c r="L91" s="1">
        <f t="shared" si="16"/>
        <v>-5</v>
      </c>
      <c r="M91" s="1">
        <f t="shared" si="17"/>
        <v>183</v>
      </c>
      <c r="N91" s="1"/>
      <c r="O91" s="1">
        <v>89.200000000000074</v>
      </c>
      <c r="P91" s="1"/>
      <c r="Q91" s="1">
        <v>81.199999999999932</v>
      </c>
      <c r="R91" s="1">
        <f>IFERROR(VLOOKUP(A91,[1]Sheet!$A:$D,4,0),0)</f>
        <v>0</v>
      </c>
      <c r="S91" s="1">
        <f t="shared" si="18"/>
        <v>36.6</v>
      </c>
      <c r="T91" s="5">
        <f t="shared" si="25"/>
        <v>140.80000000000007</v>
      </c>
      <c r="U91" s="5"/>
      <c r="V91" s="1"/>
      <c r="W91" s="1"/>
      <c r="X91" s="1">
        <f t="shared" si="19"/>
        <v>12</v>
      </c>
      <c r="Y91" s="1">
        <f t="shared" si="20"/>
        <v>8.1530054644808736</v>
      </c>
      <c r="Z91" s="1">
        <v>34.4</v>
      </c>
      <c r="AA91" s="1">
        <v>33.6</v>
      </c>
      <c r="AB91" s="1">
        <v>35</v>
      </c>
      <c r="AC91" s="1">
        <v>35.4</v>
      </c>
      <c r="AD91" s="1">
        <v>30.6</v>
      </c>
      <c r="AE91" s="1">
        <v>26.8</v>
      </c>
      <c r="AF91" s="1">
        <v>22.6</v>
      </c>
      <c r="AG91" s="1">
        <v>25.6</v>
      </c>
      <c r="AH91" s="1"/>
      <c r="AI91" s="1">
        <f t="shared" si="26"/>
        <v>42.240000000000016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143</v>
      </c>
      <c r="B92" s="1" t="s">
        <v>44</v>
      </c>
      <c r="C92" s="1">
        <v>67</v>
      </c>
      <c r="D92" s="1">
        <v>109</v>
      </c>
      <c r="E92" s="1">
        <v>100</v>
      </c>
      <c r="F92" s="1">
        <v>69</v>
      </c>
      <c r="G92" s="8">
        <v>0.3</v>
      </c>
      <c r="H92" s="1">
        <v>40</v>
      </c>
      <c r="I92" s="1" t="s">
        <v>40</v>
      </c>
      <c r="J92" s="1"/>
      <c r="K92" s="1">
        <v>106</v>
      </c>
      <c r="L92" s="1">
        <f t="shared" si="16"/>
        <v>-6</v>
      </c>
      <c r="M92" s="1">
        <f t="shared" si="17"/>
        <v>100</v>
      </c>
      <c r="N92" s="1"/>
      <c r="O92" s="1">
        <v>66.80000000000004</v>
      </c>
      <c r="P92" s="1"/>
      <c r="Q92" s="1">
        <v>59.399999999999949</v>
      </c>
      <c r="R92" s="1">
        <f>IFERROR(VLOOKUP(A92,[1]Sheet!$A:$D,4,0),0)</f>
        <v>0</v>
      </c>
      <c r="S92" s="1">
        <f t="shared" si="18"/>
        <v>20</v>
      </c>
      <c r="T92" s="5">
        <f t="shared" si="25"/>
        <v>44.800000000000011</v>
      </c>
      <c r="U92" s="5"/>
      <c r="V92" s="1"/>
      <c r="W92" s="1"/>
      <c r="X92" s="1">
        <f t="shared" si="19"/>
        <v>12</v>
      </c>
      <c r="Y92" s="1">
        <f t="shared" si="20"/>
        <v>9.76</v>
      </c>
      <c r="Z92" s="1">
        <v>21.2</v>
      </c>
      <c r="AA92" s="1">
        <v>19.600000000000001</v>
      </c>
      <c r="AB92" s="1">
        <v>19.399999999999999</v>
      </c>
      <c r="AC92" s="1">
        <v>19.399999999999999</v>
      </c>
      <c r="AD92" s="1">
        <v>18.600000000000001</v>
      </c>
      <c r="AE92" s="1">
        <v>18.8</v>
      </c>
      <c r="AF92" s="1">
        <v>17.399999999999999</v>
      </c>
      <c r="AG92" s="1">
        <v>15.2</v>
      </c>
      <c r="AH92" s="1" t="s">
        <v>144</v>
      </c>
      <c r="AI92" s="1">
        <f t="shared" si="26"/>
        <v>13.440000000000003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145</v>
      </c>
      <c r="B93" s="1" t="s">
        <v>37</v>
      </c>
      <c r="C93" s="1"/>
      <c r="D93" s="1">
        <v>102.47499999999999</v>
      </c>
      <c r="E93" s="1">
        <v>27.896999999999998</v>
      </c>
      <c r="F93" s="1">
        <v>69.989999999999995</v>
      </c>
      <c r="G93" s="8">
        <v>1</v>
      </c>
      <c r="H93" s="1">
        <v>50</v>
      </c>
      <c r="I93" s="1" t="s">
        <v>40</v>
      </c>
      <c r="J93" s="1"/>
      <c r="K93" s="1">
        <v>29.984999999999999</v>
      </c>
      <c r="L93" s="1">
        <f t="shared" si="16"/>
        <v>-2.088000000000001</v>
      </c>
      <c r="M93" s="1">
        <f t="shared" si="17"/>
        <v>25.212</v>
      </c>
      <c r="N93" s="1">
        <v>2.6850000000000001</v>
      </c>
      <c r="O93" s="1">
        <v>0</v>
      </c>
      <c r="P93" s="1"/>
      <c r="Q93" s="1">
        <v>0</v>
      </c>
      <c r="R93" s="1">
        <f>IFERROR(VLOOKUP(A93,[1]Sheet!$A:$D,4,0),0)</f>
        <v>0</v>
      </c>
      <c r="S93" s="1">
        <f t="shared" si="18"/>
        <v>5.0423999999999998</v>
      </c>
      <c r="T93" s="5"/>
      <c r="U93" s="5"/>
      <c r="V93" s="1"/>
      <c r="W93" s="1"/>
      <c r="X93" s="1">
        <f t="shared" si="19"/>
        <v>13.880295097572585</v>
      </c>
      <c r="Y93" s="1">
        <f t="shared" si="20"/>
        <v>13.880295097572585</v>
      </c>
      <c r="Z93" s="1">
        <v>2.6920000000000002</v>
      </c>
      <c r="AA93" s="1">
        <v>4.3211999999999993</v>
      </c>
      <c r="AB93" s="1">
        <v>7.9724000000000022</v>
      </c>
      <c r="AC93" s="1">
        <v>12.796200000000001</v>
      </c>
      <c r="AD93" s="1">
        <v>7.5626000000000007</v>
      </c>
      <c r="AE93" s="1">
        <v>7.8322000000000003</v>
      </c>
      <c r="AF93" s="1">
        <v>9.8015999999999988</v>
      </c>
      <c r="AG93" s="1">
        <v>9.9578000000000007</v>
      </c>
      <c r="AH93" s="1"/>
      <c r="AI93" s="1">
        <f t="shared" si="26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146</v>
      </c>
      <c r="B94" s="1" t="s">
        <v>44</v>
      </c>
      <c r="C94" s="1">
        <v>16</v>
      </c>
      <c r="D94" s="1">
        <v>6</v>
      </c>
      <c r="E94" s="1">
        <v>17</v>
      </c>
      <c r="F94" s="1">
        <v>3</v>
      </c>
      <c r="G94" s="8">
        <v>0.3</v>
      </c>
      <c r="H94" s="1">
        <v>40</v>
      </c>
      <c r="I94" s="1" t="s">
        <v>40</v>
      </c>
      <c r="J94" s="1"/>
      <c r="K94" s="1">
        <v>19</v>
      </c>
      <c r="L94" s="1">
        <f t="shared" si="16"/>
        <v>-2</v>
      </c>
      <c r="M94" s="1">
        <f t="shared" si="17"/>
        <v>17</v>
      </c>
      <c r="N94" s="1"/>
      <c r="O94" s="1">
        <v>33.000000000000007</v>
      </c>
      <c r="P94" s="1"/>
      <c r="Q94" s="1">
        <v>14.999999999999989</v>
      </c>
      <c r="R94" s="1">
        <f>IFERROR(VLOOKUP(A94,[1]Sheet!$A:$D,4,0),0)</f>
        <v>0</v>
      </c>
      <c r="S94" s="1">
        <f t="shared" si="18"/>
        <v>3.4</v>
      </c>
      <c r="T94" s="5"/>
      <c r="U94" s="5"/>
      <c r="V94" s="1"/>
      <c r="W94" s="1"/>
      <c r="X94" s="1">
        <f t="shared" si="19"/>
        <v>15</v>
      </c>
      <c r="Y94" s="1">
        <f t="shared" si="20"/>
        <v>15</v>
      </c>
      <c r="Z94" s="1">
        <v>5</v>
      </c>
      <c r="AA94" s="1">
        <v>4.4000000000000004</v>
      </c>
      <c r="AB94" s="1">
        <v>2.8</v>
      </c>
      <c r="AC94" s="1">
        <v>2.6</v>
      </c>
      <c r="AD94" s="1">
        <v>3.8</v>
      </c>
      <c r="AE94" s="1">
        <v>4.2</v>
      </c>
      <c r="AF94" s="1">
        <v>3.6</v>
      </c>
      <c r="AG94" s="1">
        <v>3.6</v>
      </c>
      <c r="AH94" s="1"/>
      <c r="AI94" s="1">
        <f t="shared" si="26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147</v>
      </c>
      <c r="B95" s="1" t="s">
        <v>44</v>
      </c>
      <c r="C95" s="1">
        <v>17</v>
      </c>
      <c r="D95" s="1">
        <v>77</v>
      </c>
      <c r="E95" s="1">
        <v>36</v>
      </c>
      <c r="F95" s="1">
        <v>55</v>
      </c>
      <c r="G95" s="8">
        <v>0.12</v>
      </c>
      <c r="H95" s="1">
        <v>45</v>
      </c>
      <c r="I95" s="1" t="s">
        <v>40</v>
      </c>
      <c r="J95" s="1"/>
      <c r="K95" s="1">
        <v>37</v>
      </c>
      <c r="L95" s="1">
        <f t="shared" si="16"/>
        <v>-1</v>
      </c>
      <c r="M95" s="1">
        <f t="shared" si="17"/>
        <v>36</v>
      </c>
      <c r="N95" s="1"/>
      <c r="O95" s="1">
        <v>60.599999999999987</v>
      </c>
      <c r="P95" s="1"/>
      <c r="Q95" s="1">
        <v>0</v>
      </c>
      <c r="R95" s="1">
        <f>IFERROR(VLOOKUP(A95,[1]Sheet!$A:$D,4,0),0)</f>
        <v>0</v>
      </c>
      <c r="S95" s="1">
        <f t="shared" si="18"/>
        <v>7.2</v>
      </c>
      <c r="T95" s="5"/>
      <c r="U95" s="5"/>
      <c r="V95" s="1"/>
      <c r="W95" s="1"/>
      <c r="X95" s="1">
        <f t="shared" si="19"/>
        <v>16.055555555555554</v>
      </c>
      <c r="Y95" s="1">
        <f t="shared" si="20"/>
        <v>16.055555555555554</v>
      </c>
      <c r="Z95" s="1">
        <v>9.4</v>
      </c>
      <c r="AA95" s="1">
        <v>11.6</v>
      </c>
      <c r="AB95" s="1">
        <v>9.6</v>
      </c>
      <c r="AC95" s="1">
        <v>7.4</v>
      </c>
      <c r="AD95" s="1">
        <v>6.8</v>
      </c>
      <c r="AE95" s="1">
        <v>7.4</v>
      </c>
      <c r="AF95" s="1">
        <v>10.4</v>
      </c>
      <c r="AG95" s="1">
        <v>11.4</v>
      </c>
      <c r="AH95" s="1" t="s">
        <v>148</v>
      </c>
      <c r="AI95" s="1">
        <f t="shared" si="26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2" t="s">
        <v>149</v>
      </c>
      <c r="B96" s="1" t="s">
        <v>37</v>
      </c>
      <c r="C96" s="1"/>
      <c r="D96" s="1"/>
      <c r="E96" s="1"/>
      <c r="F96" s="1"/>
      <c r="G96" s="8">
        <v>1</v>
      </c>
      <c r="H96" s="1">
        <v>180</v>
      </c>
      <c r="I96" s="1" t="s">
        <v>40</v>
      </c>
      <c r="J96" s="1"/>
      <c r="K96" s="1"/>
      <c r="L96" s="1">
        <f t="shared" si="16"/>
        <v>0</v>
      </c>
      <c r="M96" s="1">
        <f t="shared" si="17"/>
        <v>0</v>
      </c>
      <c r="N96" s="1"/>
      <c r="O96" s="1"/>
      <c r="P96" s="1"/>
      <c r="Q96" s="12"/>
      <c r="R96" s="1">
        <f>IFERROR(VLOOKUP(A96,[1]Sheet!$A:$D,4,0),0)</f>
        <v>0</v>
      </c>
      <c r="S96" s="1">
        <f t="shared" si="18"/>
        <v>0</v>
      </c>
      <c r="T96" s="19">
        <v>4</v>
      </c>
      <c r="U96" s="5"/>
      <c r="V96" s="1"/>
      <c r="W96" s="12"/>
      <c r="X96" s="1" t="e">
        <f t="shared" si="19"/>
        <v>#DIV/0!</v>
      </c>
      <c r="Y96" s="1" t="e">
        <f t="shared" si="20"/>
        <v>#DIV/0!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2" t="s">
        <v>150</v>
      </c>
      <c r="AI96" s="1">
        <f t="shared" si="26"/>
        <v>4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I96" xr:uid="{4FD567A2-C68C-4704-A33B-05CDC721730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2025-11-20T08:15:45Z</dcterms:created>
  <dcterms:modified xsi:type="dcterms:W3CDTF">2025-11-20T09:01:25Z</dcterms:modified>
</cp:coreProperties>
</file>