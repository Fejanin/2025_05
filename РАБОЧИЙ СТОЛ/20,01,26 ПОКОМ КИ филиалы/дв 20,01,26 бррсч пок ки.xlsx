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"/>
    </mc:Choice>
  </mc:AlternateContent>
  <xr:revisionPtr revIDLastSave="0" documentId="13_ncr:1_{CA01A294-D734-49C7-9AC7-4EAA25A729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8" i="1" l="1"/>
  <c r="AF94" i="1"/>
  <c r="AF87" i="1"/>
  <c r="AF48" i="1"/>
  <c r="AF40" i="1"/>
  <c r="AF35" i="1"/>
  <c r="Q7" i="1"/>
  <c r="Q8" i="1"/>
  <c r="R8" i="1" s="1"/>
  <c r="AF8" i="1" s="1"/>
  <c r="Q9" i="1"/>
  <c r="U9" i="1" s="1"/>
  <c r="Q10" i="1"/>
  <c r="R10" i="1" s="1"/>
  <c r="AF10" i="1" s="1"/>
  <c r="Q11" i="1"/>
  <c r="R11" i="1" s="1"/>
  <c r="AF11" i="1" s="1"/>
  <c r="Q12" i="1"/>
  <c r="Q13" i="1"/>
  <c r="Q14" i="1"/>
  <c r="R14" i="1" s="1"/>
  <c r="AF14" i="1" s="1"/>
  <c r="Q15" i="1"/>
  <c r="R15" i="1" s="1"/>
  <c r="AF15" i="1" s="1"/>
  <c r="Q16" i="1"/>
  <c r="R16" i="1" s="1"/>
  <c r="AF16" i="1" s="1"/>
  <c r="Q17" i="1"/>
  <c r="R17" i="1" s="1"/>
  <c r="AF17" i="1" s="1"/>
  <c r="Q18" i="1"/>
  <c r="Q19" i="1"/>
  <c r="Q20" i="1"/>
  <c r="Q21" i="1"/>
  <c r="R21" i="1" s="1"/>
  <c r="AF21" i="1" s="1"/>
  <c r="Q22" i="1"/>
  <c r="R22" i="1" s="1"/>
  <c r="AF22" i="1" s="1"/>
  <c r="Q23" i="1"/>
  <c r="R23" i="1" s="1"/>
  <c r="AF23" i="1" s="1"/>
  <c r="Q24" i="1"/>
  <c r="Q25" i="1"/>
  <c r="R25" i="1" s="1"/>
  <c r="AF25" i="1" s="1"/>
  <c r="Q26" i="1"/>
  <c r="U26" i="1" s="1"/>
  <c r="Q27" i="1"/>
  <c r="Q28" i="1"/>
  <c r="Q29" i="1"/>
  <c r="U29" i="1" s="1"/>
  <c r="Q30" i="1"/>
  <c r="AF30" i="1" s="1"/>
  <c r="Q31" i="1"/>
  <c r="R31" i="1" s="1"/>
  <c r="AF31" i="1" s="1"/>
  <c r="Q32" i="1"/>
  <c r="R32" i="1" s="1"/>
  <c r="AF32" i="1" s="1"/>
  <c r="Q33" i="1"/>
  <c r="Q34" i="1"/>
  <c r="R34" i="1" s="1"/>
  <c r="AF34" i="1" s="1"/>
  <c r="Q35" i="1"/>
  <c r="Q36" i="1"/>
  <c r="R36" i="1" s="1"/>
  <c r="AF36" i="1" s="1"/>
  <c r="Q37" i="1"/>
  <c r="U37" i="1" s="1"/>
  <c r="Q39" i="1"/>
  <c r="Q40" i="1"/>
  <c r="Q41" i="1"/>
  <c r="R41" i="1" s="1"/>
  <c r="Q42" i="1"/>
  <c r="Q43" i="1"/>
  <c r="R43" i="1" s="1"/>
  <c r="Q44" i="1"/>
  <c r="Q45" i="1"/>
  <c r="Q46" i="1"/>
  <c r="Q47" i="1"/>
  <c r="Q48" i="1"/>
  <c r="Q49" i="1"/>
  <c r="Q50" i="1"/>
  <c r="Q51" i="1"/>
  <c r="U51" i="1" s="1"/>
  <c r="Q52" i="1"/>
  <c r="R52" i="1" s="1"/>
  <c r="AF52" i="1" s="1"/>
  <c r="Q53" i="1"/>
  <c r="U53" i="1" s="1"/>
  <c r="Q54" i="1"/>
  <c r="Q55" i="1"/>
  <c r="Q56" i="1"/>
  <c r="U56" i="1" s="1"/>
  <c r="Q57" i="1"/>
  <c r="Q58" i="1"/>
  <c r="R58" i="1" s="1"/>
  <c r="Q59" i="1"/>
  <c r="Q60" i="1"/>
  <c r="Q61" i="1"/>
  <c r="R61" i="1" s="1"/>
  <c r="Q62" i="1"/>
  <c r="Q63" i="1"/>
  <c r="Q64" i="1"/>
  <c r="R64" i="1" s="1"/>
  <c r="Q65" i="1"/>
  <c r="Q66" i="1"/>
  <c r="R66" i="1" s="1"/>
  <c r="Q67" i="1"/>
  <c r="R67" i="1" s="1"/>
  <c r="AF67" i="1" s="1"/>
  <c r="Q68" i="1"/>
  <c r="R68" i="1" s="1"/>
  <c r="AF68" i="1" s="1"/>
  <c r="Q69" i="1"/>
  <c r="U69" i="1" s="1"/>
  <c r="Q70" i="1"/>
  <c r="Q71" i="1"/>
  <c r="Q72" i="1"/>
  <c r="Q73" i="1"/>
  <c r="U73" i="1" s="1"/>
  <c r="Q74" i="1"/>
  <c r="R74" i="1" s="1"/>
  <c r="Q75" i="1"/>
  <c r="U75" i="1" s="1"/>
  <c r="Q76" i="1"/>
  <c r="Q77" i="1"/>
  <c r="U77" i="1" s="1"/>
  <c r="Q78" i="1"/>
  <c r="U78" i="1" s="1"/>
  <c r="Q79" i="1"/>
  <c r="Q80" i="1"/>
  <c r="R80" i="1" s="1"/>
  <c r="AF80" i="1" s="1"/>
  <c r="Q81" i="1"/>
  <c r="Q82" i="1"/>
  <c r="Q83" i="1"/>
  <c r="U83" i="1" s="1"/>
  <c r="Q84" i="1"/>
  <c r="Q85" i="1"/>
  <c r="R85" i="1" s="1"/>
  <c r="AF85" i="1" s="1"/>
  <c r="Q86" i="1"/>
  <c r="AF86" i="1" s="1"/>
  <c r="Q87" i="1"/>
  <c r="Q88" i="1"/>
  <c r="AF88" i="1" s="1"/>
  <c r="Q89" i="1"/>
  <c r="R89" i="1" s="1"/>
  <c r="AF89" i="1" s="1"/>
  <c r="Q90" i="1"/>
  <c r="AF90" i="1" s="1"/>
  <c r="Q91" i="1"/>
  <c r="R91" i="1" s="1"/>
  <c r="AF91" i="1" s="1"/>
  <c r="Q92" i="1"/>
  <c r="V92" i="1" s="1"/>
  <c r="Q93" i="1"/>
  <c r="V93" i="1" s="1"/>
  <c r="Q94" i="1"/>
  <c r="V94" i="1" s="1"/>
  <c r="Q95" i="1"/>
  <c r="V95" i="1" s="1"/>
  <c r="Q96" i="1"/>
  <c r="V96" i="1" s="1"/>
  <c r="Q97" i="1"/>
  <c r="V97" i="1" s="1"/>
  <c r="Q6" i="1"/>
  <c r="V6" i="1" s="1"/>
  <c r="L97" i="1"/>
  <c r="L96" i="1"/>
  <c r="L95" i="1"/>
  <c r="L94" i="1"/>
  <c r="L93" i="1"/>
  <c r="AF92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AF72" i="1"/>
  <c r="L72" i="1"/>
  <c r="L71" i="1"/>
  <c r="L70" i="1"/>
  <c r="L69" i="1"/>
  <c r="L68" i="1"/>
  <c r="L67" i="1"/>
  <c r="AF66" i="1"/>
  <c r="L66" i="1"/>
  <c r="AF65" i="1"/>
  <c r="L65" i="1"/>
  <c r="AF64" i="1"/>
  <c r="L64" i="1"/>
  <c r="L63" i="1"/>
  <c r="AF62" i="1"/>
  <c r="L62" i="1"/>
  <c r="L61" i="1"/>
  <c r="AF60" i="1"/>
  <c r="L60" i="1"/>
  <c r="AF59" i="1"/>
  <c r="L59" i="1"/>
  <c r="AF58" i="1"/>
  <c r="L58" i="1"/>
  <c r="AF57" i="1"/>
  <c r="L57" i="1"/>
  <c r="L56" i="1"/>
  <c r="L55" i="1"/>
  <c r="AF54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AF33" i="1"/>
  <c r="L33" i="1"/>
  <c r="L32" i="1"/>
  <c r="L31" i="1"/>
  <c r="L30" i="1"/>
  <c r="L29" i="1"/>
  <c r="L28" i="1"/>
  <c r="L27" i="1"/>
  <c r="L26" i="1"/>
  <c r="L25" i="1"/>
  <c r="AF24" i="1"/>
  <c r="L24" i="1"/>
  <c r="L23" i="1"/>
  <c r="L22" i="1"/>
  <c r="L21" i="1"/>
  <c r="AF20" i="1"/>
  <c r="L20" i="1"/>
  <c r="AF19" i="1"/>
  <c r="L19" i="1"/>
  <c r="AF18" i="1"/>
  <c r="L18" i="1"/>
  <c r="L17" i="1"/>
  <c r="L16" i="1"/>
  <c r="L15" i="1"/>
  <c r="L14" i="1"/>
  <c r="AF13" i="1"/>
  <c r="L13" i="1"/>
  <c r="AF12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E5" i="1"/>
  <c r="AF74" i="1" l="1"/>
  <c r="R84" i="1"/>
  <c r="AF84" i="1" s="1"/>
  <c r="R44" i="1"/>
  <c r="AF44" i="1" s="1"/>
  <c r="R63" i="1"/>
  <c r="AF63" i="1" s="1"/>
  <c r="AF61" i="1"/>
  <c r="U80" i="1"/>
  <c r="U72" i="1"/>
  <c r="U54" i="1"/>
  <c r="U48" i="1"/>
  <c r="U44" i="1"/>
  <c r="U40" i="1"/>
  <c r="U8" i="1"/>
  <c r="R6" i="1"/>
  <c r="AF6" i="1" s="1"/>
  <c r="R28" i="1"/>
  <c r="AF28" i="1" s="1"/>
  <c r="AF38" i="1"/>
  <c r="AF42" i="1"/>
  <c r="R46" i="1"/>
  <c r="AF46" i="1" s="1"/>
  <c r="AF50" i="1"/>
  <c r="AF70" i="1"/>
  <c r="AF76" i="1"/>
  <c r="R82" i="1"/>
  <c r="AF82" i="1" s="1"/>
  <c r="R96" i="1"/>
  <c r="AF96" i="1" s="1"/>
  <c r="U91" i="1"/>
  <c r="U89" i="1"/>
  <c r="U87" i="1"/>
  <c r="U85" i="1"/>
  <c r="U67" i="1"/>
  <c r="U65" i="1"/>
  <c r="U61" i="1"/>
  <c r="U59" i="1"/>
  <c r="U57" i="1"/>
  <c r="U35" i="1"/>
  <c r="U33" i="1"/>
  <c r="U31" i="1"/>
  <c r="U25" i="1"/>
  <c r="U23" i="1"/>
  <c r="U21" i="1"/>
  <c r="U19" i="1"/>
  <c r="U17" i="1"/>
  <c r="U15" i="1"/>
  <c r="U13" i="1"/>
  <c r="U11" i="1"/>
  <c r="R7" i="1"/>
  <c r="AF7" i="1" s="1"/>
  <c r="R27" i="1"/>
  <c r="AF27" i="1" s="1"/>
  <c r="R39" i="1"/>
  <c r="AF39" i="1" s="1"/>
  <c r="AF41" i="1"/>
  <c r="AF43" i="1"/>
  <c r="R45" i="1"/>
  <c r="AF45" i="1" s="1"/>
  <c r="AF47" i="1"/>
  <c r="R49" i="1"/>
  <c r="AF49" i="1" s="1"/>
  <c r="AF55" i="1"/>
  <c r="AF71" i="1"/>
  <c r="R79" i="1"/>
  <c r="AF79" i="1" s="1"/>
  <c r="R81" i="1"/>
  <c r="AF81" i="1" s="1"/>
  <c r="R93" i="1"/>
  <c r="AF93" i="1" s="1"/>
  <c r="R95" i="1"/>
  <c r="AF95" i="1" s="1"/>
  <c r="AF97" i="1"/>
  <c r="U90" i="1"/>
  <c r="U88" i="1"/>
  <c r="U86" i="1"/>
  <c r="U74" i="1"/>
  <c r="U68" i="1"/>
  <c r="U66" i="1"/>
  <c r="U64" i="1"/>
  <c r="U62" i="1"/>
  <c r="U60" i="1"/>
  <c r="U58" i="1"/>
  <c r="U52" i="1"/>
  <c r="U36" i="1"/>
  <c r="U34" i="1"/>
  <c r="U32" i="1"/>
  <c r="U30" i="1"/>
  <c r="U24" i="1"/>
  <c r="U22" i="1"/>
  <c r="U20" i="1"/>
  <c r="U18" i="1"/>
  <c r="U16" i="1"/>
  <c r="U14" i="1"/>
  <c r="U12" i="1"/>
  <c r="U10" i="1"/>
  <c r="U94" i="1"/>
  <c r="V90" i="1"/>
  <c r="V86" i="1"/>
  <c r="V82" i="1"/>
  <c r="V78" i="1"/>
  <c r="V74" i="1"/>
  <c r="V70" i="1"/>
  <c r="V66" i="1"/>
  <c r="V62" i="1"/>
  <c r="V58" i="1"/>
  <c r="V54" i="1"/>
  <c r="V50" i="1"/>
  <c r="V46" i="1"/>
  <c r="V42" i="1"/>
  <c r="V38" i="1"/>
  <c r="V34" i="1"/>
  <c r="V30" i="1"/>
  <c r="V26" i="1"/>
  <c r="V22" i="1"/>
  <c r="V18" i="1"/>
  <c r="V14" i="1"/>
  <c r="V10" i="1"/>
  <c r="U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U97" i="1"/>
  <c r="L5" i="1"/>
  <c r="Q5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U84" i="1" l="1"/>
  <c r="U63" i="1"/>
  <c r="U95" i="1"/>
  <c r="U96" i="1"/>
  <c r="U28" i="1"/>
  <c r="U6" i="1"/>
  <c r="U93" i="1"/>
  <c r="R5" i="1"/>
  <c r="U7" i="1"/>
  <c r="AF5" i="1"/>
  <c r="U41" i="1"/>
  <c r="U45" i="1"/>
  <c r="U49" i="1"/>
  <c r="U71" i="1"/>
  <c r="U81" i="1"/>
  <c r="U27" i="1"/>
  <c r="U39" i="1"/>
  <c r="U43" i="1"/>
  <c r="U47" i="1"/>
  <c r="U55" i="1"/>
  <c r="U79" i="1"/>
  <c r="U38" i="1"/>
  <c r="U42" i="1"/>
  <c r="U46" i="1"/>
  <c r="U50" i="1"/>
  <c r="U70" i="1"/>
  <c r="U76" i="1"/>
  <c r="U82" i="1"/>
</calcChain>
</file>

<file path=xl/sharedStrings.xml><?xml version="1.0" encoding="utf-8"?>
<sst xmlns="http://schemas.openxmlformats.org/spreadsheetml/2006/main" count="362" uniqueCount="148">
  <si>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</si>
  <si>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</si>
  <si>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</si>
  <si>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</si>
  <si>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</si>
  <si>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</si>
  <si>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</si>
  <si>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</si>
  <si>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</si>
  <si>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</si>
  <si>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</si>
  <si>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</si>
  <si>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</si>
  <si>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</si>
  <si>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</si>
  <si>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</si>
  <si>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</si>
  <si>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</si>
  <si>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</si>
  <si>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</si>
  <si>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</si>
  <si>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</si>
  <si>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</si>
  <si>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</si>
  <si>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17,01,</t>
  </si>
  <si>
    <t>19,01,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</si>
  <si>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</si>
  <si>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</si>
  <si>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</si>
  <si>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</si>
  <si>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</si>
  <si>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</si>
  <si>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</si>
  <si>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</si>
  <si>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</si>
  <si>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</si>
  <si>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</si>
  <si>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</si>
  <si>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</si>
  <si>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</si>
  <si>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</si>
  <si>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</si>
  <si>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</si>
  <si>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</si>
  <si>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</si>
  <si>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</si>
  <si>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</si>
  <si>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</si>
  <si>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</si>
  <si>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</si>
  <si>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</si>
  <si>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</si>
  <si>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</si>
  <si>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</si>
  <si>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продажи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</si>
  <si>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</si>
  <si>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</si>
  <si>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</si>
  <si>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</si>
  <si>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</si>
  <si>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</si>
  <si>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</si>
  <si>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</si>
  <si>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</si>
  <si>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</si>
  <si>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</si>
  <si>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</si>
  <si>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</si>
  <si>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</si>
  <si>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</si>
  <si>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</si>
  <si>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</si>
  <si>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</si>
  <si>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</si>
  <si>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</si>
  <si>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</si>
  <si>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</si>
  <si>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</si>
  <si>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>перемещение (Новороссийск)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</si>
  <si>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</si>
  <si>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</si>
  <si>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</si>
  <si>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</si>
  <si>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</si>
  <si>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</si>
  <si>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</si>
  <si>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>нужно увеличить продажи!!!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</si>
  <si>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</si>
  <si>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</si>
  <si>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</si>
  <si>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</si>
  <si>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</si>
  <si>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</si>
  <si>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</si>
  <si>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</si>
  <si>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</si>
  <si>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</si>
  <si>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</si>
  <si>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</si>
  <si>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</si>
  <si>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</si>
  <si>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</si>
  <si>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</si>
  <si>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</si>
  <si>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</si>
  <si>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</si>
  <si>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</si>
  <si>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</si>
  <si>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</si>
  <si>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</si>
  <si>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</si>
  <si>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</si>
  <si>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</si>
  <si>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</si>
  <si>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</si>
  <si>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</si>
  <si>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</si>
  <si>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</si>
  <si>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</si>
  <si>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</si>
  <si>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</si>
  <si>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</si>
  <si>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</si>
  <si>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</si>
  <si>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</si>
  <si>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</si>
  <si>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</si>
  <si>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</si>
  <si>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</si>
  <si>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</si>
  <si>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</si>
  <si>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</si>
  <si>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</si>
  <si>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</si>
  <si>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</si>
  <si>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</si>
  <si>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</si>
  <si>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</si>
  <si>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</si>
  <si>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</si>
  <si>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</si>
  <si>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</si>
  <si>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</si>
  <si>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</si>
  <si>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</si>
  <si>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</si>
  <si>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</si>
  <si>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(Новороссийск)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</si>
</sst>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6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  <xf numFmtId="164" fontId="6" fillId="0" borderId="1" xfId="1" applyNumberFormat="1" applyFont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47.855468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12953.841</v>
      </c>
      <c r="F5" s="4">
        <f>SUM(F6:F500)</f>
        <v>16323.162999999999</v>
      </c>
      <c r="G5" s="8"/>
      <c r="H5" s="1"/>
      <c r="I5" s="1"/>
      <c r="J5" s="1"/>
      <c r="K5" s="4">
        <f t="shared" ref="K5:S5" si="0">SUM(K6:K500)</f>
        <v>13520.028999999999</v>
      </c>
      <c r="L5" s="4">
        <f t="shared" si="0"/>
        <v>-566.18799999999976</v>
      </c>
      <c r="M5" s="4">
        <f t="shared" si="0"/>
        <v>0</v>
      </c>
      <c r="N5" s="4">
        <f t="shared" si="0"/>
        <v>0</v>
      </c>
      <c r="O5" s="4">
        <f t="shared" si="0"/>
        <v>1929.7659400000005</v>
      </c>
      <c r="P5" s="4">
        <f t="shared" si="0"/>
        <v>5064.1578</v>
      </c>
      <c r="Q5" s="4">
        <f t="shared" si="0"/>
        <v>2590.7682000000009</v>
      </c>
      <c r="R5" s="4">
        <f t="shared" si="0"/>
        <v>7302.353259999999</v>
      </c>
      <c r="S5" s="4">
        <f t="shared" si="0"/>
        <v>0</v>
      </c>
      <c r="T5" s="1"/>
      <c r="U5" s="1"/>
      <c r="V5" s="1"/>
      <c r="W5" s="4">
        <f t="shared" ref="W5:AD5" si="1">SUM(W6:W500)</f>
        <v>2294.7321999999999</v>
      </c>
      <c r="X5" s="4">
        <f t="shared" si="1"/>
        <v>2229.7986000000005</v>
      </c>
      <c r="Y5" s="4">
        <f t="shared" si="1"/>
        <v>2516.3498333333341</v>
      </c>
      <c r="Z5" s="4">
        <f t="shared" si="1"/>
        <v>2999.6713999999997</v>
      </c>
      <c r="AA5" s="4">
        <f t="shared" si="1"/>
        <v>2379.5410000000002</v>
      </c>
      <c r="AB5" s="4">
        <f t="shared" si="1"/>
        <v>2623.6326000000004</v>
      </c>
      <c r="AC5" s="4">
        <f t="shared" si="1"/>
        <v>2468.4562000000005</v>
      </c>
      <c r="AD5" s="4">
        <f t="shared" si="1"/>
        <v>2102.4102000000003</v>
      </c>
      <c r="AE5" s="1"/>
      <c r="AF5" s="4">
        <f>SUM(AF6:AF500)</f>
        <v>5032.3182600000027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253.20699999999999</v>
      </c>
      <c r="D6" s="1">
        <v>1.345</v>
      </c>
      <c r="E6" s="1">
        <v>177.71799999999999</v>
      </c>
      <c r="F6" s="1">
        <v>74.712000000000003</v>
      </c>
      <c r="G6" s="8">
        <v>1</v>
      </c>
      <c r="H6" s="1">
        <v>50</v>
      </c>
      <c r="I6" s="1" t="s">
        <v>37</v>
      </c>
      <c r="J6" s="1"/>
      <c r="K6" s="1">
        <v>166.2</v>
      </c>
      <c r="L6" s="1">
        <f t="shared" ref="L6:L37" si="2">E6-K6</f>
        <v>11.518000000000001</v>
      </c>
      <c r="M6" s="1"/>
      <c r="N6" s="1"/>
      <c r="O6" s="1">
        <v>77.270400000000052</v>
      </c>
      <c r="P6" s="1">
        <v>58.211399999999998</v>
      </c>
      <c r="Q6" s="1">
        <f>E6/5</f>
        <v>35.543599999999998</v>
      </c>
      <c r="R6" s="5">
        <f>11*Q6-P6-O6-F6</f>
        <v>180.78579999999994</v>
      </c>
      <c r="S6" s="5"/>
      <c r="T6" s="1"/>
      <c r="U6" s="1">
        <f>(F6+O6+P6+R6)/Q6</f>
        <v>11</v>
      </c>
      <c r="V6" s="1">
        <f>(F6+O6+P6)/Q6</f>
        <v>5.9136891029608725</v>
      </c>
      <c r="W6" s="1">
        <v>27.619399999999999</v>
      </c>
      <c r="X6" s="1">
        <v>30.043399999999998</v>
      </c>
      <c r="Y6" s="1">
        <v>23.93116666666667</v>
      </c>
      <c r="Z6" s="1">
        <v>29.980599999999999</v>
      </c>
      <c r="AA6" s="1">
        <v>30.4298</v>
      </c>
      <c r="AB6" s="1">
        <v>21.640999999999998</v>
      </c>
      <c r="AC6" s="1">
        <v>28.107199999999999</v>
      </c>
      <c r="AD6" s="1">
        <v>22.5428</v>
      </c>
      <c r="AE6" s="1"/>
      <c r="AF6" s="1">
        <f>G6*R6</f>
        <v>180.78579999999994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64.906999999999996</v>
      </c>
      <c r="D7" s="1">
        <v>24.448</v>
      </c>
      <c r="E7" s="1">
        <v>74.774000000000001</v>
      </c>
      <c r="F7" s="1">
        <v>5.1150000000000002</v>
      </c>
      <c r="G7" s="8">
        <v>1</v>
      </c>
      <c r="H7" s="1">
        <v>45</v>
      </c>
      <c r="I7" s="1" t="s">
        <v>37</v>
      </c>
      <c r="J7" s="1"/>
      <c r="K7" s="1">
        <v>74.010000000000005</v>
      </c>
      <c r="L7" s="1">
        <f t="shared" si="2"/>
        <v>0.76399999999999579</v>
      </c>
      <c r="M7" s="1"/>
      <c r="N7" s="1"/>
      <c r="O7" s="1">
        <v>61.84220000000002</v>
      </c>
      <c r="P7" s="1">
        <v>74.450400000000002</v>
      </c>
      <c r="Q7" s="1">
        <f t="shared" ref="Q7:Q70" si="3">E7/5</f>
        <v>14.954800000000001</v>
      </c>
      <c r="R7" s="5">
        <f t="shared" ref="R7:R8" si="4">11*Q7-P7-O7-F7</f>
        <v>23.095199999999984</v>
      </c>
      <c r="S7" s="5"/>
      <c r="T7" s="1"/>
      <c r="U7" s="1">
        <f t="shared" ref="U7:U70" si="5">(F7+O7+P7+R7)/Q7</f>
        <v>10.999999999999998</v>
      </c>
      <c r="V7" s="1">
        <f t="shared" ref="V7:V70" si="6">(F7+O7+P7)/Q7</f>
        <v>9.4556664081097708</v>
      </c>
      <c r="W7" s="1">
        <v>15.459199999999999</v>
      </c>
      <c r="X7" s="1">
        <v>12.702</v>
      </c>
      <c r="Y7" s="1">
        <v>6.9579999999999993</v>
      </c>
      <c r="Z7" s="1">
        <v>11.8482</v>
      </c>
      <c r="AA7" s="1">
        <v>12.653600000000001</v>
      </c>
      <c r="AB7" s="1">
        <v>7.6798000000000002</v>
      </c>
      <c r="AC7" s="1">
        <v>7.6087999999999996</v>
      </c>
      <c r="AD7" s="1">
        <v>3.928199999999999</v>
      </c>
      <c r="AE7" s="1" t="s">
        <v>39</v>
      </c>
      <c r="AF7" s="1">
        <f>G7*R7</f>
        <v>23.095199999999984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>
        <v>50.188000000000002</v>
      </c>
      <c r="D8" s="1">
        <v>34.112000000000002</v>
      </c>
      <c r="E8" s="1">
        <v>86.027000000000001</v>
      </c>
      <c r="F8" s="1">
        <v>-3.081</v>
      </c>
      <c r="G8" s="8">
        <v>1</v>
      </c>
      <c r="H8" s="1">
        <v>45</v>
      </c>
      <c r="I8" s="1" t="s">
        <v>37</v>
      </c>
      <c r="J8" s="1"/>
      <c r="K8" s="1">
        <v>88.4</v>
      </c>
      <c r="L8" s="1">
        <f t="shared" si="2"/>
        <v>-2.3730000000000047</v>
      </c>
      <c r="M8" s="1"/>
      <c r="N8" s="1"/>
      <c r="O8" s="1">
        <v>80.732799999999983</v>
      </c>
      <c r="P8" s="1">
        <v>21.454000000000018</v>
      </c>
      <c r="Q8" s="1">
        <f t="shared" si="3"/>
        <v>17.205400000000001</v>
      </c>
      <c r="R8" s="5">
        <f t="shared" si="4"/>
        <v>90.153600000000012</v>
      </c>
      <c r="S8" s="5"/>
      <c r="T8" s="1"/>
      <c r="U8" s="1">
        <f t="shared" si="5"/>
        <v>11.000000000000002</v>
      </c>
      <c r="V8" s="1">
        <f t="shared" si="6"/>
        <v>5.7601566949911076</v>
      </c>
      <c r="W8" s="1">
        <v>12.534000000000001</v>
      </c>
      <c r="X8" s="1">
        <v>13.5924</v>
      </c>
      <c r="Y8" s="1">
        <v>10.22233333333333</v>
      </c>
      <c r="Z8" s="1">
        <v>11.449199999999999</v>
      </c>
      <c r="AA8" s="1">
        <v>7.1951999999999998</v>
      </c>
      <c r="AB8" s="1">
        <v>15.5526</v>
      </c>
      <c r="AC8" s="1">
        <v>14.3314</v>
      </c>
      <c r="AD8" s="1">
        <v>6.7866</v>
      </c>
      <c r="AE8" s="1"/>
      <c r="AF8" s="1">
        <f>G8*R8</f>
        <v>90.153600000000012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2" t="s">
        <v>41</v>
      </c>
      <c r="B9" s="12" t="s">
        <v>42</v>
      </c>
      <c r="C9" s="12">
        <v>27</v>
      </c>
      <c r="D9" s="12"/>
      <c r="E9" s="12">
        <v>6</v>
      </c>
      <c r="F9" s="12">
        <v>21</v>
      </c>
      <c r="G9" s="13">
        <v>0</v>
      </c>
      <c r="H9" s="12" t="e">
        <v>#N/A</v>
      </c>
      <c r="I9" s="12" t="s">
        <v>43</v>
      </c>
      <c r="J9" s="12"/>
      <c r="K9" s="12">
        <v>6</v>
      </c>
      <c r="L9" s="12">
        <f t="shared" si="2"/>
        <v>0</v>
      </c>
      <c r="M9" s="12"/>
      <c r="N9" s="12"/>
      <c r="O9" s="12">
        <v>0</v>
      </c>
      <c r="P9" s="12"/>
      <c r="Q9" s="12">
        <f t="shared" si="3"/>
        <v>1.2</v>
      </c>
      <c r="R9" s="14"/>
      <c r="S9" s="14"/>
      <c r="T9" s="12"/>
      <c r="U9" s="12">
        <f t="shared" si="5"/>
        <v>17.5</v>
      </c>
      <c r="V9" s="12">
        <f t="shared" si="6"/>
        <v>17.5</v>
      </c>
      <c r="W9" s="12">
        <v>0.8</v>
      </c>
      <c r="X9" s="12">
        <v>0.6</v>
      </c>
      <c r="Y9" s="12">
        <v>0.16666666666666671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6" t="s">
        <v>147</v>
      </c>
      <c r="AF9" s="12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332</v>
      </c>
      <c r="D10" s="1">
        <v>283</v>
      </c>
      <c r="E10" s="1">
        <v>327</v>
      </c>
      <c r="F10" s="1">
        <v>223</v>
      </c>
      <c r="G10" s="8">
        <v>0.45</v>
      </c>
      <c r="H10" s="1">
        <v>45</v>
      </c>
      <c r="I10" s="1" t="s">
        <v>37</v>
      </c>
      <c r="J10" s="1"/>
      <c r="K10" s="1">
        <v>385</v>
      </c>
      <c r="L10" s="1">
        <f t="shared" si="2"/>
        <v>-58</v>
      </c>
      <c r="M10" s="1"/>
      <c r="N10" s="1"/>
      <c r="O10" s="1">
        <v>54.600000000000023</v>
      </c>
      <c r="P10" s="1">
        <v>287.39999999999998</v>
      </c>
      <c r="Q10" s="1">
        <f t="shared" si="3"/>
        <v>65.400000000000006</v>
      </c>
      <c r="R10" s="5">
        <f t="shared" ref="R10:R25" si="7">11*Q10-P10-O10-F10</f>
        <v>154.40000000000009</v>
      </c>
      <c r="S10" s="5"/>
      <c r="T10" s="1"/>
      <c r="U10" s="1">
        <f t="shared" si="5"/>
        <v>11</v>
      </c>
      <c r="V10" s="1">
        <f t="shared" si="6"/>
        <v>8.6391437308868486</v>
      </c>
      <c r="W10" s="1">
        <v>60</v>
      </c>
      <c r="X10" s="1">
        <v>54.6</v>
      </c>
      <c r="Y10" s="1">
        <v>56.833333333333343</v>
      </c>
      <c r="Z10" s="1">
        <v>50</v>
      </c>
      <c r="AA10" s="1">
        <v>23.4</v>
      </c>
      <c r="AB10" s="1">
        <v>65.2</v>
      </c>
      <c r="AC10" s="1">
        <v>49</v>
      </c>
      <c r="AD10" s="1">
        <v>23.2</v>
      </c>
      <c r="AE10" s="1" t="s">
        <v>39</v>
      </c>
      <c r="AF10" s="1">
        <f t="shared" ref="AF10:AF25" si="8">G10*R10</f>
        <v>69.480000000000047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42</v>
      </c>
      <c r="C11" s="1">
        <v>407</v>
      </c>
      <c r="D11" s="1">
        <v>303</v>
      </c>
      <c r="E11" s="1">
        <v>373</v>
      </c>
      <c r="F11" s="1">
        <v>276</v>
      </c>
      <c r="G11" s="8">
        <v>0.45</v>
      </c>
      <c r="H11" s="1">
        <v>45</v>
      </c>
      <c r="I11" s="1" t="s">
        <v>37</v>
      </c>
      <c r="J11" s="1"/>
      <c r="K11" s="1">
        <v>418</v>
      </c>
      <c r="L11" s="1">
        <f t="shared" si="2"/>
        <v>-45</v>
      </c>
      <c r="M11" s="1"/>
      <c r="N11" s="1"/>
      <c r="O11" s="1">
        <v>43</v>
      </c>
      <c r="P11" s="1">
        <v>128.40000000000009</v>
      </c>
      <c r="Q11" s="1">
        <f t="shared" si="3"/>
        <v>74.599999999999994</v>
      </c>
      <c r="R11" s="5">
        <f t="shared" si="7"/>
        <v>373.19999999999982</v>
      </c>
      <c r="S11" s="5"/>
      <c r="T11" s="1"/>
      <c r="U11" s="1">
        <f t="shared" si="5"/>
        <v>11</v>
      </c>
      <c r="V11" s="1">
        <f t="shared" si="6"/>
        <v>5.9973190348525485</v>
      </c>
      <c r="W11" s="1">
        <v>55.2</v>
      </c>
      <c r="X11" s="1">
        <v>62</v>
      </c>
      <c r="Y11" s="1">
        <v>64.5</v>
      </c>
      <c r="Z11" s="1">
        <v>46.6</v>
      </c>
      <c r="AA11" s="1">
        <v>27.4</v>
      </c>
      <c r="AB11" s="1">
        <v>74.8</v>
      </c>
      <c r="AC11" s="1">
        <v>59</v>
      </c>
      <c r="AD11" s="1">
        <v>31.8</v>
      </c>
      <c r="AE11" s="1"/>
      <c r="AF11" s="1">
        <f t="shared" si="8"/>
        <v>167.93999999999991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42</v>
      </c>
      <c r="C12" s="1">
        <v>39</v>
      </c>
      <c r="D12" s="1">
        <v>96</v>
      </c>
      <c r="E12" s="1">
        <v>41</v>
      </c>
      <c r="F12" s="1">
        <v>88</v>
      </c>
      <c r="G12" s="8">
        <v>0.17</v>
      </c>
      <c r="H12" s="1">
        <v>180</v>
      </c>
      <c r="I12" s="1" t="s">
        <v>37</v>
      </c>
      <c r="J12" s="1"/>
      <c r="K12" s="1">
        <v>50</v>
      </c>
      <c r="L12" s="1">
        <f t="shared" si="2"/>
        <v>-9</v>
      </c>
      <c r="M12" s="1"/>
      <c r="N12" s="1"/>
      <c r="O12" s="1">
        <v>0</v>
      </c>
      <c r="P12" s="1">
        <v>12.19999999999999</v>
      </c>
      <c r="Q12" s="1">
        <f t="shared" si="3"/>
        <v>8.1999999999999993</v>
      </c>
      <c r="R12" s="5"/>
      <c r="S12" s="5"/>
      <c r="T12" s="1"/>
      <c r="U12" s="1">
        <f t="shared" si="5"/>
        <v>12.219512195121951</v>
      </c>
      <c r="V12" s="1">
        <f t="shared" si="6"/>
        <v>12.219512195121951</v>
      </c>
      <c r="W12" s="1">
        <v>8</v>
      </c>
      <c r="X12" s="1">
        <v>9</v>
      </c>
      <c r="Y12" s="1">
        <v>11.16666666666667</v>
      </c>
      <c r="Z12" s="1">
        <v>7.6</v>
      </c>
      <c r="AA12" s="1">
        <v>6.8</v>
      </c>
      <c r="AB12" s="1">
        <v>6</v>
      </c>
      <c r="AC12" s="1">
        <v>5.6</v>
      </c>
      <c r="AD12" s="1">
        <v>1.8</v>
      </c>
      <c r="AE12" s="1"/>
      <c r="AF12" s="1">
        <f t="shared" si="8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42</v>
      </c>
      <c r="C13" s="1">
        <v>10</v>
      </c>
      <c r="D13" s="1">
        <v>30</v>
      </c>
      <c r="E13" s="1">
        <v>13</v>
      </c>
      <c r="F13" s="1">
        <v>29</v>
      </c>
      <c r="G13" s="8">
        <v>0.3</v>
      </c>
      <c r="H13" s="1">
        <v>40</v>
      </c>
      <c r="I13" s="1" t="s">
        <v>37</v>
      </c>
      <c r="J13" s="1"/>
      <c r="K13" s="1">
        <v>30</v>
      </c>
      <c r="L13" s="1">
        <f t="shared" si="2"/>
        <v>-17</v>
      </c>
      <c r="M13" s="1"/>
      <c r="N13" s="1"/>
      <c r="O13" s="1">
        <v>60.400000000000013</v>
      </c>
      <c r="P13" s="1">
        <v>4.5999999999999908</v>
      </c>
      <c r="Q13" s="1">
        <f t="shared" si="3"/>
        <v>2.6</v>
      </c>
      <c r="R13" s="5"/>
      <c r="S13" s="5"/>
      <c r="T13" s="1"/>
      <c r="U13" s="1">
        <f t="shared" si="5"/>
        <v>36.153846153846153</v>
      </c>
      <c r="V13" s="1">
        <f t="shared" si="6"/>
        <v>36.153846153846153</v>
      </c>
      <c r="W13" s="1">
        <v>7.8</v>
      </c>
      <c r="X13" s="1">
        <v>9.8000000000000007</v>
      </c>
      <c r="Y13" s="1">
        <v>5.833333333333333</v>
      </c>
      <c r="Z13" s="1">
        <v>4.4000000000000004</v>
      </c>
      <c r="AA13" s="1">
        <v>4.8</v>
      </c>
      <c r="AB13" s="1">
        <v>6.8</v>
      </c>
      <c r="AC13" s="1">
        <v>3.4</v>
      </c>
      <c r="AD13" s="1">
        <v>1.2</v>
      </c>
      <c r="AE13" s="1"/>
      <c r="AF13" s="1">
        <f t="shared" si="8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42</v>
      </c>
      <c r="C14" s="1">
        <v>68</v>
      </c>
      <c r="D14" s="1">
        <v>90</v>
      </c>
      <c r="E14" s="1">
        <v>53</v>
      </c>
      <c r="F14" s="1">
        <v>105</v>
      </c>
      <c r="G14" s="8">
        <v>0.17</v>
      </c>
      <c r="H14" s="1">
        <v>180</v>
      </c>
      <c r="I14" s="1" t="s">
        <v>37</v>
      </c>
      <c r="J14" s="1"/>
      <c r="K14" s="1">
        <v>53</v>
      </c>
      <c r="L14" s="1">
        <f t="shared" si="2"/>
        <v>0</v>
      </c>
      <c r="M14" s="1"/>
      <c r="N14" s="1"/>
      <c r="O14" s="1">
        <v>0</v>
      </c>
      <c r="P14" s="1"/>
      <c r="Q14" s="1">
        <f t="shared" si="3"/>
        <v>10.6</v>
      </c>
      <c r="R14" s="5">
        <f t="shared" si="7"/>
        <v>11.599999999999994</v>
      </c>
      <c r="S14" s="5"/>
      <c r="T14" s="1"/>
      <c r="U14" s="1">
        <f t="shared" si="5"/>
        <v>11</v>
      </c>
      <c r="V14" s="1">
        <f t="shared" si="6"/>
        <v>9.9056603773584904</v>
      </c>
      <c r="W14" s="1">
        <v>8.6</v>
      </c>
      <c r="X14" s="1">
        <v>11</v>
      </c>
      <c r="Y14" s="1">
        <v>13.16666666666667</v>
      </c>
      <c r="Z14" s="1">
        <v>5.4</v>
      </c>
      <c r="AA14" s="1">
        <v>10.6</v>
      </c>
      <c r="AB14" s="1">
        <v>15.8</v>
      </c>
      <c r="AC14" s="1">
        <v>3.8</v>
      </c>
      <c r="AD14" s="1">
        <v>1.8</v>
      </c>
      <c r="AE14" s="1"/>
      <c r="AF14" s="1">
        <f t="shared" si="8"/>
        <v>1.9719999999999991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36</v>
      </c>
      <c r="C15" s="1">
        <v>360.40499999999997</v>
      </c>
      <c r="D15" s="1">
        <v>2.661</v>
      </c>
      <c r="E15" s="1">
        <v>174.363</v>
      </c>
      <c r="F15" s="1">
        <v>186.042</v>
      </c>
      <c r="G15" s="8">
        <v>1</v>
      </c>
      <c r="H15" s="1">
        <v>55</v>
      </c>
      <c r="I15" s="1" t="s">
        <v>37</v>
      </c>
      <c r="J15" s="1"/>
      <c r="K15" s="1">
        <v>162.5</v>
      </c>
      <c r="L15" s="1">
        <f t="shared" si="2"/>
        <v>11.863</v>
      </c>
      <c r="M15" s="1"/>
      <c r="N15" s="1"/>
      <c r="O15" s="1">
        <v>0</v>
      </c>
      <c r="P15" s="1">
        <v>37.99939999999998</v>
      </c>
      <c r="Q15" s="1">
        <f t="shared" si="3"/>
        <v>34.872599999999998</v>
      </c>
      <c r="R15" s="5">
        <f t="shared" si="7"/>
        <v>159.55719999999999</v>
      </c>
      <c r="S15" s="5"/>
      <c r="T15" s="1"/>
      <c r="U15" s="1">
        <f t="shared" si="5"/>
        <v>11</v>
      </c>
      <c r="V15" s="1">
        <f t="shared" si="6"/>
        <v>6.424568285702815</v>
      </c>
      <c r="W15" s="1">
        <v>28.722200000000001</v>
      </c>
      <c r="X15" s="1">
        <v>28.55</v>
      </c>
      <c r="Y15" s="1">
        <v>27.055499999999999</v>
      </c>
      <c r="Z15" s="1">
        <v>36.171599999999998</v>
      </c>
      <c r="AA15" s="1">
        <v>39.584600000000002</v>
      </c>
      <c r="AB15" s="1">
        <v>39.674400000000013</v>
      </c>
      <c r="AC15" s="1">
        <v>34.943199999999997</v>
      </c>
      <c r="AD15" s="1">
        <v>35.653399999999998</v>
      </c>
      <c r="AE15" s="1" t="s">
        <v>50</v>
      </c>
      <c r="AF15" s="1">
        <f t="shared" si="8"/>
        <v>159.55719999999999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36</v>
      </c>
      <c r="C16" s="1">
        <v>1753.7139999999999</v>
      </c>
      <c r="D16" s="1">
        <v>1361.307</v>
      </c>
      <c r="E16" s="1">
        <v>1137.5340000000001</v>
      </c>
      <c r="F16" s="1">
        <v>1926.0250000000001</v>
      </c>
      <c r="G16" s="8">
        <v>1</v>
      </c>
      <c r="H16" s="1">
        <v>50</v>
      </c>
      <c r="I16" s="1" t="s">
        <v>37</v>
      </c>
      <c r="J16" s="1"/>
      <c r="K16" s="1">
        <v>1156.9760000000001</v>
      </c>
      <c r="L16" s="1">
        <f t="shared" si="2"/>
        <v>-19.442000000000007</v>
      </c>
      <c r="M16" s="1"/>
      <c r="N16" s="1"/>
      <c r="O16" s="1">
        <v>0</v>
      </c>
      <c r="P16" s="1"/>
      <c r="Q16" s="1">
        <f t="shared" si="3"/>
        <v>227.50680000000003</v>
      </c>
      <c r="R16" s="5">
        <f t="shared" si="7"/>
        <v>576.54980000000023</v>
      </c>
      <c r="S16" s="5"/>
      <c r="T16" s="1"/>
      <c r="U16" s="1">
        <f t="shared" si="5"/>
        <v>11</v>
      </c>
      <c r="V16" s="1">
        <f t="shared" si="6"/>
        <v>8.4657909126232713</v>
      </c>
      <c r="W16" s="1">
        <v>197.92</v>
      </c>
      <c r="X16" s="1">
        <v>200.38300000000001</v>
      </c>
      <c r="Y16" s="1">
        <v>244.566</v>
      </c>
      <c r="Z16" s="1">
        <v>332.7568</v>
      </c>
      <c r="AA16" s="1">
        <v>240.71799999999999</v>
      </c>
      <c r="AB16" s="1">
        <v>226.48679999999999</v>
      </c>
      <c r="AC16" s="1">
        <v>222.994</v>
      </c>
      <c r="AD16" s="1">
        <v>199.20480000000001</v>
      </c>
      <c r="AE16" s="1" t="s">
        <v>50</v>
      </c>
      <c r="AF16" s="1">
        <f t="shared" si="8"/>
        <v>576.54980000000023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36</v>
      </c>
      <c r="C17" s="1">
        <v>41.110999999999997</v>
      </c>
      <c r="D17" s="1">
        <v>52.648000000000003</v>
      </c>
      <c r="E17" s="1">
        <v>43.841999999999999</v>
      </c>
      <c r="F17" s="1">
        <v>49.034999999999997</v>
      </c>
      <c r="G17" s="8">
        <v>1</v>
      </c>
      <c r="H17" s="1">
        <v>60</v>
      </c>
      <c r="I17" s="1" t="s">
        <v>37</v>
      </c>
      <c r="J17" s="1"/>
      <c r="K17" s="1">
        <v>40.5</v>
      </c>
      <c r="L17" s="1">
        <f t="shared" si="2"/>
        <v>3.3419999999999987</v>
      </c>
      <c r="M17" s="1"/>
      <c r="N17" s="1"/>
      <c r="O17" s="1">
        <v>15.01379999999998</v>
      </c>
      <c r="P17" s="1">
        <v>8.2226000000000212</v>
      </c>
      <c r="Q17" s="1">
        <f t="shared" si="3"/>
        <v>8.7683999999999997</v>
      </c>
      <c r="R17" s="5">
        <f t="shared" si="7"/>
        <v>24.181000000000012</v>
      </c>
      <c r="S17" s="5"/>
      <c r="T17" s="1"/>
      <c r="U17" s="1">
        <f t="shared" si="5"/>
        <v>11.000000000000002</v>
      </c>
      <c r="V17" s="1">
        <f t="shared" si="6"/>
        <v>8.2422562839286524</v>
      </c>
      <c r="W17" s="1">
        <v>8.0861999999999998</v>
      </c>
      <c r="X17" s="1">
        <v>9.6727999999999987</v>
      </c>
      <c r="Y17" s="1">
        <v>9.2493333333333343</v>
      </c>
      <c r="Z17" s="1">
        <v>6.3465999999999996</v>
      </c>
      <c r="AA17" s="1">
        <v>7.9516000000000009</v>
      </c>
      <c r="AB17" s="1">
        <v>8.0396000000000001</v>
      </c>
      <c r="AC17" s="1">
        <v>7.3372000000000002</v>
      </c>
      <c r="AD17" s="1">
        <v>6.5974000000000004</v>
      </c>
      <c r="AE17" s="1"/>
      <c r="AF17" s="1">
        <f t="shared" si="8"/>
        <v>24.181000000000012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36</v>
      </c>
      <c r="C18" s="1">
        <v>1726.21</v>
      </c>
      <c r="D18" s="1">
        <v>504.56299999999999</v>
      </c>
      <c r="E18" s="1">
        <v>364.08800000000002</v>
      </c>
      <c r="F18" s="1">
        <v>1834.4069999999999</v>
      </c>
      <c r="G18" s="8">
        <v>1</v>
      </c>
      <c r="H18" s="1">
        <v>60</v>
      </c>
      <c r="I18" s="1" t="s">
        <v>37</v>
      </c>
      <c r="J18" s="1"/>
      <c r="K18" s="1">
        <v>377.5</v>
      </c>
      <c r="L18" s="1">
        <f t="shared" si="2"/>
        <v>-13.411999999999978</v>
      </c>
      <c r="M18" s="1"/>
      <c r="N18" s="1"/>
      <c r="O18" s="1">
        <v>0</v>
      </c>
      <c r="P18" s="1"/>
      <c r="Q18" s="1">
        <f t="shared" si="3"/>
        <v>72.817599999999999</v>
      </c>
      <c r="R18" s="5"/>
      <c r="S18" s="5"/>
      <c r="T18" s="1"/>
      <c r="U18" s="1">
        <f t="shared" si="5"/>
        <v>25.191808024433652</v>
      </c>
      <c r="V18" s="1">
        <f t="shared" si="6"/>
        <v>25.191808024433652</v>
      </c>
      <c r="W18" s="1">
        <v>81.121400000000008</v>
      </c>
      <c r="X18" s="1">
        <v>96.032600000000002</v>
      </c>
      <c r="Y18" s="1">
        <v>145.94566666666671</v>
      </c>
      <c r="Z18" s="1">
        <v>219.3134</v>
      </c>
      <c r="AA18" s="1">
        <v>182.58320000000001</v>
      </c>
      <c r="AB18" s="1">
        <v>142.5966</v>
      </c>
      <c r="AC18" s="1">
        <v>155.06899999999999</v>
      </c>
      <c r="AD18" s="1">
        <v>145.56960000000001</v>
      </c>
      <c r="AE18" s="22" t="s">
        <v>86</v>
      </c>
      <c r="AF18" s="1">
        <f t="shared" si="8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36</v>
      </c>
      <c r="C19" s="1">
        <v>14.958</v>
      </c>
      <c r="D19" s="1">
        <v>66.563999999999993</v>
      </c>
      <c r="E19" s="1">
        <v>20.306000000000001</v>
      </c>
      <c r="F19" s="1">
        <v>52.396999999999998</v>
      </c>
      <c r="G19" s="8">
        <v>1</v>
      </c>
      <c r="H19" s="1">
        <v>60</v>
      </c>
      <c r="I19" s="1" t="s">
        <v>37</v>
      </c>
      <c r="J19" s="1"/>
      <c r="K19" s="1">
        <v>34.9</v>
      </c>
      <c r="L19" s="1">
        <f t="shared" si="2"/>
        <v>-14.593999999999998</v>
      </c>
      <c r="M19" s="1"/>
      <c r="N19" s="1"/>
      <c r="O19" s="1">
        <v>5.6677999999999908</v>
      </c>
      <c r="P19" s="1"/>
      <c r="Q19" s="1">
        <f t="shared" si="3"/>
        <v>4.0612000000000004</v>
      </c>
      <c r="R19" s="5"/>
      <c r="S19" s="5"/>
      <c r="T19" s="1"/>
      <c r="U19" s="1">
        <f t="shared" si="5"/>
        <v>14.297449029843392</v>
      </c>
      <c r="V19" s="1">
        <f t="shared" si="6"/>
        <v>14.297449029843392</v>
      </c>
      <c r="W19" s="1">
        <v>4.7271999999999998</v>
      </c>
      <c r="X19" s="1">
        <v>6.8337999999999992</v>
      </c>
      <c r="Y19" s="1">
        <v>6.8871666666666664</v>
      </c>
      <c r="Z19" s="1">
        <v>5.8531999999999993</v>
      </c>
      <c r="AA19" s="1">
        <v>3.4077999999999999</v>
      </c>
      <c r="AB19" s="1">
        <v>5.8864000000000001</v>
      </c>
      <c r="AC19" s="1">
        <v>4.9603999999999999</v>
      </c>
      <c r="AD19" s="1">
        <v>4.3460000000000001</v>
      </c>
      <c r="AE19" s="1"/>
      <c r="AF19" s="1">
        <f t="shared" si="8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36</v>
      </c>
      <c r="C20" s="1">
        <v>5.94</v>
      </c>
      <c r="D20" s="1"/>
      <c r="E20" s="1">
        <v>1.1000000000000001</v>
      </c>
      <c r="F20" s="1">
        <v>4.4740000000000002</v>
      </c>
      <c r="G20" s="8">
        <v>1</v>
      </c>
      <c r="H20" s="1">
        <v>180</v>
      </c>
      <c r="I20" s="1" t="s">
        <v>37</v>
      </c>
      <c r="J20" s="1"/>
      <c r="K20" s="1">
        <v>1.6</v>
      </c>
      <c r="L20" s="1">
        <f t="shared" si="2"/>
        <v>-0.5</v>
      </c>
      <c r="M20" s="1"/>
      <c r="N20" s="1"/>
      <c r="O20" s="1">
        <v>0</v>
      </c>
      <c r="P20" s="1"/>
      <c r="Q20" s="1">
        <f t="shared" si="3"/>
        <v>0.22000000000000003</v>
      </c>
      <c r="R20" s="5"/>
      <c r="S20" s="5"/>
      <c r="T20" s="1"/>
      <c r="U20" s="1">
        <f t="shared" si="5"/>
        <v>20.336363636363636</v>
      </c>
      <c r="V20" s="1">
        <f t="shared" si="6"/>
        <v>20.336363636363636</v>
      </c>
      <c r="W20" s="1">
        <v>7.5600000000000001E-2</v>
      </c>
      <c r="X20" s="1">
        <v>0.14560000000000001</v>
      </c>
      <c r="Y20" s="1">
        <v>0.1836666666666667</v>
      </c>
      <c r="Z20" s="1">
        <v>0.5292</v>
      </c>
      <c r="AA20" s="1">
        <v>0.68179999999999996</v>
      </c>
      <c r="AB20" s="1">
        <v>0.67999999999999994</v>
      </c>
      <c r="AC20" s="1">
        <v>0.52779999999999994</v>
      </c>
      <c r="AD20" s="1">
        <v>0.222</v>
      </c>
      <c r="AE20" s="1"/>
      <c r="AF20" s="1">
        <f t="shared" si="8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36</v>
      </c>
      <c r="C21" s="1">
        <v>364.72399999999999</v>
      </c>
      <c r="D21" s="1">
        <v>314.89499999999998</v>
      </c>
      <c r="E21" s="1">
        <v>317.505</v>
      </c>
      <c r="F21" s="1">
        <v>252.63200000000001</v>
      </c>
      <c r="G21" s="8">
        <v>1</v>
      </c>
      <c r="H21" s="1">
        <v>60</v>
      </c>
      <c r="I21" s="1" t="s">
        <v>37</v>
      </c>
      <c r="J21" s="1"/>
      <c r="K21" s="1">
        <v>303</v>
      </c>
      <c r="L21" s="1">
        <f t="shared" si="2"/>
        <v>14.504999999999995</v>
      </c>
      <c r="M21" s="1"/>
      <c r="N21" s="1"/>
      <c r="O21" s="1">
        <v>0</v>
      </c>
      <c r="P21" s="1">
        <v>50.495399999999883</v>
      </c>
      <c r="Q21" s="1">
        <f t="shared" si="3"/>
        <v>63.500999999999998</v>
      </c>
      <c r="R21" s="5">
        <f t="shared" si="7"/>
        <v>395.38360000000006</v>
      </c>
      <c r="S21" s="5"/>
      <c r="T21" s="1"/>
      <c r="U21" s="1">
        <f t="shared" si="5"/>
        <v>11</v>
      </c>
      <c r="V21" s="1">
        <f t="shared" si="6"/>
        <v>4.7735846679579836</v>
      </c>
      <c r="W21" s="1">
        <v>41.723599999999998</v>
      </c>
      <c r="X21" s="1">
        <v>45.596600000000002</v>
      </c>
      <c r="Y21" s="1">
        <v>49.124666666666663</v>
      </c>
      <c r="Z21" s="1">
        <v>49.304600000000001</v>
      </c>
      <c r="AA21" s="1">
        <v>49.347999999999999</v>
      </c>
      <c r="AB21" s="1">
        <v>55.198400000000007</v>
      </c>
      <c r="AC21" s="1">
        <v>54.27</v>
      </c>
      <c r="AD21" s="1">
        <v>36.486600000000003</v>
      </c>
      <c r="AE21" s="1" t="s">
        <v>50</v>
      </c>
      <c r="AF21" s="1">
        <f t="shared" si="8"/>
        <v>395.38360000000006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36</v>
      </c>
      <c r="C22" s="1">
        <v>109.902</v>
      </c>
      <c r="D22" s="1">
        <v>133.809</v>
      </c>
      <c r="E22" s="1">
        <v>88.465000000000003</v>
      </c>
      <c r="F22" s="1">
        <v>152.58699999999999</v>
      </c>
      <c r="G22" s="8">
        <v>1</v>
      </c>
      <c r="H22" s="1">
        <v>60</v>
      </c>
      <c r="I22" s="1" t="s">
        <v>37</v>
      </c>
      <c r="J22" s="1"/>
      <c r="K22" s="1">
        <v>81.5</v>
      </c>
      <c r="L22" s="1">
        <f t="shared" si="2"/>
        <v>6.9650000000000034</v>
      </c>
      <c r="M22" s="1"/>
      <c r="N22" s="1"/>
      <c r="O22" s="1">
        <v>0</v>
      </c>
      <c r="P22" s="1">
        <v>37.126050000000014</v>
      </c>
      <c r="Q22" s="1">
        <f t="shared" si="3"/>
        <v>17.693000000000001</v>
      </c>
      <c r="R22" s="5">
        <f t="shared" si="7"/>
        <v>4.9099500000000091</v>
      </c>
      <c r="S22" s="5"/>
      <c r="T22" s="1"/>
      <c r="U22" s="1">
        <f t="shared" si="5"/>
        <v>11</v>
      </c>
      <c r="V22" s="1">
        <f t="shared" si="6"/>
        <v>10.722491945967331</v>
      </c>
      <c r="W22" s="1">
        <v>18.7834</v>
      </c>
      <c r="X22" s="1">
        <v>19.64</v>
      </c>
      <c r="Y22" s="1">
        <v>21.301833333333331</v>
      </c>
      <c r="Z22" s="1">
        <v>15.8376</v>
      </c>
      <c r="AA22" s="1">
        <v>6.9802000000000008</v>
      </c>
      <c r="AB22" s="1">
        <v>23.1342</v>
      </c>
      <c r="AC22" s="1">
        <v>16.4252</v>
      </c>
      <c r="AD22" s="1">
        <v>11.7744</v>
      </c>
      <c r="AE22" s="1"/>
      <c r="AF22" s="1">
        <f t="shared" si="8"/>
        <v>4.9099500000000091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36</v>
      </c>
      <c r="C23" s="1">
        <v>71.241</v>
      </c>
      <c r="D23" s="1">
        <v>130.51599999999999</v>
      </c>
      <c r="E23" s="1">
        <v>62.332000000000001</v>
      </c>
      <c r="F23" s="1">
        <v>133.292</v>
      </c>
      <c r="G23" s="8">
        <v>1</v>
      </c>
      <c r="H23" s="1">
        <v>60</v>
      </c>
      <c r="I23" s="1" t="s">
        <v>37</v>
      </c>
      <c r="J23" s="1"/>
      <c r="K23" s="1">
        <v>59.28</v>
      </c>
      <c r="L23" s="1">
        <f t="shared" si="2"/>
        <v>3.0519999999999996</v>
      </c>
      <c r="M23" s="1"/>
      <c r="N23" s="1"/>
      <c r="O23" s="1">
        <v>0</v>
      </c>
      <c r="P23" s="1"/>
      <c r="Q23" s="1">
        <f t="shared" si="3"/>
        <v>12.4664</v>
      </c>
      <c r="R23" s="5">
        <f t="shared" si="7"/>
        <v>3.8384000000000071</v>
      </c>
      <c r="S23" s="5"/>
      <c r="T23" s="1"/>
      <c r="U23" s="1">
        <f t="shared" si="5"/>
        <v>11</v>
      </c>
      <c r="V23" s="1">
        <f t="shared" si="6"/>
        <v>10.692100365783226</v>
      </c>
      <c r="W23" s="1">
        <v>12.174200000000001</v>
      </c>
      <c r="X23" s="1">
        <v>11.984400000000001</v>
      </c>
      <c r="Y23" s="1">
        <v>18.327333333333328</v>
      </c>
      <c r="Z23" s="1">
        <v>15.494400000000001</v>
      </c>
      <c r="AA23" s="1">
        <v>7.3226000000000004</v>
      </c>
      <c r="AB23" s="1">
        <v>17.344200000000001</v>
      </c>
      <c r="AC23" s="1">
        <v>11.5716</v>
      </c>
      <c r="AD23" s="1">
        <v>10.374000000000001</v>
      </c>
      <c r="AE23" s="1"/>
      <c r="AF23" s="1">
        <f t="shared" si="8"/>
        <v>3.8384000000000071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36</v>
      </c>
      <c r="C24" s="1">
        <v>5.84</v>
      </c>
      <c r="D24" s="1">
        <v>8.7029999999999994</v>
      </c>
      <c r="E24" s="1">
        <v>1.123</v>
      </c>
      <c r="F24" s="1">
        <v>13.081</v>
      </c>
      <c r="G24" s="8">
        <v>1</v>
      </c>
      <c r="H24" s="1">
        <v>180</v>
      </c>
      <c r="I24" s="1" t="s">
        <v>37</v>
      </c>
      <c r="J24" s="1"/>
      <c r="K24" s="1">
        <v>1.5</v>
      </c>
      <c r="L24" s="1">
        <f t="shared" si="2"/>
        <v>-0.377</v>
      </c>
      <c r="M24" s="1"/>
      <c r="N24" s="1"/>
      <c r="O24" s="1">
        <v>0</v>
      </c>
      <c r="P24" s="1"/>
      <c r="Q24" s="1">
        <f t="shared" si="3"/>
        <v>0.22459999999999999</v>
      </c>
      <c r="R24" s="5"/>
      <c r="S24" s="5"/>
      <c r="T24" s="1"/>
      <c r="U24" s="1">
        <f t="shared" si="5"/>
        <v>58.241317898486194</v>
      </c>
      <c r="V24" s="1">
        <f t="shared" si="6"/>
        <v>58.241317898486194</v>
      </c>
      <c r="W24" s="1">
        <v>0.21460000000000001</v>
      </c>
      <c r="X24" s="1">
        <v>0.20580000000000001</v>
      </c>
      <c r="Y24" s="1">
        <v>0.74783333333333335</v>
      </c>
      <c r="Z24" s="1">
        <v>1.1086</v>
      </c>
      <c r="AA24" s="1">
        <v>0.628</v>
      </c>
      <c r="AB24" s="1">
        <v>7.0199999999999999E-2</v>
      </c>
      <c r="AC24" s="1">
        <v>0.2114</v>
      </c>
      <c r="AD24" s="1">
        <v>0.35239999999999999</v>
      </c>
      <c r="AE24" s="22" t="s">
        <v>86</v>
      </c>
      <c r="AF24" s="1">
        <f t="shared" si="8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36</v>
      </c>
      <c r="C25" s="1">
        <v>207.42</v>
      </c>
      <c r="D25" s="1">
        <v>51.161000000000001</v>
      </c>
      <c r="E25" s="1">
        <v>97.36</v>
      </c>
      <c r="F25" s="1">
        <v>157.714</v>
      </c>
      <c r="G25" s="8">
        <v>1</v>
      </c>
      <c r="H25" s="1">
        <v>60</v>
      </c>
      <c r="I25" s="1" t="s">
        <v>37</v>
      </c>
      <c r="J25" s="1"/>
      <c r="K25" s="1">
        <v>89.6</v>
      </c>
      <c r="L25" s="1">
        <f t="shared" si="2"/>
        <v>7.7600000000000051</v>
      </c>
      <c r="M25" s="1"/>
      <c r="N25" s="1"/>
      <c r="O25" s="1">
        <v>0</v>
      </c>
      <c r="P25" s="1">
        <v>8.8599500000000546</v>
      </c>
      <c r="Q25" s="1">
        <f t="shared" si="3"/>
        <v>19.472000000000001</v>
      </c>
      <c r="R25" s="5">
        <f t="shared" si="7"/>
        <v>47.618049999999954</v>
      </c>
      <c r="S25" s="5"/>
      <c r="T25" s="1"/>
      <c r="U25" s="1">
        <f t="shared" si="5"/>
        <v>11</v>
      </c>
      <c r="V25" s="1">
        <f t="shared" si="6"/>
        <v>8.5545372843056722</v>
      </c>
      <c r="W25" s="1">
        <v>18.447600000000001</v>
      </c>
      <c r="X25" s="1">
        <v>21.787800000000001</v>
      </c>
      <c r="Y25" s="1">
        <v>22.638833333333331</v>
      </c>
      <c r="Z25" s="1">
        <v>17.836600000000001</v>
      </c>
      <c r="AA25" s="1">
        <v>19.833200000000001</v>
      </c>
      <c r="AB25" s="1">
        <v>35.476999999999997</v>
      </c>
      <c r="AC25" s="1">
        <v>32.472999999999999</v>
      </c>
      <c r="AD25" s="1">
        <v>22.639800000000001</v>
      </c>
      <c r="AE25" s="1" t="s">
        <v>50</v>
      </c>
      <c r="AF25" s="1">
        <f t="shared" si="8"/>
        <v>47.618049999999954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7" t="s">
        <v>62</v>
      </c>
      <c r="B26" s="17" t="s">
        <v>36</v>
      </c>
      <c r="C26" s="17"/>
      <c r="D26" s="17"/>
      <c r="E26" s="17"/>
      <c r="F26" s="17"/>
      <c r="G26" s="18">
        <v>0</v>
      </c>
      <c r="H26" s="17">
        <v>30</v>
      </c>
      <c r="I26" s="17" t="s">
        <v>37</v>
      </c>
      <c r="J26" s="17"/>
      <c r="K26" s="17"/>
      <c r="L26" s="17">
        <f t="shared" si="2"/>
        <v>0</v>
      </c>
      <c r="M26" s="17"/>
      <c r="N26" s="17"/>
      <c r="O26" s="17">
        <v>0</v>
      </c>
      <c r="P26" s="17"/>
      <c r="Q26" s="17">
        <f t="shared" si="3"/>
        <v>0</v>
      </c>
      <c r="R26" s="19"/>
      <c r="S26" s="19"/>
      <c r="T26" s="17"/>
      <c r="U26" s="17" t="e">
        <f t="shared" si="5"/>
        <v>#DIV/0!</v>
      </c>
      <c r="V26" s="17" t="e">
        <f t="shared" si="6"/>
        <v>#DIV/0!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 t="s">
        <v>63</v>
      </c>
      <c r="AF26" s="17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36</v>
      </c>
      <c r="C27" s="1">
        <v>128.18</v>
      </c>
      <c r="D27" s="1">
        <v>33.363</v>
      </c>
      <c r="E27" s="1">
        <v>102.68899999999999</v>
      </c>
      <c r="F27" s="1">
        <v>46.883000000000003</v>
      </c>
      <c r="G27" s="8">
        <v>1</v>
      </c>
      <c r="H27" s="1">
        <v>30</v>
      </c>
      <c r="I27" s="1" t="s">
        <v>37</v>
      </c>
      <c r="J27" s="1"/>
      <c r="K27" s="1">
        <v>94.33</v>
      </c>
      <c r="L27" s="1">
        <f t="shared" si="2"/>
        <v>8.3589999999999947</v>
      </c>
      <c r="M27" s="1"/>
      <c r="N27" s="1"/>
      <c r="O27" s="1">
        <v>20.26939999999993</v>
      </c>
      <c r="P27" s="1">
        <v>87.917600000000007</v>
      </c>
      <c r="Q27" s="1">
        <f t="shared" si="3"/>
        <v>20.537799999999997</v>
      </c>
      <c r="R27" s="5">
        <f t="shared" ref="R27:R28" si="9">11*Q27-P27-O27-F27</f>
        <v>70.845799999999997</v>
      </c>
      <c r="S27" s="5"/>
      <c r="T27" s="1"/>
      <c r="U27" s="1">
        <f t="shared" si="5"/>
        <v>10.999999999999998</v>
      </c>
      <c r="V27" s="1">
        <f t="shared" si="6"/>
        <v>7.5504679176932274</v>
      </c>
      <c r="W27" s="1">
        <v>17.843</v>
      </c>
      <c r="X27" s="1">
        <v>15.7944</v>
      </c>
      <c r="Y27" s="1">
        <v>14.419166666666669</v>
      </c>
      <c r="Z27" s="1">
        <v>19.844000000000001</v>
      </c>
      <c r="AA27" s="1">
        <v>17.498000000000001</v>
      </c>
      <c r="AB27" s="1">
        <v>13.9122</v>
      </c>
      <c r="AC27" s="1">
        <v>18.367000000000001</v>
      </c>
      <c r="AD27" s="1">
        <v>16.213000000000001</v>
      </c>
      <c r="AE27" s="1"/>
      <c r="AF27" s="1">
        <f>G27*R27</f>
        <v>70.845799999999997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36</v>
      </c>
      <c r="C28" s="1">
        <v>99.408000000000001</v>
      </c>
      <c r="D28" s="1">
        <v>7.0629999999999997</v>
      </c>
      <c r="E28" s="1">
        <v>94.558000000000007</v>
      </c>
      <c r="F28" s="1">
        <v>-2.6379999999999999</v>
      </c>
      <c r="G28" s="8">
        <v>1</v>
      </c>
      <c r="H28" s="1">
        <v>30</v>
      </c>
      <c r="I28" s="1" t="s">
        <v>37</v>
      </c>
      <c r="J28" s="1"/>
      <c r="K28" s="1">
        <v>105.5</v>
      </c>
      <c r="L28" s="1">
        <f t="shared" si="2"/>
        <v>-10.941999999999993</v>
      </c>
      <c r="M28" s="1"/>
      <c r="N28" s="1"/>
      <c r="O28" s="1">
        <v>133.03800000000001</v>
      </c>
      <c r="P28" s="1">
        <v>52.633799999999979</v>
      </c>
      <c r="Q28" s="1">
        <f t="shared" si="3"/>
        <v>18.9116</v>
      </c>
      <c r="R28" s="5">
        <f t="shared" si="9"/>
        <v>24.993800000000014</v>
      </c>
      <c r="S28" s="5"/>
      <c r="T28" s="1"/>
      <c r="U28" s="1">
        <f t="shared" si="5"/>
        <v>11</v>
      </c>
      <c r="V28" s="1">
        <f t="shared" si="6"/>
        <v>9.6783878677636999</v>
      </c>
      <c r="W28" s="1">
        <v>20.006399999999999</v>
      </c>
      <c r="X28" s="1">
        <v>23.244599999999998</v>
      </c>
      <c r="Y28" s="1">
        <v>12.7905</v>
      </c>
      <c r="Z28" s="1">
        <v>11.502599999999999</v>
      </c>
      <c r="AA28" s="1">
        <v>17.809000000000001</v>
      </c>
      <c r="AB28" s="1">
        <v>18.3062</v>
      </c>
      <c r="AC28" s="1">
        <v>19.308199999999999</v>
      </c>
      <c r="AD28" s="1">
        <v>15.922000000000001</v>
      </c>
      <c r="AE28" s="1" t="s">
        <v>50</v>
      </c>
      <c r="AF28" s="1">
        <f>G28*R28</f>
        <v>24.993800000000014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7" t="s">
        <v>66</v>
      </c>
      <c r="B29" s="17" t="s">
        <v>36</v>
      </c>
      <c r="C29" s="17"/>
      <c r="D29" s="17"/>
      <c r="E29" s="17"/>
      <c r="F29" s="17"/>
      <c r="G29" s="18">
        <v>0</v>
      </c>
      <c r="H29" s="17">
        <v>45</v>
      </c>
      <c r="I29" s="17" t="s">
        <v>37</v>
      </c>
      <c r="J29" s="17"/>
      <c r="K29" s="17"/>
      <c r="L29" s="17">
        <f t="shared" si="2"/>
        <v>0</v>
      </c>
      <c r="M29" s="17"/>
      <c r="N29" s="17"/>
      <c r="O29" s="17">
        <v>0</v>
      </c>
      <c r="P29" s="17"/>
      <c r="Q29" s="17">
        <f t="shared" si="3"/>
        <v>0</v>
      </c>
      <c r="R29" s="19"/>
      <c r="S29" s="19"/>
      <c r="T29" s="17"/>
      <c r="U29" s="17" t="e">
        <f t="shared" si="5"/>
        <v>#DIV/0!</v>
      </c>
      <c r="V29" s="17" t="e">
        <f t="shared" si="6"/>
        <v>#DIV/0!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 t="s">
        <v>63</v>
      </c>
      <c r="AF29" s="17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36</v>
      </c>
      <c r="C30" s="1">
        <v>50.747</v>
      </c>
      <c r="D30" s="1">
        <v>27.202000000000002</v>
      </c>
      <c r="E30" s="1">
        <v>24.814</v>
      </c>
      <c r="F30" s="1">
        <v>53.134999999999998</v>
      </c>
      <c r="G30" s="8">
        <v>1</v>
      </c>
      <c r="H30" s="1">
        <v>40</v>
      </c>
      <c r="I30" s="1" t="s">
        <v>37</v>
      </c>
      <c r="J30" s="1"/>
      <c r="K30" s="1">
        <v>22.3</v>
      </c>
      <c r="L30" s="1">
        <f t="shared" si="2"/>
        <v>2.5139999999999993</v>
      </c>
      <c r="M30" s="1"/>
      <c r="N30" s="1"/>
      <c r="O30" s="1">
        <v>0</v>
      </c>
      <c r="P30" s="1"/>
      <c r="Q30" s="1">
        <f t="shared" si="3"/>
        <v>4.9627999999999997</v>
      </c>
      <c r="R30" s="5">
        <v>4</v>
      </c>
      <c r="S30" s="5"/>
      <c r="T30" s="1"/>
      <c r="U30" s="1">
        <f t="shared" si="5"/>
        <v>11.512654146852583</v>
      </c>
      <c r="V30" s="1">
        <f t="shared" si="6"/>
        <v>10.706657532038365</v>
      </c>
      <c r="W30" s="1">
        <v>4.1095999999999986</v>
      </c>
      <c r="X30" s="1">
        <v>5.6880000000000006</v>
      </c>
      <c r="Y30" s="1">
        <v>6.5115000000000007</v>
      </c>
      <c r="Z30" s="1">
        <v>6.5385999999999997</v>
      </c>
      <c r="AA30" s="1">
        <v>5.1761999999999997</v>
      </c>
      <c r="AB30" s="1">
        <v>3.4788000000000001</v>
      </c>
      <c r="AC30" s="1">
        <v>4.9555999999999996</v>
      </c>
      <c r="AD30" s="1">
        <v>4.5793999999999997</v>
      </c>
      <c r="AE30" s="1"/>
      <c r="AF30" s="1">
        <f t="shared" ref="AF30:AF36" si="10">G30*R30</f>
        <v>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68</v>
      </c>
      <c r="B31" s="1" t="s">
        <v>36</v>
      </c>
      <c r="C31" s="1">
        <v>32.506</v>
      </c>
      <c r="D31" s="1"/>
      <c r="E31" s="1">
        <v>23.542999999999999</v>
      </c>
      <c r="F31" s="1">
        <v>3.32</v>
      </c>
      <c r="G31" s="8">
        <v>1</v>
      </c>
      <c r="H31" s="1">
        <v>30</v>
      </c>
      <c r="I31" s="1" t="s">
        <v>37</v>
      </c>
      <c r="J31" s="1"/>
      <c r="K31" s="1">
        <v>33.6</v>
      </c>
      <c r="L31" s="1">
        <f t="shared" si="2"/>
        <v>-10.057000000000002</v>
      </c>
      <c r="M31" s="1"/>
      <c r="N31" s="1"/>
      <c r="O31" s="1">
        <v>0</v>
      </c>
      <c r="P31" s="1">
        <v>42.187199999999997</v>
      </c>
      <c r="Q31" s="1">
        <f t="shared" si="3"/>
        <v>4.7085999999999997</v>
      </c>
      <c r="R31" s="5">
        <f t="shared" ref="R31:R36" si="11">11*Q31-P31-O31-F31</f>
        <v>6.2873999999999981</v>
      </c>
      <c r="S31" s="5"/>
      <c r="T31" s="1"/>
      <c r="U31" s="1">
        <f t="shared" si="5"/>
        <v>11</v>
      </c>
      <c r="V31" s="1">
        <f t="shared" si="6"/>
        <v>9.6646986365374001</v>
      </c>
      <c r="W31" s="1">
        <v>5.4712000000000014</v>
      </c>
      <c r="X31" s="1">
        <v>1.3692</v>
      </c>
      <c r="Y31" s="1">
        <v>2.761333333333333</v>
      </c>
      <c r="Z31" s="1">
        <v>6.2792000000000003</v>
      </c>
      <c r="AA31" s="1">
        <v>6.8353999999999999</v>
      </c>
      <c r="AB31" s="1">
        <v>4.0375999999999994</v>
      </c>
      <c r="AC31" s="1">
        <v>4.9176000000000002</v>
      </c>
      <c r="AD31" s="1">
        <v>4.3883999999999999</v>
      </c>
      <c r="AE31" s="1" t="s">
        <v>69</v>
      </c>
      <c r="AF31" s="1">
        <f t="shared" si="10"/>
        <v>6.2873999999999981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36</v>
      </c>
      <c r="C32" s="1">
        <v>245.149</v>
      </c>
      <c r="D32" s="1"/>
      <c r="E32" s="1">
        <v>92.495000000000005</v>
      </c>
      <c r="F32" s="1">
        <v>149.02199999999999</v>
      </c>
      <c r="G32" s="8">
        <v>1</v>
      </c>
      <c r="H32" s="1">
        <v>50</v>
      </c>
      <c r="I32" s="1" t="s">
        <v>37</v>
      </c>
      <c r="J32" s="1"/>
      <c r="K32" s="1">
        <v>79.7</v>
      </c>
      <c r="L32" s="1">
        <f t="shared" si="2"/>
        <v>12.795000000000002</v>
      </c>
      <c r="M32" s="1"/>
      <c r="N32" s="1"/>
      <c r="O32" s="1">
        <v>0</v>
      </c>
      <c r="P32" s="1"/>
      <c r="Q32" s="1">
        <f t="shared" si="3"/>
        <v>18.499000000000002</v>
      </c>
      <c r="R32" s="5">
        <f t="shared" si="11"/>
        <v>54.467000000000041</v>
      </c>
      <c r="S32" s="5"/>
      <c r="T32" s="1"/>
      <c r="U32" s="1">
        <f t="shared" si="5"/>
        <v>11</v>
      </c>
      <c r="V32" s="1">
        <f t="shared" si="6"/>
        <v>8.0556786853343407</v>
      </c>
      <c r="W32" s="1">
        <v>12.4376</v>
      </c>
      <c r="X32" s="1">
        <v>10.7364</v>
      </c>
      <c r="Y32" s="1">
        <v>16.374500000000001</v>
      </c>
      <c r="Z32" s="1">
        <v>25.625599999999999</v>
      </c>
      <c r="AA32" s="1">
        <v>24.022400000000001</v>
      </c>
      <c r="AB32" s="1">
        <v>19.895800000000001</v>
      </c>
      <c r="AC32" s="1">
        <v>18.579599999999999</v>
      </c>
      <c r="AD32" s="1">
        <v>18.502600000000001</v>
      </c>
      <c r="AE32" s="1"/>
      <c r="AF32" s="1">
        <f t="shared" si="10"/>
        <v>54.467000000000041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36</v>
      </c>
      <c r="C33" s="1">
        <v>104.636</v>
      </c>
      <c r="D33" s="1">
        <v>136.916</v>
      </c>
      <c r="E33" s="1">
        <v>72.957999999999998</v>
      </c>
      <c r="F33" s="1">
        <v>165.88800000000001</v>
      </c>
      <c r="G33" s="8">
        <v>1</v>
      </c>
      <c r="H33" s="1">
        <v>50</v>
      </c>
      <c r="I33" s="1" t="s">
        <v>37</v>
      </c>
      <c r="J33" s="1"/>
      <c r="K33" s="1">
        <v>62.506</v>
      </c>
      <c r="L33" s="1">
        <f t="shared" si="2"/>
        <v>10.451999999999998</v>
      </c>
      <c r="M33" s="1"/>
      <c r="N33" s="1"/>
      <c r="O33" s="1">
        <v>0</v>
      </c>
      <c r="P33" s="1"/>
      <c r="Q33" s="1">
        <f t="shared" si="3"/>
        <v>14.5916</v>
      </c>
      <c r="R33" s="5"/>
      <c r="S33" s="5"/>
      <c r="T33" s="1"/>
      <c r="U33" s="1">
        <f t="shared" si="5"/>
        <v>11.368732695523452</v>
      </c>
      <c r="V33" s="1">
        <f t="shared" si="6"/>
        <v>11.368732695523452</v>
      </c>
      <c r="W33" s="1">
        <v>5.2244000000000002</v>
      </c>
      <c r="X33" s="1">
        <v>0.36820000000000003</v>
      </c>
      <c r="Y33" s="1">
        <v>16.494</v>
      </c>
      <c r="Z33" s="1">
        <v>23.8748</v>
      </c>
      <c r="AA33" s="1">
        <v>12.8446</v>
      </c>
      <c r="AB33" s="1">
        <v>10.7354</v>
      </c>
      <c r="AC33" s="1">
        <v>11.4434</v>
      </c>
      <c r="AD33" s="1">
        <v>14.2158</v>
      </c>
      <c r="AE33" s="1"/>
      <c r="AF33" s="1">
        <f t="shared" si="10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42</v>
      </c>
      <c r="C34" s="1">
        <v>792</v>
      </c>
      <c r="D34" s="1">
        <v>324</v>
      </c>
      <c r="E34" s="1">
        <v>777</v>
      </c>
      <c r="F34" s="1">
        <v>279</v>
      </c>
      <c r="G34" s="8">
        <v>0.4</v>
      </c>
      <c r="H34" s="1">
        <v>45</v>
      </c>
      <c r="I34" s="1" t="s">
        <v>37</v>
      </c>
      <c r="J34" s="1"/>
      <c r="K34" s="1">
        <v>820</v>
      </c>
      <c r="L34" s="1">
        <f t="shared" si="2"/>
        <v>-43</v>
      </c>
      <c r="M34" s="1"/>
      <c r="N34" s="1"/>
      <c r="O34" s="1">
        <v>136</v>
      </c>
      <c r="P34" s="1">
        <v>514.80000000000018</v>
      </c>
      <c r="Q34" s="1">
        <f t="shared" si="3"/>
        <v>155.4</v>
      </c>
      <c r="R34" s="5">
        <f t="shared" si="11"/>
        <v>779.59999999999991</v>
      </c>
      <c r="S34" s="5"/>
      <c r="T34" s="1"/>
      <c r="U34" s="1">
        <f t="shared" si="5"/>
        <v>11</v>
      </c>
      <c r="V34" s="1">
        <f t="shared" si="6"/>
        <v>5.9832689832689843</v>
      </c>
      <c r="W34" s="1">
        <v>116.4</v>
      </c>
      <c r="X34" s="1">
        <v>109</v>
      </c>
      <c r="Y34" s="1">
        <v>112</v>
      </c>
      <c r="Z34" s="1">
        <v>117.6</v>
      </c>
      <c r="AA34" s="1">
        <v>98</v>
      </c>
      <c r="AB34" s="1">
        <v>159.19999999999999</v>
      </c>
      <c r="AC34" s="1">
        <v>133.6</v>
      </c>
      <c r="AD34" s="1">
        <v>100.4</v>
      </c>
      <c r="AE34" s="1" t="s">
        <v>73</v>
      </c>
      <c r="AF34" s="1">
        <f t="shared" si="10"/>
        <v>311.83999999999997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42</v>
      </c>
      <c r="C35" s="1">
        <v>55</v>
      </c>
      <c r="D35" s="1">
        <v>322</v>
      </c>
      <c r="E35" s="1">
        <v>58</v>
      </c>
      <c r="F35" s="1">
        <v>306</v>
      </c>
      <c r="G35" s="8">
        <v>0.45</v>
      </c>
      <c r="H35" s="1">
        <v>50</v>
      </c>
      <c r="I35" s="11" t="s">
        <v>75</v>
      </c>
      <c r="J35" s="1"/>
      <c r="K35" s="1">
        <v>82</v>
      </c>
      <c r="L35" s="1">
        <f t="shared" si="2"/>
        <v>-24</v>
      </c>
      <c r="M35" s="1"/>
      <c r="N35" s="1"/>
      <c r="O35" s="1">
        <v>0</v>
      </c>
      <c r="P35" s="1"/>
      <c r="Q35" s="1">
        <f t="shared" si="3"/>
        <v>11.6</v>
      </c>
      <c r="R35" s="5"/>
      <c r="S35" s="5"/>
      <c r="T35" s="1"/>
      <c r="U35" s="1">
        <f t="shared" si="5"/>
        <v>26.379310344827587</v>
      </c>
      <c r="V35" s="1">
        <f t="shared" si="6"/>
        <v>26.379310344827587</v>
      </c>
      <c r="W35" s="1">
        <v>16.2</v>
      </c>
      <c r="X35" s="1">
        <v>26.6</v>
      </c>
      <c r="Y35" s="1">
        <v>35.333333333333343</v>
      </c>
      <c r="Z35" s="1">
        <v>30.4</v>
      </c>
      <c r="AA35" s="1">
        <v>16.2</v>
      </c>
      <c r="AB35" s="1">
        <v>29.8</v>
      </c>
      <c r="AC35" s="1">
        <v>26.2</v>
      </c>
      <c r="AD35" s="1">
        <v>20.2</v>
      </c>
      <c r="AE35" s="1" t="s">
        <v>39</v>
      </c>
      <c r="AF35" s="1">
        <f t="shared" si="10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76</v>
      </c>
      <c r="B36" s="1" t="s">
        <v>42</v>
      </c>
      <c r="C36" s="1">
        <v>452</v>
      </c>
      <c r="D36" s="1">
        <v>509</v>
      </c>
      <c r="E36" s="1">
        <v>525</v>
      </c>
      <c r="F36" s="1">
        <v>394</v>
      </c>
      <c r="G36" s="8">
        <v>0.4</v>
      </c>
      <c r="H36" s="1">
        <v>45</v>
      </c>
      <c r="I36" s="1" t="s">
        <v>37</v>
      </c>
      <c r="J36" s="1"/>
      <c r="K36" s="1">
        <v>554</v>
      </c>
      <c r="L36" s="1">
        <f t="shared" si="2"/>
        <v>-29</v>
      </c>
      <c r="M36" s="1"/>
      <c r="N36" s="1"/>
      <c r="O36" s="1">
        <v>74.799999999999955</v>
      </c>
      <c r="P36" s="1">
        <v>190.60000000000011</v>
      </c>
      <c r="Q36" s="1">
        <f t="shared" si="3"/>
        <v>105</v>
      </c>
      <c r="R36" s="5">
        <f t="shared" si="11"/>
        <v>495.59999999999991</v>
      </c>
      <c r="S36" s="5"/>
      <c r="T36" s="1"/>
      <c r="U36" s="1">
        <f t="shared" si="5"/>
        <v>11</v>
      </c>
      <c r="V36" s="1">
        <f t="shared" si="6"/>
        <v>6.2800000000000011</v>
      </c>
      <c r="W36" s="1">
        <v>81.2</v>
      </c>
      <c r="X36" s="1">
        <v>87.8</v>
      </c>
      <c r="Y36" s="1">
        <v>94.5</v>
      </c>
      <c r="Z36" s="1">
        <v>98.4</v>
      </c>
      <c r="AA36" s="1">
        <v>70.599999999999994</v>
      </c>
      <c r="AB36" s="1">
        <v>114.4</v>
      </c>
      <c r="AC36" s="1">
        <v>103.2</v>
      </c>
      <c r="AD36" s="1">
        <v>73</v>
      </c>
      <c r="AE36" s="1"/>
      <c r="AF36" s="1">
        <f t="shared" si="10"/>
        <v>198.23999999999998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2" t="s">
        <v>77</v>
      </c>
      <c r="B37" s="12" t="s">
        <v>42</v>
      </c>
      <c r="C37" s="12">
        <v>22</v>
      </c>
      <c r="D37" s="12"/>
      <c r="E37" s="12">
        <v>21</v>
      </c>
      <c r="F37" s="12"/>
      <c r="G37" s="13">
        <v>0</v>
      </c>
      <c r="H37" s="12" t="e">
        <v>#N/A</v>
      </c>
      <c r="I37" s="12" t="s">
        <v>43</v>
      </c>
      <c r="J37" s="12"/>
      <c r="K37" s="12">
        <v>26</v>
      </c>
      <c r="L37" s="12">
        <f t="shared" si="2"/>
        <v>-5</v>
      </c>
      <c r="M37" s="12"/>
      <c r="N37" s="12"/>
      <c r="O37" s="12">
        <v>0</v>
      </c>
      <c r="P37" s="12"/>
      <c r="Q37" s="12">
        <f t="shared" si="3"/>
        <v>4.2</v>
      </c>
      <c r="R37" s="14"/>
      <c r="S37" s="14"/>
      <c r="T37" s="12"/>
      <c r="U37" s="12">
        <f t="shared" si="5"/>
        <v>0</v>
      </c>
      <c r="V37" s="12">
        <f t="shared" si="6"/>
        <v>0</v>
      </c>
      <c r="W37" s="12">
        <v>2.2000000000000002</v>
      </c>
      <c r="X37" s="12">
        <v>1.6</v>
      </c>
      <c r="Y37" s="12">
        <v>0.33333333333333331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 t="s">
        <v>78</v>
      </c>
      <c r="AF37" s="12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79</v>
      </c>
      <c r="B38" s="1" t="s">
        <v>42</v>
      </c>
      <c r="C38" s="1">
        <v>36</v>
      </c>
      <c r="D38" s="1"/>
      <c r="E38" s="1">
        <v>31</v>
      </c>
      <c r="F38" s="1"/>
      <c r="G38" s="8">
        <v>0.4</v>
      </c>
      <c r="H38" s="1">
        <v>40</v>
      </c>
      <c r="I38" s="1" t="s">
        <v>37</v>
      </c>
      <c r="J38" s="1"/>
      <c r="K38" s="1">
        <v>44</v>
      </c>
      <c r="L38" s="1">
        <f t="shared" ref="L38:L69" si="12">E38-K38</f>
        <v>-13</v>
      </c>
      <c r="M38" s="1"/>
      <c r="N38" s="1"/>
      <c r="O38" s="1">
        <v>0</v>
      </c>
      <c r="P38" s="1">
        <v>77.399999999999991</v>
      </c>
      <c r="Q38" s="1">
        <f t="shared" si="3"/>
        <v>6.2</v>
      </c>
      <c r="R38" s="5">
        <v>15</v>
      </c>
      <c r="S38" s="5"/>
      <c r="T38" s="1"/>
      <c r="U38" s="1">
        <f t="shared" si="5"/>
        <v>14.90322580645161</v>
      </c>
      <c r="V38" s="1">
        <f t="shared" si="6"/>
        <v>12.483870967741934</v>
      </c>
      <c r="W38" s="1">
        <v>8.6</v>
      </c>
      <c r="X38" s="1">
        <v>1.8</v>
      </c>
      <c r="Y38" s="1">
        <v>-1.166666666666667</v>
      </c>
      <c r="Z38" s="1">
        <v>-1.4</v>
      </c>
      <c r="AA38" s="1">
        <v>0.4</v>
      </c>
      <c r="AB38" s="1">
        <v>8.4</v>
      </c>
      <c r="AC38" s="1">
        <v>6.4</v>
      </c>
      <c r="AD38" s="1">
        <v>3.2</v>
      </c>
      <c r="AE38" s="1" t="s">
        <v>80</v>
      </c>
      <c r="AF38" s="1">
        <f t="shared" ref="AF38:AF50" si="13">G38*R38</f>
        <v>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81</v>
      </c>
      <c r="B39" s="1" t="s">
        <v>36</v>
      </c>
      <c r="C39" s="1">
        <v>82.620999999999995</v>
      </c>
      <c r="D39" s="1"/>
      <c r="E39" s="1">
        <v>31.181999999999999</v>
      </c>
      <c r="F39" s="1">
        <v>50.003</v>
      </c>
      <c r="G39" s="8">
        <v>1</v>
      </c>
      <c r="H39" s="1">
        <v>45</v>
      </c>
      <c r="I39" s="1" t="s">
        <v>37</v>
      </c>
      <c r="J39" s="1"/>
      <c r="K39" s="1">
        <v>31</v>
      </c>
      <c r="L39" s="1">
        <f t="shared" si="12"/>
        <v>0.18199999999999861</v>
      </c>
      <c r="M39" s="1"/>
      <c r="N39" s="1"/>
      <c r="O39" s="1">
        <v>0</v>
      </c>
      <c r="P39" s="1"/>
      <c r="Q39" s="1">
        <f t="shared" si="3"/>
        <v>6.2363999999999997</v>
      </c>
      <c r="R39" s="5">
        <f t="shared" ref="R39:R49" si="14">11*Q39-P39-O39-F39</f>
        <v>18.597399999999993</v>
      </c>
      <c r="S39" s="5"/>
      <c r="T39" s="1"/>
      <c r="U39" s="1">
        <f t="shared" si="5"/>
        <v>11</v>
      </c>
      <c r="V39" s="1">
        <f t="shared" si="6"/>
        <v>8.0179270091719594</v>
      </c>
      <c r="W39" s="1">
        <v>5.3280000000000003</v>
      </c>
      <c r="X39" s="1">
        <v>2.2604000000000002</v>
      </c>
      <c r="Y39" s="1">
        <v>1.162666666666667</v>
      </c>
      <c r="Z39" s="1">
        <v>5.8878000000000004</v>
      </c>
      <c r="AA39" s="1">
        <v>7.9117999999999986</v>
      </c>
      <c r="AB39" s="1">
        <v>5.5939999999999994</v>
      </c>
      <c r="AC39" s="1">
        <v>5.4148000000000014</v>
      </c>
      <c r="AD39" s="1">
        <v>3.1444000000000001</v>
      </c>
      <c r="AE39" s="1"/>
      <c r="AF39" s="1">
        <f t="shared" si="13"/>
        <v>18.597399999999993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82</v>
      </c>
      <c r="B40" s="1" t="s">
        <v>42</v>
      </c>
      <c r="C40" s="1">
        <v>80</v>
      </c>
      <c r="D40" s="1">
        <v>5</v>
      </c>
      <c r="E40" s="1">
        <v>26</v>
      </c>
      <c r="F40" s="1">
        <v>54</v>
      </c>
      <c r="G40" s="8">
        <v>0.1</v>
      </c>
      <c r="H40" s="1">
        <v>730</v>
      </c>
      <c r="I40" s="1" t="s">
        <v>37</v>
      </c>
      <c r="J40" s="1"/>
      <c r="K40" s="1">
        <v>26</v>
      </c>
      <c r="L40" s="1">
        <f t="shared" si="12"/>
        <v>0</v>
      </c>
      <c r="M40" s="1"/>
      <c r="N40" s="1"/>
      <c r="O40" s="1">
        <v>0</v>
      </c>
      <c r="P40" s="1">
        <v>21.800000000000011</v>
      </c>
      <c r="Q40" s="1">
        <f t="shared" si="3"/>
        <v>5.2</v>
      </c>
      <c r="R40" s="5"/>
      <c r="S40" s="5"/>
      <c r="T40" s="1"/>
      <c r="U40" s="1">
        <f t="shared" si="5"/>
        <v>14.576923076923078</v>
      </c>
      <c r="V40" s="1">
        <f t="shared" si="6"/>
        <v>14.576923076923078</v>
      </c>
      <c r="W40" s="1">
        <v>7.4</v>
      </c>
      <c r="X40" s="1">
        <v>6.4</v>
      </c>
      <c r="Y40" s="1">
        <v>4.5</v>
      </c>
      <c r="Z40" s="1">
        <v>5.6</v>
      </c>
      <c r="AA40" s="1">
        <v>4.8</v>
      </c>
      <c r="AB40" s="1">
        <v>8.8000000000000007</v>
      </c>
      <c r="AC40" s="1">
        <v>10.6</v>
      </c>
      <c r="AD40" s="1">
        <v>5.2</v>
      </c>
      <c r="AE40" s="1"/>
      <c r="AF40" s="1">
        <f t="shared" si="13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83</v>
      </c>
      <c r="B41" s="1" t="s">
        <v>42</v>
      </c>
      <c r="C41" s="1">
        <v>132</v>
      </c>
      <c r="D41" s="1">
        <v>42</v>
      </c>
      <c r="E41" s="1">
        <v>166</v>
      </c>
      <c r="F41" s="1">
        <v>-4</v>
      </c>
      <c r="G41" s="8">
        <v>0.35</v>
      </c>
      <c r="H41" s="1">
        <v>40</v>
      </c>
      <c r="I41" s="1" t="s">
        <v>37</v>
      </c>
      <c r="J41" s="1"/>
      <c r="K41" s="1">
        <v>186</v>
      </c>
      <c r="L41" s="1">
        <f t="shared" si="12"/>
        <v>-20</v>
      </c>
      <c r="M41" s="1"/>
      <c r="N41" s="1"/>
      <c r="O41" s="1">
        <v>51.519999999999868</v>
      </c>
      <c r="P41" s="1">
        <v>42.999999999999972</v>
      </c>
      <c r="Q41" s="1">
        <f t="shared" si="3"/>
        <v>33.200000000000003</v>
      </c>
      <c r="R41" s="5">
        <f>9*Q41-P41-O41-F41</f>
        <v>208.28000000000017</v>
      </c>
      <c r="S41" s="5"/>
      <c r="T41" s="1"/>
      <c r="U41" s="1">
        <f t="shared" si="5"/>
        <v>9</v>
      </c>
      <c r="V41" s="1">
        <f t="shared" si="6"/>
        <v>2.7265060240963805</v>
      </c>
      <c r="W41" s="1">
        <v>18.399999999999999</v>
      </c>
      <c r="X41" s="1">
        <v>19.8</v>
      </c>
      <c r="Y41" s="1">
        <v>19.333333333333329</v>
      </c>
      <c r="Z41" s="1">
        <v>20.8</v>
      </c>
      <c r="AA41" s="1">
        <v>22.4</v>
      </c>
      <c r="AB41" s="1">
        <v>18.8</v>
      </c>
      <c r="AC41" s="1">
        <v>25.2</v>
      </c>
      <c r="AD41" s="1">
        <v>20.6</v>
      </c>
      <c r="AE41" s="1" t="s">
        <v>39</v>
      </c>
      <c r="AF41" s="1">
        <f t="shared" si="13"/>
        <v>72.898000000000053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84</v>
      </c>
      <c r="B42" s="1" t="s">
        <v>36</v>
      </c>
      <c r="C42" s="1">
        <v>183.44200000000001</v>
      </c>
      <c r="D42" s="1">
        <v>187.60900000000001</v>
      </c>
      <c r="E42" s="1">
        <v>92.882999999999996</v>
      </c>
      <c r="F42" s="1">
        <v>270.91300000000001</v>
      </c>
      <c r="G42" s="8">
        <v>1</v>
      </c>
      <c r="H42" s="1">
        <v>40</v>
      </c>
      <c r="I42" s="1" t="s">
        <v>37</v>
      </c>
      <c r="J42" s="1"/>
      <c r="K42" s="1">
        <v>99.433000000000007</v>
      </c>
      <c r="L42" s="1">
        <f t="shared" si="12"/>
        <v>-6.5500000000000114</v>
      </c>
      <c r="M42" s="1"/>
      <c r="N42" s="1"/>
      <c r="O42" s="1">
        <v>0</v>
      </c>
      <c r="P42" s="1"/>
      <c r="Q42" s="1">
        <f t="shared" si="3"/>
        <v>18.576599999999999</v>
      </c>
      <c r="R42" s="5"/>
      <c r="S42" s="5"/>
      <c r="T42" s="1"/>
      <c r="U42" s="1">
        <f t="shared" si="5"/>
        <v>14.583562115780069</v>
      </c>
      <c r="V42" s="1">
        <f t="shared" si="6"/>
        <v>14.583562115780069</v>
      </c>
      <c r="W42" s="1">
        <v>18.746600000000001</v>
      </c>
      <c r="X42" s="1">
        <v>9.8463999999999992</v>
      </c>
      <c r="Y42" s="1">
        <v>23.373666666666669</v>
      </c>
      <c r="Z42" s="1">
        <v>38.018000000000001</v>
      </c>
      <c r="AA42" s="1">
        <v>29.227399999999999</v>
      </c>
      <c r="AB42" s="1">
        <v>18.8142</v>
      </c>
      <c r="AC42" s="1">
        <v>21.289200000000001</v>
      </c>
      <c r="AD42" s="1">
        <v>27.791599999999999</v>
      </c>
      <c r="AE42" s="1"/>
      <c r="AF42" s="1">
        <f t="shared" si="13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85</v>
      </c>
      <c r="B43" s="1" t="s">
        <v>42</v>
      </c>
      <c r="C43" s="1">
        <v>267</v>
      </c>
      <c r="D43" s="1">
        <v>25</v>
      </c>
      <c r="E43" s="1">
        <v>179</v>
      </c>
      <c r="F43" s="1">
        <v>88</v>
      </c>
      <c r="G43" s="8">
        <v>0.4</v>
      </c>
      <c r="H43" s="1">
        <v>40</v>
      </c>
      <c r="I43" s="1" t="s">
        <v>37</v>
      </c>
      <c r="J43" s="1"/>
      <c r="K43" s="1">
        <v>218</v>
      </c>
      <c r="L43" s="1">
        <f t="shared" si="12"/>
        <v>-39</v>
      </c>
      <c r="M43" s="1"/>
      <c r="N43" s="1"/>
      <c r="O43" s="1">
        <v>0</v>
      </c>
      <c r="P43" s="1"/>
      <c r="Q43" s="1">
        <f t="shared" si="3"/>
        <v>35.799999999999997</v>
      </c>
      <c r="R43" s="5">
        <f>8*Q43-P43-O43-F43</f>
        <v>198.39999999999998</v>
      </c>
      <c r="S43" s="5"/>
      <c r="T43" s="1"/>
      <c r="U43" s="1">
        <f t="shared" si="5"/>
        <v>8</v>
      </c>
      <c r="V43" s="1">
        <f t="shared" si="6"/>
        <v>2.4581005586592179</v>
      </c>
      <c r="W43" s="1">
        <v>10.8</v>
      </c>
      <c r="X43" s="1">
        <v>8.4</v>
      </c>
      <c r="Y43" s="1">
        <v>16</v>
      </c>
      <c r="Z43" s="1">
        <v>13.2</v>
      </c>
      <c r="AA43" s="1">
        <v>4.5999999999999996</v>
      </c>
      <c r="AB43" s="1">
        <v>34.4</v>
      </c>
      <c r="AC43" s="1">
        <v>28</v>
      </c>
      <c r="AD43" s="1">
        <v>10.199999999999999</v>
      </c>
      <c r="AE43" s="1"/>
      <c r="AF43" s="1">
        <f t="shared" si="13"/>
        <v>79.36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87</v>
      </c>
      <c r="B44" s="1" t="s">
        <v>42</v>
      </c>
      <c r="C44" s="1">
        <v>439</v>
      </c>
      <c r="D44" s="1">
        <v>36</v>
      </c>
      <c r="E44" s="1">
        <v>272</v>
      </c>
      <c r="F44" s="1">
        <v>156</v>
      </c>
      <c r="G44" s="8">
        <v>0.4</v>
      </c>
      <c r="H44" s="1">
        <v>45</v>
      </c>
      <c r="I44" s="1" t="s">
        <v>37</v>
      </c>
      <c r="J44" s="1"/>
      <c r="K44" s="1">
        <v>323</v>
      </c>
      <c r="L44" s="1">
        <f t="shared" si="12"/>
        <v>-51</v>
      </c>
      <c r="M44" s="1"/>
      <c r="N44" s="1"/>
      <c r="O44" s="1">
        <v>0</v>
      </c>
      <c r="P44" s="1"/>
      <c r="Q44" s="1">
        <f t="shared" si="3"/>
        <v>54.4</v>
      </c>
      <c r="R44" s="5">
        <f>9*Q44-P44-O44-F44</f>
        <v>333.59999999999997</v>
      </c>
      <c r="S44" s="5"/>
      <c r="T44" s="1"/>
      <c r="U44" s="1">
        <f t="shared" si="5"/>
        <v>9</v>
      </c>
      <c r="V44" s="1">
        <f t="shared" si="6"/>
        <v>2.8676470588235294</v>
      </c>
      <c r="W44" s="1">
        <v>26.2</v>
      </c>
      <c r="X44" s="1">
        <v>26.4</v>
      </c>
      <c r="Y44" s="1">
        <v>38.666666666666657</v>
      </c>
      <c r="Z44" s="1">
        <v>33</v>
      </c>
      <c r="AA44" s="1">
        <v>7.6</v>
      </c>
      <c r="AB44" s="1">
        <v>55</v>
      </c>
      <c r="AC44" s="1">
        <v>27.8</v>
      </c>
      <c r="AD44" s="1">
        <v>13.8</v>
      </c>
      <c r="AE44" s="1" t="s">
        <v>39</v>
      </c>
      <c r="AF44" s="1">
        <f t="shared" si="13"/>
        <v>133.44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88</v>
      </c>
      <c r="B45" s="1" t="s">
        <v>36</v>
      </c>
      <c r="C45" s="1">
        <v>260.66399999999999</v>
      </c>
      <c r="D45" s="1">
        <v>8.7289999999999992</v>
      </c>
      <c r="E45" s="1">
        <v>156.04400000000001</v>
      </c>
      <c r="F45" s="1">
        <v>105.345</v>
      </c>
      <c r="G45" s="8">
        <v>1</v>
      </c>
      <c r="H45" s="1">
        <v>40</v>
      </c>
      <c r="I45" s="1" t="s">
        <v>37</v>
      </c>
      <c r="J45" s="1"/>
      <c r="K45" s="1">
        <v>156.988</v>
      </c>
      <c r="L45" s="1">
        <f t="shared" si="12"/>
        <v>-0.9439999999999884</v>
      </c>
      <c r="M45" s="1"/>
      <c r="N45" s="1"/>
      <c r="O45" s="1">
        <v>91.980199999999968</v>
      </c>
      <c r="P45" s="1">
        <v>96.03000000000003</v>
      </c>
      <c r="Q45" s="1">
        <f t="shared" si="3"/>
        <v>31.208800000000004</v>
      </c>
      <c r="R45" s="5">
        <f t="shared" si="14"/>
        <v>49.941600000000022</v>
      </c>
      <c r="S45" s="5"/>
      <c r="T45" s="1"/>
      <c r="U45" s="1">
        <f t="shared" si="5"/>
        <v>10.999999999999998</v>
      </c>
      <c r="V45" s="1">
        <f t="shared" si="6"/>
        <v>9.3997590423213939</v>
      </c>
      <c r="W45" s="1">
        <v>30.875599999999999</v>
      </c>
      <c r="X45" s="1">
        <v>32.422199999999997</v>
      </c>
      <c r="Y45" s="1">
        <v>27.6645</v>
      </c>
      <c r="Z45" s="1">
        <v>30.544599999999999</v>
      </c>
      <c r="AA45" s="1">
        <v>41.069400000000002</v>
      </c>
      <c r="AB45" s="1">
        <v>29.6418</v>
      </c>
      <c r="AC45" s="1">
        <v>30.0472</v>
      </c>
      <c r="AD45" s="1">
        <v>29.268599999999999</v>
      </c>
      <c r="AE45" s="1"/>
      <c r="AF45" s="1">
        <f t="shared" si="13"/>
        <v>49.941600000000022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89</v>
      </c>
      <c r="B46" s="1" t="s">
        <v>42</v>
      </c>
      <c r="C46" s="1">
        <v>187</v>
      </c>
      <c r="D46" s="1">
        <v>157</v>
      </c>
      <c r="E46" s="1">
        <v>283</v>
      </c>
      <c r="F46" s="1">
        <v>38</v>
      </c>
      <c r="G46" s="8">
        <v>0.35</v>
      </c>
      <c r="H46" s="1">
        <v>40</v>
      </c>
      <c r="I46" s="1" t="s">
        <v>37</v>
      </c>
      <c r="J46" s="1"/>
      <c r="K46" s="1">
        <v>295</v>
      </c>
      <c r="L46" s="1">
        <f t="shared" si="12"/>
        <v>-12</v>
      </c>
      <c r="M46" s="1"/>
      <c r="N46" s="1"/>
      <c r="O46" s="1">
        <v>0</v>
      </c>
      <c r="P46" s="1">
        <v>302.08000000000033</v>
      </c>
      <c r="Q46" s="1">
        <f t="shared" si="3"/>
        <v>56.6</v>
      </c>
      <c r="R46" s="5">
        <f t="shared" si="14"/>
        <v>282.5199999999997</v>
      </c>
      <c r="S46" s="5"/>
      <c r="T46" s="1"/>
      <c r="U46" s="1">
        <f t="shared" si="5"/>
        <v>11</v>
      </c>
      <c r="V46" s="1">
        <f t="shared" si="6"/>
        <v>6.0084805653710305</v>
      </c>
      <c r="W46" s="1">
        <v>41.2</v>
      </c>
      <c r="X46" s="1">
        <v>27.8</v>
      </c>
      <c r="Y46" s="1">
        <v>32.333333333333343</v>
      </c>
      <c r="Z46" s="1">
        <v>42</v>
      </c>
      <c r="AA46" s="1">
        <v>32.200000000000003</v>
      </c>
      <c r="AB46" s="1">
        <v>40.200000000000003</v>
      </c>
      <c r="AC46" s="1">
        <v>48.8</v>
      </c>
      <c r="AD46" s="1">
        <v>36</v>
      </c>
      <c r="AE46" s="1" t="s">
        <v>50</v>
      </c>
      <c r="AF46" s="1">
        <f t="shared" si="13"/>
        <v>98.881999999999891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90</v>
      </c>
      <c r="B47" s="1" t="s">
        <v>42</v>
      </c>
      <c r="C47" s="1">
        <v>121</v>
      </c>
      <c r="D47" s="1">
        <v>662</v>
      </c>
      <c r="E47" s="1">
        <v>182</v>
      </c>
      <c r="F47" s="1">
        <v>553</v>
      </c>
      <c r="G47" s="8">
        <v>0.4</v>
      </c>
      <c r="H47" s="1">
        <v>40</v>
      </c>
      <c r="I47" s="1" t="s">
        <v>37</v>
      </c>
      <c r="J47" s="1"/>
      <c r="K47" s="1">
        <v>297</v>
      </c>
      <c r="L47" s="1">
        <f t="shared" si="12"/>
        <v>-115</v>
      </c>
      <c r="M47" s="1"/>
      <c r="N47" s="1"/>
      <c r="O47" s="1">
        <v>0</v>
      </c>
      <c r="P47" s="1"/>
      <c r="Q47" s="1">
        <f t="shared" si="3"/>
        <v>36.4</v>
      </c>
      <c r="R47" s="5"/>
      <c r="S47" s="5"/>
      <c r="T47" s="1"/>
      <c r="U47" s="1">
        <f t="shared" si="5"/>
        <v>15.192307692307693</v>
      </c>
      <c r="V47" s="1">
        <f t="shared" si="6"/>
        <v>15.192307692307693</v>
      </c>
      <c r="W47" s="1">
        <v>51.4</v>
      </c>
      <c r="X47" s="1">
        <v>64</v>
      </c>
      <c r="Y47" s="1">
        <v>74.166666666666671</v>
      </c>
      <c r="Z47" s="1">
        <v>65.2</v>
      </c>
      <c r="AA47" s="1">
        <v>44.6</v>
      </c>
      <c r="AB47" s="1">
        <v>80.400000000000006</v>
      </c>
      <c r="AC47" s="1">
        <v>61.8</v>
      </c>
      <c r="AD47" s="1">
        <v>53.6</v>
      </c>
      <c r="AE47" s="1" t="s">
        <v>39</v>
      </c>
      <c r="AF47" s="1">
        <f t="shared" si="13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91</v>
      </c>
      <c r="B48" s="1" t="s">
        <v>36</v>
      </c>
      <c r="C48" s="1">
        <v>59.508000000000003</v>
      </c>
      <c r="D48" s="1">
        <v>206.54499999999999</v>
      </c>
      <c r="E48" s="1">
        <v>53.545000000000002</v>
      </c>
      <c r="F48" s="1">
        <v>209.273</v>
      </c>
      <c r="G48" s="8">
        <v>1</v>
      </c>
      <c r="H48" s="1">
        <v>50</v>
      </c>
      <c r="I48" s="1" t="s">
        <v>37</v>
      </c>
      <c r="J48" s="1"/>
      <c r="K48" s="1">
        <v>52.4</v>
      </c>
      <c r="L48" s="1">
        <f t="shared" si="12"/>
        <v>1.1450000000000031</v>
      </c>
      <c r="M48" s="1"/>
      <c r="N48" s="1"/>
      <c r="O48" s="1">
        <v>0</v>
      </c>
      <c r="P48" s="1"/>
      <c r="Q48" s="1">
        <f t="shared" si="3"/>
        <v>10.709</v>
      </c>
      <c r="R48" s="5"/>
      <c r="S48" s="5"/>
      <c r="T48" s="1"/>
      <c r="U48" s="1">
        <f t="shared" si="5"/>
        <v>19.54178728172565</v>
      </c>
      <c r="V48" s="1">
        <f t="shared" si="6"/>
        <v>19.54178728172565</v>
      </c>
      <c r="W48" s="1">
        <v>10.829599999999999</v>
      </c>
      <c r="X48" s="1">
        <v>12.9322</v>
      </c>
      <c r="Y48" s="1">
        <v>20.37316666666667</v>
      </c>
      <c r="Z48" s="1">
        <v>23.681799999999999</v>
      </c>
      <c r="AA48" s="1">
        <v>12.9686</v>
      </c>
      <c r="AB48" s="1">
        <v>13.4724</v>
      </c>
      <c r="AC48" s="1">
        <v>8.6025999999999989</v>
      </c>
      <c r="AD48" s="1">
        <v>10.509</v>
      </c>
      <c r="AE48" s="15" t="s">
        <v>54</v>
      </c>
      <c r="AF48" s="1">
        <f t="shared" si="13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92</v>
      </c>
      <c r="B49" s="1" t="s">
        <v>36</v>
      </c>
      <c r="C49" s="1">
        <v>294.48399999999998</v>
      </c>
      <c r="D49" s="1">
        <v>72.501000000000005</v>
      </c>
      <c r="E49" s="1">
        <v>188.369</v>
      </c>
      <c r="F49" s="1">
        <v>170.3</v>
      </c>
      <c r="G49" s="8">
        <v>1</v>
      </c>
      <c r="H49" s="1">
        <v>50</v>
      </c>
      <c r="I49" s="1" t="s">
        <v>37</v>
      </c>
      <c r="J49" s="1"/>
      <c r="K49" s="1">
        <v>185.03800000000001</v>
      </c>
      <c r="L49" s="1">
        <f t="shared" si="12"/>
        <v>3.3309999999999889</v>
      </c>
      <c r="M49" s="1"/>
      <c r="N49" s="1"/>
      <c r="O49" s="1">
        <v>0</v>
      </c>
      <c r="P49" s="1">
        <v>78.903599999999955</v>
      </c>
      <c r="Q49" s="1">
        <f t="shared" si="3"/>
        <v>37.6738</v>
      </c>
      <c r="R49" s="5">
        <f t="shared" si="14"/>
        <v>165.20819999999998</v>
      </c>
      <c r="S49" s="5"/>
      <c r="T49" s="1"/>
      <c r="U49" s="1">
        <f t="shared" si="5"/>
        <v>11</v>
      </c>
      <c r="V49" s="1">
        <f t="shared" si="6"/>
        <v>6.6147720697142303</v>
      </c>
      <c r="W49" s="1">
        <v>31.2256</v>
      </c>
      <c r="X49" s="1">
        <v>30.873799999999999</v>
      </c>
      <c r="Y49" s="1">
        <v>31.46466666666667</v>
      </c>
      <c r="Z49" s="1">
        <v>40.104399999999998</v>
      </c>
      <c r="AA49" s="1">
        <v>36.584200000000003</v>
      </c>
      <c r="AB49" s="1">
        <v>32.971200000000003</v>
      </c>
      <c r="AC49" s="1">
        <v>31.989000000000001</v>
      </c>
      <c r="AD49" s="1">
        <v>28.648</v>
      </c>
      <c r="AE49" s="1"/>
      <c r="AF49" s="1">
        <f t="shared" si="13"/>
        <v>165.20819999999998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93</v>
      </c>
      <c r="B50" s="1" t="s">
        <v>36</v>
      </c>
      <c r="C50" s="1">
        <v>-0.16200000000000001</v>
      </c>
      <c r="D50" s="1">
        <v>26.324000000000002</v>
      </c>
      <c r="E50" s="1">
        <v>26.324000000000002</v>
      </c>
      <c r="F50" s="1">
        <v>-0.16200000000000001</v>
      </c>
      <c r="G50" s="8">
        <v>1</v>
      </c>
      <c r="H50" s="1">
        <v>40</v>
      </c>
      <c r="I50" s="10" t="s">
        <v>94</v>
      </c>
      <c r="J50" s="1"/>
      <c r="K50" s="1">
        <v>41.2</v>
      </c>
      <c r="L50" s="1">
        <f t="shared" si="12"/>
        <v>-14.876000000000001</v>
      </c>
      <c r="M50" s="1"/>
      <c r="N50" s="1"/>
      <c r="O50" s="1">
        <v>120</v>
      </c>
      <c r="P50" s="1">
        <v>82.836800000000025</v>
      </c>
      <c r="Q50" s="1">
        <f t="shared" si="3"/>
        <v>5.2648000000000001</v>
      </c>
      <c r="R50" s="5"/>
      <c r="S50" s="5"/>
      <c r="T50" s="1"/>
      <c r="U50" s="1">
        <f t="shared" si="5"/>
        <v>38.496201185230206</v>
      </c>
      <c r="V50" s="1">
        <f t="shared" si="6"/>
        <v>38.496201185230206</v>
      </c>
      <c r="W50" s="1">
        <v>20.257999999999999</v>
      </c>
      <c r="X50" s="1">
        <v>22.395399999999999</v>
      </c>
      <c r="Y50" s="1">
        <v>7.9931666666666672</v>
      </c>
      <c r="Z50" s="1">
        <v>7.4543999999999997</v>
      </c>
      <c r="AA50" s="1">
        <v>7.1261999999999999</v>
      </c>
      <c r="AB50" s="1">
        <v>9.4860000000000007</v>
      </c>
      <c r="AC50" s="1">
        <v>5.6243999999999996</v>
      </c>
      <c r="AD50" s="1">
        <v>4.1120000000000001</v>
      </c>
      <c r="AE50" s="1" t="s">
        <v>95</v>
      </c>
      <c r="AF50" s="1">
        <f t="shared" si="13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2" t="s">
        <v>96</v>
      </c>
      <c r="B51" s="12" t="s">
        <v>42</v>
      </c>
      <c r="C51" s="12">
        <v>20</v>
      </c>
      <c r="D51" s="12">
        <v>1</v>
      </c>
      <c r="E51" s="12">
        <v>16</v>
      </c>
      <c r="F51" s="12">
        <v>4</v>
      </c>
      <c r="G51" s="13">
        <v>0</v>
      </c>
      <c r="H51" s="12" t="e">
        <v>#N/A</v>
      </c>
      <c r="I51" s="12" t="s">
        <v>43</v>
      </c>
      <c r="J51" s="12"/>
      <c r="K51" s="12">
        <v>16</v>
      </c>
      <c r="L51" s="12">
        <f t="shared" si="12"/>
        <v>0</v>
      </c>
      <c r="M51" s="12"/>
      <c r="N51" s="12"/>
      <c r="O51" s="12">
        <v>0</v>
      </c>
      <c r="P51" s="12"/>
      <c r="Q51" s="12">
        <f t="shared" si="3"/>
        <v>3.2</v>
      </c>
      <c r="R51" s="14"/>
      <c r="S51" s="14"/>
      <c r="T51" s="12"/>
      <c r="U51" s="12">
        <f t="shared" si="5"/>
        <v>1.25</v>
      </c>
      <c r="V51" s="12">
        <f t="shared" si="6"/>
        <v>1.25</v>
      </c>
      <c r="W51" s="12">
        <v>2.4</v>
      </c>
      <c r="X51" s="12">
        <v>2</v>
      </c>
      <c r="Y51" s="12">
        <v>0.5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 t="s">
        <v>78</v>
      </c>
      <c r="AF51" s="12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97</v>
      </c>
      <c r="B52" s="1" t="s">
        <v>42</v>
      </c>
      <c r="C52" s="1">
        <v>176.93</v>
      </c>
      <c r="D52" s="1">
        <v>94.07</v>
      </c>
      <c r="E52" s="1">
        <v>205</v>
      </c>
      <c r="F52" s="1">
        <v>65</v>
      </c>
      <c r="G52" s="8">
        <v>0.45</v>
      </c>
      <c r="H52" s="1">
        <v>50</v>
      </c>
      <c r="I52" s="1" t="s">
        <v>37</v>
      </c>
      <c r="J52" s="1"/>
      <c r="K52" s="1">
        <v>206</v>
      </c>
      <c r="L52" s="1">
        <f t="shared" si="12"/>
        <v>-1</v>
      </c>
      <c r="M52" s="1"/>
      <c r="N52" s="1"/>
      <c r="O52" s="1">
        <v>0</v>
      </c>
      <c r="P52" s="1">
        <v>210.7</v>
      </c>
      <c r="Q52" s="1">
        <f t="shared" si="3"/>
        <v>41</v>
      </c>
      <c r="R52" s="5">
        <f>11*Q52-P52-O52-F52</f>
        <v>175.3</v>
      </c>
      <c r="S52" s="5"/>
      <c r="T52" s="1"/>
      <c r="U52" s="1">
        <f t="shared" si="5"/>
        <v>11</v>
      </c>
      <c r="V52" s="1">
        <f t="shared" si="6"/>
        <v>6.7243902439024383</v>
      </c>
      <c r="W52" s="1">
        <v>30.6</v>
      </c>
      <c r="X52" s="1">
        <v>21.013999999999999</v>
      </c>
      <c r="Y52" s="1">
        <v>23</v>
      </c>
      <c r="Z52" s="1">
        <v>24</v>
      </c>
      <c r="AA52" s="1">
        <v>22</v>
      </c>
      <c r="AB52" s="1">
        <v>31.4</v>
      </c>
      <c r="AC52" s="1">
        <v>33.4</v>
      </c>
      <c r="AD52" s="1">
        <v>23</v>
      </c>
      <c r="AE52" s="1"/>
      <c r="AF52" s="1">
        <f>G52*R52</f>
        <v>78.885000000000005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2" t="s">
        <v>98</v>
      </c>
      <c r="B53" s="12" t="s">
        <v>42</v>
      </c>
      <c r="C53" s="12">
        <v>19</v>
      </c>
      <c r="D53" s="12">
        <v>1</v>
      </c>
      <c r="E53" s="12">
        <v>9</v>
      </c>
      <c r="F53" s="12">
        <v>10</v>
      </c>
      <c r="G53" s="13">
        <v>0</v>
      </c>
      <c r="H53" s="12" t="e">
        <v>#N/A</v>
      </c>
      <c r="I53" s="12" t="s">
        <v>43</v>
      </c>
      <c r="J53" s="12"/>
      <c r="K53" s="12">
        <v>10</v>
      </c>
      <c r="L53" s="12">
        <f t="shared" si="12"/>
        <v>-1</v>
      </c>
      <c r="M53" s="12"/>
      <c r="N53" s="12"/>
      <c r="O53" s="12">
        <v>0</v>
      </c>
      <c r="P53" s="12"/>
      <c r="Q53" s="12">
        <f t="shared" si="3"/>
        <v>1.8</v>
      </c>
      <c r="R53" s="14"/>
      <c r="S53" s="14"/>
      <c r="T53" s="12"/>
      <c r="U53" s="12">
        <f t="shared" si="5"/>
        <v>5.5555555555555554</v>
      </c>
      <c r="V53" s="12">
        <f t="shared" si="6"/>
        <v>5.5555555555555554</v>
      </c>
      <c r="W53" s="12">
        <v>2.2000000000000002</v>
      </c>
      <c r="X53" s="12">
        <v>2.2000000000000002</v>
      </c>
      <c r="Y53" s="12">
        <v>0.16666666666666671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 t="s">
        <v>78</v>
      </c>
      <c r="AF53" s="12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99</v>
      </c>
      <c r="B54" s="1" t="s">
        <v>42</v>
      </c>
      <c r="C54" s="1">
        <v>21</v>
      </c>
      <c r="D54" s="1">
        <v>30</v>
      </c>
      <c r="E54" s="1">
        <v>18</v>
      </c>
      <c r="F54" s="1">
        <v>28</v>
      </c>
      <c r="G54" s="8">
        <v>0.4</v>
      </c>
      <c r="H54" s="1">
        <v>40</v>
      </c>
      <c r="I54" s="1" t="s">
        <v>37</v>
      </c>
      <c r="J54" s="1"/>
      <c r="K54" s="1">
        <v>28</v>
      </c>
      <c r="L54" s="1">
        <f t="shared" si="12"/>
        <v>-10</v>
      </c>
      <c r="M54" s="1"/>
      <c r="N54" s="1"/>
      <c r="O54" s="1">
        <v>0</v>
      </c>
      <c r="P54" s="1">
        <v>30</v>
      </c>
      <c r="Q54" s="1">
        <f t="shared" si="3"/>
        <v>3.6</v>
      </c>
      <c r="R54" s="5"/>
      <c r="S54" s="5"/>
      <c r="T54" s="1"/>
      <c r="U54" s="1">
        <f t="shared" si="5"/>
        <v>16.111111111111111</v>
      </c>
      <c r="V54" s="1">
        <f t="shared" si="6"/>
        <v>16.111111111111111</v>
      </c>
      <c r="W54" s="1">
        <v>5</v>
      </c>
      <c r="X54" s="1">
        <v>0.8</v>
      </c>
      <c r="Y54" s="1">
        <v>2.166666666666667</v>
      </c>
      <c r="Z54" s="1">
        <v>5.2</v>
      </c>
      <c r="AA54" s="1">
        <v>4.2</v>
      </c>
      <c r="AB54" s="1">
        <v>-0.2</v>
      </c>
      <c r="AC54" s="1">
        <v>5</v>
      </c>
      <c r="AD54" s="1">
        <v>1.8</v>
      </c>
      <c r="AE54" s="1"/>
      <c r="AF54" s="1">
        <f>G54*R54</f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100</v>
      </c>
      <c r="B55" s="1" t="s">
        <v>42</v>
      </c>
      <c r="C55" s="1">
        <v>52</v>
      </c>
      <c r="D55" s="1">
        <v>8</v>
      </c>
      <c r="E55" s="1">
        <v>49</v>
      </c>
      <c r="F55" s="1">
        <v>2</v>
      </c>
      <c r="G55" s="8">
        <v>0.4</v>
      </c>
      <c r="H55" s="1">
        <v>40</v>
      </c>
      <c r="I55" s="1" t="s">
        <v>37</v>
      </c>
      <c r="J55" s="1"/>
      <c r="K55" s="1">
        <v>56</v>
      </c>
      <c r="L55" s="1">
        <f t="shared" si="12"/>
        <v>-7</v>
      </c>
      <c r="M55" s="1"/>
      <c r="N55" s="1"/>
      <c r="O55" s="1">
        <v>60.199999999999989</v>
      </c>
      <c r="P55" s="1">
        <v>59.600000000000023</v>
      </c>
      <c r="Q55" s="1">
        <f t="shared" si="3"/>
        <v>9.8000000000000007</v>
      </c>
      <c r="R55" s="5"/>
      <c r="S55" s="5"/>
      <c r="T55" s="1"/>
      <c r="U55" s="1">
        <f t="shared" si="5"/>
        <v>12.428571428571429</v>
      </c>
      <c r="V55" s="1">
        <f t="shared" si="6"/>
        <v>12.428571428571429</v>
      </c>
      <c r="W55" s="1">
        <v>12.4</v>
      </c>
      <c r="X55" s="1">
        <v>10.199999999999999</v>
      </c>
      <c r="Y55" s="1">
        <v>6.166666666666667</v>
      </c>
      <c r="Z55" s="1">
        <v>6.4</v>
      </c>
      <c r="AA55" s="1">
        <v>6.6</v>
      </c>
      <c r="AB55" s="1">
        <v>14.6</v>
      </c>
      <c r="AC55" s="1">
        <v>12.2</v>
      </c>
      <c r="AD55" s="1">
        <v>6.6</v>
      </c>
      <c r="AE55" s="1" t="s">
        <v>50</v>
      </c>
      <c r="AF55" s="1">
        <f>G55*R55</f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7" t="s">
        <v>101</v>
      </c>
      <c r="B56" s="17" t="s">
        <v>36</v>
      </c>
      <c r="C56" s="17"/>
      <c r="D56" s="17"/>
      <c r="E56" s="17"/>
      <c r="F56" s="17"/>
      <c r="G56" s="18">
        <v>0</v>
      </c>
      <c r="H56" s="17">
        <v>50</v>
      </c>
      <c r="I56" s="17" t="s">
        <v>37</v>
      </c>
      <c r="J56" s="17"/>
      <c r="K56" s="17"/>
      <c r="L56" s="17">
        <f t="shared" si="12"/>
        <v>0</v>
      </c>
      <c r="M56" s="17"/>
      <c r="N56" s="17"/>
      <c r="O56" s="17">
        <v>0</v>
      </c>
      <c r="P56" s="17"/>
      <c r="Q56" s="17">
        <f t="shared" si="3"/>
        <v>0</v>
      </c>
      <c r="R56" s="19"/>
      <c r="S56" s="19"/>
      <c r="T56" s="17"/>
      <c r="U56" s="17" t="e">
        <f t="shared" si="5"/>
        <v>#DIV/0!</v>
      </c>
      <c r="V56" s="17" t="e">
        <f t="shared" si="6"/>
        <v>#DIV/0!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 t="s">
        <v>63</v>
      </c>
      <c r="AF56" s="1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102</v>
      </c>
      <c r="B57" s="1" t="s">
        <v>42</v>
      </c>
      <c r="C57" s="1">
        <v>29</v>
      </c>
      <c r="D57" s="1">
        <v>65</v>
      </c>
      <c r="E57" s="1">
        <v>22</v>
      </c>
      <c r="F57" s="1">
        <v>67</v>
      </c>
      <c r="G57" s="8">
        <v>0.1</v>
      </c>
      <c r="H57" s="1">
        <v>730</v>
      </c>
      <c r="I57" s="1" t="s">
        <v>37</v>
      </c>
      <c r="J57" s="1"/>
      <c r="K57" s="1">
        <v>22</v>
      </c>
      <c r="L57" s="1">
        <f t="shared" si="12"/>
        <v>0</v>
      </c>
      <c r="M57" s="1"/>
      <c r="N57" s="1"/>
      <c r="O57" s="1">
        <v>0</v>
      </c>
      <c r="P57" s="1"/>
      <c r="Q57" s="1">
        <f t="shared" si="3"/>
        <v>4.4000000000000004</v>
      </c>
      <c r="R57" s="5"/>
      <c r="S57" s="5"/>
      <c r="T57" s="1"/>
      <c r="U57" s="1">
        <f t="shared" si="5"/>
        <v>15.227272727272727</v>
      </c>
      <c r="V57" s="1">
        <f t="shared" si="6"/>
        <v>15.227272727272727</v>
      </c>
      <c r="W57" s="1">
        <v>5.6</v>
      </c>
      <c r="X57" s="1">
        <v>5.4</v>
      </c>
      <c r="Y57" s="1">
        <v>8.6666666666666661</v>
      </c>
      <c r="Z57" s="1">
        <v>10.199999999999999</v>
      </c>
      <c r="AA57" s="1">
        <v>3.8</v>
      </c>
      <c r="AB57" s="1">
        <v>5.6</v>
      </c>
      <c r="AC57" s="1">
        <v>7.4</v>
      </c>
      <c r="AD57" s="1">
        <v>6.2</v>
      </c>
      <c r="AE57" s="1"/>
      <c r="AF57" s="1">
        <f t="shared" ref="AF57:AF68" si="15">G57*R57</f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103</v>
      </c>
      <c r="B58" s="1" t="s">
        <v>36</v>
      </c>
      <c r="C58" s="1">
        <v>375.71800000000002</v>
      </c>
      <c r="D58" s="1">
        <v>4.08</v>
      </c>
      <c r="E58" s="1">
        <v>187.191</v>
      </c>
      <c r="F58" s="1">
        <v>187.19399999999999</v>
      </c>
      <c r="G58" s="8">
        <v>1</v>
      </c>
      <c r="H58" s="1">
        <v>50</v>
      </c>
      <c r="I58" s="1" t="s">
        <v>37</v>
      </c>
      <c r="J58" s="1"/>
      <c r="K58" s="1">
        <v>179.80799999999999</v>
      </c>
      <c r="L58" s="1">
        <f t="shared" si="12"/>
        <v>7.3830000000000098</v>
      </c>
      <c r="M58" s="1"/>
      <c r="N58" s="1"/>
      <c r="O58" s="1">
        <v>0</v>
      </c>
      <c r="P58" s="1">
        <v>75.704599999999971</v>
      </c>
      <c r="Q58" s="1">
        <f t="shared" si="3"/>
        <v>37.438200000000002</v>
      </c>
      <c r="R58" s="5">
        <f t="shared" ref="R58:R68" si="16">11*Q58-P58-O58-F58</f>
        <v>148.92160000000004</v>
      </c>
      <c r="S58" s="5"/>
      <c r="T58" s="1"/>
      <c r="U58" s="1">
        <f t="shared" si="5"/>
        <v>11</v>
      </c>
      <c r="V58" s="1">
        <f t="shared" si="6"/>
        <v>7.0222019221009546</v>
      </c>
      <c r="W58" s="1">
        <v>31.756799999999998</v>
      </c>
      <c r="X58" s="1">
        <v>30.0944</v>
      </c>
      <c r="Y58" s="1">
        <v>29.36033333333333</v>
      </c>
      <c r="Z58" s="1">
        <v>38.4056</v>
      </c>
      <c r="AA58" s="1">
        <v>41.643000000000001</v>
      </c>
      <c r="AB58" s="1">
        <v>35.771599999999999</v>
      </c>
      <c r="AC58" s="1">
        <v>36.772599999999997</v>
      </c>
      <c r="AD58" s="1">
        <v>32.881799999999998</v>
      </c>
      <c r="AE58" s="1"/>
      <c r="AF58" s="1">
        <f t="shared" si="15"/>
        <v>148.92160000000004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104</v>
      </c>
      <c r="B59" s="1" t="s">
        <v>36</v>
      </c>
      <c r="C59" s="1">
        <v>87.566999999999993</v>
      </c>
      <c r="D59" s="1"/>
      <c r="E59" s="1">
        <v>25.158000000000001</v>
      </c>
      <c r="F59" s="1">
        <v>61.978999999999999</v>
      </c>
      <c r="G59" s="8">
        <v>1</v>
      </c>
      <c r="H59" s="1">
        <v>50</v>
      </c>
      <c r="I59" s="1" t="s">
        <v>37</v>
      </c>
      <c r="J59" s="1"/>
      <c r="K59" s="1">
        <v>24.7</v>
      </c>
      <c r="L59" s="1">
        <f t="shared" si="12"/>
        <v>0.45800000000000196</v>
      </c>
      <c r="M59" s="1"/>
      <c r="N59" s="1"/>
      <c r="O59" s="1">
        <v>5.9968000000000217</v>
      </c>
      <c r="P59" s="1">
        <v>4</v>
      </c>
      <c r="Q59" s="1">
        <f t="shared" si="3"/>
        <v>5.0316000000000001</v>
      </c>
      <c r="R59" s="5"/>
      <c r="S59" s="5"/>
      <c r="T59" s="1"/>
      <c r="U59" s="1">
        <f t="shared" si="5"/>
        <v>14.304753955004376</v>
      </c>
      <c r="V59" s="1">
        <f t="shared" si="6"/>
        <v>14.304753955004376</v>
      </c>
      <c r="W59" s="1">
        <v>7.6061999999999994</v>
      </c>
      <c r="X59" s="1">
        <v>8.5058000000000007</v>
      </c>
      <c r="Y59" s="1">
        <v>4.9453333333333331</v>
      </c>
      <c r="Z59" s="1">
        <v>7.0244</v>
      </c>
      <c r="AA59" s="1">
        <v>6.891</v>
      </c>
      <c r="AB59" s="1">
        <v>10.807600000000001</v>
      </c>
      <c r="AC59" s="1">
        <v>11.3232</v>
      </c>
      <c r="AD59" s="1">
        <v>6.4828000000000001</v>
      </c>
      <c r="AE59" s="1"/>
      <c r="AF59" s="1">
        <f t="shared" si="15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105</v>
      </c>
      <c r="B60" s="1" t="s">
        <v>42</v>
      </c>
      <c r="C60" s="1">
        <v>70</v>
      </c>
      <c r="D60" s="1">
        <v>5</v>
      </c>
      <c r="E60" s="1">
        <v>22</v>
      </c>
      <c r="F60" s="1">
        <v>48</v>
      </c>
      <c r="G60" s="8">
        <v>0.1</v>
      </c>
      <c r="H60" s="1">
        <v>730</v>
      </c>
      <c r="I60" s="1" t="s">
        <v>37</v>
      </c>
      <c r="J60" s="1"/>
      <c r="K60" s="1">
        <v>22</v>
      </c>
      <c r="L60" s="1">
        <f t="shared" si="12"/>
        <v>0</v>
      </c>
      <c r="M60" s="1"/>
      <c r="N60" s="1"/>
      <c r="O60" s="1">
        <v>0</v>
      </c>
      <c r="P60" s="1"/>
      <c r="Q60" s="1">
        <f t="shared" si="3"/>
        <v>4.4000000000000004</v>
      </c>
      <c r="R60" s="5">
        <v>10</v>
      </c>
      <c r="S60" s="5"/>
      <c r="T60" s="1"/>
      <c r="U60" s="1">
        <f t="shared" si="5"/>
        <v>13.18181818181818</v>
      </c>
      <c r="V60" s="1">
        <f t="shared" si="6"/>
        <v>10.909090909090908</v>
      </c>
      <c r="W60" s="1">
        <v>4.5999999999999996</v>
      </c>
      <c r="X60" s="1">
        <v>4.4000000000000004</v>
      </c>
      <c r="Y60" s="1">
        <v>6</v>
      </c>
      <c r="Z60" s="1">
        <v>7</v>
      </c>
      <c r="AA60" s="1">
        <v>3</v>
      </c>
      <c r="AB60" s="1">
        <v>6.4</v>
      </c>
      <c r="AC60" s="1">
        <v>8.1999999999999993</v>
      </c>
      <c r="AD60" s="1">
        <v>4</v>
      </c>
      <c r="AE60" s="1"/>
      <c r="AF60" s="1">
        <f t="shared" si="15"/>
        <v>1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106</v>
      </c>
      <c r="B61" s="1" t="s">
        <v>42</v>
      </c>
      <c r="C61" s="1">
        <v>87</v>
      </c>
      <c r="D61" s="1"/>
      <c r="E61" s="1">
        <v>60</v>
      </c>
      <c r="F61" s="1">
        <v>26</v>
      </c>
      <c r="G61" s="8">
        <v>0.4</v>
      </c>
      <c r="H61" s="1">
        <v>50</v>
      </c>
      <c r="I61" s="1" t="s">
        <v>37</v>
      </c>
      <c r="J61" s="1"/>
      <c r="K61" s="1">
        <v>65</v>
      </c>
      <c r="L61" s="1">
        <f t="shared" si="12"/>
        <v>-5</v>
      </c>
      <c r="M61" s="1"/>
      <c r="N61" s="1"/>
      <c r="O61" s="1">
        <v>0</v>
      </c>
      <c r="P61" s="1"/>
      <c r="Q61" s="1">
        <f t="shared" si="3"/>
        <v>12</v>
      </c>
      <c r="R61" s="5">
        <f>8*Q61-P61-O61-F61</f>
        <v>70</v>
      </c>
      <c r="S61" s="5"/>
      <c r="T61" s="1"/>
      <c r="U61" s="1">
        <f t="shared" si="5"/>
        <v>8</v>
      </c>
      <c r="V61" s="1">
        <f t="shared" si="6"/>
        <v>2.1666666666666665</v>
      </c>
      <c r="W61" s="1">
        <v>1.6</v>
      </c>
      <c r="X61" s="1">
        <v>0.6</v>
      </c>
      <c r="Y61" s="1">
        <v>0.16666666666666671</v>
      </c>
      <c r="Z61" s="1">
        <v>3.4</v>
      </c>
      <c r="AA61" s="1">
        <v>5.8</v>
      </c>
      <c r="AB61" s="1">
        <v>8.4</v>
      </c>
      <c r="AC61" s="1">
        <v>12.4</v>
      </c>
      <c r="AD61" s="1">
        <v>5</v>
      </c>
      <c r="AE61" s="1"/>
      <c r="AF61" s="1">
        <f t="shared" si="15"/>
        <v>28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107</v>
      </c>
      <c r="B62" s="1" t="s">
        <v>36</v>
      </c>
      <c r="C62" s="1">
        <v>1.25</v>
      </c>
      <c r="D62" s="1">
        <v>171.16399999999999</v>
      </c>
      <c r="E62" s="1">
        <v>2.702</v>
      </c>
      <c r="F62" s="1">
        <v>169.71199999999999</v>
      </c>
      <c r="G62" s="8">
        <v>1</v>
      </c>
      <c r="H62" s="1">
        <v>40</v>
      </c>
      <c r="I62" s="1" t="s">
        <v>37</v>
      </c>
      <c r="J62" s="1"/>
      <c r="K62" s="1">
        <v>3.9</v>
      </c>
      <c r="L62" s="1">
        <f t="shared" si="12"/>
        <v>-1.198</v>
      </c>
      <c r="M62" s="1"/>
      <c r="N62" s="1"/>
      <c r="O62" s="1">
        <v>0</v>
      </c>
      <c r="P62" s="1"/>
      <c r="Q62" s="1">
        <f t="shared" si="3"/>
        <v>0.54039999999999999</v>
      </c>
      <c r="R62" s="5"/>
      <c r="S62" s="5"/>
      <c r="T62" s="1"/>
      <c r="U62" s="1">
        <f t="shared" si="5"/>
        <v>314.0488527017024</v>
      </c>
      <c r="V62" s="1">
        <f t="shared" si="6"/>
        <v>314.0488527017024</v>
      </c>
      <c r="W62" s="1">
        <v>7.8994</v>
      </c>
      <c r="X62" s="1">
        <v>8.966800000000001</v>
      </c>
      <c r="Y62" s="1">
        <v>16.863</v>
      </c>
      <c r="Z62" s="1">
        <v>19.994800000000001</v>
      </c>
      <c r="AA62" s="1">
        <v>9.3117999999999999</v>
      </c>
      <c r="AB62" s="1">
        <v>15.613799999999999</v>
      </c>
      <c r="AC62" s="1">
        <v>1.1060000000000001</v>
      </c>
      <c r="AD62" s="1">
        <v>5.3941999999999997</v>
      </c>
      <c r="AE62" s="1"/>
      <c r="AF62" s="1">
        <f t="shared" si="15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108</v>
      </c>
      <c r="B63" s="1" t="s">
        <v>36</v>
      </c>
      <c r="C63" s="1">
        <v>58.259</v>
      </c>
      <c r="D63" s="1"/>
      <c r="E63" s="1">
        <v>58.344000000000001</v>
      </c>
      <c r="F63" s="1">
        <v>-8.5000000000000006E-2</v>
      </c>
      <c r="G63" s="8">
        <v>1</v>
      </c>
      <c r="H63" s="1">
        <v>40</v>
      </c>
      <c r="I63" s="1" t="s">
        <v>37</v>
      </c>
      <c r="J63" s="1"/>
      <c r="K63" s="1">
        <v>56.5</v>
      </c>
      <c r="L63" s="1">
        <f t="shared" si="12"/>
        <v>1.8440000000000012</v>
      </c>
      <c r="M63" s="1"/>
      <c r="N63" s="1"/>
      <c r="O63" s="1">
        <v>0</v>
      </c>
      <c r="P63" s="1">
        <v>23.6264</v>
      </c>
      <c r="Q63" s="1">
        <f t="shared" si="3"/>
        <v>11.668800000000001</v>
      </c>
      <c r="R63" s="5">
        <f>8*Q63-P63-O63-F63</f>
        <v>69.808999999999997</v>
      </c>
      <c r="S63" s="5"/>
      <c r="T63" s="1"/>
      <c r="U63" s="1">
        <f t="shared" si="5"/>
        <v>7.9999999999999991</v>
      </c>
      <c r="V63" s="1">
        <f t="shared" si="6"/>
        <v>2.0174653777594953</v>
      </c>
      <c r="W63" s="1">
        <v>6.2552000000000003</v>
      </c>
      <c r="X63" s="1">
        <v>5.9763999999999999</v>
      </c>
      <c r="Y63" s="1">
        <v>2.2364999999999999</v>
      </c>
      <c r="Z63" s="1">
        <v>3.1947999999999999</v>
      </c>
      <c r="AA63" s="1">
        <v>1.8586</v>
      </c>
      <c r="AB63" s="1">
        <v>8.3574000000000002</v>
      </c>
      <c r="AC63" s="1">
        <v>10.234</v>
      </c>
      <c r="AD63" s="1">
        <v>3.2046000000000001</v>
      </c>
      <c r="AE63" s="1"/>
      <c r="AF63" s="1">
        <f t="shared" si="15"/>
        <v>69.808999999999997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109</v>
      </c>
      <c r="B64" s="1" t="s">
        <v>42</v>
      </c>
      <c r="C64" s="1">
        <v>300</v>
      </c>
      <c r="D64" s="1">
        <v>330</v>
      </c>
      <c r="E64" s="1">
        <v>410</v>
      </c>
      <c r="F64" s="1">
        <v>210</v>
      </c>
      <c r="G64" s="8">
        <v>0.4</v>
      </c>
      <c r="H64" s="1">
        <v>40</v>
      </c>
      <c r="I64" s="1" t="s">
        <v>37</v>
      </c>
      <c r="J64" s="1"/>
      <c r="K64" s="1">
        <v>417</v>
      </c>
      <c r="L64" s="1">
        <f t="shared" si="12"/>
        <v>-7</v>
      </c>
      <c r="M64" s="1"/>
      <c r="N64" s="1"/>
      <c r="O64" s="1">
        <v>172.20000000000061</v>
      </c>
      <c r="P64" s="1">
        <v>266.60000000000002</v>
      </c>
      <c r="Q64" s="1">
        <f t="shared" si="3"/>
        <v>82</v>
      </c>
      <c r="R64" s="5">
        <f t="shared" si="16"/>
        <v>253.19999999999936</v>
      </c>
      <c r="S64" s="5"/>
      <c r="T64" s="1"/>
      <c r="U64" s="1">
        <f t="shared" si="5"/>
        <v>11</v>
      </c>
      <c r="V64" s="1">
        <f t="shared" si="6"/>
        <v>7.9121951219512274</v>
      </c>
      <c r="W64" s="1">
        <v>76.400000000000006</v>
      </c>
      <c r="X64" s="1">
        <v>72.2</v>
      </c>
      <c r="Y64" s="1">
        <v>72.666666666666671</v>
      </c>
      <c r="Z64" s="1">
        <v>83.4</v>
      </c>
      <c r="AA64" s="1">
        <v>65.8</v>
      </c>
      <c r="AB64" s="1">
        <v>79.599999999999994</v>
      </c>
      <c r="AC64" s="1">
        <v>68.599999999999994</v>
      </c>
      <c r="AD64" s="1">
        <v>74</v>
      </c>
      <c r="AE64" s="1"/>
      <c r="AF64" s="1">
        <f t="shared" si="15"/>
        <v>101.27999999999975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110</v>
      </c>
      <c r="B65" s="1" t="s">
        <v>42</v>
      </c>
      <c r="C65" s="1">
        <v>167</v>
      </c>
      <c r="D65" s="1">
        <v>551</v>
      </c>
      <c r="E65" s="1">
        <v>231</v>
      </c>
      <c r="F65" s="1">
        <v>441</v>
      </c>
      <c r="G65" s="8">
        <v>0.4</v>
      </c>
      <c r="H65" s="1">
        <v>40</v>
      </c>
      <c r="I65" s="1" t="s">
        <v>37</v>
      </c>
      <c r="J65" s="1"/>
      <c r="K65" s="1">
        <v>307</v>
      </c>
      <c r="L65" s="1">
        <f t="shared" si="12"/>
        <v>-76</v>
      </c>
      <c r="M65" s="1"/>
      <c r="N65" s="1"/>
      <c r="O65" s="1">
        <v>25.600000000000019</v>
      </c>
      <c r="P65" s="1">
        <v>232.4</v>
      </c>
      <c r="Q65" s="1">
        <f t="shared" si="3"/>
        <v>46.2</v>
      </c>
      <c r="R65" s="5"/>
      <c r="S65" s="5"/>
      <c r="T65" s="1"/>
      <c r="U65" s="1">
        <f t="shared" si="5"/>
        <v>15.129870129870129</v>
      </c>
      <c r="V65" s="1">
        <f t="shared" si="6"/>
        <v>15.129870129870129</v>
      </c>
      <c r="W65" s="1">
        <v>66</v>
      </c>
      <c r="X65" s="1">
        <v>63.6</v>
      </c>
      <c r="Y65" s="1">
        <v>72.666666666666671</v>
      </c>
      <c r="Z65" s="1">
        <v>75</v>
      </c>
      <c r="AA65" s="1">
        <v>39.200000000000003</v>
      </c>
      <c r="AB65" s="1">
        <v>83.8</v>
      </c>
      <c r="AC65" s="1">
        <v>64.2</v>
      </c>
      <c r="AD65" s="1">
        <v>55.6</v>
      </c>
      <c r="AE65" s="1" t="s">
        <v>39</v>
      </c>
      <c r="AF65" s="1">
        <f t="shared" si="15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111</v>
      </c>
      <c r="B66" s="1" t="s">
        <v>36</v>
      </c>
      <c r="C66" s="1">
        <v>293.47399999999999</v>
      </c>
      <c r="D66" s="1">
        <v>230.63900000000001</v>
      </c>
      <c r="E66" s="1">
        <v>175.357</v>
      </c>
      <c r="F66" s="1">
        <v>341.60899999999998</v>
      </c>
      <c r="G66" s="8">
        <v>1</v>
      </c>
      <c r="H66" s="1">
        <v>40</v>
      </c>
      <c r="I66" s="1" t="s">
        <v>37</v>
      </c>
      <c r="J66" s="1"/>
      <c r="K66" s="1">
        <v>153.82400000000001</v>
      </c>
      <c r="L66" s="1">
        <f t="shared" si="12"/>
        <v>21.532999999999987</v>
      </c>
      <c r="M66" s="1"/>
      <c r="N66" s="1"/>
      <c r="O66" s="1">
        <v>0</v>
      </c>
      <c r="P66" s="1"/>
      <c r="Q66" s="1">
        <f t="shared" si="3"/>
        <v>35.071399999999997</v>
      </c>
      <c r="R66" s="5">
        <f t="shared" si="16"/>
        <v>44.176400000000001</v>
      </c>
      <c r="S66" s="5"/>
      <c r="T66" s="1"/>
      <c r="U66" s="1">
        <f t="shared" si="5"/>
        <v>11</v>
      </c>
      <c r="V66" s="1">
        <f t="shared" si="6"/>
        <v>9.7403867538792301</v>
      </c>
      <c r="W66" s="1">
        <v>29.358000000000001</v>
      </c>
      <c r="X66" s="1">
        <v>26.1556</v>
      </c>
      <c r="Y66" s="1">
        <v>45.908333333333331</v>
      </c>
      <c r="Z66" s="1">
        <v>58.191800000000001</v>
      </c>
      <c r="AA66" s="1">
        <v>43.218000000000004</v>
      </c>
      <c r="AB66" s="1">
        <v>41.256999999999998</v>
      </c>
      <c r="AC66" s="1">
        <v>33.469000000000001</v>
      </c>
      <c r="AD66" s="1">
        <v>39.264600000000002</v>
      </c>
      <c r="AE66" s="1"/>
      <c r="AF66" s="1">
        <f t="shared" si="15"/>
        <v>44.176400000000001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112</v>
      </c>
      <c r="B67" s="1" t="s">
        <v>36</v>
      </c>
      <c r="C67" s="1">
        <v>288.03100000000001</v>
      </c>
      <c r="D67" s="1">
        <v>195.29499999999999</v>
      </c>
      <c r="E67" s="1">
        <v>165.71100000000001</v>
      </c>
      <c r="F67" s="1">
        <v>300.50400000000002</v>
      </c>
      <c r="G67" s="8">
        <v>1</v>
      </c>
      <c r="H67" s="1">
        <v>40</v>
      </c>
      <c r="I67" s="1" t="s">
        <v>37</v>
      </c>
      <c r="J67" s="1"/>
      <c r="K67" s="1">
        <v>152.91999999999999</v>
      </c>
      <c r="L67" s="1">
        <f t="shared" si="12"/>
        <v>12.791000000000025</v>
      </c>
      <c r="M67" s="1"/>
      <c r="N67" s="1"/>
      <c r="O67" s="1">
        <v>0</v>
      </c>
      <c r="P67" s="1"/>
      <c r="Q67" s="1">
        <f t="shared" si="3"/>
        <v>33.142200000000003</v>
      </c>
      <c r="R67" s="5">
        <f t="shared" si="16"/>
        <v>64.060200000000009</v>
      </c>
      <c r="S67" s="5"/>
      <c r="T67" s="1"/>
      <c r="U67" s="1">
        <f t="shared" si="5"/>
        <v>11</v>
      </c>
      <c r="V67" s="1">
        <f t="shared" si="6"/>
        <v>9.0671108134040583</v>
      </c>
      <c r="W67" s="1">
        <v>28.8218</v>
      </c>
      <c r="X67" s="1">
        <v>30.860800000000001</v>
      </c>
      <c r="Y67" s="1">
        <v>45.458833333333331</v>
      </c>
      <c r="Z67" s="1">
        <v>52.653200000000012</v>
      </c>
      <c r="AA67" s="1">
        <v>47.058199999999999</v>
      </c>
      <c r="AB67" s="1">
        <v>39.851399999999998</v>
      </c>
      <c r="AC67" s="1">
        <v>34.515599999999999</v>
      </c>
      <c r="AD67" s="1">
        <v>40.766800000000003</v>
      </c>
      <c r="AE67" s="1"/>
      <c r="AF67" s="1">
        <f t="shared" si="15"/>
        <v>64.060200000000009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113</v>
      </c>
      <c r="B68" s="1" t="s">
        <v>36</v>
      </c>
      <c r="C68" s="1">
        <v>888.98900000000003</v>
      </c>
      <c r="D68" s="1">
        <v>0.90800000000000003</v>
      </c>
      <c r="E68" s="1">
        <v>309.83199999999999</v>
      </c>
      <c r="F68" s="1">
        <v>575.53800000000001</v>
      </c>
      <c r="G68" s="8">
        <v>1</v>
      </c>
      <c r="H68" s="1">
        <v>40</v>
      </c>
      <c r="I68" s="1" t="s">
        <v>37</v>
      </c>
      <c r="J68" s="1"/>
      <c r="K68" s="1">
        <v>287.89999999999998</v>
      </c>
      <c r="L68" s="1">
        <f t="shared" si="12"/>
        <v>21.932000000000016</v>
      </c>
      <c r="M68" s="1"/>
      <c r="N68" s="1"/>
      <c r="O68" s="1">
        <v>0</v>
      </c>
      <c r="P68" s="1"/>
      <c r="Q68" s="1">
        <f t="shared" si="3"/>
        <v>61.9664</v>
      </c>
      <c r="R68" s="5">
        <f t="shared" si="16"/>
        <v>106.0924</v>
      </c>
      <c r="S68" s="5"/>
      <c r="T68" s="1"/>
      <c r="U68" s="1">
        <f t="shared" si="5"/>
        <v>11</v>
      </c>
      <c r="V68" s="1">
        <f t="shared" si="6"/>
        <v>9.2879044127139867</v>
      </c>
      <c r="W68" s="1">
        <v>45.757399999999997</v>
      </c>
      <c r="X68" s="1">
        <v>42.098399999999998</v>
      </c>
      <c r="Y68" s="1">
        <v>45.980499999999999</v>
      </c>
      <c r="Z68" s="1">
        <v>63.721799999999988</v>
      </c>
      <c r="AA68" s="1">
        <v>127.86360000000001</v>
      </c>
      <c r="AB68" s="1">
        <v>42.148200000000003</v>
      </c>
      <c r="AC68" s="1">
        <v>70.266999999999996</v>
      </c>
      <c r="AD68" s="1">
        <v>82.022000000000006</v>
      </c>
      <c r="AE68" s="1"/>
      <c r="AF68" s="1">
        <f t="shared" si="15"/>
        <v>106.0924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7" t="s">
        <v>114</v>
      </c>
      <c r="B69" s="17" t="s">
        <v>36</v>
      </c>
      <c r="C69" s="17"/>
      <c r="D69" s="17"/>
      <c r="E69" s="17"/>
      <c r="F69" s="17"/>
      <c r="G69" s="18">
        <v>0</v>
      </c>
      <c r="H69" s="17">
        <v>30</v>
      </c>
      <c r="I69" s="17" t="s">
        <v>37</v>
      </c>
      <c r="J69" s="17"/>
      <c r="K69" s="17"/>
      <c r="L69" s="17">
        <f t="shared" si="12"/>
        <v>0</v>
      </c>
      <c r="M69" s="17"/>
      <c r="N69" s="17"/>
      <c r="O69" s="17">
        <v>0</v>
      </c>
      <c r="P69" s="17"/>
      <c r="Q69" s="17">
        <f t="shared" si="3"/>
        <v>0</v>
      </c>
      <c r="R69" s="19"/>
      <c r="S69" s="19"/>
      <c r="T69" s="17"/>
      <c r="U69" s="17" t="e">
        <f t="shared" si="5"/>
        <v>#DIV/0!</v>
      </c>
      <c r="V69" s="17" t="e">
        <f t="shared" si="6"/>
        <v>#DIV/0!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 t="s">
        <v>63</v>
      </c>
      <c r="AF69" s="1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115</v>
      </c>
      <c r="B70" s="1" t="s">
        <v>42</v>
      </c>
      <c r="C70" s="1">
        <v>34</v>
      </c>
      <c r="D70" s="1">
        <v>13</v>
      </c>
      <c r="E70" s="1">
        <v>21</v>
      </c>
      <c r="F70" s="1">
        <v>13</v>
      </c>
      <c r="G70" s="8">
        <v>0.6</v>
      </c>
      <c r="H70" s="1">
        <v>60</v>
      </c>
      <c r="I70" s="1" t="s">
        <v>37</v>
      </c>
      <c r="J70" s="1"/>
      <c r="K70" s="1">
        <v>49</v>
      </c>
      <c r="L70" s="1">
        <f t="shared" ref="L70:L97" si="17">E70-K70</f>
        <v>-28</v>
      </c>
      <c r="M70" s="1"/>
      <c r="N70" s="1"/>
      <c r="O70" s="1">
        <v>0</v>
      </c>
      <c r="P70" s="1">
        <v>36.799999999999997</v>
      </c>
      <c r="Q70" s="1">
        <f t="shared" si="3"/>
        <v>4.2</v>
      </c>
      <c r="R70" s="5"/>
      <c r="S70" s="5"/>
      <c r="T70" s="1"/>
      <c r="U70" s="1">
        <f t="shared" si="5"/>
        <v>11.857142857142856</v>
      </c>
      <c r="V70" s="1">
        <f t="shared" si="6"/>
        <v>11.857142857142856</v>
      </c>
      <c r="W70" s="1">
        <v>4.4000000000000004</v>
      </c>
      <c r="X70" s="1">
        <v>2.4</v>
      </c>
      <c r="Y70" s="1">
        <v>1.666666666666667</v>
      </c>
      <c r="Z70" s="1">
        <v>0.4</v>
      </c>
      <c r="AA70" s="1">
        <v>2.2000000000000002</v>
      </c>
      <c r="AB70" s="1">
        <v>17.8</v>
      </c>
      <c r="AC70" s="1">
        <v>3.8</v>
      </c>
      <c r="AD70" s="1">
        <v>0.97579999999999989</v>
      </c>
      <c r="AE70" s="1"/>
      <c r="AF70" s="1">
        <f>G70*R70</f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116</v>
      </c>
      <c r="B71" s="1" t="s">
        <v>42</v>
      </c>
      <c r="C71" s="1">
        <v>56</v>
      </c>
      <c r="D71" s="1">
        <v>40</v>
      </c>
      <c r="E71" s="1">
        <v>41</v>
      </c>
      <c r="F71" s="1">
        <v>55</v>
      </c>
      <c r="G71" s="8">
        <v>0.6</v>
      </c>
      <c r="H71" s="1">
        <v>60</v>
      </c>
      <c r="I71" s="1" t="s">
        <v>37</v>
      </c>
      <c r="J71" s="1"/>
      <c r="K71" s="1">
        <v>38</v>
      </c>
      <c r="L71" s="1">
        <f t="shared" si="17"/>
        <v>3</v>
      </c>
      <c r="M71" s="1"/>
      <c r="N71" s="1"/>
      <c r="O71" s="1">
        <v>0</v>
      </c>
      <c r="P71" s="1">
        <v>55.000000000000028</v>
      </c>
      <c r="Q71" s="1">
        <f t="shared" ref="Q71:Q97" si="18">E71/5</f>
        <v>8.1999999999999993</v>
      </c>
      <c r="R71" s="5"/>
      <c r="S71" s="5"/>
      <c r="T71" s="1"/>
      <c r="U71" s="1">
        <f t="shared" ref="U71:U97" si="19">(F71+O71+P71+R71)/Q71</f>
        <v>13.414634146341468</v>
      </c>
      <c r="V71" s="1">
        <f t="shared" ref="V71:V97" si="20">(F71+O71+P71)/Q71</f>
        <v>13.414634146341468</v>
      </c>
      <c r="W71" s="1">
        <v>8.8000000000000007</v>
      </c>
      <c r="X71" s="1">
        <v>1.4</v>
      </c>
      <c r="Y71" s="1">
        <v>4.5</v>
      </c>
      <c r="Z71" s="1">
        <v>8.1999999999999993</v>
      </c>
      <c r="AA71" s="1">
        <v>3.4</v>
      </c>
      <c r="AB71" s="1">
        <v>0</v>
      </c>
      <c r="AC71" s="1">
        <v>0</v>
      </c>
      <c r="AD71" s="1">
        <v>0</v>
      </c>
      <c r="AE71" s="1" t="s">
        <v>117</v>
      </c>
      <c r="AF71" s="1">
        <f>G71*R71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118</v>
      </c>
      <c r="B72" s="1" t="s">
        <v>42</v>
      </c>
      <c r="C72" s="1">
        <v>10</v>
      </c>
      <c r="D72" s="1">
        <v>200</v>
      </c>
      <c r="E72" s="1">
        <v>48</v>
      </c>
      <c r="F72" s="1">
        <v>162</v>
      </c>
      <c r="G72" s="8">
        <v>0.37</v>
      </c>
      <c r="H72" s="1">
        <v>50</v>
      </c>
      <c r="I72" s="11" t="s">
        <v>75</v>
      </c>
      <c r="J72" s="1"/>
      <c r="K72" s="1">
        <v>51</v>
      </c>
      <c r="L72" s="1">
        <f t="shared" si="17"/>
        <v>-3</v>
      </c>
      <c r="M72" s="1"/>
      <c r="N72" s="1"/>
      <c r="O72" s="1">
        <v>0</v>
      </c>
      <c r="P72" s="1"/>
      <c r="Q72" s="1">
        <f t="shared" si="18"/>
        <v>9.6</v>
      </c>
      <c r="R72" s="5"/>
      <c r="S72" s="5"/>
      <c r="T72" s="1"/>
      <c r="U72" s="1">
        <f t="shared" si="19"/>
        <v>16.875</v>
      </c>
      <c r="V72" s="1">
        <f t="shared" si="20"/>
        <v>16.875</v>
      </c>
      <c r="W72" s="1">
        <v>3.2</v>
      </c>
      <c r="X72" s="1">
        <v>7.8</v>
      </c>
      <c r="Y72" s="1">
        <v>17.333333333333329</v>
      </c>
      <c r="Z72" s="1">
        <v>22</v>
      </c>
      <c r="AA72" s="1">
        <v>9.4</v>
      </c>
      <c r="AB72" s="1">
        <v>9.6</v>
      </c>
      <c r="AC72" s="1">
        <v>12.4</v>
      </c>
      <c r="AD72" s="1">
        <v>9.6</v>
      </c>
      <c r="AE72" s="1" t="s">
        <v>39</v>
      </c>
      <c r="AF72" s="1">
        <f>G72*R72</f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7" t="s">
        <v>119</v>
      </c>
      <c r="B73" s="17" t="s">
        <v>42</v>
      </c>
      <c r="C73" s="17"/>
      <c r="D73" s="17"/>
      <c r="E73" s="17"/>
      <c r="F73" s="17"/>
      <c r="G73" s="18">
        <v>0</v>
      </c>
      <c r="H73" s="17">
        <v>30</v>
      </c>
      <c r="I73" s="17" t="s">
        <v>37</v>
      </c>
      <c r="J73" s="17"/>
      <c r="K73" s="17"/>
      <c r="L73" s="17">
        <f t="shared" si="17"/>
        <v>0</v>
      </c>
      <c r="M73" s="17"/>
      <c r="N73" s="17"/>
      <c r="O73" s="17">
        <v>0</v>
      </c>
      <c r="P73" s="17"/>
      <c r="Q73" s="17">
        <f t="shared" si="18"/>
        <v>0</v>
      </c>
      <c r="R73" s="19"/>
      <c r="S73" s="19"/>
      <c r="T73" s="17"/>
      <c r="U73" s="17" t="e">
        <f t="shared" si="19"/>
        <v>#DIV/0!</v>
      </c>
      <c r="V73" s="17" t="e">
        <f t="shared" si="20"/>
        <v>#DIV/0!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 t="s">
        <v>63</v>
      </c>
      <c r="AF73" s="1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120</v>
      </c>
      <c r="B74" s="1" t="s">
        <v>42</v>
      </c>
      <c r="C74" s="1">
        <v>111</v>
      </c>
      <c r="D74" s="1">
        <v>8</v>
      </c>
      <c r="E74" s="1">
        <v>83</v>
      </c>
      <c r="F74" s="1">
        <v>28</v>
      </c>
      <c r="G74" s="8">
        <v>0.6</v>
      </c>
      <c r="H74" s="1">
        <v>55</v>
      </c>
      <c r="I74" s="11" t="s">
        <v>75</v>
      </c>
      <c r="J74" s="1"/>
      <c r="K74" s="1">
        <v>72.8</v>
      </c>
      <c r="L74" s="1">
        <f t="shared" si="17"/>
        <v>10.200000000000003</v>
      </c>
      <c r="M74" s="1"/>
      <c r="N74" s="1"/>
      <c r="O74" s="1">
        <v>0</v>
      </c>
      <c r="P74" s="1">
        <v>93.200000000000017</v>
      </c>
      <c r="Q74" s="1">
        <f t="shared" si="18"/>
        <v>16.600000000000001</v>
      </c>
      <c r="R74" s="5">
        <f>9*Q74-P74-O74-F74</f>
        <v>28.199999999999989</v>
      </c>
      <c r="S74" s="5"/>
      <c r="T74" s="1"/>
      <c r="U74" s="1">
        <f t="shared" si="19"/>
        <v>9</v>
      </c>
      <c r="V74" s="1">
        <f t="shared" si="20"/>
        <v>7.3012048192771086</v>
      </c>
      <c r="W74" s="1">
        <v>14.8</v>
      </c>
      <c r="X74" s="1">
        <v>1.6</v>
      </c>
      <c r="Y74" s="1">
        <v>7.333333333333333</v>
      </c>
      <c r="Z74" s="1">
        <v>7.4</v>
      </c>
      <c r="AA74" s="1">
        <v>2.4</v>
      </c>
      <c r="AB74" s="1">
        <v>12.953200000000001</v>
      </c>
      <c r="AC74" s="1">
        <v>3.6</v>
      </c>
      <c r="AD74" s="1">
        <v>0.7762</v>
      </c>
      <c r="AE74" s="1"/>
      <c r="AF74" s="1">
        <f>G74*R74</f>
        <v>16.919999999999991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7" t="s">
        <v>121</v>
      </c>
      <c r="B75" s="17" t="s">
        <v>42</v>
      </c>
      <c r="C75" s="17"/>
      <c r="D75" s="17"/>
      <c r="E75" s="17"/>
      <c r="F75" s="17"/>
      <c r="G75" s="18">
        <v>0</v>
      </c>
      <c r="H75" s="17">
        <v>40</v>
      </c>
      <c r="I75" s="17" t="s">
        <v>37</v>
      </c>
      <c r="J75" s="17"/>
      <c r="K75" s="17"/>
      <c r="L75" s="17">
        <f t="shared" si="17"/>
        <v>0</v>
      </c>
      <c r="M75" s="17"/>
      <c r="N75" s="17"/>
      <c r="O75" s="17">
        <v>0</v>
      </c>
      <c r="P75" s="17"/>
      <c r="Q75" s="17">
        <f t="shared" si="18"/>
        <v>0</v>
      </c>
      <c r="R75" s="19"/>
      <c r="S75" s="19"/>
      <c r="T75" s="17"/>
      <c r="U75" s="17" t="e">
        <f t="shared" si="19"/>
        <v>#DIV/0!</v>
      </c>
      <c r="V75" s="17" t="e">
        <f t="shared" si="20"/>
        <v>#DIV/0!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 t="s">
        <v>122</v>
      </c>
      <c r="AF75" s="17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123</v>
      </c>
      <c r="B76" s="1" t="s">
        <v>42</v>
      </c>
      <c r="C76" s="1">
        <v>9</v>
      </c>
      <c r="D76" s="1">
        <v>138</v>
      </c>
      <c r="E76" s="1">
        <v>14</v>
      </c>
      <c r="F76" s="1">
        <v>132</v>
      </c>
      <c r="G76" s="8">
        <v>0.4</v>
      </c>
      <c r="H76" s="1">
        <v>50</v>
      </c>
      <c r="I76" s="1" t="s">
        <v>37</v>
      </c>
      <c r="J76" s="1"/>
      <c r="K76" s="1">
        <v>22</v>
      </c>
      <c r="L76" s="1">
        <f t="shared" si="17"/>
        <v>-8</v>
      </c>
      <c r="M76" s="1"/>
      <c r="N76" s="1"/>
      <c r="O76" s="1">
        <v>0</v>
      </c>
      <c r="P76" s="1"/>
      <c r="Q76" s="1">
        <f t="shared" si="18"/>
        <v>2.8</v>
      </c>
      <c r="R76" s="5"/>
      <c r="S76" s="5"/>
      <c r="T76" s="1"/>
      <c r="U76" s="1">
        <f t="shared" si="19"/>
        <v>47.142857142857146</v>
      </c>
      <c r="V76" s="1">
        <f t="shared" si="20"/>
        <v>47.142857142857146</v>
      </c>
      <c r="W76" s="1">
        <v>4.8</v>
      </c>
      <c r="X76" s="1">
        <v>8.1999999999999993</v>
      </c>
      <c r="Y76" s="1">
        <v>13.83333333333333</v>
      </c>
      <c r="Z76" s="1">
        <v>14.6</v>
      </c>
      <c r="AA76" s="1">
        <v>3.8</v>
      </c>
      <c r="AB76" s="1">
        <v>10</v>
      </c>
      <c r="AC76" s="1">
        <v>6.2</v>
      </c>
      <c r="AD76" s="1">
        <v>1.6</v>
      </c>
      <c r="AE76" s="1"/>
      <c r="AF76" s="1">
        <f>G76*R76</f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7" t="s">
        <v>124</v>
      </c>
      <c r="B77" s="17" t="s">
        <v>42</v>
      </c>
      <c r="C77" s="17"/>
      <c r="D77" s="17"/>
      <c r="E77" s="17"/>
      <c r="F77" s="17"/>
      <c r="G77" s="18">
        <v>0</v>
      </c>
      <c r="H77" s="17">
        <v>55</v>
      </c>
      <c r="I77" s="17" t="s">
        <v>37</v>
      </c>
      <c r="J77" s="17"/>
      <c r="K77" s="17"/>
      <c r="L77" s="17">
        <f t="shared" si="17"/>
        <v>0</v>
      </c>
      <c r="M77" s="17"/>
      <c r="N77" s="17"/>
      <c r="O77" s="17">
        <v>0</v>
      </c>
      <c r="P77" s="17"/>
      <c r="Q77" s="17">
        <f t="shared" si="18"/>
        <v>0</v>
      </c>
      <c r="R77" s="19"/>
      <c r="S77" s="19"/>
      <c r="T77" s="17"/>
      <c r="U77" s="17" t="e">
        <f t="shared" si="19"/>
        <v>#DIV/0!</v>
      </c>
      <c r="V77" s="17" t="e">
        <f t="shared" si="20"/>
        <v>#DIV/0!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 t="s">
        <v>63</v>
      </c>
      <c r="AF77" s="17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7" t="s">
        <v>125</v>
      </c>
      <c r="B78" s="17" t="s">
        <v>36</v>
      </c>
      <c r="C78" s="17"/>
      <c r="D78" s="17"/>
      <c r="E78" s="17"/>
      <c r="F78" s="17"/>
      <c r="G78" s="18">
        <v>0</v>
      </c>
      <c r="H78" s="17">
        <v>55</v>
      </c>
      <c r="I78" s="17" t="s">
        <v>37</v>
      </c>
      <c r="J78" s="17"/>
      <c r="K78" s="17"/>
      <c r="L78" s="17">
        <f t="shared" si="17"/>
        <v>0</v>
      </c>
      <c r="M78" s="17"/>
      <c r="N78" s="17"/>
      <c r="O78" s="17">
        <v>0</v>
      </c>
      <c r="P78" s="17"/>
      <c r="Q78" s="17">
        <f t="shared" si="18"/>
        <v>0</v>
      </c>
      <c r="R78" s="19"/>
      <c r="S78" s="19"/>
      <c r="T78" s="17"/>
      <c r="U78" s="17" t="e">
        <f t="shared" si="19"/>
        <v>#DIV/0!</v>
      </c>
      <c r="V78" s="17" t="e">
        <f t="shared" si="20"/>
        <v>#DIV/0!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 t="s">
        <v>126</v>
      </c>
      <c r="AF78" s="17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127</v>
      </c>
      <c r="B79" s="1" t="s">
        <v>36</v>
      </c>
      <c r="C79" s="1">
        <v>66.968000000000004</v>
      </c>
      <c r="D79" s="1">
        <v>259.81900000000002</v>
      </c>
      <c r="E79" s="1">
        <v>112.721</v>
      </c>
      <c r="F79" s="1">
        <v>209.858</v>
      </c>
      <c r="G79" s="8">
        <v>1</v>
      </c>
      <c r="H79" s="1">
        <v>60</v>
      </c>
      <c r="I79" s="1" t="s">
        <v>37</v>
      </c>
      <c r="J79" s="1"/>
      <c r="K79" s="1">
        <v>107.4</v>
      </c>
      <c r="L79" s="1">
        <f t="shared" si="17"/>
        <v>5.320999999999998</v>
      </c>
      <c r="M79" s="1"/>
      <c r="N79" s="1"/>
      <c r="O79" s="1">
        <v>0</v>
      </c>
      <c r="P79" s="1"/>
      <c r="Q79" s="1">
        <f t="shared" si="18"/>
        <v>22.5442</v>
      </c>
      <c r="R79" s="5">
        <f t="shared" ref="R79:R82" si="21">11*Q79-P79-O79-F79</f>
        <v>38.128199999999993</v>
      </c>
      <c r="S79" s="5"/>
      <c r="T79" s="1"/>
      <c r="U79" s="1">
        <f t="shared" si="19"/>
        <v>11</v>
      </c>
      <c r="V79" s="1">
        <f t="shared" si="20"/>
        <v>9.3087357280364795</v>
      </c>
      <c r="W79" s="1">
        <v>19.0594</v>
      </c>
      <c r="X79" s="1">
        <v>20.004200000000001</v>
      </c>
      <c r="Y79" s="1">
        <v>26.745999999999999</v>
      </c>
      <c r="Z79" s="1">
        <v>30.1508</v>
      </c>
      <c r="AA79" s="1">
        <v>19.381</v>
      </c>
      <c r="AB79" s="1">
        <v>25.3506</v>
      </c>
      <c r="AC79" s="1">
        <v>19.732399999999998</v>
      </c>
      <c r="AD79" s="1">
        <v>19.7456</v>
      </c>
      <c r="AE79" s="1" t="s">
        <v>50</v>
      </c>
      <c r="AF79" s="1">
        <f>G79*R79</f>
        <v>38.128199999999993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128</v>
      </c>
      <c r="B80" s="1" t="s">
        <v>36</v>
      </c>
      <c r="C80" s="1">
        <v>598.91399999999999</v>
      </c>
      <c r="D80" s="1">
        <v>642.96699999999998</v>
      </c>
      <c r="E80" s="1">
        <v>561.5</v>
      </c>
      <c r="F80" s="1">
        <v>640.19899999999996</v>
      </c>
      <c r="G80" s="8">
        <v>1</v>
      </c>
      <c r="H80" s="1">
        <v>60</v>
      </c>
      <c r="I80" s="1" t="s">
        <v>37</v>
      </c>
      <c r="J80" s="1"/>
      <c r="K80" s="1">
        <v>576.52</v>
      </c>
      <c r="L80" s="1">
        <f t="shared" si="17"/>
        <v>-15.019999999999982</v>
      </c>
      <c r="M80" s="1"/>
      <c r="N80" s="1"/>
      <c r="O80" s="1">
        <v>22.349549999999908</v>
      </c>
      <c r="P80" s="1">
        <v>333.40539999999987</v>
      </c>
      <c r="Q80" s="1">
        <f t="shared" si="18"/>
        <v>112.3</v>
      </c>
      <c r="R80" s="5">
        <f t="shared" si="21"/>
        <v>239.34605000000022</v>
      </c>
      <c r="S80" s="5"/>
      <c r="T80" s="1"/>
      <c r="U80" s="1">
        <f t="shared" si="19"/>
        <v>11</v>
      </c>
      <c r="V80" s="1">
        <f t="shared" si="20"/>
        <v>8.8686905609973259</v>
      </c>
      <c r="W80" s="1">
        <v>110.97280000000001</v>
      </c>
      <c r="X80" s="1">
        <v>111.33920000000001</v>
      </c>
      <c r="Y80" s="1">
        <v>109.66516666666671</v>
      </c>
      <c r="Z80" s="1">
        <v>132.04480000000001</v>
      </c>
      <c r="AA80" s="1">
        <v>98.457399999999993</v>
      </c>
      <c r="AB80" s="1">
        <v>111.7734</v>
      </c>
      <c r="AC80" s="1">
        <v>108.4014</v>
      </c>
      <c r="AD80" s="1">
        <v>93.259799999999998</v>
      </c>
      <c r="AE80" s="1"/>
      <c r="AF80" s="1">
        <f>G80*R80</f>
        <v>239.34605000000022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129</v>
      </c>
      <c r="B81" s="1" t="s">
        <v>36</v>
      </c>
      <c r="C81" s="1">
        <v>823.55</v>
      </c>
      <c r="D81" s="1">
        <v>435.68900000000002</v>
      </c>
      <c r="E81" s="1">
        <v>727.87900000000002</v>
      </c>
      <c r="F81" s="1">
        <v>501.43700000000001</v>
      </c>
      <c r="G81" s="8">
        <v>1</v>
      </c>
      <c r="H81" s="1">
        <v>60</v>
      </c>
      <c r="I81" s="1" t="s">
        <v>37</v>
      </c>
      <c r="J81" s="1"/>
      <c r="K81" s="1">
        <v>742.2</v>
      </c>
      <c r="L81" s="1">
        <f t="shared" si="17"/>
        <v>-14.321000000000026</v>
      </c>
      <c r="M81" s="1"/>
      <c r="N81" s="1"/>
      <c r="O81" s="1">
        <v>350.18195000000043</v>
      </c>
      <c r="P81" s="1">
        <v>650.48179999999945</v>
      </c>
      <c r="Q81" s="1">
        <f t="shared" si="18"/>
        <v>145.57580000000002</v>
      </c>
      <c r="R81" s="5">
        <f t="shared" si="21"/>
        <v>99.233050000000162</v>
      </c>
      <c r="S81" s="5"/>
      <c r="T81" s="1"/>
      <c r="U81" s="1">
        <f t="shared" si="19"/>
        <v>11.000000000000002</v>
      </c>
      <c r="V81" s="1">
        <f t="shared" si="20"/>
        <v>10.318341029209524</v>
      </c>
      <c r="W81" s="1">
        <v>156.84819999999999</v>
      </c>
      <c r="X81" s="1">
        <v>141.7116</v>
      </c>
      <c r="Y81" s="1">
        <v>113.6155</v>
      </c>
      <c r="Z81" s="1">
        <v>145.12819999999999</v>
      </c>
      <c r="AA81" s="1">
        <v>136.1464</v>
      </c>
      <c r="AB81" s="1">
        <v>92.448000000000008</v>
      </c>
      <c r="AC81" s="1">
        <v>96.532399999999996</v>
      </c>
      <c r="AD81" s="1">
        <v>92.557199999999995</v>
      </c>
      <c r="AE81" s="1" t="s">
        <v>50</v>
      </c>
      <c r="AF81" s="1">
        <f>G81*R81</f>
        <v>99.233050000000162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130</v>
      </c>
      <c r="B82" s="1" t="s">
        <v>36</v>
      </c>
      <c r="C82" s="1">
        <v>1702.4680000000001</v>
      </c>
      <c r="D82" s="1">
        <v>2080.0830000000001</v>
      </c>
      <c r="E82" s="1">
        <v>1303.009</v>
      </c>
      <c r="F82" s="1">
        <v>2429.8020000000001</v>
      </c>
      <c r="G82" s="8">
        <v>1</v>
      </c>
      <c r="H82" s="1">
        <v>60</v>
      </c>
      <c r="I82" s="1" t="s">
        <v>37</v>
      </c>
      <c r="J82" s="1"/>
      <c r="K82" s="1">
        <v>1315.998</v>
      </c>
      <c r="L82" s="1">
        <f t="shared" si="17"/>
        <v>-12.989000000000033</v>
      </c>
      <c r="M82" s="1"/>
      <c r="N82" s="1"/>
      <c r="O82" s="1">
        <v>0</v>
      </c>
      <c r="P82" s="1"/>
      <c r="Q82" s="1">
        <f t="shared" si="18"/>
        <v>260.60180000000003</v>
      </c>
      <c r="R82" s="5">
        <f t="shared" si="21"/>
        <v>436.81780000000026</v>
      </c>
      <c r="S82" s="5"/>
      <c r="T82" s="1"/>
      <c r="U82" s="1">
        <f t="shared" si="19"/>
        <v>11</v>
      </c>
      <c r="V82" s="1">
        <f t="shared" si="20"/>
        <v>9.3238112706819365</v>
      </c>
      <c r="W82" s="1">
        <v>251.7852</v>
      </c>
      <c r="X82" s="1">
        <v>246.667</v>
      </c>
      <c r="Y82" s="1">
        <v>303.02916666666658</v>
      </c>
      <c r="Z82" s="1">
        <v>407.41539999999998</v>
      </c>
      <c r="AA82" s="1">
        <v>277.85980000000001</v>
      </c>
      <c r="AB82" s="1">
        <v>224.4718</v>
      </c>
      <c r="AC82" s="1">
        <v>221.23580000000001</v>
      </c>
      <c r="AD82" s="1">
        <v>215.50120000000001</v>
      </c>
      <c r="AE82" s="1" t="s">
        <v>50</v>
      </c>
      <c r="AF82" s="1">
        <f>G82*R82</f>
        <v>436.81780000000026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7" t="s">
        <v>131</v>
      </c>
      <c r="B83" s="17" t="s">
        <v>36</v>
      </c>
      <c r="C83" s="17"/>
      <c r="D83" s="17"/>
      <c r="E83" s="17"/>
      <c r="F83" s="17"/>
      <c r="G83" s="18">
        <v>0</v>
      </c>
      <c r="H83" s="17">
        <v>60</v>
      </c>
      <c r="I83" s="17" t="s">
        <v>37</v>
      </c>
      <c r="J83" s="17"/>
      <c r="K83" s="17"/>
      <c r="L83" s="17">
        <f t="shared" si="17"/>
        <v>0</v>
      </c>
      <c r="M83" s="17"/>
      <c r="N83" s="17"/>
      <c r="O83" s="17">
        <v>0</v>
      </c>
      <c r="P83" s="17"/>
      <c r="Q83" s="17">
        <f t="shared" si="18"/>
        <v>0</v>
      </c>
      <c r="R83" s="19"/>
      <c r="S83" s="19"/>
      <c r="T83" s="17"/>
      <c r="U83" s="17" t="e">
        <f t="shared" si="19"/>
        <v>#DIV/0!</v>
      </c>
      <c r="V83" s="17" t="e">
        <f t="shared" si="20"/>
        <v>#DIV/0!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 t="s">
        <v>63</v>
      </c>
      <c r="AF83" s="17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132</v>
      </c>
      <c r="B84" s="1" t="s">
        <v>42</v>
      </c>
      <c r="C84" s="1">
        <v>113</v>
      </c>
      <c r="D84" s="1">
        <v>143</v>
      </c>
      <c r="E84" s="1">
        <v>128</v>
      </c>
      <c r="F84" s="1">
        <v>110</v>
      </c>
      <c r="G84" s="8">
        <v>0.3</v>
      </c>
      <c r="H84" s="1">
        <v>40</v>
      </c>
      <c r="I84" s="1" t="s">
        <v>37</v>
      </c>
      <c r="J84" s="1"/>
      <c r="K84" s="1">
        <v>139</v>
      </c>
      <c r="L84" s="1">
        <f t="shared" si="17"/>
        <v>-11</v>
      </c>
      <c r="M84" s="1"/>
      <c r="N84" s="1"/>
      <c r="O84" s="1">
        <v>0</v>
      </c>
      <c r="P84" s="1"/>
      <c r="Q84" s="1">
        <f t="shared" si="18"/>
        <v>25.6</v>
      </c>
      <c r="R84" s="5">
        <f>10*Q84-P84-O84-F84</f>
        <v>146</v>
      </c>
      <c r="S84" s="5"/>
      <c r="T84" s="1"/>
      <c r="U84" s="1">
        <f t="shared" si="19"/>
        <v>10</v>
      </c>
      <c r="V84" s="1">
        <f t="shared" si="20"/>
        <v>4.296875</v>
      </c>
      <c r="W84" s="1">
        <v>14.8</v>
      </c>
      <c r="X84" s="1">
        <v>14.3188</v>
      </c>
      <c r="Y84" s="1">
        <v>20.5</v>
      </c>
      <c r="Z84" s="1">
        <v>28.2</v>
      </c>
      <c r="AA84" s="1">
        <v>19.8</v>
      </c>
      <c r="AB84" s="1">
        <v>19.399999999999999</v>
      </c>
      <c r="AC84" s="1">
        <v>22</v>
      </c>
      <c r="AD84" s="1">
        <v>22.2</v>
      </c>
      <c r="AE84" s="1"/>
      <c r="AF84" s="1">
        <f t="shared" ref="AF84:AF97" si="22">G84*R84</f>
        <v>43.8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133</v>
      </c>
      <c r="B85" s="1" t="s">
        <v>42</v>
      </c>
      <c r="C85" s="1">
        <v>69</v>
      </c>
      <c r="D85" s="1">
        <v>2</v>
      </c>
      <c r="E85" s="1">
        <v>34</v>
      </c>
      <c r="F85" s="1">
        <v>33</v>
      </c>
      <c r="G85" s="8">
        <v>7.0000000000000007E-2</v>
      </c>
      <c r="H85" s="1">
        <v>90</v>
      </c>
      <c r="I85" s="1" t="s">
        <v>37</v>
      </c>
      <c r="J85" s="1"/>
      <c r="K85" s="1">
        <v>36</v>
      </c>
      <c r="L85" s="1">
        <f t="shared" si="17"/>
        <v>-2</v>
      </c>
      <c r="M85" s="1"/>
      <c r="N85" s="1"/>
      <c r="O85" s="1">
        <v>0</v>
      </c>
      <c r="P85" s="1">
        <v>8.4000000000000057</v>
      </c>
      <c r="Q85" s="1">
        <f t="shared" si="18"/>
        <v>6.8</v>
      </c>
      <c r="R85" s="5">
        <f t="shared" ref="R85:R96" si="23">11*Q85-P85-O85-F85</f>
        <v>33.399999999999991</v>
      </c>
      <c r="S85" s="5"/>
      <c r="T85" s="1"/>
      <c r="U85" s="1">
        <f t="shared" si="19"/>
        <v>11</v>
      </c>
      <c r="V85" s="1">
        <f t="shared" si="20"/>
        <v>6.0882352941176476</v>
      </c>
      <c r="W85" s="1">
        <v>5.2</v>
      </c>
      <c r="X85" s="1">
        <v>3.4</v>
      </c>
      <c r="Y85" s="1">
        <v>3.833333333333333</v>
      </c>
      <c r="Z85" s="1">
        <v>4.4000000000000004</v>
      </c>
      <c r="AA85" s="1">
        <v>6.6</v>
      </c>
      <c r="AB85" s="1">
        <v>6.2</v>
      </c>
      <c r="AC85" s="1">
        <v>6</v>
      </c>
      <c r="AD85" s="1">
        <v>5.2</v>
      </c>
      <c r="AE85" s="1"/>
      <c r="AF85" s="1">
        <f t="shared" si="22"/>
        <v>2.3379999999999996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134</v>
      </c>
      <c r="B86" s="1" t="s">
        <v>42</v>
      </c>
      <c r="C86" s="1">
        <v>79</v>
      </c>
      <c r="D86" s="1">
        <v>38</v>
      </c>
      <c r="E86" s="1">
        <v>27</v>
      </c>
      <c r="F86" s="1">
        <v>88</v>
      </c>
      <c r="G86" s="8">
        <v>7.0000000000000007E-2</v>
      </c>
      <c r="H86" s="1">
        <v>90</v>
      </c>
      <c r="I86" s="1" t="s">
        <v>37</v>
      </c>
      <c r="J86" s="1"/>
      <c r="K86" s="1">
        <v>27</v>
      </c>
      <c r="L86" s="1">
        <f t="shared" si="17"/>
        <v>0</v>
      </c>
      <c r="M86" s="1"/>
      <c r="N86" s="1"/>
      <c r="O86" s="1">
        <v>0</v>
      </c>
      <c r="P86" s="1"/>
      <c r="Q86" s="1">
        <f t="shared" si="18"/>
        <v>5.4</v>
      </c>
      <c r="R86" s="5"/>
      <c r="S86" s="5"/>
      <c r="T86" s="1"/>
      <c r="U86" s="1">
        <f t="shared" si="19"/>
        <v>16.296296296296294</v>
      </c>
      <c r="V86" s="1">
        <f t="shared" si="20"/>
        <v>16.296296296296294</v>
      </c>
      <c r="W86" s="1">
        <v>3.8</v>
      </c>
      <c r="X86" s="1">
        <v>5.8</v>
      </c>
      <c r="Y86" s="1">
        <v>10.16666666666667</v>
      </c>
      <c r="Z86" s="1">
        <v>12.2</v>
      </c>
      <c r="AA86" s="1">
        <v>9</v>
      </c>
      <c r="AB86" s="1">
        <v>6.6</v>
      </c>
      <c r="AC86" s="1">
        <v>9.8000000000000007</v>
      </c>
      <c r="AD86" s="1">
        <v>8.6</v>
      </c>
      <c r="AE86" s="21"/>
      <c r="AF86" s="1">
        <f t="shared" si="22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135</v>
      </c>
      <c r="B87" s="1" t="s">
        <v>42</v>
      </c>
      <c r="C87" s="1">
        <v>53</v>
      </c>
      <c r="D87" s="1">
        <v>38</v>
      </c>
      <c r="E87" s="1">
        <v>22</v>
      </c>
      <c r="F87" s="1">
        <v>66</v>
      </c>
      <c r="G87" s="8">
        <v>7.0000000000000007E-2</v>
      </c>
      <c r="H87" s="1">
        <v>90</v>
      </c>
      <c r="I87" s="1" t="s">
        <v>37</v>
      </c>
      <c r="J87" s="1"/>
      <c r="K87" s="1">
        <v>23</v>
      </c>
      <c r="L87" s="1">
        <f t="shared" si="17"/>
        <v>-1</v>
      </c>
      <c r="M87" s="1"/>
      <c r="N87" s="1"/>
      <c r="O87" s="1">
        <v>0</v>
      </c>
      <c r="P87" s="1"/>
      <c r="Q87" s="1">
        <f t="shared" si="18"/>
        <v>4.4000000000000004</v>
      </c>
      <c r="R87" s="5"/>
      <c r="S87" s="5"/>
      <c r="T87" s="1"/>
      <c r="U87" s="1">
        <f t="shared" si="19"/>
        <v>14.999999999999998</v>
      </c>
      <c r="V87" s="1">
        <f t="shared" si="20"/>
        <v>14.999999999999998</v>
      </c>
      <c r="W87" s="1">
        <v>3.8</v>
      </c>
      <c r="X87" s="1">
        <v>3.8</v>
      </c>
      <c r="Y87" s="1">
        <v>7.833333333333333</v>
      </c>
      <c r="Z87" s="1">
        <v>10</v>
      </c>
      <c r="AA87" s="1">
        <v>6.4</v>
      </c>
      <c r="AB87" s="1">
        <v>3.4</v>
      </c>
      <c r="AC87" s="1">
        <v>6</v>
      </c>
      <c r="AD87" s="1">
        <v>5.6</v>
      </c>
      <c r="AE87" s="1"/>
      <c r="AF87" s="1">
        <f t="shared" si="22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136</v>
      </c>
      <c r="B88" s="1" t="s">
        <v>42</v>
      </c>
      <c r="C88" s="1">
        <v>101</v>
      </c>
      <c r="D88" s="1">
        <v>56</v>
      </c>
      <c r="E88" s="1">
        <v>32</v>
      </c>
      <c r="F88" s="1">
        <v>122</v>
      </c>
      <c r="G88" s="8">
        <v>0.05</v>
      </c>
      <c r="H88" s="1">
        <v>90</v>
      </c>
      <c r="I88" s="1" t="s">
        <v>37</v>
      </c>
      <c r="J88" s="1"/>
      <c r="K88" s="1">
        <v>33</v>
      </c>
      <c r="L88" s="1">
        <f t="shared" si="17"/>
        <v>-1</v>
      </c>
      <c r="M88" s="1"/>
      <c r="N88" s="1"/>
      <c r="O88" s="1">
        <v>0</v>
      </c>
      <c r="P88" s="1"/>
      <c r="Q88" s="1">
        <f t="shared" si="18"/>
        <v>6.4</v>
      </c>
      <c r="R88" s="5"/>
      <c r="S88" s="5"/>
      <c r="T88" s="1"/>
      <c r="U88" s="1">
        <f t="shared" si="19"/>
        <v>19.0625</v>
      </c>
      <c r="V88" s="1">
        <f t="shared" si="20"/>
        <v>19.0625</v>
      </c>
      <c r="W88" s="1">
        <v>3.6</v>
      </c>
      <c r="X88" s="1">
        <v>3.8</v>
      </c>
      <c r="Y88" s="1">
        <v>10</v>
      </c>
      <c r="Z88" s="1">
        <v>12</v>
      </c>
      <c r="AA88" s="1">
        <v>8.1999999999999993</v>
      </c>
      <c r="AB88" s="1">
        <v>6.4</v>
      </c>
      <c r="AC88" s="1">
        <v>7</v>
      </c>
      <c r="AD88" s="1">
        <v>7.2</v>
      </c>
      <c r="AE88" s="15" t="s">
        <v>54</v>
      </c>
      <c r="AF88" s="1">
        <f t="shared" si="22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137</v>
      </c>
      <c r="B89" s="1" t="s">
        <v>42</v>
      </c>
      <c r="C89" s="1">
        <v>51</v>
      </c>
      <c r="D89" s="1">
        <v>2</v>
      </c>
      <c r="E89" s="1">
        <v>33</v>
      </c>
      <c r="F89" s="1">
        <v>18</v>
      </c>
      <c r="G89" s="8">
        <v>0.05</v>
      </c>
      <c r="H89" s="1">
        <v>90</v>
      </c>
      <c r="I89" s="1" t="s">
        <v>37</v>
      </c>
      <c r="J89" s="1"/>
      <c r="K89" s="1">
        <v>33</v>
      </c>
      <c r="L89" s="1">
        <f t="shared" si="17"/>
        <v>0</v>
      </c>
      <c r="M89" s="1"/>
      <c r="N89" s="1"/>
      <c r="O89" s="1">
        <v>0</v>
      </c>
      <c r="P89" s="1">
        <v>23.599999999999991</v>
      </c>
      <c r="Q89" s="1">
        <f t="shared" si="18"/>
        <v>6.6</v>
      </c>
      <c r="R89" s="5">
        <f t="shared" si="23"/>
        <v>31</v>
      </c>
      <c r="S89" s="5"/>
      <c r="T89" s="1"/>
      <c r="U89" s="1">
        <f t="shared" si="19"/>
        <v>11</v>
      </c>
      <c r="V89" s="1">
        <f t="shared" si="20"/>
        <v>6.3030303030303028</v>
      </c>
      <c r="W89" s="1">
        <v>4.8</v>
      </c>
      <c r="X89" s="1">
        <v>3.2</v>
      </c>
      <c r="Y89" s="1">
        <v>2.166666666666667</v>
      </c>
      <c r="Z89" s="1">
        <v>1</v>
      </c>
      <c r="AA89" s="1">
        <v>4.4000000000000004</v>
      </c>
      <c r="AB89" s="1">
        <v>7.6</v>
      </c>
      <c r="AC89" s="1">
        <v>8</v>
      </c>
      <c r="AD89" s="1">
        <v>5.2</v>
      </c>
      <c r="AE89" s="1"/>
      <c r="AF89" s="1">
        <f t="shared" si="22"/>
        <v>1.55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138</v>
      </c>
      <c r="B90" s="1" t="s">
        <v>42</v>
      </c>
      <c r="C90" s="1">
        <v>74</v>
      </c>
      <c r="D90" s="1">
        <v>92</v>
      </c>
      <c r="E90" s="1">
        <v>29</v>
      </c>
      <c r="F90" s="1">
        <v>134</v>
      </c>
      <c r="G90" s="8">
        <v>5.5E-2</v>
      </c>
      <c r="H90" s="1">
        <v>90</v>
      </c>
      <c r="I90" s="1" t="s">
        <v>37</v>
      </c>
      <c r="J90" s="1"/>
      <c r="K90" s="1">
        <v>30</v>
      </c>
      <c r="L90" s="1">
        <f t="shared" si="17"/>
        <v>-1</v>
      </c>
      <c r="M90" s="1"/>
      <c r="N90" s="1"/>
      <c r="O90" s="1">
        <v>0</v>
      </c>
      <c r="P90" s="1"/>
      <c r="Q90" s="1">
        <f t="shared" si="18"/>
        <v>5.8</v>
      </c>
      <c r="R90" s="5"/>
      <c r="S90" s="5"/>
      <c r="T90" s="1"/>
      <c r="U90" s="1">
        <f t="shared" si="19"/>
        <v>23.103448275862071</v>
      </c>
      <c r="V90" s="1">
        <f t="shared" si="20"/>
        <v>23.103448275862071</v>
      </c>
      <c r="W90" s="1">
        <v>6.4</v>
      </c>
      <c r="X90" s="1">
        <v>5.6</v>
      </c>
      <c r="Y90" s="1">
        <v>8.1666666666666661</v>
      </c>
      <c r="Z90" s="1">
        <v>9</v>
      </c>
      <c r="AA90" s="1">
        <v>6.2</v>
      </c>
      <c r="AB90" s="1">
        <v>5.4</v>
      </c>
      <c r="AC90" s="1">
        <v>6</v>
      </c>
      <c r="AD90" s="1">
        <v>5.4</v>
      </c>
      <c r="AE90" s="15" t="s">
        <v>54</v>
      </c>
      <c r="AF90" s="1">
        <f t="shared" si="22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139</v>
      </c>
      <c r="B91" s="1" t="s">
        <v>36</v>
      </c>
      <c r="C91" s="1">
        <v>327.54500000000002</v>
      </c>
      <c r="D91" s="1">
        <v>290.50799999999998</v>
      </c>
      <c r="E91" s="1">
        <v>516.29899999999998</v>
      </c>
      <c r="F91" s="1">
        <v>83.866</v>
      </c>
      <c r="G91" s="8">
        <v>1</v>
      </c>
      <c r="H91" s="1">
        <v>40</v>
      </c>
      <c r="I91" s="1" t="s">
        <v>37</v>
      </c>
      <c r="J91" s="1"/>
      <c r="K91" s="1">
        <v>467.19799999999998</v>
      </c>
      <c r="L91" s="1">
        <f t="shared" si="17"/>
        <v>49.100999999999999</v>
      </c>
      <c r="M91" s="1"/>
      <c r="N91" s="1"/>
      <c r="O91" s="1">
        <v>118.10303999999979</v>
      </c>
      <c r="P91" s="1">
        <v>539.23140000000001</v>
      </c>
      <c r="Q91" s="1">
        <f t="shared" si="18"/>
        <v>103.2598</v>
      </c>
      <c r="R91" s="5">
        <f t="shared" si="23"/>
        <v>394.65736000000021</v>
      </c>
      <c r="S91" s="5"/>
      <c r="T91" s="1"/>
      <c r="U91" s="1">
        <f t="shared" si="19"/>
        <v>11</v>
      </c>
      <c r="V91" s="1">
        <f t="shared" si="20"/>
        <v>7.1780154522863677</v>
      </c>
      <c r="W91" s="1">
        <v>85.992199999999997</v>
      </c>
      <c r="X91" s="1">
        <v>65.176999999999992</v>
      </c>
      <c r="Y91" s="1">
        <v>64.354833333333332</v>
      </c>
      <c r="Z91" s="1">
        <v>83.301599999999993</v>
      </c>
      <c r="AA91" s="1">
        <v>65.376999999999995</v>
      </c>
      <c r="AB91" s="1">
        <v>86.279200000000003</v>
      </c>
      <c r="AC91" s="1">
        <v>92.022400000000005</v>
      </c>
      <c r="AD91" s="1">
        <v>83.626400000000004</v>
      </c>
      <c r="AE91" s="1" t="s">
        <v>50</v>
      </c>
      <c r="AF91" s="1">
        <f t="shared" si="22"/>
        <v>394.65736000000021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1" t="s">
        <v>140</v>
      </c>
      <c r="B92" s="1" t="s">
        <v>36</v>
      </c>
      <c r="C92" s="1"/>
      <c r="D92" s="1"/>
      <c r="E92" s="1"/>
      <c r="F92" s="1"/>
      <c r="G92" s="8">
        <v>1</v>
      </c>
      <c r="H92" s="1">
        <v>60</v>
      </c>
      <c r="I92" s="1" t="s">
        <v>37</v>
      </c>
      <c r="J92" s="1"/>
      <c r="K92" s="1"/>
      <c r="L92" s="1">
        <f t="shared" si="17"/>
        <v>0</v>
      </c>
      <c r="M92" s="1"/>
      <c r="N92" s="1"/>
      <c r="O92" s="1"/>
      <c r="P92" s="11"/>
      <c r="Q92" s="1">
        <f t="shared" si="18"/>
        <v>0</v>
      </c>
      <c r="R92" s="20">
        <v>4</v>
      </c>
      <c r="S92" s="5"/>
      <c r="T92" s="1"/>
      <c r="U92" s="1" t="e">
        <f t="shared" si="19"/>
        <v>#DIV/0!</v>
      </c>
      <c r="V92" s="1" t="e">
        <f t="shared" si="20"/>
        <v>#DIV/0!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-0.71879999999999999</v>
      </c>
      <c r="AC92" s="1">
        <v>0</v>
      </c>
      <c r="AD92" s="1">
        <v>0</v>
      </c>
      <c r="AE92" s="11" t="s">
        <v>141</v>
      </c>
      <c r="AF92" s="1">
        <f t="shared" si="22"/>
        <v>4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142</v>
      </c>
      <c r="B93" s="1" t="s">
        <v>42</v>
      </c>
      <c r="C93" s="1">
        <v>119</v>
      </c>
      <c r="D93" s="1">
        <v>34</v>
      </c>
      <c r="E93" s="1">
        <v>128</v>
      </c>
      <c r="F93" s="1">
        <v>14</v>
      </c>
      <c r="G93" s="8">
        <v>0.3</v>
      </c>
      <c r="H93" s="1">
        <v>40</v>
      </c>
      <c r="I93" s="1" t="s">
        <v>37</v>
      </c>
      <c r="J93" s="1"/>
      <c r="K93" s="1">
        <v>135</v>
      </c>
      <c r="L93" s="1">
        <f t="shared" si="17"/>
        <v>-7</v>
      </c>
      <c r="M93" s="1"/>
      <c r="N93" s="1"/>
      <c r="O93" s="1">
        <v>101.1999999999999</v>
      </c>
      <c r="P93" s="1">
        <v>50.800000000000097</v>
      </c>
      <c r="Q93" s="1">
        <f t="shared" si="18"/>
        <v>25.6</v>
      </c>
      <c r="R93" s="5">
        <f t="shared" si="23"/>
        <v>115.60000000000002</v>
      </c>
      <c r="S93" s="5"/>
      <c r="T93" s="1"/>
      <c r="U93" s="1">
        <f t="shared" si="19"/>
        <v>11</v>
      </c>
      <c r="V93" s="1">
        <f t="shared" si="20"/>
        <v>6.484375</v>
      </c>
      <c r="W93" s="1">
        <v>21.6</v>
      </c>
      <c r="X93" s="1">
        <v>22.4</v>
      </c>
      <c r="Y93" s="1">
        <v>18.333333333333329</v>
      </c>
      <c r="Z93" s="1">
        <v>23.2</v>
      </c>
      <c r="AA93" s="1">
        <v>21.4</v>
      </c>
      <c r="AB93" s="1">
        <v>24.8</v>
      </c>
      <c r="AC93" s="1">
        <v>24.4</v>
      </c>
      <c r="AD93" s="1">
        <v>19.8</v>
      </c>
      <c r="AE93" s="1"/>
      <c r="AF93" s="1">
        <f t="shared" si="22"/>
        <v>34.680000000000007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143</v>
      </c>
      <c r="B94" s="1" t="s">
        <v>42</v>
      </c>
      <c r="C94" s="1">
        <v>64</v>
      </c>
      <c r="D94" s="1">
        <v>207</v>
      </c>
      <c r="E94" s="1">
        <v>79</v>
      </c>
      <c r="F94" s="1">
        <v>179</v>
      </c>
      <c r="G94" s="8">
        <v>0.3</v>
      </c>
      <c r="H94" s="1">
        <v>40</v>
      </c>
      <c r="I94" s="1" t="s">
        <v>37</v>
      </c>
      <c r="J94" s="1"/>
      <c r="K94" s="1">
        <v>88</v>
      </c>
      <c r="L94" s="1">
        <f t="shared" si="17"/>
        <v>-9</v>
      </c>
      <c r="M94" s="1"/>
      <c r="N94" s="1"/>
      <c r="O94" s="1">
        <v>0</v>
      </c>
      <c r="P94" s="1"/>
      <c r="Q94" s="1">
        <f t="shared" si="18"/>
        <v>15.8</v>
      </c>
      <c r="R94" s="5"/>
      <c r="S94" s="5"/>
      <c r="T94" s="1"/>
      <c r="U94" s="1">
        <f t="shared" si="19"/>
        <v>11.329113924050633</v>
      </c>
      <c r="V94" s="1">
        <f t="shared" si="20"/>
        <v>11.329113924050633</v>
      </c>
      <c r="W94" s="1">
        <v>15.2</v>
      </c>
      <c r="X94" s="1">
        <v>18.2</v>
      </c>
      <c r="Y94" s="1">
        <v>26.166666666666671</v>
      </c>
      <c r="Z94" s="1">
        <v>32.4</v>
      </c>
      <c r="AA94" s="1">
        <v>19.399999999999999</v>
      </c>
      <c r="AB94" s="1">
        <v>15.8</v>
      </c>
      <c r="AC94" s="1">
        <v>26.6</v>
      </c>
      <c r="AD94" s="1">
        <v>24.8</v>
      </c>
      <c r="AE94" s="1"/>
      <c r="AF94" s="1">
        <f t="shared" si="22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144</v>
      </c>
      <c r="B95" s="1" t="s">
        <v>36</v>
      </c>
      <c r="C95" s="1">
        <v>61.396999999999998</v>
      </c>
      <c r="D95" s="1">
        <v>1.3779999999999999</v>
      </c>
      <c r="E95" s="1">
        <v>30.196999999999999</v>
      </c>
      <c r="F95" s="1">
        <v>29.835999999999999</v>
      </c>
      <c r="G95" s="8">
        <v>1</v>
      </c>
      <c r="H95" s="1">
        <v>50</v>
      </c>
      <c r="I95" s="1" t="s">
        <v>37</v>
      </c>
      <c r="J95" s="1"/>
      <c r="K95" s="1">
        <v>28.9</v>
      </c>
      <c r="L95" s="1">
        <f t="shared" si="17"/>
        <v>1.2970000000000006</v>
      </c>
      <c r="M95" s="1"/>
      <c r="N95" s="1"/>
      <c r="O95" s="1">
        <v>0</v>
      </c>
      <c r="P95" s="1"/>
      <c r="Q95" s="1">
        <f t="shared" si="18"/>
        <v>6.0393999999999997</v>
      </c>
      <c r="R95" s="5">
        <f t="shared" si="23"/>
        <v>36.597399999999993</v>
      </c>
      <c r="S95" s="5"/>
      <c r="T95" s="1"/>
      <c r="U95" s="1">
        <f t="shared" si="19"/>
        <v>11</v>
      </c>
      <c r="V95" s="1">
        <f t="shared" si="20"/>
        <v>4.9402258502500249</v>
      </c>
      <c r="W95" s="1">
        <v>2.4554</v>
      </c>
      <c r="X95" s="1">
        <v>0.80719999999999992</v>
      </c>
      <c r="Y95" s="1">
        <v>1.8308333333333331</v>
      </c>
      <c r="Z95" s="1">
        <v>4.6577999999999999</v>
      </c>
      <c r="AA95" s="1">
        <v>6.2843999999999998</v>
      </c>
      <c r="AB95" s="1">
        <v>2.4613999999999998</v>
      </c>
      <c r="AC95" s="1">
        <v>2.4756</v>
      </c>
      <c r="AD95" s="1">
        <v>2.7784</v>
      </c>
      <c r="AE95" s="1"/>
      <c r="AF95" s="1">
        <f t="shared" si="22"/>
        <v>36.597399999999993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145</v>
      </c>
      <c r="B96" s="1" t="s">
        <v>42</v>
      </c>
      <c r="C96" s="1">
        <v>104</v>
      </c>
      <c r="D96" s="1">
        <v>3</v>
      </c>
      <c r="E96" s="1">
        <v>65</v>
      </c>
      <c r="F96" s="1">
        <v>39</v>
      </c>
      <c r="G96" s="8">
        <v>0.3</v>
      </c>
      <c r="H96" s="1">
        <v>40</v>
      </c>
      <c r="I96" s="1" t="s">
        <v>37</v>
      </c>
      <c r="J96" s="1"/>
      <c r="K96" s="1">
        <v>65</v>
      </c>
      <c r="L96" s="1">
        <f t="shared" si="17"/>
        <v>0</v>
      </c>
      <c r="M96" s="1"/>
      <c r="N96" s="1"/>
      <c r="O96" s="1">
        <v>47.800000000000011</v>
      </c>
      <c r="P96" s="1">
        <v>51</v>
      </c>
      <c r="Q96" s="1">
        <f t="shared" si="18"/>
        <v>13</v>
      </c>
      <c r="R96" s="5">
        <f t="shared" si="23"/>
        <v>5.1999999999999886</v>
      </c>
      <c r="S96" s="5"/>
      <c r="T96" s="1"/>
      <c r="U96" s="1">
        <f t="shared" si="19"/>
        <v>11</v>
      </c>
      <c r="V96" s="1">
        <f t="shared" si="20"/>
        <v>10.600000000000001</v>
      </c>
      <c r="W96" s="1">
        <v>14.4</v>
      </c>
      <c r="X96" s="1">
        <v>13.8</v>
      </c>
      <c r="Y96" s="1">
        <v>9.8333333333333339</v>
      </c>
      <c r="Z96" s="1">
        <v>11.6</v>
      </c>
      <c r="AA96" s="1">
        <v>15.4</v>
      </c>
      <c r="AB96" s="1">
        <v>13.2</v>
      </c>
      <c r="AC96" s="1">
        <v>13.4</v>
      </c>
      <c r="AD96" s="1">
        <v>11.6</v>
      </c>
      <c r="AE96" s="1"/>
      <c r="AF96" s="1">
        <f t="shared" si="22"/>
        <v>1.5599999999999965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146</v>
      </c>
      <c r="B97" s="1" t="s">
        <v>42</v>
      </c>
      <c r="C97" s="1">
        <v>69</v>
      </c>
      <c r="D97" s="1">
        <v>2</v>
      </c>
      <c r="E97" s="1">
        <v>13</v>
      </c>
      <c r="F97" s="1">
        <v>32</v>
      </c>
      <c r="G97" s="8">
        <v>0.12</v>
      </c>
      <c r="H97" s="1">
        <v>45</v>
      </c>
      <c r="I97" s="1" t="s">
        <v>37</v>
      </c>
      <c r="J97" s="1"/>
      <c r="K97" s="1">
        <v>17</v>
      </c>
      <c r="L97" s="1">
        <f t="shared" si="17"/>
        <v>-4</v>
      </c>
      <c r="M97" s="1"/>
      <c r="N97" s="1"/>
      <c r="O97" s="1">
        <v>0</v>
      </c>
      <c r="P97" s="1"/>
      <c r="Q97" s="1">
        <f t="shared" si="18"/>
        <v>2.6</v>
      </c>
      <c r="R97" s="5"/>
      <c r="S97" s="5"/>
      <c r="T97" s="1"/>
      <c r="U97" s="1">
        <f t="shared" si="19"/>
        <v>12.307692307692307</v>
      </c>
      <c r="V97" s="1">
        <f t="shared" si="20"/>
        <v>12.307692307692307</v>
      </c>
      <c r="W97" s="1">
        <v>3.4</v>
      </c>
      <c r="X97" s="1">
        <v>1.6</v>
      </c>
      <c r="Y97" s="1">
        <v>6.333333333333333</v>
      </c>
      <c r="Z97" s="1">
        <v>10.6</v>
      </c>
      <c r="AA97" s="1">
        <v>7</v>
      </c>
      <c r="AB97" s="1">
        <v>1.2</v>
      </c>
      <c r="AC97" s="1">
        <v>0</v>
      </c>
      <c r="AD97" s="1">
        <v>0.4</v>
      </c>
      <c r="AE97" s="1"/>
      <c r="AF97" s="1">
        <f t="shared" si="22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97" xr:uid="{FA826DE2-DCA0-4B8A-9A37-4B648680B8D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2026-01-20T07:43:02Z</dcterms:created>
  <dcterms:modified xsi:type="dcterms:W3CDTF">2026-01-20T08:03:29Z</dcterms:modified>
</cp:coreProperties>
</file>