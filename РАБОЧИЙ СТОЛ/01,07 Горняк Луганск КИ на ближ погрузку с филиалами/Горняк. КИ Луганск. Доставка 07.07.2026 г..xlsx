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A231EAB-557F-4B9C-B9FA-FDCB7B0903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X456" i="2"/>
  <c r="X455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Z444" i="2" s="1"/>
  <c r="P444" i="2"/>
  <c r="BO443" i="2"/>
  <c r="BM443" i="2"/>
  <c r="Y443" i="2"/>
  <c r="Z443" i="2" s="1"/>
  <c r="P443" i="2"/>
  <c r="BO442" i="2"/>
  <c r="BM442" i="2"/>
  <c r="Y442" i="2"/>
  <c r="P442" i="2"/>
  <c r="X440" i="2"/>
  <c r="X439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BO433" i="2"/>
  <c r="BM433" i="2"/>
  <c r="Y433" i="2"/>
  <c r="Z433" i="2" s="1"/>
  <c r="P433" i="2"/>
  <c r="BO432" i="2"/>
  <c r="BM432" i="2"/>
  <c r="Y432" i="2"/>
  <c r="P432" i="2"/>
  <c r="BO431" i="2"/>
  <c r="BM431" i="2"/>
  <c r="Y431" i="2"/>
  <c r="BP431" i="2" s="1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88" i="2"/>
  <c r="X387" i="2"/>
  <c r="BO386" i="2"/>
  <c r="BM386" i="2"/>
  <c r="Y386" i="2"/>
  <c r="Z386" i="2" s="1"/>
  <c r="P386" i="2"/>
  <c r="BO385" i="2"/>
  <c r="BM385" i="2"/>
  <c r="Y385" i="2"/>
  <c r="Z385" i="2" s="1"/>
  <c r="P385" i="2"/>
  <c r="BO384" i="2"/>
  <c r="BM384" i="2"/>
  <c r="Y384" i="2"/>
  <c r="Y388" i="2" s="1"/>
  <c r="P384" i="2"/>
  <c r="X382" i="2"/>
  <c r="X381" i="2"/>
  <c r="BO380" i="2"/>
  <c r="BM380" i="2"/>
  <c r="Y380" i="2"/>
  <c r="Y382" i="2" s="1"/>
  <c r="P380" i="2"/>
  <c r="X378" i="2"/>
  <c r="X377" i="2"/>
  <c r="BO376" i="2"/>
  <c r="BM376" i="2"/>
  <c r="Y376" i="2"/>
  <c r="P376" i="2"/>
  <c r="BO375" i="2"/>
  <c r="BM375" i="2"/>
  <c r="Y375" i="2"/>
  <c r="P375" i="2"/>
  <c r="X372" i="2"/>
  <c r="X371" i="2"/>
  <c r="BO370" i="2"/>
  <c r="BM370" i="2"/>
  <c r="Y370" i="2"/>
  <c r="P370" i="2"/>
  <c r="X368" i="2"/>
  <c r="X367" i="2"/>
  <c r="BO366" i="2"/>
  <c r="BM366" i="2"/>
  <c r="Y366" i="2"/>
  <c r="P366" i="2"/>
  <c r="BO365" i="2"/>
  <c r="BM365" i="2"/>
  <c r="Y365" i="2"/>
  <c r="P365" i="2"/>
  <c r="X363" i="2"/>
  <c r="X362" i="2"/>
  <c r="BO361" i="2"/>
  <c r="BM361" i="2"/>
  <c r="Y361" i="2"/>
  <c r="P361" i="2"/>
  <c r="BO360" i="2"/>
  <c r="BM360" i="2"/>
  <c r="Y360" i="2"/>
  <c r="BP360" i="2" s="1"/>
  <c r="P360" i="2"/>
  <c r="X358" i="2"/>
  <c r="X357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P351" i="2"/>
  <c r="BO350" i="2"/>
  <c r="BM350" i="2"/>
  <c r="Y350" i="2"/>
  <c r="P350" i="2"/>
  <c r="X346" i="2"/>
  <c r="X345" i="2"/>
  <c r="BO344" i="2"/>
  <c r="BM344" i="2"/>
  <c r="Y344" i="2"/>
  <c r="BP344" i="2" s="1"/>
  <c r="P344" i="2"/>
  <c r="BO343" i="2"/>
  <c r="BM343" i="2"/>
  <c r="Y343" i="2"/>
  <c r="Z343" i="2" s="1"/>
  <c r="P343" i="2"/>
  <c r="BO342" i="2"/>
  <c r="BM342" i="2"/>
  <c r="Y342" i="2"/>
  <c r="BP342" i="2" s="1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X326" i="2"/>
  <c r="X325" i="2"/>
  <c r="BO324" i="2"/>
  <c r="BM324" i="2"/>
  <c r="Y324" i="2"/>
  <c r="P324" i="2"/>
  <c r="BO323" i="2"/>
  <c r="BM323" i="2"/>
  <c r="Y323" i="2"/>
  <c r="P323" i="2"/>
  <c r="BO322" i="2"/>
  <c r="BM322" i="2"/>
  <c r="Y322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X283" i="2"/>
  <c r="X282" i="2"/>
  <c r="BO281" i="2"/>
  <c r="BM281" i="2"/>
  <c r="Y281" i="2"/>
  <c r="P281" i="2"/>
  <c r="BO280" i="2"/>
  <c r="BM280" i="2"/>
  <c r="Y280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X227" i="2"/>
  <c r="X226" i="2"/>
  <c r="BO225" i="2"/>
  <c r="BM225" i="2"/>
  <c r="Y225" i="2"/>
  <c r="BP225" i="2" s="1"/>
  <c r="P225" i="2"/>
  <c r="BO224" i="2"/>
  <c r="BM224" i="2"/>
  <c r="Y224" i="2"/>
  <c r="Z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P220" i="2"/>
  <c r="BO219" i="2"/>
  <c r="BM219" i="2"/>
  <c r="Y219" i="2"/>
  <c r="P219" i="2"/>
  <c r="BO218" i="2"/>
  <c r="BM218" i="2"/>
  <c r="Y218" i="2"/>
  <c r="P218" i="2"/>
  <c r="BO217" i="2"/>
  <c r="BM217" i="2"/>
  <c r="Y217" i="2"/>
  <c r="P217" i="2"/>
  <c r="X215" i="2"/>
  <c r="X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P208" i="2"/>
  <c r="BO207" i="2"/>
  <c r="BM207" i="2"/>
  <c r="Y207" i="2"/>
  <c r="P207" i="2"/>
  <c r="BO206" i="2"/>
  <c r="BM206" i="2"/>
  <c r="Y206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X183" i="2"/>
  <c r="X182" i="2"/>
  <c r="BO181" i="2"/>
  <c r="BM181" i="2"/>
  <c r="Y181" i="2"/>
  <c r="Z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BO171" i="2"/>
  <c r="BM171" i="2"/>
  <c r="Y171" i="2"/>
  <c r="BN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Z168" i="2" s="1"/>
  <c r="P168" i="2"/>
  <c r="BO167" i="2"/>
  <c r="BM167" i="2"/>
  <c r="Y167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X121" i="2"/>
  <c r="X120" i="2"/>
  <c r="BO119" i="2"/>
  <c r="BM119" i="2"/>
  <c r="Y119" i="2"/>
  <c r="Z119" i="2" s="1"/>
  <c r="P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X107" i="2"/>
  <c r="X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BO101" i="2"/>
  <c r="BM101" i="2"/>
  <c r="Y101" i="2"/>
  <c r="BN101" i="2" s="1"/>
  <c r="P101" i="2"/>
  <c r="X98" i="2"/>
  <c r="X97" i="2"/>
  <c r="BO96" i="2"/>
  <c r="BM96" i="2"/>
  <c r="Y96" i="2"/>
  <c r="P96" i="2"/>
  <c r="BO95" i="2"/>
  <c r="BM95" i="2"/>
  <c r="Y95" i="2"/>
  <c r="BN95" i="2" s="1"/>
  <c r="P95" i="2"/>
  <c r="BO94" i="2"/>
  <c r="BM94" i="2"/>
  <c r="Y94" i="2"/>
  <c r="BN94" i="2" s="1"/>
  <c r="P94" i="2"/>
  <c r="BO93" i="2"/>
  <c r="BM93" i="2"/>
  <c r="Y93" i="2"/>
  <c r="BN93" i="2" s="1"/>
  <c r="P93" i="2"/>
  <c r="X91" i="2"/>
  <c r="X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Z86" i="2" s="1"/>
  <c r="P86" i="2"/>
  <c r="X83" i="2"/>
  <c r="X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X67" i="2"/>
  <c r="X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BO62" i="2"/>
  <c r="BM62" i="2"/>
  <c r="Y62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BO53" i="2"/>
  <c r="BM53" i="2"/>
  <c r="Y53" i="2"/>
  <c r="BP53" i="2" s="1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0" i="2"/>
  <c r="BN80" i="2"/>
  <c r="Z80" i="2"/>
  <c r="Z82" i="2" s="1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79" i="2"/>
  <c r="BN179" i="2"/>
  <c r="Z179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N206" i="2"/>
  <c r="Z206" i="2"/>
  <c r="BP207" i="2"/>
  <c r="Z207" i="2"/>
  <c r="BP208" i="2"/>
  <c r="BN208" i="2"/>
  <c r="Z208" i="2"/>
  <c r="BP210" i="2"/>
  <c r="BN210" i="2"/>
  <c r="Z210" i="2"/>
  <c r="BN217" i="2"/>
  <c r="Z217" i="2"/>
  <c r="BP218" i="2"/>
  <c r="BN218" i="2"/>
  <c r="Z218" i="2"/>
  <c r="Y227" i="2"/>
  <c r="BP220" i="2"/>
  <c r="BN220" i="2"/>
  <c r="Z220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80" i="2"/>
  <c r="BN280" i="2"/>
  <c r="Z280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P324" i="2"/>
  <c r="BN324" i="2"/>
  <c r="Z324" i="2"/>
  <c r="BN331" i="2"/>
  <c r="Z331" i="2"/>
  <c r="BP350" i="2"/>
  <c r="BN350" i="2"/>
  <c r="Z350" i="2"/>
  <c r="Y357" i="2"/>
  <c r="BP356" i="2"/>
  <c r="Z356" i="2"/>
  <c r="BP365" i="2"/>
  <c r="Z365" i="2"/>
  <c r="BN366" i="2"/>
  <c r="Z366" i="2"/>
  <c r="Y372" i="2"/>
  <c r="Y371" i="2"/>
  <c r="BP370" i="2"/>
  <c r="BN370" i="2"/>
  <c r="Z370" i="2"/>
  <c r="Z371" i="2" s="1"/>
  <c r="BP375" i="2"/>
  <c r="BN375" i="2"/>
  <c r="Z375" i="2"/>
  <c r="Y378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Z53" i="2"/>
  <c r="BP56" i="2"/>
  <c r="Y66" i="2"/>
  <c r="BP63" i="2"/>
  <c r="Z65" i="2"/>
  <c r="BN65" i="2"/>
  <c r="BN69" i="2"/>
  <c r="BP69" i="2"/>
  <c r="Y70" i="2"/>
  <c r="Y71" i="2"/>
  <c r="Y78" i="2"/>
  <c r="BN81" i="2"/>
  <c r="BP81" i="2"/>
  <c r="Y82" i="2"/>
  <c r="Z87" i="2"/>
  <c r="BN87" i="2"/>
  <c r="Z93" i="2"/>
  <c r="Z94" i="2"/>
  <c r="Z95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Z188" i="2" s="1"/>
  <c r="BN186" i="2"/>
  <c r="BP186" i="2"/>
  <c r="Z202" i="2"/>
  <c r="BN202" i="2"/>
  <c r="Y203" i="2"/>
  <c r="BP206" i="2"/>
  <c r="Z209" i="2"/>
  <c r="BN209" i="2"/>
  <c r="Z212" i="2"/>
  <c r="BN212" i="2"/>
  <c r="Y215" i="2"/>
  <c r="BP217" i="2"/>
  <c r="Z219" i="2"/>
  <c r="BN219" i="2"/>
  <c r="BP219" i="2"/>
  <c r="Z222" i="2"/>
  <c r="BN222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BN281" i="2"/>
  <c r="Z281" i="2"/>
  <c r="Z282" i="2" s="1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6" i="2"/>
  <c r="BN119" i="2"/>
  <c r="BP119" i="2"/>
  <c r="BP151" i="2"/>
  <c r="Y164" i="2"/>
  <c r="BN168" i="2"/>
  <c r="BP168" i="2"/>
  <c r="BP172" i="2"/>
  <c r="Y198" i="2"/>
  <c r="BN224" i="2"/>
  <c r="BP224" i="2"/>
  <c r="BN225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23" i="2"/>
  <c r="BN323" i="2"/>
  <c r="Z323" i="2"/>
  <c r="BP306" i="2"/>
  <c r="BP331" i="2"/>
  <c r="Z344" i="2"/>
  <c r="Z352" i="2"/>
  <c r="BN352" i="2"/>
  <c r="BN354" i="2"/>
  <c r="BP354" i="2"/>
  <c r="BN355" i="2"/>
  <c r="BP355" i="2"/>
  <c r="Z360" i="2"/>
  <c r="BN360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Z431" i="2"/>
  <c r="BN431" i="2"/>
  <c r="BN433" i="2"/>
  <c r="BP433" i="2"/>
  <c r="Y440" i="2"/>
  <c r="BP437" i="2"/>
  <c r="BP438" i="2"/>
  <c r="Z454" i="2"/>
  <c r="Y498" i="2"/>
  <c r="BN460" i="2"/>
  <c r="Z461" i="2"/>
  <c r="Z463" i="2"/>
  <c r="Z467" i="2"/>
  <c r="Z468" i="2" s="1"/>
  <c r="Z479" i="2"/>
  <c r="BN342" i="2"/>
  <c r="BN343" i="2"/>
  <c r="BP343" i="2"/>
  <c r="BN376" i="2"/>
  <c r="BN428" i="2"/>
  <c r="BN448" i="2"/>
  <c r="BP463" i="2"/>
  <c r="BP467" i="2"/>
  <c r="Y468" i="2"/>
  <c r="BP479" i="2"/>
  <c r="BP404" i="2"/>
  <c r="Z404" i="2"/>
  <c r="Y407" i="2"/>
  <c r="Z28" i="2"/>
  <c r="Y106" i="2"/>
  <c r="G498" i="2"/>
  <c r="Z153" i="2"/>
  <c r="BP153" i="2"/>
  <c r="BP163" i="2"/>
  <c r="BN163" i="2"/>
  <c r="Z163" i="2"/>
  <c r="Z164" i="2" s="1"/>
  <c r="I498" i="2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26" i="2"/>
  <c r="Y250" i="2"/>
  <c r="L498" i="2"/>
  <c r="BP301" i="2"/>
  <c r="BN301" i="2"/>
  <c r="Z301" i="2"/>
  <c r="BN337" i="2"/>
  <c r="BN404" i="2"/>
  <c r="Y446" i="2"/>
  <c r="BP442" i="2"/>
  <c r="Y445" i="2"/>
  <c r="BN442" i="2"/>
  <c r="Z442" i="2"/>
  <c r="Z445" i="2" s="1"/>
  <c r="X498" i="2"/>
  <c r="E498" i="2"/>
  <c r="Y90" i="2"/>
  <c r="BP139" i="2"/>
  <c r="Z139" i="2"/>
  <c r="Z140" i="2" s="1"/>
  <c r="BP351" i="2"/>
  <c r="BN351" i="2"/>
  <c r="Z351" i="2"/>
  <c r="Y358" i="2"/>
  <c r="BN23" i="2"/>
  <c r="Z31" i="2"/>
  <c r="Y38" i="2"/>
  <c r="BN36" i="2"/>
  <c r="Z43" i="2"/>
  <c r="Z62" i="2"/>
  <c r="Z66" i="2" s="1"/>
  <c r="Z75" i="2"/>
  <c r="Y120" i="2"/>
  <c r="Z223" i="2"/>
  <c r="BP223" i="2"/>
  <c r="Y251" i="2"/>
  <c r="Z307" i="2"/>
  <c r="BP337" i="2"/>
  <c r="BN385" i="2"/>
  <c r="BP434" i="2"/>
  <c r="BN434" i="2"/>
  <c r="BN28" i="2"/>
  <c r="BN86" i="2"/>
  <c r="F9" i="2"/>
  <c r="BN43" i="2"/>
  <c r="Z256" i="2"/>
  <c r="BP256" i="2"/>
  <c r="Y338" i="2"/>
  <c r="Y381" i="2"/>
  <c r="BN380" i="2"/>
  <c r="BP385" i="2"/>
  <c r="Z393" i="2"/>
  <c r="Z405" i="2"/>
  <c r="Z434" i="2"/>
  <c r="BN75" i="2"/>
  <c r="Z109" i="2"/>
  <c r="H9" i="2"/>
  <c r="BP48" i="2"/>
  <c r="BP62" i="2"/>
  <c r="Z104" i="2"/>
  <c r="Y155" i="2"/>
  <c r="Y183" i="2"/>
  <c r="BP201" i="2"/>
  <c r="BN201" i="2"/>
  <c r="Z201" i="2"/>
  <c r="Z203" i="2" s="1"/>
  <c r="K498" i="2"/>
  <c r="BN287" i="2"/>
  <c r="BP307" i="2"/>
  <c r="Y320" i="2"/>
  <c r="Y339" i="2"/>
  <c r="BN344" i="2"/>
  <c r="Y456" i="2"/>
  <c r="BP449" i="2"/>
  <c r="BP86" i="2"/>
  <c r="BN31" i="2"/>
  <c r="Z101" i="2"/>
  <c r="J9" i="2"/>
  <c r="Y140" i="2"/>
  <c r="BN256" i="2"/>
  <c r="BP316" i="2"/>
  <c r="Y319" i="2"/>
  <c r="BN316" i="2"/>
  <c r="Z316" i="2"/>
  <c r="Z319" i="2" s="1"/>
  <c r="Z335" i="2"/>
  <c r="BP386" i="2"/>
  <c r="BN386" i="2"/>
  <c r="BN393" i="2"/>
  <c r="BN405" i="2"/>
  <c r="Y418" i="2"/>
  <c r="BN443" i="2"/>
  <c r="Z449" i="2"/>
  <c r="Y182" i="2"/>
  <c r="BP265" i="2"/>
  <c r="BN265" i="2"/>
  <c r="Z265" i="2"/>
  <c r="Z267" i="2" s="1"/>
  <c r="BN292" i="2"/>
  <c r="BN109" i="2"/>
  <c r="A10" i="2"/>
  <c r="Y49" i="2"/>
  <c r="BN104" i="2"/>
  <c r="Y158" i="2"/>
  <c r="BN157" i="2"/>
  <c r="Z170" i="2"/>
  <c r="BP196" i="2"/>
  <c r="J498" i="2"/>
  <c r="BP287" i="2"/>
  <c r="Y325" i="2"/>
  <c r="BN322" i="2"/>
  <c r="T498" i="2"/>
  <c r="BN89" i="2"/>
  <c r="Z89" i="2"/>
  <c r="Z90" i="2" s="1"/>
  <c r="F498" i="2"/>
  <c r="Y107" i="2"/>
  <c r="BP396" i="2"/>
  <c r="BN396" i="2"/>
  <c r="Z396" i="2"/>
  <c r="BP109" i="2"/>
  <c r="BN207" i="2"/>
  <c r="Y214" i="2"/>
  <c r="Z305" i="2"/>
  <c r="Z311" i="2"/>
  <c r="Z322" i="2"/>
  <c r="Z325" i="2" s="1"/>
  <c r="Z330" i="2"/>
  <c r="BN335" i="2"/>
  <c r="R498" i="2"/>
  <c r="Y345" i="2"/>
  <c r="BP380" i="2"/>
  <c r="Z400" i="2"/>
  <c r="BP443" i="2"/>
  <c r="BN449" i="2"/>
  <c r="BP76" i="2"/>
  <c r="Z76" i="2"/>
  <c r="BP118" i="2"/>
  <c r="Z118" i="2"/>
  <c r="Z167" i="2"/>
  <c r="BP167" i="2"/>
  <c r="Y50" i="2"/>
  <c r="Y113" i="2"/>
  <c r="BP129" i="2"/>
  <c r="Y135" i="2"/>
  <c r="Y141" i="2"/>
  <c r="BN170" i="2"/>
  <c r="BP221" i="2"/>
  <c r="BN221" i="2"/>
  <c r="Z221" i="2"/>
  <c r="BN297" i="2"/>
  <c r="Y303" i="2"/>
  <c r="Q498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Y91" i="2"/>
  <c r="BP101" i="2"/>
  <c r="Z73" i="2"/>
  <c r="BP95" i="2"/>
  <c r="B498" i="2"/>
  <c r="BN76" i="2"/>
  <c r="Y98" i="2"/>
  <c r="Y97" i="2"/>
  <c r="BP102" i="2"/>
  <c r="BN102" i="2"/>
  <c r="BP110" i="2"/>
  <c r="Z110" i="2"/>
  <c r="BN118" i="2"/>
  <c r="BN167" i="2"/>
  <c r="Z180" i="2"/>
  <c r="BP180" i="2"/>
  <c r="BN196" i="2"/>
  <c r="Z213" i="2"/>
  <c r="Z214" i="2" s="1"/>
  <c r="BP213" i="2"/>
  <c r="BP238" i="2"/>
  <c r="BP272" i="2"/>
  <c r="Y276" i="2"/>
  <c r="BP281" i="2"/>
  <c r="Z297" i="2"/>
  <c r="Z302" i="2" s="1"/>
  <c r="BN311" i="2"/>
  <c r="BP335" i="2"/>
  <c r="Y346" i="2"/>
  <c r="Y363" i="2"/>
  <c r="Y362" i="2"/>
  <c r="BP361" i="2"/>
  <c r="BN361" i="2"/>
  <c r="Z361" i="2"/>
  <c r="Z362" i="2" s="1"/>
  <c r="Y406" i="2"/>
  <c r="BP444" i="2"/>
  <c r="BN444" i="2"/>
  <c r="BN62" i="2"/>
  <c r="Y67" i="2"/>
  <c r="Z24" i="2"/>
  <c r="BN73" i="2"/>
  <c r="Y130" i="2"/>
  <c r="H498" i="2"/>
  <c r="BP157" i="2"/>
  <c r="Y258" i="2"/>
  <c r="BP254" i="2"/>
  <c r="BN254" i="2"/>
  <c r="Z254" i="2"/>
  <c r="Z258" i="2" s="1"/>
  <c r="BP305" i="2"/>
  <c r="BP322" i="2"/>
  <c r="Y326" i="2"/>
  <c r="BP330" i="2"/>
  <c r="Y367" i="2"/>
  <c r="BN394" i="2"/>
  <c r="BP397" i="2"/>
  <c r="BP400" i="2"/>
  <c r="BN421" i="2"/>
  <c r="BP432" i="2"/>
  <c r="BN432" i="2"/>
  <c r="Z432" i="2"/>
  <c r="BP450" i="2"/>
  <c r="Z450" i="2"/>
  <c r="BN453" i="2"/>
  <c r="BP336" i="2"/>
  <c r="BN336" i="2"/>
  <c r="Z336" i="2"/>
  <c r="S498" i="2"/>
  <c r="Z353" i="2"/>
  <c r="BP353" i="2"/>
  <c r="Z429" i="2"/>
  <c r="BN139" i="2"/>
  <c r="Z146" i="2"/>
  <c r="Z152" i="2"/>
  <c r="Z154" i="2" s="1"/>
  <c r="BN174" i="2"/>
  <c r="BP197" i="2"/>
  <c r="Z197" i="2"/>
  <c r="Z198" i="2" s="1"/>
  <c r="Z249" i="2"/>
  <c r="Z250" i="2" s="1"/>
  <c r="BP297" i="2"/>
  <c r="Y312" i="2"/>
  <c r="Y333" i="2"/>
  <c r="BP328" i="2"/>
  <c r="BN328" i="2"/>
  <c r="Z357" i="2"/>
  <c r="BP398" i="2"/>
  <c r="BN398" i="2"/>
  <c r="V498" i="2"/>
  <c r="Z415" i="2"/>
  <c r="Z417" i="2" s="1"/>
  <c r="BP421" i="2"/>
  <c r="BN450" i="2"/>
  <c r="BP453" i="2"/>
  <c r="Z292" i="2"/>
  <c r="Z293" i="2" s="1"/>
  <c r="Y293" i="2"/>
  <c r="BP292" i="2"/>
  <c r="BN236" i="2"/>
  <c r="Y243" i="2"/>
  <c r="O498" i="2"/>
  <c r="Y283" i="2"/>
  <c r="BP279" i="2"/>
  <c r="Y282" i="2"/>
  <c r="BN279" i="2"/>
  <c r="Z116" i="2"/>
  <c r="Z120" i="2" s="1"/>
  <c r="Y121" i="2"/>
  <c r="Y131" i="2"/>
  <c r="Y267" i="2"/>
  <c r="Z328" i="2"/>
  <c r="Z332" i="2" s="1"/>
  <c r="BN353" i="2"/>
  <c r="BN356" i="2"/>
  <c r="Z376" i="2"/>
  <c r="Z377" i="2" s="1"/>
  <c r="Y377" i="2"/>
  <c r="BP376" i="2"/>
  <c r="BP384" i="2"/>
  <c r="Y387" i="2"/>
  <c r="BN384" i="2"/>
  <c r="Z384" i="2"/>
  <c r="Z387" i="2" s="1"/>
  <c r="Z398" i="2"/>
  <c r="BN429" i="2"/>
  <c r="BP169" i="2"/>
  <c r="Z169" i="2"/>
  <c r="BP171" i="2"/>
  <c r="Z171" i="2"/>
  <c r="Y77" i="2"/>
  <c r="BN53" i="2"/>
  <c r="BP74" i="2"/>
  <c r="Z74" i="2"/>
  <c r="Y83" i="2"/>
  <c r="Y33" i="2"/>
  <c r="Z56" i="2"/>
  <c r="BP93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Z342" i="2"/>
  <c r="Z345" i="2" s="1"/>
  <c r="Y402" i="2"/>
  <c r="BN414" i="2"/>
  <c r="Y417" i="2"/>
  <c r="Z427" i="2"/>
  <c r="BN471" i="2"/>
  <c r="BN452" i="2"/>
  <c r="Y455" i="2"/>
  <c r="Y465" i="2"/>
  <c r="Y477" i="2"/>
  <c r="M498" i="2"/>
  <c r="Y482" i="2"/>
  <c r="BP427" i="2"/>
  <c r="Z485" i="2"/>
  <c r="Z486" i="2" s="1"/>
  <c r="BN467" i="2"/>
  <c r="Z225" i="2"/>
  <c r="Z310" i="2"/>
  <c r="Z392" i="2"/>
  <c r="Z428" i="2"/>
  <c r="Z448" i="2"/>
  <c r="Z460" i="2"/>
  <c r="BN485" i="2"/>
  <c r="BP485" i="2"/>
  <c r="Y439" i="2"/>
  <c r="BP460" i="2"/>
  <c r="Z480" i="2"/>
  <c r="Z481" i="2" s="1"/>
  <c r="Y486" i="2"/>
  <c r="Z242" i="2" l="1"/>
  <c r="Z97" i="2"/>
  <c r="Z367" i="2"/>
  <c r="Z130" i="2"/>
  <c r="Z275" i="2"/>
  <c r="Z455" i="2"/>
  <c r="Z226" i="2"/>
  <c r="Z401" i="2"/>
  <c r="Z106" i="2"/>
  <c r="Z33" i="2"/>
  <c r="Z77" i="2"/>
  <c r="Z113" i="2"/>
  <c r="Z406" i="2"/>
  <c r="Z312" i="2"/>
  <c r="Z182" i="2"/>
  <c r="Z439" i="2"/>
  <c r="Z464" i="2"/>
  <c r="Z338" i="2"/>
  <c r="X60" i="2" l="1"/>
  <c r="X59" i="2"/>
  <c r="BO54" i="2"/>
  <c r="BM54" i="2"/>
  <c r="Y54" i="2"/>
  <c r="BP54" i="2" l="1"/>
  <c r="Z54" i="2"/>
  <c r="Z59" i="2" s="1"/>
  <c r="BN54" i="2"/>
  <c r="Y60" i="2"/>
  <c r="D498" i="2"/>
  <c r="Y59" i="2"/>
  <c r="X46" i="2" l="1"/>
  <c r="X488" i="2" s="1"/>
  <c r="X45" i="2"/>
  <c r="X492" i="2" s="1"/>
  <c r="BO42" i="2"/>
  <c r="X490" i="2" s="1"/>
  <c r="BM42" i="2"/>
  <c r="X489" i="2" s="1"/>
  <c r="X491" i="2" s="1"/>
  <c r="Y42" i="2"/>
  <c r="Z42" i="2" l="1"/>
  <c r="Z45" i="2" s="1"/>
  <c r="Z493" i="2" s="1"/>
  <c r="BP42" i="2"/>
  <c r="Y490" i="2" s="1"/>
  <c r="Y46" i="2"/>
  <c r="Y488" i="2" s="1"/>
  <c r="C498" i="2"/>
  <c r="Y45" i="2"/>
  <c r="Y492" i="2" s="1"/>
  <c r="BN42" i="2"/>
  <c r="Y489" i="2" s="1"/>
  <c r="Y491" i="2" s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<sst xmlns="http://schemas.openxmlformats.org/spreadsheetml/2006/main" count="3643" uniqueCount="787">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</sst>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zoomScaleNormal="100" zoomScaleSheetLayoutView="100" workbookViewId="0">
      <selection activeCell="Q11" sqref="Q11:R1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/>
      <c r="R5" s="865"/>
      <c r="T5" s="866" t="s">
        <v>3</v>
      </c>
      <c r="U5" s="867"/>
      <c r="V5" s="868" t="s">
        <v>750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 xml:space="preserve"> 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>
        <v>46210</v>
      </c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>
        <v>0.54166666666666663</v>
      </c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1123.2</v>
      </c>
      <c r="Y42" s="53">
        <f>IFERROR(IF(X42="",0,CEILING((X42/$H42),1)*$H42),"")</f>
        <v>1123.2</v>
      </c>
      <c r="Z42" s="39">
        <f>IFERROR(IF(Y42=0,"",ROUNDUP(Y42/H42,0)*0.01898),"")</f>
        <v>1.9739200000000001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1165.8400000000001</v>
      </c>
      <c r="BN42" s="75">
        <f>IFERROR(Y42*I42/H42,"0")</f>
        <v>1165.8400000000001</v>
      </c>
      <c r="BO42" s="75">
        <f>IFERROR(1/J42*(X42/H42),"0")</f>
        <v>1.625</v>
      </c>
      <c r="BP42" s="75">
        <f>IFERROR(1/J42*(Y42/H42),"0")</f>
        <v>1.625</v>
      </c>
    </row>
    <row r="43" spans="1:68" ht="27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104</v>
      </c>
      <c r="Y45" s="41">
        <f>IFERROR(Y42/H42,"0")+IFERROR(Y43/H43,"0")+IFERROR(Y44/H44,"0")</f>
        <v>104</v>
      </c>
      <c r="Z45" s="41">
        <f>IFERROR(IF(Z42="",0,Z42),"0")+IFERROR(IF(Z43="",0,Z43),"0")+IFERROR(IF(Z44="",0,Z44),"0")</f>
        <v>1.9739200000000001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1123.2</v>
      </c>
      <c r="Y46" s="41">
        <f>IFERROR(SUM(Y42:Y44),"0")</f>
        <v>1123.2</v>
      </c>
      <c r="Z46" s="40"/>
      <c r="AA46" s="64"/>
      <c r="AB46" s="64"/>
      <c r="AC46" s="64"/>
    </row>
    <row r="47" spans="1:68" ht="14.25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179.2</v>
      </c>
      <c r="Y53" s="53">
        <f t="shared" ref="Y53:Y58" si="6">IFERROR(IF(X53="",0,CEILING((X53/$H53),1)*$H53),"")</f>
        <v>179.2</v>
      </c>
      <c r="Z53" s="39">
        <f>IFERROR(IF(Y53=0,"",ROUNDUP(Y53/H53,0)*0.01898),"")</f>
        <v>0.30368000000000001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185.76</v>
      </c>
      <c r="BN53" s="75">
        <f t="shared" ref="BN53:BN58" si="8">IFERROR(Y53*I53/H53,"0")</f>
        <v>185.76</v>
      </c>
      <c r="BO53" s="75">
        <f t="shared" ref="BO53:BO58" si="9">IFERROR(1/J53*(X53/H53),"0")</f>
        <v>0.25</v>
      </c>
      <c r="BP53" s="75">
        <f t="shared" ref="BP53:BP58" si="10">IFERROR(1/J53*(Y53/H53),"0")</f>
        <v>0.25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40</v>
      </c>
      <c r="Y59" s="41">
        <f>IFERROR(Y53/H53,"0")+IFERROR(Y54/H54,"0")+IFERROR(Y55/H55,"0")+IFERROR(Y56/H56,"0")+IFERROR(Y57/H57,"0")+IFERROR(Y58/H58,"0")</f>
        <v>40</v>
      </c>
      <c r="Z59" s="41">
        <f>IFERROR(IF(Z53="",0,Z53),"0")+IFERROR(IF(Z54="",0,Z54),"0")+IFERROR(IF(Z55="",0,Z55),"0")+IFERROR(IF(Z56="",0,Z56),"0")+IFERROR(IF(Z57="",0,Z57),"0")+IFERROR(IF(Z58="",0,Z58),"0")</f>
        <v>0.7592000000000001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438.4</v>
      </c>
      <c r="Y60" s="41">
        <f>IFERROR(SUM(Y53:Y58),"0")</f>
        <v>438.40000000000003</v>
      </c>
      <c r="Z60" s="40"/>
      <c r="AA60" s="64"/>
      <c r="AB60" s="64"/>
      <c r="AC60" s="64"/>
    </row>
    <row r="61" spans="1:68" ht="14.25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345.6</v>
      </c>
      <c r="Y62" s="53">
        <f>IFERROR(IF(X62="",0,CEILING((X62/$H62),1)*$H62),"")</f>
        <v>345.6</v>
      </c>
      <c r="Z62" s="39">
        <f>IFERROR(IF(Y62=0,"",ROUNDUP(Y62/H62,0)*0.01898),"")</f>
        <v>0.60736000000000001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358.72</v>
      </c>
      <c r="BN62" s="75">
        <f>IFERROR(Y62*I62/H62,"0")</f>
        <v>358.72</v>
      </c>
      <c r="BO62" s="75">
        <f>IFERROR(1/J62*(X62/H62),"0")</f>
        <v>0.5</v>
      </c>
      <c r="BP62" s="75">
        <f>IFERROR(1/J62*(Y62/H62),"0")</f>
        <v>0.5</v>
      </c>
    </row>
    <row r="63" spans="1:68" ht="16.5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32</v>
      </c>
      <c r="Y66" s="41">
        <f>IFERROR(Y62/H62,"0")+IFERROR(Y63/H63,"0")+IFERROR(Y64/H64,"0")+IFERROR(Y65/H65,"0")</f>
        <v>32</v>
      </c>
      <c r="Z66" s="41">
        <f>IFERROR(IF(Z62="",0,Z62),"0")+IFERROR(IF(Z63="",0,Z63),"0")+IFERROR(IF(Z64="",0,Z64),"0")+IFERROR(IF(Z65="",0,Z65),"0")</f>
        <v>0.60736000000000001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345.6</v>
      </c>
      <c r="Y67" s="41">
        <f>IFERROR(SUM(Y62:Y65),"0")</f>
        <v>345.6</v>
      </c>
      <c r="Z67" s="40"/>
      <c r="AA67" s="64"/>
      <c r="AB67" s="64"/>
      <c r="AC67" s="64"/>
    </row>
    <row r="68" spans="1:68" ht="14.25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IFERROR(IF(Y80=0,"",ROUNDUP(Y80/H80,0)*0.01898),"")</f>
        <v/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6.5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432</v>
      </c>
      <c r="Y86" s="53">
        <f>IFERROR(IF(X86="",0,CEILING((X86/$H86),1)*$H86),"")</f>
        <v>432</v>
      </c>
      <c r="Z86" s="39">
        <f>IFERROR(IF(Y86=0,"",ROUNDUP(Y86/H86,0)*0.01898),"")</f>
        <v>0.75919999999999999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448.4</v>
      </c>
      <c r="BN86" s="75">
        <f>IFERROR(Y86*I86/H86,"0")</f>
        <v>448.4</v>
      </c>
      <c r="BO86" s="75">
        <f>IFERROR(1/J86*(X86/H86),"0")</f>
        <v>0.625</v>
      </c>
      <c r="BP86" s="75">
        <f>IFERROR(1/J86*(Y86/H86),"0")</f>
        <v>0.625</v>
      </c>
    </row>
    <row r="87" spans="1:68" ht="27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40</v>
      </c>
      <c r="Y90" s="41">
        <f>IFERROR(Y86/H86,"0")+IFERROR(Y87/H87,"0")+IFERROR(Y88/H88,"0")+IFERROR(Y89/H89,"0")</f>
        <v>40</v>
      </c>
      <c r="Z90" s="41">
        <f>IFERROR(IF(Z86="",0,Z86),"0")+IFERROR(IF(Z87="",0,Z87),"0")+IFERROR(IF(Z88="",0,Z88),"0")+IFERROR(IF(Z89="",0,Z89),"0")</f>
        <v>0.75919999999999999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432</v>
      </c>
      <c r="Y91" s="41">
        <f>IFERROR(SUM(Y86:Y89),"0")</f>
        <v>432</v>
      </c>
      <c r="Z91" s="40"/>
      <c r="AA91" s="64"/>
      <c r="AB91" s="64"/>
      <c r="AC91" s="64"/>
    </row>
    <row r="92" spans="1:68" ht="14.25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75.599999999999994</v>
      </c>
      <c r="Y95" s="53">
        <f>IFERROR(IF(X95="",0,CEILING((X95/$H95),1)*$H95),"")</f>
        <v>75.600000000000009</v>
      </c>
      <c r="Z95" s="39">
        <f>IFERROR(IF(Y95=0,"",ROUNDUP(Y95/H95,0)*0.00651),"")</f>
        <v>0.18228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82.655999999999977</v>
      </c>
      <c r="BN95" s="75">
        <f>IFERROR(Y95*I95/H95,"0")</f>
        <v>82.656000000000006</v>
      </c>
      <c r="BO95" s="75">
        <f>IFERROR(1/J95*(X95/H95),"0")</f>
        <v>0.15384615384615383</v>
      </c>
      <c r="BP95" s="75">
        <f>IFERROR(1/J95*(Y95/H95),"0")</f>
        <v>0.15384615384615385</v>
      </c>
    </row>
    <row r="96" spans="1:68" ht="16.5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44</v>
      </c>
      <c r="Y97" s="41">
        <f>IFERROR(Y93/H93,"0")+IFERROR(Y94/H94,"0")+IFERROR(Y95/H95,"0")+IFERROR(Y96/H96,"0")</f>
        <v>44</v>
      </c>
      <c r="Z97" s="41">
        <f>IFERROR(IF(Z93="",0,Z93),"0")+IFERROR(IF(Z94="",0,Z94),"0")+IFERROR(IF(Z95="",0,Z95),"0")+IFERROR(IF(Z96="",0,Z96),"0")</f>
        <v>0.48596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205.2</v>
      </c>
      <c r="Y98" s="41">
        <f>IFERROR(SUM(Y93:Y96),"0")</f>
        <v>205.2</v>
      </c>
      <c r="Z98" s="40"/>
      <c r="AA98" s="64"/>
      <c r="AB98" s="64"/>
      <c r="AC98" s="64"/>
    </row>
    <row r="99" spans="1:68" ht="16.5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777.6</v>
      </c>
      <c r="Y101" s="53">
        <f>IFERROR(IF(X101="",0,CEILING((X101/$H101),1)*$H101),"")</f>
        <v>777.6</v>
      </c>
      <c r="Z101" s="39">
        <f>IFERROR(IF(Y101=0,"",ROUNDUP(Y101/H101,0)*0.01898),"")</f>
        <v>1.36656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807.12</v>
      </c>
      <c r="BN101" s="75">
        <f>IFERROR(Y101*I101/H101,"0")</f>
        <v>807.12</v>
      </c>
      <c r="BO101" s="75">
        <f>IFERROR(1/J101*(X101/H101),"0")</f>
        <v>1.125</v>
      </c>
      <c r="BP101" s="75">
        <f>IFERROR(1/J101*(Y101/H101),"0")</f>
        <v>1.125</v>
      </c>
    </row>
    <row r="102" spans="1:68" ht="27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72</v>
      </c>
      <c r="Y106" s="41">
        <f>IFERROR(Y101/H101,"0")+IFERROR(Y102/H102,"0")+IFERROR(Y103/H103,"0")+IFERROR(Y104/H104,"0")+IFERROR(Y105/H105,"0")</f>
        <v>72</v>
      </c>
      <c r="Z106" s="41">
        <f>IFERROR(IF(Z101="",0,Z101),"0")+IFERROR(IF(Z102="",0,Z102),"0")+IFERROR(IF(Z103="",0,Z103),"0")+IFERROR(IF(Z104="",0,Z104),"0")+IFERROR(IF(Z105="",0,Z105),"0")</f>
        <v>1.36656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777.6</v>
      </c>
      <c r="Y107" s="41">
        <f>IFERROR(SUM(Y101:Y105),"0")</f>
        <v>777.6</v>
      </c>
      <c r="Z107" s="40"/>
      <c r="AA107" s="64"/>
      <c r="AB107" s="64"/>
      <c r="AC107" s="64"/>
    </row>
    <row r="108" spans="1:68" ht="14.25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64.8</v>
      </c>
      <c r="Y116" s="53">
        <f>IFERROR(IF(X116="",0,CEILING((X116/$H116),1)*$H116),"")</f>
        <v>64.8</v>
      </c>
      <c r="Z116" s="39">
        <f>IFERROR(IF(Y116=0,"",ROUNDUP(Y116/H116,0)*0.01898),"")</f>
        <v>0.15184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68.703999999999994</v>
      </c>
      <c r="BN116" s="75">
        <f>IFERROR(Y116*I116/H116,"0")</f>
        <v>68.703999999999994</v>
      </c>
      <c r="BO116" s="75">
        <f>IFERROR(1/J116*(X116/H116),"0")</f>
        <v>0.125</v>
      </c>
      <c r="BP116" s="75">
        <f>IFERROR(1/J116*(Y116/H116),"0")</f>
        <v>0.125</v>
      </c>
    </row>
    <row r="117" spans="1:68" ht="27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0</v>
      </c>
      <c r="Y118" s="53">
        <f>IFERROR(IF(X118="",0,CEILING((X118/$H118),1)*$H118),"")</f>
        <v>0</v>
      </c>
      <c r="Z118" s="39" t="str">
        <f>IFERROR(IF(Y118=0,"",ROUNDUP(Y118/H118,0)*0.00651),"")</f>
        <v/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8</v>
      </c>
      <c r="Y120" s="41">
        <f>IFERROR(Y116/H116,"0")+IFERROR(Y117/H117,"0")+IFERROR(Y118/H118,"0")+IFERROR(Y119/H119,"0")</f>
        <v>8</v>
      </c>
      <c r="Z120" s="41">
        <f>IFERROR(IF(Z116="",0,Z116),"0")+IFERROR(IF(Z117="",0,Z117),"0")+IFERROR(IF(Z118="",0,Z118),"0")+IFERROR(IF(Z119="",0,Z119),"0")</f>
        <v>0.15184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64.8</v>
      </c>
      <c r="Y121" s="41">
        <f>IFERROR(SUM(Y116:Y119),"0")</f>
        <v>64.8</v>
      </c>
      <c r="Z121" s="40"/>
      <c r="AA121" s="64"/>
      <c r="AB121" s="64"/>
      <c r="AC121" s="64"/>
    </row>
    <row r="122" spans="1:68" ht="14.25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151.19999999999999</v>
      </c>
      <c r="Y169" s="53">
        <f t="shared" si="11"/>
        <v>151.20000000000002</v>
      </c>
      <c r="Z169" s="39">
        <f>IFERROR(IF(Y169=0,"",ROUNDUP(Y169/H169,0)*0.00902),"")</f>
        <v>0.32472000000000001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158.03999999999996</v>
      </c>
      <c r="BN169" s="75">
        <f t="shared" si="13"/>
        <v>158.04</v>
      </c>
      <c r="BO169" s="75">
        <f t="shared" si="14"/>
        <v>0.27272727272727271</v>
      </c>
      <c r="BP169" s="75">
        <f t="shared" si="15"/>
        <v>0.27272727272727271</v>
      </c>
    </row>
    <row r="170" spans="1:68" ht="37.5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37.799999999999997</v>
      </c>
      <c r="Y171" s="53">
        <f t="shared" si="11"/>
        <v>37.800000000000004</v>
      </c>
      <c r="Z171" s="39">
        <f>IFERROR(IF(Y171=0,"",ROUNDUP(Y171/H171,0)*0.00502),"")</f>
        <v>9.0359999999999996E-2</v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40.139999999999993</v>
      </c>
      <c r="BN171" s="75">
        <f t="shared" si="13"/>
        <v>40.14</v>
      </c>
      <c r="BO171" s="75">
        <f t="shared" si="14"/>
        <v>7.6923076923076913E-2</v>
      </c>
      <c r="BP171" s="75">
        <f t="shared" si="15"/>
        <v>7.6923076923076927E-2</v>
      </c>
    </row>
    <row r="172" spans="1:68" ht="27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75.599999999999994</v>
      </c>
      <c r="Y179" s="53">
        <f t="shared" si="11"/>
        <v>75.600000000000009</v>
      </c>
      <c r="Z179" s="39">
        <f>IFERROR(IF(Y179=0,"",ROUNDUP(Y179/H179,0)*0.00502),"")</f>
        <v>0.18071999999999999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79.199999999999989</v>
      </c>
      <c r="BN179" s="75">
        <f t="shared" si="13"/>
        <v>79.2</v>
      </c>
      <c r="BO179" s="75">
        <f t="shared" si="14"/>
        <v>0.15384615384615383</v>
      </c>
      <c r="BP179" s="75">
        <f t="shared" si="15"/>
        <v>0.15384615384615385</v>
      </c>
    </row>
    <row r="180" spans="1:68" ht="27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101.99999999999997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102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0.70404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315</v>
      </c>
      <c r="Y183" s="41">
        <f>IFERROR(SUM(Y167:Y181),"0")</f>
        <v>315.00000000000006</v>
      </c>
      <c r="Z183" s="40"/>
      <c r="AA183" s="64"/>
      <c r="AB183" s="64"/>
      <c r="AC183" s="64"/>
    </row>
    <row r="184" spans="1:68" ht="14.25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194.4</v>
      </c>
      <c r="Y206" s="53">
        <f t="shared" ref="Y206:Y213" si="16">IFERROR(IF(X206="",0,CEILING((X206/$H206),1)*$H206),"")</f>
        <v>194.4</v>
      </c>
      <c r="Z206" s="39">
        <f>IFERROR(IF(Y206=0,"",ROUNDUP(Y206/H206,0)*0.00902),"")</f>
        <v>0.32472000000000001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201.23999999999998</v>
      </c>
      <c r="BN206" s="75">
        <f t="shared" ref="BN206:BN213" si="18">IFERROR(Y206*I206/H206,"0")</f>
        <v>201.23999999999998</v>
      </c>
      <c r="BO206" s="75">
        <f t="shared" ref="BO206:BO213" si="19">IFERROR(1/J206*(X206/H206),"0")</f>
        <v>0.27272727272727271</v>
      </c>
      <c r="BP206" s="75">
        <f t="shared" ref="BP206:BP213" si="20">IFERROR(1/J206*(Y206/H206),"0")</f>
        <v>0.27272727272727271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194.4</v>
      </c>
      <c r="Y208" s="53">
        <f t="shared" si="16"/>
        <v>194.4</v>
      </c>
      <c r="Z208" s="39">
        <f>IFERROR(IF(Y208=0,"",ROUNDUP(Y208/H208,0)*0.00902),"")</f>
        <v>0.32472000000000001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201.23999999999998</v>
      </c>
      <c r="BN208" s="75">
        <f t="shared" si="18"/>
        <v>201.23999999999998</v>
      </c>
      <c r="BO208" s="75">
        <f t="shared" si="19"/>
        <v>0.27272727272727271</v>
      </c>
      <c r="BP208" s="75">
        <f t="shared" si="20"/>
        <v>0.27272727272727271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129.6</v>
      </c>
      <c r="Y209" s="53">
        <f t="shared" si="16"/>
        <v>129.60000000000002</v>
      </c>
      <c r="Z209" s="39">
        <f>IFERROR(IF(Y209=0,"",ROUNDUP(Y209/H209,0)*0.00902),"")</f>
        <v>0.21648000000000001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134.15999999999997</v>
      </c>
      <c r="BN209" s="75">
        <f t="shared" si="18"/>
        <v>134.16</v>
      </c>
      <c r="BO209" s="75">
        <f t="shared" si="19"/>
        <v>0.1818181818181818</v>
      </c>
      <c r="BP209" s="75">
        <f t="shared" si="20"/>
        <v>0.18181818181818185</v>
      </c>
    </row>
    <row r="210" spans="1:68" ht="27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120</v>
      </c>
      <c r="Y214" s="41">
        <f>IFERROR(Y206/H206,"0")+IFERROR(Y207/H207,"0")+IFERROR(Y208/H208,"0")+IFERROR(Y209/H209,"0")+IFERROR(Y210/H210,"0")+IFERROR(Y211/H211,"0")+IFERROR(Y212/H212,"0")+IFERROR(Y213/H213,"0")</f>
        <v>120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1.0824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648</v>
      </c>
      <c r="Y215" s="41">
        <f>IFERROR(SUM(Y206:Y213),"0")</f>
        <v>648</v>
      </c>
      <c r="Z215" s="40"/>
      <c r="AA215" s="64"/>
      <c r="AB215" s="64"/>
      <c r="AC215" s="64"/>
    </row>
    <row r="216" spans="1:68" ht="14.25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57.6</v>
      </c>
      <c r="Y220" s="53">
        <f t="shared" si="21"/>
        <v>57.599999999999994</v>
      </c>
      <c r="Z220" s="39">
        <f t="shared" ref="Z220:Z225" si="26">IFERROR(IF(Y220=0,"",ROUNDUP(Y220/H220,0)*0.00651),"")</f>
        <v>0.15623999999999999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64.08</v>
      </c>
      <c r="BN220" s="75">
        <f t="shared" si="23"/>
        <v>64.079999999999984</v>
      </c>
      <c r="BO220" s="75">
        <f t="shared" si="24"/>
        <v>0.13186813186813187</v>
      </c>
      <c r="BP220" s="75">
        <f t="shared" si="25"/>
        <v>0.13186813186813187</v>
      </c>
    </row>
    <row r="221" spans="1:68" ht="27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115.2</v>
      </c>
      <c r="Y222" s="53">
        <f t="shared" si="21"/>
        <v>115.19999999999999</v>
      </c>
      <c r="Z222" s="39">
        <f t="shared" si="26"/>
        <v>0.31247999999999998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127.29600000000001</v>
      </c>
      <c r="BN222" s="75">
        <f t="shared" si="23"/>
        <v>127.29600000000001</v>
      </c>
      <c r="BO222" s="75">
        <f t="shared" si="24"/>
        <v>0.26373626373626374</v>
      </c>
      <c r="BP222" s="75">
        <f t="shared" si="25"/>
        <v>0.26373626373626374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144</v>
      </c>
      <c r="Y223" s="53">
        <f t="shared" si="21"/>
        <v>144</v>
      </c>
      <c r="Z223" s="39">
        <f t="shared" si="26"/>
        <v>0.3906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159.12000000000003</v>
      </c>
      <c r="BN223" s="75">
        <f t="shared" si="23"/>
        <v>159.12000000000003</v>
      </c>
      <c r="BO223" s="75">
        <f t="shared" si="24"/>
        <v>0.32967032967032972</v>
      </c>
      <c r="BP223" s="75">
        <f t="shared" si="25"/>
        <v>0.32967032967032972</v>
      </c>
    </row>
    <row r="224" spans="1:68" ht="27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820.80000000000007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28.8</v>
      </c>
      <c r="Y280" s="53">
        <f>IFERROR(IF(X280="",0,CEILING((X280/$H280),1)*$H280),"")</f>
        <v>28.799999999999997</v>
      </c>
      <c r="Z280" s="39">
        <f>IFERROR(IF(Y280=0,"",ROUNDUP(Y280/H280,0)*0.00651),"")</f>
        <v>7.8119999999999995E-2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31.824000000000002</v>
      </c>
      <c r="BN280" s="75">
        <f>IFERROR(Y280*I280/H280,"0")</f>
        <v>31.824000000000002</v>
      </c>
      <c r="BO280" s="75">
        <f>IFERROR(1/J280*(X280/H280),"0")</f>
        <v>6.5934065934065936E-2</v>
      </c>
      <c r="BP280" s="75">
        <f>IFERROR(1/J280*(Y280/H280),"0")</f>
        <v>6.5934065934065936E-2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57.6</v>
      </c>
      <c r="Y281" s="53">
        <f>IFERROR(IF(X281="",0,CEILING((X281/$H281),1)*$H281),"")</f>
        <v>57.599999999999994</v>
      </c>
      <c r="Z281" s="39">
        <f>IFERROR(IF(Y281=0,"",ROUNDUP(Y281/H281,0)*0.00651),"")</f>
        <v>0.15623999999999999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61.92</v>
      </c>
      <c r="BN281" s="75">
        <f>IFERROR(Y281*I281/H281,"0")</f>
        <v>61.919999999999995</v>
      </c>
      <c r="BO281" s="75">
        <f>IFERROR(1/J281*(X281/H281),"0")</f>
        <v>0.13186813186813187</v>
      </c>
      <c r="BP281" s="75">
        <f>IFERROR(1/J281*(Y281/H281),"0")</f>
        <v>0.13186813186813187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36</v>
      </c>
      <c r="Y282" s="41">
        <f>IFERROR(Y279/H279,"0")+IFERROR(Y280/H280,"0")+IFERROR(Y281/H281,"0")</f>
        <v>36</v>
      </c>
      <c r="Z282" s="41">
        <f>IFERROR(IF(Z279="",0,Z279),"0")+IFERROR(IF(Z280="",0,Z280),"0")+IFERROR(IF(Z281="",0,Z281),"0")</f>
        <v>0.23435999999999998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86.4</v>
      </c>
      <c r="Y283" s="41">
        <f>IFERROR(SUM(Y279:Y281),"0")</f>
        <v>86.399999999999991</v>
      </c>
      <c r="Z283" s="40"/>
      <c r="AA283" s="64"/>
      <c r="AB283" s="64"/>
      <c r="AC283" s="64"/>
    </row>
    <row r="284" spans="1:68" ht="16.5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312</v>
      </c>
      <c r="Y323" s="53">
        <f>IFERROR(IF(X323="",0,CEILING((X323/$H323),1)*$H323),"")</f>
        <v>312</v>
      </c>
      <c r="Z323" s="39">
        <f>IFERROR(IF(Y323=0,"",ROUNDUP(Y323/H323,0)*0.01898),"")</f>
        <v>0.75919999999999999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331.76</v>
      </c>
      <c r="BN323" s="75">
        <f>IFERROR(Y323*I323/H323,"0")</f>
        <v>331.76</v>
      </c>
      <c r="BO323" s="75">
        <f>IFERROR(1/J323*(X323/H323),"0")</f>
        <v>0.625</v>
      </c>
      <c r="BP323" s="75">
        <f>IFERROR(1/J323*(Y323/H323),"0")</f>
        <v>0.625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72</v>
      </c>
      <c r="Y325" s="41">
        <f>IFERROR(Y322/H322,"0")+IFERROR(Y323/H323,"0")+IFERROR(Y324/H324,"0")</f>
        <v>72</v>
      </c>
      <c r="Z325" s="41">
        <f>IFERROR(IF(Z322="",0,Z322),"0")+IFERROR(IF(Z323="",0,Z323),"0")+IFERROR(IF(Z324="",0,Z324),"0")</f>
        <v>1.36656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580.80000000000007</v>
      </c>
      <c r="Y326" s="41">
        <f>IFERROR(SUM(Y322:Y324),"0")</f>
        <v>580.80000000000007</v>
      </c>
      <c r="Z326" s="40"/>
      <c r="AA326" s="64"/>
      <c r="AB326" s="64"/>
      <c r="AC326" s="64"/>
    </row>
    <row r="327" spans="1:68" ht="14.25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600</v>
      </c>
      <c r="Y350" s="53">
        <f t="shared" ref="Y350:Y356" si="37">IFERROR(IF(X350="",0,CEILING((X350/$H350),1)*$H350),"")</f>
        <v>600</v>
      </c>
      <c r="Z350" s="39">
        <f>IFERROR(IF(Y350=0,"",ROUNDUP(Y350/H350,0)*0.02175),"")</f>
        <v>0.86999999999999988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618.79999999999995</v>
      </c>
      <c r="BN350" s="75">
        <f t="shared" ref="BN350:BN356" si="39">IFERROR(Y350*I350/H350,"0")</f>
        <v>618.79999999999995</v>
      </c>
      <c r="BO350" s="75">
        <f t="shared" ref="BO350:BO356" si="40">IFERROR(1/J350*(X350/H350),"0")</f>
        <v>0.83333333333333326</v>
      </c>
      <c r="BP350" s="75">
        <f t="shared" ref="BP350:BP356" si="41">IFERROR(1/J350*(Y350/H350),"0")</f>
        <v>0.83333333333333326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240</v>
      </c>
      <c r="Y351" s="53">
        <f t="shared" si="37"/>
        <v>240</v>
      </c>
      <c r="Z351" s="39">
        <f>IFERROR(IF(Y351=0,"",ROUNDUP(Y351/H351,0)*0.02175),"")</f>
        <v>0.34799999999999998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247.52</v>
      </c>
      <c r="BN351" s="75">
        <f t="shared" si="39"/>
        <v>247.52</v>
      </c>
      <c r="BO351" s="75">
        <f t="shared" si="40"/>
        <v>0.33333333333333331</v>
      </c>
      <c r="BP351" s="75">
        <f t="shared" si="41"/>
        <v>0.33333333333333331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675</v>
      </c>
      <c r="Y352" s="53">
        <f t="shared" si="37"/>
        <v>675</v>
      </c>
      <c r="Z352" s="39">
        <f>IFERROR(IF(Y352=0,"",ROUNDUP(Y352/H352,0)*0.02175),"")</f>
        <v>0.9787499999999999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696.15</v>
      </c>
      <c r="BN352" s="75">
        <f t="shared" si="39"/>
        <v>696.15</v>
      </c>
      <c r="BO352" s="75">
        <f t="shared" si="40"/>
        <v>0.9375</v>
      </c>
      <c r="BP352" s="75">
        <f t="shared" si="41"/>
        <v>0.9375</v>
      </c>
    </row>
    <row r="353" spans="1:68" ht="27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101</v>
      </c>
      <c r="Y357" s="41">
        <f>IFERROR(Y350/H350,"0")+IFERROR(Y351/H351,"0")+IFERROR(Y352/H352,"0")+IFERROR(Y353/H353,"0")+IFERROR(Y354/H354,"0")+IFERROR(Y355/H355,"0")+IFERROR(Y356/H356,"0")</f>
        <v>101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2.1967499999999998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1515</v>
      </c>
      <c r="Y358" s="41">
        <f>IFERROR(SUM(Y350:Y356),"0")</f>
        <v>1515</v>
      </c>
      <c r="Z358" s="40"/>
      <c r="AA358" s="64"/>
      <c r="AB358" s="64"/>
      <c r="AC358" s="64"/>
    </row>
    <row r="359" spans="1:68" ht="14.25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360</v>
      </c>
      <c r="Y360" s="53">
        <f>IFERROR(IF(X360="",0,CEILING((X360/$H360),1)*$H360),"")</f>
        <v>360</v>
      </c>
      <c r="Z360" s="39">
        <f>IFERROR(IF(Y360=0,"",ROUNDUP(Y360/H360,0)*0.02175),"")</f>
        <v>0.52200000000000002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371.28</v>
      </c>
      <c r="BN360" s="75">
        <f>IFERROR(Y360*I360/H360,"0")</f>
        <v>371.28</v>
      </c>
      <c r="BO360" s="75">
        <f>IFERROR(1/J360*(X360/H360),"0")</f>
        <v>0.5</v>
      </c>
      <c r="BP360" s="75">
        <f>IFERROR(1/J360*(Y360/H360),"0")</f>
        <v>0.5</v>
      </c>
    </row>
    <row r="361" spans="1:68" ht="27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24</v>
      </c>
      <c r="Y362" s="41">
        <f>IFERROR(Y360/H360,"0")+IFERROR(Y361/H361,"0")</f>
        <v>24</v>
      </c>
      <c r="Z362" s="41">
        <f>IFERROR(IF(Z360="",0,Z360),"0")+IFERROR(IF(Z361="",0,Z361),"0")</f>
        <v>0.52200000000000002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360</v>
      </c>
      <c r="Y363" s="41">
        <f>IFERROR(SUM(Y360:Y361),"0")</f>
        <v>360</v>
      </c>
      <c r="Z363" s="40"/>
      <c r="AA363" s="64"/>
      <c r="AB363" s="64"/>
      <c r="AC363" s="64"/>
    </row>
    <row r="364" spans="1:68" ht="14.25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144</v>
      </c>
      <c r="Y370" s="53">
        <f>IFERROR(IF(X370="",0,CEILING((X370/$H370),1)*$H370),"")</f>
        <v>144</v>
      </c>
      <c r="Z370" s="39">
        <f>IFERROR(IF(Y370=0,"",ROUNDUP(Y370/H370,0)*0.01898),"")</f>
        <v>0.30368000000000001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151.904</v>
      </c>
      <c r="BN370" s="75">
        <f>IFERROR(Y370*I370/H370,"0")</f>
        <v>151.904</v>
      </c>
      <c r="BO370" s="75">
        <f>IFERROR(1/J370*(X370/H370),"0")</f>
        <v>0.25</v>
      </c>
      <c r="BP370" s="75">
        <f>IFERROR(1/J370*(Y370/H370),"0")</f>
        <v>0.25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16</v>
      </c>
      <c r="Y371" s="41">
        <f>IFERROR(Y370/H370,"0")</f>
        <v>16</v>
      </c>
      <c r="Z371" s="41">
        <f>IFERROR(IF(Z370="",0,Z370),"0")</f>
        <v>0.30368000000000001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144</v>
      </c>
      <c r="Y372" s="41">
        <f>IFERROR(SUM(Y370:Y370),"0")</f>
        <v>144</v>
      </c>
      <c r="Z372" s="40"/>
      <c r="AA372" s="64"/>
      <c r="AB372" s="64"/>
      <c r="AC372" s="64"/>
    </row>
    <row r="373" spans="1:68" ht="16.5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216</v>
      </c>
      <c r="Y384" s="53">
        <f>IFERROR(IF(X384="",0,CEILING((X384/$H384),1)*$H384),"")</f>
        <v>216</v>
      </c>
      <c r="Z384" s="39">
        <f>IFERROR(IF(Y384=0,"",ROUNDUP(Y384/H384,0)*0.01898),"")</f>
        <v>0.45552000000000004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227.85599999999997</v>
      </c>
      <c r="BN384" s="75">
        <f>IFERROR(Y384*I384/H384,"0")</f>
        <v>227.85599999999997</v>
      </c>
      <c r="BO384" s="75">
        <f>IFERROR(1/J384*(X384/H384),"0")</f>
        <v>0.375</v>
      </c>
      <c r="BP384" s="75">
        <f>IFERROR(1/J384*(Y384/H384),"0")</f>
        <v>0.375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24</v>
      </c>
      <c r="Y387" s="41">
        <f>IFERROR(Y384/H384,"0")+IFERROR(Y385/H385,"0")+IFERROR(Y386/H386,"0")</f>
        <v>24</v>
      </c>
      <c r="Z387" s="41">
        <f>IFERROR(IF(Z384="",0,Z384),"0")+IFERROR(IF(Z385="",0,Z385),"0")+IFERROR(IF(Z386="",0,Z386),"0")</f>
        <v>0.45552000000000004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216</v>
      </c>
      <c r="Y388" s="41">
        <f>IFERROR(SUM(Y384:Y386),"0")</f>
        <v>216</v>
      </c>
      <c r="Z388" s="40"/>
      <c r="AA388" s="64"/>
      <c r="AB388" s="64"/>
      <c r="AC388" s="64"/>
    </row>
    <row r="389" spans="1:68" ht="27.75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48"/>
        <v>0</v>
      </c>
      <c r="Z431" s="39" t="str">
        <f t="shared" si="49"/>
        <v/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0</v>
      </c>
      <c r="BN431" s="75">
        <f t="shared" si="51"/>
        <v>0</v>
      </c>
      <c r="BO431" s="75">
        <f t="shared" si="52"/>
        <v>0</v>
      </c>
      <c r="BP431" s="75">
        <f t="shared" si="53"/>
        <v>0</v>
      </c>
    </row>
    <row r="432" spans="1:68" ht="16.5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168.96</v>
      </c>
      <c r="Y433" s="53">
        <f t="shared" si="48"/>
        <v>168.96</v>
      </c>
      <c r="Z433" s="39">
        <f t="shared" si="49"/>
        <v>0.38272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180.16</v>
      </c>
      <c r="BN433" s="75">
        <f t="shared" si="51"/>
        <v>180.16</v>
      </c>
      <c r="BO433" s="75">
        <f t="shared" si="52"/>
        <v>0.30769230769230771</v>
      </c>
      <c r="BP433" s="75">
        <f t="shared" si="53"/>
        <v>0.30769230769230771</v>
      </c>
    </row>
    <row r="434" spans="1:68" ht="27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32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32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0.38272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168.96</v>
      </c>
      <c r="Y440" s="41">
        <f>IFERROR(SUM(Y427:Y438),"0")</f>
        <v>168.96</v>
      </c>
      <c r="Z440" s="40"/>
      <c r="AA440" s="64"/>
      <c r="AB440" s="64"/>
      <c r="AC440" s="64"/>
    </row>
    <row r="441" spans="1:68" ht="14.25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42.2</v>
      </c>
      <c r="Y442" s="53">
        <f>IFERROR(IF(X442="",0,CEILING((X442/$H442),1)*$H442),"")</f>
        <v>42.24</v>
      </c>
      <c r="Z442" s="39">
        <f>IFERROR(IF(Y442=0,"",ROUNDUP(Y442/H442,0)*0.01196),"")</f>
        <v>9.5680000000000001E-2</v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44.997348484848487</v>
      </c>
      <c r="BN442" s="75">
        <f>IFERROR(Y442*I442/H442,"0")</f>
        <v>45.04</v>
      </c>
      <c r="BO442" s="75">
        <f>IFERROR(1/J442*(X442/H442),"0")</f>
        <v>7.6850233100233104E-2</v>
      </c>
      <c r="BP442" s="75">
        <f>IFERROR(1/J442*(Y442/H442),"0")</f>
        <v>7.6923076923076927E-2</v>
      </c>
    </row>
    <row r="443" spans="1:68" ht="16.5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7.9924242424242422</v>
      </c>
      <c r="Y445" s="41">
        <f>IFERROR(Y442/H442,"0")+IFERROR(Y443/H443,"0")+IFERROR(Y444/H444,"0")</f>
        <v>8</v>
      </c>
      <c r="Z445" s="41">
        <f>IFERROR(IF(Z442="",0,Z442),"0")+IFERROR(IF(Z443="",0,Z443),"0")+IFERROR(IF(Z444="",0,Z444),"0")</f>
        <v>9.5680000000000001E-2</v>
      </c>
      <c r="AA445" s="64"/>
      <c r="AB445" s="64"/>
      <c r="AC445" s="64"/>
    </row>
    <row r="446" spans="1:68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42.2</v>
      </c>
      <c r="Y446" s="41">
        <f>IFERROR(SUM(Y442:Y444),"0")</f>
        <v>42.24</v>
      </c>
      <c r="Z446" s="40"/>
      <c r="AA446" s="64"/>
      <c r="AB446" s="64"/>
      <c r="AC446" s="64"/>
    </row>
    <row r="447" spans="1:68" ht="14.25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84.48</v>
      </c>
      <c r="Y448" s="53">
        <f t="shared" ref="Y448:Y454" si="54">IFERROR(IF(X448="",0,CEILING((X448/$H448),1)*$H448),"")</f>
        <v>84.48</v>
      </c>
      <c r="Z448" s="39">
        <f>IFERROR(IF(Y448=0,"",ROUNDUP(Y448/H448,0)*0.01196),"")</f>
        <v>0.19136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90.08</v>
      </c>
      <c r="BN448" s="75">
        <f t="shared" ref="BN448:BN454" si="56">IFERROR(Y448*I448/H448,"0")</f>
        <v>90.08</v>
      </c>
      <c r="BO448" s="75">
        <f t="shared" ref="BO448:BO454" si="57">IFERROR(1/J448*(X448/H448),"0")</f>
        <v>0.15384615384615385</v>
      </c>
      <c r="BP448" s="75">
        <f t="shared" ref="BP448:BP454" si="58">IFERROR(1/J448*(Y448/H448),"0")</f>
        <v>0.15384615384615385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42.24</v>
      </c>
      <c r="Y449" s="53">
        <f t="shared" si="54"/>
        <v>42.24</v>
      </c>
      <c r="Z449" s="39">
        <f>IFERROR(IF(Y449=0,"",ROUNDUP(Y449/H449,0)*0.01196),"")</f>
        <v>9.5680000000000001E-2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45.04</v>
      </c>
      <c r="BN449" s="75">
        <f t="shared" si="56"/>
        <v>45.04</v>
      </c>
      <c r="BO449" s="75">
        <f t="shared" si="57"/>
        <v>7.6923076923076927E-2</v>
      </c>
      <c r="BP449" s="75">
        <f t="shared" si="58"/>
        <v>7.6923076923076927E-2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42.24</v>
      </c>
      <c r="Y450" s="53">
        <f t="shared" si="54"/>
        <v>42.24</v>
      </c>
      <c r="Z450" s="39">
        <f>IFERROR(IF(Y450=0,"",ROUNDUP(Y450/H450,0)*0.01196),"")</f>
        <v>9.5680000000000001E-2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45.04</v>
      </c>
      <c r="BN450" s="75">
        <f t="shared" si="56"/>
        <v>45.04</v>
      </c>
      <c r="BO450" s="75">
        <f t="shared" si="57"/>
        <v>7.6923076923076927E-2</v>
      </c>
      <c r="BP450" s="75">
        <f t="shared" si="58"/>
        <v>7.6923076923076927E-2</v>
      </c>
    </row>
    <row r="451" spans="1:68" ht="27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32</v>
      </c>
      <c r="Y455" s="41">
        <f>IFERROR(Y448/H448,"0")+IFERROR(Y449/H449,"0")+IFERROR(Y450/H450,"0")+IFERROR(Y451/H451,"0")+IFERROR(Y452/H452,"0")+IFERROR(Y453/H453,"0")+IFERROR(Y454/H454,"0")</f>
        <v>32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0.38272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168.96</v>
      </c>
      <c r="Y456" s="41">
        <f>IFERROR(SUM(Y448:Y454),"0")</f>
        <v>168.96</v>
      </c>
      <c r="Z456" s="40"/>
      <c r="AA456" s="64"/>
      <c r="AB456" s="64"/>
      <c r="AC456" s="64"/>
    </row>
    <row r="457" spans="1:68" ht="27.75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8452.9199999999983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8452.9599999999991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8841.7593484848494</v>
      </c>
      <c r="Y489" s="41">
        <f>IFERROR(SUM(BN22:BN485),"0")</f>
        <v>8841.8020000000015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14</v>
      </c>
      <c r="Y490" s="42">
        <f>ROUNDUP(SUM(BP22:BP485),0)</f>
        <v>14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9191.7593484848494</v>
      </c>
      <c r="Y491" s="41">
        <f>GrossWeightTotalR+PalletQtyTotalR*25</f>
        <v>9191.8020000000015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1122.9924242424242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1123</v>
      </c>
      <c r="Z492" s="40"/>
      <c r="AA492" s="64"/>
      <c r="AB492" s="64"/>
      <c r="AC492" s="64"/>
    </row>
    <row r="493" spans="1:68" ht="14.25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15.835190000000003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1123.2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784</v>
      </c>
      <c r="E498" s="50">
        <f>IFERROR(Y86*1,"0")+IFERROR(Y87*1,"0")+IFERROR(Y88*1,"0")+IFERROR(Y89*1,"0")+IFERROR(Y93*1,"0")+IFERROR(Y94*1,"0")+IFERROR(Y95*1,"0")+IFERROR(Y96*1,"0")</f>
        <v>637.20000000000005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842.4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315.00000000000006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1468.8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86.399999999999991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580.80000000000007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2019</v>
      </c>
      <c r="T498" s="50">
        <f>IFERROR(Y375*1,"0")+IFERROR(Y376*1,"0")+IFERROR(Y380*1,"0")+IFERROR(Y384*1,"0")+IFERROR(Y385*1,"0")+IFERROR(Y386*1,"0")</f>
        <v>216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380.16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988</vt:i4>
      </vt:variant>
    </vt:vector>
  </HeadingPairs>
  <TitlesOfParts>
    <vt:vector size="990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2026-07-01T11:27:18Z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