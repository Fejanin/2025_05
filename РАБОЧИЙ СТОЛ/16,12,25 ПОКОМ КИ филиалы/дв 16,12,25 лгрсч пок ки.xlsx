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6,12,25 ПОКОМ КИ филиалы\"/>
    </mc:Choice>
  </mc:AlternateContent>
  <xr:revisionPtr revIDLastSave="0" documentId="13_ncr:1_{F7B4D428-CFD1-4CE5-8032-A5016671E04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Sheet!$A$3:$AI$94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W5" i="1" l="1"/>
  <c r="M7" i="1"/>
  <c r="S7" i="1" s="1"/>
  <c r="T7" i="1" s="1"/>
  <c r="AI7" i="1" s="1"/>
  <c r="M8" i="1"/>
  <c r="S8" i="1" s="1"/>
  <c r="T8" i="1" s="1"/>
  <c r="AI8" i="1" s="1"/>
  <c r="M9" i="1"/>
  <c r="S9" i="1" s="1"/>
  <c r="T9" i="1" s="1"/>
  <c r="AI9" i="1" s="1"/>
  <c r="M10" i="1"/>
  <c r="S10" i="1" s="1"/>
  <c r="T10" i="1" s="1"/>
  <c r="AI10" i="1" s="1"/>
  <c r="M11" i="1"/>
  <c r="S11" i="1" s="1"/>
  <c r="T11" i="1" s="1"/>
  <c r="AI11" i="1" s="1"/>
  <c r="M12" i="1"/>
  <c r="S12" i="1" s="1"/>
  <c r="T12" i="1" s="1"/>
  <c r="AI12" i="1" s="1"/>
  <c r="M13" i="1"/>
  <c r="S13" i="1" s="1"/>
  <c r="T13" i="1" s="1"/>
  <c r="AI13" i="1" s="1"/>
  <c r="M14" i="1"/>
  <c r="S14" i="1" s="1"/>
  <c r="T14" i="1" s="1"/>
  <c r="AI14" i="1" s="1"/>
  <c r="M15" i="1"/>
  <c r="S15" i="1" s="1"/>
  <c r="T15" i="1" s="1"/>
  <c r="AI15" i="1" s="1"/>
  <c r="M16" i="1"/>
  <c r="S16" i="1" s="1"/>
  <c r="T16" i="1" s="1"/>
  <c r="AI16" i="1" s="1"/>
  <c r="M17" i="1"/>
  <c r="S17" i="1" s="1"/>
  <c r="T17" i="1" s="1"/>
  <c r="AI17" i="1" s="1"/>
  <c r="M18" i="1"/>
  <c r="S18" i="1" s="1"/>
  <c r="T18" i="1" s="1"/>
  <c r="AI18" i="1" s="1"/>
  <c r="M19" i="1"/>
  <c r="S19" i="1" s="1"/>
  <c r="M20" i="1"/>
  <c r="S20" i="1" s="1"/>
  <c r="T20" i="1" s="1"/>
  <c r="AI20" i="1" s="1"/>
  <c r="M21" i="1"/>
  <c r="S21" i="1" s="1"/>
  <c r="T21" i="1" s="1"/>
  <c r="AI21" i="1" s="1"/>
  <c r="M22" i="1"/>
  <c r="S22" i="1" s="1"/>
  <c r="T22" i="1" s="1"/>
  <c r="AI22" i="1" s="1"/>
  <c r="M23" i="1"/>
  <c r="S23" i="1" s="1"/>
  <c r="M24" i="1"/>
  <c r="S24" i="1" s="1"/>
  <c r="T24" i="1" s="1"/>
  <c r="AI24" i="1" s="1"/>
  <c r="M25" i="1"/>
  <c r="S25" i="1" s="1"/>
  <c r="T25" i="1" s="1"/>
  <c r="AI25" i="1" s="1"/>
  <c r="M26" i="1"/>
  <c r="S26" i="1" s="1"/>
  <c r="T26" i="1" s="1"/>
  <c r="AI26" i="1" s="1"/>
  <c r="M27" i="1"/>
  <c r="S27" i="1" s="1"/>
  <c r="T27" i="1" s="1"/>
  <c r="AI27" i="1" s="1"/>
  <c r="M28" i="1"/>
  <c r="S28" i="1" s="1"/>
  <c r="AI28" i="1" s="1"/>
  <c r="M29" i="1"/>
  <c r="S29" i="1" s="1"/>
  <c r="T29" i="1" s="1"/>
  <c r="AI29" i="1" s="1"/>
  <c r="M30" i="1"/>
  <c r="S30" i="1" s="1"/>
  <c r="T30" i="1" s="1"/>
  <c r="AI30" i="1" s="1"/>
  <c r="M31" i="1"/>
  <c r="S31" i="1" s="1"/>
  <c r="M32" i="1"/>
  <c r="S32" i="1" s="1"/>
  <c r="X32" i="1" s="1"/>
  <c r="M33" i="1"/>
  <c r="S33" i="1" s="1"/>
  <c r="T33" i="1" s="1"/>
  <c r="AI33" i="1" s="1"/>
  <c r="M34" i="1"/>
  <c r="S34" i="1" s="1"/>
  <c r="T34" i="1" s="1"/>
  <c r="AI34" i="1" s="1"/>
  <c r="M35" i="1"/>
  <c r="S35" i="1" s="1"/>
  <c r="T35" i="1" s="1"/>
  <c r="AI35" i="1" s="1"/>
  <c r="M36" i="1"/>
  <c r="S36" i="1" s="1"/>
  <c r="T36" i="1" s="1"/>
  <c r="M37" i="1"/>
  <c r="S37" i="1" s="1"/>
  <c r="AI37" i="1" s="1"/>
  <c r="M38" i="1"/>
  <c r="S38" i="1" s="1"/>
  <c r="AI38" i="1" s="1"/>
  <c r="M39" i="1"/>
  <c r="S39" i="1" s="1"/>
  <c r="T39" i="1" s="1"/>
  <c r="AI39" i="1" s="1"/>
  <c r="M40" i="1"/>
  <c r="S40" i="1" s="1"/>
  <c r="T40" i="1" s="1"/>
  <c r="AI40" i="1" s="1"/>
  <c r="M41" i="1"/>
  <c r="S41" i="1" s="1"/>
  <c r="T41" i="1" s="1"/>
  <c r="AI41" i="1" s="1"/>
  <c r="M42" i="1"/>
  <c r="S42" i="1" s="1"/>
  <c r="T42" i="1" s="1"/>
  <c r="AI42" i="1" s="1"/>
  <c r="M43" i="1"/>
  <c r="S43" i="1" s="1"/>
  <c r="T43" i="1" s="1"/>
  <c r="AI43" i="1" s="1"/>
  <c r="M44" i="1"/>
  <c r="S44" i="1" s="1"/>
  <c r="T44" i="1" s="1"/>
  <c r="AI44" i="1" s="1"/>
  <c r="M45" i="1"/>
  <c r="S45" i="1" s="1"/>
  <c r="T45" i="1" s="1"/>
  <c r="AI45" i="1" s="1"/>
  <c r="M46" i="1"/>
  <c r="S46" i="1" s="1"/>
  <c r="T46" i="1" s="1"/>
  <c r="AI46" i="1" s="1"/>
  <c r="M47" i="1"/>
  <c r="S47" i="1" s="1"/>
  <c r="T47" i="1" s="1"/>
  <c r="M48" i="1"/>
  <c r="S48" i="1" s="1"/>
  <c r="X48" i="1" s="1"/>
  <c r="M49" i="1"/>
  <c r="S49" i="1" s="1"/>
  <c r="T49" i="1" s="1"/>
  <c r="AI49" i="1" s="1"/>
  <c r="M50" i="1"/>
  <c r="S50" i="1" s="1"/>
  <c r="T50" i="1" s="1"/>
  <c r="M51" i="1"/>
  <c r="S51" i="1" s="1"/>
  <c r="T51" i="1" s="1"/>
  <c r="AI51" i="1" s="1"/>
  <c r="M52" i="1"/>
  <c r="S52" i="1" s="1"/>
  <c r="M53" i="1"/>
  <c r="S53" i="1" s="1"/>
  <c r="T53" i="1" s="1"/>
  <c r="AI53" i="1" s="1"/>
  <c r="M54" i="1"/>
  <c r="S54" i="1" s="1"/>
  <c r="M55" i="1"/>
  <c r="S55" i="1" s="1"/>
  <c r="M56" i="1"/>
  <c r="S56" i="1" s="1"/>
  <c r="M57" i="1"/>
  <c r="S57" i="1" s="1"/>
  <c r="T57" i="1" s="1"/>
  <c r="AI57" i="1" s="1"/>
  <c r="M58" i="1"/>
  <c r="S58" i="1" s="1"/>
  <c r="T58" i="1" s="1"/>
  <c r="M59" i="1"/>
  <c r="S59" i="1" s="1"/>
  <c r="T59" i="1" s="1"/>
  <c r="AI59" i="1" s="1"/>
  <c r="M60" i="1"/>
  <c r="S60" i="1" s="1"/>
  <c r="T60" i="1" s="1"/>
  <c r="M61" i="1"/>
  <c r="S61" i="1" s="1"/>
  <c r="M62" i="1"/>
  <c r="S62" i="1" s="1"/>
  <c r="T62" i="1" s="1"/>
  <c r="M63" i="1"/>
  <c r="S63" i="1" s="1"/>
  <c r="M64" i="1"/>
  <c r="S64" i="1" s="1"/>
  <c r="T64" i="1" s="1"/>
  <c r="M65" i="1"/>
  <c r="S65" i="1" s="1"/>
  <c r="M66" i="1"/>
  <c r="S66" i="1" s="1"/>
  <c r="M67" i="1"/>
  <c r="S67" i="1" s="1"/>
  <c r="M68" i="1"/>
  <c r="S68" i="1" s="1"/>
  <c r="T68" i="1" s="1"/>
  <c r="AI68" i="1" s="1"/>
  <c r="M69" i="1"/>
  <c r="S69" i="1" s="1"/>
  <c r="T69" i="1" s="1"/>
  <c r="M70" i="1"/>
  <c r="S70" i="1" s="1"/>
  <c r="T70" i="1" s="1"/>
  <c r="AI70" i="1" s="1"/>
  <c r="M71" i="1"/>
  <c r="S71" i="1" s="1"/>
  <c r="AI71" i="1" s="1"/>
  <c r="M72" i="1"/>
  <c r="S72" i="1" s="1"/>
  <c r="T72" i="1" s="1"/>
  <c r="AI72" i="1" s="1"/>
  <c r="M73" i="1"/>
  <c r="S73" i="1" s="1"/>
  <c r="AI73" i="1" s="1"/>
  <c r="M74" i="1"/>
  <c r="S74" i="1" s="1"/>
  <c r="AI74" i="1" s="1"/>
  <c r="M75" i="1"/>
  <c r="S75" i="1" s="1"/>
  <c r="T75" i="1" s="1"/>
  <c r="AI75" i="1" s="1"/>
  <c r="M76" i="1"/>
  <c r="S76" i="1" s="1"/>
  <c r="T76" i="1" s="1"/>
  <c r="AI76" i="1" s="1"/>
  <c r="M77" i="1"/>
  <c r="S77" i="1" s="1"/>
  <c r="T77" i="1" s="1"/>
  <c r="AI77" i="1" s="1"/>
  <c r="M78" i="1"/>
  <c r="S78" i="1" s="1"/>
  <c r="T78" i="1" s="1"/>
  <c r="AI78" i="1" s="1"/>
  <c r="M79" i="1"/>
  <c r="S79" i="1" s="1"/>
  <c r="AI79" i="1" s="1"/>
  <c r="M80" i="1"/>
  <c r="S80" i="1" s="1"/>
  <c r="T80" i="1" s="1"/>
  <c r="AI80" i="1" s="1"/>
  <c r="M81" i="1"/>
  <c r="S81" i="1" s="1"/>
  <c r="T81" i="1" s="1"/>
  <c r="AI81" i="1" s="1"/>
  <c r="M82" i="1"/>
  <c r="S82" i="1" s="1"/>
  <c r="T82" i="1" s="1"/>
  <c r="AI82" i="1" s="1"/>
  <c r="M83" i="1"/>
  <c r="S83" i="1" s="1"/>
  <c r="M84" i="1"/>
  <c r="S84" i="1" s="1"/>
  <c r="T84" i="1" s="1"/>
  <c r="AI84" i="1" s="1"/>
  <c r="M85" i="1"/>
  <c r="S85" i="1" s="1"/>
  <c r="M86" i="1"/>
  <c r="S86" i="1" s="1"/>
  <c r="T86" i="1" s="1"/>
  <c r="AI86" i="1" s="1"/>
  <c r="M87" i="1"/>
  <c r="S87" i="1" s="1"/>
  <c r="T87" i="1" s="1"/>
  <c r="M88" i="1"/>
  <c r="S88" i="1" s="1"/>
  <c r="X88" i="1" s="1"/>
  <c r="M89" i="1"/>
  <c r="S89" i="1" s="1"/>
  <c r="M90" i="1"/>
  <c r="S90" i="1" s="1"/>
  <c r="T90" i="1" s="1"/>
  <c r="M91" i="1"/>
  <c r="S91" i="1" s="1"/>
  <c r="T91" i="1" s="1"/>
  <c r="M92" i="1"/>
  <c r="S92" i="1" s="1"/>
  <c r="M93" i="1"/>
  <c r="S93" i="1" s="1"/>
  <c r="T93" i="1" s="1"/>
  <c r="M94" i="1"/>
  <c r="S94" i="1" s="1"/>
  <c r="M6" i="1"/>
  <c r="S6" i="1" s="1"/>
  <c r="Y6" i="1" s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AI47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AI23" i="1"/>
  <c r="L23" i="1"/>
  <c r="L22" i="1"/>
  <c r="L21" i="1"/>
  <c r="L20" i="1"/>
  <c r="AI19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AG5" i="1"/>
  <c r="AF5" i="1"/>
  <c r="AE5" i="1"/>
  <c r="AD5" i="1"/>
  <c r="AC5" i="1"/>
  <c r="AB5" i="1"/>
  <c r="AA5" i="1"/>
  <c r="Z5" i="1"/>
  <c r="U5" i="1"/>
  <c r="R5" i="1"/>
  <c r="Q5" i="1"/>
  <c r="P5" i="1"/>
  <c r="O5" i="1"/>
  <c r="N5" i="1"/>
  <c r="K5" i="1"/>
  <c r="F5" i="1"/>
  <c r="E5" i="1"/>
  <c r="T55" i="1" l="1"/>
  <c r="AI55" i="1" s="1"/>
  <c r="AI36" i="1"/>
  <c r="AI69" i="1"/>
  <c r="T61" i="1"/>
  <c r="AI61" i="1" s="1"/>
  <c r="T63" i="1"/>
  <c r="AI63" i="1" s="1"/>
  <c r="T65" i="1"/>
  <c r="AI65" i="1" s="1"/>
  <c r="AI93" i="1"/>
  <c r="AI91" i="1"/>
  <c r="AI89" i="1"/>
  <c r="AI87" i="1"/>
  <c r="T85" i="1"/>
  <c r="AI85" i="1" s="1"/>
  <c r="T83" i="1"/>
  <c r="AI83" i="1" s="1"/>
  <c r="T6" i="1"/>
  <c r="X6" i="1" s="1"/>
  <c r="X90" i="1"/>
  <c r="X64" i="1"/>
  <c r="X60" i="1"/>
  <c r="AI50" i="1"/>
  <c r="T52" i="1"/>
  <c r="AI52" i="1" s="1"/>
  <c r="T54" i="1"/>
  <c r="AI54" i="1" s="1"/>
  <c r="T56" i="1"/>
  <c r="AI56" i="1" s="1"/>
  <c r="AI58" i="1"/>
  <c r="AI60" i="1"/>
  <c r="AI62" i="1"/>
  <c r="AI64" i="1"/>
  <c r="T66" i="1"/>
  <c r="AI66" i="1" s="1"/>
  <c r="AI90" i="1"/>
  <c r="T92" i="1"/>
  <c r="AI92" i="1" s="1"/>
  <c r="T94" i="1"/>
  <c r="AI94" i="1" s="1"/>
  <c r="X86" i="1"/>
  <c r="X84" i="1"/>
  <c r="X82" i="1"/>
  <c r="X80" i="1"/>
  <c r="X78" i="1"/>
  <c r="X76" i="1"/>
  <c r="X74" i="1"/>
  <c r="X72" i="1"/>
  <c r="X70" i="1"/>
  <c r="X68" i="1"/>
  <c r="X46" i="1"/>
  <c r="X44" i="1"/>
  <c r="X42" i="1"/>
  <c r="X40" i="1"/>
  <c r="X38" i="1"/>
  <c r="X36" i="1"/>
  <c r="X34" i="1"/>
  <c r="X30" i="1"/>
  <c r="X28" i="1"/>
  <c r="X26" i="1"/>
  <c r="X24" i="1"/>
  <c r="X22" i="1"/>
  <c r="X20" i="1"/>
  <c r="X18" i="1"/>
  <c r="X16" i="1"/>
  <c r="X14" i="1"/>
  <c r="X12" i="1"/>
  <c r="X10" i="1"/>
  <c r="X8" i="1"/>
  <c r="Y94" i="1"/>
  <c r="Y89" i="1"/>
  <c r="Y92" i="1"/>
  <c r="Y85" i="1"/>
  <c r="X81" i="1"/>
  <c r="Y81" i="1"/>
  <c r="X79" i="1"/>
  <c r="Y79" i="1"/>
  <c r="X77" i="1"/>
  <c r="Y77" i="1"/>
  <c r="X75" i="1"/>
  <c r="Y75" i="1"/>
  <c r="X73" i="1"/>
  <c r="Y73" i="1"/>
  <c r="X71" i="1"/>
  <c r="Y71" i="1"/>
  <c r="X69" i="1"/>
  <c r="Y69" i="1"/>
  <c r="X67" i="1"/>
  <c r="Y67" i="1"/>
  <c r="Y65" i="1"/>
  <c r="X63" i="1"/>
  <c r="Y63" i="1"/>
  <c r="Y61" i="1"/>
  <c r="X59" i="1"/>
  <c r="Y59" i="1"/>
  <c r="X57" i="1"/>
  <c r="Y57" i="1"/>
  <c r="Y55" i="1"/>
  <c r="X53" i="1"/>
  <c r="Y53" i="1"/>
  <c r="X51" i="1"/>
  <c r="Y51" i="1"/>
  <c r="X49" i="1"/>
  <c r="Y49" i="1"/>
  <c r="X47" i="1"/>
  <c r="Y47" i="1"/>
  <c r="X45" i="1"/>
  <c r="Y45" i="1"/>
  <c r="X43" i="1"/>
  <c r="Y43" i="1"/>
  <c r="X41" i="1"/>
  <c r="Y41" i="1"/>
  <c r="X39" i="1"/>
  <c r="Y39" i="1"/>
  <c r="X37" i="1"/>
  <c r="Y37" i="1"/>
  <c r="X35" i="1"/>
  <c r="Y35" i="1"/>
  <c r="X33" i="1"/>
  <c r="Y33" i="1"/>
  <c r="X31" i="1"/>
  <c r="Y31" i="1"/>
  <c r="X29" i="1"/>
  <c r="Y29" i="1"/>
  <c r="X27" i="1"/>
  <c r="Y27" i="1"/>
  <c r="X25" i="1"/>
  <c r="Y25" i="1"/>
  <c r="X23" i="1"/>
  <c r="Y23" i="1"/>
  <c r="X21" i="1"/>
  <c r="Y21" i="1"/>
  <c r="X19" i="1"/>
  <c r="Y19" i="1"/>
  <c r="X17" i="1"/>
  <c r="Y17" i="1"/>
  <c r="X15" i="1"/>
  <c r="Y15" i="1"/>
  <c r="X13" i="1"/>
  <c r="Y13" i="1"/>
  <c r="X11" i="1"/>
  <c r="Y11" i="1"/>
  <c r="X9" i="1"/>
  <c r="Y9" i="1"/>
  <c r="X7" i="1"/>
  <c r="Y7" i="1"/>
  <c r="Y93" i="1"/>
  <c r="Y91" i="1"/>
  <c r="Y87" i="1"/>
  <c r="Y83" i="1"/>
  <c r="Y90" i="1"/>
  <c r="Y88" i="1"/>
  <c r="Y86" i="1"/>
  <c r="Y84" i="1"/>
  <c r="Y82" i="1"/>
  <c r="Y80" i="1"/>
  <c r="Y78" i="1"/>
  <c r="Y76" i="1"/>
  <c r="Y74" i="1"/>
  <c r="Y72" i="1"/>
  <c r="Y70" i="1"/>
  <c r="Y68" i="1"/>
  <c r="Y66" i="1"/>
  <c r="Y64" i="1"/>
  <c r="Y62" i="1"/>
  <c r="Y60" i="1"/>
  <c r="Y58" i="1"/>
  <c r="Y56" i="1"/>
  <c r="Y54" i="1"/>
  <c r="Y52" i="1"/>
  <c r="Y50" i="1"/>
  <c r="Y48" i="1"/>
  <c r="Y46" i="1"/>
  <c r="Y44" i="1"/>
  <c r="Y42" i="1"/>
  <c r="Y40" i="1"/>
  <c r="Y38" i="1"/>
  <c r="Y36" i="1"/>
  <c r="Y34" i="1"/>
  <c r="Y32" i="1"/>
  <c r="Y30" i="1"/>
  <c r="Y28" i="1"/>
  <c r="Y26" i="1"/>
  <c r="Y24" i="1"/>
  <c r="Y22" i="1"/>
  <c r="Y20" i="1"/>
  <c r="Y18" i="1"/>
  <c r="Y16" i="1"/>
  <c r="Y14" i="1"/>
  <c r="Y12" i="1"/>
  <c r="Y10" i="1"/>
  <c r="Y8" i="1"/>
  <c r="L5" i="1"/>
  <c r="S5" i="1"/>
  <c r="M5" i="1"/>
  <c r="X55" i="1" l="1"/>
  <c r="X56" i="1"/>
  <c r="X94" i="1"/>
  <c r="X61" i="1"/>
  <c r="X65" i="1"/>
  <c r="X52" i="1"/>
  <c r="X50" i="1"/>
  <c r="X54" i="1"/>
  <c r="X58" i="1"/>
  <c r="X62" i="1"/>
  <c r="X66" i="1"/>
  <c r="X92" i="1"/>
  <c r="T5" i="1"/>
  <c r="AI6" i="1"/>
  <c r="AI5" i="1" s="1"/>
  <c r="X83" i="1"/>
  <c r="X85" i="1"/>
  <c r="X87" i="1"/>
  <c r="X89" i="1"/>
  <c r="X91" i="1"/>
  <c r="X93" i="1"/>
</calcChain>
</file>

<file path=xl/sharedStrings.xml><?xml version="1.0" encoding="utf-8"?>
<sst xmlns="http://schemas.openxmlformats.org/spreadsheetml/2006/main" count="345" uniqueCount="143">
  <si>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</si>
  <si>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</si>
  <si>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</si>
  <si>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</si>
  <si>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</si>
  <si>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</si>
  <si>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</si>
  <si>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</si>
  <si>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</si>
  <si>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</si>
  <si>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</si>
  <si>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</si>
  <si>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</si>
  <si>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</si>
  <si>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</si>
  <si>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</si>
  <si>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</si>
  <si>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</si>
  <si>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</si>
  <si>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</si>
  <si>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</si>
  <si>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</si>
  <si>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</si>
  <si>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</si>
  <si>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13,12,(2)</t>
  </si>
  <si>
    <t>14,12,</t>
  </si>
  <si>
    <t>15,12,</t>
  </si>
  <si>
    <t>17,12,</t>
  </si>
  <si>
    <t>16,12,</t>
  </si>
  <si>
    <t>11,12,</t>
  </si>
  <si>
    <t>09,12,</t>
  </si>
  <si>
    <t>04,12,</t>
  </si>
  <si>
    <t>02,12,</t>
  </si>
  <si>
    <t>27,11,</t>
  </si>
  <si>
    <t>25,11,</t>
  </si>
  <si>
    <t>20,11,</t>
  </si>
  <si>
    <t>18,11,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</si>
  <si>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</si>
  <si>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</si>
  <si>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</si>
  <si>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</si>
  <si>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</si>
  <si>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</si>
  <si>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</si>
  <si>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</si>
  <si>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</si>
  <si>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</si>
  <si>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</si>
  <si>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</si>
  <si>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>ТМА ноябрь_декабрь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</si>
  <si>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</si>
  <si>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</si>
  <si>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</si>
  <si>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</si>
  <si>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</si>
  <si>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</si>
  <si>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</si>
  <si>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</si>
  <si>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</si>
  <si>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</si>
  <si>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</si>
  <si>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</si>
  <si>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</si>
  <si>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</si>
  <si>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</si>
  <si>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</si>
  <si>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</si>
  <si>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>нет потребности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</si>
  <si>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</si>
  <si>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</si>
  <si>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>ТМА ноябрь_декабрь / сети</t>
  </si>
  <si>
    <t xml:space="preserve"> 276  Колбаса Сливушка ТМ Вязанка в оболочке полиамид 0,45 кг  ПОКОМ</t>
  </si>
  <si>
    <t>СПАР</t>
  </si>
  <si>
    <t xml:space="preserve"> 278  Сосиски Сочинки с сочным окороком, МГС 0.4кг,   ПОКОМ</t>
  </si>
  <si>
    <t>сети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</si>
  <si>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</si>
  <si>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</si>
  <si>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</si>
  <si>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</si>
  <si>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>ТК Вояж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</si>
  <si>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</si>
  <si>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</si>
  <si>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</si>
  <si>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</si>
  <si>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</si>
  <si>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</si>
  <si>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</si>
  <si>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</si>
  <si>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</si>
  <si>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322  Колбаса вареная Молокуша 0,45кг ТМ Вязанка  ПОКОМ</t>
  </si>
  <si>
    <t>ТК ВОЯЖ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</si>
  <si>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</si>
  <si>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</si>
  <si>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</si>
  <si>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</si>
  <si>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</si>
  <si>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</si>
  <si>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</si>
  <si>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</si>
  <si>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>Spar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</si>
  <si>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</si>
  <si>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</si>
  <si>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</si>
  <si>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</si>
  <si>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</si>
  <si>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</si>
  <si>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</si>
  <si>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</si>
  <si>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</si>
  <si>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394 Ветчина Сочинка с сочным окороком ТМ Стародворье полиамид ф/в 0,35 кг  Поком</t>
  </si>
  <si>
    <t>вывод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</si>
  <si>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</si>
  <si>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</si>
  <si>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</si>
  <si>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 xml:space="preserve"> 397 Сосиски Сливочные по-стародворски Бордо Фикс.вес 0,45 П/а мгс Стародворье  Поком</t>
  </si>
  <si>
    <t>ТК Вояж / нет в бланке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</si>
  <si>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</si>
  <si>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</si>
  <si>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</si>
  <si>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</si>
  <si>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</si>
  <si>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</si>
  <si>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</si>
  <si>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</si>
  <si>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</si>
  <si>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</si>
  <si>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</si>
  <si>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</si>
  <si>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</si>
  <si>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</si>
  <si>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</si>
  <si>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255  Сосиски Молочные для завтрака ТМ Особый рецепт, п/а МГС, ВЕС, ТМ Стародворье  ПОКОМ</t>
  </si>
  <si>
    <t>348  Колбаса Молочная оригинальная ТМ Особый рецепт. большой батон, ВЕС ПОКОМ</t>
  </si>
  <si>
    <t>нет потребности / нет в бланке</t>
  </si>
  <si>
    <t>377  Колбаса Молочная Дугушка 0,6кг ТМ Стародворье  ПОКОМ</t>
  </si>
  <si>
    <t>новинка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</si>
  <si>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</si>
  <si>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</si>
  <si>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</si>
  <si>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</si>
  <si>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</si>
  <si>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Химич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</si>
  <si>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перемещение из Донецка 60кг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</si>
</sst>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1"/>
      <name val="Calibri"/>
      <family val="2"/>
      <charset val="204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21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4" fillId="2" borderId="1" xfId="1" applyNumberFormat="1" applyFon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1" fillId="7" borderId="1" xfId="1" applyNumberFormat="1" applyFill="1"/>
    <xf numFmtId="164" fontId="1" fillId="7" borderId="2" xfId="1" applyNumberFormat="1" applyFill="1" applyBorder="1"/>
    <xf numFmtId="164" fontId="1" fillId="0" borderId="1" xfId="1" applyNumberFormat="1" applyFill="1"/>
    <xf numFmtId="164" fontId="6" fillId="8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V6" sqref="V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21" width="7" customWidth="1"/>
    <col min="22" max="22" width="14.28515625" customWidth="1"/>
    <col min="23" max="23" width="7" customWidth="1"/>
    <col min="24" max="25" width="5" customWidth="1"/>
    <col min="26" max="33" width="6" customWidth="1"/>
    <col min="34" max="34" width="33.42578125" customWidth="1"/>
    <col min="35" max="35" width="7" customWidth="1"/>
    <col min="36" max="51" width="8" customWidth="1"/>
  </cols>
  <sheetData>
    <row r="1" spans="1:51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</row>
    <row r="2" spans="1:51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</row>
    <row r="3" spans="1:51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14</v>
      </c>
      <c r="S3" s="2" t="s">
        <v>15</v>
      </c>
      <c r="T3" s="3" t="s">
        <v>16</v>
      </c>
      <c r="U3" s="7" t="s">
        <v>17</v>
      </c>
      <c r="V3" s="7" t="s">
        <v>18</v>
      </c>
      <c r="W3" s="10" t="s">
        <v>141</v>
      </c>
      <c r="X3" s="2" t="s">
        <v>19</v>
      </c>
      <c r="Y3" s="2" t="s">
        <v>20</v>
      </c>
      <c r="Z3" s="2" t="s">
        <v>21</v>
      </c>
      <c r="AA3" s="2" t="s">
        <v>21</v>
      </c>
      <c r="AB3" s="2" t="s">
        <v>21</v>
      </c>
      <c r="AC3" s="2" t="s">
        <v>21</v>
      </c>
      <c r="AD3" s="2" t="s">
        <v>21</v>
      </c>
      <c r="AE3" s="2" t="s">
        <v>21</v>
      </c>
      <c r="AF3" s="2" t="s">
        <v>21</v>
      </c>
      <c r="AG3" s="2" t="s">
        <v>21</v>
      </c>
      <c r="AH3" s="2" t="s">
        <v>22</v>
      </c>
      <c r="AI3" s="2" t="s">
        <v>23</v>
      </c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</row>
    <row r="4" spans="1:51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24</v>
      </c>
      <c r="P4" s="1" t="s">
        <v>25</v>
      </c>
      <c r="Q4" s="1" t="s">
        <v>26</v>
      </c>
      <c r="R4" s="1" t="s">
        <v>27</v>
      </c>
      <c r="S4" s="1" t="s">
        <v>28</v>
      </c>
      <c r="T4" s="1"/>
      <c r="U4" s="1"/>
      <c r="V4" s="1"/>
      <c r="W4" s="1"/>
      <c r="X4" s="1"/>
      <c r="Y4" s="1"/>
      <c r="Z4" s="1" t="s">
        <v>29</v>
      </c>
      <c r="AA4" s="1" t="s">
        <v>30</v>
      </c>
      <c r="AB4" s="1" t="s">
        <v>31</v>
      </c>
      <c r="AC4" s="1" t="s">
        <v>32</v>
      </c>
      <c r="AD4" s="1" t="s">
        <v>33</v>
      </c>
      <c r="AE4" s="1" t="s">
        <v>34</v>
      </c>
      <c r="AF4" s="1" t="s">
        <v>35</v>
      </c>
      <c r="AG4" s="1" t="s">
        <v>36</v>
      </c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</row>
    <row r="5" spans="1:51" x14ac:dyDescent="0.25">
      <c r="A5" s="1"/>
      <c r="B5" s="1"/>
      <c r="C5" s="1"/>
      <c r="D5" s="1"/>
      <c r="E5" s="4">
        <f>SUM(E6:E500)</f>
        <v>39662.869999999988</v>
      </c>
      <c r="F5" s="4">
        <f>SUM(F6:F500)</f>
        <v>44664.984999999993</v>
      </c>
      <c r="G5" s="8"/>
      <c r="H5" s="1"/>
      <c r="I5" s="1"/>
      <c r="J5" s="1"/>
      <c r="K5" s="4">
        <f t="shared" ref="K5:W5" si="0">SUM(K6:K500)</f>
        <v>40489.053999999996</v>
      </c>
      <c r="L5" s="4">
        <f t="shared" si="0"/>
        <v>-826.18399999999986</v>
      </c>
      <c r="M5" s="4">
        <f t="shared" si="0"/>
        <v>38988.148000000001</v>
      </c>
      <c r="N5" s="4">
        <f t="shared" si="0"/>
        <v>674.72200000000009</v>
      </c>
      <c r="O5" s="4">
        <f t="shared" si="0"/>
        <v>4573.2517499999994</v>
      </c>
      <c r="P5" s="4">
        <f t="shared" si="0"/>
        <v>14033.95198</v>
      </c>
      <c r="Q5" s="4">
        <f t="shared" si="0"/>
        <v>1840</v>
      </c>
      <c r="R5" s="4">
        <f t="shared" si="0"/>
        <v>7156.350449999999</v>
      </c>
      <c r="S5" s="4">
        <f t="shared" si="0"/>
        <v>7797.6295999999975</v>
      </c>
      <c r="T5" s="4">
        <f t="shared" si="0"/>
        <v>34535.603139999999</v>
      </c>
      <c r="U5" s="4">
        <f t="shared" si="0"/>
        <v>0</v>
      </c>
      <c r="V5" s="1"/>
      <c r="W5" s="4">
        <f t="shared" si="0"/>
        <v>0</v>
      </c>
      <c r="X5" s="1"/>
      <c r="Y5" s="1"/>
      <c r="Z5" s="4">
        <f t="shared" ref="Z5:AG5" si="1">SUM(Z6:Z500)</f>
        <v>7546.3587999999991</v>
      </c>
      <c r="AA5" s="4">
        <f t="shared" si="1"/>
        <v>7606.0971999999992</v>
      </c>
      <c r="AB5" s="4">
        <f t="shared" si="1"/>
        <v>7269.5209999999979</v>
      </c>
      <c r="AC5" s="4">
        <f t="shared" si="1"/>
        <v>7225.3923999999988</v>
      </c>
      <c r="AD5" s="4">
        <f t="shared" si="1"/>
        <v>7719.581799999999</v>
      </c>
      <c r="AE5" s="4">
        <f t="shared" si="1"/>
        <v>7511.7746000000025</v>
      </c>
      <c r="AF5" s="4">
        <f t="shared" si="1"/>
        <v>7354.9609999999975</v>
      </c>
      <c r="AG5" s="4">
        <f t="shared" si="1"/>
        <v>7503.9826000000012</v>
      </c>
      <c r="AH5" s="1"/>
      <c r="AI5" s="4">
        <f>SUM(AI6:AI500)</f>
        <v>22691.772339999985</v>
      </c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</row>
    <row r="6" spans="1:51" x14ac:dyDescent="0.25">
      <c r="A6" s="1" t="s">
        <v>37</v>
      </c>
      <c r="B6" s="1" t="s">
        <v>38</v>
      </c>
      <c r="C6" s="1">
        <v>1317.8520000000001</v>
      </c>
      <c r="D6" s="1">
        <v>1055.2239999999999</v>
      </c>
      <c r="E6" s="1">
        <v>1097.9780000000001</v>
      </c>
      <c r="F6" s="1">
        <v>1056.33</v>
      </c>
      <c r="G6" s="8">
        <v>1</v>
      </c>
      <c r="H6" s="1">
        <v>50</v>
      </c>
      <c r="I6" s="1" t="s">
        <v>39</v>
      </c>
      <c r="J6" s="1"/>
      <c r="K6" s="1">
        <v>1175.5840000000001</v>
      </c>
      <c r="L6" s="1">
        <f t="shared" ref="L6:L37" si="2">E6-K6</f>
        <v>-77.605999999999995</v>
      </c>
      <c r="M6" s="1">
        <f>E6-N6</f>
        <v>1001.2740000000001</v>
      </c>
      <c r="N6" s="1">
        <v>96.703999999999994</v>
      </c>
      <c r="O6" s="1">
        <v>283.62178999999998</v>
      </c>
      <c r="P6" s="1">
        <v>212.4418099999998</v>
      </c>
      <c r="Q6" s="1">
        <v>240</v>
      </c>
      <c r="R6" s="1">
        <v>433.54979999999989</v>
      </c>
      <c r="S6" s="1">
        <f>M6/5</f>
        <v>200.25480000000002</v>
      </c>
      <c r="T6" s="5">
        <f>14*S6-R6-Q6-P6-O6-F6</f>
        <v>577.62380000000098</v>
      </c>
      <c r="U6" s="5"/>
      <c r="V6" s="1"/>
      <c r="W6" s="1"/>
      <c r="X6" s="1">
        <f>(F6+O6+P6+Q6+R6+T6)/S6</f>
        <v>14</v>
      </c>
      <c r="Y6" s="1">
        <f>(F6+O6+P6+Q6+R6)/S6</f>
        <v>11.115555781933814</v>
      </c>
      <c r="Z6" s="1">
        <v>192.68879999999999</v>
      </c>
      <c r="AA6" s="1">
        <v>182.98179999999999</v>
      </c>
      <c r="AB6" s="1">
        <v>190.1738</v>
      </c>
      <c r="AC6" s="1">
        <v>194.68440000000001</v>
      </c>
      <c r="AD6" s="1">
        <v>180.22620000000001</v>
      </c>
      <c r="AE6" s="1">
        <v>175.9058</v>
      </c>
      <c r="AF6" s="1">
        <v>180.18299999999999</v>
      </c>
      <c r="AG6" s="1">
        <v>182.4034</v>
      </c>
      <c r="AH6" s="1"/>
      <c r="AI6" s="1">
        <f t="shared" ref="AI6:AI30" si="3">G6*T6</f>
        <v>577.62380000000098</v>
      </c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</row>
    <row r="7" spans="1:51" x14ac:dyDescent="0.25">
      <c r="A7" s="1" t="s">
        <v>40</v>
      </c>
      <c r="B7" s="1" t="s">
        <v>38</v>
      </c>
      <c r="C7" s="1">
        <v>459.67599999999999</v>
      </c>
      <c r="D7" s="1">
        <v>453.26400000000001</v>
      </c>
      <c r="E7" s="1">
        <v>319.86</v>
      </c>
      <c r="F7" s="1">
        <v>457.327</v>
      </c>
      <c r="G7" s="8">
        <v>1</v>
      </c>
      <c r="H7" s="1">
        <v>45</v>
      </c>
      <c r="I7" s="1" t="s">
        <v>39</v>
      </c>
      <c r="J7" s="1"/>
      <c r="K7" s="1">
        <v>344.28800000000001</v>
      </c>
      <c r="L7" s="1">
        <f t="shared" si="2"/>
        <v>-24.427999999999997</v>
      </c>
      <c r="M7" s="1">
        <f t="shared" ref="M7:M70" si="4">E7-N7</f>
        <v>293.072</v>
      </c>
      <c r="N7" s="1">
        <v>26.788</v>
      </c>
      <c r="O7" s="1"/>
      <c r="P7" s="1">
        <v>326.34521999999993</v>
      </c>
      <c r="Q7" s="1"/>
      <c r="R7" s="1"/>
      <c r="S7" s="1">
        <f t="shared" ref="S7:S70" si="5">M7/5</f>
        <v>58.614400000000003</v>
      </c>
      <c r="T7" s="5">
        <f t="shared" ref="T7:T24" si="6">14*S7-R7-Q7-P7-O7-F7</f>
        <v>36.929380000000151</v>
      </c>
      <c r="U7" s="5"/>
      <c r="V7" s="1"/>
      <c r="W7" s="1"/>
      <c r="X7" s="1">
        <f t="shared" ref="X7:X70" si="7">(F7+O7+P7+Q7+R7+T7)/S7</f>
        <v>14</v>
      </c>
      <c r="Y7" s="1">
        <f t="shared" ref="Y7:Y70" si="8">(F7+O7+P7+Q7+R7)/S7</f>
        <v>13.36996062401048</v>
      </c>
      <c r="Z7" s="1">
        <v>66.862399999999994</v>
      </c>
      <c r="AA7" s="1">
        <v>67.287199999999999</v>
      </c>
      <c r="AB7" s="1">
        <v>52.376600000000003</v>
      </c>
      <c r="AC7" s="1">
        <v>52.968800000000002</v>
      </c>
      <c r="AD7" s="1">
        <v>62.610799999999998</v>
      </c>
      <c r="AE7" s="1">
        <v>57.118200000000002</v>
      </c>
      <c r="AF7" s="1">
        <v>54.552399999999999</v>
      </c>
      <c r="AG7" s="1">
        <v>49.953200000000002</v>
      </c>
      <c r="AH7" s="1"/>
      <c r="AI7" s="1">
        <f t="shared" si="3"/>
        <v>36.929380000000151</v>
      </c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</row>
    <row r="8" spans="1:51" x14ac:dyDescent="0.25">
      <c r="A8" s="1" t="s">
        <v>41</v>
      </c>
      <c r="B8" s="1" t="s">
        <v>38</v>
      </c>
      <c r="C8" s="1">
        <v>374.84199999999998</v>
      </c>
      <c r="D8" s="1">
        <v>452</v>
      </c>
      <c r="E8" s="1">
        <v>360.17099999999999</v>
      </c>
      <c r="F8" s="1">
        <v>305.60399999999998</v>
      </c>
      <c r="G8" s="8">
        <v>1</v>
      </c>
      <c r="H8" s="1">
        <v>45</v>
      </c>
      <c r="I8" s="1" t="s">
        <v>39</v>
      </c>
      <c r="J8" s="1"/>
      <c r="K8" s="1">
        <v>396.50200000000001</v>
      </c>
      <c r="L8" s="1">
        <f t="shared" si="2"/>
        <v>-36.331000000000017</v>
      </c>
      <c r="M8" s="1">
        <f t="shared" si="4"/>
        <v>319.11899999999997</v>
      </c>
      <c r="N8" s="1">
        <v>41.052</v>
      </c>
      <c r="O8" s="1"/>
      <c r="P8" s="1">
        <v>362.61302000000001</v>
      </c>
      <c r="Q8" s="1"/>
      <c r="R8" s="1"/>
      <c r="S8" s="1">
        <f t="shared" si="5"/>
        <v>63.823799999999991</v>
      </c>
      <c r="T8" s="5">
        <f t="shared" si="6"/>
        <v>225.31617999999986</v>
      </c>
      <c r="U8" s="5"/>
      <c r="V8" s="1"/>
      <c r="W8" s="1"/>
      <c r="X8" s="1">
        <f t="shared" si="7"/>
        <v>14</v>
      </c>
      <c r="Y8" s="1">
        <f t="shared" si="8"/>
        <v>10.469715372635289</v>
      </c>
      <c r="Z8" s="1">
        <v>70.787999999999997</v>
      </c>
      <c r="AA8" s="1">
        <v>69.325199999999995</v>
      </c>
      <c r="AB8" s="1">
        <v>55.6494</v>
      </c>
      <c r="AC8" s="1">
        <v>53.993599999999986</v>
      </c>
      <c r="AD8" s="1">
        <v>58.798799999999993</v>
      </c>
      <c r="AE8" s="1">
        <v>60.416600000000003</v>
      </c>
      <c r="AF8" s="1">
        <v>59.241399999999999</v>
      </c>
      <c r="AG8" s="1">
        <v>55.459400000000002</v>
      </c>
      <c r="AH8" s="1"/>
      <c r="AI8" s="1">
        <f t="shared" si="3"/>
        <v>225.31617999999986</v>
      </c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</row>
    <row r="9" spans="1:51" x14ac:dyDescent="0.25">
      <c r="A9" s="1" t="s">
        <v>42</v>
      </c>
      <c r="B9" s="1" t="s">
        <v>43</v>
      </c>
      <c r="C9" s="1">
        <v>711</v>
      </c>
      <c r="D9" s="1">
        <v>150</v>
      </c>
      <c r="E9" s="1">
        <v>452</v>
      </c>
      <c r="F9" s="1">
        <v>295.96199999999999</v>
      </c>
      <c r="G9" s="8">
        <v>0.45</v>
      </c>
      <c r="H9" s="1">
        <v>45</v>
      </c>
      <c r="I9" s="1" t="s">
        <v>39</v>
      </c>
      <c r="J9" s="1"/>
      <c r="K9" s="1">
        <v>480</v>
      </c>
      <c r="L9" s="1">
        <f t="shared" si="2"/>
        <v>-28</v>
      </c>
      <c r="M9" s="1">
        <f t="shared" si="4"/>
        <v>452</v>
      </c>
      <c r="N9" s="1"/>
      <c r="O9" s="1"/>
      <c r="P9" s="1">
        <v>363.2</v>
      </c>
      <c r="Q9" s="1"/>
      <c r="R9" s="1"/>
      <c r="S9" s="1">
        <f t="shared" si="5"/>
        <v>90.4</v>
      </c>
      <c r="T9" s="5">
        <f t="shared" si="6"/>
        <v>606.4380000000001</v>
      </c>
      <c r="U9" s="5"/>
      <c r="V9" s="1"/>
      <c r="W9" s="1"/>
      <c r="X9" s="1">
        <f t="shared" si="7"/>
        <v>14</v>
      </c>
      <c r="Y9" s="1">
        <f t="shared" si="8"/>
        <v>7.2916150442477878</v>
      </c>
      <c r="Z9" s="1">
        <v>87.2</v>
      </c>
      <c r="AA9" s="1">
        <v>82</v>
      </c>
      <c r="AB9" s="1">
        <v>78</v>
      </c>
      <c r="AC9" s="1">
        <v>74.599999999999994</v>
      </c>
      <c r="AD9" s="1">
        <v>90.8</v>
      </c>
      <c r="AE9" s="1">
        <v>88</v>
      </c>
      <c r="AF9" s="1">
        <v>90.6</v>
      </c>
      <c r="AG9" s="1">
        <v>97</v>
      </c>
      <c r="AH9" s="1"/>
      <c r="AI9" s="1">
        <f t="shared" si="3"/>
        <v>272.89710000000008</v>
      </c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</row>
    <row r="10" spans="1:51" x14ac:dyDescent="0.25">
      <c r="A10" s="1" t="s">
        <v>44</v>
      </c>
      <c r="B10" s="1" t="s">
        <v>43</v>
      </c>
      <c r="C10" s="1">
        <v>1548</v>
      </c>
      <c r="D10" s="1">
        <v>289</v>
      </c>
      <c r="E10" s="1">
        <v>913</v>
      </c>
      <c r="F10" s="1">
        <v>816</v>
      </c>
      <c r="G10" s="8">
        <v>0.45</v>
      </c>
      <c r="H10" s="1">
        <v>45</v>
      </c>
      <c r="I10" s="1" t="s">
        <v>39</v>
      </c>
      <c r="J10" s="1"/>
      <c r="K10" s="1">
        <v>930</v>
      </c>
      <c r="L10" s="1">
        <f t="shared" si="2"/>
        <v>-17</v>
      </c>
      <c r="M10" s="1">
        <f t="shared" si="4"/>
        <v>913</v>
      </c>
      <c r="N10" s="1"/>
      <c r="O10" s="1"/>
      <c r="P10" s="1">
        <v>370.40000000000009</v>
      </c>
      <c r="Q10" s="1"/>
      <c r="R10" s="1"/>
      <c r="S10" s="1">
        <f t="shared" si="5"/>
        <v>182.6</v>
      </c>
      <c r="T10" s="5">
        <f t="shared" si="6"/>
        <v>1370</v>
      </c>
      <c r="U10" s="5"/>
      <c r="V10" s="1"/>
      <c r="W10" s="1"/>
      <c r="X10" s="1">
        <f t="shared" si="7"/>
        <v>14.000000000000002</v>
      </c>
      <c r="Y10" s="1">
        <f t="shared" si="8"/>
        <v>6.4972617743702088</v>
      </c>
      <c r="Z10" s="1">
        <v>152.4</v>
      </c>
      <c r="AA10" s="1">
        <v>158</v>
      </c>
      <c r="AB10" s="1">
        <v>172.4</v>
      </c>
      <c r="AC10" s="1">
        <v>171.4</v>
      </c>
      <c r="AD10" s="1">
        <v>172.4</v>
      </c>
      <c r="AE10" s="1">
        <v>155.4</v>
      </c>
      <c r="AF10" s="1">
        <v>147.80000000000001</v>
      </c>
      <c r="AG10" s="1">
        <v>163.19999999999999</v>
      </c>
      <c r="AH10" s="1"/>
      <c r="AI10" s="1">
        <f t="shared" si="3"/>
        <v>616.5</v>
      </c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</row>
    <row r="11" spans="1:51" x14ac:dyDescent="0.25">
      <c r="A11" s="1" t="s">
        <v>45</v>
      </c>
      <c r="B11" s="1" t="s">
        <v>43</v>
      </c>
      <c r="C11" s="1">
        <v>140</v>
      </c>
      <c r="D11" s="1">
        <v>45</v>
      </c>
      <c r="E11" s="1">
        <v>114</v>
      </c>
      <c r="F11" s="1">
        <v>58</v>
      </c>
      <c r="G11" s="8">
        <v>0.17</v>
      </c>
      <c r="H11" s="1">
        <v>180</v>
      </c>
      <c r="I11" s="1" t="s">
        <v>39</v>
      </c>
      <c r="J11" s="1"/>
      <c r="K11" s="1">
        <v>114</v>
      </c>
      <c r="L11" s="1">
        <f t="shared" si="2"/>
        <v>0</v>
      </c>
      <c r="M11" s="1">
        <f t="shared" si="4"/>
        <v>114</v>
      </c>
      <c r="N11" s="1"/>
      <c r="O11" s="1"/>
      <c r="P11" s="1">
        <v>62.399999999999977</v>
      </c>
      <c r="Q11" s="1"/>
      <c r="R11" s="1"/>
      <c r="S11" s="1">
        <f t="shared" si="5"/>
        <v>22.8</v>
      </c>
      <c r="T11" s="5">
        <f t="shared" si="6"/>
        <v>198.8</v>
      </c>
      <c r="U11" s="5"/>
      <c r="V11" s="1"/>
      <c r="W11" s="1"/>
      <c r="X11" s="1">
        <f t="shared" si="7"/>
        <v>13.999999999999998</v>
      </c>
      <c r="Y11" s="1">
        <f t="shared" si="8"/>
        <v>5.280701754385964</v>
      </c>
      <c r="Z11" s="1">
        <v>17.399999999999999</v>
      </c>
      <c r="AA11" s="1">
        <v>17.2</v>
      </c>
      <c r="AB11" s="1">
        <v>10.8</v>
      </c>
      <c r="AC11" s="1">
        <v>14.6</v>
      </c>
      <c r="AD11" s="1">
        <v>19.399999999999999</v>
      </c>
      <c r="AE11" s="1">
        <v>12.8</v>
      </c>
      <c r="AF11" s="1">
        <v>9.1999999999999993</v>
      </c>
      <c r="AG11" s="1">
        <v>7.2</v>
      </c>
      <c r="AH11" s="1"/>
      <c r="AI11" s="1">
        <f t="shared" si="3"/>
        <v>33.796000000000006</v>
      </c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</row>
    <row r="12" spans="1:51" x14ac:dyDescent="0.25">
      <c r="A12" s="1" t="s">
        <v>46</v>
      </c>
      <c r="B12" s="1" t="s">
        <v>43</v>
      </c>
      <c r="C12" s="1">
        <v>167</v>
      </c>
      <c r="D12" s="1">
        <v>216</v>
      </c>
      <c r="E12" s="1">
        <v>186</v>
      </c>
      <c r="F12" s="1">
        <v>129</v>
      </c>
      <c r="G12" s="8">
        <v>0.3</v>
      </c>
      <c r="H12" s="1">
        <v>40</v>
      </c>
      <c r="I12" s="1" t="s">
        <v>39</v>
      </c>
      <c r="J12" s="1"/>
      <c r="K12" s="1">
        <v>190</v>
      </c>
      <c r="L12" s="1">
        <f t="shared" si="2"/>
        <v>-4</v>
      </c>
      <c r="M12" s="1">
        <f t="shared" si="4"/>
        <v>186</v>
      </c>
      <c r="N12" s="1"/>
      <c r="O12" s="1"/>
      <c r="P12" s="1">
        <v>117.6</v>
      </c>
      <c r="Q12" s="1"/>
      <c r="R12" s="1"/>
      <c r="S12" s="1">
        <f t="shared" si="5"/>
        <v>37.200000000000003</v>
      </c>
      <c r="T12" s="5">
        <f>13*S12-R12-Q12-P12-O12-F12</f>
        <v>237</v>
      </c>
      <c r="U12" s="5"/>
      <c r="V12" s="1"/>
      <c r="W12" s="1"/>
      <c r="X12" s="1">
        <f t="shared" si="7"/>
        <v>13</v>
      </c>
      <c r="Y12" s="1">
        <f t="shared" si="8"/>
        <v>6.6290322580645151</v>
      </c>
      <c r="Z12" s="1">
        <v>33.799999999999997</v>
      </c>
      <c r="AA12" s="1">
        <v>37.6</v>
      </c>
      <c r="AB12" s="1">
        <v>34.4</v>
      </c>
      <c r="AC12" s="1">
        <v>18.399999999999999</v>
      </c>
      <c r="AD12" s="1">
        <v>32.200000000000003</v>
      </c>
      <c r="AE12" s="1">
        <v>32</v>
      </c>
      <c r="AF12" s="1">
        <v>18.8</v>
      </c>
      <c r="AG12" s="1">
        <v>20.6</v>
      </c>
      <c r="AH12" s="1"/>
      <c r="AI12" s="1">
        <f t="shared" si="3"/>
        <v>71.099999999999994</v>
      </c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</row>
    <row r="13" spans="1:51" x14ac:dyDescent="0.25">
      <c r="A13" s="1" t="s">
        <v>47</v>
      </c>
      <c r="B13" s="1" t="s">
        <v>43</v>
      </c>
      <c r="C13" s="1">
        <v>389</v>
      </c>
      <c r="D13" s="1">
        <v>180</v>
      </c>
      <c r="E13" s="1">
        <v>360</v>
      </c>
      <c r="F13" s="1">
        <v>177</v>
      </c>
      <c r="G13" s="8">
        <v>0.17</v>
      </c>
      <c r="H13" s="1">
        <v>180</v>
      </c>
      <c r="I13" s="1" t="s">
        <v>39</v>
      </c>
      <c r="J13" s="1"/>
      <c r="K13" s="1">
        <v>360</v>
      </c>
      <c r="L13" s="1">
        <f t="shared" si="2"/>
        <v>0</v>
      </c>
      <c r="M13" s="1">
        <f t="shared" si="4"/>
        <v>360</v>
      </c>
      <c r="N13" s="1"/>
      <c r="O13" s="1">
        <v>61.69</v>
      </c>
      <c r="P13" s="1">
        <v>96.710000000000036</v>
      </c>
      <c r="Q13" s="1"/>
      <c r="R13" s="1">
        <v>108.45</v>
      </c>
      <c r="S13" s="1">
        <f t="shared" si="5"/>
        <v>72</v>
      </c>
      <c r="T13" s="5">
        <f t="shared" si="6"/>
        <v>564.14999999999986</v>
      </c>
      <c r="U13" s="5"/>
      <c r="V13" s="1"/>
      <c r="W13" s="1"/>
      <c r="X13" s="1">
        <f t="shared" si="7"/>
        <v>13.999999999999998</v>
      </c>
      <c r="Y13" s="1">
        <f t="shared" si="8"/>
        <v>6.1645833333333337</v>
      </c>
      <c r="Z13" s="1">
        <v>48.2</v>
      </c>
      <c r="AA13" s="1">
        <v>39.799999999999997</v>
      </c>
      <c r="AB13" s="1">
        <v>45.4</v>
      </c>
      <c r="AC13" s="1">
        <v>43.6</v>
      </c>
      <c r="AD13" s="1">
        <v>37.799999999999997</v>
      </c>
      <c r="AE13" s="1">
        <v>40.4</v>
      </c>
      <c r="AF13" s="1">
        <v>45.8</v>
      </c>
      <c r="AG13" s="1">
        <v>41.8</v>
      </c>
      <c r="AH13" s="1"/>
      <c r="AI13" s="1">
        <f t="shared" si="3"/>
        <v>95.905499999999989</v>
      </c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</row>
    <row r="14" spans="1:51" x14ac:dyDescent="0.25">
      <c r="A14" s="1" t="s">
        <v>48</v>
      </c>
      <c r="B14" s="1" t="s">
        <v>38</v>
      </c>
      <c r="C14" s="1">
        <v>1042.173</v>
      </c>
      <c r="D14" s="1">
        <v>723.99099999999999</v>
      </c>
      <c r="E14" s="1">
        <v>676.54200000000003</v>
      </c>
      <c r="F14" s="1">
        <v>961.48699999999997</v>
      </c>
      <c r="G14" s="8">
        <v>1</v>
      </c>
      <c r="H14" s="1">
        <v>55</v>
      </c>
      <c r="I14" s="1" t="s">
        <v>39</v>
      </c>
      <c r="J14" s="1"/>
      <c r="K14" s="1">
        <v>657.51400000000001</v>
      </c>
      <c r="L14" s="1">
        <f t="shared" si="2"/>
        <v>19.02800000000002</v>
      </c>
      <c r="M14" s="1">
        <f t="shared" si="4"/>
        <v>676.54200000000003</v>
      </c>
      <c r="N14" s="1"/>
      <c r="O14" s="1">
        <v>202.54965999999999</v>
      </c>
      <c r="P14" s="1">
        <v>100.49356</v>
      </c>
      <c r="Q14" s="1"/>
      <c r="R14" s="1">
        <v>312.82515000000001</v>
      </c>
      <c r="S14" s="1">
        <f t="shared" si="5"/>
        <v>135.30840000000001</v>
      </c>
      <c r="T14" s="5">
        <f t="shared" si="6"/>
        <v>316.96223000000043</v>
      </c>
      <c r="U14" s="5"/>
      <c r="V14" s="1"/>
      <c r="W14" s="1"/>
      <c r="X14" s="1">
        <f t="shared" si="7"/>
        <v>14.000000000000005</v>
      </c>
      <c r="Y14" s="1">
        <f t="shared" si="8"/>
        <v>11.657482979622849</v>
      </c>
      <c r="Z14" s="1">
        <v>139.0334</v>
      </c>
      <c r="AA14" s="1">
        <v>130.6772</v>
      </c>
      <c r="AB14" s="1">
        <v>112.2272</v>
      </c>
      <c r="AC14" s="1">
        <v>116.54940000000001</v>
      </c>
      <c r="AD14" s="1">
        <v>129.6788</v>
      </c>
      <c r="AE14" s="1">
        <v>130.35839999999999</v>
      </c>
      <c r="AF14" s="1">
        <v>126.96040000000001</v>
      </c>
      <c r="AG14" s="1">
        <v>126.75879999999999</v>
      </c>
      <c r="AH14" s="1" t="s">
        <v>49</v>
      </c>
      <c r="AI14" s="1">
        <f t="shared" si="3"/>
        <v>316.96223000000043</v>
      </c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</row>
    <row r="15" spans="1:51" x14ac:dyDescent="0.25">
      <c r="A15" s="1" t="s">
        <v>50</v>
      </c>
      <c r="B15" s="1" t="s">
        <v>38</v>
      </c>
      <c r="C15" s="1">
        <v>2928.319</v>
      </c>
      <c r="D15" s="1">
        <v>3039.509</v>
      </c>
      <c r="E15" s="1">
        <v>2263.2240000000002</v>
      </c>
      <c r="F15" s="1">
        <v>3330.6089999999999</v>
      </c>
      <c r="G15" s="8">
        <v>1</v>
      </c>
      <c r="H15" s="1">
        <v>50</v>
      </c>
      <c r="I15" s="1" t="s">
        <v>39</v>
      </c>
      <c r="J15" s="1"/>
      <c r="K15" s="1">
        <v>2347.0970000000002</v>
      </c>
      <c r="L15" s="1">
        <f t="shared" si="2"/>
        <v>-83.873000000000047</v>
      </c>
      <c r="M15" s="1">
        <f t="shared" si="4"/>
        <v>2263.2240000000002</v>
      </c>
      <c r="N15" s="1"/>
      <c r="O15" s="1">
        <v>688.43064000000015</v>
      </c>
      <c r="P15" s="1">
        <v>0</v>
      </c>
      <c r="Q15" s="1"/>
      <c r="R15" s="1">
        <v>981.55799999999988</v>
      </c>
      <c r="S15" s="1">
        <f t="shared" si="5"/>
        <v>452.64480000000003</v>
      </c>
      <c r="T15" s="5">
        <f t="shared" si="6"/>
        <v>1336.42956</v>
      </c>
      <c r="U15" s="5"/>
      <c r="V15" s="1"/>
      <c r="W15" s="1"/>
      <c r="X15" s="1">
        <f t="shared" si="7"/>
        <v>14</v>
      </c>
      <c r="Y15" s="1">
        <f t="shared" si="8"/>
        <v>11.047509305309593</v>
      </c>
      <c r="Z15" s="1">
        <v>436.24799999999988</v>
      </c>
      <c r="AA15" s="1">
        <v>444.14880000000011</v>
      </c>
      <c r="AB15" s="1">
        <v>413.01400000000001</v>
      </c>
      <c r="AC15" s="1">
        <v>390.86860000000001</v>
      </c>
      <c r="AD15" s="1">
        <v>403.22340000000003</v>
      </c>
      <c r="AE15" s="1">
        <v>416.09780000000001</v>
      </c>
      <c r="AF15" s="1">
        <v>445.02620000000002</v>
      </c>
      <c r="AG15" s="1">
        <v>457.15699999999998</v>
      </c>
      <c r="AH15" s="1" t="s">
        <v>49</v>
      </c>
      <c r="AI15" s="1">
        <f t="shared" si="3"/>
        <v>1336.42956</v>
      </c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</row>
    <row r="16" spans="1:51" x14ac:dyDescent="0.25">
      <c r="A16" s="1" t="s">
        <v>51</v>
      </c>
      <c r="B16" s="1" t="s">
        <v>38</v>
      </c>
      <c r="C16" s="1">
        <v>202.76300000000001</v>
      </c>
      <c r="D16" s="1">
        <v>47.506</v>
      </c>
      <c r="E16" s="1">
        <v>162.048</v>
      </c>
      <c r="F16" s="1">
        <v>55.567</v>
      </c>
      <c r="G16" s="8">
        <v>1</v>
      </c>
      <c r="H16" s="1">
        <v>60</v>
      </c>
      <c r="I16" s="1" t="s">
        <v>39</v>
      </c>
      <c r="J16" s="1"/>
      <c r="K16" s="1">
        <v>161.01400000000001</v>
      </c>
      <c r="L16" s="1">
        <f t="shared" si="2"/>
        <v>1.0339999999999918</v>
      </c>
      <c r="M16" s="1">
        <f t="shared" si="4"/>
        <v>156.76400000000001</v>
      </c>
      <c r="N16" s="1">
        <v>5.2839999999999998</v>
      </c>
      <c r="O16" s="1"/>
      <c r="P16" s="1">
        <v>169.63499999999999</v>
      </c>
      <c r="Q16" s="1"/>
      <c r="R16" s="1"/>
      <c r="S16" s="1">
        <f t="shared" si="5"/>
        <v>31.352800000000002</v>
      </c>
      <c r="T16" s="5">
        <f t="shared" si="6"/>
        <v>213.73720000000003</v>
      </c>
      <c r="U16" s="5"/>
      <c r="V16" s="1"/>
      <c r="W16" s="1"/>
      <c r="X16" s="1">
        <f t="shared" si="7"/>
        <v>14</v>
      </c>
      <c r="Y16" s="1">
        <f t="shared" si="8"/>
        <v>7.1828353448495825</v>
      </c>
      <c r="Z16" s="1">
        <v>28.491</v>
      </c>
      <c r="AA16" s="1">
        <v>23.248799999999999</v>
      </c>
      <c r="AB16" s="1">
        <v>25.207599999999999</v>
      </c>
      <c r="AC16" s="1">
        <v>27.665600000000001</v>
      </c>
      <c r="AD16" s="1">
        <v>32.453600000000002</v>
      </c>
      <c r="AE16" s="1">
        <v>25.558800000000002</v>
      </c>
      <c r="AF16" s="1">
        <v>23.914400000000001</v>
      </c>
      <c r="AG16" s="1">
        <v>26.519200000000001</v>
      </c>
      <c r="AH16" s="1"/>
      <c r="AI16" s="1">
        <f t="shared" si="3"/>
        <v>213.73720000000003</v>
      </c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</row>
    <row r="17" spans="1:51" x14ac:dyDescent="0.25">
      <c r="A17" s="1" t="s">
        <v>52</v>
      </c>
      <c r="B17" s="1" t="s">
        <v>38</v>
      </c>
      <c r="C17" s="1">
        <v>1896.8720000000001</v>
      </c>
      <c r="D17" s="1">
        <v>3135.866</v>
      </c>
      <c r="E17" s="1">
        <v>1405.653</v>
      </c>
      <c r="F17" s="1">
        <v>2326.596</v>
      </c>
      <c r="G17" s="8">
        <v>1</v>
      </c>
      <c r="H17" s="1">
        <v>60</v>
      </c>
      <c r="I17" s="1" t="s">
        <v>39</v>
      </c>
      <c r="J17" s="1"/>
      <c r="K17" s="1">
        <v>1440.9</v>
      </c>
      <c r="L17" s="1">
        <f t="shared" si="2"/>
        <v>-35.247000000000071</v>
      </c>
      <c r="M17" s="1">
        <f t="shared" si="4"/>
        <v>1405.653</v>
      </c>
      <c r="N17" s="1"/>
      <c r="O17" s="1">
        <v>441.88887999999997</v>
      </c>
      <c r="P17" s="1">
        <v>0</v>
      </c>
      <c r="Q17" s="1"/>
      <c r="R17" s="1">
        <v>632.22659999999996</v>
      </c>
      <c r="S17" s="1">
        <f t="shared" si="5"/>
        <v>281.13060000000002</v>
      </c>
      <c r="T17" s="5">
        <f t="shared" si="6"/>
        <v>535.11692000000039</v>
      </c>
      <c r="U17" s="5"/>
      <c r="V17" s="1"/>
      <c r="W17" s="1"/>
      <c r="X17" s="1">
        <f t="shared" si="7"/>
        <v>14</v>
      </c>
      <c r="Y17" s="1">
        <f t="shared" si="8"/>
        <v>12.096553985941053</v>
      </c>
      <c r="Z17" s="1">
        <v>280.9896</v>
      </c>
      <c r="AA17" s="1">
        <v>285.08960000000002</v>
      </c>
      <c r="AB17" s="1">
        <v>233.15700000000001</v>
      </c>
      <c r="AC17" s="1">
        <v>214.32320000000001</v>
      </c>
      <c r="AD17" s="1">
        <v>252.369</v>
      </c>
      <c r="AE17" s="1">
        <v>234.47559999999999</v>
      </c>
      <c r="AF17" s="1">
        <v>238.43379999999999</v>
      </c>
      <c r="AG17" s="1">
        <v>271.65940000000001</v>
      </c>
      <c r="AH17" s="1"/>
      <c r="AI17" s="1">
        <f t="shared" si="3"/>
        <v>535.11692000000039</v>
      </c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</row>
    <row r="18" spans="1:51" x14ac:dyDescent="0.25">
      <c r="A18" s="1" t="s">
        <v>53</v>
      </c>
      <c r="B18" s="1" t="s">
        <v>38</v>
      </c>
      <c r="C18" s="1">
        <v>166.62200000000001</v>
      </c>
      <c r="D18" s="1">
        <v>50.167999999999999</v>
      </c>
      <c r="E18" s="1">
        <v>114.834</v>
      </c>
      <c r="F18" s="1">
        <v>72.882000000000005</v>
      </c>
      <c r="G18" s="8">
        <v>1</v>
      </c>
      <c r="H18" s="1">
        <v>60</v>
      </c>
      <c r="I18" s="1" t="s">
        <v>39</v>
      </c>
      <c r="J18" s="1"/>
      <c r="K18" s="1">
        <v>113.57</v>
      </c>
      <c r="L18" s="1">
        <f t="shared" si="2"/>
        <v>1.26400000000001</v>
      </c>
      <c r="M18" s="1">
        <f t="shared" si="4"/>
        <v>114.834</v>
      </c>
      <c r="N18" s="1"/>
      <c r="O18" s="1"/>
      <c r="P18" s="1">
        <v>74.602399999999989</v>
      </c>
      <c r="Q18" s="1"/>
      <c r="R18" s="1"/>
      <c r="S18" s="1">
        <f t="shared" si="5"/>
        <v>22.966799999999999</v>
      </c>
      <c r="T18" s="5">
        <f t="shared" si="6"/>
        <v>174.05079999999998</v>
      </c>
      <c r="U18" s="5"/>
      <c r="V18" s="1"/>
      <c r="W18" s="1"/>
      <c r="X18" s="1">
        <f t="shared" si="7"/>
        <v>14</v>
      </c>
      <c r="Y18" s="1">
        <f t="shared" si="8"/>
        <v>6.4216347074908127</v>
      </c>
      <c r="Z18" s="1">
        <v>20.192399999999999</v>
      </c>
      <c r="AA18" s="1">
        <v>19.4758</v>
      </c>
      <c r="AB18" s="1">
        <v>21.106000000000002</v>
      </c>
      <c r="AC18" s="1">
        <v>20.777799999999999</v>
      </c>
      <c r="AD18" s="1">
        <v>25.240200000000002</v>
      </c>
      <c r="AE18" s="1">
        <v>22.045200000000001</v>
      </c>
      <c r="AF18" s="1">
        <v>20.119199999999999</v>
      </c>
      <c r="AG18" s="1">
        <v>20.497</v>
      </c>
      <c r="AH18" s="1"/>
      <c r="AI18" s="1">
        <f t="shared" si="3"/>
        <v>174.05079999999998</v>
      </c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</row>
    <row r="19" spans="1:51" x14ac:dyDescent="0.25">
      <c r="A19" s="1" t="s">
        <v>54</v>
      </c>
      <c r="B19" s="1" t="s">
        <v>38</v>
      </c>
      <c r="C19" s="1">
        <v>3.2810000000000001</v>
      </c>
      <c r="D19" s="1">
        <v>13.064</v>
      </c>
      <c r="E19" s="1">
        <v>3.2930000000000001</v>
      </c>
      <c r="F19" s="1">
        <v>12.675000000000001</v>
      </c>
      <c r="G19" s="8">
        <v>1</v>
      </c>
      <c r="H19" s="1">
        <v>180</v>
      </c>
      <c r="I19" s="1" t="s">
        <v>39</v>
      </c>
      <c r="J19" s="1"/>
      <c r="K19" s="1">
        <v>3.8</v>
      </c>
      <c r="L19" s="1">
        <f t="shared" si="2"/>
        <v>-0.50699999999999967</v>
      </c>
      <c r="M19" s="1">
        <f t="shared" si="4"/>
        <v>3.2930000000000001</v>
      </c>
      <c r="N19" s="1"/>
      <c r="O19" s="1"/>
      <c r="P19" s="1">
        <v>10.243399999999999</v>
      </c>
      <c r="Q19" s="1"/>
      <c r="R19" s="1"/>
      <c r="S19" s="1">
        <f t="shared" si="5"/>
        <v>0.65860000000000007</v>
      </c>
      <c r="T19" s="5"/>
      <c r="U19" s="5"/>
      <c r="V19" s="1"/>
      <c r="W19" s="1"/>
      <c r="X19" s="1">
        <f t="shared" si="7"/>
        <v>34.798663832371695</v>
      </c>
      <c r="Y19" s="1">
        <f t="shared" si="8"/>
        <v>34.798663832371695</v>
      </c>
      <c r="Z19" s="1">
        <v>1.8124</v>
      </c>
      <c r="AA19" s="1">
        <v>1.2986</v>
      </c>
      <c r="AB19" s="1">
        <v>0.2218</v>
      </c>
      <c r="AC19" s="1">
        <v>0.51839999999999997</v>
      </c>
      <c r="AD19" s="1">
        <v>1.1838</v>
      </c>
      <c r="AE19" s="1">
        <v>1.2063999999999999</v>
      </c>
      <c r="AF19" s="1">
        <v>0.98780000000000001</v>
      </c>
      <c r="AG19" s="1">
        <v>1.1454</v>
      </c>
      <c r="AH19" s="1"/>
      <c r="AI19" s="1">
        <f t="shared" si="3"/>
        <v>0</v>
      </c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</row>
    <row r="20" spans="1:51" x14ac:dyDescent="0.25">
      <c r="A20" s="1" t="s">
        <v>55</v>
      </c>
      <c r="B20" s="1" t="s">
        <v>38</v>
      </c>
      <c r="C20" s="1">
        <v>2168.971</v>
      </c>
      <c r="D20" s="1">
        <v>1336.7280000000001</v>
      </c>
      <c r="E20" s="1">
        <v>1291.5609999999999</v>
      </c>
      <c r="F20" s="1">
        <v>1985.2170000000001</v>
      </c>
      <c r="G20" s="8">
        <v>1</v>
      </c>
      <c r="H20" s="1">
        <v>60</v>
      </c>
      <c r="I20" s="1" t="s">
        <v>39</v>
      </c>
      <c r="J20" s="1"/>
      <c r="K20" s="1">
        <v>1253.8869999999999</v>
      </c>
      <c r="L20" s="1">
        <f t="shared" si="2"/>
        <v>37.673999999999978</v>
      </c>
      <c r="M20" s="1">
        <f t="shared" si="4"/>
        <v>1291.5609999999999</v>
      </c>
      <c r="N20" s="1"/>
      <c r="O20" s="1">
        <v>406.42084999999997</v>
      </c>
      <c r="P20" s="1">
        <v>0</v>
      </c>
      <c r="Q20" s="1"/>
      <c r="R20" s="1">
        <v>575.13869999999997</v>
      </c>
      <c r="S20" s="1">
        <f t="shared" si="5"/>
        <v>258.31219999999996</v>
      </c>
      <c r="T20" s="5">
        <f t="shared" si="6"/>
        <v>649.59424999999965</v>
      </c>
      <c r="U20" s="5"/>
      <c r="V20" s="1"/>
      <c r="W20" s="1"/>
      <c r="X20" s="1">
        <f t="shared" si="7"/>
        <v>14</v>
      </c>
      <c r="Y20" s="1">
        <f t="shared" si="8"/>
        <v>11.48523588897466</v>
      </c>
      <c r="Z20" s="1">
        <v>255.6172</v>
      </c>
      <c r="AA20" s="1">
        <v>262.20699999999999</v>
      </c>
      <c r="AB20" s="1">
        <v>237.0258</v>
      </c>
      <c r="AC20" s="1">
        <v>241.30940000000001</v>
      </c>
      <c r="AD20" s="1">
        <v>266.0838</v>
      </c>
      <c r="AE20" s="1">
        <v>255.89400000000001</v>
      </c>
      <c r="AF20" s="1">
        <v>244.44159999999999</v>
      </c>
      <c r="AG20" s="1">
        <v>242.4956</v>
      </c>
      <c r="AH20" s="1" t="s">
        <v>49</v>
      </c>
      <c r="AI20" s="1">
        <f t="shared" si="3"/>
        <v>649.59424999999965</v>
      </c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</row>
    <row r="21" spans="1:51" x14ac:dyDescent="0.25">
      <c r="A21" s="1" t="s">
        <v>56</v>
      </c>
      <c r="B21" s="1" t="s">
        <v>38</v>
      </c>
      <c r="C21" s="1">
        <v>492.005</v>
      </c>
      <c r="D21" s="1">
        <v>110.43</v>
      </c>
      <c r="E21" s="1">
        <v>260.43799999999999</v>
      </c>
      <c r="F21" s="1">
        <v>300.5</v>
      </c>
      <c r="G21" s="8">
        <v>1</v>
      </c>
      <c r="H21" s="1">
        <v>60</v>
      </c>
      <c r="I21" s="1" t="s">
        <v>39</v>
      </c>
      <c r="J21" s="1"/>
      <c r="K21" s="1">
        <v>256.75</v>
      </c>
      <c r="L21" s="1">
        <f t="shared" si="2"/>
        <v>3.6879999999999882</v>
      </c>
      <c r="M21" s="1">
        <f t="shared" si="4"/>
        <v>255.19799999999998</v>
      </c>
      <c r="N21" s="1">
        <v>5.24</v>
      </c>
      <c r="O21" s="1"/>
      <c r="P21" s="1">
        <v>56.137200000000007</v>
      </c>
      <c r="Q21" s="1"/>
      <c r="R21" s="1">
        <v>95.617350000000002</v>
      </c>
      <c r="S21" s="1">
        <f t="shared" si="5"/>
        <v>51.039599999999993</v>
      </c>
      <c r="T21" s="5">
        <f t="shared" si="6"/>
        <v>262.29984999999988</v>
      </c>
      <c r="U21" s="5"/>
      <c r="V21" s="1"/>
      <c r="W21" s="1"/>
      <c r="X21" s="1">
        <f t="shared" si="7"/>
        <v>14</v>
      </c>
      <c r="Y21" s="1">
        <f t="shared" si="8"/>
        <v>8.8608560803768057</v>
      </c>
      <c r="Z21" s="1">
        <v>42.496600000000001</v>
      </c>
      <c r="AA21" s="1">
        <v>36.841000000000001</v>
      </c>
      <c r="AB21" s="1">
        <v>46.499399999999987</v>
      </c>
      <c r="AC21" s="1">
        <v>51.252599999999987</v>
      </c>
      <c r="AD21" s="1">
        <v>48.412199999999999</v>
      </c>
      <c r="AE21" s="1">
        <v>48.023200000000003</v>
      </c>
      <c r="AF21" s="1">
        <v>58.106399999999987</v>
      </c>
      <c r="AG21" s="1">
        <v>60.803999999999988</v>
      </c>
      <c r="AH21" s="1"/>
      <c r="AI21" s="1">
        <f t="shared" si="3"/>
        <v>262.29984999999988</v>
      </c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</row>
    <row r="22" spans="1:51" x14ac:dyDescent="0.25">
      <c r="A22" s="1" t="s">
        <v>57</v>
      </c>
      <c r="B22" s="1" t="s">
        <v>38</v>
      </c>
      <c r="C22" s="1">
        <v>262.48899999999998</v>
      </c>
      <c r="D22" s="1">
        <v>257.26499999999999</v>
      </c>
      <c r="E22" s="1">
        <v>195.983</v>
      </c>
      <c r="F22" s="1">
        <v>271.87299999999999</v>
      </c>
      <c r="G22" s="8">
        <v>1</v>
      </c>
      <c r="H22" s="1">
        <v>60</v>
      </c>
      <c r="I22" s="1" t="s">
        <v>39</v>
      </c>
      <c r="J22" s="1"/>
      <c r="K22" s="1">
        <v>193.51</v>
      </c>
      <c r="L22" s="1">
        <f t="shared" si="2"/>
        <v>2.4730000000000132</v>
      </c>
      <c r="M22" s="1">
        <f t="shared" si="4"/>
        <v>195.983</v>
      </c>
      <c r="N22" s="1"/>
      <c r="O22" s="1">
        <v>58.914569999999998</v>
      </c>
      <c r="P22" s="1">
        <v>71.550629999999984</v>
      </c>
      <c r="Q22" s="1"/>
      <c r="R22" s="1">
        <v>94.485150000000004</v>
      </c>
      <c r="S22" s="1">
        <f t="shared" si="5"/>
        <v>39.196600000000004</v>
      </c>
      <c r="T22" s="5">
        <f t="shared" si="6"/>
        <v>51.929050000000132</v>
      </c>
      <c r="U22" s="5"/>
      <c r="V22" s="1"/>
      <c r="W22" s="1"/>
      <c r="X22" s="1">
        <f t="shared" si="7"/>
        <v>14</v>
      </c>
      <c r="Y22" s="1">
        <f t="shared" si="8"/>
        <v>12.675164427526873</v>
      </c>
      <c r="Z22" s="1">
        <v>41.993400000000001</v>
      </c>
      <c r="AA22" s="1">
        <v>38.009399999999999</v>
      </c>
      <c r="AB22" s="1">
        <v>35.380800000000001</v>
      </c>
      <c r="AC22" s="1">
        <v>39.007599999999996</v>
      </c>
      <c r="AD22" s="1">
        <v>40.718800000000002</v>
      </c>
      <c r="AE22" s="1">
        <v>40.025399999999998</v>
      </c>
      <c r="AF22" s="1">
        <v>45.96</v>
      </c>
      <c r="AG22" s="1">
        <v>43.485999999999997</v>
      </c>
      <c r="AH22" s="1"/>
      <c r="AI22" s="1">
        <f t="shared" si="3"/>
        <v>51.929050000000132</v>
      </c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</row>
    <row r="23" spans="1:51" x14ac:dyDescent="0.25">
      <c r="A23" s="1" t="s">
        <v>58</v>
      </c>
      <c r="B23" s="1" t="s">
        <v>38</v>
      </c>
      <c r="C23" s="1">
        <v>13.074</v>
      </c>
      <c r="D23" s="1"/>
      <c r="E23" s="1">
        <v>4.8289999999999997</v>
      </c>
      <c r="F23" s="1">
        <v>7.5410000000000004</v>
      </c>
      <c r="G23" s="8">
        <v>1</v>
      </c>
      <c r="H23" s="1">
        <v>180</v>
      </c>
      <c r="I23" s="1" t="s">
        <v>39</v>
      </c>
      <c r="J23" s="1"/>
      <c r="K23" s="1">
        <v>4.58</v>
      </c>
      <c r="L23" s="1">
        <f t="shared" si="2"/>
        <v>0.24899999999999967</v>
      </c>
      <c r="M23" s="1">
        <f t="shared" si="4"/>
        <v>4.8289999999999997</v>
      </c>
      <c r="N23" s="1"/>
      <c r="O23" s="1"/>
      <c r="P23" s="1">
        <v>10.532</v>
      </c>
      <c r="Q23" s="1"/>
      <c r="R23" s="1"/>
      <c r="S23" s="1">
        <f t="shared" si="5"/>
        <v>0.96579999999999999</v>
      </c>
      <c r="T23" s="5"/>
      <c r="U23" s="5"/>
      <c r="V23" s="1"/>
      <c r="W23" s="1"/>
      <c r="X23" s="1">
        <f t="shared" si="7"/>
        <v>18.712984054669704</v>
      </c>
      <c r="Y23" s="1">
        <f t="shared" si="8"/>
        <v>18.712984054669704</v>
      </c>
      <c r="Z23" s="1">
        <v>1.7390000000000001</v>
      </c>
      <c r="AA23" s="1">
        <v>1.0544</v>
      </c>
      <c r="AB23" s="1">
        <v>0.64759999999999995</v>
      </c>
      <c r="AC23" s="1">
        <v>1.01</v>
      </c>
      <c r="AD23" s="1">
        <v>1.0067999999999999</v>
      </c>
      <c r="AE23" s="1">
        <v>1.1636</v>
      </c>
      <c r="AF23" s="1">
        <v>1.1632</v>
      </c>
      <c r="AG23" s="1">
        <v>1.0232000000000001</v>
      </c>
      <c r="AH23" s="1"/>
      <c r="AI23" s="1">
        <f t="shared" si="3"/>
        <v>0</v>
      </c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</row>
    <row r="24" spans="1:51" x14ac:dyDescent="0.25">
      <c r="A24" s="1" t="s">
        <v>59</v>
      </c>
      <c r="B24" s="1" t="s">
        <v>38</v>
      </c>
      <c r="C24" s="1">
        <v>862.37099999999998</v>
      </c>
      <c r="D24" s="1">
        <v>581.43700000000001</v>
      </c>
      <c r="E24" s="1">
        <v>519.83199999999999</v>
      </c>
      <c r="F24" s="1">
        <v>842.18399999999997</v>
      </c>
      <c r="G24" s="8">
        <v>1</v>
      </c>
      <c r="H24" s="1">
        <v>60</v>
      </c>
      <c r="I24" s="1" t="s">
        <v>39</v>
      </c>
      <c r="J24" s="1"/>
      <c r="K24" s="1">
        <v>503.15</v>
      </c>
      <c r="L24" s="1">
        <f t="shared" si="2"/>
        <v>16.682000000000016</v>
      </c>
      <c r="M24" s="1">
        <f t="shared" si="4"/>
        <v>519.83199999999999</v>
      </c>
      <c r="N24" s="1"/>
      <c r="O24" s="1">
        <v>169.05447000000001</v>
      </c>
      <c r="P24" s="1">
        <v>32.213499999999947</v>
      </c>
      <c r="Q24" s="1"/>
      <c r="R24" s="1">
        <v>256.36725000000001</v>
      </c>
      <c r="S24" s="1">
        <f t="shared" si="5"/>
        <v>103.96639999999999</v>
      </c>
      <c r="T24" s="5">
        <f t="shared" si="6"/>
        <v>155.71037999999999</v>
      </c>
      <c r="U24" s="5"/>
      <c r="V24" s="1"/>
      <c r="W24" s="1"/>
      <c r="X24" s="1">
        <f t="shared" si="7"/>
        <v>14</v>
      </c>
      <c r="Y24" s="1">
        <f t="shared" si="8"/>
        <v>12.502300935686915</v>
      </c>
      <c r="Z24" s="1">
        <v>113.941</v>
      </c>
      <c r="AA24" s="1">
        <v>109.06740000000001</v>
      </c>
      <c r="AB24" s="1">
        <v>94.770799999999994</v>
      </c>
      <c r="AC24" s="1">
        <v>103.97539999999999</v>
      </c>
      <c r="AD24" s="1">
        <v>107.18980000000001</v>
      </c>
      <c r="AE24" s="1">
        <v>114.184</v>
      </c>
      <c r="AF24" s="1">
        <v>122.7548</v>
      </c>
      <c r="AG24" s="1">
        <v>112.3038</v>
      </c>
      <c r="AH24" s="1" t="s">
        <v>49</v>
      </c>
      <c r="AI24" s="1">
        <f t="shared" si="3"/>
        <v>155.71037999999999</v>
      </c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</row>
    <row r="25" spans="1:51" x14ac:dyDescent="0.25">
      <c r="A25" s="1" t="s">
        <v>60</v>
      </c>
      <c r="B25" s="1" t="s">
        <v>38</v>
      </c>
      <c r="C25" s="1">
        <v>292.26299999999998</v>
      </c>
      <c r="D25" s="1">
        <v>171.65299999999999</v>
      </c>
      <c r="E25" s="1">
        <v>241.86699999999999</v>
      </c>
      <c r="F25" s="1">
        <v>139.50299999999999</v>
      </c>
      <c r="G25" s="8">
        <v>1</v>
      </c>
      <c r="H25" s="1">
        <v>30</v>
      </c>
      <c r="I25" s="1" t="s">
        <v>39</v>
      </c>
      <c r="J25" s="1"/>
      <c r="K25" s="1">
        <v>254.602</v>
      </c>
      <c r="L25" s="1">
        <f t="shared" si="2"/>
        <v>-12.735000000000014</v>
      </c>
      <c r="M25" s="1">
        <f t="shared" si="4"/>
        <v>225.16499999999999</v>
      </c>
      <c r="N25" s="1">
        <v>16.702000000000002</v>
      </c>
      <c r="O25" s="1"/>
      <c r="P25" s="1">
        <v>198.27180000000001</v>
      </c>
      <c r="Q25" s="1"/>
      <c r="R25" s="1"/>
      <c r="S25" s="1">
        <f t="shared" si="5"/>
        <v>45.033000000000001</v>
      </c>
      <c r="T25" s="5">
        <f t="shared" ref="T25:T27" si="9">13*S25-R25-Q25-P25-O25-F25</f>
        <v>247.6542</v>
      </c>
      <c r="U25" s="5"/>
      <c r="V25" s="1"/>
      <c r="W25" s="1"/>
      <c r="X25" s="1">
        <f t="shared" si="7"/>
        <v>13.000000000000002</v>
      </c>
      <c r="Y25" s="1">
        <f t="shared" si="8"/>
        <v>7.5006062221037908</v>
      </c>
      <c r="Z25" s="1">
        <v>42.228999999999999</v>
      </c>
      <c r="AA25" s="1">
        <v>40.580199999999998</v>
      </c>
      <c r="AB25" s="1">
        <v>40.481999999999999</v>
      </c>
      <c r="AC25" s="1">
        <v>44.878</v>
      </c>
      <c r="AD25" s="1">
        <v>42.4694</v>
      </c>
      <c r="AE25" s="1">
        <v>43.450599999999987</v>
      </c>
      <c r="AF25" s="1">
        <v>49.940800000000003</v>
      </c>
      <c r="AG25" s="1">
        <v>43.297199999999997</v>
      </c>
      <c r="AH25" s="1"/>
      <c r="AI25" s="1">
        <f t="shared" si="3"/>
        <v>247.6542</v>
      </c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</row>
    <row r="26" spans="1:51" x14ac:dyDescent="0.25">
      <c r="A26" s="1" t="s">
        <v>61</v>
      </c>
      <c r="B26" s="1" t="s">
        <v>38</v>
      </c>
      <c r="C26" s="1">
        <v>210.93299999999999</v>
      </c>
      <c r="D26" s="1">
        <v>152.15600000000001</v>
      </c>
      <c r="E26" s="1">
        <v>191.36799999999999</v>
      </c>
      <c r="F26" s="1">
        <v>104.785</v>
      </c>
      <c r="G26" s="8">
        <v>1</v>
      </c>
      <c r="H26" s="1">
        <v>30</v>
      </c>
      <c r="I26" s="1" t="s">
        <v>39</v>
      </c>
      <c r="J26" s="1"/>
      <c r="K26" s="1">
        <v>200.345</v>
      </c>
      <c r="L26" s="1">
        <f t="shared" si="2"/>
        <v>-8.9770000000000039</v>
      </c>
      <c r="M26" s="1">
        <f t="shared" si="4"/>
        <v>164.72299999999998</v>
      </c>
      <c r="N26" s="1">
        <v>26.645</v>
      </c>
      <c r="O26" s="1"/>
      <c r="P26" s="1">
        <v>193.8555999999999</v>
      </c>
      <c r="Q26" s="1"/>
      <c r="R26" s="1"/>
      <c r="S26" s="1">
        <f t="shared" si="5"/>
        <v>32.944599999999994</v>
      </c>
      <c r="T26" s="5">
        <f t="shared" si="9"/>
        <v>129.63920000000002</v>
      </c>
      <c r="U26" s="5"/>
      <c r="V26" s="1"/>
      <c r="W26" s="1"/>
      <c r="X26" s="1">
        <f t="shared" si="7"/>
        <v>13</v>
      </c>
      <c r="Y26" s="1">
        <f t="shared" si="8"/>
        <v>9.064933251579923</v>
      </c>
      <c r="Z26" s="1">
        <v>35.842799999999997</v>
      </c>
      <c r="AA26" s="1">
        <v>31.335999999999999</v>
      </c>
      <c r="AB26" s="1">
        <v>31.9438</v>
      </c>
      <c r="AC26" s="1">
        <v>32.544400000000003</v>
      </c>
      <c r="AD26" s="1">
        <v>33.5578</v>
      </c>
      <c r="AE26" s="1">
        <v>41.352999999999987</v>
      </c>
      <c r="AF26" s="1">
        <v>40.281999999999996</v>
      </c>
      <c r="AG26" s="1">
        <v>30.965</v>
      </c>
      <c r="AH26" s="1"/>
      <c r="AI26" s="1">
        <f t="shared" si="3"/>
        <v>129.63920000000002</v>
      </c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</row>
    <row r="27" spans="1:51" x14ac:dyDescent="0.25">
      <c r="A27" s="1" t="s">
        <v>62</v>
      </c>
      <c r="B27" s="1" t="s">
        <v>38</v>
      </c>
      <c r="C27" s="1">
        <v>1077.934</v>
      </c>
      <c r="D27" s="1">
        <v>670.37699999999995</v>
      </c>
      <c r="E27" s="1">
        <v>822.649</v>
      </c>
      <c r="F27" s="1">
        <v>809.98599999999999</v>
      </c>
      <c r="G27" s="8">
        <v>1</v>
      </c>
      <c r="H27" s="1">
        <v>30</v>
      </c>
      <c r="I27" s="1" t="s">
        <v>39</v>
      </c>
      <c r="J27" s="1"/>
      <c r="K27" s="1">
        <v>822.1</v>
      </c>
      <c r="L27" s="1">
        <f t="shared" si="2"/>
        <v>0.54899999999997817</v>
      </c>
      <c r="M27" s="1">
        <f t="shared" si="4"/>
        <v>822.649</v>
      </c>
      <c r="N27" s="1"/>
      <c r="O27" s="1"/>
      <c r="P27" s="1">
        <v>578.4114000000003</v>
      </c>
      <c r="Q27" s="1"/>
      <c r="R27" s="1"/>
      <c r="S27" s="1">
        <f t="shared" si="5"/>
        <v>164.52979999999999</v>
      </c>
      <c r="T27" s="5">
        <f t="shared" si="9"/>
        <v>750.48999999999967</v>
      </c>
      <c r="U27" s="5"/>
      <c r="V27" s="1"/>
      <c r="W27" s="1"/>
      <c r="X27" s="1">
        <f t="shared" si="7"/>
        <v>13</v>
      </c>
      <c r="Y27" s="1">
        <f t="shared" si="8"/>
        <v>8.4385770845159982</v>
      </c>
      <c r="Z27" s="1">
        <v>170.48519999999999</v>
      </c>
      <c r="AA27" s="1">
        <v>169.26339999999999</v>
      </c>
      <c r="AB27" s="1">
        <v>161.17760000000001</v>
      </c>
      <c r="AC27" s="1">
        <v>165.77279999999999</v>
      </c>
      <c r="AD27" s="1">
        <v>179.8784</v>
      </c>
      <c r="AE27" s="1">
        <v>170.97020000000001</v>
      </c>
      <c r="AF27" s="1">
        <v>162.62100000000001</v>
      </c>
      <c r="AG27" s="1">
        <v>162.0128</v>
      </c>
      <c r="AH27" s="1" t="s">
        <v>49</v>
      </c>
      <c r="AI27" s="1">
        <f t="shared" si="3"/>
        <v>750.48999999999967</v>
      </c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</row>
    <row r="28" spans="1:51" x14ac:dyDescent="0.25">
      <c r="A28" s="1" t="s">
        <v>63</v>
      </c>
      <c r="B28" s="1" t="s">
        <v>38</v>
      </c>
      <c r="C28" s="1">
        <v>39</v>
      </c>
      <c r="D28" s="1">
        <v>22.939</v>
      </c>
      <c r="E28" s="1">
        <v>36.926000000000002</v>
      </c>
      <c r="F28" s="1">
        <v>-0.311</v>
      </c>
      <c r="G28" s="8">
        <v>1</v>
      </c>
      <c r="H28" s="1">
        <v>45</v>
      </c>
      <c r="I28" s="1" t="s">
        <v>39</v>
      </c>
      <c r="J28" s="1"/>
      <c r="K28" s="1">
        <v>70.539000000000001</v>
      </c>
      <c r="L28" s="1">
        <f t="shared" si="2"/>
        <v>-33.613</v>
      </c>
      <c r="M28" s="1">
        <f t="shared" si="4"/>
        <v>13.987000000000002</v>
      </c>
      <c r="N28" s="1">
        <v>22.939</v>
      </c>
      <c r="O28" s="1"/>
      <c r="P28" s="1">
        <v>38.4542</v>
      </c>
      <c r="Q28" s="1"/>
      <c r="R28" s="1"/>
      <c r="S28" s="1">
        <f t="shared" si="5"/>
        <v>2.7974000000000006</v>
      </c>
      <c r="T28" s="5">
        <v>4</v>
      </c>
      <c r="U28" s="5"/>
      <c r="V28" s="1"/>
      <c r="W28" s="1"/>
      <c r="X28" s="1">
        <f t="shared" si="7"/>
        <v>15.065131908200469</v>
      </c>
      <c r="Y28" s="1">
        <f t="shared" si="8"/>
        <v>13.635232716093514</v>
      </c>
      <c r="Z28" s="1">
        <v>5.7324000000000002</v>
      </c>
      <c r="AA28" s="1">
        <v>2.7198000000000002</v>
      </c>
      <c r="AB28" s="1">
        <v>2.9620000000000002</v>
      </c>
      <c r="AC28" s="1">
        <v>3.5964</v>
      </c>
      <c r="AD28" s="1">
        <v>2.8079999999999998</v>
      </c>
      <c r="AE28" s="1">
        <v>2.4186000000000001</v>
      </c>
      <c r="AF28" s="1">
        <v>3.2084000000000001</v>
      </c>
      <c r="AG28" s="1">
        <v>1.847</v>
      </c>
      <c r="AH28" s="1"/>
      <c r="AI28" s="1">
        <f t="shared" si="3"/>
        <v>4</v>
      </c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</row>
    <row r="29" spans="1:51" x14ac:dyDescent="0.25">
      <c r="A29" s="1" t="s">
        <v>64</v>
      </c>
      <c r="B29" s="1" t="s">
        <v>38</v>
      </c>
      <c r="C29" s="1">
        <v>32.365000000000002</v>
      </c>
      <c r="D29" s="1"/>
      <c r="E29" s="1">
        <v>15.955</v>
      </c>
      <c r="F29" s="1">
        <v>14.965999999999999</v>
      </c>
      <c r="G29" s="8">
        <v>1</v>
      </c>
      <c r="H29" s="1">
        <v>40</v>
      </c>
      <c r="I29" s="1" t="s">
        <v>39</v>
      </c>
      <c r="J29" s="1"/>
      <c r="K29" s="1">
        <v>14.2</v>
      </c>
      <c r="L29" s="1">
        <f t="shared" si="2"/>
        <v>1.7550000000000008</v>
      </c>
      <c r="M29" s="1">
        <f t="shared" si="4"/>
        <v>15.955</v>
      </c>
      <c r="N29" s="1"/>
      <c r="O29" s="1"/>
      <c r="P29" s="1">
        <v>0</v>
      </c>
      <c r="Q29" s="1"/>
      <c r="R29" s="1"/>
      <c r="S29" s="1">
        <f t="shared" si="5"/>
        <v>3.1909999999999998</v>
      </c>
      <c r="T29" s="5">
        <f t="shared" ref="T29:T30" si="10">13*S29-R29-Q29-P29-O29-F29</f>
        <v>26.516999999999996</v>
      </c>
      <c r="U29" s="5"/>
      <c r="V29" s="1"/>
      <c r="W29" s="1"/>
      <c r="X29" s="1">
        <f t="shared" si="7"/>
        <v>13</v>
      </c>
      <c r="Y29" s="1">
        <f t="shared" si="8"/>
        <v>4.6900658100908803</v>
      </c>
      <c r="Z29" s="1">
        <v>2.1383999999999999</v>
      </c>
      <c r="AA29" s="1">
        <v>2.7206000000000001</v>
      </c>
      <c r="AB29" s="1">
        <v>2.9420000000000002</v>
      </c>
      <c r="AC29" s="1">
        <v>3.2292000000000001</v>
      </c>
      <c r="AD29" s="1">
        <v>3.5019999999999998</v>
      </c>
      <c r="AE29" s="1">
        <v>4.3224</v>
      </c>
      <c r="AF29" s="1">
        <v>3.7429999999999999</v>
      </c>
      <c r="AG29" s="1">
        <v>2.6469999999999998</v>
      </c>
      <c r="AH29" s="1"/>
      <c r="AI29" s="1">
        <f t="shared" si="3"/>
        <v>26.516999999999996</v>
      </c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</row>
    <row r="30" spans="1:51" x14ac:dyDescent="0.25">
      <c r="A30" s="1" t="s">
        <v>65</v>
      </c>
      <c r="B30" s="1" t="s">
        <v>38</v>
      </c>
      <c r="C30" s="1">
        <v>177.52799999999999</v>
      </c>
      <c r="D30" s="1">
        <v>191.048</v>
      </c>
      <c r="E30" s="1">
        <v>210.92699999999999</v>
      </c>
      <c r="F30" s="1">
        <v>121.08199999999999</v>
      </c>
      <c r="G30" s="8">
        <v>1</v>
      </c>
      <c r="H30" s="1">
        <v>30</v>
      </c>
      <c r="I30" s="1" t="s">
        <v>39</v>
      </c>
      <c r="J30" s="1"/>
      <c r="K30" s="1">
        <v>191.4</v>
      </c>
      <c r="L30" s="1">
        <f t="shared" si="2"/>
        <v>19.526999999999987</v>
      </c>
      <c r="M30" s="1">
        <f t="shared" si="4"/>
        <v>210.92699999999999</v>
      </c>
      <c r="N30" s="1"/>
      <c r="O30" s="1"/>
      <c r="P30" s="1">
        <v>182.35640000000001</v>
      </c>
      <c r="Q30" s="1"/>
      <c r="R30" s="1"/>
      <c r="S30" s="1">
        <f t="shared" si="5"/>
        <v>42.185400000000001</v>
      </c>
      <c r="T30" s="5">
        <f t="shared" si="10"/>
        <v>244.97180000000003</v>
      </c>
      <c r="U30" s="5"/>
      <c r="V30" s="1"/>
      <c r="W30" s="1"/>
      <c r="X30" s="1">
        <f t="shared" si="7"/>
        <v>13</v>
      </c>
      <c r="Y30" s="1">
        <f t="shared" si="8"/>
        <v>7.192971976086513</v>
      </c>
      <c r="Z30" s="1">
        <v>38.101199999999999</v>
      </c>
      <c r="AA30" s="1">
        <v>34.8782</v>
      </c>
      <c r="AB30" s="1">
        <v>30.7776</v>
      </c>
      <c r="AC30" s="1">
        <v>31.29</v>
      </c>
      <c r="AD30" s="1">
        <v>35.423999999999999</v>
      </c>
      <c r="AE30" s="1">
        <v>33.455800000000004</v>
      </c>
      <c r="AF30" s="1">
        <v>37.412400000000012</v>
      </c>
      <c r="AG30" s="1">
        <v>42.533799999999999</v>
      </c>
      <c r="AH30" s="1"/>
      <c r="AI30" s="1">
        <f t="shared" si="3"/>
        <v>244.97180000000003</v>
      </c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</row>
    <row r="31" spans="1:51" x14ac:dyDescent="0.25">
      <c r="A31" s="14" t="s">
        <v>66</v>
      </c>
      <c r="B31" s="14" t="s">
        <v>38</v>
      </c>
      <c r="C31" s="14"/>
      <c r="D31" s="14"/>
      <c r="E31" s="14"/>
      <c r="F31" s="14"/>
      <c r="G31" s="15">
        <v>0</v>
      </c>
      <c r="H31" s="14">
        <v>50</v>
      </c>
      <c r="I31" s="14" t="s">
        <v>39</v>
      </c>
      <c r="J31" s="14"/>
      <c r="K31" s="14"/>
      <c r="L31" s="14">
        <f t="shared" si="2"/>
        <v>0</v>
      </c>
      <c r="M31" s="14">
        <f t="shared" si="4"/>
        <v>0</v>
      </c>
      <c r="N31" s="14"/>
      <c r="O31" s="14"/>
      <c r="P31" s="14">
        <v>0</v>
      </c>
      <c r="Q31" s="14"/>
      <c r="R31" s="14"/>
      <c r="S31" s="14">
        <f t="shared" si="5"/>
        <v>0</v>
      </c>
      <c r="T31" s="16"/>
      <c r="U31" s="16"/>
      <c r="V31" s="14"/>
      <c r="W31" s="14"/>
      <c r="X31" s="14" t="e">
        <f t="shared" si="7"/>
        <v>#DIV/0!</v>
      </c>
      <c r="Y31" s="14" t="e">
        <f t="shared" si="8"/>
        <v>#DIV/0!</v>
      </c>
      <c r="Z31" s="14">
        <v>0</v>
      </c>
      <c r="AA31" s="14">
        <v>0</v>
      </c>
      <c r="AB31" s="14">
        <v>0</v>
      </c>
      <c r="AC31" s="14">
        <v>0</v>
      </c>
      <c r="AD31" s="14">
        <v>0</v>
      </c>
      <c r="AE31" s="14">
        <v>0</v>
      </c>
      <c r="AF31" s="14">
        <v>0</v>
      </c>
      <c r="AG31" s="14">
        <v>0</v>
      </c>
      <c r="AH31" s="14" t="s">
        <v>67</v>
      </c>
      <c r="AI31" s="14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</row>
    <row r="32" spans="1:51" x14ac:dyDescent="0.25">
      <c r="A32" s="14" t="s">
        <v>68</v>
      </c>
      <c r="B32" s="14" t="s">
        <v>38</v>
      </c>
      <c r="C32" s="14"/>
      <c r="D32" s="14"/>
      <c r="E32" s="14"/>
      <c r="F32" s="14"/>
      <c r="G32" s="15">
        <v>0</v>
      </c>
      <c r="H32" s="14">
        <v>50</v>
      </c>
      <c r="I32" s="14" t="s">
        <v>39</v>
      </c>
      <c r="J32" s="14"/>
      <c r="K32" s="14"/>
      <c r="L32" s="14">
        <f t="shared" si="2"/>
        <v>0</v>
      </c>
      <c r="M32" s="14">
        <f t="shared" si="4"/>
        <v>0</v>
      </c>
      <c r="N32" s="14"/>
      <c r="O32" s="14"/>
      <c r="P32" s="14">
        <v>0</v>
      </c>
      <c r="Q32" s="14"/>
      <c r="R32" s="14"/>
      <c r="S32" s="14">
        <f t="shared" si="5"/>
        <v>0</v>
      </c>
      <c r="T32" s="16"/>
      <c r="U32" s="16"/>
      <c r="V32" s="14"/>
      <c r="W32" s="14"/>
      <c r="X32" s="14" t="e">
        <f t="shared" si="7"/>
        <v>#DIV/0!</v>
      </c>
      <c r="Y32" s="14" t="e">
        <f t="shared" si="8"/>
        <v>#DIV/0!</v>
      </c>
      <c r="Z32" s="14">
        <v>0</v>
      </c>
      <c r="AA32" s="14">
        <v>0</v>
      </c>
      <c r="AB32" s="14">
        <v>0</v>
      </c>
      <c r="AC32" s="14">
        <v>0</v>
      </c>
      <c r="AD32" s="14">
        <v>0</v>
      </c>
      <c r="AE32" s="14">
        <v>0</v>
      </c>
      <c r="AF32" s="14">
        <v>0</v>
      </c>
      <c r="AG32" s="14">
        <v>0</v>
      </c>
      <c r="AH32" s="14" t="s">
        <v>67</v>
      </c>
      <c r="AI32" s="14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</row>
    <row r="33" spans="1:51" x14ac:dyDescent="0.25">
      <c r="A33" s="1" t="s">
        <v>69</v>
      </c>
      <c r="B33" s="1" t="s">
        <v>43</v>
      </c>
      <c r="C33" s="1">
        <v>3696</v>
      </c>
      <c r="D33" s="1">
        <v>2204</v>
      </c>
      <c r="E33" s="1">
        <v>2683</v>
      </c>
      <c r="F33" s="1">
        <v>2700</v>
      </c>
      <c r="G33" s="8">
        <v>0.4</v>
      </c>
      <c r="H33" s="1">
        <v>45</v>
      </c>
      <c r="I33" s="1" t="s">
        <v>39</v>
      </c>
      <c r="J33" s="1"/>
      <c r="K33" s="1">
        <v>2723</v>
      </c>
      <c r="L33" s="1">
        <f t="shared" si="2"/>
        <v>-40</v>
      </c>
      <c r="M33" s="1">
        <f t="shared" si="4"/>
        <v>2683</v>
      </c>
      <c r="N33" s="1"/>
      <c r="O33" s="1"/>
      <c r="P33" s="1">
        <v>953.89599999999882</v>
      </c>
      <c r="Q33" s="1">
        <v>500</v>
      </c>
      <c r="R33" s="1"/>
      <c r="S33" s="1">
        <f t="shared" si="5"/>
        <v>536.6</v>
      </c>
      <c r="T33" s="5">
        <f t="shared" ref="T33:T47" si="11">14*S33-R33-Q33-P33-O33-F33</f>
        <v>3358.5040000000017</v>
      </c>
      <c r="U33" s="5"/>
      <c r="V33" s="1"/>
      <c r="W33" s="1"/>
      <c r="X33" s="1">
        <f t="shared" si="7"/>
        <v>14</v>
      </c>
      <c r="Y33" s="1">
        <f t="shared" si="8"/>
        <v>7.7411405143496061</v>
      </c>
      <c r="Z33" s="1">
        <v>529.79999999999995</v>
      </c>
      <c r="AA33" s="1">
        <v>568.79999999999995</v>
      </c>
      <c r="AB33" s="1">
        <v>505.2</v>
      </c>
      <c r="AC33" s="1">
        <v>495.2</v>
      </c>
      <c r="AD33" s="1">
        <v>495.8</v>
      </c>
      <c r="AE33" s="1">
        <v>468.8</v>
      </c>
      <c r="AF33" s="1">
        <v>440.6</v>
      </c>
      <c r="AG33" s="1">
        <v>462.8</v>
      </c>
      <c r="AH33" s="1" t="s">
        <v>70</v>
      </c>
      <c r="AI33" s="1">
        <f t="shared" ref="AI33:AI47" si="12">G33*T33</f>
        <v>1343.4016000000008</v>
      </c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</row>
    <row r="34" spans="1:51" x14ac:dyDescent="0.25">
      <c r="A34" s="1" t="s">
        <v>71</v>
      </c>
      <c r="B34" s="1" t="s">
        <v>43</v>
      </c>
      <c r="C34" s="1">
        <v>986</v>
      </c>
      <c r="D34" s="1">
        <v>453</v>
      </c>
      <c r="E34" s="1">
        <v>586</v>
      </c>
      <c r="F34" s="1">
        <v>822</v>
      </c>
      <c r="G34" s="8">
        <v>0.45</v>
      </c>
      <c r="H34" s="1">
        <v>50</v>
      </c>
      <c r="I34" s="1" t="s">
        <v>39</v>
      </c>
      <c r="J34" s="1"/>
      <c r="K34" s="1">
        <v>587</v>
      </c>
      <c r="L34" s="1">
        <f t="shared" si="2"/>
        <v>-1</v>
      </c>
      <c r="M34" s="1">
        <f t="shared" si="4"/>
        <v>586</v>
      </c>
      <c r="N34" s="1"/>
      <c r="O34" s="1"/>
      <c r="P34" s="1">
        <v>0</v>
      </c>
      <c r="Q34" s="1"/>
      <c r="R34" s="1">
        <v>195.75</v>
      </c>
      <c r="S34" s="1">
        <f t="shared" si="5"/>
        <v>117.2</v>
      </c>
      <c r="T34" s="5">
        <f t="shared" si="11"/>
        <v>623.04999999999995</v>
      </c>
      <c r="U34" s="5"/>
      <c r="V34" s="1"/>
      <c r="W34" s="1"/>
      <c r="X34" s="1">
        <f t="shared" si="7"/>
        <v>14</v>
      </c>
      <c r="Y34" s="1">
        <f t="shared" si="8"/>
        <v>8.6838737201365177</v>
      </c>
      <c r="Z34" s="1">
        <v>87</v>
      </c>
      <c r="AA34" s="1">
        <v>88.6</v>
      </c>
      <c r="AB34" s="1">
        <v>109.8</v>
      </c>
      <c r="AC34" s="1">
        <v>102</v>
      </c>
      <c r="AD34" s="1">
        <v>103</v>
      </c>
      <c r="AE34" s="1">
        <v>92</v>
      </c>
      <c r="AF34" s="1">
        <v>95</v>
      </c>
      <c r="AG34" s="1">
        <v>98</v>
      </c>
      <c r="AH34" s="1" t="s">
        <v>72</v>
      </c>
      <c r="AI34" s="1">
        <f t="shared" si="12"/>
        <v>280.3725</v>
      </c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</row>
    <row r="35" spans="1:51" x14ac:dyDescent="0.25">
      <c r="A35" s="1" t="s">
        <v>73</v>
      </c>
      <c r="B35" s="1" t="s">
        <v>43</v>
      </c>
      <c r="C35" s="1">
        <v>1878</v>
      </c>
      <c r="D35" s="1">
        <v>1807</v>
      </c>
      <c r="E35" s="1">
        <v>1557</v>
      </c>
      <c r="F35" s="1">
        <v>1850</v>
      </c>
      <c r="G35" s="8">
        <v>0.4</v>
      </c>
      <c r="H35" s="1">
        <v>45</v>
      </c>
      <c r="I35" s="1" t="s">
        <v>39</v>
      </c>
      <c r="J35" s="1"/>
      <c r="K35" s="1">
        <v>1562</v>
      </c>
      <c r="L35" s="1">
        <f t="shared" si="2"/>
        <v>-5</v>
      </c>
      <c r="M35" s="1">
        <f t="shared" si="4"/>
        <v>1557</v>
      </c>
      <c r="N35" s="1"/>
      <c r="O35" s="1"/>
      <c r="P35" s="1">
        <v>522.99199999999928</v>
      </c>
      <c r="Q35" s="1">
        <v>500</v>
      </c>
      <c r="R35" s="1"/>
      <c r="S35" s="1">
        <f t="shared" si="5"/>
        <v>311.39999999999998</v>
      </c>
      <c r="T35" s="5">
        <f t="shared" si="11"/>
        <v>1486.6080000000002</v>
      </c>
      <c r="U35" s="5"/>
      <c r="V35" s="1"/>
      <c r="W35" s="1"/>
      <c r="X35" s="1">
        <f t="shared" si="7"/>
        <v>14</v>
      </c>
      <c r="Y35" s="1">
        <f t="shared" si="8"/>
        <v>9.2260500963391117</v>
      </c>
      <c r="Z35" s="1">
        <v>339.4</v>
      </c>
      <c r="AA35" s="1">
        <v>353.8</v>
      </c>
      <c r="AB35" s="1">
        <v>297.39999999999998</v>
      </c>
      <c r="AC35" s="1">
        <v>270.39999999999998</v>
      </c>
      <c r="AD35" s="1">
        <v>274.39999999999998</v>
      </c>
      <c r="AE35" s="1">
        <v>259.2</v>
      </c>
      <c r="AF35" s="1">
        <v>260.8</v>
      </c>
      <c r="AG35" s="1">
        <v>254.4</v>
      </c>
      <c r="AH35" s="1" t="s">
        <v>74</v>
      </c>
      <c r="AI35" s="1">
        <f t="shared" si="12"/>
        <v>594.64320000000009</v>
      </c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</row>
    <row r="36" spans="1:51" x14ac:dyDescent="0.25">
      <c r="A36" s="1" t="s">
        <v>75</v>
      </c>
      <c r="B36" s="1" t="s">
        <v>43</v>
      </c>
      <c r="C36" s="1">
        <v>99</v>
      </c>
      <c r="D36" s="1"/>
      <c r="E36" s="1">
        <v>64</v>
      </c>
      <c r="F36" s="1">
        <v>35</v>
      </c>
      <c r="G36" s="8">
        <v>0.4</v>
      </c>
      <c r="H36" s="1">
        <v>40</v>
      </c>
      <c r="I36" s="1" t="s">
        <v>39</v>
      </c>
      <c r="J36" s="1"/>
      <c r="K36" s="1">
        <v>64</v>
      </c>
      <c r="L36" s="1">
        <f t="shared" si="2"/>
        <v>0</v>
      </c>
      <c r="M36" s="1">
        <f t="shared" si="4"/>
        <v>64</v>
      </c>
      <c r="N36" s="1"/>
      <c r="O36" s="1"/>
      <c r="P36" s="1">
        <v>0</v>
      </c>
      <c r="Q36" s="1"/>
      <c r="R36" s="1"/>
      <c r="S36" s="1">
        <f t="shared" si="5"/>
        <v>12.8</v>
      </c>
      <c r="T36" s="5">
        <f>11*S36-R36-Q36-P36-O36-F36</f>
        <v>105.80000000000001</v>
      </c>
      <c r="U36" s="5"/>
      <c r="V36" s="1"/>
      <c r="W36" s="1"/>
      <c r="X36" s="1">
        <f t="shared" si="7"/>
        <v>11</v>
      </c>
      <c r="Y36" s="1">
        <f t="shared" si="8"/>
        <v>2.734375</v>
      </c>
      <c r="Z36" s="1">
        <v>6.6</v>
      </c>
      <c r="AA36" s="1">
        <v>4.2</v>
      </c>
      <c r="AB36" s="1">
        <v>8.8000000000000007</v>
      </c>
      <c r="AC36" s="1">
        <v>8.4</v>
      </c>
      <c r="AD36" s="1">
        <v>6.2</v>
      </c>
      <c r="AE36" s="1">
        <v>6.8</v>
      </c>
      <c r="AF36" s="1">
        <v>15.4</v>
      </c>
      <c r="AG36" s="1">
        <v>19.600000000000001</v>
      </c>
      <c r="AH36" s="1"/>
      <c r="AI36" s="1">
        <f t="shared" si="12"/>
        <v>42.320000000000007</v>
      </c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</row>
    <row r="37" spans="1:51" x14ac:dyDescent="0.25">
      <c r="A37" s="1" t="s">
        <v>76</v>
      </c>
      <c r="B37" s="1" t="s">
        <v>38</v>
      </c>
      <c r="C37" s="1">
        <v>559.16600000000005</v>
      </c>
      <c r="D37" s="1">
        <v>467.47500000000002</v>
      </c>
      <c r="E37" s="1">
        <v>343.34500000000003</v>
      </c>
      <c r="F37" s="1">
        <v>509.58600000000001</v>
      </c>
      <c r="G37" s="8">
        <v>1</v>
      </c>
      <c r="H37" s="1">
        <v>45</v>
      </c>
      <c r="I37" s="1" t="s">
        <v>39</v>
      </c>
      <c r="J37" s="1"/>
      <c r="K37" s="1">
        <v>340.06799999999998</v>
      </c>
      <c r="L37" s="1">
        <f t="shared" si="2"/>
        <v>3.2770000000000437</v>
      </c>
      <c r="M37" s="1">
        <f t="shared" si="4"/>
        <v>343.34500000000003</v>
      </c>
      <c r="N37" s="1"/>
      <c r="O37" s="1"/>
      <c r="P37" s="1">
        <v>504.55522000000008</v>
      </c>
      <c r="Q37" s="1"/>
      <c r="R37" s="1"/>
      <c r="S37" s="1">
        <f t="shared" si="5"/>
        <v>68.669000000000011</v>
      </c>
      <c r="T37" s="5"/>
      <c r="U37" s="5"/>
      <c r="V37" s="1"/>
      <c r="W37" s="1"/>
      <c r="X37" s="1">
        <f t="shared" si="7"/>
        <v>14.768545049440066</v>
      </c>
      <c r="Y37" s="1">
        <f t="shared" si="8"/>
        <v>14.768545049440066</v>
      </c>
      <c r="Z37" s="1">
        <v>105.89400000000001</v>
      </c>
      <c r="AA37" s="1">
        <v>90.141199999999998</v>
      </c>
      <c r="AB37" s="1">
        <v>78.867400000000004</v>
      </c>
      <c r="AC37" s="1">
        <v>82.456600000000009</v>
      </c>
      <c r="AD37" s="1">
        <v>76.686800000000005</v>
      </c>
      <c r="AE37" s="1">
        <v>76.649799999999999</v>
      </c>
      <c r="AF37" s="1">
        <v>97.777799999999999</v>
      </c>
      <c r="AG37" s="1">
        <v>89.788600000000002</v>
      </c>
      <c r="AH37" s="1"/>
      <c r="AI37" s="1">
        <f t="shared" si="12"/>
        <v>0</v>
      </c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</row>
    <row r="38" spans="1:51" x14ac:dyDescent="0.25">
      <c r="A38" s="1" t="s">
        <v>77</v>
      </c>
      <c r="B38" s="1" t="s">
        <v>43</v>
      </c>
      <c r="C38" s="1">
        <v>606</v>
      </c>
      <c r="D38" s="1">
        <v>100</v>
      </c>
      <c r="E38" s="1">
        <v>197</v>
      </c>
      <c r="F38" s="1">
        <v>483</v>
      </c>
      <c r="G38" s="8">
        <v>0.1</v>
      </c>
      <c r="H38" s="1">
        <v>730</v>
      </c>
      <c r="I38" s="1" t="s">
        <v>39</v>
      </c>
      <c r="J38" s="1"/>
      <c r="K38" s="1">
        <v>197</v>
      </c>
      <c r="L38" s="1">
        <f t="shared" ref="L38:L69" si="13">E38-K38</f>
        <v>0</v>
      </c>
      <c r="M38" s="1">
        <f t="shared" si="4"/>
        <v>197</v>
      </c>
      <c r="N38" s="1"/>
      <c r="O38" s="1">
        <v>76.260000000000005</v>
      </c>
      <c r="P38" s="1">
        <v>0</v>
      </c>
      <c r="Q38" s="1"/>
      <c r="R38" s="1"/>
      <c r="S38" s="1">
        <f t="shared" si="5"/>
        <v>39.4</v>
      </c>
      <c r="T38" s="5"/>
      <c r="U38" s="5"/>
      <c r="V38" s="1"/>
      <c r="W38" s="1"/>
      <c r="X38" s="1">
        <f t="shared" si="7"/>
        <v>14.194416243654823</v>
      </c>
      <c r="Y38" s="1">
        <f t="shared" si="8"/>
        <v>14.194416243654823</v>
      </c>
      <c r="Z38" s="1">
        <v>45.6</v>
      </c>
      <c r="AA38" s="1">
        <v>49.2</v>
      </c>
      <c r="AB38" s="1">
        <v>49.2</v>
      </c>
      <c r="AC38" s="1">
        <v>63</v>
      </c>
      <c r="AD38" s="1">
        <v>63.6</v>
      </c>
      <c r="AE38" s="1">
        <v>58.2</v>
      </c>
      <c r="AF38" s="1">
        <v>67.599999999999994</v>
      </c>
      <c r="AG38" s="1">
        <v>65.400000000000006</v>
      </c>
      <c r="AH38" s="1"/>
      <c r="AI38" s="1">
        <f t="shared" si="12"/>
        <v>0</v>
      </c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</row>
    <row r="39" spans="1:51" x14ac:dyDescent="0.25">
      <c r="A39" s="1" t="s">
        <v>78</v>
      </c>
      <c r="B39" s="1" t="s">
        <v>43</v>
      </c>
      <c r="C39" s="1">
        <v>422</v>
      </c>
      <c r="D39" s="1">
        <v>447</v>
      </c>
      <c r="E39" s="1">
        <v>448</v>
      </c>
      <c r="F39" s="1">
        <v>326</v>
      </c>
      <c r="G39" s="8">
        <v>0.35</v>
      </c>
      <c r="H39" s="1">
        <v>40</v>
      </c>
      <c r="I39" s="1" t="s">
        <v>39</v>
      </c>
      <c r="J39" s="1"/>
      <c r="K39" s="1">
        <v>458</v>
      </c>
      <c r="L39" s="1">
        <f t="shared" si="13"/>
        <v>-10</v>
      </c>
      <c r="M39" s="1">
        <f t="shared" si="4"/>
        <v>448</v>
      </c>
      <c r="N39" s="1"/>
      <c r="O39" s="1"/>
      <c r="P39" s="1">
        <v>234.8</v>
      </c>
      <c r="Q39" s="1"/>
      <c r="R39" s="1"/>
      <c r="S39" s="1">
        <f t="shared" si="5"/>
        <v>89.6</v>
      </c>
      <c r="T39" s="5">
        <f t="shared" ref="T39:T41" si="14">13*S39-R39-Q39-P39-O39-F39</f>
        <v>604</v>
      </c>
      <c r="U39" s="5"/>
      <c r="V39" s="1"/>
      <c r="W39" s="1"/>
      <c r="X39" s="1">
        <f t="shared" si="7"/>
        <v>13</v>
      </c>
      <c r="Y39" s="1">
        <f t="shared" si="8"/>
        <v>6.2589285714285712</v>
      </c>
      <c r="Z39" s="1">
        <v>77.8</v>
      </c>
      <c r="AA39" s="1">
        <v>80.2</v>
      </c>
      <c r="AB39" s="1">
        <v>86.2</v>
      </c>
      <c r="AC39" s="1">
        <v>75.400000000000006</v>
      </c>
      <c r="AD39" s="1">
        <v>86.6</v>
      </c>
      <c r="AE39" s="1">
        <v>90.8</v>
      </c>
      <c r="AF39" s="1">
        <v>78.599999999999994</v>
      </c>
      <c r="AG39" s="1">
        <v>78.8</v>
      </c>
      <c r="AH39" s="1" t="s">
        <v>79</v>
      </c>
      <c r="AI39" s="1">
        <f t="shared" si="12"/>
        <v>211.39999999999998</v>
      </c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</row>
    <row r="40" spans="1:51" x14ac:dyDescent="0.25">
      <c r="A40" s="1" t="s">
        <v>80</v>
      </c>
      <c r="B40" s="1" t="s">
        <v>38</v>
      </c>
      <c r="C40" s="1">
        <v>81.150000000000006</v>
      </c>
      <c r="D40" s="1">
        <v>295.91800000000001</v>
      </c>
      <c r="E40" s="1">
        <v>192.84800000000001</v>
      </c>
      <c r="F40" s="1">
        <v>117.00700000000001</v>
      </c>
      <c r="G40" s="8">
        <v>1</v>
      </c>
      <c r="H40" s="1">
        <v>40</v>
      </c>
      <c r="I40" s="1" t="s">
        <v>39</v>
      </c>
      <c r="J40" s="1"/>
      <c r="K40" s="1">
        <v>196.98699999999999</v>
      </c>
      <c r="L40" s="1">
        <f t="shared" si="13"/>
        <v>-4.1389999999999816</v>
      </c>
      <c r="M40" s="1">
        <f t="shared" si="4"/>
        <v>188.46100000000001</v>
      </c>
      <c r="N40" s="1">
        <v>4.3869999999999996</v>
      </c>
      <c r="O40" s="1"/>
      <c r="P40" s="1">
        <v>201.74879999999999</v>
      </c>
      <c r="Q40" s="1"/>
      <c r="R40" s="1"/>
      <c r="S40" s="1">
        <f t="shared" si="5"/>
        <v>37.6922</v>
      </c>
      <c r="T40" s="5">
        <f t="shared" si="14"/>
        <v>171.24280000000005</v>
      </c>
      <c r="U40" s="5"/>
      <c r="V40" s="1"/>
      <c r="W40" s="1"/>
      <c r="X40" s="1">
        <f t="shared" si="7"/>
        <v>13.000000000000002</v>
      </c>
      <c r="Y40" s="1">
        <f t="shared" si="8"/>
        <v>8.4568106929285118</v>
      </c>
      <c r="Z40" s="1">
        <v>36.742400000000004</v>
      </c>
      <c r="AA40" s="1">
        <v>31.194600000000001</v>
      </c>
      <c r="AB40" s="1">
        <v>25.7182</v>
      </c>
      <c r="AC40" s="1">
        <v>24.661999999999999</v>
      </c>
      <c r="AD40" s="1">
        <v>30.4862</v>
      </c>
      <c r="AE40" s="1">
        <v>27.222000000000001</v>
      </c>
      <c r="AF40" s="1">
        <v>27.058199999999999</v>
      </c>
      <c r="AG40" s="1">
        <v>32.742199999999997</v>
      </c>
      <c r="AH40" s="1"/>
      <c r="AI40" s="1">
        <f t="shared" si="12"/>
        <v>171.24280000000005</v>
      </c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</row>
    <row r="41" spans="1:51" x14ac:dyDescent="0.25">
      <c r="A41" s="1" t="s">
        <v>81</v>
      </c>
      <c r="B41" s="1" t="s">
        <v>43</v>
      </c>
      <c r="C41" s="1">
        <v>406</v>
      </c>
      <c r="D41" s="1">
        <v>36</v>
      </c>
      <c r="E41" s="1">
        <v>233</v>
      </c>
      <c r="F41" s="1">
        <v>175</v>
      </c>
      <c r="G41" s="8">
        <v>0.4</v>
      </c>
      <c r="H41" s="1">
        <v>40</v>
      </c>
      <c r="I41" s="1" t="s">
        <v>39</v>
      </c>
      <c r="J41" s="1"/>
      <c r="K41" s="1">
        <v>237</v>
      </c>
      <c r="L41" s="1">
        <f t="shared" si="13"/>
        <v>-4</v>
      </c>
      <c r="M41" s="1">
        <f t="shared" si="4"/>
        <v>233</v>
      </c>
      <c r="N41" s="1"/>
      <c r="O41" s="1"/>
      <c r="P41" s="1">
        <v>227.2</v>
      </c>
      <c r="Q41" s="1"/>
      <c r="R41" s="1"/>
      <c r="S41" s="1">
        <f t="shared" si="5"/>
        <v>46.6</v>
      </c>
      <c r="T41" s="5">
        <f t="shared" si="14"/>
        <v>203.60000000000008</v>
      </c>
      <c r="U41" s="5"/>
      <c r="V41" s="1"/>
      <c r="W41" s="1"/>
      <c r="X41" s="1">
        <f t="shared" si="7"/>
        <v>13.000000000000002</v>
      </c>
      <c r="Y41" s="1">
        <f t="shared" si="8"/>
        <v>8.6309012875536482</v>
      </c>
      <c r="Z41" s="1">
        <v>47.2</v>
      </c>
      <c r="AA41" s="1">
        <v>43.6</v>
      </c>
      <c r="AB41" s="1">
        <v>18.2</v>
      </c>
      <c r="AC41" s="1">
        <v>25</v>
      </c>
      <c r="AD41" s="1">
        <v>56.2</v>
      </c>
      <c r="AE41" s="1">
        <v>46</v>
      </c>
      <c r="AF41" s="1">
        <v>30.4</v>
      </c>
      <c r="AG41" s="1">
        <v>40.200000000000003</v>
      </c>
      <c r="AH41" s="1"/>
      <c r="AI41" s="1">
        <f t="shared" si="12"/>
        <v>81.44000000000004</v>
      </c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</row>
    <row r="42" spans="1:51" x14ac:dyDescent="0.25">
      <c r="A42" s="1" t="s">
        <v>82</v>
      </c>
      <c r="B42" s="1" t="s">
        <v>43</v>
      </c>
      <c r="C42" s="1">
        <v>497</v>
      </c>
      <c r="D42" s="1">
        <v>108</v>
      </c>
      <c r="E42" s="1">
        <v>351</v>
      </c>
      <c r="F42" s="1">
        <v>196</v>
      </c>
      <c r="G42" s="8">
        <v>0.4</v>
      </c>
      <c r="H42" s="1">
        <v>45</v>
      </c>
      <c r="I42" s="1" t="s">
        <v>39</v>
      </c>
      <c r="J42" s="1"/>
      <c r="K42" s="1">
        <v>364</v>
      </c>
      <c r="L42" s="1">
        <f t="shared" si="13"/>
        <v>-13</v>
      </c>
      <c r="M42" s="1">
        <f t="shared" si="4"/>
        <v>351</v>
      </c>
      <c r="N42" s="1"/>
      <c r="O42" s="1"/>
      <c r="P42" s="1">
        <v>199.11999999999989</v>
      </c>
      <c r="Q42" s="1"/>
      <c r="R42" s="1"/>
      <c r="S42" s="1">
        <f t="shared" si="5"/>
        <v>70.2</v>
      </c>
      <c r="T42" s="5">
        <f t="shared" si="11"/>
        <v>587.68000000000018</v>
      </c>
      <c r="U42" s="5"/>
      <c r="V42" s="1"/>
      <c r="W42" s="1"/>
      <c r="X42" s="1">
        <f t="shared" si="7"/>
        <v>14</v>
      </c>
      <c r="Y42" s="1">
        <f t="shared" si="8"/>
        <v>5.6284900284900266</v>
      </c>
      <c r="Z42" s="1">
        <v>57.8</v>
      </c>
      <c r="AA42" s="1">
        <v>60</v>
      </c>
      <c r="AB42" s="1">
        <v>57.2</v>
      </c>
      <c r="AC42" s="1">
        <v>53</v>
      </c>
      <c r="AD42" s="1">
        <v>60.8</v>
      </c>
      <c r="AE42" s="1">
        <v>53.6</v>
      </c>
      <c r="AF42" s="1">
        <v>41.4</v>
      </c>
      <c r="AG42" s="1">
        <v>39.4</v>
      </c>
      <c r="AH42" s="1" t="s">
        <v>74</v>
      </c>
      <c r="AI42" s="1">
        <f t="shared" si="12"/>
        <v>235.07200000000009</v>
      </c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</row>
    <row r="43" spans="1:51" x14ac:dyDescent="0.25">
      <c r="A43" s="1" t="s">
        <v>83</v>
      </c>
      <c r="B43" s="1" t="s">
        <v>38</v>
      </c>
      <c r="C43" s="1">
        <v>276.81099999999998</v>
      </c>
      <c r="D43" s="1">
        <v>365.92500000000001</v>
      </c>
      <c r="E43" s="1">
        <v>311.87700000000001</v>
      </c>
      <c r="F43" s="1">
        <v>242.98500000000001</v>
      </c>
      <c r="G43" s="8">
        <v>1</v>
      </c>
      <c r="H43" s="1">
        <v>40</v>
      </c>
      <c r="I43" s="1" t="s">
        <v>39</v>
      </c>
      <c r="J43" s="1"/>
      <c r="K43" s="1">
        <v>312.04500000000002</v>
      </c>
      <c r="L43" s="1">
        <f t="shared" si="13"/>
        <v>-0.16800000000000637</v>
      </c>
      <c r="M43" s="1">
        <f t="shared" si="4"/>
        <v>307.53199999999998</v>
      </c>
      <c r="N43" s="1">
        <v>4.3449999999999998</v>
      </c>
      <c r="O43" s="1"/>
      <c r="P43" s="1">
        <v>222.44760000000011</v>
      </c>
      <c r="Q43" s="1"/>
      <c r="R43" s="1"/>
      <c r="S43" s="1">
        <f t="shared" si="5"/>
        <v>61.506399999999999</v>
      </c>
      <c r="T43" s="5">
        <f t="shared" ref="T43:T45" si="15">13*S43-R43-Q43-P43-O43-F43</f>
        <v>334.15059999999994</v>
      </c>
      <c r="U43" s="5"/>
      <c r="V43" s="1"/>
      <c r="W43" s="1"/>
      <c r="X43" s="1">
        <f t="shared" si="7"/>
        <v>13</v>
      </c>
      <c r="Y43" s="1">
        <f t="shared" si="8"/>
        <v>7.5672222728041323</v>
      </c>
      <c r="Z43" s="1">
        <v>58.0304</v>
      </c>
      <c r="AA43" s="1">
        <v>57.372</v>
      </c>
      <c r="AB43" s="1">
        <v>52.2864</v>
      </c>
      <c r="AC43" s="1">
        <v>53.046799999999998</v>
      </c>
      <c r="AD43" s="1">
        <v>46.023600000000002</v>
      </c>
      <c r="AE43" s="1">
        <v>41.178600000000003</v>
      </c>
      <c r="AF43" s="1">
        <v>47.337400000000002</v>
      </c>
      <c r="AG43" s="1">
        <v>51.314600000000013</v>
      </c>
      <c r="AH43" s="1"/>
      <c r="AI43" s="1">
        <f t="shared" si="12"/>
        <v>334.15059999999994</v>
      </c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</row>
    <row r="44" spans="1:51" x14ac:dyDescent="0.25">
      <c r="A44" s="1" t="s">
        <v>84</v>
      </c>
      <c r="B44" s="1" t="s">
        <v>43</v>
      </c>
      <c r="C44" s="1">
        <v>2164</v>
      </c>
      <c r="D44" s="1">
        <v>1052</v>
      </c>
      <c r="E44" s="1">
        <v>1723</v>
      </c>
      <c r="F44" s="1">
        <v>1145</v>
      </c>
      <c r="G44" s="8">
        <v>0.35</v>
      </c>
      <c r="H44" s="1">
        <v>40</v>
      </c>
      <c r="I44" s="1" t="s">
        <v>39</v>
      </c>
      <c r="J44" s="1"/>
      <c r="K44" s="1">
        <v>1829</v>
      </c>
      <c r="L44" s="1">
        <f t="shared" si="13"/>
        <v>-106</v>
      </c>
      <c r="M44" s="1">
        <f t="shared" si="4"/>
        <v>1723</v>
      </c>
      <c r="N44" s="1"/>
      <c r="O44" s="1"/>
      <c r="P44" s="1">
        <v>813.19999999999982</v>
      </c>
      <c r="Q44" s="1"/>
      <c r="R44" s="1"/>
      <c r="S44" s="1">
        <f t="shared" si="5"/>
        <v>344.6</v>
      </c>
      <c r="T44" s="5">
        <f t="shared" si="15"/>
        <v>2521.6000000000004</v>
      </c>
      <c r="U44" s="5"/>
      <c r="V44" s="1"/>
      <c r="W44" s="1"/>
      <c r="X44" s="1">
        <f t="shared" si="7"/>
        <v>13</v>
      </c>
      <c r="Y44" s="1">
        <f t="shared" si="8"/>
        <v>5.6825304701102715</v>
      </c>
      <c r="Z44" s="1">
        <v>298.2</v>
      </c>
      <c r="AA44" s="1">
        <v>314.60000000000002</v>
      </c>
      <c r="AB44" s="1">
        <v>330.8</v>
      </c>
      <c r="AC44" s="1">
        <v>334</v>
      </c>
      <c r="AD44" s="1">
        <v>353.8</v>
      </c>
      <c r="AE44" s="1">
        <v>329.2</v>
      </c>
      <c r="AF44" s="1">
        <v>324.39999999999998</v>
      </c>
      <c r="AG44" s="1">
        <v>341.47039999999998</v>
      </c>
      <c r="AH44" s="1" t="s">
        <v>49</v>
      </c>
      <c r="AI44" s="1">
        <f t="shared" si="12"/>
        <v>882.56000000000006</v>
      </c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</row>
    <row r="45" spans="1:51" x14ac:dyDescent="0.25">
      <c r="A45" s="1" t="s">
        <v>85</v>
      </c>
      <c r="B45" s="1" t="s">
        <v>43</v>
      </c>
      <c r="C45" s="1">
        <v>679</v>
      </c>
      <c r="D45" s="1">
        <v>776</v>
      </c>
      <c r="E45" s="1">
        <v>747</v>
      </c>
      <c r="F45" s="1">
        <v>569</v>
      </c>
      <c r="G45" s="8">
        <v>0.4</v>
      </c>
      <c r="H45" s="1">
        <v>40</v>
      </c>
      <c r="I45" s="1" t="s">
        <v>39</v>
      </c>
      <c r="J45" s="1"/>
      <c r="K45" s="1">
        <v>753</v>
      </c>
      <c r="L45" s="1">
        <f t="shared" si="13"/>
        <v>-6</v>
      </c>
      <c r="M45" s="1">
        <f t="shared" si="4"/>
        <v>747</v>
      </c>
      <c r="N45" s="1"/>
      <c r="O45" s="1"/>
      <c r="P45" s="1">
        <v>756.40000000000009</v>
      </c>
      <c r="Q45" s="1"/>
      <c r="R45" s="1"/>
      <c r="S45" s="1">
        <f t="shared" si="5"/>
        <v>149.4</v>
      </c>
      <c r="T45" s="5">
        <f t="shared" si="15"/>
        <v>616.79999999999995</v>
      </c>
      <c r="U45" s="5"/>
      <c r="V45" s="1"/>
      <c r="W45" s="1"/>
      <c r="X45" s="1">
        <f t="shared" si="7"/>
        <v>13</v>
      </c>
      <c r="Y45" s="1">
        <f t="shared" si="8"/>
        <v>8.8714859437751006</v>
      </c>
      <c r="Z45" s="1">
        <v>151.6</v>
      </c>
      <c r="AA45" s="1">
        <v>140</v>
      </c>
      <c r="AB45" s="1">
        <v>133.4</v>
      </c>
      <c r="AC45" s="1">
        <v>115.2</v>
      </c>
      <c r="AD45" s="1">
        <v>138.02199999999999</v>
      </c>
      <c r="AE45" s="1">
        <v>143.6</v>
      </c>
      <c r="AF45" s="1">
        <v>130.80000000000001</v>
      </c>
      <c r="AG45" s="1">
        <v>127.8</v>
      </c>
      <c r="AH45" s="1"/>
      <c r="AI45" s="1">
        <f t="shared" si="12"/>
        <v>246.72</v>
      </c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</row>
    <row r="46" spans="1:51" x14ac:dyDescent="0.25">
      <c r="A46" s="1" t="s">
        <v>86</v>
      </c>
      <c r="B46" s="1" t="s">
        <v>38</v>
      </c>
      <c r="C46" s="1">
        <v>675.58799999999997</v>
      </c>
      <c r="D46" s="1">
        <v>366.00900000000001</v>
      </c>
      <c r="E46" s="1">
        <v>447.23</v>
      </c>
      <c r="F46" s="1">
        <v>491.12400000000002</v>
      </c>
      <c r="G46" s="8">
        <v>1</v>
      </c>
      <c r="H46" s="1">
        <v>50</v>
      </c>
      <c r="I46" s="1" t="s">
        <v>39</v>
      </c>
      <c r="J46" s="1"/>
      <c r="K46" s="1">
        <v>464.17500000000001</v>
      </c>
      <c r="L46" s="1">
        <f t="shared" si="13"/>
        <v>-16.944999999999993</v>
      </c>
      <c r="M46" s="1">
        <f t="shared" si="4"/>
        <v>425.65500000000003</v>
      </c>
      <c r="N46" s="1">
        <v>21.574999999999999</v>
      </c>
      <c r="O46" s="1">
        <v>115.98371</v>
      </c>
      <c r="P46" s="1">
        <v>0</v>
      </c>
      <c r="Q46" s="1"/>
      <c r="R46" s="1">
        <v>157.22640000000001</v>
      </c>
      <c r="S46" s="1">
        <f t="shared" si="5"/>
        <v>85.131</v>
      </c>
      <c r="T46" s="5">
        <f t="shared" si="11"/>
        <v>427.49989000000005</v>
      </c>
      <c r="U46" s="5"/>
      <c r="V46" s="1"/>
      <c r="W46" s="1"/>
      <c r="X46" s="1">
        <f t="shared" si="7"/>
        <v>14</v>
      </c>
      <c r="Y46" s="1">
        <f t="shared" si="8"/>
        <v>8.9783288108914494</v>
      </c>
      <c r="Z46" s="1">
        <v>69.878399999999999</v>
      </c>
      <c r="AA46" s="1">
        <v>74.82820000000001</v>
      </c>
      <c r="AB46" s="1">
        <v>78.015599999999992</v>
      </c>
      <c r="AC46" s="1">
        <v>85.325600000000009</v>
      </c>
      <c r="AD46" s="1">
        <v>86.111800000000002</v>
      </c>
      <c r="AE46" s="1">
        <v>83.411799999999999</v>
      </c>
      <c r="AF46" s="1">
        <v>88.43719999999999</v>
      </c>
      <c r="AG46" s="1">
        <v>87.9392</v>
      </c>
      <c r="AH46" s="1"/>
      <c r="AI46" s="1">
        <f t="shared" si="12"/>
        <v>427.49989000000005</v>
      </c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</row>
    <row r="47" spans="1:51" x14ac:dyDescent="0.25">
      <c r="A47" s="1" t="s">
        <v>87</v>
      </c>
      <c r="B47" s="1" t="s">
        <v>38</v>
      </c>
      <c r="C47" s="1">
        <v>1021.812</v>
      </c>
      <c r="D47" s="1">
        <v>628</v>
      </c>
      <c r="E47" s="1">
        <v>770.92499999999995</v>
      </c>
      <c r="F47" s="1">
        <v>715.91300000000001</v>
      </c>
      <c r="G47" s="8">
        <v>1</v>
      </c>
      <c r="H47" s="1">
        <v>50</v>
      </c>
      <c r="I47" s="1" t="s">
        <v>39</v>
      </c>
      <c r="J47" s="1"/>
      <c r="K47" s="1">
        <v>799.35500000000002</v>
      </c>
      <c r="L47" s="1">
        <f t="shared" si="13"/>
        <v>-28.430000000000064</v>
      </c>
      <c r="M47" s="1">
        <f t="shared" si="4"/>
        <v>727.27</v>
      </c>
      <c r="N47" s="1">
        <v>43.655000000000001</v>
      </c>
      <c r="O47" s="1">
        <v>199.27512999999999</v>
      </c>
      <c r="P47" s="1">
        <v>299.70786999999967</v>
      </c>
      <c r="Q47" s="1"/>
      <c r="R47" s="1">
        <v>306.98324999999988</v>
      </c>
      <c r="S47" s="1">
        <f t="shared" si="5"/>
        <v>145.45400000000001</v>
      </c>
      <c r="T47" s="5">
        <f t="shared" si="11"/>
        <v>514.47675000000072</v>
      </c>
      <c r="U47" s="5"/>
      <c r="V47" s="1"/>
      <c r="W47" s="1"/>
      <c r="X47" s="1">
        <f t="shared" si="7"/>
        <v>14</v>
      </c>
      <c r="Y47" s="1">
        <f t="shared" si="8"/>
        <v>10.462959079846545</v>
      </c>
      <c r="Z47" s="1">
        <v>136.43700000000001</v>
      </c>
      <c r="AA47" s="1">
        <v>128.56460000000001</v>
      </c>
      <c r="AB47" s="1">
        <v>136.21279999999999</v>
      </c>
      <c r="AC47" s="1">
        <v>135.34639999999999</v>
      </c>
      <c r="AD47" s="1">
        <v>137.33619999999999</v>
      </c>
      <c r="AE47" s="1">
        <v>156.09559999999999</v>
      </c>
      <c r="AF47" s="1">
        <v>150.91300000000001</v>
      </c>
      <c r="AG47" s="1">
        <v>138.64959999999999</v>
      </c>
      <c r="AH47" s="1"/>
      <c r="AI47" s="1">
        <f t="shared" si="12"/>
        <v>514.47675000000072</v>
      </c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</row>
    <row r="48" spans="1:51" x14ac:dyDescent="0.25">
      <c r="A48" s="14" t="s">
        <v>88</v>
      </c>
      <c r="B48" s="14" t="s">
        <v>38</v>
      </c>
      <c r="C48" s="14"/>
      <c r="D48" s="14"/>
      <c r="E48" s="14"/>
      <c r="F48" s="14"/>
      <c r="G48" s="15">
        <v>0</v>
      </c>
      <c r="H48" s="14">
        <v>40</v>
      </c>
      <c r="I48" s="14" t="s">
        <v>39</v>
      </c>
      <c r="J48" s="14"/>
      <c r="K48" s="14"/>
      <c r="L48" s="14">
        <f t="shared" si="13"/>
        <v>0</v>
      </c>
      <c r="M48" s="14">
        <f t="shared" si="4"/>
        <v>0</v>
      </c>
      <c r="N48" s="14"/>
      <c r="O48" s="14"/>
      <c r="P48" s="14">
        <v>0</v>
      </c>
      <c r="Q48" s="14"/>
      <c r="R48" s="14"/>
      <c r="S48" s="14">
        <f t="shared" si="5"/>
        <v>0</v>
      </c>
      <c r="T48" s="16"/>
      <c r="U48" s="16"/>
      <c r="V48" s="14"/>
      <c r="W48" s="14"/>
      <c r="X48" s="14" t="e">
        <f t="shared" si="7"/>
        <v>#DIV/0!</v>
      </c>
      <c r="Y48" s="14" t="e">
        <f t="shared" si="8"/>
        <v>#DIV/0!</v>
      </c>
      <c r="Z48" s="14">
        <v>0</v>
      </c>
      <c r="AA48" s="14">
        <v>0</v>
      </c>
      <c r="AB48" s="14">
        <v>0</v>
      </c>
      <c r="AC48" s="14">
        <v>0</v>
      </c>
      <c r="AD48" s="14">
        <v>0</v>
      </c>
      <c r="AE48" s="14">
        <v>0</v>
      </c>
      <c r="AF48" s="14">
        <v>0</v>
      </c>
      <c r="AG48" s="14">
        <v>0</v>
      </c>
      <c r="AH48" s="14" t="s">
        <v>67</v>
      </c>
      <c r="AI48" s="14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</row>
    <row r="49" spans="1:51" x14ac:dyDescent="0.25">
      <c r="A49" s="1" t="s">
        <v>89</v>
      </c>
      <c r="B49" s="1" t="s">
        <v>43</v>
      </c>
      <c r="C49" s="1">
        <v>1561</v>
      </c>
      <c r="D49" s="1">
        <v>263</v>
      </c>
      <c r="E49" s="1">
        <v>514</v>
      </c>
      <c r="F49" s="1">
        <v>1264</v>
      </c>
      <c r="G49" s="8">
        <v>0.45</v>
      </c>
      <c r="H49" s="1">
        <v>50</v>
      </c>
      <c r="I49" s="1" t="s">
        <v>39</v>
      </c>
      <c r="J49" s="1"/>
      <c r="K49" s="1">
        <v>527</v>
      </c>
      <c r="L49" s="1">
        <f t="shared" si="13"/>
        <v>-13</v>
      </c>
      <c r="M49" s="1">
        <f t="shared" si="4"/>
        <v>514</v>
      </c>
      <c r="N49" s="1"/>
      <c r="O49" s="1"/>
      <c r="P49" s="1">
        <v>0</v>
      </c>
      <c r="Q49" s="1"/>
      <c r="R49" s="1"/>
      <c r="S49" s="1">
        <f t="shared" si="5"/>
        <v>102.8</v>
      </c>
      <c r="T49" s="5">
        <f t="shared" ref="T49:T66" si="16">14*S49-R49-Q49-P49-O49-F49</f>
        <v>175.20000000000005</v>
      </c>
      <c r="U49" s="5"/>
      <c r="V49" s="1"/>
      <c r="W49" s="1"/>
      <c r="X49" s="1">
        <f t="shared" si="7"/>
        <v>14</v>
      </c>
      <c r="Y49" s="1">
        <f t="shared" si="8"/>
        <v>12.295719844357977</v>
      </c>
      <c r="Z49" s="1">
        <v>88</v>
      </c>
      <c r="AA49" s="1">
        <v>99.6</v>
      </c>
      <c r="AB49" s="1">
        <v>138</v>
      </c>
      <c r="AC49" s="1">
        <v>139.4</v>
      </c>
      <c r="AD49" s="1">
        <v>154</v>
      </c>
      <c r="AE49" s="1">
        <v>153.80000000000001</v>
      </c>
      <c r="AF49" s="1">
        <v>103.4</v>
      </c>
      <c r="AG49" s="1">
        <v>115.2</v>
      </c>
      <c r="AH49" s="1" t="s">
        <v>90</v>
      </c>
      <c r="AI49" s="1">
        <f t="shared" ref="AI49:AI66" si="17">G49*T49</f>
        <v>78.840000000000018</v>
      </c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</row>
    <row r="50" spans="1:51" x14ac:dyDescent="0.25">
      <c r="A50" s="1" t="s">
        <v>91</v>
      </c>
      <c r="B50" s="1" t="s">
        <v>43</v>
      </c>
      <c r="C50" s="1">
        <v>138</v>
      </c>
      <c r="D50" s="1">
        <v>139</v>
      </c>
      <c r="E50" s="1">
        <v>101</v>
      </c>
      <c r="F50" s="1">
        <v>166</v>
      </c>
      <c r="G50" s="8">
        <v>0.4</v>
      </c>
      <c r="H50" s="1">
        <v>40</v>
      </c>
      <c r="I50" s="1" t="s">
        <v>39</v>
      </c>
      <c r="J50" s="1"/>
      <c r="K50" s="1">
        <v>110</v>
      </c>
      <c r="L50" s="1">
        <f t="shared" si="13"/>
        <v>-9</v>
      </c>
      <c r="M50" s="1">
        <f t="shared" si="4"/>
        <v>101</v>
      </c>
      <c r="N50" s="1"/>
      <c r="O50" s="1"/>
      <c r="P50" s="1">
        <v>16.600000000000019</v>
      </c>
      <c r="Q50" s="1"/>
      <c r="R50" s="1"/>
      <c r="S50" s="1">
        <f t="shared" si="5"/>
        <v>20.2</v>
      </c>
      <c r="T50" s="5">
        <f t="shared" ref="T50:T51" si="18">13*S50-R50-Q50-P50-O50-F50</f>
        <v>79.999999999999943</v>
      </c>
      <c r="U50" s="5"/>
      <c r="V50" s="1"/>
      <c r="W50" s="1"/>
      <c r="X50" s="1">
        <f t="shared" si="7"/>
        <v>12.999999999999998</v>
      </c>
      <c r="Y50" s="1">
        <f t="shared" si="8"/>
        <v>9.0396039603960414</v>
      </c>
      <c r="Z50" s="1">
        <v>20.6</v>
      </c>
      <c r="AA50" s="1">
        <v>26.6</v>
      </c>
      <c r="AB50" s="1">
        <v>26.6</v>
      </c>
      <c r="AC50" s="1">
        <v>18.600000000000001</v>
      </c>
      <c r="AD50" s="1">
        <v>23</v>
      </c>
      <c r="AE50" s="1">
        <v>18.2</v>
      </c>
      <c r="AF50" s="1">
        <v>16.8</v>
      </c>
      <c r="AG50" s="1">
        <v>21.4</v>
      </c>
      <c r="AH50" s="1"/>
      <c r="AI50" s="1">
        <f t="shared" si="17"/>
        <v>31.999999999999979</v>
      </c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</row>
    <row r="51" spans="1:51" x14ac:dyDescent="0.25">
      <c r="A51" s="1" t="s">
        <v>92</v>
      </c>
      <c r="B51" s="1" t="s">
        <v>43</v>
      </c>
      <c r="C51" s="1">
        <v>262</v>
      </c>
      <c r="D51" s="1">
        <v>134</v>
      </c>
      <c r="E51" s="1">
        <v>178</v>
      </c>
      <c r="F51" s="1">
        <v>196</v>
      </c>
      <c r="G51" s="8">
        <v>0.4</v>
      </c>
      <c r="H51" s="1">
        <v>40</v>
      </c>
      <c r="I51" s="1" t="s">
        <v>39</v>
      </c>
      <c r="J51" s="1"/>
      <c r="K51" s="1">
        <v>189</v>
      </c>
      <c r="L51" s="1">
        <f t="shared" si="13"/>
        <v>-11</v>
      </c>
      <c r="M51" s="1">
        <f t="shared" si="4"/>
        <v>178</v>
      </c>
      <c r="N51" s="1"/>
      <c r="O51" s="1"/>
      <c r="P51" s="1">
        <v>85.200000000000045</v>
      </c>
      <c r="Q51" s="1"/>
      <c r="R51" s="1"/>
      <c r="S51" s="1">
        <f t="shared" si="5"/>
        <v>35.6</v>
      </c>
      <c r="T51" s="5">
        <f t="shared" si="18"/>
        <v>181.59999999999997</v>
      </c>
      <c r="U51" s="5"/>
      <c r="V51" s="1"/>
      <c r="W51" s="1"/>
      <c r="X51" s="1">
        <f t="shared" si="7"/>
        <v>13</v>
      </c>
      <c r="Y51" s="1">
        <f t="shared" si="8"/>
        <v>7.8988764044943833</v>
      </c>
      <c r="Z51" s="1">
        <v>35.200000000000003</v>
      </c>
      <c r="AA51" s="1">
        <v>37.200000000000003</v>
      </c>
      <c r="AB51" s="1">
        <v>40</v>
      </c>
      <c r="AC51" s="1">
        <v>40</v>
      </c>
      <c r="AD51" s="1">
        <v>35.4</v>
      </c>
      <c r="AE51" s="1">
        <v>36.799999999999997</v>
      </c>
      <c r="AF51" s="1">
        <v>61</v>
      </c>
      <c r="AG51" s="1">
        <v>45.6</v>
      </c>
      <c r="AH51" s="1" t="s">
        <v>49</v>
      </c>
      <c r="AI51" s="1">
        <f t="shared" si="17"/>
        <v>72.639999999999986</v>
      </c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</row>
    <row r="52" spans="1:51" x14ac:dyDescent="0.25">
      <c r="A52" s="1" t="s">
        <v>93</v>
      </c>
      <c r="B52" s="1" t="s">
        <v>38</v>
      </c>
      <c r="C52" s="1">
        <v>595</v>
      </c>
      <c r="D52" s="1">
        <v>407.56299999999999</v>
      </c>
      <c r="E52" s="1">
        <v>409.06599999999997</v>
      </c>
      <c r="F52" s="1">
        <v>495.27499999999998</v>
      </c>
      <c r="G52" s="8">
        <v>1</v>
      </c>
      <c r="H52" s="1">
        <v>50</v>
      </c>
      <c r="I52" s="1" t="s">
        <v>39</v>
      </c>
      <c r="J52" s="1"/>
      <c r="K52" s="1">
        <v>442.714</v>
      </c>
      <c r="L52" s="1">
        <f t="shared" si="13"/>
        <v>-33.648000000000025</v>
      </c>
      <c r="M52" s="1">
        <f t="shared" si="4"/>
        <v>365.85199999999998</v>
      </c>
      <c r="N52" s="1">
        <v>43.213999999999999</v>
      </c>
      <c r="O52" s="1">
        <v>109.30538</v>
      </c>
      <c r="P52" s="1">
        <v>62.717599999999827</v>
      </c>
      <c r="Q52" s="1"/>
      <c r="R52" s="1">
        <v>164.30760000000001</v>
      </c>
      <c r="S52" s="1">
        <f t="shared" si="5"/>
        <v>73.170400000000001</v>
      </c>
      <c r="T52" s="5">
        <f t="shared" si="16"/>
        <v>192.78002000000026</v>
      </c>
      <c r="U52" s="5"/>
      <c r="V52" s="1"/>
      <c r="W52" s="1"/>
      <c r="X52" s="1">
        <f t="shared" si="7"/>
        <v>14</v>
      </c>
      <c r="Y52" s="1">
        <f t="shared" si="8"/>
        <v>11.365327782819278</v>
      </c>
      <c r="Z52" s="1">
        <v>73.025599999999997</v>
      </c>
      <c r="AA52" s="1">
        <v>70.519599999999997</v>
      </c>
      <c r="AB52" s="1">
        <v>65.875399999999999</v>
      </c>
      <c r="AC52" s="1">
        <v>75.746800000000007</v>
      </c>
      <c r="AD52" s="1">
        <v>78.845200000000006</v>
      </c>
      <c r="AE52" s="1">
        <v>84.103800000000007</v>
      </c>
      <c r="AF52" s="1">
        <v>70.336199999999991</v>
      </c>
      <c r="AG52" s="1">
        <v>70.740399999999994</v>
      </c>
      <c r="AH52" s="1"/>
      <c r="AI52" s="1">
        <f t="shared" si="17"/>
        <v>192.78002000000026</v>
      </c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</row>
    <row r="53" spans="1:51" x14ac:dyDescent="0.25">
      <c r="A53" s="1" t="s">
        <v>94</v>
      </c>
      <c r="B53" s="1" t="s">
        <v>43</v>
      </c>
      <c r="C53" s="1">
        <v>266</v>
      </c>
      <c r="D53" s="1">
        <v>20</v>
      </c>
      <c r="E53" s="1">
        <v>110</v>
      </c>
      <c r="F53" s="1">
        <v>161</v>
      </c>
      <c r="G53" s="8">
        <v>0.1</v>
      </c>
      <c r="H53" s="1">
        <v>730</v>
      </c>
      <c r="I53" s="1" t="s">
        <v>39</v>
      </c>
      <c r="J53" s="1"/>
      <c r="K53" s="1">
        <v>110</v>
      </c>
      <c r="L53" s="1">
        <f t="shared" si="13"/>
        <v>0</v>
      </c>
      <c r="M53" s="1">
        <f t="shared" si="4"/>
        <v>110</v>
      </c>
      <c r="N53" s="1"/>
      <c r="O53" s="1"/>
      <c r="P53" s="1">
        <v>45</v>
      </c>
      <c r="Q53" s="1"/>
      <c r="R53" s="1"/>
      <c r="S53" s="1">
        <f t="shared" si="5"/>
        <v>22</v>
      </c>
      <c r="T53" s="5">
        <f t="shared" si="16"/>
        <v>102</v>
      </c>
      <c r="U53" s="5"/>
      <c r="V53" s="1"/>
      <c r="W53" s="1"/>
      <c r="X53" s="1">
        <f t="shared" si="7"/>
        <v>14</v>
      </c>
      <c r="Y53" s="1">
        <f t="shared" si="8"/>
        <v>9.3636363636363633</v>
      </c>
      <c r="Z53" s="1">
        <v>25</v>
      </c>
      <c r="AA53" s="1">
        <v>28.8</v>
      </c>
      <c r="AB53" s="1">
        <v>24.8</v>
      </c>
      <c r="AC53" s="1">
        <v>29.4</v>
      </c>
      <c r="AD53" s="1">
        <v>37.4</v>
      </c>
      <c r="AE53" s="1">
        <v>31.6</v>
      </c>
      <c r="AF53" s="1">
        <v>32</v>
      </c>
      <c r="AG53" s="1">
        <v>32.4</v>
      </c>
      <c r="AH53" s="1"/>
      <c r="AI53" s="1">
        <f t="shared" si="17"/>
        <v>10.200000000000001</v>
      </c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</row>
    <row r="54" spans="1:51" x14ac:dyDescent="0.25">
      <c r="A54" s="1" t="s">
        <v>95</v>
      </c>
      <c r="B54" s="1" t="s">
        <v>38</v>
      </c>
      <c r="C54" s="1">
        <v>1085.7429999999999</v>
      </c>
      <c r="D54" s="1">
        <v>1064.9839999999999</v>
      </c>
      <c r="E54" s="1">
        <v>808.61900000000003</v>
      </c>
      <c r="F54" s="1">
        <v>1186.0219999999999</v>
      </c>
      <c r="G54" s="8">
        <v>1</v>
      </c>
      <c r="H54" s="1">
        <v>50</v>
      </c>
      <c r="I54" s="1" t="s">
        <v>39</v>
      </c>
      <c r="J54" s="1"/>
      <c r="K54" s="1">
        <v>813.16200000000003</v>
      </c>
      <c r="L54" s="1">
        <f t="shared" si="13"/>
        <v>-4.5430000000000064</v>
      </c>
      <c r="M54" s="1">
        <f t="shared" si="4"/>
        <v>808.61900000000003</v>
      </c>
      <c r="N54" s="1"/>
      <c r="O54" s="1">
        <v>244.41423</v>
      </c>
      <c r="P54" s="1">
        <v>0</v>
      </c>
      <c r="Q54" s="1"/>
      <c r="R54" s="1">
        <v>354.05999999999989</v>
      </c>
      <c r="S54" s="1">
        <f t="shared" si="5"/>
        <v>161.72380000000001</v>
      </c>
      <c r="T54" s="5">
        <f t="shared" si="16"/>
        <v>479.63697000000025</v>
      </c>
      <c r="U54" s="5"/>
      <c r="V54" s="1"/>
      <c r="W54" s="1"/>
      <c r="X54" s="1">
        <f t="shared" si="7"/>
        <v>14</v>
      </c>
      <c r="Y54" s="1">
        <f t="shared" si="8"/>
        <v>11.034221493682438</v>
      </c>
      <c r="Z54" s="1">
        <v>157.36000000000001</v>
      </c>
      <c r="AA54" s="1">
        <v>157.6866</v>
      </c>
      <c r="AB54" s="1">
        <v>150.42599999999999</v>
      </c>
      <c r="AC54" s="1">
        <v>152.63679999999999</v>
      </c>
      <c r="AD54" s="1">
        <v>147.08860000000001</v>
      </c>
      <c r="AE54" s="1">
        <v>152.1294</v>
      </c>
      <c r="AF54" s="1">
        <v>161.83519999999999</v>
      </c>
      <c r="AG54" s="1">
        <v>165.90880000000001</v>
      </c>
      <c r="AH54" s="1"/>
      <c r="AI54" s="1">
        <f t="shared" si="17"/>
        <v>479.63697000000025</v>
      </c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</row>
    <row r="55" spans="1:51" x14ac:dyDescent="0.25">
      <c r="A55" s="1" t="s">
        <v>96</v>
      </c>
      <c r="B55" s="1" t="s">
        <v>38</v>
      </c>
      <c r="C55" s="1">
        <v>92.488</v>
      </c>
      <c r="D55" s="1">
        <v>54.405000000000001</v>
      </c>
      <c r="E55" s="1">
        <v>111.851</v>
      </c>
      <c r="F55" s="1">
        <v>-7.4169999999999998</v>
      </c>
      <c r="G55" s="8">
        <v>1</v>
      </c>
      <c r="H55" s="1">
        <v>50</v>
      </c>
      <c r="I55" s="1" t="s">
        <v>39</v>
      </c>
      <c r="J55" s="1"/>
      <c r="K55" s="1">
        <v>147.75</v>
      </c>
      <c r="L55" s="1">
        <f t="shared" si="13"/>
        <v>-35.899000000000001</v>
      </c>
      <c r="M55" s="1">
        <f t="shared" si="4"/>
        <v>79.450999999999993</v>
      </c>
      <c r="N55" s="1">
        <v>32.4</v>
      </c>
      <c r="O55" s="1"/>
      <c r="P55" s="1">
        <v>76.306399999999996</v>
      </c>
      <c r="Q55" s="1"/>
      <c r="R55" s="1"/>
      <c r="S55" s="1">
        <f t="shared" si="5"/>
        <v>15.890199999999998</v>
      </c>
      <c r="T55" s="5">
        <f>13*S55-R55-Q55-P55-O55-F55</f>
        <v>137.68319999999997</v>
      </c>
      <c r="U55" s="5"/>
      <c r="V55" s="1"/>
      <c r="W55" s="1"/>
      <c r="X55" s="1">
        <f t="shared" si="7"/>
        <v>13</v>
      </c>
      <c r="Y55" s="1">
        <f t="shared" si="8"/>
        <v>4.335338762255982</v>
      </c>
      <c r="Z55" s="1">
        <v>13.5344</v>
      </c>
      <c r="AA55" s="1">
        <v>12.65</v>
      </c>
      <c r="AB55" s="1">
        <v>19.626799999999999</v>
      </c>
      <c r="AC55" s="1">
        <v>16.927199999999999</v>
      </c>
      <c r="AD55" s="1">
        <v>14.8002</v>
      </c>
      <c r="AE55" s="1">
        <v>16.416399999999999</v>
      </c>
      <c r="AF55" s="1">
        <v>14.265599999999999</v>
      </c>
      <c r="AG55" s="1">
        <v>19.2056</v>
      </c>
      <c r="AH55" s="1"/>
      <c r="AI55" s="1">
        <f t="shared" si="17"/>
        <v>137.68319999999997</v>
      </c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</row>
    <row r="56" spans="1:51" x14ac:dyDescent="0.25">
      <c r="A56" s="1" t="s">
        <v>97</v>
      </c>
      <c r="B56" s="1" t="s">
        <v>43</v>
      </c>
      <c r="C56" s="1">
        <v>229</v>
      </c>
      <c r="D56" s="1">
        <v>40</v>
      </c>
      <c r="E56" s="1">
        <v>78</v>
      </c>
      <c r="F56" s="1">
        <v>182</v>
      </c>
      <c r="G56" s="8">
        <v>0.1</v>
      </c>
      <c r="H56" s="1">
        <v>730</v>
      </c>
      <c r="I56" s="1" t="s">
        <v>39</v>
      </c>
      <c r="J56" s="1"/>
      <c r="K56" s="1">
        <v>78</v>
      </c>
      <c r="L56" s="1">
        <f t="shared" si="13"/>
        <v>0</v>
      </c>
      <c r="M56" s="1">
        <f t="shared" si="4"/>
        <v>78</v>
      </c>
      <c r="N56" s="1"/>
      <c r="O56" s="1"/>
      <c r="P56" s="1">
        <v>0</v>
      </c>
      <c r="Q56" s="1"/>
      <c r="R56" s="1"/>
      <c r="S56" s="1">
        <f t="shared" si="5"/>
        <v>15.6</v>
      </c>
      <c r="T56" s="5">
        <f t="shared" si="16"/>
        <v>36.400000000000006</v>
      </c>
      <c r="U56" s="5"/>
      <c r="V56" s="1"/>
      <c r="W56" s="1"/>
      <c r="X56" s="1">
        <f t="shared" si="7"/>
        <v>14</v>
      </c>
      <c r="Y56" s="1">
        <f t="shared" si="8"/>
        <v>11.666666666666666</v>
      </c>
      <c r="Z56" s="1">
        <v>16.2</v>
      </c>
      <c r="AA56" s="1">
        <v>23.4</v>
      </c>
      <c r="AB56" s="1">
        <v>24.6</v>
      </c>
      <c r="AC56" s="1">
        <v>31</v>
      </c>
      <c r="AD56" s="1">
        <v>32.200000000000003</v>
      </c>
      <c r="AE56" s="1">
        <v>22.2</v>
      </c>
      <c r="AF56" s="1">
        <v>26.4</v>
      </c>
      <c r="AG56" s="1">
        <v>29.8</v>
      </c>
      <c r="AH56" s="1"/>
      <c r="AI56" s="1">
        <f t="shared" si="17"/>
        <v>3.6400000000000006</v>
      </c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</row>
    <row r="57" spans="1:51" x14ac:dyDescent="0.25">
      <c r="A57" s="1" t="s">
        <v>98</v>
      </c>
      <c r="B57" s="1" t="s">
        <v>43</v>
      </c>
      <c r="C57" s="1">
        <v>278</v>
      </c>
      <c r="D57" s="1">
        <v>882</v>
      </c>
      <c r="E57" s="1">
        <v>519</v>
      </c>
      <c r="F57" s="1">
        <v>609</v>
      </c>
      <c r="G57" s="8">
        <v>0.4</v>
      </c>
      <c r="H57" s="1">
        <v>50</v>
      </c>
      <c r="I57" s="1" t="s">
        <v>39</v>
      </c>
      <c r="J57" s="1"/>
      <c r="K57" s="1">
        <v>524</v>
      </c>
      <c r="L57" s="1">
        <f t="shared" si="13"/>
        <v>-5</v>
      </c>
      <c r="M57" s="1">
        <f t="shared" si="4"/>
        <v>519</v>
      </c>
      <c r="N57" s="1"/>
      <c r="O57" s="1">
        <v>137.33000000000001</v>
      </c>
      <c r="P57" s="1">
        <v>0</v>
      </c>
      <c r="Q57" s="1"/>
      <c r="R57" s="1">
        <v>193.95</v>
      </c>
      <c r="S57" s="1">
        <f t="shared" si="5"/>
        <v>103.8</v>
      </c>
      <c r="T57" s="5">
        <f t="shared" si="16"/>
        <v>512.92000000000007</v>
      </c>
      <c r="U57" s="5"/>
      <c r="V57" s="1"/>
      <c r="W57" s="1"/>
      <c r="X57" s="1">
        <f t="shared" si="7"/>
        <v>14</v>
      </c>
      <c r="Y57" s="1">
        <f t="shared" si="8"/>
        <v>9.0585741811175335</v>
      </c>
      <c r="Z57" s="1">
        <v>86.2</v>
      </c>
      <c r="AA57" s="1">
        <v>88.6</v>
      </c>
      <c r="AB57" s="1">
        <v>76.2</v>
      </c>
      <c r="AC57" s="1">
        <v>53.4</v>
      </c>
      <c r="AD57" s="1">
        <v>47.4</v>
      </c>
      <c r="AE57" s="1">
        <v>53.6</v>
      </c>
      <c r="AF57" s="1">
        <v>43.2</v>
      </c>
      <c r="AG57" s="1">
        <v>47.6</v>
      </c>
      <c r="AH57" s="1" t="s">
        <v>99</v>
      </c>
      <c r="AI57" s="1">
        <f t="shared" si="17"/>
        <v>205.16800000000003</v>
      </c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</row>
    <row r="58" spans="1:51" x14ac:dyDescent="0.25">
      <c r="A58" s="1" t="s">
        <v>100</v>
      </c>
      <c r="B58" s="1" t="s">
        <v>38</v>
      </c>
      <c r="C58" s="1">
        <v>51.98</v>
      </c>
      <c r="D58" s="1">
        <v>32.723999999999997</v>
      </c>
      <c r="E58" s="1">
        <v>46.697000000000003</v>
      </c>
      <c r="F58" s="1">
        <v>23.030999999999999</v>
      </c>
      <c r="G58" s="8">
        <v>1</v>
      </c>
      <c r="H58" s="1">
        <v>40</v>
      </c>
      <c r="I58" s="1" t="s">
        <v>39</v>
      </c>
      <c r="J58" s="1"/>
      <c r="K58" s="1">
        <v>43.6</v>
      </c>
      <c r="L58" s="1">
        <f t="shared" si="13"/>
        <v>3.0970000000000013</v>
      </c>
      <c r="M58" s="1">
        <f t="shared" si="4"/>
        <v>46.697000000000003</v>
      </c>
      <c r="N58" s="1"/>
      <c r="O58" s="1"/>
      <c r="P58" s="1">
        <v>67.312799999999982</v>
      </c>
      <c r="Q58" s="1"/>
      <c r="R58" s="1"/>
      <c r="S58" s="1">
        <f t="shared" si="5"/>
        <v>9.3394000000000013</v>
      </c>
      <c r="T58" s="5">
        <f t="shared" ref="T58:T65" si="19">13*S58-R58-Q58-P58-O58-F58</f>
        <v>31.068400000000032</v>
      </c>
      <c r="U58" s="5"/>
      <c r="V58" s="1"/>
      <c r="W58" s="1"/>
      <c r="X58" s="1">
        <f t="shared" si="7"/>
        <v>13</v>
      </c>
      <c r="Y58" s="1">
        <f t="shared" si="8"/>
        <v>9.6734051437993855</v>
      </c>
      <c r="Z58" s="1">
        <v>11.129799999999999</v>
      </c>
      <c r="AA58" s="1">
        <v>7.8465999999999996</v>
      </c>
      <c r="AB58" s="1">
        <v>5.8376000000000001</v>
      </c>
      <c r="AC58" s="1">
        <v>7.4585999999999997</v>
      </c>
      <c r="AD58" s="1">
        <v>5.7283999999999997</v>
      </c>
      <c r="AE58" s="1">
        <v>4.1044</v>
      </c>
      <c r="AF58" s="1">
        <v>0.55599999999999994</v>
      </c>
      <c r="AG58" s="1">
        <v>4.5941999999999998</v>
      </c>
      <c r="AH58" s="1"/>
      <c r="AI58" s="1">
        <f t="shared" si="17"/>
        <v>31.068400000000032</v>
      </c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</row>
    <row r="59" spans="1:51" x14ac:dyDescent="0.25">
      <c r="A59" s="1" t="s">
        <v>101</v>
      </c>
      <c r="B59" s="1" t="s">
        <v>38</v>
      </c>
      <c r="C59" s="1">
        <v>58.661999999999999</v>
      </c>
      <c r="D59" s="1"/>
      <c r="E59" s="1">
        <v>44.381</v>
      </c>
      <c r="F59" s="1">
        <v>7.702</v>
      </c>
      <c r="G59" s="8">
        <v>1</v>
      </c>
      <c r="H59" s="1">
        <v>40</v>
      </c>
      <c r="I59" s="1" t="s">
        <v>39</v>
      </c>
      <c r="J59" s="1"/>
      <c r="K59" s="1">
        <v>43.8</v>
      </c>
      <c r="L59" s="1">
        <f t="shared" si="13"/>
        <v>0.58100000000000307</v>
      </c>
      <c r="M59" s="1">
        <f t="shared" si="4"/>
        <v>44.381</v>
      </c>
      <c r="N59" s="1"/>
      <c r="O59" s="1"/>
      <c r="P59" s="1">
        <v>35.810200000000023</v>
      </c>
      <c r="Q59" s="1"/>
      <c r="R59" s="1"/>
      <c r="S59" s="1">
        <f t="shared" si="5"/>
        <v>8.8762000000000008</v>
      </c>
      <c r="T59" s="5">
        <f t="shared" si="19"/>
        <v>71.878399999999985</v>
      </c>
      <c r="U59" s="5"/>
      <c r="V59" s="1"/>
      <c r="W59" s="1"/>
      <c r="X59" s="1">
        <f t="shared" si="7"/>
        <v>13</v>
      </c>
      <c r="Y59" s="1">
        <f t="shared" si="8"/>
        <v>4.9021202766949843</v>
      </c>
      <c r="Z59" s="1">
        <v>6.9022000000000006</v>
      </c>
      <c r="AA59" s="1">
        <v>4.2786</v>
      </c>
      <c r="AB59" s="1">
        <v>5.6212</v>
      </c>
      <c r="AC59" s="1">
        <v>7.9974000000000007</v>
      </c>
      <c r="AD59" s="1">
        <v>4.0177999999999994</v>
      </c>
      <c r="AE59" s="1">
        <v>3.0268000000000002</v>
      </c>
      <c r="AF59" s="1">
        <v>3.5714000000000001</v>
      </c>
      <c r="AG59" s="1">
        <v>3.5577999999999999</v>
      </c>
      <c r="AH59" s="1"/>
      <c r="AI59" s="1">
        <f t="shared" si="17"/>
        <v>71.878399999999985</v>
      </c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</row>
    <row r="60" spans="1:51" x14ac:dyDescent="0.25">
      <c r="A60" s="1" t="s">
        <v>102</v>
      </c>
      <c r="B60" s="1" t="s">
        <v>43</v>
      </c>
      <c r="C60" s="1">
        <v>839</v>
      </c>
      <c r="D60" s="1">
        <v>1593</v>
      </c>
      <c r="E60" s="1">
        <v>1072</v>
      </c>
      <c r="F60" s="1">
        <v>1141</v>
      </c>
      <c r="G60" s="8">
        <v>0.4</v>
      </c>
      <c r="H60" s="1">
        <v>40</v>
      </c>
      <c r="I60" s="1" t="s">
        <v>39</v>
      </c>
      <c r="J60" s="1"/>
      <c r="K60" s="1">
        <v>1085</v>
      </c>
      <c r="L60" s="1">
        <f t="shared" si="13"/>
        <v>-13</v>
      </c>
      <c r="M60" s="1">
        <f t="shared" si="4"/>
        <v>1072</v>
      </c>
      <c r="N60" s="1"/>
      <c r="O60" s="1"/>
      <c r="P60" s="1">
        <v>855</v>
      </c>
      <c r="Q60" s="1"/>
      <c r="R60" s="1"/>
      <c r="S60" s="1">
        <f t="shared" si="5"/>
        <v>214.4</v>
      </c>
      <c r="T60" s="5">
        <f t="shared" si="19"/>
        <v>791.20000000000027</v>
      </c>
      <c r="U60" s="5"/>
      <c r="V60" s="1"/>
      <c r="W60" s="1"/>
      <c r="X60" s="1">
        <f t="shared" si="7"/>
        <v>13.000000000000002</v>
      </c>
      <c r="Y60" s="1">
        <f t="shared" si="8"/>
        <v>9.3097014925373127</v>
      </c>
      <c r="Z60" s="1">
        <v>228.8</v>
      </c>
      <c r="AA60" s="1">
        <v>228.4</v>
      </c>
      <c r="AB60" s="1">
        <v>196.6</v>
      </c>
      <c r="AC60" s="1">
        <v>176.2</v>
      </c>
      <c r="AD60" s="1">
        <v>180.6</v>
      </c>
      <c r="AE60" s="1">
        <v>184.4</v>
      </c>
      <c r="AF60" s="1">
        <v>170.4</v>
      </c>
      <c r="AG60" s="1">
        <v>166.4</v>
      </c>
      <c r="AH60" s="1"/>
      <c r="AI60" s="1">
        <f t="shared" si="17"/>
        <v>316.48000000000013</v>
      </c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</row>
    <row r="61" spans="1:51" x14ac:dyDescent="0.25">
      <c r="A61" s="1" t="s">
        <v>103</v>
      </c>
      <c r="B61" s="1" t="s">
        <v>43</v>
      </c>
      <c r="C61" s="1">
        <v>568</v>
      </c>
      <c r="D61" s="1">
        <v>1147</v>
      </c>
      <c r="E61" s="1">
        <v>697</v>
      </c>
      <c r="F61" s="1">
        <v>807</v>
      </c>
      <c r="G61" s="8">
        <v>0.4</v>
      </c>
      <c r="H61" s="1">
        <v>40</v>
      </c>
      <c r="I61" s="1" t="s">
        <v>39</v>
      </c>
      <c r="J61" s="1"/>
      <c r="K61" s="1">
        <v>720</v>
      </c>
      <c r="L61" s="1">
        <f t="shared" si="13"/>
        <v>-23</v>
      </c>
      <c r="M61" s="1">
        <f t="shared" si="4"/>
        <v>697</v>
      </c>
      <c r="N61" s="1"/>
      <c r="O61" s="1"/>
      <c r="P61" s="1">
        <v>603.59999999999968</v>
      </c>
      <c r="Q61" s="1"/>
      <c r="R61" s="1"/>
      <c r="S61" s="1">
        <f t="shared" si="5"/>
        <v>139.4</v>
      </c>
      <c r="T61" s="5">
        <f t="shared" si="19"/>
        <v>401.60000000000036</v>
      </c>
      <c r="U61" s="5"/>
      <c r="V61" s="1"/>
      <c r="W61" s="1"/>
      <c r="X61" s="1">
        <f t="shared" si="7"/>
        <v>13</v>
      </c>
      <c r="Y61" s="1">
        <f t="shared" si="8"/>
        <v>10.119081779053081</v>
      </c>
      <c r="Z61" s="1">
        <v>156</v>
      </c>
      <c r="AA61" s="1">
        <v>158.4</v>
      </c>
      <c r="AB61" s="1">
        <v>148.19999999999999</v>
      </c>
      <c r="AC61" s="1">
        <v>122</v>
      </c>
      <c r="AD61" s="1">
        <v>126.6</v>
      </c>
      <c r="AE61" s="1">
        <v>132</v>
      </c>
      <c r="AF61" s="1">
        <v>119</v>
      </c>
      <c r="AG61" s="1">
        <v>128</v>
      </c>
      <c r="AH61" s="1"/>
      <c r="AI61" s="1">
        <f t="shared" si="17"/>
        <v>160.64000000000016</v>
      </c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</row>
    <row r="62" spans="1:51" x14ac:dyDescent="0.25">
      <c r="A62" s="1" t="s">
        <v>104</v>
      </c>
      <c r="B62" s="1" t="s">
        <v>38</v>
      </c>
      <c r="C62" s="1">
        <v>853.31</v>
      </c>
      <c r="D62" s="1">
        <v>341.62</v>
      </c>
      <c r="E62" s="1">
        <v>582.25099999999998</v>
      </c>
      <c r="F62" s="1">
        <v>416.98099999999999</v>
      </c>
      <c r="G62" s="8">
        <v>1</v>
      </c>
      <c r="H62" s="1">
        <v>40</v>
      </c>
      <c r="I62" s="1" t="s">
        <v>39</v>
      </c>
      <c r="J62" s="1"/>
      <c r="K62" s="1">
        <v>569.75199999999995</v>
      </c>
      <c r="L62" s="1">
        <f t="shared" si="13"/>
        <v>12.499000000000024</v>
      </c>
      <c r="M62" s="1">
        <f t="shared" si="4"/>
        <v>582.25099999999998</v>
      </c>
      <c r="N62" s="1"/>
      <c r="O62" s="1"/>
      <c r="P62" s="1">
        <v>553.63259999999968</v>
      </c>
      <c r="Q62" s="1"/>
      <c r="R62" s="1"/>
      <c r="S62" s="1">
        <f t="shared" si="5"/>
        <v>116.4502</v>
      </c>
      <c r="T62" s="5">
        <f t="shared" si="19"/>
        <v>543.23900000000026</v>
      </c>
      <c r="U62" s="5"/>
      <c r="V62" s="1"/>
      <c r="W62" s="1"/>
      <c r="X62" s="1">
        <f t="shared" si="7"/>
        <v>13</v>
      </c>
      <c r="Y62" s="1">
        <f t="shared" si="8"/>
        <v>8.3350101588490162</v>
      </c>
      <c r="Z62" s="1">
        <v>121.652</v>
      </c>
      <c r="AA62" s="1">
        <v>108.2684</v>
      </c>
      <c r="AB62" s="1">
        <v>108.13200000000001</v>
      </c>
      <c r="AC62" s="1">
        <v>125.53660000000001</v>
      </c>
      <c r="AD62" s="1">
        <v>136.41659999999999</v>
      </c>
      <c r="AE62" s="1">
        <v>113.4212</v>
      </c>
      <c r="AF62" s="1">
        <v>109.2316</v>
      </c>
      <c r="AG62" s="1">
        <v>119.00839999999999</v>
      </c>
      <c r="AH62" s="1"/>
      <c r="AI62" s="1">
        <f t="shared" si="17"/>
        <v>543.23900000000026</v>
      </c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</row>
    <row r="63" spans="1:51" x14ac:dyDescent="0.25">
      <c r="A63" s="1" t="s">
        <v>105</v>
      </c>
      <c r="B63" s="1" t="s">
        <v>38</v>
      </c>
      <c r="C63" s="1">
        <v>218.80699999999999</v>
      </c>
      <c r="D63" s="1">
        <v>526.005</v>
      </c>
      <c r="E63" s="1">
        <v>414.38200000000001</v>
      </c>
      <c r="F63" s="1">
        <v>194.773</v>
      </c>
      <c r="G63" s="8">
        <v>1</v>
      </c>
      <c r="H63" s="1">
        <v>40</v>
      </c>
      <c r="I63" s="1" t="s">
        <v>39</v>
      </c>
      <c r="J63" s="1"/>
      <c r="K63" s="1">
        <v>404.536</v>
      </c>
      <c r="L63" s="1">
        <f t="shared" si="13"/>
        <v>9.8460000000000036</v>
      </c>
      <c r="M63" s="1">
        <f t="shared" si="4"/>
        <v>398.096</v>
      </c>
      <c r="N63" s="1">
        <v>16.286000000000001</v>
      </c>
      <c r="O63" s="1"/>
      <c r="P63" s="1">
        <v>269.79040000000009</v>
      </c>
      <c r="Q63" s="1"/>
      <c r="R63" s="1"/>
      <c r="S63" s="1">
        <f t="shared" si="5"/>
        <v>79.619200000000006</v>
      </c>
      <c r="T63" s="5">
        <f t="shared" si="19"/>
        <v>570.48619999999994</v>
      </c>
      <c r="U63" s="5"/>
      <c r="V63" s="1"/>
      <c r="W63" s="1"/>
      <c r="X63" s="1">
        <f t="shared" si="7"/>
        <v>13</v>
      </c>
      <c r="Y63" s="1">
        <f t="shared" si="8"/>
        <v>5.8348162252321059</v>
      </c>
      <c r="Z63" s="1">
        <v>69.424200000000013</v>
      </c>
      <c r="AA63" s="1">
        <v>67.4358</v>
      </c>
      <c r="AB63" s="1">
        <v>58.606599999999993</v>
      </c>
      <c r="AC63" s="1">
        <v>53.909799999999997</v>
      </c>
      <c r="AD63" s="1">
        <v>56.66340000000001</v>
      </c>
      <c r="AE63" s="1">
        <v>59.118600000000001</v>
      </c>
      <c r="AF63" s="1">
        <v>64.179199999999994</v>
      </c>
      <c r="AG63" s="1">
        <v>71.641400000000004</v>
      </c>
      <c r="AH63" s="1"/>
      <c r="AI63" s="1">
        <f t="shared" si="17"/>
        <v>570.48619999999994</v>
      </c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</row>
    <row r="64" spans="1:51" x14ac:dyDescent="0.25">
      <c r="A64" s="1" t="s">
        <v>106</v>
      </c>
      <c r="B64" s="1" t="s">
        <v>38</v>
      </c>
      <c r="C64" s="1">
        <v>384.49200000000002</v>
      </c>
      <c r="D64" s="1">
        <v>467.31299999999999</v>
      </c>
      <c r="E64" s="1">
        <v>498.03100000000001</v>
      </c>
      <c r="F64" s="1">
        <v>210.88800000000001</v>
      </c>
      <c r="G64" s="8">
        <v>1</v>
      </c>
      <c r="H64" s="1">
        <v>40</v>
      </c>
      <c r="I64" s="1" t="s">
        <v>39</v>
      </c>
      <c r="J64" s="1"/>
      <c r="K64" s="1">
        <v>490.60899999999998</v>
      </c>
      <c r="L64" s="1">
        <f t="shared" si="13"/>
        <v>7.4220000000000255</v>
      </c>
      <c r="M64" s="1">
        <f t="shared" si="4"/>
        <v>469.82900000000001</v>
      </c>
      <c r="N64" s="1">
        <v>28.202000000000002</v>
      </c>
      <c r="O64" s="1"/>
      <c r="P64" s="1">
        <v>260.1751999999999</v>
      </c>
      <c r="Q64" s="1"/>
      <c r="R64" s="1"/>
      <c r="S64" s="1">
        <f t="shared" si="5"/>
        <v>93.965800000000002</v>
      </c>
      <c r="T64" s="5">
        <f t="shared" si="19"/>
        <v>750.49220000000003</v>
      </c>
      <c r="U64" s="5"/>
      <c r="V64" s="1"/>
      <c r="W64" s="1"/>
      <c r="X64" s="1">
        <f t="shared" si="7"/>
        <v>13</v>
      </c>
      <c r="Y64" s="1">
        <f t="shared" si="8"/>
        <v>5.0131345659803879</v>
      </c>
      <c r="Z64" s="1">
        <v>72.241599999999991</v>
      </c>
      <c r="AA64" s="1">
        <v>76.343199999999996</v>
      </c>
      <c r="AB64" s="1">
        <v>82.772999999999996</v>
      </c>
      <c r="AC64" s="1">
        <v>73.986000000000004</v>
      </c>
      <c r="AD64" s="1">
        <v>64.55080000000001</v>
      </c>
      <c r="AE64" s="1">
        <v>66.826800000000006</v>
      </c>
      <c r="AF64" s="1">
        <v>82.389600000000002</v>
      </c>
      <c r="AG64" s="1">
        <v>84.775400000000005</v>
      </c>
      <c r="AH64" s="1"/>
      <c r="AI64" s="1">
        <f t="shared" si="17"/>
        <v>750.49220000000003</v>
      </c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</row>
    <row r="65" spans="1:51" x14ac:dyDescent="0.25">
      <c r="A65" s="1" t="s">
        <v>107</v>
      </c>
      <c r="B65" s="1" t="s">
        <v>38</v>
      </c>
      <c r="C65" s="1">
        <v>121.52200000000001</v>
      </c>
      <c r="D65" s="1">
        <v>76.816000000000003</v>
      </c>
      <c r="E65" s="1">
        <v>105.42</v>
      </c>
      <c r="F65" s="1">
        <v>80.165999999999997</v>
      </c>
      <c r="G65" s="8">
        <v>1</v>
      </c>
      <c r="H65" s="1">
        <v>30</v>
      </c>
      <c r="I65" s="1" t="s">
        <v>39</v>
      </c>
      <c r="J65" s="1"/>
      <c r="K65" s="1">
        <v>114.2</v>
      </c>
      <c r="L65" s="1">
        <f t="shared" si="13"/>
        <v>-8.7800000000000011</v>
      </c>
      <c r="M65" s="1">
        <f t="shared" si="4"/>
        <v>105.42</v>
      </c>
      <c r="N65" s="1"/>
      <c r="O65" s="1"/>
      <c r="P65" s="1">
        <v>34.305800000000033</v>
      </c>
      <c r="Q65" s="1"/>
      <c r="R65" s="1"/>
      <c r="S65" s="1">
        <f t="shared" si="5"/>
        <v>21.084</v>
      </c>
      <c r="T65" s="5">
        <f t="shared" si="19"/>
        <v>159.62019999999995</v>
      </c>
      <c r="U65" s="5"/>
      <c r="V65" s="1"/>
      <c r="W65" s="1"/>
      <c r="X65" s="1">
        <f t="shared" si="7"/>
        <v>13</v>
      </c>
      <c r="Y65" s="1">
        <f t="shared" si="8"/>
        <v>5.4293208119901362</v>
      </c>
      <c r="Z65" s="1">
        <v>17.145399999999999</v>
      </c>
      <c r="AA65" s="1">
        <v>19.202000000000002</v>
      </c>
      <c r="AB65" s="1">
        <v>17.738800000000001</v>
      </c>
      <c r="AC65" s="1">
        <v>19.161200000000001</v>
      </c>
      <c r="AD65" s="1">
        <v>19.527999999999999</v>
      </c>
      <c r="AE65" s="1">
        <v>18.597999999999999</v>
      </c>
      <c r="AF65" s="1">
        <v>20.026199999999999</v>
      </c>
      <c r="AG65" s="1">
        <v>14.9964</v>
      </c>
      <c r="AH65" s="1" t="s">
        <v>74</v>
      </c>
      <c r="AI65" s="1">
        <f t="shared" si="17"/>
        <v>159.62019999999995</v>
      </c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</row>
    <row r="66" spans="1:51" x14ac:dyDescent="0.25">
      <c r="A66" s="1" t="s">
        <v>108</v>
      </c>
      <c r="B66" s="1" t="s">
        <v>43</v>
      </c>
      <c r="C66" s="1">
        <v>106</v>
      </c>
      <c r="D66" s="1">
        <v>40</v>
      </c>
      <c r="E66" s="1">
        <v>69</v>
      </c>
      <c r="F66" s="1">
        <v>77</v>
      </c>
      <c r="G66" s="8">
        <v>0.6</v>
      </c>
      <c r="H66" s="1">
        <v>60</v>
      </c>
      <c r="I66" s="1" t="s">
        <v>39</v>
      </c>
      <c r="J66" s="1"/>
      <c r="K66" s="1">
        <v>69</v>
      </c>
      <c r="L66" s="1">
        <f t="shared" si="13"/>
        <v>0</v>
      </c>
      <c r="M66" s="1">
        <f t="shared" si="4"/>
        <v>69</v>
      </c>
      <c r="N66" s="1"/>
      <c r="O66" s="1"/>
      <c r="P66" s="1">
        <v>69</v>
      </c>
      <c r="Q66" s="1"/>
      <c r="R66" s="1"/>
      <c r="S66" s="1">
        <f t="shared" si="5"/>
        <v>13.8</v>
      </c>
      <c r="T66" s="5">
        <f t="shared" si="16"/>
        <v>47.200000000000017</v>
      </c>
      <c r="U66" s="5"/>
      <c r="V66" s="1"/>
      <c r="W66" s="1"/>
      <c r="X66" s="1">
        <f t="shared" si="7"/>
        <v>14</v>
      </c>
      <c r="Y66" s="1">
        <f t="shared" si="8"/>
        <v>10.579710144927535</v>
      </c>
      <c r="Z66" s="1">
        <v>14</v>
      </c>
      <c r="AA66" s="1">
        <v>13.8</v>
      </c>
      <c r="AB66" s="1">
        <v>12.8</v>
      </c>
      <c r="AC66" s="1">
        <v>14.4</v>
      </c>
      <c r="AD66" s="1">
        <v>14.4</v>
      </c>
      <c r="AE66" s="1">
        <v>13.8</v>
      </c>
      <c r="AF66" s="1">
        <v>15.2</v>
      </c>
      <c r="AG66" s="1">
        <v>15</v>
      </c>
      <c r="AH66" s="1" t="s">
        <v>99</v>
      </c>
      <c r="AI66" s="1">
        <f t="shared" si="17"/>
        <v>28.320000000000011</v>
      </c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</row>
    <row r="67" spans="1:51" x14ac:dyDescent="0.25">
      <c r="A67" s="11" t="s">
        <v>109</v>
      </c>
      <c r="B67" s="11" t="s">
        <v>43</v>
      </c>
      <c r="C67" s="11"/>
      <c r="D67" s="11"/>
      <c r="E67" s="11">
        <v>1</v>
      </c>
      <c r="F67" s="11">
        <v>-2</v>
      </c>
      <c r="G67" s="12">
        <v>0</v>
      </c>
      <c r="H67" s="11">
        <v>50</v>
      </c>
      <c r="I67" s="11" t="s">
        <v>110</v>
      </c>
      <c r="J67" s="11"/>
      <c r="K67" s="11">
        <v>24</v>
      </c>
      <c r="L67" s="11">
        <f t="shared" si="13"/>
        <v>-23</v>
      </c>
      <c r="M67" s="11">
        <f t="shared" si="4"/>
        <v>1</v>
      </c>
      <c r="N67" s="11"/>
      <c r="O67" s="11"/>
      <c r="P67" s="11">
        <v>0</v>
      </c>
      <c r="Q67" s="11"/>
      <c r="R67" s="11"/>
      <c r="S67" s="11">
        <f t="shared" si="5"/>
        <v>0.2</v>
      </c>
      <c r="T67" s="13"/>
      <c r="U67" s="13"/>
      <c r="V67" s="11"/>
      <c r="W67" s="11"/>
      <c r="X67" s="11">
        <f t="shared" si="7"/>
        <v>-10</v>
      </c>
      <c r="Y67" s="11">
        <f t="shared" si="8"/>
        <v>-10</v>
      </c>
      <c r="Z67" s="11">
        <v>-0.2</v>
      </c>
      <c r="AA67" s="11">
        <v>0.2</v>
      </c>
      <c r="AB67" s="11">
        <v>3.8</v>
      </c>
      <c r="AC67" s="11">
        <v>9.6</v>
      </c>
      <c r="AD67" s="11">
        <v>14.4</v>
      </c>
      <c r="AE67" s="11">
        <v>16.2</v>
      </c>
      <c r="AF67" s="11">
        <v>16</v>
      </c>
      <c r="AG67" s="11">
        <v>15.8</v>
      </c>
      <c r="AH67" s="11"/>
      <c r="AI67" s="1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</row>
    <row r="68" spans="1:51" x14ac:dyDescent="0.25">
      <c r="A68" s="1" t="s">
        <v>111</v>
      </c>
      <c r="B68" s="1" t="s">
        <v>43</v>
      </c>
      <c r="C68" s="1">
        <v>992</v>
      </c>
      <c r="D68" s="1">
        <v>201</v>
      </c>
      <c r="E68" s="1">
        <v>425</v>
      </c>
      <c r="F68" s="1">
        <v>716</v>
      </c>
      <c r="G68" s="8">
        <v>0.37</v>
      </c>
      <c r="H68" s="1">
        <v>50</v>
      </c>
      <c r="I68" s="1" t="s">
        <v>39</v>
      </c>
      <c r="J68" s="1"/>
      <c r="K68" s="1">
        <v>426</v>
      </c>
      <c r="L68" s="1">
        <f t="shared" si="13"/>
        <v>-1</v>
      </c>
      <c r="M68" s="1">
        <f t="shared" si="4"/>
        <v>425</v>
      </c>
      <c r="N68" s="1"/>
      <c r="O68" s="1">
        <v>129.58000000000001</v>
      </c>
      <c r="P68" s="1">
        <v>0</v>
      </c>
      <c r="Q68" s="1"/>
      <c r="R68" s="1"/>
      <c r="S68" s="1">
        <f t="shared" si="5"/>
        <v>85</v>
      </c>
      <c r="T68" s="5">
        <f t="shared" ref="T68:T86" si="20">14*S68-R68-Q68-P68-O68-F68</f>
        <v>344.42000000000007</v>
      </c>
      <c r="U68" s="5"/>
      <c r="V68" s="1"/>
      <c r="W68" s="1"/>
      <c r="X68" s="1">
        <f t="shared" si="7"/>
        <v>14</v>
      </c>
      <c r="Y68" s="1">
        <f t="shared" si="8"/>
        <v>9.9480000000000004</v>
      </c>
      <c r="Z68" s="1">
        <v>75</v>
      </c>
      <c r="AA68" s="1">
        <v>83.6</v>
      </c>
      <c r="AB68" s="1">
        <v>87.4</v>
      </c>
      <c r="AC68" s="1">
        <v>83.8</v>
      </c>
      <c r="AD68" s="1">
        <v>117.6</v>
      </c>
      <c r="AE68" s="1">
        <v>115.6</v>
      </c>
      <c r="AF68" s="1">
        <v>96.8</v>
      </c>
      <c r="AG68" s="1">
        <v>114.6</v>
      </c>
      <c r="AH68" s="1"/>
      <c r="AI68" s="1">
        <f t="shared" ref="AI68:AI87" si="21">G68*T68</f>
        <v>127.43540000000003</v>
      </c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</row>
    <row r="69" spans="1:51" x14ac:dyDescent="0.25">
      <c r="A69" s="1" t="s">
        <v>112</v>
      </c>
      <c r="B69" s="1" t="s">
        <v>43</v>
      </c>
      <c r="C69" s="1">
        <v>45</v>
      </c>
      <c r="D69" s="1">
        <v>30</v>
      </c>
      <c r="E69" s="1">
        <v>37</v>
      </c>
      <c r="F69" s="1">
        <v>32</v>
      </c>
      <c r="G69" s="8">
        <v>0.4</v>
      </c>
      <c r="H69" s="1">
        <v>30</v>
      </c>
      <c r="I69" s="1" t="s">
        <v>39</v>
      </c>
      <c r="J69" s="1"/>
      <c r="K69" s="1">
        <v>41</v>
      </c>
      <c r="L69" s="1">
        <f t="shared" si="13"/>
        <v>-4</v>
      </c>
      <c r="M69" s="1">
        <f t="shared" si="4"/>
        <v>37</v>
      </c>
      <c r="N69" s="1"/>
      <c r="O69" s="1"/>
      <c r="P69" s="1">
        <v>42.800000000000011</v>
      </c>
      <c r="Q69" s="1"/>
      <c r="R69" s="1"/>
      <c r="S69" s="1">
        <f t="shared" si="5"/>
        <v>7.4</v>
      </c>
      <c r="T69" s="5">
        <f>13*S69-R69-Q69-P69-O69-F69</f>
        <v>21.399999999999991</v>
      </c>
      <c r="U69" s="5"/>
      <c r="V69" s="1"/>
      <c r="W69" s="1"/>
      <c r="X69" s="1">
        <f t="shared" si="7"/>
        <v>13</v>
      </c>
      <c r="Y69" s="1">
        <f t="shared" si="8"/>
        <v>10.108108108108109</v>
      </c>
      <c r="Z69" s="1">
        <v>7.4</v>
      </c>
      <c r="AA69" s="1">
        <v>7.2</v>
      </c>
      <c r="AB69" s="1">
        <v>6.2</v>
      </c>
      <c r="AC69" s="1">
        <v>7</v>
      </c>
      <c r="AD69" s="1">
        <v>8.4</v>
      </c>
      <c r="AE69" s="1">
        <v>5.8</v>
      </c>
      <c r="AF69" s="1">
        <v>4.8</v>
      </c>
      <c r="AG69" s="1">
        <v>4</v>
      </c>
      <c r="AH69" s="1"/>
      <c r="AI69" s="1">
        <f t="shared" si="21"/>
        <v>8.5599999999999969</v>
      </c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</row>
    <row r="70" spans="1:51" x14ac:dyDescent="0.25">
      <c r="A70" s="1" t="s">
        <v>113</v>
      </c>
      <c r="B70" s="1" t="s">
        <v>43</v>
      </c>
      <c r="C70" s="1">
        <v>120</v>
      </c>
      <c r="D70" s="1">
        <v>56</v>
      </c>
      <c r="E70" s="1">
        <v>89.6</v>
      </c>
      <c r="F70" s="1">
        <v>86.4</v>
      </c>
      <c r="G70" s="8">
        <v>0.6</v>
      </c>
      <c r="H70" s="1">
        <v>55</v>
      </c>
      <c r="I70" s="1" t="s">
        <v>39</v>
      </c>
      <c r="J70" s="1"/>
      <c r="K70" s="1">
        <v>89.6</v>
      </c>
      <c r="L70" s="1">
        <f t="shared" ref="L70:L94" si="22">E70-K70</f>
        <v>0</v>
      </c>
      <c r="M70" s="1">
        <f t="shared" si="4"/>
        <v>89.6</v>
      </c>
      <c r="N70" s="1"/>
      <c r="O70" s="1"/>
      <c r="P70" s="1">
        <v>0</v>
      </c>
      <c r="Q70" s="1"/>
      <c r="R70" s="1"/>
      <c r="S70" s="1">
        <f t="shared" si="5"/>
        <v>17.919999999999998</v>
      </c>
      <c r="T70" s="5">
        <f t="shared" si="20"/>
        <v>164.47999999999996</v>
      </c>
      <c r="U70" s="5"/>
      <c r="V70" s="1"/>
      <c r="W70" s="1"/>
      <c r="X70" s="1">
        <f t="shared" si="7"/>
        <v>14</v>
      </c>
      <c r="Y70" s="1">
        <f t="shared" si="8"/>
        <v>4.8214285714285721</v>
      </c>
      <c r="Z70" s="1">
        <v>11.6</v>
      </c>
      <c r="AA70" s="1">
        <v>13.2</v>
      </c>
      <c r="AB70" s="1">
        <v>15.2</v>
      </c>
      <c r="AC70" s="1">
        <v>16.399999999999999</v>
      </c>
      <c r="AD70" s="1">
        <v>13.8</v>
      </c>
      <c r="AE70" s="1">
        <v>8.1999999999999993</v>
      </c>
      <c r="AF70" s="1">
        <v>10.199999999999999</v>
      </c>
      <c r="AG70" s="1">
        <v>9.6</v>
      </c>
      <c r="AH70" s="1" t="s">
        <v>74</v>
      </c>
      <c r="AI70" s="1">
        <f t="shared" si="21"/>
        <v>98.687999999999974</v>
      </c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</row>
    <row r="71" spans="1:51" x14ac:dyDescent="0.25">
      <c r="A71" s="17" t="s">
        <v>114</v>
      </c>
      <c r="B71" s="1" t="s">
        <v>43</v>
      </c>
      <c r="C71" s="1">
        <v>2</v>
      </c>
      <c r="D71" s="1"/>
      <c r="E71" s="1"/>
      <c r="F71" s="1"/>
      <c r="G71" s="8">
        <v>0.45</v>
      </c>
      <c r="H71" s="1">
        <v>40</v>
      </c>
      <c r="I71" s="1" t="s">
        <v>39</v>
      </c>
      <c r="J71" s="1"/>
      <c r="K71" s="1">
        <v>24</v>
      </c>
      <c r="L71" s="1">
        <f t="shared" si="22"/>
        <v>-24</v>
      </c>
      <c r="M71" s="1">
        <f t="shared" ref="M71:M94" si="23">E71-N71</f>
        <v>0</v>
      </c>
      <c r="N71" s="1"/>
      <c r="O71" s="1"/>
      <c r="P71" s="17"/>
      <c r="Q71" s="1"/>
      <c r="R71" s="1"/>
      <c r="S71" s="1">
        <f t="shared" ref="S71:S94" si="24">M71/5</f>
        <v>0</v>
      </c>
      <c r="T71" s="18">
        <v>10</v>
      </c>
      <c r="U71" s="5"/>
      <c r="V71" s="1"/>
      <c r="W71" s="1"/>
      <c r="X71" s="1" t="e">
        <f t="shared" ref="X71:X94" si="25">(F71+O71+P71+Q71+R71+T71)/S71</f>
        <v>#DIV/0!</v>
      </c>
      <c r="Y71" s="1" t="e">
        <f t="shared" ref="Y71:Y94" si="26">(F71+O71+P71+Q71+R71)/S71</f>
        <v>#DIV/0!</v>
      </c>
      <c r="Z71" s="1">
        <v>0</v>
      </c>
      <c r="AA71" s="1">
        <v>-0.2</v>
      </c>
      <c r="AB71" s="1">
        <v>-0.2</v>
      </c>
      <c r="AC71" s="1">
        <v>0.4</v>
      </c>
      <c r="AD71" s="1">
        <v>2.6</v>
      </c>
      <c r="AE71" s="1">
        <v>6.2</v>
      </c>
      <c r="AF71" s="1">
        <v>6.8</v>
      </c>
      <c r="AG71" s="1">
        <v>5.6</v>
      </c>
      <c r="AH71" s="17" t="s">
        <v>115</v>
      </c>
      <c r="AI71" s="1">
        <f t="shared" si="21"/>
        <v>4.5</v>
      </c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</row>
    <row r="72" spans="1:51" x14ac:dyDescent="0.25">
      <c r="A72" s="1" t="s">
        <v>116</v>
      </c>
      <c r="B72" s="1" t="s">
        <v>43</v>
      </c>
      <c r="C72" s="1">
        <v>355</v>
      </c>
      <c r="D72" s="1">
        <v>768</v>
      </c>
      <c r="E72" s="1">
        <v>454</v>
      </c>
      <c r="F72" s="1">
        <v>633</v>
      </c>
      <c r="G72" s="8">
        <v>0.4</v>
      </c>
      <c r="H72" s="1">
        <v>50</v>
      </c>
      <c r="I72" s="1" t="s">
        <v>39</v>
      </c>
      <c r="J72" s="1"/>
      <c r="K72" s="1">
        <v>455</v>
      </c>
      <c r="L72" s="1">
        <f t="shared" si="22"/>
        <v>-1</v>
      </c>
      <c r="M72" s="1">
        <f t="shared" si="23"/>
        <v>454</v>
      </c>
      <c r="N72" s="1"/>
      <c r="O72" s="1">
        <v>132.37</v>
      </c>
      <c r="P72" s="1">
        <v>0</v>
      </c>
      <c r="Q72" s="1"/>
      <c r="R72" s="1">
        <v>178.65</v>
      </c>
      <c r="S72" s="1">
        <f t="shared" si="24"/>
        <v>90.8</v>
      </c>
      <c r="T72" s="5">
        <f t="shared" si="20"/>
        <v>327.17999999999995</v>
      </c>
      <c r="U72" s="5"/>
      <c r="V72" s="1"/>
      <c r="W72" s="1"/>
      <c r="X72" s="1">
        <f t="shared" si="25"/>
        <v>13.999999999999998</v>
      </c>
      <c r="Y72" s="1">
        <f t="shared" si="26"/>
        <v>10.396696035242291</v>
      </c>
      <c r="Z72" s="1">
        <v>79.400000000000006</v>
      </c>
      <c r="AA72" s="1">
        <v>85.4</v>
      </c>
      <c r="AB72" s="1">
        <v>70.599999999999994</v>
      </c>
      <c r="AC72" s="1">
        <v>59</v>
      </c>
      <c r="AD72" s="1">
        <v>56.8</v>
      </c>
      <c r="AE72" s="1">
        <v>47</v>
      </c>
      <c r="AF72" s="1">
        <v>41</v>
      </c>
      <c r="AG72" s="1">
        <v>47.4</v>
      </c>
      <c r="AH72" s="1" t="s">
        <v>74</v>
      </c>
      <c r="AI72" s="1">
        <f t="shared" si="21"/>
        <v>130.87199999999999</v>
      </c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</row>
    <row r="73" spans="1:51" x14ac:dyDescent="0.25">
      <c r="A73" s="1" t="s">
        <v>117</v>
      </c>
      <c r="B73" s="1" t="s">
        <v>43</v>
      </c>
      <c r="C73" s="1">
        <v>29</v>
      </c>
      <c r="D73" s="1">
        <v>67</v>
      </c>
      <c r="E73" s="1">
        <v>32</v>
      </c>
      <c r="F73" s="1">
        <v>50</v>
      </c>
      <c r="G73" s="8">
        <v>0.4</v>
      </c>
      <c r="H73" s="1">
        <v>55</v>
      </c>
      <c r="I73" s="1" t="s">
        <v>39</v>
      </c>
      <c r="J73" s="1"/>
      <c r="K73" s="1">
        <v>42</v>
      </c>
      <c r="L73" s="1">
        <f t="shared" si="22"/>
        <v>-10</v>
      </c>
      <c r="M73" s="1">
        <f t="shared" si="23"/>
        <v>32</v>
      </c>
      <c r="N73" s="1"/>
      <c r="O73" s="1"/>
      <c r="P73" s="1">
        <v>40.4</v>
      </c>
      <c r="Q73" s="1"/>
      <c r="R73" s="1"/>
      <c r="S73" s="1">
        <f t="shared" si="24"/>
        <v>6.4</v>
      </c>
      <c r="T73" s="5"/>
      <c r="U73" s="5"/>
      <c r="V73" s="1"/>
      <c r="W73" s="1"/>
      <c r="X73" s="1">
        <f t="shared" si="25"/>
        <v>14.125</v>
      </c>
      <c r="Y73" s="1">
        <f t="shared" si="26"/>
        <v>14.125</v>
      </c>
      <c r="Z73" s="1">
        <v>8.8000000000000007</v>
      </c>
      <c r="AA73" s="1">
        <v>7.2</v>
      </c>
      <c r="AB73" s="1">
        <v>4.8</v>
      </c>
      <c r="AC73" s="1">
        <v>3.2</v>
      </c>
      <c r="AD73" s="1">
        <v>4.5999999999999996</v>
      </c>
      <c r="AE73" s="1">
        <v>5.8</v>
      </c>
      <c r="AF73" s="1">
        <v>7.8</v>
      </c>
      <c r="AG73" s="1">
        <v>9.8000000000000007</v>
      </c>
      <c r="AH73" s="1"/>
      <c r="AI73" s="1">
        <f t="shared" si="21"/>
        <v>0</v>
      </c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</row>
    <row r="74" spans="1:51" x14ac:dyDescent="0.25">
      <c r="A74" s="1" t="s">
        <v>118</v>
      </c>
      <c r="B74" s="1" t="s">
        <v>38</v>
      </c>
      <c r="C74" s="1">
        <v>660.41399999999999</v>
      </c>
      <c r="D74" s="1">
        <v>5.21</v>
      </c>
      <c r="E74" s="1">
        <v>219.012</v>
      </c>
      <c r="F74" s="1">
        <v>432.24400000000003</v>
      </c>
      <c r="G74" s="8">
        <v>1</v>
      </c>
      <c r="H74" s="1">
        <v>55</v>
      </c>
      <c r="I74" s="1" t="s">
        <v>39</v>
      </c>
      <c r="J74" s="1"/>
      <c r="K74" s="1">
        <v>210</v>
      </c>
      <c r="L74" s="1">
        <f t="shared" si="22"/>
        <v>9.0120000000000005</v>
      </c>
      <c r="M74" s="1">
        <f t="shared" si="23"/>
        <v>219.012</v>
      </c>
      <c r="N74" s="1"/>
      <c r="O74" s="1"/>
      <c r="P74" s="1">
        <v>114.9546</v>
      </c>
      <c r="Q74" s="1"/>
      <c r="R74" s="1">
        <v>110.8143</v>
      </c>
      <c r="S74" s="1">
        <f t="shared" si="24"/>
        <v>43.802399999999999</v>
      </c>
      <c r="T74" s="5"/>
      <c r="U74" s="5"/>
      <c r="V74" s="1"/>
      <c r="W74" s="1"/>
      <c r="X74" s="1">
        <f t="shared" si="25"/>
        <v>15.02230243091703</v>
      </c>
      <c r="Y74" s="1">
        <f t="shared" si="26"/>
        <v>15.02230243091703</v>
      </c>
      <c r="Z74" s="1">
        <v>49.250799999999998</v>
      </c>
      <c r="AA74" s="1">
        <v>44.468000000000004</v>
      </c>
      <c r="AB74" s="1">
        <v>54.786199999999987</v>
      </c>
      <c r="AC74" s="1">
        <v>67.261600000000001</v>
      </c>
      <c r="AD74" s="1">
        <v>89.215400000000002</v>
      </c>
      <c r="AE74" s="1">
        <v>94.238199999999992</v>
      </c>
      <c r="AF74" s="1">
        <v>62.257000000000012</v>
      </c>
      <c r="AG74" s="1">
        <v>63.668999999999997</v>
      </c>
      <c r="AH74" s="1" t="s">
        <v>72</v>
      </c>
      <c r="AI74" s="1">
        <f t="shared" si="21"/>
        <v>0</v>
      </c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</row>
    <row r="75" spans="1:51" x14ac:dyDescent="0.25">
      <c r="A75" s="1" t="s">
        <v>119</v>
      </c>
      <c r="B75" s="1" t="s">
        <v>38</v>
      </c>
      <c r="C75" s="1">
        <v>1136.5129999999999</v>
      </c>
      <c r="D75" s="1">
        <v>638.17999999999995</v>
      </c>
      <c r="E75" s="1">
        <v>714.20600000000002</v>
      </c>
      <c r="F75" s="1">
        <v>969.17600000000004</v>
      </c>
      <c r="G75" s="8">
        <v>1</v>
      </c>
      <c r="H75" s="1">
        <v>60</v>
      </c>
      <c r="I75" s="1" t="s">
        <v>39</v>
      </c>
      <c r="J75" s="1"/>
      <c r="K75" s="1">
        <v>718.41499999999996</v>
      </c>
      <c r="L75" s="1">
        <f t="shared" si="22"/>
        <v>-4.2089999999999463</v>
      </c>
      <c r="M75" s="1">
        <f t="shared" si="23"/>
        <v>714.20600000000002</v>
      </c>
      <c r="N75" s="1"/>
      <c r="O75" s="1">
        <v>206.76969</v>
      </c>
      <c r="P75" s="1">
        <v>0</v>
      </c>
      <c r="Q75" s="1"/>
      <c r="R75" s="1">
        <v>305.5419</v>
      </c>
      <c r="S75" s="1">
        <f t="shared" si="24"/>
        <v>142.84120000000001</v>
      </c>
      <c r="T75" s="5">
        <f t="shared" si="20"/>
        <v>518.28921000000003</v>
      </c>
      <c r="U75" s="5"/>
      <c r="V75" s="1"/>
      <c r="W75" s="1"/>
      <c r="X75" s="1">
        <f t="shared" si="25"/>
        <v>14</v>
      </c>
      <c r="Y75" s="1">
        <f t="shared" si="26"/>
        <v>10.371570597278655</v>
      </c>
      <c r="Z75" s="1">
        <v>135.79640000000001</v>
      </c>
      <c r="AA75" s="1">
        <v>133.3998</v>
      </c>
      <c r="AB75" s="1">
        <v>129.43180000000001</v>
      </c>
      <c r="AC75" s="1">
        <v>132.5378</v>
      </c>
      <c r="AD75" s="1">
        <v>138.80619999999999</v>
      </c>
      <c r="AE75" s="1">
        <v>144.02619999999999</v>
      </c>
      <c r="AF75" s="1">
        <v>144.4802</v>
      </c>
      <c r="AG75" s="1">
        <v>138.85759999999999</v>
      </c>
      <c r="AH75" s="1" t="s">
        <v>49</v>
      </c>
      <c r="AI75" s="1">
        <f t="shared" si="21"/>
        <v>518.28921000000003</v>
      </c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</row>
    <row r="76" spans="1:51" x14ac:dyDescent="0.25">
      <c r="A76" s="1" t="s">
        <v>120</v>
      </c>
      <c r="B76" s="1" t="s">
        <v>38</v>
      </c>
      <c r="C76" s="1">
        <v>2094.1619999999998</v>
      </c>
      <c r="D76" s="1">
        <v>948.62599999999998</v>
      </c>
      <c r="E76" s="1">
        <v>1112.6210000000001</v>
      </c>
      <c r="F76" s="1">
        <v>1702.482</v>
      </c>
      <c r="G76" s="8">
        <v>1</v>
      </c>
      <c r="H76" s="1">
        <v>60</v>
      </c>
      <c r="I76" s="1" t="s">
        <v>39</v>
      </c>
      <c r="J76" s="1"/>
      <c r="K76" s="1">
        <v>1199.7170000000001</v>
      </c>
      <c r="L76" s="1">
        <f t="shared" si="22"/>
        <v>-87.096000000000004</v>
      </c>
      <c r="M76" s="1">
        <f t="shared" si="23"/>
        <v>1038.2040000000002</v>
      </c>
      <c r="N76" s="1">
        <v>74.417000000000002</v>
      </c>
      <c r="O76" s="1"/>
      <c r="P76" s="1">
        <v>0</v>
      </c>
      <c r="Q76" s="1"/>
      <c r="R76" s="1">
        <v>415.39994999999999</v>
      </c>
      <c r="S76" s="1">
        <f t="shared" si="24"/>
        <v>207.64080000000004</v>
      </c>
      <c r="T76" s="5">
        <f t="shared" si="20"/>
        <v>789.08925000000045</v>
      </c>
      <c r="U76" s="5"/>
      <c r="V76" s="1"/>
      <c r="W76" s="1"/>
      <c r="X76" s="1">
        <f t="shared" si="25"/>
        <v>14</v>
      </c>
      <c r="Y76" s="1">
        <f t="shared" si="26"/>
        <v>10.199738924142073</v>
      </c>
      <c r="Z76" s="1">
        <v>184.62219999999999</v>
      </c>
      <c r="AA76" s="1">
        <v>188.2578</v>
      </c>
      <c r="AB76" s="1">
        <v>216.38939999999999</v>
      </c>
      <c r="AC76" s="1">
        <v>220.108</v>
      </c>
      <c r="AD76" s="1">
        <v>235.29859999999999</v>
      </c>
      <c r="AE76" s="1">
        <v>252.2998</v>
      </c>
      <c r="AF76" s="1">
        <v>257.0206</v>
      </c>
      <c r="AG76" s="1">
        <v>233.792</v>
      </c>
      <c r="AH76" s="1"/>
      <c r="AI76" s="1">
        <f t="shared" si="21"/>
        <v>789.08925000000045</v>
      </c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</row>
    <row r="77" spans="1:51" x14ac:dyDescent="0.25">
      <c r="A77" s="1" t="s">
        <v>121</v>
      </c>
      <c r="B77" s="1" t="s">
        <v>38</v>
      </c>
      <c r="C77" s="1">
        <v>1813.424</v>
      </c>
      <c r="D77" s="1">
        <v>883.80600000000004</v>
      </c>
      <c r="E77" s="1">
        <v>1004.867</v>
      </c>
      <c r="F77" s="1">
        <v>1444.7159999999999</v>
      </c>
      <c r="G77" s="8">
        <v>1</v>
      </c>
      <c r="H77" s="1">
        <v>60</v>
      </c>
      <c r="I77" s="1" t="s">
        <v>39</v>
      </c>
      <c r="J77" s="1"/>
      <c r="K77" s="1">
        <v>1007.5</v>
      </c>
      <c r="L77" s="1">
        <f t="shared" si="22"/>
        <v>-2.6330000000000382</v>
      </c>
      <c r="M77" s="1">
        <f t="shared" si="23"/>
        <v>1004.867</v>
      </c>
      <c r="N77" s="1"/>
      <c r="O77" s="1">
        <v>332.14330000000001</v>
      </c>
      <c r="P77" s="1">
        <v>367.20570000000021</v>
      </c>
      <c r="Q77" s="1"/>
      <c r="R77" s="1">
        <v>502.04250000000008</v>
      </c>
      <c r="S77" s="1">
        <f t="shared" si="24"/>
        <v>200.9734</v>
      </c>
      <c r="T77" s="5">
        <f t="shared" si="20"/>
        <v>167.52009999999973</v>
      </c>
      <c r="U77" s="5"/>
      <c r="V77" s="1"/>
      <c r="W77" s="1"/>
      <c r="X77" s="1">
        <f t="shared" si="25"/>
        <v>14</v>
      </c>
      <c r="Y77" s="1">
        <f t="shared" si="26"/>
        <v>13.166456356910915</v>
      </c>
      <c r="Z77" s="1">
        <v>223.13</v>
      </c>
      <c r="AA77" s="1">
        <v>214.286</v>
      </c>
      <c r="AB77" s="1">
        <v>201.80520000000001</v>
      </c>
      <c r="AC77" s="1">
        <v>202.8092</v>
      </c>
      <c r="AD77" s="1">
        <v>217.94759999999999</v>
      </c>
      <c r="AE77" s="1">
        <v>218.51240000000001</v>
      </c>
      <c r="AF77" s="1">
        <v>203.68780000000001</v>
      </c>
      <c r="AG77" s="1">
        <v>224.5874</v>
      </c>
      <c r="AH77" s="1" t="s">
        <v>49</v>
      </c>
      <c r="AI77" s="1">
        <f t="shared" si="21"/>
        <v>167.52009999999973</v>
      </c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</row>
    <row r="78" spans="1:51" x14ac:dyDescent="0.25">
      <c r="A78" s="1" t="s">
        <v>122</v>
      </c>
      <c r="B78" s="1" t="s">
        <v>38</v>
      </c>
      <c r="C78" s="1">
        <v>3313.0520000000001</v>
      </c>
      <c r="D78" s="1">
        <v>801.64700000000005</v>
      </c>
      <c r="E78" s="1">
        <v>1739.6610000000001</v>
      </c>
      <c r="F78" s="1">
        <v>2020.548</v>
      </c>
      <c r="G78" s="8">
        <v>1</v>
      </c>
      <c r="H78" s="1">
        <v>60</v>
      </c>
      <c r="I78" s="1" t="s">
        <v>39</v>
      </c>
      <c r="J78" s="1"/>
      <c r="K78" s="1">
        <v>1845.3050000000001</v>
      </c>
      <c r="L78" s="1">
        <f t="shared" si="22"/>
        <v>-105.64400000000001</v>
      </c>
      <c r="M78" s="1">
        <f t="shared" si="23"/>
        <v>1649.856</v>
      </c>
      <c r="N78" s="1">
        <v>89.805000000000007</v>
      </c>
      <c r="O78" s="1">
        <v>500.52134999999998</v>
      </c>
      <c r="P78" s="1">
        <v>40.250450000000001</v>
      </c>
      <c r="Q78" s="1"/>
      <c r="R78" s="1">
        <v>676.40715</v>
      </c>
      <c r="S78" s="1">
        <f t="shared" si="24"/>
        <v>329.97120000000001</v>
      </c>
      <c r="T78" s="5">
        <f t="shared" si="20"/>
        <v>1381.8698500000003</v>
      </c>
      <c r="U78" s="5"/>
      <c r="V78" s="1"/>
      <c r="W78" s="1"/>
      <c r="X78" s="1">
        <f t="shared" si="25"/>
        <v>14</v>
      </c>
      <c r="Y78" s="1">
        <f t="shared" si="26"/>
        <v>9.8121501209802542</v>
      </c>
      <c r="Z78" s="1">
        <v>300.62540000000001</v>
      </c>
      <c r="AA78" s="1">
        <v>322.91699999999997</v>
      </c>
      <c r="AB78" s="1">
        <v>332.73840000000001</v>
      </c>
      <c r="AC78" s="1">
        <v>345.89920000000001</v>
      </c>
      <c r="AD78" s="1">
        <v>381.24639999999999</v>
      </c>
      <c r="AE78" s="1">
        <v>354.73759999999999</v>
      </c>
      <c r="AF78" s="1">
        <v>344.58879999999999</v>
      </c>
      <c r="AG78" s="1">
        <v>362.10019999999997</v>
      </c>
      <c r="AH78" s="1" t="s">
        <v>49</v>
      </c>
      <c r="AI78" s="1">
        <f t="shared" si="21"/>
        <v>1381.8698500000003</v>
      </c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</row>
    <row r="79" spans="1:51" x14ac:dyDescent="0.25">
      <c r="A79" s="1" t="s">
        <v>123</v>
      </c>
      <c r="B79" s="1" t="s">
        <v>38</v>
      </c>
      <c r="C79" s="1">
        <v>127.459</v>
      </c>
      <c r="D79" s="1"/>
      <c r="E79" s="1">
        <v>20.081</v>
      </c>
      <c r="F79" s="1">
        <v>107.378</v>
      </c>
      <c r="G79" s="8">
        <v>1</v>
      </c>
      <c r="H79" s="1">
        <v>60</v>
      </c>
      <c r="I79" s="1" t="s">
        <v>39</v>
      </c>
      <c r="J79" s="1"/>
      <c r="K79" s="1">
        <v>19.899999999999999</v>
      </c>
      <c r="L79" s="1">
        <f t="shared" si="22"/>
        <v>0.18100000000000094</v>
      </c>
      <c r="M79" s="1">
        <f t="shared" si="23"/>
        <v>20.081</v>
      </c>
      <c r="N79" s="1"/>
      <c r="O79" s="1"/>
      <c r="P79" s="1">
        <v>0</v>
      </c>
      <c r="Q79" s="1"/>
      <c r="R79" s="1"/>
      <c r="S79" s="1">
        <f t="shared" si="24"/>
        <v>4.0161999999999995</v>
      </c>
      <c r="T79" s="5"/>
      <c r="U79" s="5"/>
      <c r="V79" s="1"/>
      <c r="W79" s="1"/>
      <c r="X79" s="1">
        <f t="shared" si="25"/>
        <v>26.736218315820928</v>
      </c>
      <c r="Y79" s="1">
        <f t="shared" si="26"/>
        <v>26.736218315820928</v>
      </c>
      <c r="Z79" s="1">
        <v>3.681</v>
      </c>
      <c r="AA79" s="1">
        <v>4.0106000000000002</v>
      </c>
      <c r="AB79" s="1">
        <v>3.8592</v>
      </c>
      <c r="AC79" s="1">
        <v>3.5442000000000009</v>
      </c>
      <c r="AD79" s="1">
        <v>5.4672000000000001</v>
      </c>
      <c r="AE79" s="1">
        <v>7.4016000000000002</v>
      </c>
      <c r="AF79" s="1">
        <v>6.2751999999999999</v>
      </c>
      <c r="AG79" s="1">
        <v>6.2549999999999999</v>
      </c>
      <c r="AH79" s="20" t="s">
        <v>142</v>
      </c>
      <c r="AI79" s="1">
        <f t="shared" si="21"/>
        <v>0</v>
      </c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</row>
    <row r="80" spans="1:51" x14ac:dyDescent="0.25">
      <c r="A80" s="1" t="s">
        <v>124</v>
      </c>
      <c r="B80" s="1" t="s">
        <v>43</v>
      </c>
      <c r="C80" s="1">
        <v>288</v>
      </c>
      <c r="D80" s="1">
        <v>312</v>
      </c>
      <c r="E80" s="1">
        <v>307</v>
      </c>
      <c r="F80" s="1">
        <v>221.53700000000001</v>
      </c>
      <c r="G80" s="8">
        <v>0.3</v>
      </c>
      <c r="H80" s="1">
        <v>40</v>
      </c>
      <c r="I80" s="1" t="s">
        <v>39</v>
      </c>
      <c r="J80" s="1"/>
      <c r="K80" s="1">
        <v>321</v>
      </c>
      <c r="L80" s="1">
        <f t="shared" si="22"/>
        <v>-14</v>
      </c>
      <c r="M80" s="1">
        <f t="shared" si="23"/>
        <v>307</v>
      </c>
      <c r="N80" s="1"/>
      <c r="O80" s="1"/>
      <c r="P80" s="1">
        <v>192.80000000000021</v>
      </c>
      <c r="Q80" s="1"/>
      <c r="R80" s="1"/>
      <c r="S80" s="1">
        <f t="shared" si="24"/>
        <v>61.4</v>
      </c>
      <c r="T80" s="5">
        <f>13*S80-R80-Q80-P80-O80-F80</f>
        <v>383.86299999999972</v>
      </c>
      <c r="U80" s="5"/>
      <c r="V80" s="1"/>
      <c r="W80" s="1"/>
      <c r="X80" s="1">
        <f t="shared" si="25"/>
        <v>13</v>
      </c>
      <c r="Y80" s="1">
        <f t="shared" si="26"/>
        <v>6.7481596091205249</v>
      </c>
      <c r="Z80" s="1">
        <v>56.2</v>
      </c>
      <c r="AA80" s="1">
        <v>57.2</v>
      </c>
      <c r="AB80" s="1">
        <v>53.2</v>
      </c>
      <c r="AC80" s="1">
        <v>52</v>
      </c>
      <c r="AD80" s="1">
        <v>58.6</v>
      </c>
      <c r="AE80" s="1">
        <v>54.2</v>
      </c>
      <c r="AF80" s="1">
        <v>49.6</v>
      </c>
      <c r="AG80" s="1">
        <v>50.4</v>
      </c>
      <c r="AH80" s="1"/>
      <c r="AI80" s="1">
        <f t="shared" si="21"/>
        <v>115.1588999999999</v>
      </c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</row>
    <row r="81" spans="1:51" x14ac:dyDescent="0.25">
      <c r="A81" s="1" t="s">
        <v>125</v>
      </c>
      <c r="B81" s="1" t="s">
        <v>43</v>
      </c>
      <c r="C81" s="1">
        <v>279</v>
      </c>
      <c r="D81" s="1"/>
      <c r="E81" s="1">
        <v>122</v>
      </c>
      <c r="F81" s="1">
        <v>142</v>
      </c>
      <c r="G81" s="8">
        <v>7.0000000000000007E-2</v>
      </c>
      <c r="H81" s="1">
        <v>90</v>
      </c>
      <c r="I81" s="1" t="s">
        <v>39</v>
      </c>
      <c r="J81" s="1"/>
      <c r="K81" s="1">
        <v>124</v>
      </c>
      <c r="L81" s="1">
        <f t="shared" si="22"/>
        <v>-2</v>
      </c>
      <c r="M81" s="1">
        <f t="shared" si="23"/>
        <v>122</v>
      </c>
      <c r="N81" s="1"/>
      <c r="O81" s="1"/>
      <c r="P81" s="1">
        <v>72</v>
      </c>
      <c r="Q81" s="1"/>
      <c r="R81" s="1"/>
      <c r="S81" s="1">
        <f t="shared" si="24"/>
        <v>24.4</v>
      </c>
      <c r="T81" s="5">
        <f t="shared" si="20"/>
        <v>127.59999999999997</v>
      </c>
      <c r="U81" s="5"/>
      <c r="V81" s="1"/>
      <c r="W81" s="1"/>
      <c r="X81" s="1">
        <f t="shared" si="25"/>
        <v>14</v>
      </c>
      <c r="Y81" s="1">
        <f t="shared" si="26"/>
        <v>8.7704918032786896</v>
      </c>
      <c r="Z81" s="1">
        <v>26</v>
      </c>
      <c r="AA81" s="1">
        <v>23.6</v>
      </c>
      <c r="AB81" s="1">
        <v>26.2</v>
      </c>
      <c r="AC81" s="1">
        <v>32.799999999999997</v>
      </c>
      <c r="AD81" s="1">
        <v>37</v>
      </c>
      <c r="AE81" s="1">
        <v>33.799999999999997</v>
      </c>
      <c r="AF81" s="1">
        <v>26.4</v>
      </c>
      <c r="AG81" s="1">
        <v>28</v>
      </c>
      <c r="AH81" s="1"/>
      <c r="AI81" s="1">
        <f t="shared" si="21"/>
        <v>8.9319999999999986</v>
      </c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</row>
    <row r="82" spans="1:51" x14ac:dyDescent="0.25">
      <c r="A82" s="1" t="s">
        <v>126</v>
      </c>
      <c r="B82" s="1" t="s">
        <v>43</v>
      </c>
      <c r="C82" s="1">
        <v>305</v>
      </c>
      <c r="D82" s="1"/>
      <c r="E82" s="1">
        <v>124</v>
      </c>
      <c r="F82" s="1">
        <v>165</v>
      </c>
      <c r="G82" s="8">
        <v>7.0000000000000007E-2</v>
      </c>
      <c r="H82" s="1">
        <v>90</v>
      </c>
      <c r="I82" s="1" t="s">
        <v>39</v>
      </c>
      <c r="J82" s="1"/>
      <c r="K82" s="1">
        <v>125</v>
      </c>
      <c r="L82" s="1">
        <f t="shared" si="22"/>
        <v>-1</v>
      </c>
      <c r="M82" s="1">
        <f t="shared" si="23"/>
        <v>124</v>
      </c>
      <c r="N82" s="1"/>
      <c r="O82" s="1"/>
      <c r="P82" s="1">
        <v>59.600000000000023</v>
      </c>
      <c r="Q82" s="1"/>
      <c r="R82" s="1"/>
      <c r="S82" s="1">
        <f t="shared" si="24"/>
        <v>24.8</v>
      </c>
      <c r="T82" s="5">
        <f t="shared" si="20"/>
        <v>122.59999999999997</v>
      </c>
      <c r="U82" s="5"/>
      <c r="V82" s="1"/>
      <c r="W82" s="1"/>
      <c r="X82" s="1">
        <f t="shared" si="25"/>
        <v>14</v>
      </c>
      <c r="Y82" s="1">
        <f t="shared" si="26"/>
        <v>9.056451612903226</v>
      </c>
      <c r="Z82" s="1">
        <v>28.6</v>
      </c>
      <c r="AA82" s="1">
        <v>30</v>
      </c>
      <c r="AB82" s="1">
        <v>30.4</v>
      </c>
      <c r="AC82" s="1">
        <v>38.200000000000003</v>
      </c>
      <c r="AD82" s="1">
        <v>41.4</v>
      </c>
      <c r="AE82" s="1">
        <v>35.799999999999997</v>
      </c>
      <c r="AF82" s="1">
        <v>27.8</v>
      </c>
      <c r="AG82" s="1">
        <v>31.2</v>
      </c>
      <c r="AH82" s="1"/>
      <c r="AI82" s="1">
        <f t="shared" si="21"/>
        <v>8.581999999999999</v>
      </c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</row>
    <row r="83" spans="1:51" x14ac:dyDescent="0.25">
      <c r="A83" s="1" t="s">
        <v>127</v>
      </c>
      <c r="B83" s="1" t="s">
        <v>43</v>
      </c>
      <c r="C83" s="1">
        <v>179</v>
      </c>
      <c r="D83" s="1">
        <v>72</v>
      </c>
      <c r="E83" s="1">
        <v>102</v>
      </c>
      <c r="F83" s="1">
        <v>136</v>
      </c>
      <c r="G83" s="8">
        <v>7.0000000000000007E-2</v>
      </c>
      <c r="H83" s="1">
        <v>90</v>
      </c>
      <c r="I83" s="1" t="s">
        <v>39</v>
      </c>
      <c r="J83" s="1"/>
      <c r="K83" s="1">
        <v>102</v>
      </c>
      <c r="L83" s="1">
        <f t="shared" si="22"/>
        <v>0</v>
      </c>
      <c r="M83" s="1">
        <f t="shared" si="23"/>
        <v>102</v>
      </c>
      <c r="N83" s="1"/>
      <c r="O83" s="1"/>
      <c r="P83" s="1">
        <v>78.600000000000023</v>
      </c>
      <c r="Q83" s="1"/>
      <c r="R83" s="1"/>
      <c r="S83" s="1">
        <f t="shared" si="24"/>
        <v>20.399999999999999</v>
      </c>
      <c r="T83" s="5">
        <f t="shared" si="20"/>
        <v>70.999999999999943</v>
      </c>
      <c r="U83" s="5"/>
      <c r="V83" s="1"/>
      <c r="W83" s="1"/>
      <c r="X83" s="1">
        <f t="shared" si="25"/>
        <v>14</v>
      </c>
      <c r="Y83" s="1">
        <f t="shared" si="26"/>
        <v>10.519607843137257</v>
      </c>
      <c r="Z83" s="1">
        <v>23.6</v>
      </c>
      <c r="AA83" s="1">
        <v>23</v>
      </c>
      <c r="AB83" s="1">
        <v>18</v>
      </c>
      <c r="AC83" s="1">
        <v>23</v>
      </c>
      <c r="AD83" s="1">
        <v>27</v>
      </c>
      <c r="AE83" s="1">
        <v>23</v>
      </c>
      <c r="AF83" s="1">
        <v>20.6</v>
      </c>
      <c r="AG83" s="1">
        <v>19.399999999999999</v>
      </c>
      <c r="AH83" s="1"/>
      <c r="AI83" s="1">
        <f t="shared" si="21"/>
        <v>4.9699999999999962</v>
      </c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</row>
    <row r="84" spans="1:51" x14ac:dyDescent="0.25">
      <c r="A84" s="1" t="s">
        <v>128</v>
      </c>
      <c r="B84" s="1" t="s">
        <v>43</v>
      </c>
      <c r="C84" s="1">
        <v>161</v>
      </c>
      <c r="D84" s="1">
        <v>1</v>
      </c>
      <c r="E84" s="1">
        <v>88</v>
      </c>
      <c r="F84" s="1">
        <v>60</v>
      </c>
      <c r="G84" s="8">
        <v>0.05</v>
      </c>
      <c r="H84" s="1">
        <v>90</v>
      </c>
      <c r="I84" s="1" t="s">
        <v>39</v>
      </c>
      <c r="J84" s="1"/>
      <c r="K84" s="1">
        <v>89</v>
      </c>
      <c r="L84" s="1">
        <f t="shared" si="22"/>
        <v>-1</v>
      </c>
      <c r="M84" s="1">
        <f t="shared" si="23"/>
        <v>88</v>
      </c>
      <c r="N84" s="1"/>
      <c r="O84" s="1"/>
      <c r="P84" s="1">
        <v>61</v>
      </c>
      <c r="Q84" s="1"/>
      <c r="R84" s="1"/>
      <c r="S84" s="1">
        <f t="shared" si="24"/>
        <v>17.600000000000001</v>
      </c>
      <c r="T84" s="5">
        <f t="shared" si="20"/>
        <v>125.40000000000003</v>
      </c>
      <c r="U84" s="5"/>
      <c r="V84" s="1"/>
      <c r="W84" s="1"/>
      <c r="X84" s="1">
        <f t="shared" si="25"/>
        <v>14</v>
      </c>
      <c r="Y84" s="1">
        <f t="shared" si="26"/>
        <v>6.8749999999999991</v>
      </c>
      <c r="Z84" s="1">
        <v>16</v>
      </c>
      <c r="AA84" s="1">
        <v>13.6</v>
      </c>
      <c r="AB84" s="1">
        <v>13.2</v>
      </c>
      <c r="AC84" s="1">
        <v>19.2</v>
      </c>
      <c r="AD84" s="1">
        <v>19.2</v>
      </c>
      <c r="AE84" s="1">
        <v>16.600000000000001</v>
      </c>
      <c r="AF84" s="1">
        <v>23.4</v>
      </c>
      <c r="AG84" s="1">
        <v>26</v>
      </c>
      <c r="AH84" s="1"/>
      <c r="AI84" s="1">
        <f t="shared" si="21"/>
        <v>6.2700000000000022</v>
      </c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</row>
    <row r="85" spans="1:51" x14ac:dyDescent="0.25">
      <c r="A85" s="1" t="s">
        <v>129</v>
      </c>
      <c r="B85" s="1" t="s">
        <v>43</v>
      </c>
      <c r="C85" s="1">
        <v>170</v>
      </c>
      <c r="D85" s="1">
        <v>91</v>
      </c>
      <c r="E85" s="1">
        <v>114</v>
      </c>
      <c r="F85" s="1">
        <v>128</v>
      </c>
      <c r="G85" s="8">
        <v>0.05</v>
      </c>
      <c r="H85" s="1">
        <v>90</v>
      </c>
      <c r="I85" s="1" t="s">
        <v>39</v>
      </c>
      <c r="J85" s="1"/>
      <c r="K85" s="1">
        <v>115</v>
      </c>
      <c r="L85" s="1">
        <f t="shared" si="22"/>
        <v>-1</v>
      </c>
      <c r="M85" s="1">
        <f t="shared" si="23"/>
        <v>114</v>
      </c>
      <c r="N85" s="1"/>
      <c r="O85" s="1"/>
      <c r="P85" s="1">
        <v>66</v>
      </c>
      <c r="Q85" s="1"/>
      <c r="R85" s="1"/>
      <c r="S85" s="1">
        <f t="shared" si="24"/>
        <v>22.8</v>
      </c>
      <c r="T85" s="5">
        <f t="shared" si="20"/>
        <v>125.19999999999999</v>
      </c>
      <c r="U85" s="5"/>
      <c r="V85" s="1"/>
      <c r="W85" s="1"/>
      <c r="X85" s="1">
        <f t="shared" si="25"/>
        <v>13.999999999999998</v>
      </c>
      <c r="Y85" s="1">
        <f t="shared" si="26"/>
        <v>8.5087719298245617</v>
      </c>
      <c r="Z85" s="1">
        <v>24</v>
      </c>
      <c r="AA85" s="1">
        <v>24.2</v>
      </c>
      <c r="AB85" s="1">
        <v>21.8</v>
      </c>
      <c r="AC85" s="1">
        <v>25.6</v>
      </c>
      <c r="AD85" s="1">
        <v>27</v>
      </c>
      <c r="AE85" s="1">
        <v>26</v>
      </c>
      <c r="AF85" s="1">
        <v>28.2</v>
      </c>
      <c r="AG85" s="1">
        <v>26.6</v>
      </c>
      <c r="AH85" s="1"/>
      <c r="AI85" s="1">
        <f t="shared" si="21"/>
        <v>6.26</v>
      </c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</row>
    <row r="86" spans="1:51" x14ac:dyDescent="0.25">
      <c r="A86" s="1" t="s">
        <v>130</v>
      </c>
      <c r="B86" s="1" t="s">
        <v>43</v>
      </c>
      <c r="C86" s="1">
        <v>247</v>
      </c>
      <c r="D86" s="1">
        <v>1</v>
      </c>
      <c r="E86" s="1">
        <v>103</v>
      </c>
      <c r="F86" s="1">
        <v>126</v>
      </c>
      <c r="G86" s="8">
        <v>5.5E-2</v>
      </c>
      <c r="H86" s="1">
        <v>90</v>
      </c>
      <c r="I86" s="1" t="s">
        <v>39</v>
      </c>
      <c r="J86" s="1"/>
      <c r="K86" s="1">
        <v>106</v>
      </c>
      <c r="L86" s="1">
        <f t="shared" si="22"/>
        <v>-3</v>
      </c>
      <c r="M86" s="1">
        <f t="shared" si="23"/>
        <v>103</v>
      </c>
      <c r="N86" s="1"/>
      <c r="O86" s="1"/>
      <c r="P86" s="1">
        <v>64.399999999999977</v>
      </c>
      <c r="Q86" s="1"/>
      <c r="R86" s="1"/>
      <c r="S86" s="1">
        <f t="shared" si="24"/>
        <v>20.6</v>
      </c>
      <c r="T86" s="5">
        <f t="shared" si="20"/>
        <v>98.000000000000057</v>
      </c>
      <c r="U86" s="5"/>
      <c r="V86" s="1"/>
      <c r="W86" s="1"/>
      <c r="X86" s="1">
        <f t="shared" si="25"/>
        <v>14</v>
      </c>
      <c r="Y86" s="1">
        <f t="shared" si="26"/>
        <v>9.2427184466019394</v>
      </c>
      <c r="Z86" s="1">
        <v>23.4</v>
      </c>
      <c r="AA86" s="1">
        <v>20.6</v>
      </c>
      <c r="AB86" s="1">
        <v>23.2</v>
      </c>
      <c r="AC86" s="1">
        <v>27.4</v>
      </c>
      <c r="AD86" s="1">
        <v>31</v>
      </c>
      <c r="AE86" s="1">
        <v>28.6</v>
      </c>
      <c r="AF86" s="1">
        <v>24.8</v>
      </c>
      <c r="AG86" s="1">
        <v>27.2</v>
      </c>
      <c r="AH86" s="1"/>
      <c r="AI86" s="1">
        <f t="shared" si="21"/>
        <v>5.3900000000000032</v>
      </c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</row>
    <row r="87" spans="1:51" x14ac:dyDescent="0.25">
      <c r="A87" s="1" t="s">
        <v>131</v>
      </c>
      <c r="B87" s="1" t="s">
        <v>38</v>
      </c>
      <c r="C87" s="1">
        <v>2535.3029999999999</v>
      </c>
      <c r="D87" s="1">
        <v>2385.3159999999998</v>
      </c>
      <c r="E87" s="1">
        <v>2292.5810000000001</v>
      </c>
      <c r="F87" s="1">
        <v>2051.4380000000001</v>
      </c>
      <c r="G87" s="8">
        <v>1</v>
      </c>
      <c r="H87" s="1">
        <v>40</v>
      </c>
      <c r="I87" s="1" t="s">
        <v>39</v>
      </c>
      <c r="J87" s="1"/>
      <c r="K87" s="1">
        <v>2177.4319999999998</v>
      </c>
      <c r="L87" s="1">
        <f t="shared" si="22"/>
        <v>115.14900000000034</v>
      </c>
      <c r="M87" s="1">
        <f t="shared" si="23"/>
        <v>2238.799</v>
      </c>
      <c r="N87" s="1">
        <v>53.781999999999996</v>
      </c>
      <c r="O87" s="1"/>
      <c r="P87" s="1">
        <v>690.15560000000096</v>
      </c>
      <c r="Q87" s="1">
        <v>600</v>
      </c>
      <c r="R87" s="1"/>
      <c r="S87" s="1">
        <f t="shared" si="24"/>
        <v>447.75979999999998</v>
      </c>
      <c r="T87" s="5">
        <f>13*S87-R87-Q87-P87-O87-F87</f>
        <v>2479.2837999999983</v>
      </c>
      <c r="U87" s="5"/>
      <c r="V87" s="1"/>
      <c r="W87" s="1"/>
      <c r="X87" s="1">
        <f t="shared" si="25"/>
        <v>12.999999999999998</v>
      </c>
      <c r="Y87" s="1">
        <f t="shared" si="26"/>
        <v>7.462915607877262</v>
      </c>
      <c r="Z87" s="1">
        <v>446.56700000000001</v>
      </c>
      <c r="AA87" s="1">
        <v>466.11419999999998</v>
      </c>
      <c r="AB87" s="1">
        <v>406.08980000000003</v>
      </c>
      <c r="AC87" s="1">
        <v>411.42840000000001</v>
      </c>
      <c r="AD87" s="1">
        <v>483.625</v>
      </c>
      <c r="AE87" s="1">
        <v>461.47680000000003</v>
      </c>
      <c r="AF87" s="1">
        <v>470.11180000000002</v>
      </c>
      <c r="AG87" s="1">
        <v>472.96679999999998</v>
      </c>
      <c r="AH87" s="1" t="s">
        <v>49</v>
      </c>
      <c r="AI87" s="1">
        <f t="shared" si="21"/>
        <v>2479.2837999999983</v>
      </c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</row>
    <row r="88" spans="1:51" x14ac:dyDescent="0.25">
      <c r="A88" s="14" t="s">
        <v>132</v>
      </c>
      <c r="B88" s="14" t="s">
        <v>38</v>
      </c>
      <c r="C88" s="14"/>
      <c r="D88" s="14"/>
      <c r="E88" s="14"/>
      <c r="F88" s="14"/>
      <c r="G88" s="15">
        <v>0</v>
      </c>
      <c r="H88" s="14">
        <v>60</v>
      </c>
      <c r="I88" s="14" t="s">
        <v>39</v>
      </c>
      <c r="J88" s="14"/>
      <c r="K88" s="14"/>
      <c r="L88" s="14">
        <f t="shared" si="22"/>
        <v>0</v>
      </c>
      <c r="M88" s="14">
        <f t="shared" si="23"/>
        <v>0</v>
      </c>
      <c r="N88" s="14"/>
      <c r="O88" s="14"/>
      <c r="P88" s="14">
        <v>0</v>
      </c>
      <c r="Q88" s="14"/>
      <c r="R88" s="14"/>
      <c r="S88" s="14">
        <f t="shared" si="24"/>
        <v>0</v>
      </c>
      <c r="T88" s="16"/>
      <c r="U88" s="16"/>
      <c r="V88" s="14"/>
      <c r="W88" s="14"/>
      <c r="X88" s="14" t="e">
        <f t="shared" si="25"/>
        <v>#DIV/0!</v>
      </c>
      <c r="Y88" s="14" t="e">
        <f t="shared" si="26"/>
        <v>#DIV/0!</v>
      </c>
      <c r="Z88" s="14">
        <v>0</v>
      </c>
      <c r="AA88" s="14">
        <v>0</v>
      </c>
      <c r="AB88" s="14">
        <v>0</v>
      </c>
      <c r="AC88" s="14">
        <v>0</v>
      </c>
      <c r="AD88" s="14">
        <v>0</v>
      </c>
      <c r="AE88" s="14">
        <v>0</v>
      </c>
      <c r="AF88" s="14">
        <v>0</v>
      </c>
      <c r="AG88" s="14">
        <v>0</v>
      </c>
      <c r="AH88" s="14" t="s">
        <v>133</v>
      </c>
      <c r="AI88" s="14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</row>
    <row r="89" spans="1:51" x14ac:dyDescent="0.25">
      <c r="A89" s="19" t="s">
        <v>134</v>
      </c>
      <c r="B89" s="1" t="s">
        <v>43</v>
      </c>
      <c r="C89" s="1"/>
      <c r="D89" s="1"/>
      <c r="E89" s="1"/>
      <c r="F89" s="1"/>
      <c r="G89" s="8">
        <v>0.6</v>
      </c>
      <c r="H89" s="1">
        <v>60</v>
      </c>
      <c r="I89" s="1" t="s">
        <v>39</v>
      </c>
      <c r="J89" s="1"/>
      <c r="K89" s="1"/>
      <c r="L89" s="1">
        <f t="shared" si="22"/>
        <v>0</v>
      </c>
      <c r="M89" s="1">
        <f t="shared" si="23"/>
        <v>0</v>
      </c>
      <c r="N89" s="1"/>
      <c r="O89" s="1"/>
      <c r="P89" s="1">
        <v>20</v>
      </c>
      <c r="Q89" s="1"/>
      <c r="R89" s="1"/>
      <c r="S89" s="1">
        <f t="shared" si="24"/>
        <v>0</v>
      </c>
      <c r="T89" s="5"/>
      <c r="U89" s="5"/>
      <c r="V89" s="1"/>
      <c r="W89" s="1"/>
      <c r="X89" s="1" t="e">
        <f t="shared" si="25"/>
        <v>#DIV/0!</v>
      </c>
      <c r="Y89" s="1" t="e">
        <f t="shared" si="26"/>
        <v>#DIV/0!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 t="s">
        <v>135</v>
      </c>
      <c r="AI89" s="1">
        <f t="shared" ref="AI89:AI94" si="27">G89*T89</f>
        <v>0</v>
      </c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</row>
    <row r="90" spans="1:51" x14ac:dyDescent="0.25">
      <c r="A90" s="1" t="s">
        <v>136</v>
      </c>
      <c r="B90" s="1" t="s">
        <v>43</v>
      </c>
      <c r="C90" s="1">
        <v>369</v>
      </c>
      <c r="D90" s="1">
        <v>446</v>
      </c>
      <c r="E90" s="1">
        <v>439</v>
      </c>
      <c r="F90" s="1">
        <v>305</v>
      </c>
      <c r="G90" s="8">
        <v>0.3</v>
      </c>
      <c r="H90" s="1">
        <v>40</v>
      </c>
      <c r="I90" s="1" t="s">
        <v>39</v>
      </c>
      <c r="J90" s="1"/>
      <c r="K90" s="1">
        <v>448</v>
      </c>
      <c r="L90" s="1">
        <f t="shared" si="22"/>
        <v>-9</v>
      </c>
      <c r="M90" s="1">
        <f t="shared" si="23"/>
        <v>439</v>
      </c>
      <c r="N90" s="1"/>
      <c r="O90" s="1"/>
      <c r="P90" s="1">
        <v>279.80000000000041</v>
      </c>
      <c r="Q90" s="1"/>
      <c r="R90" s="1"/>
      <c r="S90" s="1">
        <f t="shared" si="24"/>
        <v>87.8</v>
      </c>
      <c r="T90" s="5">
        <f t="shared" ref="T90:T93" si="28">13*S90-R90-Q90-P90-O90-F90</f>
        <v>556.59999999999945</v>
      </c>
      <c r="U90" s="5"/>
      <c r="V90" s="1"/>
      <c r="W90" s="1"/>
      <c r="X90" s="1">
        <f t="shared" si="25"/>
        <v>12.999999999999998</v>
      </c>
      <c r="Y90" s="1">
        <f t="shared" si="26"/>
        <v>6.6605922551252892</v>
      </c>
      <c r="Z90" s="1">
        <v>80.400000000000006</v>
      </c>
      <c r="AA90" s="1">
        <v>79.2</v>
      </c>
      <c r="AB90" s="1">
        <v>74.400000000000006</v>
      </c>
      <c r="AC90" s="1">
        <v>69.8</v>
      </c>
      <c r="AD90" s="1">
        <v>77.2</v>
      </c>
      <c r="AE90" s="1">
        <v>78.599999999999994</v>
      </c>
      <c r="AF90" s="1">
        <v>70.400000000000006</v>
      </c>
      <c r="AG90" s="1">
        <v>69.2</v>
      </c>
      <c r="AH90" s="1"/>
      <c r="AI90" s="1">
        <f t="shared" si="27"/>
        <v>166.97999999999982</v>
      </c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</row>
    <row r="91" spans="1:51" x14ac:dyDescent="0.25">
      <c r="A91" s="1" t="s">
        <v>137</v>
      </c>
      <c r="B91" s="1" t="s">
        <v>43</v>
      </c>
      <c r="C91" s="1">
        <v>378</v>
      </c>
      <c r="D91" s="1">
        <v>260</v>
      </c>
      <c r="E91" s="1">
        <v>319</v>
      </c>
      <c r="F91" s="1">
        <v>248</v>
      </c>
      <c r="G91" s="8">
        <v>0.3</v>
      </c>
      <c r="H91" s="1">
        <v>40</v>
      </c>
      <c r="I91" s="1" t="s">
        <v>39</v>
      </c>
      <c r="J91" s="1"/>
      <c r="K91" s="1">
        <v>335</v>
      </c>
      <c r="L91" s="1">
        <f t="shared" si="22"/>
        <v>-16</v>
      </c>
      <c r="M91" s="1">
        <f t="shared" si="23"/>
        <v>319</v>
      </c>
      <c r="N91" s="1"/>
      <c r="O91" s="1"/>
      <c r="P91" s="1">
        <v>93.799999999999955</v>
      </c>
      <c r="Q91" s="1"/>
      <c r="R91" s="1"/>
      <c r="S91" s="1">
        <f t="shared" si="24"/>
        <v>63.8</v>
      </c>
      <c r="T91" s="5">
        <f t="shared" si="28"/>
        <v>487.6</v>
      </c>
      <c r="U91" s="5"/>
      <c r="V91" s="1"/>
      <c r="W91" s="1"/>
      <c r="X91" s="1">
        <f t="shared" si="25"/>
        <v>13</v>
      </c>
      <c r="Y91" s="1">
        <f t="shared" si="26"/>
        <v>5.3573667711598745</v>
      </c>
      <c r="Z91" s="1">
        <v>50.8</v>
      </c>
      <c r="AA91" s="1">
        <v>53.8</v>
      </c>
      <c r="AB91" s="1">
        <v>61.2</v>
      </c>
      <c r="AC91" s="1">
        <v>58.6</v>
      </c>
      <c r="AD91" s="1">
        <v>59.8</v>
      </c>
      <c r="AE91" s="1">
        <v>59</v>
      </c>
      <c r="AF91" s="1">
        <v>53.6</v>
      </c>
      <c r="AG91" s="1">
        <v>49.4</v>
      </c>
      <c r="AH91" s="1"/>
      <c r="AI91" s="1">
        <f t="shared" si="27"/>
        <v>146.28</v>
      </c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</row>
    <row r="92" spans="1:51" x14ac:dyDescent="0.25">
      <c r="A92" s="1" t="s">
        <v>138</v>
      </c>
      <c r="B92" s="1" t="s">
        <v>38</v>
      </c>
      <c r="C92" s="1">
        <v>427.3</v>
      </c>
      <c r="D92" s="1">
        <v>249.41300000000001</v>
      </c>
      <c r="E92" s="1">
        <v>268.38</v>
      </c>
      <c r="F92" s="1">
        <v>323.66500000000002</v>
      </c>
      <c r="G92" s="8">
        <v>1</v>
      </c>
      <c r="H92" s="1">
        <v>50</v>
      </c>
      <c r="I92" s="1" t="s">
        <v>39</v>
      </c>
      <c r="J92" s="1"/>
      <c r="K92" s="1">
        <v>286.10000000000002</v>
      </c>
      <c r="L92" s="1">
        <f t="shared" si="22"/>
        <v>-17.720000000000027</v>
      </c>
      <c r="M92" s="1">
        <f t="shared" si="23"/>
        <v>247.07999999999998</v>
      </c>
      <c r="N92" s="1">
        <v>21.3</v>
      </c>
      <c r="O92" s="1">
        <v>76.728099999999998</v>
      </c>
      <c r="P92" s="1">
        <v>0</v>
      </c>
      <c r="Q92" s="1"/>
      <c r="R92" s="1">
        <v>104.99939999999999</v>
      </c>
      <c r="S92" s="1">
        <f t="shared" si="24"/>
        <v>49.415999999999997</v>
      </c>
      <c r="T92" s="5">
        <f t="shared" ref="T92:T94" si="29">14*S92-R92-Q92-P92-O92-F92</f>
        <v>186.43149999999991</v>
      </c>
      <c r="U92" s="5"/>
      <c r="V92" s="1"/>
      <c r="W92" s="1"/>
      <c r="X92" s="1">
        <f t="shared" si="25"/>
        <v>13.999999999999998</v>
      </c>
      <c r="Y92" s="1">
        <f t="shared" si="26"/>
        <v>10.22730492148292</v>
      </c>
      <c r="Z92" s="1">
        <v>46.666400000000003</v>
      </c>
      <c r="AA92" s="1">
        <v>49.502000000000002</v>
      </c>
      <c r="AB92" s="1">
        <v>51.940399999999997</v>
      </c>
      <c r="AC92" s="1">
        <v>57.390600000000013</v>
      </c>
      <c r="AD92" s="1">
        <v>51.034199999999998</v>
      </c>
      <c r="AE92" s="1">
        <v>49.535200000000003</v>
      </c>
      <c r="AF92" s="1">
        <v>53.572799999999987</v>
      </c>
      <c r="AG92" s="1">
        <v>54.053400000000003</v>
      </c>
      <c r="AH92" s="1"/>
      <c r="AI92" s="1">
        <f t="shared" si="27"/>
        <v>186.43149999999991</v>
      </c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</row>
    <row r="93" spans="1:51" x14ac:dyDescent="0.25">
      <c r="A93" s="1" t="s">
        <v>139</v>
      </c>
      <c r="B93" s="1" t="s">
        <v>43</v>
      </c>
      <c r="C93" s="1">
        <v>278</v>
      </c>
      <c r="D93" s="1">
        <v>241</v>
      </c>
      <c r="E93" s="1">
        <v>252</v>
      </c>
      <c r="F93" s="1">
        <v>206</v>
      </c>
      <c r="G93" s="8">
        <v>0.3</v>
      </c>
      <c r="H93" s="1">
        <v>40</v>
      </c>
      <c r="I93" s="1" t="s">
        <v>39</v>
      </c>
      <c r="J93" s="1"/>
      <c r="K93" s="1">
        <v>256</v>
      </c>
      <c r="L93" s="1">
        <f t="shared" si="22"/>
        <v>-4</v>
      </c>
      <c r="M93" s="1">
        <f t="shared" si="23"/>
        <v>252</v>
      </c>
      <c r="N93" s="1"/>
      <c r="O93" s="1"/>
      <c r="P93" s="1">
        <v>151.19999999999999</v>
      </c>
      <c r="Q93" s="1"/>
      <c r="R93" s="1"/>
      <c r="S93" s="1">
        <f t="shared" si="24"/>
        <v>50.4</v>
      </c>
      <c r="T93" s="5">
        <f t="shared" si="28"/>
        <v>297.99999999999994</v>
      </c>
      <c r="U93" s="5"/>
      <c r="V93" s="1"/>
      <c r="W93" s="1"/>
      <c r="X93" s="1">
        <f t="shared" si="25"/>
        <v>12.999999999999998</v>
      </c>
      <c r="Y93" s="1">
        <f t="shared" si="26"/>
        <v>7.087301587301587</v>
      </c>
      <c r="Z93" s="1">
        <v>49.4</v>
      </c>
      <c r="AA93" s="1">
        <v>49.6</v>
      </c>
      <c r="AB93" s="1">
        <v>48.2</v>
      </c>
      <c r="AC93" s="1">
        <v>47.2</v>
      </c>
      <c r="AD93" s="1">
        <v>50.8</v>
      </c>
      <c r="AE93" s="1">
        <v>52.6</v>
      </c>
      <c r="AF93" s="1">
        <v>45.6</v>
      </c>
      <c r="AG93" s="1">
        <v>46.8</v>
      </c>
      <c r="AH93" s="1"/>
      <c r="AI93" s="1">
        <f t="shared" si="27"/>
        <v>89.399999999999977</v>
      </c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</row>
    <row r="94" spans="1:51" x14ac:dyDescent="0.25">
      <c r="A94" s="1" t="s">
        <v>140</v>
      </c>
      <c r="B94" s="1" t="s">
        <v>43</v>
      </c>
      <c r="C94" s="1">
        <v>151</v>
      </c>
      <c r="D94" s="1">
        <v>30</v>
      </c>
      <c r="E94" s="1">
        <v>48</v>
      </c>
      <c r="F94" s="1">
        <v>120</v>
      </c>
      <c r="G94" s="8">
        <v>0.12</v>
      </c>
      <c r="H94" s="1">
        <v>45</v>
      </c>
      <c r="I94" s="1" t="s">
        <v>39</v>
      </c>
      <c r="J94" s="1"/>
      <c r="K94" s="1">
        <v>54</v>
      </c>
      <c r="L94" s="1">
        <f t="shared" si="22"/>
        <v>-6</v>
      </c>
      <c r="M94" s="1">
        <f t="shared" si="23"/>
        <v>48</v>
      </c>
      <c r="N94" s="1"/>
      <c r="O94" s="1"/>
      <c r="P94" s="1">
        <v>0</v>
      </c>
      <c r="Q94" s="1"/>
      <c r="R94" s="1"/>
      <c r="S94" s="1">
        <f t="shared" si="24"/>
        <v>9.6</v>
      </c>
      <c r="T94" s="5">
        <f t="shared" si="29"/>
        <v>14.400000000000006</v>
      </c>
      <c r="U94" s="5"/>
      <c r="V94" s="1"/>
      <c r="W94" s="1"/>
      <c r="X94" s="1">
        <f t="shared" si="25"/>
        <v>14.000000000000002</v>
      </c>
      <c r="Y94" s="1">
        <f t="shared" si="26"/>
        <v>12.5</v>
      </c>
      <c r="Z94" s="1">
        <v>8.8000000000000007</v>
      </c>
      <c r="AA94" s="1">
        <v>10.8</v>
      </c>
      <c r="AB94" s="1">
        <v>16.399999999999999</v>
      </c>
      <c r="AC94" s="1">
        <v>18.2</v>
      </c>
      <c r="AD94" s="1">
        <v>16.600000000000001</v>
      </c>
      <c r="AE94" s="1">
        <v>12.6</v>
      </c>
      <c r="AF94" s="1">
        <v>17.600000000000001</v>
      </c>
      <c r="AG94" s="1">
        <v>17.8</v>
      </c>
      <c r="AH94" s="1"/>
      <c r="AI94" s="1">
        <f t="shared" si="27"/>
        <v>1.7280000000000006</v>
      </c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</row>
    <row r="95" spans="1:51" x14ac:dyDescent="0.25">
      <c r="A95" s="1"/>
      <c r="B95" s="1"/>
      <c r="C95" s="1"/>
      <c r="D95" s="1"/>
      <c r="E95" s="1"/>
      <c r="F95" s="1"/>
      <c r="G95" s="8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</row>
    <row r="96" spans="1:51" x14ac:dyDescent="0.25">
      <c r="A96" s="1"/>
      <c r="B96" s="1"/>
      <c r="C96" s="1"/>
      <c r="D96" s="1"/>
      <c r="E96" s="1"/>
      <c r="F96" s="1"/>
      <c r="G96" s="8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</row>
    <row r="97" spans="1:51" x14ac:dyDescent="0.25">
      <c r="A97" s="1"/>
      <c r="B97" s="1"/>
      <c r="C97" s="1"/>
      <c r="D97" s="1"/>
      <c r="E97" s="1"/>
      <c r="F97" s="1"/>
      <c r="G97" s="8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</row>
    <row r="98" spans="1:51" x14ac:dyDescent="0.25">
      <c r="A98" s="1"/>
      <c r="B98" s="1"/>
      <c r="C98" s="1"/>
      <c r="D98" s="1"/>
      <c r="E98" s="1"/>
      <c r="F98" s="1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</row>
    <row r="99" spans="1:51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</row>
    <row r="100" spans="1:51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</row>
    <row r="101" spans="1:51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</row>
    <row r="102" spans="1:51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</row>
    <row r="103" spans="1:51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</row>
    <row r="104" spans="1:51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</row>
    <row r="105" spans="1:51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</row>
    <row r="106" spans="1:51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</row>
    <row r="107" spans="1:51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</row>
    <row r="108" spans="1:51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</row>
    <row r="109" spans="1:51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</row>
    <row r="110" spans="1:51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</row>
    <row r="111" spans="1:51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</row>
    <row r="112" spans="1:51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</row>
    <row r="113" spans="1:51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</row>
    <row r="114" spans="1:51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</row>
    <row r="115" spans="1:51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</row>
    <row r="116" spans="1:51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</row>
    <row r="117" spans="1:51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</row>
    <row r="118" spans="1:51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</row>
    <row r="119" spans="1:51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</row>
    <row r="120" spans="1:51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</row>
    <row r="121" spans="1:51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</row>
    <row r="122" spans="1:51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</row>
    <row r="123" spans="1:51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</row>
    <row r="124" spans="1:51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</row>
    <row r="125" spans="1:51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</row>
    <row r="126" spans="1:51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</row>
    <row r="127" spans="1:51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</row>
    <row r="128" spans="1:51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</row>
    <row r="129" spans="1:51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</row>
    <row r="130" spans="1:51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</row>
    <row r="131" spans="1:51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</row>
    <row r="132" spans="1:51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</row>
    <row r="133" spans="1:51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</row>
    <row r="134" spans="1:51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</row>
    <row r="135" spans="1:51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</row>
    <row r="136" spans="1:51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</row>
    <row r="137" spans="1:51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</row>
    <row r="138" spans="1:51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</row>
    <row r="139" spans="1:51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</row>
    <row r="140" spans="1:51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</row>
    <row r="141" spans="1:51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</row>
    <row r="142" spans="1:51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</row>
    <row r="143" spans="1:51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</row>
    <row r="144" spans="1:51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</row>
    <row r="145" spans="1:51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</row>
    <row r="146" spans="1:51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</row>
    <row r="147" spans="1:51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</row>
    <row r="148" spans="1:51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</row>
    <row r="149" spans="1:51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</row>
    <row r="150" spans="1:51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</row>
    <row r="151" spans="1:51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</row>
    <row r="152" spans="1:51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</row>
    <row r="153" spans="1:51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</row>
    <row r="154" spans="1:51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</row>
    <row r="155" spans="1:51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</row>
    <row r="156" spans="1:51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</row>
    <row r="157" spans="1:51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</row>
    <row r="158" spans="1:51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</row>
    <row r="159" spans="1:51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</row>
    <row r="160" spans="1:51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</row>
    <row r="161" spans="1:51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</row>
    <row r="162" spans="1:51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</row>
    <row r="163" spans="1:51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</row>
    <row r="164" spans="1:51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</row>
    <row r="165" spans="1:51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</row>
    <row r="166" spans="1:51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</row>
    <row r="167" spans="1:51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</row>
    <row r="168" spans="1:51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</row>
    <row r="169" spans="1:51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</row>
    <row r="170" spans="1:51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</row>
    <row r="171" spans="1:51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</row>
    <row r="172" spans="1:51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</row>
    <row r="173" spans="1:51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</row>
    <row r="174" spans="1:51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</row>
    <row r="175" spans="1:51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</row>
    <row r="176" spans="1:51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</row>
    <row r="177" spans="1:51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</row>
    <row r="178" spans="1:51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</row>
    <row r="179" spans="1:51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</row>
    <row r="180" spans="1:51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</row>
    <row r="181" spans="1:51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</row>
    <row r="182" spans="1:51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</row>
    <row r="183" spans="1:51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</row>
    <row r="184" spans="1:51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</row>
    <row r="185" spans="1:51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</row>
    <row r="186" spans="1:51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</row>
    <row r="187" spans="1:51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</row>
    <row r="188" spans="1:51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</row>
    <row r="189" spans="1:51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</row>
    <row r="190" spans="1:51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</row>
    <row r="191" spans="1:51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</row>
    <row r="192" spans="1:51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</row>
    <row r="193" spans="1:51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</row>
    <row r="194" spans="1:51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</row>
    <row r="195" spans="1:51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</row>
    <row r="196" spans="1:51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</row>
    <row r="197" spans="1:51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</row>
    <row r="198" spans="1:51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</row>
    <row r="199" spans="1:51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</row>
    <row r="200" spans="1:51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</row>
    <row r="201" spans="1:51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</row>
    <row r="202" spans="1:51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</row>
    <row r="203" spans="1:51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</row>
    <row r="204" spans="1:51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</row>
    <row r="205" spans="1:51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</row>
    <row r="206" spans="1:51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</row>
    <row r="207" spans="1:51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</row>
    <row r="208" spans="1:51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</row>
    <row r="209" spans="1:51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</row>
    <row r="210" spans="1:51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</row>
    <row r="211" spans="1:51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</row>
    <row r="212" spans="1:51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</row>
    <row r="213" spans="1:51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</row>
    <row r="214" spans="1:51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</row>
    <row r="215" spans="1:51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</row>
    <row r="216" spans="1:51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</row>
    <row r="217" spans="1:51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</row>
    <row r="218" spans="1:51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</row>
    <row r="219" spans="1:51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</row>
    <row r="220" spans="1:51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</row>
    <row r="221" spans="1:51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</row>
    <row r="222" spans="1:51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</row>
    <row r="223" spans="1:51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</row>
    <row r="224" spans="1:51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</row>
    <row r="225" spans="1:51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</row>
    <row r="226" spans="1:51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</row>
    <row r="227" spans="1:51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</row>
    <row r="228" spans="1:51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</row>
    <row r="229" spans="1:51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</row>
    <row r="230" spans="1:51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</row>
    <row r="231" spans="1:51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</row>
    <row r="232" spans="1:51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</row>
    <row r="233" spans="1:51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</row>
    <row r="234" spans="1:51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</row>
    <row r="235" spans="1:51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</row>
    <row r="236" spans="1:51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</row>
    <row r="237" spans="1:51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</row>
    <row r="238" spans="1:51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</row>
    <row r="239" spans="1:51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</row>
    <row r="240" spans="1:51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</row>
    <row r="241" spans="1:51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</row>
    <row r="242" spans="1:51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</row>
    <row r="243" spans="1:51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</row>
    <row r="244" spans="1:51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</row>
    <row r="245" spans="1:51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</row>
    <row r="246" spans="1:51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</row>
    <row r="247" spans="1:51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</row>
    <row r="248" spans="1:51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</row>
    <row r="249" spans="1:51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</row>
    <row r="250" spans="1:51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</row>
    <row r="251" spans="1:51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</row>
    <row r="252" spans="1:51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</row>
    <row r="253" spans="1:51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</row>
    <row r="254" spans="1:51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</row>
    <row r="255" spans="1:51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</row>
    <row r="256" spans="1:51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</row>
    <row r="257" spans="1:51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</row>
    <row r="258" spans="1:51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</row>
    <row r="259" spans="1:51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</row>
    <row r="260" spans="1:51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</row>
    <row r="261" spans="1:51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</row>
    <row r="262" spans="1:51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</row>
    <row r="263" spans="1:51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</row>
    <row r="264" spans="1:51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</row>
    <row r="265" spans="1:51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</row>
    <row r="266" spans="1:51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</row>
    <row r="267" spans="1:51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</row>
    <row r="268" spans="1:51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</row>
    <row r="269" spans="1:51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</row>
    <row r="270" spans="1:51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</row>
    <row r="271" spans="1:51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</row>
    <row r="272" spans="1:51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</row>
    <row r="273" spans="1:51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</row>
    <row r="274" spans="1:51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</row>
    <row r="275" spans="1:51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</row>
    <row r="276" spans="1:51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</row>
    <row r="277" spans="1:51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</row>
    <row r="278" spans="1:51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</row>
    <row r="279" spans="1:51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</row>
    <row r="280" spans="1:51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</row>
    <row r="281" spans="1:51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</row>
    <row r="282" spans="1:51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</row>
    <row r="283" spans="1:51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</row>
    <row r="284" spans="1:51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</row>
    <row r="285" spans="1:51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</row>
    <row r="286" spans="1:51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</row>
    <row r="287" spans="1:51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</row>
    <row r="288" spans="1:51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</row>
    <row r="289" spans="1:51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</row>
    <row r="290" spans="1:51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</row>
    <row r="291" spans="1:51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</row>
    <row r="292" spans="1:51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</row>
    <row r="293" spans="1:51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</row>
    <row r="294" spans="1:51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</row>
    <row r="295" spans="1:51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</row>
    <row r="296" spans="1:51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</row>
    <row r="297" spans="1:51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</row>
    <row r="298" spans="1:51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</row>
    <row r="299" spans="1:51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</row>
    <row r="300" spans="1:51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</row>
    <row r="301" spans="1:51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</row>
    <row r="302" spans="1:51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</row>
    <row r="303" spans="1:51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</row>
    <row r="304" spans="1:51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</row>
    <row r="305" spans="1:51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</row>
    <row r="306" spans="1:51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</row>
    <row r="307" spans="1:51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</row>
    <row r="308" spans="1:51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</row>
    <row r="309" spans="1:51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</row>
    <row r="310" spans="1:51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</row>
    <row r="311" spans="1:51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</row>
    <row r="312" spans="1:51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</row>
    <row r="313" spans="1:51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</row>
    <row r="314" spans="1:51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</row>
    <row r="315" spans="1:51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</row>
    <row r="316" spans="1:51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</row>
    <row r="317" spans="1:51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</row>
    <row r="318" spans="1:51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</row>
    <row r="319" spans="1:51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</row>
    <row r="320" spans="1:51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</row>
    <row r="321" spans="1:51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</row>
    <row r="322" spans="1:51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</row>
    <row r="323" spans="1:51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</row>
    <row r="324" spans="1:51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</row>
    <row r="325" spans="1:51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</row>
    <row r="326" spans="1:51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</row>
    <row r="327" spans="1:51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</row>
    <row r="328" spans="1:51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</row>
    <row r="329" spans="1:51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</row>
    <row r="330" spans="1:51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</row>
    <row r="331" spans="1:51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</row>
    <row r="332" spans="1:51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</row>
    <row r="333" spans="1:51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</row>
    <row r="334" spans="1:51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</row>
    <row r="335" spans="1:51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</row>
    <row r="336" spans="1:51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</row>
    <row r="337" spans="1:51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</row>
    <row r="338" spans="1:51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</row>
    <row r="339" spans="1:51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</row>
    <row r="340" spans="1:51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</row>
    <row r="341" spans="1:51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</row>
    <row r="342" spans="1:51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</row>
    <row r="343" spans="1:51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</row>
    <row r="344" spans="1:51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</row>
    <row r="345" spans="1:51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</row>
    <row r="346" spans="1:51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</row>
    <row r="347" spans="1:51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</row>
    <row r="348" spans="1:51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</row>
    <row r="349" spans="1:51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</row>
    <row r="350" spans="1:51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</row>
    <row r="351" spans="1:51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</row>
    <row r="352" spans="1:51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</row>
    <row r="353" spans="1:51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</row>
    <row r="354" spans="1:51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</row>
    <row r="355" spans="1:51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</row>
    <row r="356" spans="1:51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</row>
    <row r="357" spans="1:51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</row>
    <row r="358" spans="1:51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</row>
    <row r="359" spans="1:51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</row>
    <row r="360" spans="1:51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</row>
    <row r="361" spans="1:51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</row>
    <row r="362" spans="1:51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</row>
    <row r="363" spans="1:51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</row>
    <row r="364" spans="1:51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</row>
    <row r="365" spans="1:51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</row>
    <row r="366" spans="1:51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</row>
    <row r="367" spans="1:51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</row>
    <row r="368" spans="1:51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</row>
    <row r="369" spans="1:51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</row>
    <row r="370" spans="1:51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</row>
    <row r="371" spans="1:51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</row>
    <row r="372" spans="1:51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</row>
    <row r="373" spans="1:51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</row>
    <row r="374" spans="1:51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</row>
    <row r="375" spans="1:51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</row>
    <row r="376" spans="1:51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</row>
    <row r="377" spans="1:51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</row>
    <row r="378" spans="1:51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</row>
    <row r="379" spans="1:51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</row>
    <row r="380" spans="1:51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</row>
    <row r="381" spans="1:51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</row>
    <row r="382" spans="1:51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</row>
    <row r="383" spans="1:51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</row>
    <row r="384" spans="1:51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</row>
    <row r="385" spans="1:51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</row>
    <row r="386" spans="1:51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</row>
    <row r="387" spans="1:51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</row>
    <row r="388" spans="1:51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</row>
    <row r="389" spans="1:51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</row>
    <row r="390" spans="1:51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</row>
    <row r="391" spans="1:51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</row>
    <row r="392" spans="1:51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</row>
    <row r="393" spans="1:51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</row>
    <row r="394" spans="1:51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</row>
    <row r="395" spans="1:51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</row>
    <row r="396" spans="1:51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</row>
    <row r="397" spans="1:51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</row>
    <row r="398" spans="1:51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</row>
    <row r="399" spans="1:51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</row>
    <row r="400" spans="1:51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</row>
    <row r="401" spans="1:51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</row>
    <row r="402" spans="1:51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</row>
    <row r="403" spans="1:51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</row>
    <row r="404" spans="1:51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</row>
    <row r="405" spans="1:51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</row>
    <row r="406" spans="1:51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</row>
    <row r="407" spans="1:51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</row>
    <row r="408" spans="1:51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</row>
    <row r="409" spans="1:51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</row>
    <row r="410" spans="1:51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</row>
    <row r="411" spans="1:51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</row>
    <row r="412" spans="1:51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</row>
    <row r="413" spans="1:51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</row>
    <row r="414" spans="1:51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</row>
    <row r="415" spans="1:51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</row>
    <row r="416" spans="1:51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</row>
    <row r="417" spans="1:51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</row>
    <row r="418" spans="1:51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</row>
    <row r="419" spans="1:51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</row>
    <row r="420" spans="1:51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</row>
    <row r="421" spans="1:51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</row>
    <row r="422" spans="1:51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</row>
    <row r="423" spans="1:51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</row>
    <row r="424" spans="1:51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</row>
    <row r="425" spans="1:51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</row>
    <row r="426" spans="1:51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</row>
    <row r="427" spans="1:51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</row>
    <row r="428" spans="1:51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</row>
    <row r="429" spans="1:51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</row>
    <row r="430" spans="1:51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</row>
    <row r="431" spans="1:51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</row>
    <row r="432" spans="1:51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</row>
    <row r="433" spans="1:51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</row>
    <row r="434" spans="1:51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</row>
    <row r="435" spans="1:51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</row>
    <row r="436" spans="1:51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</row>
    <row r="437" spans="1:51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</row>
    <row r="438" spans="1:51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</row>
    <row r="439" spans="1:51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</row>
    <row r="440" spans="1:51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</row>
    <row r="441" spans="1:51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</row>
    <row r="442" spans="1:51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</row>
    <row r="443" spans="1:51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</row>
    <row r="444" spans="1:51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</row>
    <row r="445" spans="1:51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</row>
    <row r="446" spans="1:51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</row>
    <row r="447" spans="1:51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</row>
    <row r="448" spans="1:51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</row>
    <row r="449" spans="1:51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</row>
    <row r="450" spans="1:51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</row>
    <row r="451" spans="1:51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</row>
    <row r="452" spans="1:51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</row>
    <row r="453" spans="1:51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</row>
    <row r="454" spans="1:51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</row>
    <row r="455" spans="1:51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</row>
    <row r="456" spans="1:51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</row>
    <row r="457" spans="1:51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</row>
    <row r="458" spans="1:51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</row>
    <row r="459" spans="1:51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</row>
    <row r="460" spans="1:51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</row>
    <row r="461" spans="1:51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</row>
    <row r="462" spans="1:51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</row>
    <row r="463" spans="1:51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</row>
    <row r="464" spans="1:51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</row>
    <row r="465" spans="1:51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</row>
    <row r="466" spans="1:51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</row>
    <row r="467" spans="1:51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</row>
    <row r="468" spans="1:51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</row>
    <row r="469" spans="1:51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</row>
    <row r="470" spans="1:51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</row>
    <row r="471" spans="1:51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</row>
    <row r="472" spans="1:51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</row>
    <row r="473" spans="1:51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</row>
    <row r="474" spans="1:51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</row>
    <row r="475" spans="1:51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</row>
    <row r="476" spans="1:51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</row>
    <row r="477" spans="1:51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</row>
    <row r="478" spans="1:51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</row>
    <row r="479" spans="1:51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</row>
    <row r="480" spans="1:51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</row>
    <row r="481" spans="1:51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</row>
    <row r="482" spans="1:51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</row>
    <row r="483" spans="1:51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</row>
    <row r="484" spans="1:51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</row>
    <row r="485" spans="1:51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</row>
    <row r="486" spans="1:51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</row>
    <row r="487" spans="1:51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</row>
    <row r="488" spans="1:51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</row>
    <row r="489" spans="1:51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</row>
    <row r="490" spans="1:51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</row>
    <row r="491" spans="1:51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</row>
    <row r="492" spans="1:51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</row>
    <row r="493" spans="1:51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</row>
    <row r="494" spans="1:51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</row>
    <row r="495" spans="1:51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</row>
    <row r="496" spans="1:51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</row>
    <row r="497" spans="1:51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</row>
    <row r="498" spans="1:51" x14ac:dyDescent="0.25">
      <c r="A498" s="1"/>
      <c r="B498" s="1"/>
      <c r="C498" s="1"/>
      <c r="D498" s="1"/>
      <c r="E498" s="1"/>
      <c r="F498" s="1"/>
      <c r="G498" s="8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</row>
    <row r="499" spans="1:51" x14ac:dyDescent="0.25">
      <c r="A499" s="1"/>
      <c r="B499" s="1"/>
      <c r="C499" s="1"/>
      <c r="D499" s="1"/>
      <c r="E499" s="1"/>
      <c r="F499" s="1"/>
      <c r="G499" s="8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</row>
    <row r="500" spans="1:51" x14ac:dyDescent="0.25">
      <c r="A500" s="1"/>
      <c r="B500" s="1"/>
      <c r="C500" s="1"/>
      <c r="D500" s="1"/>
      <c r="E500" s="1"/>
      <c r="F500" s="1"/>
      <c r="G500" s="8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</row>
  </sheetData>
  <autoFilter ref="A3:AI94" xr:uid="{337B977D-DB3D-425B-8988-E14540F1318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2025-12-16T12:44:35Z</dcterms:created>
  <dcterms:modified xsi:type="dcterms:W3CDTF">2025-12-16T12:54:09Z</dcterms:modified>
</cp:coreProperties>
</file>