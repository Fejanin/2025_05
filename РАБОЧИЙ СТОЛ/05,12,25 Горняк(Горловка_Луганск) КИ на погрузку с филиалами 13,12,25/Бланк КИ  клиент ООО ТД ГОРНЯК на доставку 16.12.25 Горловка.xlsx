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5-16-12.25_Г+Л\"/>
    </mc:Choice>
  </mc:AlternateContent>
  <bookViews>
    <workbookView xWindow="0" yWindow="0" windowWidth="23040" windowHeight="9195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62913" refMode="R1C1"/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Z482" i="2" s="1"/>
  <c r="Y487" i="2"/>
  <c r="Z191" i="2"/>
  <c r="Z211" i="2"/>
  <c r="Y499" i="2"/>
  <c r="BP196" i="2"/>
  <c r="Z225" i="2"/>
  <c r="Z188" i="2" l="1"/>
  <c r="Z96" i="2"/>
  <c r="Z69" i="2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<sst xmlns="http://schemas.openxmlformats.org/spreadsheetml/2006/main" count="3606" uniqueCount="771">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</sst>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9"/>
  <sheetViews>
    <sheetView showGridLines="0" tabSelected="1" zoomScale="73" zoomScaleNormal="73" zoomScaleSheetLayoutView="100" workbookViewId="0">
      <selection activeCell="AA12" sqref="AA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>
        <v>46005</v>
      </c>
      <c r="R5" s="864"/>
      <c r="T5" s="865" t="s">
        <v>3</v>
      </c>
      <c r="U5" s="866"/>
      <c r="V5" s="867" t="s">
        <v>742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753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4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>
        <v>0.58333333333333337</v>
      </c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>
        <v>46007</v>
      </c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>
        <v>0.54166666666666663</v>
      </c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70" t="s">
        <v>75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4" t="s">
        <v>82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4" t="s">
        <v>100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9" t="s">
        <v>106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customHeight="1" x14ac:dyDescent="0.25">
      <c r="A38" s="570" t="s">
        <v>107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customHeight="1" x14ac:dyDescent="0.25">
      <c r="A39" s="554" t="s">
        <v>108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86.4</v>
      </c>
      <c r="Y40" s="55">
        <f>IFERROR(IF(X40="",0,CEILING((X40/$H40),1)*$H40),"")</f>
        <v>86.4</v>
      </c>
      <c r="Z40" s="41">
        <f>IFERROR(IF(Y40=0,"",ROUNDUP(Y40/H40,0)*0.01898),"")</f>
        <v>0.15184</v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89.88</v>
      </c>
      <c r="BN40" s="78">
        <f>IFERROR(Y40*I40/H40,"0")</f>
        <v>89.88</v>
      </c>
      <c r="BO40" s="78">
        <f>IFERROR(1/J40*(X40/H40),"0")</f>
        <v>0.125</v>
      </c>
      <c r="BP40" s="78">
        <f>IFERROR(1/J40*(Y40/H40),"0")</f>
        <v>0.125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8</v>
      </c>
      <c r="Y43" s="43">
        <f>IFERROR(Y40/H40,"0")+IFERROR(Y41/H41,"0")+IFERROR(Y42/H42,"0")</f>
        <v>8</v>
      </c>
      <c r="Z43" s="43">
        <f>IFERROR(IF(Z40="",0,Z40),"0")+IFERROR(IF(Z41="",0,Z41),"0")+IFERROR(IF(Z42="",0,Z42),"0")</f>
        <v>0.15184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86.4</v>
      </c>
      <c r="Y44" s="43">
        <f>IFERROR(SUM(Y40:Y42),"0")</f>
        <v>86.4</v>
      </c>
      <c r="Z44" s="42"/>
      <c r="AA44" s="67"/>
      <c r="AB44" s="67"/>
      <c r="AC44" s="67"/>
    </row>
    <row r="45" spans="1:68" ht="14.25" customHeight="1" x14ac:dyDescent="0.25">
      <c r="A45" s="554" t="s">
        <v>82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0" t="s">
        <v>122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customHeight="1" x14ac:dyDescent="0.25">
      <c r="A50" s="554" t="s">
        <v>108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54" t="s">
        <v>141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4" t="s">
        <v>76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4" t="s">
        <v>82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16.5" customHeight="1" x14ac:dyDescent="0.25">
      <c r="A72" s="63" t="s">
        <v>158</v>
      </c>
      <c r="B72" s="63" t="s">
        <v>159</v>
      </c>
      <c r="C72" s="36">
        <v>4301051838</v>
      </c>
      <c r="D72" s="555">
        <v>4680115881891</v>
      </c>
      <c r="E72" s="555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555">
        <v>4680115885769</v>
      </c>
      <c r="E73" s="555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555">
        <v>4680115884311</v>
      </c>
      <c r="E74" s="55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4301051844</v>
      </c>
      <c r="D75" s="555">
        <v>4680115885929</v>
      </c>
      <c r="E75" s="55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7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168</v>
      </c>
      <c r="B76" s="63" t="s">
        <v>169</v>
      </c>
      <c r="C76" s="36">
        <v>4301051929</v>
      </c>
      <c r="D76" s="555">
        <v>4680115884403</v>
      </c>
      <c r="E76" s="5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customHeight="1" x14ac:dyDescent="0.25">
      <c r="A79" s="554" t="s">
        <v>171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6"/>
      <c r="AB79" s="66"/>
      <c r="AC79" s="80"/>
    </row>
    <row r="80" spans="1:68" ht="27" customHeight="1" x14ac:dyDescent="0.25">
      <c r="A80" s="63" t="s">
        <v>172</v>
      </c>
      <c r="B80" s="63" t="s">
        <v>173</v>
      </c>
      <c r="C80" s="36">
        <v>4301060455</v>
      </c>
      <c r="D80" s="555">
        <v>4680115881532</v>
      </c>
      <c r="E80" s="555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175</v>
      </c>
      <c r="B81" s="63" t="s">
        <v>176</v>
      </c>
      <c r="C81" s="36">
        <v>4301060351</v>
      </c>
      <c r="D81" s="555">
        <v>4680115881464</v>
      </c>
      <c r="E81" s="555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70" t="s">
        <v>178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5"/>
      <c r="AB84" s="65"/>
      <c r="AC84" s="79"/>
    </row>
    <row r="85" spans="1:68" ht="14.25" customHeight="1" x14ac:dyDescent="0.25">
      <c r="A85" s="554" t="s">
        <v>108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6"/>
      <c r="AB85" s="66"/>
      <c r="AC85" s="80"/>
    </row>
    <row r="86" spans="1:68" ht="27" customHeight="1" x14ac:dyDescent="0.25">
      <c r="A86" s="63" t="s">
        <v>179</v>
      </c>
      <c r="B86" s="63" t="s">
        <v>180</v>
      </c>
      <c r="C86" s="36">
        <v>4301011468</v>
      </c>
      <c r="D86" s="555">
        <v>4680115881327</v>
      </c>
      <c r="E86" s="555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7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4301011476</v>
      </c>
      <c r="D87" s="555">
        <v>4680115881518</v>
      </c>
      <c r="E87" s="555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4301011443</v>
      </c>
      <c r="D88" s="555">
        <v>4680115881303</v>
      </c>
      <c r="E88" s="555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554" t="s">
        <v>82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66"/>
      <c r="AB91" s="66"/>
      <c r="AC91" s="80"/>
    </row>
    <row r="92" spans="1:68" ht="16.5" customHeight="1" x14ac:dyDescent="0.25">
      <c r="A92" s="63" t="s">
        <v>186</v>
      </c>
      <c r="B92" s="63" t="s">
        <v>187</v>
      </c>
      <c r="C92" s="36">
        <v>4301051712</v>
      </c>
      <c r="D92" s="555">
        <v>4607091386967</v>
      </c>
      <c r="E92" s="555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189</v>
      </c>
      <c r="B93" s="63" t="s">
        <v>190</v>
      </c>
      <c r="C93" s="36">
        <v>4301051788</v>
      </c>
      <c r="D93" s="555">
        <v>4680115884953</v>
      </c>
      <c r="E93" s="55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7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192</v>
      </c>
      <c r="B94" s="63" t="s">
        <v>193</v>
      </c>
      <c r="C94" s="36">
        <v>4301051718</v>
      </c>
      <c r="D94" s="555">
        <v>4607091385731</v>
      </c>
      <c r="E94" s="55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194</v>
      </c>
      <c r="B95" s="63" t="s">
        <v>195</v>
      </c>
      <c r="C95" s="36">
        <v>4301051438</v>
      </c>
      <c r="D95" s="555">
        <v>4680115880894</v>
      </c>
      <c r="E95" s="55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570" t="s">
        <v>197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5"/>
      <c r="AB98" s="65"/>
      <c r="AC98" s="79"/>
    </row>
    <row r="99" spans="1:68" ht="14.25" customHeight="1" x14ac:dyDescent="0.25">
      <c r="A99" s="554" t="s">
        <v>108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555">
        <v>4680115882133</v>
      </c>
      <c r="E100" s="555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/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4301011417</v>
      </c>
      <c r="D101" s="555">
        <v>4680115880269</v>
      </c>
      <c r="E101" s="555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4301011415</v>
      </c>
      <c r="D102" s="555">
        <v>4680115880429</v>
      </c>
      <c r="E102" s="555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205</v>
      </c>
      <c r="B103" s="63" t="s">
        <v>206</v>
      </c>
      <c r="C103" s="36">
        <v>4301011462</v>
      </c>
      <c r="D103" s="555">
        <v>4680115881457</v>
      </c>
      <c r="E103" s="555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59" t="s">
        <v>40</v>
      </c>
      <c r="Q105" s="560"/>
      <c r="R105" s="560"/>
      <c r="S105" s="560"/>
      <c r="T105" s="560"/>
      <c r="U105" s="560"/>
      <c r="V105" s="561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554" t="s">
        <v>141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66"/>
      <c r="AB106" s="66"/>
      <c r="AC106" s="80"/>
    </row>
    <row r="107" spans="1:68" ht="16.5" customHeight="1" x14ac:dyDescent="0.25">
      <c r="A107" s="63" t="s">
        <v>207</v>
      </c>
      <c r="B107" s="63" t="s">
        <v>208</v>
      </c>
      <c r="C107" s="36">
        <v>4301020345</v>
      </c>
      <c r="D107" s="555">
        <v>4680115881488</v>
      </c>
      <c r="E107" s="555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4301020346</v>
      </c>
      <c r="D108" s="555">
        <v>4680115882775</v>
      </c>
      <c r="E108" s="55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7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212</v>
      </c>
      <c r="B109" s="63" t="s">
        <v>213</v>
      </c>
      <c r="C109" s="36">
        <v>4301020344</v>
      </c>
      <c r="D109" s="555">
        <v>4680115880658</v>
      </c>
      <c r="E109" s="55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59" t="s">
        <v>40</v>
      </c>
      <c r="Q111" s="560"/>
      <c r="R111" s="560"/>
      <c r="S111" s="560"/>
      <c r="T111" s="560"/>
      <c r="U111" s="560"/>
      <c r="V111" s="561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554" t="s">
        <v>82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555">
        <v>4607091385168</v>
      </c>
      <c r="E113" s="555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4301051730</v>
      </c>
      <c r="D114" s="555">
        <v>4607091383256</v>
      </c>
      <c r="E114" s="55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219</v>
      </c>
      <c r="B115" s="63" t="s">
        <v>220</v>
      </c>
      <c r="C115" s="36">
        <v>4301051721</v>
      </c>
      <c r="D115" s="555">
        <v>4607091385748</v>
      </c>
      <c r="E115" s="55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221</v>
      </c>
      <c r="B116" s="63" t="s">
        <v>222</v>
      </c>
      <c r="C116" s="36">
        <v>4301051740</v>
      </c>
      <c r="D116" s="555">
        <v>4680115884533</v>
      </c>
      <c r="E116" s="55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59" t="s">
        <v>40</v>
      </c>
      <c r="Q118" s="560"/>
      <c r="R118" s="560"/>
      <c r="S118" s="560"/>
      <c r="T118" s="560"/>
      <c r="U118" s="560"/>
      <c r="V118" s="561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554" t="s">
        <v>171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66"/>
      <c r="AB119" s="66"/>
      <c r="AC119" s="80"/>
    </row>
    <row r="120" spans="1:68" ht="16.5" customHeight="1" x14ac:dyDescent="0.25">
      <c r="A120" s="63" t="s">
        <v>224</v>
      </c>
      <c r="B120" s="63" t="s">
        <v>225</v>
      </c>
      <c r="C120" s="36">
        <v>4301060317</v>
      </c>
      <c r="D120" s="555">
        <v>4680115880238</v>
      </c>
      <c r="E120" s="55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59" t="s">
        <v>40</v>
      </c>
      <c r="Q122" s="560"/>
      <c r="R122" s="560"/>
      <c r="S122" s="560"/>
      <c r="T122" s="560"/>
      <c r="U122" s="560"/>
      <c r="V122" s="561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570" t="s">
        <v>227</v>
      </c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  <c r="AA123" s="65"/>
      <c r="AB123" s="65"/>
      <c r="AC123" s="79"/>
    </row>
    <row r="124" spans="1:68" ht="14.25" customHeight="1" x14ac:dyDescent="0.25">
      <c r="A124" s="554" t="s">
        <v>108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66"/>
      <c r="AB124" s="66"/>
      <c r="AC124" s="80"/>
    </row>
    <row r="125" spans="1:68" ht="27" customHeight="1" x14ac:dyDescent="0.25">
      <c r="A125" s="63" t="s">
        <v>228</v>
      </c>
      <c r="B125" s="63" t="s">
        <v>229</v>
      </c>
      <c r="C125" s="36">
        <v>4301011562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228</v>
      </c>
      <c r="B126" s="63" t="s">
        <v>231</v>
      </c>
      <c r="C126" s="36">
        <v>4301011564</v>
      </c>
      <c r="D126" s="555">
        <v>4680115882577</v>
      </c>
      <c r="E126" s="55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59" t="s">
        <v>40</v>
      </c>
      <c r="Q128" s="560"/>
      <c r="R128" s="560"/>
      <c r="S128" s="560"/>
      <c r="T128" s="560"/>
      <c r="U128" s="560"/>
      <c r="V128" s="561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554" t="s">
        <v>76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66"/>
      <c r="AB129" s="66"/>
      <c r="AC129" s="80"/>
    </row>
    <row r="130" spans="1:68" ht="27" customHeight="1" x14ac:dyDescent="0.25">
      <c r="A130" s="63" t="s">
        <v>232</v>
      </c>
      <c r="B130" s="63" t="s">
        <v>233</v>
      </c>
      <c r="C130" s="36">
        <v>4301031235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7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232</v>
      </c>
      <c r="B131" s="63" t="s">
        <v>235</v>
      </c>
      <c r="C131" s="36">
        <v>4301031234</v>
      </c>
      <c r="D131" s="555">
        <v>4680115883444</v>
      </c>
      <c r="E131" s="55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7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59" t="s">
        <v>40</v>
      </c>
      <c r="Q133" s="560"/>
      <c r="R133" s="560"/>
      <c r="S133" s="560"/>
      <c r="T133" s="560"/>
      <c r="U133" s="560"/>
      <c r="V133" s="561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54" t="s">
        <v>82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66"/>
      <c r="AB134" s="66"/>
      <c r="AC134" s="80"/>
    </row>
    <row r="135" spans="1:68" ht="16.5" customHeight="1" x14ac:dyDescent="0.25">
      <c r="A135" s="63" t="s">
        <v>236</v>
      </c>
      <c r="B135" s="63" t="s">
        <v>237</v>
      </c>
      <c r="C135" s="36">
        <v>4301051477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236</v>
      </c>
      <c r="B136" s="63" t="s">
        <v>238</v>
      </c>
      <c r="C136" s="36">
        <v>4301051476</v>
      </c>
      <c r="D136" s="555">
        <v>4680115882584</v>
      </c>
      <c r="E136" s="55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59" t="s">
        <v>40</v>
      </c>
      <c r="Q138" s="560"/>
      <c r="R138" s="560"/>
      <c r="S138" s="560"/>
      <c r="T138" s="560"/>
      <c r="U138" s="560"/>
      <c r="V138" s="561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570" t="s">
        <v>106</v>
      </c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  <c r="AA139" s="65"/>
      <c r="AB139" s="65"/>
      <c r="AC139" s="79"/>
    </row>
    <row r="140" spans="1:68" ht="14.25" customHeight="1" x14ac:dyDescent="0.25">
      <c r="A140" s="554" t="s">
        <v>108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66"/>
      <c r="AB140" s="66"/>
      <c r="AC140" s="80"/>
    </row>
    <row r="141" spans="1:68" ht="27" customHeight="1" x14ac:dyDescent="0.25">
      <c r="A141" s="63" t="s">
        <v>239</v>
      </c>
      <c r="B141" s="63" t="s">
        <v>240</v>
      </c>
      <c r="C141" s="36">
        <v>4301012244</v>
      </c>
      <c r="D141" s="555">
        <v>4680115887374</v>
      </c>
      <c r="E141" s="555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243</v>
      </c>
      <c r="B142" s="63" t="s">
        <v>244</v>
      </c>
      <c r="C142" s="36">
        <v>4301011705</v>
      </c>
      <c r="D142" s="555">
        <v>4607091384604</v>
      </c>
      <c r="E142" s="555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246</v>
      </c>
      <c r="B143" s="63" t="s">
        <v>247</v>
      </c>
      <c r="C143" s="36">
        <v>4301012179</v>
      </c>
      <c r="D143" s="555">
        <v>4680115886810</v>
      </c>
      <c r="E143" s="555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59" t="s">
        <v>40</v>
      </c>
      <c r="Q145" s="560"/>
      <c r="R145" s="560"/>
      <c r="S145" s="560"/>
      <c r="T145" s="560"/>
      <c r="U145" s="560"/>
      <c r="V145" s="561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customHeight="1" x14ac:dyDescent="0.25">
      <c r="A146" s="554" t="s">
        <v>76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66"/>
      <c r="AB146" s="66"/>
      <c r="AC146" s="80"/>
    </row>
    <row r="147" spans="1:68" ht="16.5" customHeight="1" x14ac:dyDescent="0.25">
      <c r="A147" s="63" t="s">
        <v>249</v>
      </c>
      <c r="B147" s="63" t="s">
        <v>250</v>
      </c>
      <c r="C147" s="36">
        <v>4301030895</v>
      </c>
      <c r="D147" s="555">
        <v>4607091387667</v>
      </c>
      <c r="E147" s="555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7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252</v>
      </c>
      <c r="B148" s="63" t="s">
        <v>253</v>
      </c>
      <c r="C148" s="36">
        <v>4301030961</v>
      </c>
      <c r="D148" s="555">
        <v>4607091387636</v>
      </c>
      <c r="E148" s="555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74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4301030963</v>
      </c>
      <c r="D149" s="555">
        <v>4607091382426</v>
      </c>
      <c r="E149" s="555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7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3"/>
      <c r="P151" s="559" t="s">
        <v>40</v>
      </c>
      <c r="Q151" s="560"/>
      <c r="R151" s="560"/>
      <c r="S151" s="560"/>
      <c r="T151" s="560"/>
      <c r="U151" s="560"/>
      <c r="V151" s="561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customHeight="1" x14ac:dyDescent="0.25">
      <c r="A152" s="554" t="s">
        <v>82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66"/>
      <c r="AB152" s="66"/>
      <c r="AC152" s="80"/>
    </row>
    <row r="153" spans="1:68" ht="27" customHeight="1" x14ac:dyDescent="0.25">
      <c r="A153" s="63" t="s">
        <v>258</v>
      </c>
      <c r="B153" s="63" t="s">
        <v>259</v>
      </c>
      <c r="C153" s="36">
        <v>4301052064</v>
      </c>
      <c r="D153" s="555">
        <v>4680115887459</v>
      </c>
      <c r="E153" s="555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739" t="s">
        <v>260</v>
      </c>
      <c r="Q153" s="557"/>
      <c r="R153" s="557"/>
      <c r="S153" s="557"/>
      <c r="T153" s="55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customHeight="1" x14ac:dyDescent="0.2">
      <c r="A156" s="579" t="s">
        <v>262</v>
      </c>
      <c r="B156" s="579"/>
      <c r="C156" s="579"/>
      <c r="D156" s="579"/>
      <c r="E156" s="579"/>
      <c r="F156" s="579"/>
      <c r="G156" s="579"/>
      <c r="H156" s="579"/>
      <c r="I156" s="579"/>
      <c r="J156" s="579"/>
      <c r="K156" s="579"/>
      <c r="L156" s="579"/>
      <c r="M156" s="579"/>
      <c r="N156" s="579"/>
      <c r="O156" s="579"/>
      <c r="P156" s="579"/>
      <c r="Q156" s="579"/>
      <c r="R156" s="579"/>
      <c r="S156" s="579"/>
      <c r="T156" s="579"/>
      <c r="U156" s="579"/>
      <c r="V156" s="579"/>
      <c r="W156" s="579"/>
      <c r="X156" s="579"/>
      <c r="Y156" s="579"/>
      <c r="Z156" s="579"/>
      <c r="AA156" s="54"/>
      <c r="AB156" s="54"/>
      <c r="AC156" s="54"/>
    </row>
    <row r="157" spans="1:68" ht="16.5" customHeight="1" x14ac:dyDescent="0.25">
      <c r="A157" s="570" t="s">
        <v>263</v>
      </c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65"/>
      <c r="AB157" s="65"/>
      <c r="AC157" s="79"/>
    </row>
    <row r="158" spans="1:68" ht="14.25" customHeight="1" x14ac:dyDescent="0.25">
      <c r="A158" s="554" t="s">
        <v>141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66"/>
      <c r="AB158" s="66"/>
      <c r="AC158" s="80"/>
    </row>
    <row r="159" spans="1:68" ht="27" customHeight="1" x14ac:dyDescent="0.25">
      <c r="A159" s="63" t="s">
        <v>264</v>
      </c>
      <c r="B159" s="63" t="s">
        <v>265</v>
      </c>
      <c r="C159" s="36">
        <v>4301020323</v>
      </c>
      <c r="D159" s="555">
        <v>4680115886223</v>
      </c>
      <c r="E159" s="555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7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3"/>
      <c r="P161" s="559" t="s">
        <v>40</v>
      </c>
      <c r="Q161" s="560"/>
      <c r="R161" s="560"/>
      <c r="S161" s="560"/>
      <c r="T161" s="560"/>
      <c r="U161" s="560"/>
      <c r="V161" s="56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customHeight="1" x14ac:dyDescent="0.25">
      <c r="A162" s="554" t="s">
        <v>76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6"/>
      <c r="AB162" s="66"/>
      <c r="AC162" s="80"/>
    </row>
    <row r="163" spans="1:68" ht="27" customHeight="1" x14ac:dyDescent="0.25">
      <c r="A163" s="63" t="s">
        <v>267</v>
      </c>
      <c r="B163" s="63" t="s">
        <v>268</v>
      </c>
      <c r="C163" s="36">
        <v>4301031191</v>
      </c>
      <c r="D163" s="555">
        <v>4680115880993</v>
      </c>
      <c r="E163" s="555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7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customHeight="1" x14ac:dyDescent="0.25">
      <c r="A164" s="63" t="s">
        <v>270</v>
      </c>
      <c r="B164" s="63" t="s">
        <v>271</v>
      </c>
      <c r="C164" s="36">
        <v>4301031204</v>
      </c>
      <c r="D164" s="555">
        <v>4680115881761</v>
      </c>
      <c r="E164" s="555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7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273</v>
      </c>
      <c r="B165" s="63" t="s">
        <v>274</v>
      </c>
      <c r="C165" s="36">
        <v>4301031201</v>
      </c>
      <c r="D165" s="555">
        <v>4680115881563</v>
      </c>
      <c r="E165" s="555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4301031199</v>
      </c>
      <c r="D166" s="555">
        <v>4680115880986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7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4301031205</v>
      </c>
      <c r="D167" s="555">
        <v>4680115881785</v>
      </c>
      <c r="E167" s="55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7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280</v>
      </c>
      <c r="B168" s="63" t="s">
        <v>281</v>
      </c>
      <c r="C168" s="36">
        <v>4301031399</v>
      </c>
      <c r="D168" s="555">
        <v>4680115886537</v>
      </c>
      <c r="E168" s="55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7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283</v>
      </c>
      <c r="B169" s="63" t="s">
        <v>284</v>
      </c>
      <c r="C169" s="36">
        <v>4301031202</v>
      </c>
      <c r="D169" s="555">
        <v>4680115881679</v>
      </c>
      <c r="E169" s="55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4301031158</v>
      </c>
      <c r="D170" s="555">
        <v>4680115880191</v>
      </c>
      <c r="E170" s="55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287</v>
      </c>
      <c r="B171" s="63" t="s">
        <v>288</v>
      </c>
      <c r="C171" s="36">
        <v>4301031245</v>
      </c>
      <c r="D171" s="555">
        <v>4680115883963</v>
      </c>
      <c r="E171" s="55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3"/>
      <c r="P173" s="559" t="s">
        <v>40</v>
      </c>
      <c r="Q173" s="560"/>
      <c r="R173" s="560"/>
      <c r="S173" s="560"/>
      <c r="T173" s="560"/>
      <c r="U173" s="560"/>
      <c r="V173" s="561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customHeight="1" x14ac:dyDescent="0.25">
      <c r="A174" s="554" t="s">
        <v>100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66"/>
      <c r="AB174" s="66"/>
      <c r="AC174" s="80"/>
    </row>
    <row r="175" spans="1:68" ht="27" customHeight="1" x14ac:dyDescent="0.25">
      <c r="A175" s="63" t="s">
        <v>290</v>
      </c>
      <c r="B175" s="63" t="s">
        <v>291</v>
      </c>
      <c r="C175" s="36">
        <v>4301032053</v>
      </c>
      <c r="D175" s="555">
        <v>4680115886780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295</v>
      </c>
      <c r="B176" s="63" t="s">
        <v>296</v>
      </c>
      <c r="C176" s="36">
        <v>4301032051</v>
      </c>
      <c r="D176" s="555">
        <v>4680115886742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298</v>
      </c>
      <c r="B177" s="63" t="s">
        <v>299</v>
      </c>
      <c r="C177" s="36">
        <v>4301032052</v>
      </c>
      <c r="D177" s="555">
        <v>4680115886766</v>
      </c>
      <c r="E177" s="55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59" t="s">
        <v>40</v>
      </c>
      <c r="Q179" s="560"/>
      <c r="R179" s="560"/>
      <c r="S179" s="560"/>
      <c r="T179" s="560"/>
      <c r="U179" s="560"/>
      <c r="V179" s="561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554" t="s">
        <v>300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66"/>
      <c r="AB180" s="66"/>
      <c r="AC180" s="80"/>
    </row>
    <row r="181" spans="1:68" ht="27" customHeight="1" x14ac:dyDescent="0.25">
      <c r="A181" s="63" t="s">
        <v>301</v>
      </c>
      <c r="B181" s="63" t="s">
        <v>302</v>
      </c>
      <c r="C181" s="36">
        <v>4301170013</v>
      </c>
      <c r="D181" s="555">
        <v>4680115886797</v>
      </c>
      <c r="E181" s="55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570" t="s">
        <v>303</v>
      </c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  <c r="AA184" s="65"/>
      <c r="AB184" s="65"/>
      <c r="AC184" s="79"/>
    </row>
    <row r="185" spans="1:68" ht="14.25" customHeight="1" x14ac:dyDescent="0.25">
      <c r="A185" s="554" t="s">
        <v>108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66"/>
      <c r="AB185" s="66"/>
      <c r="AC185" s="80"/>
    </row>
    <row r="186" spans="1:68" ht="16.5" customHeight="1" x14ac:dyDescent="0.25">
      <c r="A186" s="63" t="s">
        <v>304</v>
      </c>
      <c r="B186" s="63" t="s">
        <v>305</v>
      </c>
      <c r="C186" s="36">
        <v>4301011450</v>
      </c>
      <c r="D186" s="555">
        <v>4680115881402</v>
      </c>
      <c r="E186" s="555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307</v>
      </c>
      <c r="B187" s="63" t="s">
        <v>308</v>
      </c>
      <c r="C187" s="36">
        <v>4301011768</v>
      </c>
      <c r="D187" s="555">
        <v>4680115881396</v>
      </c>
      <c r="E187" s="55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554" t="s">
        <v>141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6"/>
      <c r="AB190" s="66"/>
      <c r="AC190" s="80"/>
    </row>
    <row r="191" spans="1:68" ht="16.5" customHeight="1" x14ac:dyDescent="0.25">
      <c r="A191" s="63" t="s">
        <v>309</v>
      </c>
      <c r="B191" s="63" t="s">
        <v>310</v>
      </c>
      <c r="C191" s="36">
        <v>4301020261</v>
      </c>
      <c r="D191" s="555">
        <v>4680115882935</v>
      </c>
      <c r="E191" s="555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312</v>
      </c>
      <c r="B192" s="63" t="s">
        <v>313</v>
      </c>
      <c r="C192" s="36">
        <v>4301020220</v>
      </c>
      <c r="D192" s="555">
        <v>4680115880764</v>
      </c>
      <c r="E192" s="55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3"/>
      <c r="P194" s="559" t="s">
        <v>40</v>
      </c>
      <c r="Q194" s="560"/>
      <c r="R194" s="560"/>
      <c r="S194" s="560"/>
      <c r="T194" s="560"/>
      <c r="U194" s="560"/>
      <c r="V194" s="561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554" t="s">
        <v>76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6"/>
      <c r="AB195" s="66"/>
      <c r="AC195" s="80"/>
    </row>
    <row r="196" spans="1:68" ht="27" customHeight="1" x14ac:dyDescent="0.25">
      <c r="A196" s="63" t="s">
        <v>314</v>
      </c>
      <c r="B196" s="63" t="s">
        <v>315</v>
      </c>
      <c r="C196" s="36">
        <v>4301031224</v>
      </c>
      <c r="D196" s="555">
        <v>4680115882683</v>
      </c>
      <c r="E196" s="555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317</v>
      </c>
      <c r="B197" s="63" t="s">
        <v>318</v>
      </c>
      <c r="C197" s="36">
        <v>4301031230</v>
      </c>
      <c r="D197" s="555">
        <v>4680115882690</v>
      </c>
      <c r="E197" s="555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320</v>
      </c>
      <c r="B198" s="63" t="s">
        <v>321</v>
      </c>
      <c r="C198" s="36">
        <v>4301031220</v>
      </c>
      <c r="D198" s="555">
        <v>4680115882669</v>
      </c>
      <c r="E198" s="555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323</v>
      </c>
      <c r="B199" s="63" t="s">
        <v>324</v>
      </c>
      <c r="C199" s="36">
        <v>4301031221</v>
      </c>
      <c r="D199" s="555">
        <v>4680115882676</v>
      </c>
      <c r="E199" s="555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4301031223</v>
      </c>
      <c r="D200" s="555">
        <v>4680115884014</v>
      </c>
      <c r="E200" s="55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4301031222</v>
      </c>
      <c r="D201" s="555">
        <v>4680115884007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4301031229</v>
      </c>
      <c r="D202" s="555">
        <v>4680115884038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332</v>
      </c>
      <c r="B203" s="63" t="s">
        <v>333</v>
      </c>
      <c r="C203" s="36">
        <v>4301031225</v>
      </c>
      <c r="D203" s="555">
        <v>4680115884021</v>
      </c>
      <c r="E203" s="55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3"/>
      <c r="P205" s="559" t="s">
        <v>40</v>
      </c>
      <c r="Q205" s="560"/>
      <c r="R205" s="560"/>
      <c r="S205" s="560"/>
      <c r="T205" s="560"/>
      <c r="U205" s="560"/>
      <c r="V205" s="561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554" t="s">
        <v>82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66"/>
      <c r="AB206" s="66"/>
      <c r="AC206" s="80"/>
    </row>
    <row r="207" spans="1:68" ht="27" customHeight="1" x14ac:dyDescent="0.25">
      <c r="A207" s="63" t="s">
        <v>334</v>
      </c>
      <c r="B207" s="63" t="s">
        <v>335</v>
      </c>
      <c r="C207" s="36">
        <v>4301051408</v>
      </c>
      <c r="D207" s="555">
        <v>4680115881594</v>
      </c>
      <c r="E207" s="555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337</v>
      </c>
      <c r="B208" s="63" t="s">
        <v>338</v>
      </c>
      <c r="C208" s="36">
        <v>4301051411</v>
      </c>
      <c r="D208" s="555">
        <v>4680115881617</v>
      </c>
      <c r="E208" s="555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340</v>
      </c>
      <c r="B209" s="63" t="s">
        <v>341</v>
      </c>
      <c r="C209" s="36">
        <v>4301051656</v>
      </c>
      <c r="D209" s="555">
        <v>4680115880573</v>
      </c>
      <c r="E209" s="555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4301051407</v>
      </c>
      <c r="D210" s="555">
        <v>4680115882195</v>
      </c>
      <c r="E210" s="55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345</v>
      </c>
      <c r="B211" s="63" t="s">
        <v>346</v>
      </c>
      <c r="C211" s="36">
        <v>4301051752</v>
      </c>
      <c r="D211" s="555">
        <v>4680115882607</v>
      </c>
      <c r="E211" s="55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348</v>
      </c>
      <c r="B212" s="63" t="s">
        <v>349</v>
      </c>
      <c r="C212" s="36">
        <v>4301051666</v>
      </c>
      <c r="D212" s="555">
        <v>4680115880092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350</v>
      </c>
      <c r="B213" s="63" t="s">
        <v>351</v>
      </c>
      <c r="C213" s="36">
        <v>4301051668</v>
      </c>
      <c r="D213" s="555">
        <v>4680115880221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352</v>
      </c>
      <c r="B214" s="63" t="s">
        <v>353</v>
      </c>
      <c r="C214" s="36">
        <v>4301051945</v>
      </c>
      <c r="D214" s="555">
        <v>4680115880504</v>
      </c>
      <c r="E214" s="55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355</v>
      </c>
      <c r="B215" s="63" t="s">
        <v>356</v>
      </c>
      <c r="C215" s="36">
        <v>4301051410</v>
      </c>
      <c r="D215" s="555">
        <v>4680115882164</v>
      </c>
      <c r="E215" s="55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3"/>
      <c r="P217" s="559" t="s">
        <v>40</v>
      </c>
      <c r="Q217" s="560"/>
      <c r="R217" s="560"/>
      <c r="S217" s="560"/>
      <c r="T217" s="560"/>
      <c r="U217" s="560"/>
      <c r="V217" s="561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554" t="s">
        <v>171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66"/>
      <c r="AB218" s="66"/>
      <c r="AC218" s="80"/>
    </row>
    <row r="219" spans="1:68" ht="27" customHeight="1" x14ac:dyDescent="0.25">
      <c r="A219" s="63" t="s">
        <v>357</v>
      </c>
      <c r="B219" s="63" t="s">
        <v>358</v>
      </c>
      <c r="C219" s="36">
        <v>4301060463</v>
      </c>
      <c r="D219" s="555">
        <v>4680115880818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360</v>
      </c>
      <c r="B220" s="63" t="s">
        <v>361</v>
      </c>
      <c r="C220" s="36">
        <v>4301060389</v>
      </c>
      <c r="D220" s="555">
        <v>4680115880801</v>
      </c>
      <c r="E220" s="55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3"/>
      <c r="P222" s="559" t="s">
        <v>40</v>
      </c>
      <c r="Q222" s="560"/>
      <c r="R222" s="560"/>
      <c r="S222" s="560"/>
      <c r="T222" s="560"/>
      <c r="U222" s="560"/>
      <c r="V222" s="561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570" t="s">
        <v>363</v>
      </c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  <c r="AA223" s="65"/>
      <c r="AB223" s="65"/>
      <c r="AC223" s="79"/>
    </row>
    <row r="224" spans="1:68" ht="14.25" customHeight="1" x14ac:dyDescent="0.25">
      <c r="A224" s="554" t="s">
        <v>108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66"/>
      <c r="AB224" s="66"/>
      <c r="AC224" s="80"/>
    </row>
    <row r="225" spans="1:68" ht="27" customHeight="1" x14ac:dyDescent="0.25">
      <c r="A225" s="63" t="s">
        <v>364</v>
      </c>
      <c r="B225" s="63" t="s">
        <v>365</v>
      </c>
      <c r="C225" s="36">
        <v>4301011826</v>
      </c>
      <c r="D225" s="555">
        <v>4680115884137</v>
      </c>
      <c r="E225" s="555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6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367</v>
      </c>
      <c r="B226" s="63" t="s">
        <v>368</v>
      </c>
      <c r="C226" s="36">
        <v>4301011724</v>
      </c>
      <c r="D226" s="555">
        <v>4680115884236</v>
      </c>
      <c r="E226" s="555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6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370</v>
      </c>
      <c r="B227" s="63" t="s">
        <v>371</v>
      </c>
      <c r="C227" s="36">
        <v>4301011721</v>
      </c>
      <c r="D227" s="555">
        <v>4680115884175</v>
      </c>
      <c r="E227" s="555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373</v>
      </c>
      <c r="B228" s="63" t="s">
        <v>374</v>
      </c>
      <c r="C228" s="36">
        <v>4301011824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373</v>
      </c>
      <c r="B229" s="63" t="s">
        <v>375</v>
      </c>
      <c r="C229" s="36">
        <v>4301012196</v>
      </c>
      <c r="D229" s="555">
        <v>4680115884144</v>
      </c>
      <c r="E229" s="555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69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376</v>
      </c>
      <c r="B230" s="63" t="s">
        <v>377</v>
      </c>
      <c r="C230" s="36">
        <v>4301012149</v>
      </c>
      <c r="D230" s="555">
        <v>4680115886551</v>
      </c>
      <c r="E230" s="555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6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379</v>
      </c>
      <c r="B231" s="63" t="s">
        <v>380</v>
      </c>
      <c r="C231" s="36">
        <v>4301011726</v>
      </c>
      <c r="D231" s="555">
        <v>4680115884182</v>
      </c>
      <c r="E231" s="555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6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381</v>
      </c>
      <c r="B232" s="63" t="s">
        <v>382</v>
      </c>
      <c r="C232" s="36">
        <v>4301012228</v>
      </c>
      <c r="D232" s="555">
        <v>4680115887282</v>
      </c>
      <c r="E232" s="5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6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383</v>
      </c>
      <c r="B233" s="63" t="s">
        <v>384</v>
      </c>
      <c r="C233" s="36">
        <v>4301011722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383</v>
      </c>
      <c r="B234" s="63" t="s">
        <v>385</v>
      </c>
      <c r="C234" s="36">
        <v>4301012195</v>
      </c>
      <c r="D234" s="555">
        <v>4680115884205</v>
      </c>
      <c r="E234" s="555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69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3"/>
      <c r="P236" s="559" t="s">
        <v>40</v>
      </c>
      <c r="Q236" s="560"/>
      <c r="R236" s="560"/>
      <c r="S236" s="560"/>
      <c r="T236" s="560"/>
      <c r="U236" s="560"/>
      <c r="V236" s="561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554" t="s">
        <v>141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66"/>
      <c r="AB237" s="66"/>
      <c r="AC237" s="80"/>
    </row>
    <row r="238" spans="1:68" ht="27" customHeight="1" x14ac:dyDescent="0.25">
      <c r="A238" s="63" t="s">
        <v>386</v>
      </c>
      <c r="B238" s="63" t="s">
        <v>387</v>
      </c>
      <c r="C238" s="36">
        <v>4301020377</v>
      </c>
      <c r="D238" s="555">
        <v>4680115885981</v>
      </c>
      <c r="E238" s="55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3"/>
      <c r="P240" s="559" t="s">
        <v>40</v>
      </c>
      <c r="Q240" s="560"/>
      <c r="R240" s="560"/>
      <c r="S240" s="560"/>
      <c r="T240" s="560"/>
      <c r="U240" s="560"/>
      <c r="V240" s="561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554" t="s">
        <v>389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66"/>
      <c r="AB241" s="66"/>
      <c r="AC241" s="80"/>
    </row>
    <row r="242" spans="1:68" ht="27" customHeight="1" x14ac:dyDescent="0.25">
      <c r="A242" s="63" t="s">
        <v>390</v>
      </c>
      <c r="B242" s="63" t="s">
        <v>391</v>
      </c>
      <c r="C242" s="36">
        <v>4301040362</v>
      </c>
      <c r="D242" s="555">
        <v>4680115886803</v>
      </c>
      <c r="E242" s="55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3"/>
      <c r="P244" s="559" t="s">
        <v>40</v>
      </c>
      <c r="Q244" s="560"/>
      <c r="R244" s="560"/>
      <c r="S244" s="560"/>
      <c r="T244" s="560"/>
      <c r="U244" s="560"/>
      <c r="V244" s="561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554" t="s">
        <v>393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66"/>
      <c r="AB245" s="66"/>
      <c r="AC245" s="80"/>
    </row>
    <row r="246" spans="1:68" ht="27" customHeight="1" x14ac:dyDescent="0.25">
      <c r="A246" s="63" t="s">
        <v>394</v>
      </c>
      <c r="B246" s="63" t="s">
        <v>395</v>
      </c>
      <c r="C246" s="36">
        <v>4301041004</v>
      </c>
      <c r="D246" s="555">
        <v>4680115886704</v>
      </c>
      <c r="E246" s="55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397</v>
      </c>
      <c r="B247" s="63" t="s">
        <v>398</v>
      </c>
      <c r="C247" s="36">
        <v>4301041008</v>
      </c>
      <c r="D247" s="555">
        <v>4680115886681</v>
      </c>
      <c r="E247" s="55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6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399</v>
      </c>
      <c r="B248" s="63" t="s">
        <v>400</v>
      </c>
      <c r="C248" s="36">
        <v>4301041007</v>
      </c>
      <c r="D248" s="555">
        <v>4680115886735</v>
      </c>
      <c r="E248" s="55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6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401</v>
      </c>
      <c r="B249" s="63" t="s">
        <v>402</v>
      </c>
      <c r="C249" s="36">
        <v>4301041006</v>
      </c>
      <c r="D249" s="555">
        <v>4680115886728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68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403</v>
      </c>
      <c r="B250" s="63" t="s">
        <v>404</v>
      </c>
      <c r="C250" s="36">
        <v>4301041005</v>
      </c>
      <c r="D250" s="555">
        <v>4680115886711</v>
      </c>
      <c r="E250" s="55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68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3"/>
      <c r="P252" s="559" t="s">
        <v>40</v>
      </c>
      <c r="Q252" s="560"/>
      <c r="R252" s="560"/>
      <c r="S252" s="560"/>
      <c r="T252" s="560"/>
      <c r="U252" s="560"/>
      <c r="V252" s="561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570" t="s">
        <v>405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5"/>
      <c r="AB253" s="65"/>
      <c r="AC253" s="79"/>
    </row>
    <row r="254" spans="1:68" ht="14.25" customHeight="1" x14ac:dyDescent="0.25">
      <c r="A254" s="554" t="s">
        <v>108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66"/>
      <c r="AB254" s="66"/>
      <c r="AC254" s="80"/>
    </row>
    <row r="255" spans="1:68" ht="27" customHeight="1" x14ac:dyDescent="0.25">
      <c r="A255" s="63" t="s">
        <v>406</v>
      </c>
      <c r="B255" s="63" t="s">
        <v>407</v>
      </c>
      <c r="C255" s="36">
        <v>4301011855</v>
      </c>
      <c r="D255" s="555">
        <v>4680115885837</v>
      </c>
      <c r="E255" s="555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6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409</v>
      </c>
      <c r="B256" s="63" t="s">
        <v>410</v>
      </c>
      <c r="C256" s="36">
        <v>4301011853</v>
      </c>
      <c r="D256" s="555">
        <v>4680115885851</v>
      </c>
      <c r="E256" s="555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6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412</v>
      </c>
      <c r="B257" s="63" t="s">
        <v>413</v>
      </c>
      <c r="C257" s="36">
        <v>4301011850</v>
      </c>
      <c r="D257" s="555">
        <v>4680115885806</v>
      </c>
      <c r="E257" s="555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6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415</v>
      </c>
      <c r="B258" s="63" t="s">
        <v>416</v>
      </c>
      <c r="C258" s="36">
        <v>4301011852</v>
      </c>
      <c r="D258" s="555">
        <v>4680115885844</v>
      </c>
      <c r="E258" s="555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6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418</v>
      </c>
      <c r="B259" s="63" t="s">
        <v>419</v>
      </c>
      <c r="C259" s="36">
        <v>4301011851</v>
      </c>
      <c r="D259" s="555">
        <v>4680115885820</v>
      </c>
      <c r="E259" s="555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3"/>
      <c r="P261" s="559" t="s">
        <v>40</v>
      </c>
      <c r="Q261" s="560"/>
      <c r="R261" s="560"/>
      <c r="S261" s="560"/>
      <c r="T261" s="560"/>
      <c r="U261" s="560"/>
      <c r="V261" s="561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570" t="s">
        <v>421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5"/>
      <c r="AB262" s="65"/>
      <c r="AC262" s="79"/>
    </row>
    <row r="263" spans="1:68" ht="14.25" customHeight="1" x14ac:dyDescent="0.25">
      <c r="A263" s="554" t="s">
        <v>108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66"/>
      <c r="AB263" s="66"/>
      <c r="AC263" s="80"/>
    </row>
    <row r="264" spans="1:68" ht="27" customHeight="1" x14ac:dyDescent="0.25">
      <c r="A264" s="63" t="s">
        <v>422</v>
      </c>
      <c r="B264" s="63" t="s">
        <v>423</v>
      </c>
      <c r="C264" s="36">
        <v>4301011223</v>
      </c>
      <c r="D264" s="555">
        <v>4607091383423</v>
      </c>
      <c r="E264" s="555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6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424</v>
      </c>
      <c r="B265" s="63" t="s">
        <v>425</v>
      </c>
      <c r="C265" s="36">
        <v>4301012199</v>
      </c>
      <c r="D265" s="555">
        <v>4680115886957</v>
      </c>
      <c r="E265" s="555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427</v>
      </c>
      <c r="B266" s="63" t="s">
        <v>428</v>
      </c>
      <c r="C266" s="36">
        <v>4301012098</v>
      </c>
      <c r="D266" s="555">
        <v>4680115885660</v>
      </c>
      <c r="E266" s="555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6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429</v>
      </c>
      <c r="B267" s="63" t="s">
        <v>430</v>
      </c>
      <c r="C267" s="36">
        <v>4301012176</v>
      </c>
      <c r="D267" s="555">
        <v>4680115886773</v>
      </c>
      <c r="E267" s="555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3"/>
      <c r="P269" s="559" t="s">
        <v>40</v>
      </c>
      <c r="Q269" s="560"/>
      <c r="R269" s="560"/>
      <c r="S269" s="560"/>
      <c r="T269" s="560"/>
      <c r="U269" s="560"/>
      <c r="V269" s="561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570" t="s">
        <v>432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5"/>
      <c r="AB270" s="65"/>
      <c r="AC270" s="79"/>
    </row>
    <row r="271" spans="1:68" ht="14.25" customHeight="1" x14ac:dyDescent="0.25">
      <c r="A271" s="554" t="s">
        <v>82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66"/>
      <c r="AB271" s="66"/>
      <c r="AC271" s="80"/>
    </row>
    <row r="272" spans="1:68" ht="27" customHeight="1" x14ac:dyDescent="0.25">
      <c r="A272" s="63" t="s">
        <v>433</v>
      </c>
      <c r="B272" s="63" t="s">
        <v>434</v>
      </c>
      <c r="C272" s="36">
        <v>4301051893</v>
      </c>
      <c r="D272" s="555">
        <v>4680115886186</v>
      </c>
      <c r="E272" s="55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436</v>
      </c>
      <c r="B273" s="63" t="s">
        <v>437</v>
      </c>
      <c r="C273" s="36">
        <v>4301051795</v>
      </c>
      <c r="D273" s="555">
        <v>4680115881228</v>
      </c>
      <c r="E273" s="55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439</v>
      </c>
      <c r="B274" s="63" t="s">
        <v>440</v>
      </c>
      <c r="C274" s="36">
        <v>4301051388</v>
      </c>
      <c r="D274" s="555">
        <v>4680115881211</v>
      </c>
      <c r="E274" s="55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570" t="s">
        <v>441</v>
      </c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  <c r="AA277" s="65"/>
      <c r="AB277" s="65"/>
      <c r="AC277" s="79"/>
    </row>
    <row r="278" spans="1:68" ht="14.25" customHeight="1" x14ac:dyDescent="0.25">
      <c r="A278" s="554" t="s">
        <v>76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6"/>
      <c r="AB278" s="66"/>
      <c r="AC278" s="80"/>
    </row>
    <row r="279" spans="1:68" ht="27" customHeight="1" x14ac:dyDescent="0.25">
      <c r="A279" s="63" t="s">
        <v>442</v>
      </c>
      <c r="B279" s="63" t="s">
        <v>443</v>
      </c>
      <c r="C279" s="36">
        <v>4301031307</v>
      </c>
      <c r="D279" s="555">
        <v>4680115880344</v>
      </c>
      <c r="E279" s="55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6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445</v>
      </c>
      <c r="B280" s="63" t="s">
        <v>446</v>
      </c>
      <c r="C280" s="36">
        <v>4301031429</v>
      </c>
      <c r="D280" s="555">
        <v>4680115886919</v>
      </c>
      <c r="E280" s="55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6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554" t="s">
        <v>82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66"/>
      <c r="AB283" s="66"/>
      <c r="AC283" s="80"/>
    </row>
    <row r="284" spans="1:68" ht="37.5" customHeight="1" x14ac:dyDescent="0.25">
      <c r="A284" s="63" t="s">
        <v>448</v>
      </c>
      <c r="B284" s="63" t="s">
        <v>449</v>
      </c>
      <c r="C284" s="36">
        <v>4301051782</v>
      </c>
      <c r="D284" s="555">
        <v>4680115884618</v>
      </c>
      <c r="E284" s="555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6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x14ac:dyDescent="0.2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3"/>
      <c r="P286" s="559" t="s">
        <v>40</v>
      </c>
      <c r="Q286" s="560"/>
      <c r="R286" s="560"/>
      <c r="S286" s="560"/>
      <c r="T286" s="560"/>
      <c r="U286" s="560"/>
      <c r="V286" s="561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customHeight="1" x14ac:dyDescent="0.25">
      <c r="A287" s="570" t="s">
        <v>451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  <c r="AA287" s="65"/>
      <c r="AB287" s="65"/>
      <c r="AC287" s="79"/>
    </row>
    <row r="288" spans="1:68" ht="14.25" customHeight="1" x14ac:dyDescent="0.25">
      <c r="A288" s="554" t="s">
        <v>108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66"/>
      <c r="AB288" s="66"/>
      <c r="AC288" s="80"/>
    </row>
    <row r="289" spans="1:68" ht="27" customHeight="1" x14ac:dyDescent="0.25">
      <c r="A289" s="63" t="s">
        <v>452</v>
      </c>
      <c r="B289" s="63" t="s">
        <v>453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6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455</v>
      </c>
      <c r="B290" s="63" t="s">
        <v>456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458</v>
      </c>
      <c r="B291" s="63" t="s">
        <v>459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461</v>
      </c>
      <c r="B292" s="63" t="s">
        <v>462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463</v>
      </c>
      <c r="B293" s="63" t="s">
        <v>464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554" t="s">
        <v>76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customHeight="1" x14ac:dyDescent="0.25">
      <c r="A297" s="63" t="s">
        <v>466</v>
      </c>
      <c r="B297" s="63" t="s">
        <v>467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469</v>
      </c>
      <c r="B298" s="63" t="s">
        <v>470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472</v>
      </c>
      <c r="B299" s="63" t="s">
        <v>473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6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475</v>
      </c>
      <c r="B300" s="63" t="s">
        <v>476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477</v>
      </c>
      <c r="B301" s="63" t="s">
        <v>478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480</v>
      </c>
      <c r="B302" s="63" t="s">
        <v>481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65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482</v>
      </c>
      <c r="B303" s="63" t="s">
        <v>483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4" t="s">
        <v>82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customHeight="1" x14ac:dyDescent="0.25">
      <c r="A307" s="63" t="s">
        <v>485</v>
      </c>
      <c r="B307" s="63" t="s">
        <v>486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488</v>
      </c>
      <c r="B308" s="63" t="s">
        <v>489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491</v>
      </c>
      <c r="B309" s="63" t="s">
        <v>492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494</v>
      </c>
      <c r="B310" s="63" t="s">
        <v>495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497</v>
      </c>
      <c r="B311" s="63" t="s">
        <v>498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554" t="s">
        <v>171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customHeight="1" x14ac:dyDescent="0.25">
      <c r="A315" s="63" t="s">
        <v>500</v>
      </c>
      <c r="B315" s="63" t="s">
        <v>501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503</v>
      </c>
      <c r="B316" s="63" t="s">
        <v>504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124.8</v>
      </c>
      <c r="Y316" s="55">
        <f>IFERROR(IF(X316="",0,CEILING((X316/$H316),1)*$H316),"")</f>
        <v>124.8</v>
      </c>
      <c r="Z316" s="41">
        <f>IFERROR(IF(Y316=0,"",ROUNDUP(Y316/H316,0)*0.01898),"")</f>
        <v>0.30368000000000001</v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133.10400000000001</v>
      </c>
      <c r="BN316" s="78">
        <f>IFERROR(Y316*I316/H316,"0")</f>
        <v>133.10400000000001</v>
      </c>
      <c r="BO316" s="78">
        <f>IFERROR(1/J316*(X316/H316),"0")</f>
        <v>0.25</v>
      </c>
      <c r="BP316" s="78">
        <f>IFERROR(1/J316*(Y316/H316),"0")</f>
        <v>0.25</v>
      </c>
    </row>
    <row r="317" spans="1:68" ht="16.5" customHeight="1" x14ac:dyDescent="0.25">
      <c r="A317" s="63" t="s">
        <v>506</v>
      </c>
      <c r="B317" s="63" t="s">
        <v>507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16</v>
      </c>
      <c r="Y318" s="43">
        <f>IFERROR(Y315/H315,"0")+IFERROR(Y316/H316,"0")+IFERROR(Y317/H317,"0")</f>
        <v>16</v>
      </c>
      <c r="Z318" s="43">
        <f>IFERROR(IF(Z315="",0,Z315),"0")+IFERROR(IF(Z316="",0,Z316),"0")+IFERROR(IF(Z317="",0,Z317),"0")</f>
        <v>0.30368000000000001</v>
      </c>
      <c r="AA318" s="67"/>
      <c r="AB318" s="67"/>
      <c r="AC318" s="67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124.8</v>
      </c>
      <c r="Y319" s="43">
        <f>IFERROR(SUM(Y315:Y317),"0")</f>
        <v>124.8</v>
      </c>
      <c r="Z319" s="42"/>
      <c r="AA319" s="67"/>
      <c r="AB319" s="67"/>
      <c r="AC319" s="67"/>
    </row>
    <row r="320" spans="1:68" ht="14.25" customHeight="1" x14ac:dyDescent="0.25">
      <c r="A320" s="554" t="s">
        <v>100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customHeight="1" x14ac:dyDescent="0.25">
      <c r="A321" s="63" t="s">
        <v>509</v>
      </c>
      <c r="B321" s="63" t="s">
        <v>510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512</v>
      </c>
      <c r="B322" s="63" t="s">
        <v>513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650" t="s">
        <v>514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515</v>
      </c>
      <c r="B323" s="63" t="s">
        <v>516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518</v>
      </c>
      <c r="B324" s="63" t="s">
        <v>519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554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customHeight="1" x14ac:dyDescent="0.25">
      <c r="A328" s="63" t="s">
        <v>521</v>
      </c>
      <c r="B328" s="63" t="s">
        <v>522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525</v>
      </c>
      <c r="B329" s="63" t="s">
        <v>526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527</v>
      </c>
      <c r="B330" s="63" t="s">
        <v>528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570" t="s">
        <v>529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customHeight="1" x14ac:dyDescent="0.25">
      <c r="A334" s="554" t="s">
        <v>82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533</v>
      </c>
      <c r="B336" s="63" t="s">
        <v>534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579" t="s">
        <v>539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customHeight="1" x14ac:dyDescent="0.25">
      <c r="A341" s="570" t="s">
        <v>540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customHeight="1" x14ac:dyDescent="0.25">
      <c r="A342" s="554" t="s">
        <v>108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120</v>
      </c>
      <c r="Y343" s="55">
        <f t="shared" ref="Y343:Y349" si="31">IFERROR(IF(X343="",0,CEILING((X343/$H343),1)*$H343),"")</f>
        <v>120</v>
      </c>
      <c r="Z343" s="41">
        <f>IFERROR(IF(Y343=0,"",ROUNDUP(Y343/H343,0)*0.02175),"")</f>
        <v>0.17399999999999999</v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123.84</v>
      </c>
      <c r="BN343" s="78">
        <f t="shared" ref="BN343:BN349" si="33">IFERROR(Y343*I343/H343,"0")</f>
        <v>123.84</v>
      </c>
      <c r="BO343" s="78">
        <f t="shared" ref="BO343:BO349" si="34">IFERROR(1/J343*(X343/H343),"0")</f>
        <v>0.16666666666666666</v>
      </c>
      <c r="BP343" s="78">
        <f t="shared" ref="BP343:BP349" si="35">IFERROR(1/J343*(Y343/H343),"0")</f>
        <v>0.16666666666666666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547</v>
      </c>
      <c r="B345" s="63" t="s">
        <v>548</v>
      </c>
      <c r="C345" s="36">
        <v>4301011832</v>
      </c>
      <c r="D345" s="555">
        <v>4607091383997</v>
      </c>
      <c r="E345" s="555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63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customHeight="1" x14ac:dyDescent="0.25">
      <c r="A346" s="63" t="s">
        <v>550</v>
      </c>
      <c r="B346" s="63" t="s">
        <v>551</v>
      </c>
      <c r="C346" s="36">
        <v>4301011867</v>
      </c>
      <c r="D346" s="555">
        <v>4680115884830</v>
      </c>
      <c r="E346" s="555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/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553</v>
      </c>
      <c r="B347" s="63" t="s">
        <v>554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556</v>
      </c>
      <c r="B348" s="63" t="s">
        <v>557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558</v>
      </c>
      <c r="B349" s="63" t="s">
        <v>559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8</v>
      </c>
      <c r="Y350" s="43">
        <f>IFERROR(Y343/H343,"0")+IFERROR(Y344/H344,"0")+IFERROR(Y345/H345,"0")+IFERROR(Y346/H346,"0")+IFERROR(Y347/H347,"0")+IFERROR(Y348/H348,"0")+IFERROR(Y349/H349,"0")</f>
        <v>8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0.17399999999999999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120</v>
      </c>
      <c r="Y351" s="43">
        <f>IFERROR(SUM(Y343:Y349),"0")</f>
        <v>120</v>
      </c>
      <c r="Z351" s="42"/>
      <c r="AA351" s="67"/>
      <c r="AB351" s="67"/>
      <c r="AC351" s="67"/>
    </row>
    <row r="352" spans="1:68" ht="14.25" customHeight="1" x14ac:dyDescent="0.25">
      <c r="A352" s="554" t="s">
        <v>141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/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563</v>
      </c>
      <c r="B354" s="63" t="s">
        <v>564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554" t="s">
        <v>82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customHeight="1" x14ac:dyDescent="0.25">
      <c r="A358" s="63" t="s">
        <v>565</v>
      </c>
      <c r="B358" s="63" t="s">
        <v>566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568</v>
      </c>
      <c r="B359" s="63" t="s">
        <v>569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554" t="s">
        <v>171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customHeight="1" x14ac:dyDescent="0.25">
      <c r="A363" s="63" t="s">
        <v>571</v>
      </c>
      <c r="B363" s="63" t="s">
        <v>572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570" t="s">
        <v>574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customHeight="1" x14ac:dyDescent="0.25">
      <c r="A367" s="554" t="s">
        <v>108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customHeight="1" x14ac:dyDescent="0.25">
      <c r="A368" s="63" t="s">
        <v>575</v>
      </c>
      <c r="B368" s="63" t="s">
        <v>576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/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578</v>
      </c>
      <c r="B369" s="63" t="s">
        <v>579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554" t="s">
        <v>76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customHeight="1" x14ac:dyDescent="0.25">
      <c r="A373" s="63" t="s">
        <v>580</v>
      </c>
      <c r="B373" s="63" t="s">
        <v>581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580</v>
      </c>
      <c r="B374" s="63" t="s">
        <v>583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554" t="s">
        <v>82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144</v>
      </c>
      <c r="Y378" s="55">
        <f>IFERROR(IF(X378="",0,CEILING((X378/$H378),1)*$H378),"")</f>
        <v>144</v>
      </c>
      <c r="Z378" s="41">
        <f>IFERROR(IF(Y378=0,"",ROUNDUP(Y378/H378,0)*0.01898),"")</f>
        <v>0.30368000000000001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152.304</v>
      </c>
      <c r="BN378" s="78">
        <f>IFERROR(Y378*I378/H378,"0")</f>
        <v>152.304</v>
      </c>
      <c r="BO378" s="78">
        <f>IFERROR(1/J378*(X378/H378),"0")</f>
        <v>0.25</v>
      </c>
      <c r="BP378" s="78">
        <f>IFERROR(1/J378*(Y378/H378),"0")</f>
        <v>0.25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33.6</v>
      </c>
      <c r="Y379" s="55">
        <f>IFERROR(IF(X379="",0,CEILING((X379/$H379),1)*$H379),"")</f>
        <v>33.6</v>
      </c>
      <c r="Z379" s="41">
        <f>IFERROR(IF(Y379=0,"",ROUNDUP(Y379/H379,0)*0.00651),"")</f>
        <v>9.1139999999999999E-2</v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37.296000000000006</v>
      </c>
      <c r="BN379" s="78">
        <f>IFERROR(Y379*I379/H379,"0")</f>
        <v>37.296000000000006</v>
      </c>
      <c r="BO379" s="78">
        <f>IFERROR(1/J379*(X379/H379),"0")</f>
        <v>7.6923076923076941E-2</v>
      </c>
      <c r="BP379" s="78">
        <f>IFERROR(1/J379*(Y379/H379),"0")</f>
        <v>7.6923076923076941E-2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30</v>
      </c>
      <c r="Y380" s="43">
        <f>IFERROR(Y378/H378,"0")+IFERROR(Y379/H379,"0")</f>
        <v>30</v>
      </c>
      <c r="Z380" s="43">
        <f>IFERROR(IF(Z378="",0,Z378),"0")+IFERROR(IF(Z379="",0,Z379),"0")</f>
        <v>0.39482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177.6</v>
      </c>
      <c r="Y381" s="43">
        <f>IFERROR(SUM(Y378:Y379),"0")</f>
        <v>177.6</v>
      </c>
      <c r="Z381" s="42"/>
      <c r="AA381" s="67"/>
      <c r="AB381" s="67"/>
      <c r="AC381" s="67"/>
    </row>
    <row r="382" spans="1:68" ht="27.75" customHeight="1" x14ac:dyDescent="0.2">
      <c r="A382" s="579" t="s">
        <v>590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customHeight="1" x14ac:dyDescent="0.25">
      <c r="A383" s="570" t="s">
        <v>591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customHeight="1" x14ac:dyDescent="0.25">
      <c r="A384" s="554" t="s">
        <v>76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customHeight="1" x14ac:dyDescent="0.25">
      <c r="A385" s="63" t="s">
        <v>592</v>
      </c>
      <c r="B385" s="63" t="s">
        <v>593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595</v>
      </c>
      <c r="B386" s="63" t="s">
        <v>596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598</v>
      </c>
      <c r="B387" s="63" t="s">
        <v>599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601</v>
      </c>
      <c r="B388" s="63" t="s">
        <v>602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605</v>
      </c>
      <c r="B390" s="63" t="s">
        <v>606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608</v>
      </c>
      <c r="B391" s="63" t="s">
        <v>609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611</v>
      </c>
      <c r="B392" s="63" t="s">
        <v>612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614</v>
      </c>
      <c r="B393" s="63" t="s">
        <v>615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554" t="s">
        <v>82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customHeight="1" x14ac:dyDescent="0.25">
      <c r="A397" s="63" t="s">
        <v>616</v>
      </c>
      <c r="B397" s="63" t="s">
        <v>617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619</v>
      </c>
      <c r="B398" s="63" t="s">
        <v>620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570" t="s">
        <v>622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customHeight="1" x14ac:dyDescent="0.25">
      <c r="A402" s="554" t="s">
        <v>141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customHeight="1" x14ac:dyDescent="0.25">
      <c r="A403" s="63" t="s">
        <v>623</v>
      </c>
      <c r="B403" s="63" t="s">
        <v>624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554" t="s">
        <v>76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customHeight="1" x14ac:dyDescent="0.25">
      <c r="A407" s="63" t="s">
        <v>626</v>
      </c>
      <c r="B407" s="63" t="s">
        <v>627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629</v>
      </c>
      <c r="B408" s="63" t="s">
        <v>630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632</v>
      </c>
      <c r="B409" s="63" t="s">
        <v>633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635</v>
      </c>
      <c r="B410" s="63" t="s">
        <v>636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570" t="s">
        <v>637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customHeight="1" x14ac:dyDescent="0.25">
      <c r="A414" s="554" t="s">
        <v>76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customHeight="1" x14ac:dyDescent="0.25">
      <c r="A415" s="63" t="s">
        <v>638</v>
      </c>
      <c r="B415" s="63" t="s">
        <v>639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579" t="s">
        <v>641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customHeight="1" x14ac:dyDescent="0.25">
      <c r="A419" s="570" t="s">
        <v>641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customHeight="1" x14ac:dyDescent="0.25">
      <c r="A420" s="554" t="s">
        <v>108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customHeight="1" x14ac:dyDescent="0.25">
      <c r="A421" s="63" t="s">
        <v>642</v>
      </c>
      <c r="B421" s="63" t="s">
        <v>643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644</v>
      </c>
      <c r="B422" s="63" t="s">
        <v>645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42.24</v>
      </c>
      <c r="Y423" s="55">
        <f t="shared" si="42"/>
        <v>42.24</v>
      </c>
      <c r="Z423" s="41">
        <f t="shared" si="43"/>
        <v>9.5680000000000001E-2</v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45.12</v>
      </c>
      <c r="BN423" s="78">
        <f t="shared" si="45"/>
        <v>45.12</v>
      </c>
      <c r="BO423" s="78">
        <f t="shared" si="46"/>
        <v>7.6923076923076927E-2</v>
      </c>
      <c r="BP423" s="78">
        <f t="shared" si="47"/>
        <v>7.6923076923076927E-2</v>
      </c>
    </row>
    <row r="424" spans="1:68" ht="27" customHeight="1" x14ac:dyDescent="0.25">
      <c r="A424" s="63" t="s">
        <v>650</v>
      </c>
      <c r="B424" s="63" t="s">
        <v>651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653</v>
      </c>
      <c r="B425" s="63" t="s">
        <v>654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42.24</v>
      </c>
      <c r="Y426" s="55">
        <f t="shared" si="42"/>
        <v>42.24</v>
      </c>
      <c r="Z426" s="41">
        <f t="shared" si="43"/>
        <v>9.5680000000000001E-2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45.12</v>
      </c>
      <c r="BN426" s="78">
        <f t="shared" si="45"/>
        <v>45.12</v>
      </c>
      <c r="BO426" s="78">
        <f t="shared" si="46"/>
        <v>7.6923076923076927E-2</v>
      </c>
      <c r="BP426" s="78">
        <f t="shared" si="47"/>
        <v>7.6923076923076927E-2</v>
      </c>
    </row>
    <row r="427" spans="1:68" ht="27" customHeight="1" x14ac:dyDescent="0.25">
      <c r="A427" s="63" t="s">
        <v>659</v>
      </c>
      <c r="B427" s="63" t="s">
        <v>660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668</v>
      </c>
      <c r="B431" s="63" t="s">
        <v>669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84.48</v>
      </c>
      <c r="Y433" s="43">
        <f>IFERROR(SUM(Y421:Y431),"0")</f>
        <v>84.48</v>
      </c>
      <c r="Z433" s="42"/>
      <c r="AA433" s="67"/>
      <c r="AB433" s="67"/>
      <c r="AC433" s="67"/>
    </row>
    <row r="434" spans="1:68" ht="14.25" customHeight="1" x14ac:dyDescent="0.25">
      <c r="A434" s="554" t="s">
        <v>141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customHeight="1" x14ac:dyDescent="0.25">
      <c r="A435" s="63" t="s">
        <v>670</v>
      </c>
      <c r="B435" s="63" t="s">
        <v>671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673</v>
      </c>
      <c r="B436" s="63" t="s">
        <v>674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554" t="s">
        <v>76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42.24</v>
      </c>
      <c r="Y441" s="55">
        <f t="shared" ref="Y441:Y446" si="48">IFERROR(IF(X441="",0,CEILING((X441/$H441),1)*$H441),"")</f>
        <v>42.24</v>
      </c>
      <c r="Z441" s="41">
        <f>IFERROR(IF(Y441=0,"",ROUNDUP(Y441/H441,0)*0.01196),"")</f>
        <v>9.5680000000000001E-2</v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45.12</v>
      </c>
      <c r="BN441" s="78">
        <f t="shared" ref="BN441:BN446" si="50">IFERROR(Y441*I441/H441,"0")</f>
        <v>45.12</v>
      </c>
      <c r="BO441" s="78">
        <f t="shared" ref="BO441:BO446" si="51">IFERROR(1/J441*(X441/H441),"0")</f>
        <v>7.6923076923076927E-2</v>
      </c>
      <c r="BP441" s="78">
        <f t="shared" ref="BP441:BP446" si="52">IFERROR(1/J441*(Y441/H441),"0")</f>
        <v>7.6923076923076927E-2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42.24</v>
      </c>
      <c r="Y442" s="55">
        <f t="shared" si="48"/>
        <v>42.24</v>
      </c>
      <c r="Z442" s="41">
        <f>IFERROR(IF(Y442=0,"",ROUNDUP(Y442/H442,0)*0.01196),"")</f>
        <v>9.5680000000000001E-2</v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45.12</v>
      </c>
      <c r="BN442" s="78">
        <f t="shared" si="50"/>
        <v>45.12</v>
      </c>
      <c r="BO442" s="78">
        <f t="shared" si="51"/>
        <v>7.6923076923076927E-2</v>
      </c>
      <c r="BP442" s="78">
        <f t="shared" si="52"/>
        <v>7.6923076923076927E-2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42.24</v>
      </c>
      <c r="Y443" s="55">
        <f t="shared" si="48"/>
        <v>42.24</v>
      </c>
      <c r="Z443" s="41">
        <f>IFERROR(IF(Y443=0,"",ROUNDUP(Y443/H443,0)*0.01196),"")</f>
        <v>9.5680000000000001E-2</v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45.12</v>
      </c>
      <c r="BN443" s="78">
        <f t="shared" si="50"/>
        <v>45.12</v>
      </c>
      <c r="BO443" s="78">
        <f t="shared" si="51"/>
        <v>7.6923076923076927E-2</v>
      </c>
      <c r="BP443" s="78">
        <f t="shared" si="52"/>
        <v>7.6923076923076927E-2</v>
      </c>
    </row>
    <row r="444" spans="1:68" ht="27" customHeight="1" x14ac:dyDescent="0.25">
      <c r="A444" s="63" t="s">
        <v>686</v>
      </c>
      <c r="B444" s="63" t="s">
        <v>687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24</v>
      </c>
      <c r="Y447" s="43">
        <f>IFERROR(Y441/H441,"0")+IFERROR(Y442/H442,"0")+IFERROR(Y443/H443,"0")+IFERROR(Y444/H444,"0")+IFERROR(Y445/H445,"0")+IFERROR(Y446/H446,"0")</f>
        <v>24</v>
      </c>
      <c r="Z447" s="43">
        <f>IFERROR(IF(Z441="",0,Z441),"0")+IFERROR(IF(Z442="",0,Z442),"0")+IFERROR(IF(Z443="",0,Z443),"0")+IFERROR(IF(Z444="",0,Z444),"0")+IFERROR(IF(Z445="",0,Z445),"0")+IFERROR(IF(Z446="",0,Z446),"0")</f>
        <v>0.28704000000000002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126.72</v>
      </c>
      <c r="Y448" s="43">
        <f>IFERROR(SUM(Y441:Y446),"0")</f>
        <v>126.72</v>
      </c>
      <c r="Z448" s="42"/>
      <c r="AA448" s="67"/>
      <c r="AB448" s="67"/>
      <c r="AC448" s="67"/>
    </row>
    <row r="449" spans="1:68" ht="14.25" customHeight="1" x14ac:dyDescent="0.25">
      <c r="A449" s="554" t="s">
        <v>82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customHeight="1" x14ac:dyDescent="0.25">
      <c r="A450" s="63" t="s">
        <v>692</v>
      </c>
      <c r="B450" s="63" t="s">
        <v>693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695</v>
      </c>
      <c r="B451" s="63" t="s">
        <v>696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698</v>
      </c>
      <c r="B452" s="63" t="s">
        <v>699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579" t="s">
        <v>701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customHeight="1" x14ac:dyDescent="0.25">
      <c r="A456" s="570" t="s">
        <v>701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customHeight="1" x14ac:dyDescent="0.25">
      <c r="A457" s="554" t="s">
        <v>108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customHeight="1" x14ac:dyDescent="0.25">
      <c r="A458" s="63" t="s">
        <v>702</v>
      </c>
      <c r="B458" s="63" t="s">
        <v>703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705</v>
      </c>
      <c r="B459" s="63" t="s">
        <v>706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708</v>
      </c>
      <c r="B460" s="63" t="s">
        <v>709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711</v>
      </c>
      <c r="B461" s="63" t="s">
        <v>712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554" t="s">
        <v>141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customHeight="1" x14ac:dyDescent="0.25">
      <c r="A465" s="63" t="s">
        <v>713</v>
      </c>
      <c r="B465" s="63" t="s">
        <v>714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716</v>
      </c>
      <c r="B466" s="63" t="s">
        <v>717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719</v>
      </c>
      <c r="B467" s="63" t="s">
        <v>720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customHeight="1" x14ac:dyDescent="0.25">
      <c r="A471" s="63" t="s">
        <v>722</v>
      </c>
      <c r="B471" s="63" t="s">
        <v>723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725</v>
      </c>
      <c r="B472" s="63" t="s">
        <v>726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54" t="s">
        <v>82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customHeight="1" x14ac:dyDescent="0.25">
      <c r="A476" s="63" t="s">
        <v>728</v>
      </c>
      <c r="B476" s="63" t="s">
        <v>729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54" t="s">
        <v>171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customHeight="1" x14ac:dyDescent="0.25">
      <c r="A480" s="63" t="s">
        <v>731</v>
      </c>
      <c r="B480" s="63" t="s">
        <v>732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734</v>
      </c>
      <c r="B481" s="63" t="s">
        <v>735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570" t="s">
        <v>737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customHeight="1" x14ac:dyDescent="0.25">
      <c r="A485" s="554" t="s">
        <v>141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customHeight="1" x14ac:dyDescent="0.25">
      <c r="A486" s="63" t="s">
        <v>738</v>
      </c>
      <c r="B486" s="63" t="s">
        <v>739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720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720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762.02400000000011</v>
      </c>
      <c r="Y490" s="43">
        <f>IFERROR(SUM(BN22:BN486),"0")</f>
        <v>762.02400000000011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2</v>
      </c>
      <c r="Y491" s="44">
        <f>ROUNDUP(SUM(BP22:BP486),0)</f>
        <v>2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812.02400000000011</v>
      </c>
      <c r="Y492" s="43">
        <f>GrossWeightTotalR+PalletQtyTotalR*25</f>
        <v>812.02400000000011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102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102</v>
      </c>
      <c r="Z493" s="42"/>
      <c r="AA493" s="67"/>
      <c r="AB493" s="67"/>
      <c r="AC493" s="67"/>
    </row>
    <row r="494" spans="1:68" ht="14.25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1.50274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550" t="s">
        <v>106</v>
      </c>
      <c r="D496" s="550" t="s">
        <v>106</v>
      </c>
      <c r="E496" s="550" t="s">
        <v>106</v>
      </c>
      <c r="F496" s="550" t="s">
        <v>106</v>
      </c>
      <c r="G496" s="550" t="s">
        <v>106</v>
      </c>
      <c r="H496" s="550" t="s">
        <v>106</v>
      </c>
      <c r="I496" s="550" t="s">
        <v>262</v>
      </c>
      <c r="J496" s="550" t="s">
        <v>262</v>
      </c>
      <c r="K496" s="550" t="s">
        <v>262</v>
      </c>
      <c r="L496" s="550" t="s">
        <v>262</v>
      </c>
      <c r="M496" s="550" t="s">
        <v>262</v>
      </c>
      <c r="N496" s="551"/>
      <c r="O496" s="550" t="s">
        <v>262</v>
      </c>
      <c r="P496" s="550" t="s">
        <v>262</v>
      </c>
      <c r="Q496" s="550" t="s">
        <v>262</v>
      </c>
      <c r="R496" s="550" t="s">
        <v>262</v>
      </c>
      <c r="S496" s="550" t="s">
        <v>539</v>
      </c>
      <c r="T496" s="550" t="s">
        <v>539</v>
      </c>
      <c r="U496" s="550" t="s">
        <v>590</v>
      </c>
      <c r="V496" s="550" t="s">
        <v>590</v>
      </c>
      <c r="W496" s="550" t="s">
        <v>590</v>
      </c>
      <c r="X496" s="85" t="s">
        <v>641</v>
      </c>
      <c r="Y496" s="550" t="s">
        <v>701</v>
      </c>
      <c r="Z496" s="550" t="s">
        <v>701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75</v>
      </c>
      <c r="C497" s="550" t="s">
        <v>107</v>
      </c>
      <c r="D497" s="550" t="s">
        <v>122</v>
      </c>
      <c r="E497" s="550" t="s">
        <v>178</v>
      </c>
      <c r="F497" s="550" t="s">
        <v>197</v>
      </c>
      <c r="G497" s="550" t="s">
        <v>227</v>
      </c>
      <c r="H497" s="550" t="s">
        <v>106</v>
      </c>
      <c r="I497" s="550" t="s">
        <v>263</v>
      </c>
      <c r="J497" s="550" t="s">
        <v>303</v>
      </c>
      <c r="K497" s="550" t="s">
        <v>363</v>
      </c>
      <c r="L497" s="550" t="s">
        <v>405</v>
      </c>
      <c r="M497" s="550" t="s">
        <v>421</v>
      </c>
      <c r="N497" s="1"/>
      <c r="O497" s="550" t="s">
        <v>432</v>
      </c>
      <c r="P497" s="550" t="s">
        <v>441</v>
      </c>
      <c r="Q497" s="550" t="s">
        <v>451</v>
      </c>
      <c r="R497" s="550" t="s">
        <v>529</v>
      </c>
      <c r="S497" s="550" t="s">
        <v>540</v>
      </c>
      <c r="T497" s="550" t="s">
        <v>574</v>
      </c>
      <c r="U497" s="550" t="s">
        <v>591</v>
      </c>
      <c r="V497" s="550" t="s">
        <v>622</v>
      </c>
      <c r="W497" s="550" t="s">
        <v>637</v>
      </c>
      <c r="X497" s="550" t="s">
        <v>641</v>
      </c>
      <c r="Y497" s="550" t="s">
        <v>701</v>
      </c>
      <c r="Z497" s="550" t="s">
        <v>737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86.4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499" s="52">
        <f>IFERROR(Y86*1,"0")+IFERROR(Y87*1,"0")+IFERROR(Y88*1,"0")+IFERROR(Y92*1,"0")+IFERROR(Y93*1,"0")+IFERROR(Y94*1,"0")+IFERROR(Y95*1,"0")</f>
        <v>0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124.8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120</v>
      </c>
      <c r="T499" s="52">
        <f>IFERROR(Y368*1,"0")+IFERROR(Y369*1,"0")+IFERROR(Y373*1,"0")+IFERROR(Y374*1,"0")+IFERROR(Y378*1,"0")+IFERROR(Y379*1,"0")</f>
        <v>177.6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211.20000000000002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Супаков</cp:lastModifiedBy>
  <dcterms:created xsi:type="dcterms:W3CDTF">2021-11-12T12:13:19Z</dcterms:created>
  <dcterms:modified xsi:type="dcterms:W3CDTF">2025-12-05T12:34:45Z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