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FB2818-CEBF-4F2F-AAB3-1582B687D36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Z143" i="2" s="1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Z110" i="2" s="1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Y94" i="2" s="1"/>
  <c r="P91" i="2"/>
  <c r="X88" i="2"/>
  <c r="Z87" i="2"/>
  <c r="X87" i="2"/>
  <c r="BO86" i="2"/>
  <c r="BM86" i="2"/>
  <c r="Z86" i="2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Y62" i="2"/>
  <c r="X62" i="2"/>
  <c r="X61" i="2"/>
  <c r="BP60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Y35" i="2"/>
  <c r="X35" i="2"/>
  <c r="X34" i="2"/>
  <c r="BP33" i="2"/>
  <c r="BO33" i="2"/>
  <c r="BM33" i="2"/>
  <c r="Z33" i="2"/>
  <c r="Y33" i="2"/>
  <c r="BN33" i="2" s="1"/>
  <c r="P33" i="2"/>
  <c r="BO32" i="2"/>
  <c r="BM32" i="2"/>
  <c r="Z32" i="2"/>
  <c r="Z34" i="2" s="1"/>
  <c r="Y32" i="2"/>
  <c r="BP32" i="2" s="1"/>
  <c r="P32" i="2"/>
  <c r="X29" i="2"/>
  <c r="X28" i="2"/>
  <c r="BP27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28" i="2" s="1"/>
  <c r="Y22" i="2"/>
  <c r="BN22" i="2" s="1"/>
  <c r="P22" i="2"/>
  <c r="H10" i="2"/>
  <c r="A9" i="2"/>
  <c r="F9" i="2" s="1"/>
  <c r="D7" i="2"/>
  <c r="Q6" i="2"/>
  <c r="P2" i="2"/>
  <c r="Y239" i="2" l="1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Z275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3" i="2" s="1"/>
  <c r="Y274" i="2"/>
  <c r="C283" i="2" l="1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<sst xmlns="http://schemas.openxmlformats.org/spreadsheetml/2006/main" count="1723" uniqueCount="411">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</sst>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/>
      <c r="I5" s="283"/>
      <c r="J5" s="283"/>
      <c r="K5" s="283"/>
      <c r="L5" s="283"/>
      <c r="M5" s="283"/>
      <c r="N5" s="72"/>
      <c r="P5" s="26" t="s">
        <v>4</v>
      </c>
      <c r="Q5" s="285"/>
      <c r="R5" s="285"/>
      <c r="T5" s="286" t="s">
        <v>3</v>
      </c>
      <c r="U5" s="287"/>
      <c r="V5" s="288" t="s">
        <v>378</v>
      </c>
      <c r="W5" s="289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73"/>
      <c r="P6" s="26" t="s">
        <v>27</v>
      </c>
      <c r="Q6" s="291" t="str">
        <f>IF(Q5=0," ",CHOOSE(WEEKDAY(Q5,2),"Понедельник","Вторник","Среда","Четверг","Пятница","Суббота","Воскресенье"))</f>
        <v xml:space="preserve"> </v>
      </c>
      <c r="R6" s="291"/>
      <c r="T6" s="292" t="s">
        <v>5</v>
      </c>
      <c r="U6" s="293"/>
      <c r="V6" s="294" t="s">
        <v>73</v>
      </c>
      <c r="W6" s="29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0">
        <f>IFERROR(VLOOKUP(DeliveryAddress,Table,3,0),1)</f>
        <v>1</v>
      </c>
      <c r="E7" s="301"/>
      <c r="F7" s="301"/>
      <c r="G7" s="301"/>
      <c r="H7" s="301"/>
      <c r="I7" s="301"/>
      <c r="J7" s="301"/>
      <c r="K7" s="301"/>
      <c r="L7" s="301"/>
      <c r="M7" s="302"/>
      <c r="N7" s="74"/>
      <c r="P7" s="26"/>
      <c r="Q7" s="46"/>
      <c r="R7" s="46"/>
      <c r="T7" s="292"/>
      <c r="U7" s="293"/>
      <c r="V7" s="296"/>
      <c r="W7" s="297"/>
      <c r="AB7" s="57"/>
      <c r="AC7" s="57"/>
      <c r="AD7" s="57"/>
      <c r="AE7" s="57"/>
    </row>
    <row r="8" spans="1:32" s="17" customFormat="1" ht="25.5" customHeight="1" x14ac:dyDescent="0.2">
      <c r="A8" s="303" t="s">
        <v>58</v>
      </c>
      <c r="B8" s="303"/>
      <c r="C8" s="303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75"/>
      <c r="P8" s="26" t="s">
        <v>11</v>
      </c>
      <c r="Q8" s="305"/>
      <c r="R8" s="305"/>
      <c r="T8" s="292"/>
      <c r="U8" s="293"/>
      <c r="V8" s="296"/>
      <c r="W8" s="297"/>
      <c r="AB8" s="57"/>
      <c r="AC8" s="57"/>
      <c r="AD8" s="57"/>
      <c r="AE8" s="57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0"/>
      <c r="P9" s="29" t="s">
        <v>15</v>
      </c>
      <c r="Q9" s="310">
        <v>46261</v>
      </c>
      <c r="R9" s="310"/>
      <c r="T9" s="292"/>
      <c r="U9" s="293"/>
      <c r="V9" s="298"/>
      <c r="W9" s="29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1"/>
      <c r="P10" s="29" t="s">
        <v>32</v>
      </c>
      <c r="Q10" s="312">
        <v>0.54166666666666663</v>
      </c>
      <c r="R10" s="312"/>
      <c r="U10" s="26" t="s">
        <v>12</v>
      </c>
      <c r="V10" s="313" t="s">
        <v>74</v>
      </c>
      <c r="W10" s="31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5"/>
      <c r="R11" s="315"/>
      <c r="U11" s="26" t="s">
        <v>28</v>
      </c>
      <c r="V11" s="316" t="s">
        <v>55</v>
      </c>
      <c r="W11" s="31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6"/>
      <c r="P12" s="26" t="s">
        <v>30</v>
      </c>
      <c r="Q12" s="305"/>
      <c r="R12" s="305"/>
      <c r="S12" s="27"/>
      <c r="T12"/>
      <c r="U12" s="26" t="s">
        <v>46</v>
      </c>
      <c r="V12" s="318"/>
      <c r="W12" s="318"/>
      <c r="X12"/>
      <c r="AB12" s="57"/>
      <c r="AC12" s="57"/>
      <c r="AD12" s="57"/>
      <c r="AE12" s="57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6"/>
      <c r="O13" s="29"/>
      <c r="P13" s="29" t="s">
        <v>31</v>
      </c>
      <c r="Q13" s="316"/>
      <c r="R13" s="31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77"/>
      <c r="O15"/>
      <c r="P15" s="320" t="s">
        <v>61</v>
      </c>
      <c r="Q15" s="320"/>
      <c r="R15" s="320"/>
      <c r="S15" s="320"/>
      <c r="T15" s="32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0"/>
      <c r="BD17" s="79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1" t="s">
        <v>44</v>
      </c>
      <c r="V18" s="81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0"/>
      <c r="BD18" s="79"/>
    </row>
    <row r="19" spans="1:68" ht="27.75" customHeight="1" x14ac:dyDescent="0.2">
      <c r="A19" s="346" t="s">
        <v>79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2"/>
      <c r="AB19" s="52"/>
      <c r="AC19" s="52"/>
    </row>
    <row r="20" spans="1:68" ht="16.5" customHeight="1" x14ac:dyDescent="0.25">
      <c r="A20" s="347" t="s">
        <v>79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2"/>
      <c r="AB20" s="62"/>
      <c r="AC20" s="62"/>
    </row>
    <row r="21" spans="1:68" ht="14.25" customHeight="1" x14ac:dyDescent="0.25">
      <c r="A21" s="348" t="s">
        <v>80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349">
        <v>4620207491508</v>
      </c>
      <c r="E22" s="349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1"/>
      <c r="R22" s="351"/>
      <c r="S22" s="351"/>
      <c r="T22" s="352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349">
        <v>4620207491256</v>
      </c>
      <c r="E23" s="349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1"/>
      <c r="R23" s="351"/>
      <c r="S23" s="351"/>
      <c r="T23" s="352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4301071108</v>
      </c>
      <c r="D24" s="349">
        <v>4607111035912</v>
      </c>
      <c r="E24" s="349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1"/>
      <c r="R24" s="351"/>
      <c r="S24" s="351"/>
      <c r="T24" s="352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4301071109</v>
      </c>
      <c r="D25" s="349">
        <v>4607111035929</v>
      </c>
      <c r="E25" s="349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1"/>
      <c r="R25" s="351"/>
      <c r="S25" s="351"/>
      <c r="T25" s="352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4301071106</v>
      </c>
      <c r="D26" s="349">
        <v>4607111035882</v>
      </c>
      <c r="E26" s="349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1"/>
      <c r="R26" s="351"/>
      <c r="S26" s="351"/>
      <c r="T26" s="352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97</v>
      </c>
      <c r="B27" s="60" t="s">
        <v>98</v>
      </c>
      <c r="C27" s="34">
        <v>4301071107</v>
      </c>
      <c r="D27" s="349">
        <v>4607111035905</v>
      </c>
      <c r="E27" s="349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1"/>
      <c r="R27" s="351"/>
      <c r="S27" s="351"/>
      <c r="T27" s="352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2"/>
      <c r="P28" s="358" t="s">
        <v>40</v>
      </c>
      <c r="Q28" s="359"/>
      <c r="R28" s="359"/>
      <c r="S28" s="359"/>
      <c r="T28" s="359"/>
      <c r="U28" s="359"/>
      <c r="V28" s="360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2"/>
      <c r="P29" s="358" t="s">
        <v>40</v>
      </c>
      <c r="Q29" s="359"/>
      <c r="R29" s="359"/>
      <c r="S29" s="359"/>
      <c r="T29" s="359"/>
      <c r="U29" s="359"/>
      <c r="V29" s="360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47" t="s">
        <v>99</v>
      </c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62"/>
      <c r="AB30" s="62"/>
      <c r="AC30" s="62"/>
    </row>
    <row r="31" spans="1:68" ht="14.25" customHeight="1" x14ac:dyDescent="0.25">
      <c r="A31" s="348" t="s">
        <v>80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63"/>
      <c r="AB31" s="63"/>
      <c r="AC31" s="63"/>
    </row>
    <row r="32" spans="1:68" ht="16.5" customHeight="1" x14ac:dyDescent="0.25">
      <c r="A32" s="60" t="s">
        <v>100</v>
      </c>
      <c r="B32" s="60" t="s">
        <v>101</v>
      </c>
      <c r="C32" s="34">
        <v>4301071099</v>
      </c>
      <c r="D32" s="349">
        <v>4607111039019</v>
      </c>
      <c r="E32" s="349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6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1"/>
      <c r="R32" s="351"/>
      <c r="S32" s="351"/>
      <c r="T32" s="352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103</v>
      </c>
      <c r="B33" s="60" t="s">
        <v>104</v>
      </c>
      <c r="C33" s="34">
        <v>4301071100</v>
      </c>
      <c r="D33" s="349">
        <v>4607111038708</v>
      </c>
      <c r="E33" s="349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6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1"/>
      <c r="R33" s="351"/>
      <c r="S33" s="351"/>
      <c r="T33" s="352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2"/>
      <c r="P34" s="358" t="s">
        <v>40</v>
      </c>
      <c r="Q34" s="359"/>
      <c r="R34" s="359"/>
      <c r="S34" s="359"/>
      <c r="T34" s="359"/>
      <c r="U34" s="359"/>
      <c r="V34" s="360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2"/>
      <c r="P35" s="358" t="s">
        <v>40</v>
      </c>
      <c r="Q35" s="359"/>
      <c r="R35" s="359"/>
      <c r="S35" s="359"/>
      <c r="T35" s="359"/>
      <c r="U35" s="359"/>
      <c r="V35" s="360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46" t="s">
        <v>45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52"/>
      <c r="AB36" s="52"/>
      <c r="AC36" s="52"/>
    </row>
    <row r="37" spans="1:68" ht="16.5" customHeight="1" x14ac:dyDescent="0.25">
      <c r="A37" s="347" t="s">
        <v>105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62"/>
      <c r="AB37" s="62"/>
      <c r="AC37" s="62"/>
    </row>
    <row r="38" spans="1:68" ht="14.25" customHeight="1" x14ac:dyDescent="0.25">
      <c r="A38" s="348" t="s">
        <v>106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63"/>
      <c r="AB38" s="63"/>
      <c r="AC38" s="63"/>
    </row>
    <row r="39" spans="1:68" ht="27" customHeight="1" x14ac:dyDescent="0.25">
      <c r="A39" s="60" t="s">
        <v>107</v>
      </c>
      <c r="B39" s="60" t="s">
        <v>108</v>
      </c>
      <c r="C39" s="34">
        <v>4301132190</v>
      </c>
      <c r="D39" s="349">
        <v>4607111036537</v>
      </c>
      <c r="E39" s="349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6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1"/>
      <c r="R39" s="351"/>
      <c r="S39" s="351"/>
      <c r="T39" s="352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4301132188</v>
      </c>
      <c r="D40" s="349">
        <v>4607111036605</v>
      </c>
      <c r="E40" s="349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1"/>
      <c r="R40" s="351"/>
      <c r="S40" s="351"/>
      <c r="T40" s="352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2"/>
      <c r="P41" s="358" t="s">
        <v>40</v>
      </c>
      <c r="Q41" s="359"/>
      <c r="R41" s="359"/>
      <c r="S41" s="359"/>
      <c r="T41" s="359"/>
      <c r="U41" s="359"/>
      <c r="V41" s="360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2"/>
      <c r="P42" s="358" t="s">
        <v>40</v>
      </c>
      <c r="Q42" s="359"/>
      <c r="R42" s="359"/>
      <c r="S42" s="359"/>
      <c r="T42" s="359"/>
      <c r="U42" s="359"/>
      <c r="V42" s="360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47" t="s">
        <v>116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62"/>
      <c r="AB43" s="62"/>
      <c r="AC43" s="62"/>
    </row>
    <row r="44" spans="1:68" ht="14.25" customHeight="1" x14ac:dyDescent="0.25">
      <c r="A44" s="348" t="s">
        <v>80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63"/>
      <c r="AB44" s="63"/>
      <c r="AC44" s="63"/>
    </row>
    <row r="45" spans="1:68" ht="27" customHeight="1" x14ac:dyDescent="0.25">
      <c r="A45" s="60" t="s">
        <v>117</v>
      </c>
      <c r="B45" s="60" t="s">
        <v>118</v>
      </c>
      <c r="C45" s="34">
        <v>4301071090</v>
      </c>
      <c r="D45" s="349">
        <v>4620207490075</v>
      </c>
      <c r="E45" s="349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6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1"/>
      <c r="R45" s="351"/>
      <c r="S45" s="351"/>
      <c r="T45" s="352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120</v>
      </c>
      <c r="B46" s="60" t="s">
        <v>121</v>
      </c>
      <c r="C46" s="34">
        <v>4301071092</v>
      </c>
      <c r="D46" s="349">
        <v>4620207490174</v>
      </c>
      <c r="E46" s="349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6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1"/>
      <c r="R46" s="351"/>
      <c r="S46" s="351"/>
      <c r="T46" s="352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4301071091</v>
      </c>
      <c r="D47" s="349">
        <v>4620207490044</v>
      </c>
      <c r="E47" s="349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6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1"/>
      <c r="R47" s="351"/>
      <c r="S47" s="351"/>
      <c r="T47" s="352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2"/>
      <c r="P48" s="358" t="s">
        <v>40</v>
      </c>
      <c r="Q48" s="359"/>
      <c r="R48" s="359"/>
      <c r="S48" s="359"/>
      <c r="T48" s="359"/>
      <c r="U48" s="359"/>
      <c r="V48" s="360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2"/>
      <c r="P49" s="358" t="s">
        <v>40</v>
      </c>
      <c r="Q49" s="359"/>
      <c r="R49" s="359"/>
      <c r="S49" s="359"/>
      <c r="T49" s="359"/>
      <c r="U49" s="359"/>
      <c r="V49" s="360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47" t="s">
        <v>126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62"/>
      <c r="AB50" s="62"/>
      <c r="AC50" s="62"/>
    </row>
    <row r="51" spans="1:68" ht="14.25" customHeight="1" x14ac:dyDescent="0.25">
      <c r="A51" s="348" t="s">
        <v>80</v>
      </c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63"/>
      <c r="AB51" s="63"/>
      <c r="AC51" s="63"/>
    </row>
    <row r="52" spans="1:68" ht="27" customHeight="1" x14ac:dyDescent="0.25">
      <c r="A52" s="60" t="s">
        <v>127</v>
      </c>
      <c r="B52" s="60" t="s">
        <v>128</v>
      </c>
      <c r="C52" s="34">
        <v>4301071044</v>
      </c>
      <c r="D52" s="349">
        <v>4607111039385</v>
      </c>
      <c r="E52" s="349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1"/>
      <c r="R52" s="351"/>
      <c r="S52" s="351"/>
      <c r="T52" s="352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130</v>
      </c>
      <c r="B53" s="60" t="s">
        <v>131</v>
      </c>
      <c r="C53" s="34">
        <v>4301071031</v>
      </c>
      <c r="D53" s="349">
        <v>4607111038982</v>
      </c>
      <c r="E53" s="349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1"/>
      <c r="R53" s="351"/>
      <c r="S53" s="351"/>
      <c r="T53" s="352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133</v>
      </c>
      <c r="B54" s="60" t="s">
        <v>134</v>
      </c>
      <c r="C54" s="34">
        <v>4301071046</v>
      </c>
      <c r="D54" s="349">
        <v>4607111039354</v>
      </c>
      <c r="E54" s="349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1"/>
      <c r="R54" s="351"/>
      <c r="S54" s="351"/>
      <c r="T54" s="352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4301071047</v>
      </c>
      <c r="D55" s="349">
        <v>4607111039330</v>
      </c>
      <c r="E55" s="349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1"/>
      <c r="R55" s="351"/>
      <c r="S55" s="351"/>
      <c r="T55" s="352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2"/>
      <c r="P56" s="358" t="s">
        <v>40</v>
      </c>
      <c r="Q56" s="359"/>
      <c r="R56" s="359"/>
      <c r="S56" s="359"/>
      <c r="T56" s="359"/>
      <c r="U56" s="359"/>
      <c r="V56" s="360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2"/>
      <c r="P57" s="358" t="s">
        <v>40</v>
      </c>
      <c r="Q57" s="359"/>
      <c r="R57" s="359"/>
      <c r="S57" s="359"/>
      <c r="T57" s="359"/>
      <c r="U57" s="359"/>
      <c r="V57" s="360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47" t="s">
        <v>137</v>
      </c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62"/>
      <c r="AB58" s="62"/>
      <c r="AC58" s="62"/>
    </row>
    <row r="59" spans="1:68" ht="14.25" customHeight="1" x14ac:dyDescent="0.25">
      <c r="A59" s="348" t="s">
        <v>80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63"/>
      <c r="AB59" s="63"/>
      <c r="AC59" s="63"/>
    </row>
    <row r="60" spans="1:68" ht="16.5" customHeight="1" x14ac:dyDescent="0.25">
      <c r="A60" s="60" t="s">
        <v>138</v>
      </c>
      <c r="B60" s="60" t="s">
        <v>139</v>
      </c>
      <c r="C60" s="34">
        <v>4301071073</v>
      </c>
      <c r="D60" s="349">
        <v>4620207490822</v>
      </c>
      <c r="E60" s="349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1"/>
      <c r="R60" s="351"/>
      <c r="S60" s="351"/>
      <c r="T60" s="352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2"/>
      <c r="P61" s="358" t="s">
        <v>40</v>
      </c>
      <c r="Q61" s="359"/>
      <c r="R61" s="359"/>
      <c r="S61" s="359"/>
      <c r="T61" s="359"/>
      <c r="U61" s="359"/>
      <c r="V61" s="360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2"/>
      <c r="P62" s="358" t="s">
        <v>40</v>
      </c>
      <c r="Q62" s="359"/>
      <c r="R62" s="359"/>
      <c r="S62" s="359"/>
      <c r="T62" s="359"/>
      <c r="U62" s="359"/>
      <c r="V62" s="360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48" t="s">
        <v>106</v>
      </c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63"/>
      <c r="AB63" s="63"/>
      <c r="AC63" s="63"/>
    </row>
    <row r="64" spans="1:68" ht="27" customHeight="1" x14ac:dyDescent="0.25">
      <c r="A64" s="60" t="s">
        <v>141</v>
      </c>
      <c r="B64" s="60" t="s">
        <v>142</v>
      </c>
      <c r="C64" s="34">
        <v>4301132194</v>
      </c>
      <c r="D64" s="349">
        <v>4607111039712</v>
      </c>
      <c r="E64" s="349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1"/>
      <c r="R64" s="351"/>
      <c r="S64" s="351"/>
      <c r="T64" s="352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2"/>
      <c r="P65" s="358" t="s">
        <v>40</v>
      </c>
      <c r="Q65" s="359"/>
      <c r="R65" s="359"/>
      <c r="S65" s="359"/>
      <c r="T65" s="359"/>
      <c r="U65" s="359"/>
      <c r="V65" s="360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2"/>
      <c r="P66" s="358" t="s">
        <v>40</v>
      </c>
      <c r="Q66" s="359"/>
      <c r="R66" s="359"/>
      <c r="S66" s="359"/>
      <c r="T66" s="359"/>
      <c r="U66" s="359"/>
      <c r="V66" s="360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48" t="s">
        <v>144</v>
      </c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63"/>
      <c r="AB67" s="63"/>
      <c r="AC67" s="63"/>
    </row>
    <row r="68" spans="1:68" ht="16.5" customHeight="1" x14ac:dyDescent="0.25">
      <c r="A68" s="60" t="s">
        <v>145</v>
      </c>
      <c r="B68" s="60" t="s">
        <v>146</v>
      </c>
      <c r="C68" s="34">
        <v>4301136018</v>
      </c>
      <c r="D68" s="349">
        <v>4607111037008</v>
      </c>
      <c r="E68" s="349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1"/>
      <c r="R68" s="351"/>
      <c r="S68" s="351"/>
      <c r="T68" s="352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148</v>
      </c>
      <c r="B69" s="60" t="s">
        <v>149</v>
      </c>
      <c r="C69" s="34">
        <v>4301136015</v>
      </c>
      <c r="D69" s="349">
        <v>4607111037398</v>
      </c>
      <c r="E69" s="349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1"/>
      <c r="R69" s="351"/>
      <c r="S69" s="351"/>
      <c r="T69" s="352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2"/>
      <c r="P70" s="358" t="s">
        <v>40</v>
      </c>
      <c r="Q70" s="359"/>
      <c r="R70" s="359"/>
      <c r="S70" s="359"/>
      <c r="T70" s="359"/>
      <c r="U70" s="359"/>
      <c r="V70" s="360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2"/>
      <c r="P71" s="358" t="s">
        <v>40</v>
      </c>
      <c r="Q71" s="359"/>
      <c r="R71" s="359"/>
      <c r="S71" s="359"/>
      <c r="T71" s="359"/>
      <c r="U71" s="359"/>
      <c r="V71" s="360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48" t="s">
        <v>150</v>
      </c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63"/>
      <c r="AB72" s="63"/>
      <c r="AC72" s="63"/>
    </row>
    <row r="73" spans="1:68" ht="27" customHeight="1" x14ac:dyDescent="0.25">
      <c r="A73" s="60" t="s">
        <v>151</v>
      </c>
      <c r="B73" s="60" t="s">
        <v>152</v>
      </c>
      <c r="C73" s="34">
        <v>4301135664</v>
      </c>
      <c r="D73" s="349">
        <v>4607111039705</v>
      </c>
      <c r="E73" s="349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1"/>
      <c r="R73" s="351"/>
      <c r="S73" s="351"/>
      <c r="T73" s="352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153</v>
      </c>
      <c r="B74" s="60" t="s">
        <v>154</v>
      </c>
      <c r="C74" s="34">
        <v>4301135665</v>
      </c>
      <c r="D74" s="349">
        <v>4607111039729</v>
      </c>
      <c r="E74" s="349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1"/>
      <c r="R74" s="351"/>
      <c r="S74" s="351"/>
      <c r="T74" s="352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4301135702</v>
      </c>
      <c r="D75" s="349">
        <v>4620207490228</v>
      </c>
      <c r="E75" s="349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1"/>
      <c r="R75" s="351"/>
      <c r="S75" s="351"/>
      <c r="T75" s="352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2"/>
      <c r="P76" s="358" t="s">
        <v>40</v>
      </c>
      <c r="Q76" s="359"/>
      <c r="R76" s="359"/>
      <c r="S76" s="359"/>
      <c r="T76" s="359"/>
      <c r="U76" s="359"/>
      <c r="V76" s="360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2"/>
      <c r="P77" s="358" t="s">
        <v>40</v>
      </c>
      <c r="Q77" s="359"/>
      <c r="R77" s="359"/>
      <c r="S77" s="359"/>
      <c r="T77" s="359"/>
      <c r="U77" s="359"/>
      <c r="V77" s="360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47" t="s">
        <v>158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2"/>
      <c r="AB78" s="62"/>
      <c r="AC78" s="62"/>
    </row>
    <row r="79" spans="1:68" ht="14.25" customHeight="1" x14ac:dyDescent="0.25">
      <c r="A79" s="348" t="s">
        <v>80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3"/>
      <c r="AB79" s="63"/>
      <c r="AC79" s="63"/>
    </row>
    <row r="80" spans="1:68" ht="27" customHeight="1" x14ac:dyDescent="0.25">
      <c r="A80" s="60" t="s">
        <v>159</v>
      </c>
      <c r="B80" s="60" t="s">
        <v>160</v>
      </c>
      <c r="C80" s="34">
        <v>4301070977</v>
      </c>
      <c r="D80" s="349">
        <v>4607111037411</v>
      </c>
      <c r="E80" s="349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8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1"/>
      <c r="R80" s="351"/>
      <c r="S80" s="351"/>
      <c r="T80" s="352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163</v>
      </c>
      <c r="B81" s="60" t="s">
        <v>164</v>
      </c>
      <c r="C81" s="34">
        <v>4301070981</v>
      </c>
      <c r="D81" s="349">
        <v>4607111036728</v>
      </c>
      <c r="E81" s="349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1"/>
      <c r="R81" s="351"/>
      <c r="S81" s="351"/>
      <c r="T81" s="352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2"/>
      <c r="P82" s="358" t="s">
        <v>40</v>
      </c>
      <c r="Q82" s="359"/>
      <c r="R82" s="359"/>
      <c r="S82" s="359"/>
      <c r="T82" s="359"/>
      <c r="U82" s="359"/>
      <c r="V82" s="360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2"/>
      <c r="P83" s="358" t="s">
        <v>40</v>
      </c>
      <c r="Q83" s="359"/>
      <c r="R83" s="359"/>
      <c r="S83" s="359"/>
      <c r="T83" s="359"/>
      <c r="U83" s="359"/>
      <c r="V83" s="360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47" t="s">
        <v>165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2"/>
      <c r="AB84" s="62"/>
      <c r="AC84" s="62"/>
    </row>
    <row r="85" spans="1:68" ht="14.25" customHeight="1" x14ac:dyDescent="0.25">
      <c r="A85" s="348" t="s">
        <v>150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3"/>
      <c r="AB85" s="63"/>
      <c r="AC85" s="63"/>
    </row>
    <row r="86" spans="1:68" ht="27" customHeight="1" x14ac:dyDescent="0.25">
      <c r="A86" s="60" t="s">
        <v>166</v>
      </c>
      <c r="B86" s="60" t="s">
        <v>167</v>
      </c>
      <c r="C86" s="34">
        <v>4301135574</v>
      </c>
      <c r="D86" s="349">
        <v>4607111033659</v>
      </c>
      <c r="E86" s="349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1"/>
      <c r="R86" s="351"/>
      <c r="S86" s="351"/>
      <c r="T86" s="352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2"/>
      <c r="P87" s="358" t="s">
        <v>40</v>
      </c>
      <c r="Q87" s="359"/>
      <c r="R87" s="359"/>
      <c r="S87" s="359"/>
      <c r="T87" s="359"/>
      <c r="U87" s="359"/>
      <c r="V87" s="360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2"/>
      <c r="P88" s="358" t="s">
        <v>40</v>
      </c>
      <c r="Q88" s="359"/>
      <c r="R88" s="359"/>
      <c r="S88" s="359"/>
      <c r="T88" s="359"/>
      <c r="U88" s="359"/>
      <c r="V88" s="360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47" t="s">
        <v>169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62"/>
      <c r="AB89" s="62"/>
      <c r="AC89" s="62"/>
    </row>
    <row r="90" spans="1:68" ht="14.25" customHeight="1" x14ac:dyDescent="0.25">
      <c r="A90" s="348" t="s">
        <v>170</v>
      </c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349">
        <v>4607111034120</v>
      </c>
      <c r="E91" s="349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8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1"/>
      <c r="R91" s="351"/>
      <c r="S91" s="351"/>
      <c r="T91" s="352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customHeight="1" x14ac:dyDescent="0.25">
      <c r="A92" s="60" t="s">
        <v>174</v>
      </c>
      <c r="B92" s="60" t="s">
        <v>175</v>
      </c>
      <c r="C92" s="34">
        <v>4301131046</v>
      </c>
      <c r="D92" s="349">
        <v>4607111034137</v>
      </c>
      <c r="E92" s="349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1"/>
      <c r="R92" s="351"/>
      <c r="S92" s="351"/>
      <c r="T92" s="352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2"/>
      <c r="P93" s="358" t="s">
        <v>40</v>
      </c>
      <c r="Q93" s="359"/>
      <c r="R93" s="359"/>
      <c r="S93" s="359"/>
      <c r="T93" s="359"/>
      <c r="U93" s="359"/>
      <c r="V93" s="360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2"/>
      <c r="P94" s="358" t="s">
        <v>40</v>
      </c>
      <c r="Q94" s="359"/>
      <c r="R94" s="359"/>
      <c r="S94" s="359"/>
      <c r="T94" s="359"/>
      <c r="U94" s="359"/>
      <c r="V94" s="360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customHeight="1" x14ac:dyDescent="0.25">
      <c r="A95" s="347" t="s">
        <v>177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2"/>
      <c r="AB95" s="62"/>
      <c r="AC95" s="62"/>
    </row>
    <row r="96" spans="1:68" ht="14.25" customHeight="1" x14ac:dyDescent="0.25">
      <c r="A96" s="348" t="s">
        <v>150</v>
      </c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349">
        <v>4620207491027</v>
      </c>
      <c r="E97" s="349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1"/>
      <c r="R97" s="351"/>
      <c r="S97" s="351"/>
      <c r="T97" s="352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349">
        <v>4620207491003</v>
      </c>
      <c r="E98" s="349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1"/>
      <c r="R98" s="351"/>
      <c r="S98" s="351"/>
      <c r="T98" s="352"/>
      <c r="U98" s="37" t="s">
        <v>46</v>
      </c>
      <c r="V98" s="37" t="s">
        <v>46</v>
      </c>
      <c r="W98" s="38" t="s">
        <v>39</v>
      </c>
      <c r="X98" s="56">
        <v>70</v>
      </c>
      <c r="Y98" s="53">
        <f t="shared" si="6"/>
        <v>70</v>
      </c>
      <c r="Z98" s="39">
        <f t="shared" si="7"/>
        <v>1.2516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250.852</v>
      </c>
      <c r="BN98" s="78">
        <f t="shared" si="9"/>
        <v>250.852</v>
      </c>
      <c r="BO98" s="78">
        <f t="shared" si="10"/>
        <v>1</v>
      </c>
      <c r="BP98" s="78">
        <f t="shared" si="11"/>
        <v>1</v>
      </c>
    </row>
    <row r="99" spans="1:68" ht="27" customHeight="1" x14ac:dyDescent="0.25">
      <c r="A99" s="60" t="s">
        <v>182</v>
      </c>
      <c r="B99" s="60" t="s">
        <v>183</v>
      </c>
      <c r="C99" s="34">
        <v>4301135768</v>
      </c>
      <c r="D99" s="349">
        <v>4620207491034</v>
      </c>
      <c r="E99" s="349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1"/>
      <c r="R99" s="351"/>
      <c r="S99" s="351"/>
      <c r="T99" s="352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349">
        <v>4620207491010</v>
      </c>
      <c r="E100" s="349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8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1"/>
      <c r="R100" s="351"/>
      <c r="S100" s="351"/>
      <c r="T100" s="352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customHeight="1" x14ac:dyDescent="0.25">
      <c r="A101" s="60" t="s">
        <v>187</v>
      </c>
      <c r="B101" s="60" t="s">
        <v>188</v>
      </c>
      <c r="C101" s="34">
        <v>4301135571</v>
      </c>
      <c r="D101" s="349">
        <v>4607111035028</v>
      </c>
      <c r="E101" s="349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1"/>
      <c r="R101" s="351"/>
      <c r="S101" s="351"/>
      <c r="T101" s="352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189</v>
      </c>
      <c r="B102" s="60" t="s">
        <v>190</v>
      </c>
      <c r="C102" s="34">
        <v>4301135285</v>
      </c>
      <c r="D102" s="349">
        <v>4607111036407</v>
      </c>
      <c r="E102" s="349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9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1"/>
      <c r="R102" s="351"/>
      <c r="S102" s="351"/>
      <c r="T102" s="352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349">
        <v>4620207491461</v>
      </c>
      <c r="E103" s="349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9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1"/>
      <c r="R103" s="351"/>
      <c r="S103" s="351"/>
      <c r="T103" s="352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2"/>
      <c r="P104" s="358" t="s">
        <v>40</v>
      </c>
      <c r="Q104" s="359"/>
      <c r="R104" s="359"/>
      <c r="S104" s="359"/>
      <c r="T104" s="359"/>
      <c r="U104" s="359"/>
      <c r="V104" s="360"/>
      <c r="W104" s="40" t="s">
        <v>39</v>
      </c>
      <c r="X104" s="41">
        <f>IFERROR(SUM(X97:X103),"0")</f>
        <v>280</v>
      </c>
      <c r="Y104" s="41">
        <f>IFERROR(SUM(Y97:Y103),"0")</f>
        <v>280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5.0064000000000002</v>
      </c>
      <c r="AA104" s="64"/>
      <c r="AB104" s="64"/>
      <c r="AC104" s="64"/>
    </row>
    <row r="105" spans="1:68" x14ac:dyDescent="0.2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2"/>
      <c r="P105" s="358" t="s">
        <v>40</v>
      </c>
      <c r="Q105" s="359"/>
      <c r="R105" s="359"/>
      <c r="S105" s="359"/>
      <c r="T105" s="359"/>
      <c r="U105" s="359"/>
      <c r="V105" s="360"/>
      <c r="W105" s="40" t="s">
        <v>0</v>
      </c>
      <c r="X105" s="41">
        <f>IFERROR(SUMPRODUCT(X97:X103*H97:H103),"0")</f>
        <v>806.4</v>
      </c>
      <c r="Y105" s="41">
        <f>IFERROR(SUMPRODUCT(Y97:Y103*H97:H103),"0")</f>
        <v>806.4</v>
      </c>
      <c r="Z105" s="40"/>
      <c r="AA105" s="64"/>
      <c r="AB105" s="64"/>
      <c r="AC105" s="64"/>
    </row>
    <row r="106" spans="1:68" ht="16.5" customHeight="1" x14ac:dyDescent="0.25">
      <c r="A106" s="347" t="s">
        <v>195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2"/>
      <c r="AB106" s="62"/>
      <c r="AC106" s="62"/>
    </row>
    <row r="107" spans="1:68" ht="14.25" customHeight="1" x14ac:dyDescent="0.25">
      <c r="A107" s="348" t="s">
        <v>144</v>
      </c>
      <c r="B107" s="348"/>
      <c r="C107" s="348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63"/>
      <c r="AB107" s="63"/>
      <c r="AC107" s="63"/>
    </row>
    <row r="108" spans="1:68" ht="27" customHeight="1" x14ac:dyDescent="0.25">
      <c r="A108" s="60" t="s">
        <v>196</v>
      </c>
      <c r="B108" s="60" t="s">
        <v>197</v>
      </c>
      <c r="C108" s="34">
        <v>4301136070</v>
      </c>
      <c r="D108" s="349">
        <v>4607025784012</v>
      </c>
      <c r="E108" s="349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1"/>
      <c r="R108" s="351"/>
      <c r="S108" s="351"/>
      <c r="T108" s="352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customHeight="1" x14ac:dyDescent="0.25">
      <c r="A109" s="60" t="s">
        <v>199</v>
      </c>
      <c r="B109" s="60" t="s">
        <v>200</v>
      </c>
      <c r="C109" s="34">
        <v>4301136079</v>
      </c>
      <c r="D109" s="349">
        <v>4607025784319</v>
      </c>
      <c r="E109" s="349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1"/>
      <c r="R109" s="351"/>
      <c r="S109" s="351"/>
      <c r="T109" s="352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x14ac:dyDescent="0.2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2"/>
      <c r="P110" s="358" t="s">
        <v>40</v>
      </c>
      <c r="Q110" s="359"/>
      <c r="R110" s="359"/>
      <c r="S110" s="359"/>
      <c r="T110" s="359"/>
      <c r="U110" s="359"/>
      <c r="V110" s="360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x14ac:dyDescent="0.2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2"/>
      <c r="P111" s="358" t="s">
        <v>40</v>
      </c>
      <c r="Q111" s="359"/>
      <c r="R111" s="359"/>
      <c r="S111" s="359"/>
      <c r="T111" s="359"/>
      <c r="U111" s="359"/>
      <c r="V111" s="360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customHeight="1" x14ac:dyDescent="0.25">
      <c r="A112" s="347" t="s">
        <v>201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2"/>
      <c r="AB112" s="62"/>
      <c r="AC112" s="62"/>
    </row>
    <row r="113" spans="1:68" ht="14.25" customHeight="1" x14ac:dyDescent="0.25">
      <c r="A113" s="348" t="s">
        <v>80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63"/>
      <c r="AB113" s="63"/>
      <c r="AC113" s="63"/>
    </row>
    <row r="114" spans="1:68" ht="27" customHeight="1" x14ac:dyDescent="0.25">
      <c r="A114" s="60" t="s">
        <v>202</v>
      </c>
      <c r="B114" s="60" t="s">
        <v>203</v>
      </c>
      <c r="C114" s="34">
        <v>4301071074</v>
      </c>
      <c r="D114" s="349">
        <v>4620207491157</v>
      </c>
      <c r="E114" s="349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1"/>
      <c r="R114" s="351"/>
      <c r="S114" s="351"/>
      <c r="T114" s="352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customHeight="1" x14ac:dyDescent="0.25">
      <c r="A115" s="60" t="s">
        <v>205</v>
      </c>
      <c r="B115" s="60" t="s">
        <v>206</v>
      </c>
      <c r="C115" s="34">
        <v>4301071121</v>
      </c>
      <c r="D115" s="349">
        <v>4620207491393</v>
      </c>
      <c r="E115" s="349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1"/>
      <c r="R115" s="351"/>
      <c r="S115" s="351"/>
      <c r="T115" s="352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4301071051</v>
      </c>
      <c r="D116" s="349">
        <v>4607111039262</v>
      </c>
      <c r="E116" s="349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1"/>
      <c r="R116" s="351"/>
      <c r="S116" s="351"/>
      <c r="T116" s="352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210</v>
      </c>
      <c r="B117" s="60" t="s">
        <v>211</v>
      </c>
      <c r="C117" s="34">
        <v>4301071038</v>
      </c>
      <c r="D117" s="349">
        <v>4607111039248</v>
      </c>
      <c r="E117" s="349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1"/>
      <c r="R117" s="351"/>
      <c r="S117" s="351"/>
      <c r="T117" s="352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212</v>
      </c>
      <c r="B118" s="60" t="s">
        <v>213</v>
      </c>
      <c r="C118" s="34">
        <v>4301070979</v>
      </c>
      <c r="D118" s="349">
        <v>4607111037145</v>
      </c>
      <c r="E118" s="349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1"/>
      <c r="R118" s="351"/>
      <c r="S118" s="351"/>
      <c r="T118" s="352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215</v>
      </c>
      <c r="B119" s="60" t="s">
        <v>216</v>
      </c>
      <c r="C119" s="34">
        <v>4301071049</v>
      </c>
      <c r="D119" s="349">
        <v>4607111039293</v>
      </c>
      <c r="E119" s="349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1"/>
      <c r="R119" s="351"/>
      <c r="S119" s="351"/>
      <c r="T119" s="352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217</v>
      </c>
      <c r="B120" s="60" t="s">
        <v>218</v>
      </c>
      <c r="C120" s="34">
        <v>4301071039</v>
      </c>
      <c r="D120" s="349">
        <v>4607111039279</v>
      </c>
      <c r="E120" s="349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1"/>
      <c r="R120" s="351"/>
      <c r="S120" s="351"/>
      <c r="T120" s="352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2"/>
      <c r="P121" s="358" t="s">
        <v>40</v>
      </c>
      <c r="Q121" s="359"/>
      <c r="R121" s="359"/>
      <c r="S121" s="359"/>
      <c r="T121" s="359"/>
      <c r="U121" s="359"/>
      <c r="V121" s="360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2"/>
      <c r="P122" s="358" t="s">
        <v>40</v>
      </c>
      <c r="Q122" s="359"/>
      <c r="R122" s="359"/>
      <c r="S122" s="359"/>
      <c r="T122" s="359"/>
      <c r="U122" s="359"/>
      <c r="V122" s="360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customHeight="1" x14ac:dyDescent="0.25">
      <c r="A123" s="348" t="s">
        <v>150</v>
      </c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349">
        <v>4620207490983</v>
      </c>
      <c r="E124" s="349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1"/>
      <c r="R124" s="351"/>
      <c r="S124" s="351"/>
      <c r="T124" s="352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2"/>
      <c r="P125" s="358" t="s">
        <v>40</v>
      </c>
      <c r="Q125" s="359"/>
      <c r="R125" s="359"/>
      <c r="S125" s="359"/>
      <c r="T125" s="359"/>
      <c r="U125" s="359"/>
      <c r="V125" s="360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2"/>
      <c r="P126" s="358" t="s">
        <v>40</v>
      </c>
      <c r="Q126" s="359"/>
      <c r="R126" s="359"/>
      <c r="S126" s="359"/>
      <c r="T126" s="359"/>
      <c r="U126" s="359"/>
      <c r="V126" s="360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348" t="s">
        <v>222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63"/>
      <c r="AB127" s="63"/>
      <c r="AC127" s="63"/>
    </row>
    <row r="128" spans="1:68" ht="27" customHeight="1" x14ac:dyDescent="0.25">
      <c r="A128" s="60" t="s">
        <v>223</v>
      </c>
      <c r="B128" s="60" t="s">
        <v>224</v>
      </c>
      <c r="C128" s="34">
        <v>4301071094</v>
      </c>
      <c r="D128" s="349">
        <v>4620207491140</v>
      </c>
      <c r="E128" s="349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1"/>
      <c r="R128" s="351"/>
      <c r="S128" s="351"/>
      <c r="T128" s="352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2"/>
      <c r="P129" s="358" t="s">
        <v>40</v>
      </c>
      <c r="Q129" s="359"/>
      <c r="R129" s="359"/>
      <c r="S129" s="359"/>
      <c r="T129" s="359"/>
      <c r="U129" s="359"/>
      <c r="V129" s="360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2"/>
      <c r="P130" s="358" t="s">
        <v>40</v>
      </c>
      <c r="Q130" s="359"/>
      <c r="R130" s="359"/>
      <c r="S130" s="359"/>
      <c r="T130" s="359"/>
      <c r="U130" s="359"/>
      <c r="V130" s="360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47" t="s">
        <v>226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2"/>
      <c r="AB131" s="62"/>
      <c r="AC131" s="62"/>
    </row>
    <row r="132" spans="1:68" ht="14.25" customHeight="1" x14ac:dyDescent="0.25">
      <c r="A132" s="348" t="s">
        <v>227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3"/>
      <c r="AB132" s="63"/>
      <c r="AC132" s="63"/>
    </row>
    <row r="133" spans="1:68" ht="27" customHeight="1" x14ac:dyDescent="0.25">
      <c r="A133" s="60" t="s">
        <v>228</v>
      </c>
      <c r="B133" s="60" t="s">
        <v>229</v>
      </c>
      <c r="C133" s="34">
        <v>4301190117</v>
      </c>
      <c r="D133" s="349">
        <v>4620207491386</v>
      </c>
      <c r="E133" s="349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404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1"/>
      <c r="R133" s="351"/>
      <c r="S133" s="351"/>
      <c r="T133" s="352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231</v>
      </c>
      <c r="B134" s="60" t="s">
        <v>232</v>
      </c>
      <c r="C134" s="34">
        <v>4301190115</v>
      </c>
      <c r="D134" s="349">
        <v>4620207491362</v>
      </c>
      <c r="E134" s="349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405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1"/>
      <c r="R134" s="351"/>
      <c r="S134" s="351"/>
      <c r="T134" s="352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233</v>
      </c>
      <c r="B135" s="60" t="s">
        <v>234</v>
      </c>
      <c r="C135" s="34">
        <v>4301190116</v>
      </c>
      <c r="D135" s="349">
        <v>4620207491379</v>
      </c>
      <c r="E135" s="349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406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1"/>
      <c r="R135" s="351"/>
      <c r="S135" s="351"/>
      <c r="T135" s="352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x14ac:dyDescent="0.2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2"/>
      <c r="P136" s="358" t="s">
        <v>40</v>
      </c>
      <c r="Q136" s="359"/>
      <c r="R136" s="359"/>
      <c r="S136" s="359"/>
      <c r="T136" s="359"/>
      <c r="U136" s="359"/>
      <c r="V136" s="360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2"/>
      <c r="P137" s="358" t="s">
        <v>40</v>
      </c>
      <c r="Q137" s="359"/>
      <c r="R137" s="359"/>
      <c r="S137" s="359"/>
      <c r="T137" s="359"/>
      <c r="U137" s="359"/>
      <c r="V137" s="360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customHeight="1" x14ac:dyDescent="0.25">
      <c r="A138" s="347" t="s">
        <v>235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2"/>
      <c r="AB138" s="62"/>
      <c r="AC138" s="62"/>
    </row>
    <row r="139" spans="1:68" ht="14.25" customHeight="1" x14ac:dyDescent="0.25">
      <c r="A139" s="348" t="s">
        <v>150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349">
        <v>4620207491485</v>
      </c>
      <c r="E140" s="349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40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351"/>
      <c r="R140" s="351"/>
      <c r="S140" s="351"/>
      <c r="T140" s="352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349">
        <v>4607111034014</v>
      </c>
      <c r="E141" s="349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351"/>
      <c r="R141" s="351"/>
      <c r="S141" s="351"/>
      <c r="T141" s="352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349">
        <v>4607111033994</v>
      </c>
      <c r="E142" s="349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351"/>
      <c r="R142" s="351"/>
      <c r="S142" s="351"/>
      <c r="T142" s="352"/>
      <c r="U142" s="37" t="s">
        <v>46</v>
      </c>
      <c r="V142" s="37" t="s">
        <v>46</v>
      </c>
      <c r="W142" s="38" t="s">
        <v>39</v>
      </c>
      <c r="X142" s="56">
        <v>140</v>
      </c>
      <c r="Y142" s="53">
        <f>IFERROR(IF(X142="","",X142),"")</f>
        <v>140</v>
      </c>
      <c r="Z142" s="39">
        <f>IFERROR(IF(X142="","",X142*0.01788),"")</f>
        <v>2.5032000000000001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518.50400000000002</v>
      </c>
      <c r="BN142" s="78">
        <f>IFERROR(Y142*I142,"0")</f>
        <v>518.50400000000002</v>
      </c>
      <c r="BO142" s="78">
        <f>IFERROR(X142/J142,"0")</f>
        <v>2</v>
      </c>
      <c r="BP142" s="78">
        <f>IFERROR(Y142/J142,"0")</f>
        <v>2</v>
      </c>
    </row>
    <row r="143" spans="1:68" x14ac:dyDescent="0.2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2"/>
      <c r="P143" s="358" t="s">
        <v>40</v>
      </c>
      <c r="Q143" s="359"/>
      <c r="R143" s="359"/>
      <c r="S143" s="359"/>
      <c r="T143" s="359"/>
      <c r="U143" s="359"/>
      <c r="V143" s="360"/>
      <c r="W143" s="40" t="s">
        <v>39</v>
      </c>
      <c r="X143" s="41">
        <f>IFERROR(SUM(X140:X142),"0")</f>
        <v>280</v>
      </c>
      <c r="Y143" s="41">
        <f>IFERROR(SUM(Y140:Y142),"0")</f>
        <v>280</v>
      </c>
      <c r="Z143" s="41">
        <f>IFERROR(IF(Z140="",0,Z140),"0")+IFERROR(IF(Z141="",0,Z141),"0")+IFERROR(IF(Z142="",0,Z142),"0")</f>
        <v>5.0064000000000002</v>
      </c>
      <c r="AA143" s="64"/>
      <c r="AB143" s="64"/>
      <c r="AC143" s="64"/>
    </row>
    <row r="144" spans="1:68" x14ac:dyDescent="0.2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2"/>
      <c r="P144" s="358" t="s">
        <v>40</v>
      </c>
      <c r="Q144" s="359"/>
      <c r="R144" s="359"/>
      <c r="S144" s="359"/>
      <c r="T144" s="359"/>
      <c r="U144" s="359"/>
      <c r="V144" s="360"/>
      <c r="W144" s="40" t="s">
        <v>0</v>
      </c>
      <c r="X144" s="41">
        <f>IFERROR(SUMPRODUCT(X140:X142*H140:H142),"0")</f>
        <v>840</v>
      </c>
      <c r="Y144" s="41">
        <f>IFERROR(SUMPRODUCT(Y140:Y142*H140:H142),"0")</f>
        <v>840</v>
      </c>
      <c r="Z144" s="40"/>
      <c r="AA144" s="64"/>
      <c r="AB144" s="64"/>
      <c r="AC144" s="64"/>
    </row>
    <row r="145" spans="1:68" ht="16.5" customHeight="1" x14ac:dyDescent="0.25">
      <c r="A145" s="347" t="s">
        <v>243</v>
      </c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62"/>
      <c r="AB145" s="62"/>
      <c r="AC145" s="62"/>
    </row>
    <row r="146" spans="1:68" ht="14.25" customHeight="1" x14ac:dyDescent="0.25">
      <c r="A146" s="348" t="s">
        <v>150</v>
      </c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48"/>
      <c r="P146" s="348"/>
      <c r="Q146" s="348"/>
      <c r="R146" s="348"/>
      <c r="S146" s="348"/>
      <c r="T146" s="348"/>
      <c r="U146" s="348"/>
      <c r="V146" s="348"/>
      <c r="W146" s="348"/>
      <c r="X146" s="348"/>
      <c r="Y146" s="348"/>
      <c r="Z146" s="348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349">
        <v>4620207491492</v>
      </c>
      <c r="E147" s="349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410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351"/>
      <c r="R147" s="351"/>
      <c r="S147" s="351"/>
      <c r="T147" s="352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customHeight="1" x14ac:dyDescent="0.25">
      <c r="A148" s="60" t="s">
        <v>246</v>
      </c>
      <c r="B148" s="60" t="s">
        <v>247</v>
      </c>
      <c r="C148" s="34">
        <v>4301135824</v>
      </c>
      <c r="D148" s="349">
        <v>4607111039095</v>
      </c>
      <c r="E148" s="349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4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1"/>
      <c r="R148" s="351"/>
      <c r="S148" s="351"/>
      <c r="T148" s="352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349">
        <v>4607111034199</v>
      </c>
      <c r="E149" s="349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41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351"/>
      <c r="R149" s="351"/>
      <c r="S149" s="351"/>
      <c r="T149" s="352"/>
      <c r="U149" s="37" t="s">
        <v>46</v>
      </c>
      <c r="V149" s="37" t="s">
        <v>46</v>
      </c>
      <c r="W149" s="38" t="s">
        <v>39</v>
      </c>
      <c r="X149" s="56">
        <v>42</v>
      </c>
      <c r="Y149" s="53">
        <f>IFERROR(IF(X149="","",X149),"")</f>
        <v>42</v>
      </c>
      <c r="Z149" s="39">
        <f>IFERROR(IF(X149="","",X149*0.01788),"")</f>
        <v>0.75095999999999996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155.55119999999999</v>
      </c>
      <c r="BN149" s="78">
        <f>IFERROR(Y149*I149,"0")</f>
        <v>155.55119999999999</v>
      </c>
      <c r="BO149" s="78">
        <f>IFERROR(X149/J149,"0")</f>
        <v>0.6</v>
      </c>
      <c r="BP149" s="78">
        <f>IFERROR(Y149/J149,"0")</f>
        <v>0.6</v>
      </c>
    </row>
    <row r="150" spans="1:68" x14ac:dyDescent="0.2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2"/>
      <c r="P150" s="358" t="s">
        <v>40</v>
      </c>
      <c r="Q150" s="359"/>
      <c r="R150" s="359"/>
      <c r="S150" s="359"/>
      <c r="T150" s="359"/>
      <c r="U150" s="359"/>
      <c r="V150" s="360"/>
      <c r="W150" s="40" t="s">
        <v>39</v>
      </c>
      <c r="X150" s="41">
        <f>IFERROR(SUM(X147:X149),"0")</f>
        <v>42</v>
      </c>
      <c r="Y150" s="41">
        <f>IFERROR(SUM(Y147:Y149),"0")</f>
        <v>42</v>
      </c>
      <c r="Z150" s="41">
        <f>IFERROR(IF(Z147="",0,Z147),"0")+IFERROR(IF(Z148="",0,Z148),"0")+IFERROR(IF(Z149="",0,Z149),"0")</f>
        <v>0.75095999999999996</v>
      </c>
      <c r="AA150" s="64"/>
      <c r="AB150" s="64"/>
      <c r="AC150" s="64"/>
    </row>
    <row r="151" spans="1:68" x14ac:dyDescent="0.2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2"/>
      <c r="P151" s="358" t="s">
        <v>40</v>
      </c>
      <c r="Q151" s="359"/>
      <c r="R151" s="359"/>
      <c r="S151" s="359"/>
      <c r="T151" s="359"/>
      <c r="U151" s="359"/>
      <c r="V151" s="360"/>
      <c r="W151" s="40" t="s">
        <v>0</v>
      </c>
      <c r="X151" s="41">
        <f>IFERROR(SUMPRODUCT(X147:X149*H147:H149),"0")</f>
        <v>126</v>
      </c>
      <c r="Y151" s="41">
        <f>IFERROR(SUMPRODUCT(Y147:Y149*H147:H149),"0")</f>
        <v>126</v>
      </c>
      <c r="Z151" s="40"/>
      <c r="AA151" s="64"/>
      <c r="AB151" s="64"/>
      <c r="AC151" s="64"/>
    </row>
    <row r="152" spans="1:68" ht="16.5" customHeight="1" x14ac:dyDescent="0.25">
      <c r="A152" s="347" t="s">
        <v>252</v>
      </c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62"/>
      <c r="AB152" s="62"/>
      <c r="AC152" s="62"/>
    </row>
    <row r="153" spans="1:68" ht="14.25" customHeight="1" x14ac:dyDescent="0.25">
      <c r="A153" s="348" t="s">
        <v>150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63"/>
      <c r="AB153" s="63"/>
      <c r="AC153" s="63"/>
    </row>
    <row r="154" spans="1:68" ht="27" customHeight="1" x14ac:dyDescent="0.25">
      <c r="A154" s="60" t="s">
        <v>253</v>
      </c>
      <c r="B154" s="60" t="s">
        <v>254</v>
      </c>
      <c r="C154" s="34">
        <v>4301135753</v>
      </c>
      <c r="D154" s="349">
        <v>4620207490914</v>
      </c>
      <c r="E154" s="349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41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1"/>
      <c r="R154" s="351"/>
      <c r="S154" s="351"/>
      <c r="T154" s="352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customHeight="1" x14ac:dyDescent="0.25">
      <c r="A155" s="60" t="s">
        <v>255</v>
      </c>
      <c r="B155" s="60" t="s">
        <v>256</v>
      </c>
      <c r="C155" s="34">
        <v>4301135778</v>
      </c>
      <c r="D155" s="349">
        <v>4620207490853</v>
      </c>
      <c r="E155" s="349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41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351"/>
      <c r="R155" s="351"/>
      <c r="S155" s="351"/>
      <c r="T155" s="352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x14ac:dyDescent="0.2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2"/>
      <c r="P156" s="358" t="s">
        <v>40</v>
      </c>
      <c r="Q156" s="359"/>
      <c r="R156" s="359"/>
      <c r="S156" s="359"/>
      <c r="T156" s="359"/>
      <c r="U156" s="359"/>
      <c r="V156" s="360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x14ac:dyDescent="0.2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2"/>
      <c r="P157" s="358" t="s">
        <v>40</v>
      </c>
      <c r="Q157" s="359"/>
      <c r="R157" s="359"/>
      <c r="S157" s="359"/>
      <c r="T157" s="359"/>
      <c r="U157" s="359"/>
      <c r="V157" s="360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customHeight="1" x14ac:dyDescent="0.25">
      <c r="A158" s="347" t="s">
        <v>257</v>
      </c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62"/>
      <c r="AB158" s="62"/>
      <c r="AC158" s="62"/>
    </row>
    <row r="159" spans="1:68" ht="14.25" customHeight="1" x14ac:dyDescent="0.25">
      <c r="A159" s="348" t="s">
        <v>150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349">
        <v>4607111035806</v>
      </c>
      <c r="E160" s="349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41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51"/>
      <c r="R160" s="351"/>
      <c r="S160" s="351"/>
      <c r="T160" s="352"/>
      <c r="U160" s="37" t="s">
        <v>46</v>
      </c>
      <c r="V160" s="37" t="s">
        <v>46</v>
      </c>
      <c r="W160" s="38" t="s">
        <v>39</v>
      </c>
      <c r="X160" s="56">
        <v>70</v>
      </c>
      <c r="Y160" s="53">
        <f>IFERROR(IF(X160="","",X160),"")</f>
        <v>70</v>
      </c>
      <c r="Z160" s="39">
        <f>IFERROR(IF(X160="","",X160*0.01788),"")</f>
        <v>1.2516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259.25200000000001</v>
      </c>
      <c r="BN160" s="78">
        <f>IFERROR(Y160*I160,"0")</f>
        <v>259.25200000000001</v>
      </c>
      <c r="BO160" s="78">
        <f>IFERROR(X160/J160,"0")</f>
        <v>1</v>
      </c>
      <c r="BP160" s="78">
        <f>IFERROR(Y160/J160,"0")</f>
        <v>1</v>
      </c>
    </row>
    <row r="161" spans="1:68" x14ac:dyDescent="0.2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2"/>
      <c r="P161" s="358" t="s">
        <v>40</v>
      </c>
      <c r="Q161" s="359"/>
      <c r="R161" s="359"/>
      <c r="S161" s="359"/>
      <c r="T161" s="359"/>
      <c r="U161" s="359"/>
      <c r="V161" s="360"/>
      <c r="W161" s="40" t="s">
        <v>39</v>
      </c>
      <c r="X161" s="41">
        <f>IFERROR(SUM(X160:X160),"0")</f>
        <v>70</v>
      </c>
      <c r="Y161" s="41">
        <f>IFERROR(SUM(Y160:Y160),"0")</f>
        <v>70</v>
      </c>
      <c r="Z161" s="41">
        <f>IFERROR(IF(Z160="",0,Z160),"0")</f>
        <v>1.2516</v>
      </c>
      <c r="AA161" s="64"/>
      <c r="AB161" s="64"/>
      <c r="AC161" s="64"/>
    </row>
    <row r="162" spans="1:68" x14ac:dyDescent="0.2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2"/>
      <c r="P162" s="358" t="s">
        <v>40</v>
      </c>
      <c r="Q162" s="359"/>
      <c r="R162" s="359"/>
      <c r="S162" s="359"/>
      <c r="T162" s="359"/>
      <c r="U162" s="359"/>
      <c r="V162" s="360"/>
      <c r="W162" s="40" t="s">
        <v>0</v>
      </c>
      <c r="X162" s="41">
        <f>IFERROR(SUMPRODUCT(X160:X160*H160:H160),"0")</f>
        <v>210</v>
      </c>
      <c r="Y162" s="41">
        <f>IFERROR(SUMPRODUCT(Y160:Y160*H160:H160),"0")</f>
        <v>210</v>
      </c>
      <c r="Z162" s="40"/>
      <c r="AA162" s="64"/>
      <c r="AB162" s="64"/>
      <c r="AC162" s="64"/>
    </row>
    <row r="163" spans="1:68" ht="16.5" customHeight="1" x14ac:dyDescent="0.25">
      <c r="A163" s="347" t="s">
        <v>261</v>
      </c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  <c r="AA163" s="62"/>
      <c r="AB163" s="62"/>
      <c r="AC163" s="62"/>
    </row>
    <row r="164" spans="1:68" ht="14.25" customHeight="1" x14ac:dyDescent="0.25">
      <c r="A164" s="348" t="s">
        <v>150</v>
      </c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63"/>
      <c r="AB164" s="63"/>
      <c r="AC164" s="63"/>
    </row>
    <row r="165" spans="1:68" ht="16.5" customHeight="1" x14ac:dyDescent="0.25">
      <c r="A165" s="60" t="s">
        <v>262</v>
      </c>
      <c r="B165" s="60" t="s">
        <v>263</v>
      </c>
      <c r="C165" s="34">
        <v>4301135607</v>
      </c>
      <c r="D165" s="349">
        <v>4607111039613</v>
      </c>
      <c r="E165" s="349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4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1"/>
      <c r="R165" s="351"/>
      <c r="S165" s="351"/>
      <c r="T165" s="352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x14ac:dyDescent="0.2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2"/>
      <c r="P166" s="358" t="s">
        <v>40</v>
      </c>
      <c r="Q166" s="359"/>
      <c r="R166" s="359"/>
      <c r="S166" s="359"/>
      <c r="T166" s="359"/>
      <c r="U166" s="359"/>
      <c r="V166" s="360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2"/>
      <c r="P167" s="358" t="s">
        <v>40</v>
      </c>
      <c r="Q167" s="359"/>
      <c r="R167" s="359"/>
      <c r="S167" s="359"/>
      <c r="T167" s="359"/>
      <c r="U167" s="359"/>
      <c r="V167" s="360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customHeight="1" x14ac:dyDescent="0.25">
      <c r="A168" s="347" t="s">
        <v>264</v>
      </c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  <c r="AA168" s="62"/>
      <c r="AB168" s="62"/>
      <c r="AC168" s="62"/>
    </row>
    <row r="169" spans="1:68" ht="14.25" customHeight="1" x14ac:dyDescent="0.25">
      <c r="A169" s="348" t="s">
        <v>150</v>
      </c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  <c r="AA169" s="63"/>
      <c r="AB169" s="63"/>
      <c r="AC169" s="63"/>
    </row>
    <row r="170" spans="1:68" ht="27" customHeight="1" x14ac:dyDescent="0.25">
      <c r="A170" s="60" t="s">
        <v>265</v>
      </c>
      <c r="B170" s="60" t="s">
        <v>266</v>
      </c>
      <c r="C170" s="34">
        <v>4301135591</v>
      </c>
      <c r="D170" s="349">
        <v>4607111036568</v>
      </c>
      <c r="E170" s="349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351"/>
      <c r="R170" s="351"/>
      <c r="S170" s="351"/>
      <c r="T170" s="352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x14ac:dyDescent="0.2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2"/>
      <c r="P171" s="358" t="s">
        <v>40</v>
      </c>
      <c r="Q171" s="359"/>
      <c r="R171" s="359"/>
      <c r="S171" s="359"/>
      <c r="T171" s="359"/>
      <c r="U171" s="359"/>
      <c r="V171" s="360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2"/>
      <c r="P172" s="358" t="s">
        <v>40</v>
      </c>
      <c r="Q172" s="359"/>
      <c r="R172" s="359"/>
      <c r="S172" s="359"/>
      <c r="T172" s="359"/>
      <c r="U172" s="359"/>
      <c r="V172" s="360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customHeight="1" x14ac:dyDescent="0.2">
      <c r="A173" s="346" t="s">
        <v>268</v>
      </c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  <c r="AA173" s="52"/>
      <c r="AB173" s="52"/>
      <c r="AC173" s="52"/>
    </row>
    <row r="174" spans="1:68" ht="16.5" customHeight="1" x14ac:dyDescent="0.25">
      <c r="A174" s="347" t="s">
        <v>269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62"/>
      <c r="AB174" s="62"/>
      <c r="AC174" s="62"/>
    </row>
    <row r="175" spans="1:68" ht="14.25" customHeight="1" x14ac:dyDescent="0.25">
      <c r="A175" s="348" t="s">
        <v>80</v>
      </c>
      <c r="B175" s="348"/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63"/>
      <c r="AB175" s="63"/>
      <c r="AC175" s="63"/>
    </row>
    <row r="176" spans="1:68" ht="16.5" customHeight="1" x14ac:dyDescent="0.25">
      <c r="A176" s="60" t="s">
        <v>270</v>
      </c>
      <c r="B176" s="60" t="s">
        <v>271</v>
      </c>
      <c r="C176" s="34">
        <v>4301071062</v>
      </c>
      <c r="D176" s="349">
        <v>4607111036384</v>
      </c>
      <c r="E176" s="349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351"/>
      <c r="R176" s="351"/>
      <c r="S176" s="351"/>
      <c r="T176" s="352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customHeight="1" x14ac:dyDescent="0.25">
      <c r="A177" s="60" t="s">
        <v>273</v>
      </c>
      <c r="B177" s="60" t="s">
        <v>274</v>
      </c>
      <c r="C177" s="34">
        <v>4301071050</v>
      </c>
      <c r="D177" s="349">
        <v>4607111036216</v>
      </c>
      <c r="E177" s="349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351"/>
      <c r="R177" s="351"/>
      <c r="S177" s="351"/>
      <c r="T177" s="352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x14ac:dyDescent="0.2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2"/>
      <c r="P178" s="358" t="s">
        <v>40</v>
      </c>
      <c r="Q178" s="359"/>
      <c r="R178" s="359"/>
      <c r="S178" s="359"/>
      <c r="T178" s="359"/>
      <c r="U178" s="359"/>
      <c r="V178" s="360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x14ac:dyDescent="0.2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2"/>
      <c r="P179" s="358" t="s">
        <v>40</v>
      </c>
      <c r="Q179" s="359"/>
      <c r="R179" s="359"/>
      <c r="S179" s="359"/>
      <c r="T179" s="359"/>
      <c r="U179" s="359"/>
      <c r="V179" s="360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customHeight="1" x14ac:dyDescent="0.25">
      <c r="A180" s="348" t="s">
        <v>276</v>
      </c>
      <c r="B180" s="348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8"/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  <c r="AA180" s="63"/>
      <c r="AB180" s="63"/>
      <c r="AC180" s="63"/>
    </row>
    <row r="181" spans="1:68" ht="27" customHeight="1" x14ac:dyDescent="0.25">
      <c r="A181" s="60" t="s">
        <v>277</v>
      </c>
      <c r="B181" s="60" t="s">
        <v>278</v>
      </c>
      <c r="C181" s="34">
        <v>4301080153</v>
      </c>
      <c r="D181" s="349">
        <v>4607111036827</v>
      </c>
      <c r="E181" s="349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42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351"/>
      <c r="R181" s="351"/>
      <c r="S181" s="351"/>
      <c r="T181" s="352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customHeight="1" x14ac:dyDescent="0.25">
      <c r="A182" s="60" t="s">
        <v>280</v>
      </c>
      <c r="B182" s="60" t="s">
        <v>281</v>
      </c>
      <c r="C182" s="34">
        <v>4301080154</v>
      </c>
      <c r="D182" s="349">
        <v>4607111036834</v>
      </c>
      <c r="E182" s="349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42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351"/>
      <c r="R182" s="351"/>
      <c r="S182" s="351"/>
      <c r="T182" s="352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2"/>
      <c r="P183" s="358" t="s">
        <v>40</v>
      </c>
      <c r="Q183" s="359"/>
      <c r="R183" s="359"/>
      <c r="S183" s="359"/>
      <c r="T183" s="359"/>
      <c r="U183" s="359"/>
      <c r="V183" s="360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x14ac:dyDescent="0.2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2"/>
      <c r="P184" s="358" t="s">
        <v>40</v>
      </c>
      <c r="Q184" s="359"/>
      <c r="R184" s="359"/>
      <c r="S184" s="359"/>
      <c r="T184" s="359"/>
      <c r="U184" s="359"/>
      <c r="V184" s="360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customHeight="1" x14ac:dyDescent="0.2">
      <c r="A185" s="346" t="s">
        <v>282</v>
      </c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52"/>
      <c r="AB185" s="52"/>
      <c r="AC185" s="52"/>
    </row>
    <row r="186" spans="1:68" ht="16.5" customHeight="1" x14ac:dyDescent="0.25">
      <c r="A186" s="347" t="s">
        <v>283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62"/>
      <c r="AB186" s="62"/>
      <c r="AC186" s="62"/>
    </row>
    <row r="187" spans="1:68" ht="14.25" customHeight="1" x14ac:dyDescent="0.25">
      <c r="A187" s="348" t="s">
        <v>106</v>
      </c>
      <c r="B187" s="348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349">
        <v>4607111035691</v>
      </c>
      <c r="E188" s="349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42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51"/>
      <c r="R188" s="351"/>
      <c r="S188" s="351"/>
      <c r="T188" s="352"/>
      <c r="U188" s="37" t="s">
        <v>46</v>
      </c>
      <c r="V188" s="37" t="s">
        <v>46</v>
      </c>
      <c r="W188" s="38" t="s">
        <v>39</v>
      </c>
      <c r="X188" s="56">
        <v>28</v>
      </c>
      <c r="Y188" s="53">
        <f>IFERROR(IF(X188="","",X188),"")</f>
        <v>28</v>
      </c>
      <c r="Z188" s="39">
        <f>IFERROR(IF(X188="","",X188*0.01788),"")</f>
        <v>0.50063999999999997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94.864000000000004</v>
      </c>
      <c r="BN188" s="78">
        <f>IFERROR(Y188*I188,"0")</f>
        <v>94.864000000000004</v>
      </c>
      <c r="BO188" s="78">
        <f>IFERROR(X188/J188,"0")</f>
        <v>0.4</v>
      </c>
      <c r="BP188" s="78">
        <f>IFERROR(Y188/J188,"0")</f>
        <v>0.4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349">
        <v>4607111035721</v>
      </c>
      <c r="E189" s="349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42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351"/>
      <c r="R189" s="351"/>
      <c r="S189" s="351"/>
      <c r="T189" s="352"/>
      <c r="U189" s="37" t="s">
        <v>46</v>
      </c>
      <c r="V189" s="37" t="s">
        <v>46</v>
      </c>
      <c r="W189" s="38" t="s">
        <v>39</v>
      </c>
      <c r="X189" s="56">
        <v>14</v>
      </c>
      <c r="Y189" s="53">
        <f>IFERROR(IF(X189="","",X189),"")</f>
        <v>14</v>
      </c>
      <c r="Z189" s="39">
        <f>IFERROR(IF(X189="","",X189*0.01788),"")</f>
        <v>0.25031999999999999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47.432000000000002</v>
      </c>
      <c r="BN189" s="78">
        <f>IFERROR(Y189*I189,"0")</f>
        <v>47.432000000000002</v>
      </c>
      <c r="BO189" s="78">
        <f>IFERROR(X189/J189,"0")</f>
        <v>0.2</v>
      </c>
      <c r="BP189" s="78">
        <f>IFERROR(Y189/J189,"0")</f>
        <v>0.2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349">
        <v>4607111038487</v>
      </c>
      <c r="E190" s="349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351"/>
      <c r="R190" s="351"/>
      <c r="S190" s="351"/>
      <c r="T190" s="352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293</v>
      </c>
      <c r="B191" s="60" t="s">
        <v>294</v>
      </c>
      <c r="C191" s="34">
        <v>4301132243</v>
      </c>
      <c r="D191" s="349">
        <v>4620207491195</v>
      </c>
      <c r="E191" s="349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4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351"/>
      <c r="R191" s="351"/>
      <c r="S191" s="351"/>
      <c r="T191" s="352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2"/>
      <c r="P192" s="358" t="s">
        <v>40</v>
      </c>
      <c r="Q192" s="359"/>
      <c r="R192" s="359"/>
      <c r="S192" s="359"/>
      <c r="T192" s="359"/>
      <c r="U192" s="359"/>
      <c r="V192" s="360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2"/>
      <c r="P193" s="358" t="s">
        <v>40</v>
      </c>
      <c r="Q193" s="359"/>
      <c r="R193" s="359"/>
      <c r="S193" s="359"/>
      <c r="T193" s="359"/>
      <c r="U193" s="359"/>
      <c r="V193" s="360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customHeight="1" x14ac:dyDescent="0.2">
      <c r="A194" s="346" t="s">
        <v>296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52"/>
      <c r="AB194" s="52"/>
      <c r="AC194" s="52"/>
    </row>
    <row r="195" spans="1:68" ht="16.5" customHeight="1" x14ac:dyDescent="0.25">
      <c r="A195" s="347" t="s">
        <v>297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2"/>
      <c r="AB195" s="62"/>
      <c r="AC195" s="62"/>
    </row>
    <row r="196" spans="1:68" ht="14.25" customHeight="1" x14ac:dyDescent="0.25">
      <c r="A196" s="348" t="s">
        <v>106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63"/>
      <c r="AB196" s="63"/>
      <c r="AC196" s="63"/>
    </row>
    <row r="197" spans="1:68" ht="27" customHeight="1" x14ac:dyDescent="0.25">
      <c r="A197" s="60" t="s">
        <v>298</v>
      </c>
      <c r="B197" s="60" t="s">
        <v>299</v>
      </c>
      <c r="C197" s="34">
        <v>4301132227</v>
      </c>
      <c r="D197" s="349">
        <v>4620207491133</v>
      </c>
      <c r="E197" s="349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1"/>
      <c r="R197" s="351"/>
      <c r="S197" s="351"/>
      <c r="T197" s="352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2"/>
      <c r="P198" s="358" t="s">
        <v>40</v>
      </c>
      <c r="Q198" s="359"/>
      <c r="R198" s="359"/>
      <c r="S198" s="359"/>
      <c r="T198" s="359"/>
      <c r="U198" s="359"/>
      <c r="V198" s="360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x14ac:dyDescent="0.2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2"/>
      <c r="P199" s="358" t="s">
        <v>40</v>
      </c>
      <c r="Q199" s="359"/>
      <c r="R199" s="359"/>
      <c r="S199" s="359"/>
      <c r="T199" s="359"/>
      <c r="U199" s="359"/>
      <c r="V199" s="360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customHeight="1" x14ac:dyDescent="0.25">
      <c r="A200" s="348" t="s">
        <v>150</v>
      </c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63"/>
      <c r="AB200" s="63"/>
      <c r="AC200" s="63"/>
    </row>
    <row r="201" spans="1:68" ht="27" customHeight="1" x14ac:dyDescent="0.25">
      <c r="A201" s="60" t="s">
        <v>301</v>
      </c>
      <c r="B201" s="60" t="s">
        <v>302</v>
      </c>
      <c r="C201" s="34">
        <v>4301135834</v>
      </c>
      <c r="D201" s="349">
        <v>4620207491188</v>
      </c>
      <c r="E201" s="349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1"/>
      <c r="R201" s="351"/>
      <c r="S201" s="351"/>
      <c r="T201" s="352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customHeight="1" x14ac:dyDescent="0.25">
      <c r="A202" s="60" t="s">
        <v>304</v>
      </c>
      <c r="B202" s="60" t="s">
        <v>305</v>
      </c>
      <c r="C202" s="34">
        <v>4301135707</v>
      </c>
      <c r="D202" s="349">
        <v>4620207490198</v>
      </c>
      <c r="E202" s="349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1"/>
      <c r="R202" s="351"/>
      <c r="S202" s="351"/>
      <c r="T202" s="352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4301135829</v>
      </c>
      <c r="D203" s="349">
        <v>4620207490235</v>
      </c>
      <c r="E203" s="349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1"/>
      <c r="R203" s="351"/>
      <c r="S203" s="351"/>
      <c r="T203" s="352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4301135697</v>
      </c>
      <c r="D204" s="349">
        <v>4620207490259</v>
      </c>
      <c r="E204" s="349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1"/>
      <c r="R204" s="351"/>
      <c r="S204" s="351"/>
      <c r="T204" s="352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2"/>
      <c r="P205" s="358" t="s">
        <v>40</v>
      </c>
      <c r="Q205" s="359"/>
      <c r="R205" s="359"/>
      <c r="S205" s="359"/>
      <c r="T205" s="359"/>
      <c r="U205" s="359"/>
      <c r="V205" s="360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2"/>
      <c r="P206" s="358" t="s">
        <v>40</v>
      </c>
      <c r="Q206" s="359"/>
      <c r="R206" s="359"/>
      <c r="S206" s="359"/>
      <c r="T206" s="359"/>
      <c r="U206" s="359"/>
      <c r="V206" s="360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customHeight="1" x14ac:dyDescent="0.25">
      <c r="A207" s="347" t="s">
        <v>312</v>
      </c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62"/>
      <c r="AB207" s="62"/>
      <c r="AC207" s="62"/>
    </row>
    <row r="208" spans="1:68" ht="14.25" customHeight="1" x14ac:dyDescent="0.25">
      <c r="A208" s="348" t="s">
        <v>80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3"/>
      <c r="AB208" s="63"/>
      <c r="AC208" s="63"/>
    </row>
    <row r="209" spans="1:68" ht="27" customHeight="1" x14ac:dyDescent="0.25">
      <c r="A209" s="60" t="s">
        <v>313</v>
      </c>
      <c r="B209" s="60" t="s">
        <v>314</v>
      </c>
      <c r="C209" s="34">
        <v>4301071097</v>
      </c>
      <c r="D209" s="349">
        <v>4620207491096</v>
      </c>
      <c r="E209" s="349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1"/>
      <c r="R209" s="351"/>
      <c r="S209" s="351"/>
      <c r="T209" s="352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2"/>
      <c r="P210" s="358" t="s">
        <v>40</v>
      </c>
      <c r="Q210" s="359"/>
      <c r="R210" s="359"/>
      <c r="S210" s="359"/>
      <c r="T210" s="359"/>
      <c r="U210" s="359"/>
      <c r="V210" s="360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2"/>
      <c r="P211" s="358" t="s">
        <v>40</v>
      </c>
      <c r="Q211" s="359"/>
      <c r="R211" s="359"/>
      <c r="S211" s="359"/>
      <c r="T211" s="359"/>
      <c r="U211" s="359"/>
      <c r="V211" s="360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customHeight="1" x14ac:dyDescent="0.25">
      <c r="A212" s="347" t="s">
        <v>316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2"/>
      <c r="AB212" s="62"/>
      <c r="AC212" s="62"/>
    </row>
    <row r="213" spans="1:68" ht="14.25" customHeight="1" x14ac:dyDescent="0.25">
      <c r="A213" s="348" t="s">
        <v>150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349">
        <v>4620207490549</v>
      </c>
      <c r="E214" s="349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43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1"/>
      <c r="R214" s="351"/>
      <c r="S214" s="351"/>
      <c r="T214" s="352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customHeight="1" x14ac:dyDescent="0.25">
      <c r="A215" s="60" t="s">
        <v>320</v>
      </c>
      <c r="B215" s="60" t="s">
        <v>321</v>
      </c>
      <c r="C215" s="34">
        <v>4301135694</v>
      </c>
      <c r="D215" s="349">
        <v>4620207490501</v>
      </c>
      <c r="E215" s="349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43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1"/>
      <c r="R215" s="351"/>
      <c r="S215" s="351"/>
      <c r="T215" s="352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2"/>
      <c r="P216" s="358" t="s">
        <v>40</v>
      </c>
      <c r="Q216" s="359"/>
      <c r="R216" s="359"/>
      <c r="S216" s="359"/>
      <c r="T216" s="359"/>
      <c r="U216" s="359"/>
      <c r="V216" s="360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x14ac:dyDescent="0.2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2"/>
      <c r="P217" s="358" t="s">
        <v>40</v>
      </c>
      <c r="Q217" s="359"/>
      <c r="R217" s="359"/>
      <c r="S217" s="359"/>
      <c r="T217" s="359"/>
      <c r="U217" s="359"/>
      <c r="V217" s="360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customHeight="1" x14ac:dyDescent="0.2">
      <c r="A218" s="346" t="s">
        <v>322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52"/>
      <c r="AB218" s="52"/>
      <c r="AC218" s="52"/>
    </row>
    <row r="219" spans="1:68" ht="16.5" customHeight="1" x14ac:dyDescent="0.25">
      <c r="A219" s="347" t="s">
        <v>323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2"/>
      <c r="AB219" s="62"/>
      <c r="AC219" s="62"/>
    </row>
    <row r="220" spans="1:68" ht="14.25" customHeight="1" x14ac:dyDescent="0.25">
      <c r="A220" s="348" t="s">
        <v>80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4301071036</v>
      </c>
      <c r="D221" s="349">
        <v>4607111036162</v>
      </c>
      <c r="E221" s="349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4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1"/>
      <c r="R221" s="351"/>
      <c r="S221" s="351"/>
      <c r="T221" s="352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2"/>
      <c r="P222" s="358" t="s">
        <v>40</v>
      </c>
      <c r="Q222" s="359"/>
      <c r="R222" s="359"/>
      <c r="S222" s="359"/>
      <c r="T222" s="359"/>
      <c r="U222" s="359"/>
      <c r="V222" s="360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2"/>
      <c r="P223" s="358" t="s">
        <v>40</v>
      </c>
      <c r="Q223" s="359"/>
      <c r="R223" s="359"/>
      <c r="S223" s="359"/>
      <c r="T223" s="359"/>
      <c r="U223" s="359"/>
      <c r="V223" s="360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46" t="s">
        <v>327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52"/>
      <c r="AB224" s="52"/>
      <c r="AC224" s="52"/>
    </row>
    <row r="225" spans="1:68" ht="16.5" customHeight="1" x14ac:dyDescent="0.25">
      <c r="A225" s="347" t="s">
        <v>328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2"/>
      <c r="AB225" s="62"/>
      <c r="AC225" s="62"/>
    </row>
    <row r="226" spans="1:68" ht="14.25" customHeight="1" x14ac:dyDescent="0.25">
      <c r="A226" s="348" t="s">
        <v>80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4301071029</v>
      </c>
      <c r="D227" s="349">
        <v>4607111035899</v>
      </c>
      <c r="E227" s="349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4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1"/>
      <c r="R227" s="351"/>
      <c r="S227" s="351"/>
      <c r="T227" s="352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2"/>
      <c r="P228" s="358" t="s">
        <v>40</v>
      </c>
      <c r="Q228" s="359"/>
      <c r="R228" s="359"/>
      <c r="S228" s="359"/>
      <c r="T228" s="359"/>
      <c r="U228" s="359"/>
      <c r="V228" s="360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2"/>
      <c r="P229" s="358" t="s">
        <v>40</v>
      </c>
      <c r="Q229" s="359"/>
      <c r="R229" s="359"/>
      <c r="S229" s="359"/>
      <c r="T229" s="359"/>
      <c r="U229" s="359"/>
      <c r="V229" s="360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46" t="s">
        <v>331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52"/>
      <c r="AB230" s="52"/>
      <c r="AC230" s="52"/>
    </row>
    <row r="231" spans="1:68" ht="16.5" customHeight="1" x14ac:dyDescent="0.25">
      <c r="A231" s="347" t="s">
        <v>332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2"/>
      <c r="AB231" s="62"/>
      <c r="AC231" s="62"/>
    </row>
    <row r="232" spans="1:68" ht="14.25" customHeight="1" x14ac:dyDescent="0.25">
      <c r="A232" s="348" t="s">
        <v>333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3"/>
      <c r="AB232" s="63"/>
      <c r="AC232" s="63"/>
    </row>
    <row r="233" spans="1:68" ht="27" customHeight="1" x14ac:dyDescent="0.25">
      <c r="A233" s="60" t="s">
        <v>334</v>
      </c>
      <c r="B233" s="60" t="s">
        <v>335</v>
      </c>
      <c r="C233" s="34">
        <v>4301133004</v>
      </c>
      <c r="D233" s="349">
        <v>4607111039774</v>
      </c>
      <c r="E233" s="349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1"/>
      <c r="R233" s="351"/>
      <c r="S233" s="351"/>
      <c r="T233" s="352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2"/>
      <c r="P234" s="358" t="s">
        <v>40</v>
      </c>
      <c r="Q234" s="359"/>
      <c r="R234" s="359"/>
      <c r="S234" s="359"/>
      <c r="T234" s="359"/>
      <c r="U234" s="359"/>
      <c r="V234" s="360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2"/>
      <c r="P235" s="358" t="s">
        <v>40</v>
      </c>
      <c r="Q235" s="359"/>
      <c r="R235" s="359"/>
      <c r="S235" s="359"/>
      <c r="T235" s="359"/>
      <c r="U235" s="359"/>
      <c r="V235" s="360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48" t="s">
        <v>150</v>
      </c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63"/>
      <c r="AB236" s="63"/>
      <c r="AC236" s="63"/>
    </row>
    <row r="237" spans="1:68" ht="37.5" customHeight="1" x14ac:dyDescent="0.25">
      <c r="A237" s="60" t="s">
        <v>337</v>
      </c>
      <c r="B237" s="60" t="s">
        <v>338</v>
      </c>
      <c r="C237" s="34">
        <v>4301135400</v>
      </c>
      <c r="D237" s="349">
        <v>4607111039361</v>
      </c>
      <c r="E237" s="349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1"/>
      <c r="R237" s="351"/>
      <c r="S237" s="351"/>
      <c r="T237" s="352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2"/>
      <c r="P238" s="358" t="s">
        <v>40</v>
      </c>
      <c r="Q238" s="359"/>
      <c r="R238" s="359"/>
      <c r="S238" s="359"/>
      <c r="T238" s="359"/>
      <c r="U238" s="359"/>
      <c r="V238" s="360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2"/>
      <c r="P239" s="358" t="s">
        <v>40</v>
      </c>
      <c r="Q239" s="359"/>
      <c r="R239" s="359"/>
      <c r="S239" s="359"/>
      <c r="T239" s="359"/>
      <c r="U239" s="359"/>
      <c r="V239" s="360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52"/>
      <c r="AB240" s="52"/>
      <c r="AC240" s="52"/>
    </row>
    <row r="241" spans="1:68" ht="16.5" customHeight="1" x14ac:dyDescent="0.25">
      <c r="A241" s="347" t="s">
        <v>339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2"/>
      <c r="AB241" s="62"/>
      <c r="AC241" s="62"/>
    </row>
    <row r="242" spans="1:68" ht="14.25" customHeight="1" x14ac:dyDescent="0.25">
      <c r="A242" s="348" t="s">
        <v>80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3"/>
      <c r="AB242" s="63"/>
      <c r="AC242" s="63"/>
    </row>
    <row r="243" spans="1:68" ht="27" customHeight="1" x14ac:dyDescent="0.25">
      <c r="A243" s="60" t="s">
        <v>340</v>
      </c>
      <c r="B243" s="60" t="s">
        <v>341</v>
      </c>
      <c r="C243" s="34">
        <v>4301071014</v>
      </c>
      <c r="D243" s="349">
        <v>4640242181264</v>
      </c>
      <c r="E243" s="349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1"/>
      <c r="R243" s="351"/>
      <c r="S243" s="351"/>
      <c r="T243" s="352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customHeight="1" x14ac:dyDescent="0.25">
      <c r="A244" s="60" t="s">
        <v>343</v>
      </c>
      <c r="B244" s="60" t="s">
        <v>344</v>
      </c>
      <c r="C244" s="34">
        <v>4301071021</v>
      </c>
      <c r="D244" s="349">
        <v>4640242181325</v>
      </c>
      <c r="E244" s="349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43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1"/>
      <c r="R244" s="351"/>
      <c r="S244" s="351"/>
      <c r="T244" s="352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2"/>
      <c r="P245" s="358" t="s">
        <v>40</v>
      </c>
      <c r="Q245" s="359"/>
      <c r="R245" s="359"/>
      <c r="S245" s="359"/>
      <c r="T245" s="359"/>
      <c r="U245" s="359"/>
      <c r="V245" s="360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x14ac:dyDescent="0.2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2"/>
      <c r="P246" s="358" t="s">
        <v>40</v>
      </c>
      <c r="Q246" s="359"/>
      <c r="R246" s="359"/>
      <c r="S246" s="359"/>
      <c r="T246" s="359"/>
      <c r="U246" s="359"/>
      <c r="V246" s="360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customHeight="1" x14ac:dyDescent="0.25">
      <c r="A247" s="348" t="s">
        <v>106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349">
        <v>4640242180397</v>
      </c>
      <c r="E248" s="349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44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1"/>
      <c r="R248" s="351"/>
      <c r="S248" s="351"/>
      <c r="T248" s="352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2"/>
      <c r="P249" s="358" t="s">
        <v>40</v>
      </c>
      <c r="Q249" s="359"/>
      <c r="R249" s="359"/>
      <c r="S249" s="359"/>
      <c r="T249" s="359"/>
      <c r="U249" s="359"/>
      <c r="V249" s="360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2"/>
      <c r="P250" s="358" t="s">
        <v>40</v>
      </c>
      <c r="Q250" s="359"/>
      <c r="R250" s="359"/>
      <c r="S250" s="359"/>
      <c r="T250" s="359"/>
      <c r="U250" s="359"/>
      <c r="V250" s="360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customHeight="1" x14ac:dyDescent="0.25">
      <c r="A251" s="348" t="s">
        <v>144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63"/>
      <c r="AB251" s="63"/>
      <c r="AC251" s="63"/>
    </row>
    <row r="252" spans="1:68" ht="27" customHeight="1" x14ac:dyDescent="0.25">
      <c r="A252" s="60" t="s">
        <v>348</v>
      </c>
      <c r="B252" s="60" t="s">
        <v>349</v>
      </c>
      <c r="C252" s="34">
        <v>4301136051</v>
      </c>
      <c r="D252" s="349">
        <v>4640242180304</v>
      </c>
      <c r="E252" s="349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1"/>
      <c r="R252" s="351"/>
      <c r="S252" s="351"/>
      <c r="T252" s="352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349">
        <v>4640242180236</v>
      </c>
      <c r="E253" s="349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1"/>
      <c r="R253" s="351"/>
      <c r="S253" s="351"/>
      <c r="T253" s="352"/>
      <c r="U253" s="37" t="s">
        <v>46</v>
      </c>
      <c r="V253" s="37" t="s">
        <v>46</v>
      </c>
      <c r="W253" s="38" t="s">
        <v>39</v>
      </c>
      <c r="X253" s="56">
        <v>336</v>
      </c>
      <c r="Y253" s="53">
        <f>IFERROR(IF(X253="","",X253),"")</f>
        <v>336</v>
      </c>
      <c r="Z253" s="39">
        <f>IFERROR(IF(X253="","",X253*0.0155),"")</f>
        <v>5.2080000000000002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1758.96</v>
      </c>
      <c r="BN253" s="78">
        <f>IFERROR(Y253*I253,"0")</f>
        <v>1758.96</v>
      </c>
      <c r="BO253" s="78">
        <f>IFERROR(X253/J253,"0")</f>
        <v>4</v>
      </c>
      <c r="BP253" s="78">
        <f>IFERROR(Y253/J253,"0")</f>
        <v>4</v>
      </c>
    </row>
    <row r="254" spans="1:68" ht="27" customHeight="1" x14ac:dyDescent="0.25">
      <c r="A254" s="60" t="s">
        <v>353</v>
      </c>
      <c r="B254" s="60" t="s">
        <v>354</v>
      </c>
      <c r="C254" s="34">
        <v>4301136052</v>
      </c>
      <c r="D254" s="349">
        <v>4640242180410</v>
      </c>
      <c r="E254" s="349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4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1"/>
      <c r="R254" s="351"/>
      <c r="S254" s="351"/>
      <c r="T254" s="352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2"/>
      <c r="P255" s="358" t="s">
        <v>40</v>
      </c>
      <c r="Q255" s="359"/>
      <c r="R255" s="359"/>
      <c r="S255" s="359"/>
      <c r="T255" s="359"/>
      <c r="U255" s="359"/>
      <c r="V255" s="360"/>
      <c r="W255" s="40" t="s">
        <v>39</v>
      </c>
      <c r="X255" s="41">
        <f>IFERROR(SUM(X252:X254),"0")</f>
        <v>336</v>
      </c>
      <c r="Y255" s="41">
        <f>IFERROR(SUM(Y252:Y254),"0")</f>
        <v>336</v>
      </c>
      <c r="Z255" s="41">
        <f>IFERROR(IF(Z252="",0,Z252),"0")+IFERROR(IF(Z253="",0,Z253),"0")+IFERROR(IF(Z254="",0,Z254),"0")</f>
        <v>5.2080000000000002</v>
      </c>
      <c r="AA255" s="64"/>
      <c r="AB255" s="64"/>
      <c r="AC255" s="64"/>
    </row>
    <row r="256" spans="1:68" x14ac:dyDescent="0.2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2"/>
      <c r="P256" s="358" t="s">
        <v>40</v>
      </c>
      <c r="Q256" s="359"/>
      <c r="R256" s="359"/>
      <c r="S256" s="359"/>
      <c r="T256" s="359"/>
      <c r="U256" s="359"/>
      <c r="V256" s="360"/>
      <c r="W256" s="40" t="s">
        <v>0</v>
      </c>
      <c r="X256" s="41">
        <f>IFERROR(SUMPRODUCT(X252:X254*H252:H254),"0")</f>
        <v>1680</v>
      </c>
      <c r="Y256" s="41">
        <f>IFERROR(SUMPRODUCT(Y252:Y254*H252:H254),"0")</f>
        <v>1680</v>
      </c>
      <c r="Z256" s="40"/>
      <c r="AA256" s="64"/>
      <c r="AB256" s="64"/>
      <c r="AC256" s="64"/>
    </row>
    <row r="257" spans="1:68" ht="14.25" customHeight="1" x14ac:dyDescent="0.25">
      <c r="A257" s="348" t="s">
        <v>150</v>
      </c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63"/>
      <c r="AB257" s="63"/>
      <c r="AC257" s="63"/>
    </row>
    <row r="258" spans="1:68" ht="37.5" customHeight="1" x14ac:dyDescent="0.25">
      <c r="A258" s="60" t="s">
        <v>355</v>
      </c>
      <c r="B258" s="60" t="s">
        <v>356</v>
      </c>
      <c r="C258" s="34">
        <v>4301135504</v>
      </c>
      <c r="D258" s="349">
        <v>4640242181554</v>
      </c>
      <c r="E258" s="349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1"/>
      <c r="R258" s="351"/>
      <c r="S258" s="351"/>
      <c r="T258" s="352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349">
        <v>4640242182087</v>
      </c>
      <c r="E259" s="349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44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351"/>
      <c r="R259" s="351"/>
      <c r="S259" s="351"/>
      <c r="T259" s="352"/>
      <c r="U259" s="37" t="s">
        <v>46</v>
      </c>
      <c r="V259" s="37" t="s">
        <v>46</v>
      </c>
      <c r="W259" s="38" t="s">
        <v>39</v>
      </c>
      <c r="X259" s="56">
        <v>84</v>
      </c>
      <c r="Y259" s="53">
        <f t="shared" si="18"/>
        <v>84</v>
      </c>
      <c r="Z259" s="39">
        <f>IFERROR(IF(X259="","",X259*0.0155),"")</f>
        <v>1.302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439.32000000000005</v>
      </c>
      <c r="BN259" s="78">
        <f t="shared" si="20"/>
        <v>439.32000000000005</v>
      </c>
      <c r="BO259" s="78">
        <f t="shared" si="21"/>
        <v>1</v>
      </c>
      <c r="BP259" s="78">
        <f t="shared" si="22"/>
        <v>1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349">
        <v>4640242181424</v>
      </c>
      <c r="E260" s="349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4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1"/>
      <c r="R260" s="351"/>
      <c r="S260" s="351"/>
      <c r="T260" s="352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349">
        <v>4640242181523</v>
      </c>
      <c r="E261" s="349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1"/>
      <c r="R261" s="351"/>
      <c r="S261" s="351"/>
      <c r="T261" s="352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349">
        <v>4640242181486</v>
      </c>
      <c r="E262" s="349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44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1"/>
      <c r="R262" s="351"/>
      <c r="S262" s="351"/>
      <c r="T262" s="352"/>
      <c r="U262" s="37" t="s">
        <v>46</v>
      </c>
      <c r="V262" s="37" t="s">
        <v>46</v>
      </c>
      <c r="W262" s="38" t="s">
        <v>39</v>
      </c>
      <c r="X262" s="56">
        <v>378</v>
      </c>
      <c r="Y262" s="53">
        <f t="shared" si="18"/>
        <v>378</v>
      </c>
      <c r="Z262" s="39">
        <f t="shared" si="23"/>
        <v>3.5380799999999999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1471.1759999999999</v>
      </c>
      <c r="BN262" s="78">
        <f t="shared" si="20"/>
        <v>1471.1759999999999</v>
      </c>
      <c r="BO262" s="78">
        <f t="shared" si="21"/>
        <v>3</v>
      </c>
      <c r="BP262" s="78">
        <f t="shared" si="22"/>
        <v>3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349">
        <v>4640242181493</v>
      </c>
      <c r="E263" s="349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4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1"/>
      <c r="R263" s="351"/>
      <c r="S263" s="351"/>
      <c r="T263" s="352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349">
        <v>4640242181509</v>
      </c>
      <c r="E264" s="349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1"/>
      <c r="R264" s="351"/>
      <c r="S264" s="351"/>
      <c r="T264" s="352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349">
        <v>4640242181240</v>
      </c>
      <c r="E265" s="349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45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1"/>
      <c r="R265" s="351"/>
      <c r="S265" s="351"/>
      <c r="T265" s="352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349">
        <v>4640242181318</v>
      </c>
      <c r="E266" s="349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1"/>
      <c r="R266" s="351"/>
      <c r="S266" s="351"/>
      <c r="T266" s="352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349">
        <v>4640242181387</v>
      </c>
      <c r="E267" s="349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45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1"/>
      <c r="R267" s="351"/>
      <c r="S267" s="351"/>
      <c r="T267" s="352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2"/>
      <c r="P268" s="358" t="s">
        <v>40</v>
      </c>
      <c r="Q268" s="359"/>
      <c r="R268" s="359"/>
      <c r="S268" s="359"/>
      <c r="T268" s="359"/>
      <c r="U268" s="359"/>
      <c r="V268" s="360"/>
      <c r="W268" s="40" t="s">
        <v>39</v>
      </c>
      <c r="X268" s="41">
        <f>IFERROR(SUM(X258:X267),"0")</f>
        <v>630</v>
      </c>
      <c r="Y268" s="41">
        <f>IFERROR(SUM(Y258:Y267),"0")</f>
        <v>630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7.4440799999999996</v>
      </c>
      <c r="AA268" s="64"/>
      <c r="AB268" s="64"/>
      <c r="AC268" s="64"/>
    </row>
    <row r="269" spans="1:68" x14ac:dyDescent="0.2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2"/>
      <c r="P269" s="358" t="s">
        <v>40</v>
      </c>
      <c r="Q269" s="359"/>
      <c r="R269" s="359"/>
      <c r="S269" s="359"/>
      <c r="T269" s="359"/>
      <c r="U269" s="359"/>
      <c r="V269" s="360"/>
      <c r="W269" s="40" t="s">
        <v>0</v>
      </c>
      <c r="X269" s="41">
        <f>IFERROR(SUMPRODUCT(X258:X267*H258:H267),"0")</f>
        <v>2742.6000000000004</v>
      </c>
      <c r="Y269" s="41">
        <f>IFERROR(SUMPRODUCT(Y258:Y267*H258:H267),"0")</f>
        <v>2742.6000000000004</v>
      </c>
      <c r="Z269" s="40"/>
      <c r="AA269" s="64"/>
      <c r="AB269" s="64"/>
      <c r="AC269" s="64"/>
    </row>
    <row r="270" spans="1:68" ht="15" customHeight="1" x14ac:dyDescent="0.2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457"/>
      <c r="P270" s="454" t="s">
        <v>33</v>
      </c>
      <c r="Q270" s="455"/>
      <c r="R270" s="455"/>
      <c r="S270" s="455"/>
      <c r="T270" s="455"/>
      <c r="U270" s="455"/>
      <c r="V270" s="456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7875</v>
      </c>
      <c r="Y270" s="41">
        <f>IFERROR(Y29+Y35+Y42+Y49+Y57+Y62+Y66+Y71+Y77+Y83+Y88+Y94+Y105+Y111+Y122+Y126+Y130+Y137+Y144+Y151+Y157+Y162+Y167+Y172+Y179+Y184+Y193+Y199+Y206+Y211+Y217+Y223+Y229+Y235+Y239+Y246+Y250+Y256+Y269,"0")</f>
        <v>7875</v>
      </c>
      <c r="Z270" s="40"/>
      <c r="AA270" s="64"/>
      <c r="AB270" s="64"/>
      <c r="AC270" s="64"/>
    </row>
    <row r="271" spans="1:68" x14ac:dyDescent="0.2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457"/>
      <c r="P271" s="454" t="s">
        <v>34</v>
      </c>
      <c r="Q271" s="455"/>
      <c r="R271" s="455"/>
      <c r="S271" s="455"/>
      <c r="T271" s="455"/>
      <c r="U271" s="455"/>
      <c r="V271" s="456"/>
      <c r="W271" s="40" t="s">
        <v>0</v>
      </c>
      <c r="X271" s="41">
        <f>IFERROR(SUM(BM22:BM267),"0")</f>
        <v>8687.9911999999986</v>
      </c>
      <c r="Y271" s="41">
        <f>IFERROR(SUM(BN22:BN267),"0")</f>
        <v>8687.9911999999986</v>
      </c>
      <c r="Z271" s="40"/>
      <c r="AA271" s="64"/>
      <c r="AB271" s="64"/>
      <c r="AC271" s="64"/>
    </row>
    <row r="272" spans="1:68" x14ac:dyDescent="0.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457"/>
      <c r="P272" s="454" t="s">
        <v>35</v>
      </c>
      <c r="Q272" s="455"/>
      <c r="R272" s="455"/>
      <c r="S272" s="455"/>
      <c r="T272" s="455"/>
      <c r="U272" s="455"/>
      <c r="V272" s="456"/>
      <c r="W272" s="40" t="s">
        <v>20</v>
      </c>
      <c r="X272" s="42">
        <f>ROUNDUP(SUM(BO22:BO267),0)</f>
        <v>24</v>
      </c>
      <c r="Y272" s="42">
        <f>ROUNDUP(SUM(BP22:BP267),0)</f>
        <v>24</v>
      </c>
      <c r="Z272" s="40"/>
      <c r="AA272" s="64"/>
      <c r="AB272" s="64"/>
      <c r="AC272" s="64"/>
    </row>
    <row r="273" spans="1:32" x14ac:dyDescent="0.2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457"/>
      <c r="P273" s="454" t="s">
        <v>36</v>
      </c>
      <c r="Q273" s="455"/>
      <c r="R273" s="455"/>
      <c r="S273" s="455"/>
      <c r="T273" s="455"/>
      <c r="U273" s="455"/>
      <c r="V273" s="456"/>
      <c r="W273" s="40" t="s">
        <v>0</v>
      </c>
      <c r="X273" s="41">
        <f>GrossWeightTotal+PalletQtyTotal*25</f>
        <v>9287.9911999999986</v>
      </c>
      <c r="Y273" s="41">
        <f>GrossWeightTotalR+PalletQtyTotalR*25</f>
        <v>9287.9911999999986</v>
      </c>
      <c r="Z273" s="40"/>
      <c r="AA273" s="64"/>
      <c r="AB273" s="64"/>
      <c r="AC273" s="64"/>
    </row>
    <row r="274" spans="1:32" x14ac:dyDescent="0.2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457"/>
      <c r="P274" s="454" t="s">
        <v>37</v>
      </c>
      <c r="Q274" s="455"/>
      <c r="R274" s="455"/>
      <c r="S274" s="455"/>
      <c r="T274" s="455"/>
      <c r="U274" s="455"/>
      <c r="V274" s="456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1946</v>
      </c>
      <c r="Y274" s="41">
        <f>IFERROR(Y28+Y34+Y41+Y48+Y56+Y61+Y65+Y70+Y76+Y82+Y87+Y93+Y104+Y110+Y121+Y125+Y129+Y136+Y143+Y150+Y156+Y161+Y166+Y171+Y178+Y183+Y192+Y198+Y205+Y210+Y216+Y222+Y228+Y234+Y238+Y245+Y249+Y255+Y268,"0")</f>
        <v>1946</v>
      </c>
      <c r="Z274" s="40"/>
      <c r="AA274" s="64"/>
      <c r="AB274" s="64"/>
      <c r="AC274" s="64"/>
    </row>
    <row r="275" spans="1:32" ht="14.25" x14ac:dyDescent="0.2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457"/>
      <c r="P275" s="454" t="s">
        <v>38</v>
      </c>
      <c r="Q275" s="455"/>
      <c r="R275" s="455"/>
      <c r="S275" s="455"/>
      <c r="T275" s="455"/>
      <c r="U275" s="455"/>
      <c r="V275" s="456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29.774639999999998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460" t="s">
        <v>79</v>
      </c>
      <c r="C277" s="460" t="s">
        <v>79</v>
      </c>
      <c r="D277" s="460" t="s">
        <v>45</v>
      </c>
      <c r="E277" s="460" t="s">
        <v>45</v>
      </c>
      <c r="F277" s="460" t="s">
        <v>45</v>
      </c>
      <c r="G277" s="460" t="s">
        <v>45</v>
      </c>
      <c r="H277" s="460" t="s">
        <v>45</v>
      </c>
      <c r="I277" s="460" t="s">
        <v>45</v>
      </c>
      <c r="J277" s="460" t="s">
        <v>45</v>
      </c>
      <c r="K277" s="460" t="s">
        <v>45</v>
      </c>
      <c r="L277" s="460" t="s">
        <v>45</v>
      </c>
      <c r="M277" s="460" t="s">
        <v>45</v>
      </c>
      <c r="N277" s="461"/>
      <c r="O277" s="460" t="s">
        <v>45</v>
      </c>
      <c r="P277" s="460" t="s">
        <v>45</v>
      </c>
      <c r="Q277" s="460" t="s">
        <v>45</v>
      </c>
      <c r="R277" s="460" t="s">
        <v>45</v>
      </c>
      <c r="S277" s="460" t="s">
        <v>45</v>
      </c>
      <c r="T277" s="460" t="s">
        <v>45</v>
      </c>
      <c r="U277" s="460" t="s">
        <v>45</v>
      </c>
      <c r="V277" s="83" t="s">
        <v>268</v>
      </c>
      <c r="W277" s="83" t="s">
        <v>282</v>
      </c>
      <c r="X277" s="460" t="s">
        <v>296</v>
      </c>
      <c r="Y277" s="460" t="s">
        <v>296</v>
      </c>
      <c r="Z277" s="460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458" t="s">
        <v>10</v>
      </c>
      <c r="B278" s="460" t="s">
        <v>79</v>
      </c>
      <c r="C278" s="460" t="s">
        <v>99</v>
      </c>
      <c r="D278" s="460" t="s">
        <v>105</v>
      </c>
      <c r="E278" s="460" t="s">
        <v>116</v>
      </c>
      <c r="F278" s="460" t="s">
        <v>126</v>
      </c>
      <c r="G278" s="460" t="s">
        <v>137</v>
      </c>
      <c r="H278" s="460" t="s">
        <v>158</v>
      </c>
      <c r="I278" s="460" t="s">
        <v>165</v>
      </c>
      <c r="J278" s="460" t="s">
        <v>169</v>
      </c>
      <c r="K278" s="460" t="s">
        <v>177</v>
      </c>
      <c r="L278" s="460" t="s">
        <v>195</v>
      </c>
      <c r="M278" s="460" t="s">
        <v>201</v>
      </c>
      <c r="N278" s="1"/>
      <c r="O278" s="460" t="s">
        <v>226</v>
      </c>
      <c r="P278" s="460" t="s">
        <v>235</v>
      </c>
      <c r="Q278" s="460" t="s">
        <v>243</v>
      </c>
      <c r="R278" s="460" t="s">
        <v>252</v>
      </c>
      <c r="S278" s="460" t="s">
        <v>257</v>
      </c>
      <c r="T278" s="460" t="s">
        <v>261</v>
      </c>
      <c r="U278" s="460" t="s">
        <v>264</v>
      </c>
      <c r="V278" s="460" t="s">
        <v>269</v>
      </c>
      <c r="W278" s="460" t="s">
        <v>283</v>
      </c>
      <c r="X278" s="460" t="s">
        <v>297</v>
      </c>
      <c r="Y278" s="460" t="s">
        <v>312</v>
      </c>
      <c r="Z278" s="460" t="s">
        <v>316</v>
      </c>
      <c r="AA278" s="460" t="s">
        <v>323</v>
      </c>
      <c r="AB278" s="460" t="s">
        <v>328</v>
      </c>
      <c r="AC278" s="460" t="s">
        <v>332</v>
      </c>
      <c r="AD278" s="460" t="s">
        <v>339</v>
      </c>
      <c r="AF278" s="1"/>
    </row>
    <row r="279" spans="1:32" ht="13.5" thickBot="1" x14ac:dyDescent="0.25">
      <c r="A279" s="459"/>
      <c r="B279" s="460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1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  <c r="Y279" s="460"/>
      <c r="Z279" s="460"/>
      <c r="AA279" s="460"/>
      <c r="AB279" s="460"/>
      <c r="AC279" s="460"/>
      <c r="AD279" s="460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806.4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840</v>
      </c>
      <c r="Q280" s="50">
        <f>IFERROR(X147*H147,"0")+IFERROR(X148*H148,"0")+IFERROR(X149*H149,"0")</f>
        <v>126</v>
      </c>
      <c r="R280" s="50">
        <f>IFERROR(X154*H154,"0")+IFERROR(X155*H155,"0")</f>
        <v>0</v>
      </c>
      <c r="S280" s="50">
        <f>IFERROR(X160*H160,"0")</f>
        <v>210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5430.6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7875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