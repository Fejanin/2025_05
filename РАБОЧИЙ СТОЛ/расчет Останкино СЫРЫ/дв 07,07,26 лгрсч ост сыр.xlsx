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"/>
    </mc:Choice>
  </mc:AlternateContent>
  <xr:revisionPtr revIDLastSave="0" documentId="13_ncr:1_{05867C6A-75F0-4ACE-B5AE-BDA5FA5440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Sheet!$A$3:$AB$38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8" i="1" l="1"/>
  <c r="L38" i="1"/>
  <c r="Q37" i="1"/>
  <c r="R37" i="1" s="1"/>
  <c r="L37" i="1"/>
  <c r="Q36" i="1"/>
  <c r="L36" i="1"/>
  <c r="Q35" i="1"/>
  <c r="R35" i="1" s="1"/>
  <c r="L35" i="1"/>
  <c r="Q34" i="1"/>
  <c r="L34" i="1"/>
  <c r="Q33" i="1"/>
  <c r="L33" i="1"/>
  <c r="Q32" i="1"/>
  <c r="L32" i="1"/>
  <c r="Q31" i="1"/>
  <c r="L31" i="1"/>
  <c r="Q30" i="1"/>
  <c r="L30" i="1"/>
  <c r="Q29" i="1"/>
  <c r="R29" i="1" s="1"/>
  <c r="L29" i="1"/>
  <c r="Q28" i="1"/>
  <c r="L28" i="1"/>
  <c r="Q27" i="1"/>
  <c r="L27" i="1"/>
  <c r="Q26" i="1"/>
  <c r="L26" i="1"/>
  <c r="Q25" i="1"/>
  <c r="L25" i="1"/>
  <c r="Q24" i="1"/>
  <c r="L24" i="1"/>
  <c r="Q23" i="1"/>
  <c r="L23" i="1"/>
  <c r="Q22" i="1"/>
  <c r="L22" i="1"/>
  <c r="Q21" i="1"/>
  <c r="L21" i="1"/>
  <c r="Q20" i="1"/>
  <c r="L20" i="1"/>
  <c r="Q19" i="1"/>
  <c r="R19" i="1" s="1"/>
  <c r="L19" i="1"/>
  <c r="Q18" i="1"/>
  <c r="L18" i="1"/>
  <c r="Q17" i="1"/>
  <c r="L17" i="1"/>
  <c r="Q16" i="1"/>
  <c r="L16" i="1"/>
  <c r="Q15" i="1"/>
  <c r="L15" i="1"/>
  <c r="L5" i="1" s="1"/>
  <c r="F15" i="1"/>
  <c r="T15" i="1" s="1"/>
  <c r="Q14" i="1"/>
  <c r="R14" i="1" s="1"/>
  <c r="L14" i="1"/>
  <c r="Q13" i="1"/>
  <c r="L13" i="1"/>
  <c r="Q12" i="1"/>
  <c r="R12" i="1" s="1"/>
  <c r="L12" i="1"/>
  <c r="Q11" i="1"/>
  <c r="R11" i="1" s="1"/>
  <c r="L11" i="1"/>
  <c r="Q10" i="1"/>
  <c r="R10" i="1" s="1"/>
  <c r="L10" i="1"/>
  <c r="Q9" i="1"/>
  <c r="L9" i="1"/>
  <c r="Q8" i="1"/>
  <c r="L8" i="1"/>
  <c r="Q7" i="1"/>
  <c r="T7" i="1" s="1"/>
  <c r="L7" i="1"/>
  <c r="Q6" i="1"/>
  <c r="R6" i="1" s="1"/>
  <c r="L6" i="1"/>
  <c r="Z5" i="1"/>
  <c r="Y5" i="1"/>
  <c r="X5" i="1"/>
  <c r="W5" i="1"/>
  <c r="V5" i="1"/>
  <c r="U5" i="1"/>
  <c r="P5" i="1"/>
  <c r="O5" i="1"/>
  <c r="N5" i="1"/>
  <c r="M5" i="1"/>
  <c r="K5" i="1"/>
  <c r="F5" i="1"/>
  <c r="E5" i="1"/>
  <c r="T10" i="1" l="1"/>
  <c r="AB10" i="1"/>
  <c r="T12" i="1"/>
  <c r="R13" i="1"/>
  <c r="AB13" i="1" s="1"/>
  <c r="T17" i="1"/>
  <c r="R17" i="1"/>
  <c r="AB17" i="1" s="1"/>
  <c r="T19" i="1"/>
  <c r="R20" i="1"/>
  <c r="AB20" i="1" s="1"/>
  <c r="R22" i="1"/>
  <c r="AB22" i="1" s="1"/>
  <c r="T25" i="1"/>
  <c r="AB25" i="1"/>
  <c r="T27" i="1"/>
  <c r="R28" i="1"/>
  <c r="AB28" i="1" s="1"/>
  <c r="AB30" i="1"/>
  <c r="T33" i="1"/>
  <c r="AB33" i="1"/>
  <c r="T35" i="1"/>
  <c r="AB36" i="1"/>
  <c r="AB38" i="1"/>
  <c r="T8" i="1"/>
  <c r="AB9" i="1"/>
  <c r="AB11" i="1"/>
  <c r="T14" i="1"/>
  <c r="AB14" i="1"/>
  <c r="R15" i="1"/>
  <c r="S16" i="1"/>
  <c r="AB16" i="1"/>
  <c r="S18" i="1"/>
  <c r="AB18" i="1"/>
  <c r="T21" i="1"/>
  <c r="R21" i="1"/>
  <c r="AB21" i="1" s="1"/>
  <c r="T23" i="1"/>
  <c r="R24" i="1"/>
  <c r="AB24" i="1" s="1"/>
  <c r="S26" i="1"/>
  <c r="AB26" i="1"/>
  <c r="T29" i="1"/>
  <c r="AB29" i="1"/>
  <c r="T31" i="1"/>
  <c r="R31" i="1"/>
  <c r="S32" i="1"/>
  <c r="AB32" i="1"/>
  <c r="R34" i="1"/>
  <c r="AB34" i="1" s="1"/>
  <c r="T37" i="1"/>
  <c r="AB37" i="1"/>
  <c r="S7" i="1"/>
  <c r="S17" i="1"/>
  <c r="S25" i="1"/>
  <c r="S29" i="1"/>
  <c r="S33" i="1"/>
  <c r="S37" i="1"/>
  <c r="T6" i="1"/>
  <c r="T9" i="1"/>
  <c r="T11" i="1"/>
  <c r="T13" i="1"/>
  <c r="T16" i="1"/>
  <c r="T18" i="1"/>
  <c r="T20" i="1"/>
  <c r="T22" i="1"/>
  <c r="T24" i="1"/>
  <c r="T26" i="1"/>
  <c r="T28" i="1"/>
  <c r="T30" i="1"/>
  <c r="T32" i="1"/>
  <c r="T34" i="1"/>
  <c r="T36" i="1"/>
  <c r="T38" i="1"/>
  <c r="Q5" i="1"/>
  <c r="S34" i="1" l="1"/>
  <c r="S24" i="1"/>
  <c r="S21" i="1"/>
  <c r="S10" i="1"/>
  <c r="AB8" i="1"/>
  <c r="S8" i="1"/>
  <c r="S35" i="1"/>
  <c r="AB35" i="1"/>
  <c r="S27" i="1"/>
  <c r="AB27" i="1"/>
  <c r="S19" i="1"/>
  <c r="AB19" i="1"/>
  <c r="S12" i="1"/>
  <c r="AB12" i="1"/>
  <c r="AB6" i="1"/>
  <c r="R5" i="1"/>
  <c r="S14" i="1"/>
  <c r="AB31" i="1"/>
  <c r="S31" i="1"/>
  <c r="AB23" i="1"/>
  <c r="S23" i="1"/>
  <c r="AB15" i="1"/>
  <c r="S15" i="1"/>
  <c r="S11" i="1"/>
  <c r="S9" i="1"/>
  <c r="S38" i="1"/>
  <c r="S36" i="1"/>
  <c r="S30" i="1"/>
  <c r="S28" i="1"/>
  <c r="S22" i="1"/>
  <c r="S20" i="1"/>
  <c r="S13" i="1"/>
  <c r="S6" i="1"/>
  <c r="AB5" i="1" l="1"/>
</calcChain>
</file>

<file path=xl/sharedStrings.xml><?xml version="1.0" encoding="utf-8"?>
<sst xmlns="http://schemas.openxmlformats.org/spreadsheetml/2006/main" count="115" uniqueCount="70">
  <si>
    <t>в Донецке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</si>
  <si>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</si>
  <si>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</si>
  <si>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</si>
  <si>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</si>
  <si>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</si>
  <si>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</si>
  <si>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</si>
  <si>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</si>
  <si>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</si>
  <si>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</si>
  <si>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</si>
  <si>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</si>
  <si>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</si>
  <si>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</si>
  <si>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</si>
  <si>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</si>
  <si>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</si>
  <si>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</si>
  <si>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</si>
  <si>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</si>
  <si>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</si>
  <si>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</si>
  <si>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29,06,</t>
  </si>
  <si>
    <t>06,07,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</si>
  <si>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</si>
  <si>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</si>
  <si>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</si>
  <si>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</si>
  <si>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</si>
  <si>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</si>
  <si>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</si>
  <si>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</si>
  <si>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</si>
  <si>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нужно увеличить продажи</t>
  </si>
  <si>
    <t>3534796 Масло сливочное ж.82,5% 180г фольга ТМ Папа может(вл 12)  Останкино</t>
  </si>
  <si>
    <t>шт</t>
  </si>
  <si>
    <t>дубль</t>
  </si>
  <si>
    <t>Масло "Папа может" 82,5%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</si>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</sst>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0" borderId="1" xfId="1" applyNumberFormat="1" applyFont="1" applyAlignment="1">
      <alignment horizontal="center" wrapText="1"/>
    </xf>
    <xf numFmtId="0" fontId="0" fillId="0" borderId="0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15" sqref="AJ1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7.140625" customWidth="1"/>
    <col min="10" max="10" width="1" customWidth="1"/>
    <col min="11" max="12" width="7" customWidth="1"/>
    <col min="13" max="14" width="0.42578125" customWidth="1"/>
    <col min="15" max="15" width="8" customWidth="1"/>
    <col min="16" max="18" width="7" customWidth="1"/>
    <col min="19" max="20" width="5" customWidth="1"/>
    <col min="21" max="26" width="6" customWidth="1"/>
    <col min="27" max="27" width="33" customWidth="1"/>
    <col min="28" max="28" width="7" customWidth="1"/>
    <col min="29" max="50" width="3" customWidth="1"/>
  </cols>
  <sheetData>
    <row r="1" spans="1:50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15" t="s">
        <v>0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16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spans="1:5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7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15</v>
      </c>
      <c r="Q3" s="1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21</v>
      </c>
      <c r="AB3" s="1" t="s">
        <v>22</v>
      </c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pans="1:50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23</v>
      </c>
      <c r="P4" s="8" t="s">
        <v>24</v>
      </c>
      <c r="Q4" s="8" t="s">
        <v>25</v>
      </c>
      <c r="R4" s="8"/>
      <c r="S4" s="8"/>
      <c r="T4" s="8"/>
      <c r="U4" s="8" t="s">
        <v>26</v>
      </c>
      <c r="V4" s="8" t="s">
        <v>27</v>
      </c>
      <c r="W4" s="8" t="s">
        <v>28</v>
      </c>
      <c r="X4" s="8" t="s">
        <v>29</v>
      </c>
      <c r="Y4" s="8" t="s">
        <v>30</v>
      </c>
      <c r="Z4" s="8" t="s">
        <v>31</v>
      </c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spans="1:50" x14ac:dyDescent="0.25">
      <c r="A5" s="8"/>
      <c r="B5" s="8"/>
      <c r="C5" s="8"/>
      <c r="D5" s="8"/>
      <c r="E5" s="3">
        <f>SUM(E6:E500)</f>
        <v>2011.7359999999999</v>
      </c>
      <c r="F5" s="3">
        <f>SUM(F6:F500)</f>
        <v>4424.366</v>
      </c>
      <c r="G5" s="6"/>
      <c r="H5" s="8"/>
      <c r="I5" s="8"/>
      <c r="J5" s="8"/>
      <c r="K5" s="3">
        <f t="shared" ref="K5:R5" si="0">SUM(K6:K500)</f>
        <v>2400.9999999999995</v>
      </c>
      <c r="L5" s="3">
        <f t="shared" si="0"/>
        <v>-389.26400000000001</v>
      </c>
      <c r="M5" s="3">
        <f t="shared" si="0"/>
        <v>0</v>
      </c>
      <c r="N5" s="3">
        <f t="shared" si="0"/>
        <v>0</v>
      </c>
      <c r="O5" s="3">
        <f t="shared" si="0"/>
        <v>1660.318</v>
      </c>
      <c r="P5" s="3">
        <f t="shared" si="0"/>
        <v>1266</v>
      </c>
      <c r="Q5" s="3">
        <f t="shared" si="0"/>
        <v>402.34719999999999</v>
      </c>
      <c r="R5" s="3">
        <f t="shared" si="0"/>
        <v>2057.4056</v>
      </c>
      <c r="S5" s="8"/>
      <c r="T5" s="8"/>
      <c r="U5" s="3">
        <f t="shared" ref="U5:Z5" si="1">SUM(U6:U500)</f>
        <v>299.33160000000004</v>
      </c>
      <c r="V5" s="3">
        <f t="shared" si="1"/>
        <v>358.81580000000002</v>
      </c>
      <c r="W5" s="3">
        <f t="shared" si="1"/>
        <v>346.77240000000006</v>
      </c>
      <c r="X5" s="3">
        <f t="shared" si="1"/>
        <v>374.9812</v>
      </c>
      <c r="Y5" s="3">
        <f t="shared" si="1"/>
        <v>347.31840000000011</v>
      </c>
      <c r="Z5" s="3">
        <f t="shared" si="1"/>
        <v>357.3904</v>
      </c>
      <c r="AA5" s="8"/>
      <c r="AB5" s="3">
        <f>SUM(AB6:AB500)</f>
        <v>762.24799999999993</v>
      </c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x14ac:dyDescent="0.25">
      <c r="A6" s="8" t="s">
        <v>32</v>
      </c>
      <c r="B6" s="8" t="s">
        <v>33</v>
      </c>
      <c r="C6" s="8">
        <v>197.75200000000001</v>
      </c>
      <c r="D6" s="8"/>
      <c r="E6" s="8">
        <v>45.415999999999997</v>
      </c>
      <c r="F6" s="8">
        <v>152.33600000000001</v>
      </c>
      <c r="G6" s="6">
        <v>1</v>
      </c>
      <c r="H6" s="8"/>
      <c r="I6" s="8"/>
      <c r="J6" s="8"/>
      <c r="K6" s="8">
        <v>50.5</v>
      </c>
      <c r="L6" s="8">
        <f t="shared" ref="L6:L38" si="2">E6-K6</f>
        <v>-5.0840000000000032</v>
      </c>
      <c r="M6" s="8"/>
      <c r="N6" s="8"/>
      <c r="O6" s="8">
        <v>0</v>
      </c>
      <c r="P6" s="8"/>
      <c r="Q6" s="8">
        <f t="shared" ref="Q6:Q38" si="3">E6/5</f>
        <v>9.0831999999999997</v>
      </c>
      <c r="R6" s="4">
        <f>18*Q6-P6-O6-F6</f>
        <v>11.161599999999993</v>
      </c>
      <c r="S6" s="8">
        <f t="shared" ref="S6:S38" si="4">(F6+O6+P6+R6)/Q6</f>
        <v>18</v>
      </c>
      <c r="T6" s="8">
        <f t="shared" ref="T6:T38" si="5">(F6+O6+P6)/Q6</f>
        <v>16.771181962304034</v>
      </c>
      <c r="U6" s="8">
        <v>6.6611999999999991</v>
      </c>
      <c r="V6" s="8">
        <v>7.8073999999999986</v>
      </c>
      <c r="W6" s="8">
        <v>5.952</v>
      </c>
      <c r="X6" s="8">
        <v>15.026400000000001</v>
      </c>
      <c r="Y6" s="8">
        <v>12.090400000000001</v>
      </c>
      <c r="Z6" s="8">
        <v>19.646799999999999</v>
      </c>
      <c r="AA6" s="8"/>
      <c r="AB6" s="8">
        <f>G6*R6</f>
        <v>11.161599999999993</v>
      </c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x14ac:dyDescent="0.25">
      <c r="A7" s="9" t="s">
        <v>35</v>
      </c>
      <c r="B7" s="9" t="s">
        <v>36</v>
      </c>
      <c r="C7" s="9">
        <v>-1</v>
      </c>
      <c r="D7" s="9"/>
      <c r="E7" s="9"/>
      <c r="F7" s="12">
        <v>-1</v>
      </c>
      <c r="G7" s="10">
        <v>0</v>
      </c>
      <c r="H7" s="9"/>
      <c r="I7" s="9" t="s">
        <v>37</v>
      </c>
      <c r="J7" s="9" t="s">
        <v>38</v>
      </c>
      <c r="K7" s="9"/>
      <c r="L7" s="9">
        <f t="shared" si="2"/>
        <v>0</v>
      </c>
      <c r="M7" s="9"/>
      <c r="N7" s="9"/>
      <c r="O7" s="9">
        <v>0</v>
      </c>
      <c r="P7" s="9"/>
      <c r="Q7" s="9">
        <f t="shared" si="3"/>
        <v>0</v>
      </c>
      <c r="R7" s="11"/>
      <c r="S7" s="9" t="e">
        <f t="shared" si="4"/>
        <v>#DIV/0!</v>
      </c>
      <c r="T7" s="9" t="e">
        <f t="shared" si="5"/>
        <v>#DIV/0!</v>
      </c>
      <c r="U7" s="9">
        <v>0.2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/>
      <c r="AB7" s="9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spans="1:50" x14ac:dyDescent="0.25">
      <c r="A8" s="8" t="s">
        <v>39</v>
      </c>
      <c r="B8" s="8" t="s">
        <v>33</v>
      </c>
      <c r="C8" s="8">
        <v>148.93600000000001</v>
      </c>
      <c r="D8" s="8"/>
      <c r="E8" s="8">
        <v>13.648</v>
      </c>
      <c r="F8" s="8">
        <v>135.28800000000001</v>
      </c>
      <c r="G8" s="6">
        <v>1</v>
      </c>
      <c r="H8" s="8"/>
      <c r="I8" s="8"/>
      <c r="J8" s="8"/>
      <c r="K8" s="8">
        <v>13.6</v>
      </c>
      <c r="L8" s="8">
        <f t="shared" si="2"/>
        <v>4.8000000000000043E-2</v>
      </c>
      <c r="M8" s="8"/>
      <c r="N8" s="8"/>
      <c r="O8" s="8">
        <v>0</v>
      </c>
      <c r="P8" s="8"/>
      <c r="Q8" s="8">
        <f t="shared" si="3"/>
        <v>2.7296</v>
      </c>
      <c r="R8" s="4"/>
      <c r="S8" s="8">
        <f t="shared" si="4"/>
        <v>49.563305978898008</v>
      </c>
      <c r="T8" s="8">
        <f t="shared" si="5"/>
        <v>49.563305978898008</v>
      </c>
      <c r="U8" s="8">
        <v>0</v>
      </c>
      <c r="V8" s="8">
        <v>3.2768000000000002</v>
      </c>
      <c r="W8" s="8">
        <v>4.0444000000000004</v>
      </c>
      <c r="X8" s="8">
        <v>1.9536</v>
      </c>
      <c r="Y8" s="8">
        <v>0</v>
      </c>
      <c r="Z8" s="8">
        <v>0</v>
      </c>
      <c r="AA8" s="14" t="s">
        <v>40</v>
      </c>
      <c r="AB8" s="8">
        <f t="shared" ref="AB8:AB38" si="6">G8*R8</f>
        <v>0</v>
      </c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spans="1:50" x14ac:dyDescent="0.25">
      <c r="A9" s="8" t="s">
        <v>41</v>
      </c>
      <c r="B9" s="8" t="s">
        <v>36</v>
      </c>
      <c r="C9" s="8">
        <v>41</v>
      </c>
      <c r="D9" s="8"/>
      <c r="E9" s="8">
        <v>5</v>
      </c>
      <c r="F9" s="8">
        <v>36</v>
      </c>
      <c r="G9" s="6">
        <v>0.82450000000000001</v>
      </c>
      <c r="H9" s="8">
        <v>180</v>
      </c>
      <c r="I9" s="8"/>
      <c r="J9" s="8"/>
      <c r="K9" s="8">
        <v>5</v>
      </c>
      <c r="L9" s="8">
        <f t="shared" si="2"/>
        <v>0</v>
      </c>
      <c r="M9" s="8"/>
      <c r="N9" s="8"/>
      <c r="O9" s="8">
        <v>32</v>
      </c>
      <c r="P9" s="8"/>
      <c r="Q9" s="8">
        <f t="shared" si="3"/>
        <v>1</v>
      </c>
      <c r="R9" s="4"/>
      <c r="S9" s="8">
        <f t="shared" si="4"/>
        <v>68</v>
      </c>
      <c r="T9" s="8">
        <f t="shared" si="5"/>
        <v>68</v>
      </c>
      <c r="U9" s="8">
        <v>1</v>
      </c>
      <c r="V9" s="8">
        <v>2.4</v>
      </c>
      <c r="W9" s="8">
        <v>0.4</v>
      </c>
      <c r="X9" s="8">
        <v>0.6</v>
      </c>
      <c r="Y9" s="8">
        <v>1.2</v>
      </c>
      <c r="Z9" s="8">
        <v>1.4</v>
      </c>
      <c r="AA9" s="14" t="s">
        <v>40</v>
      </c>
      <c r="AB9" s="8">
        <f t="shared" si="6"/>
        <v>0</v>
      </c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spans="1:50" x14ac:dyDescent="0.25">
      <c r="A10" s="8" t="s">
        <v>42</v>
      </c>
      <c r="B10" s="8" t="s">
        <v>36</v>
      </c>
      <c r="C10" s="8">
        <v>286</v>
      </c>
      <c r="D10" s="8"/>
      <c r="E10" s="8">
        <v>141</v>
      </c>
      <c r="F10" s="8">
        <v>145</v>
      </c>
      <c r="G10" s="6">
        <v>0.372</v>
      </c>
      <c r="H10" s="8">
        <v>180</v>
      </c>
      <c r="I10" s="8"/>
      <c r="J10" s="8"/>
      <c r="K10" s="8">
        <v>148</v>
      </c>
      <c r="L10" s="8">
        <f t="shared" si="2"/>
        <v>-7</v>
      </c>
      <c r="M10" s="8"/>
      <c r="N10" s="8"/>
      <c r="O10" s="8">
        <v>0</v>
      </c>
      <c r="P10" s="8"/>
      <c r="Q10" s="8">
        <f t="shared" si="3"/>
        <v>28.2</v>
      </c>
      <c r="R10" s="4">
        <f t="shared" ref="R10:R12" si="7">18*Q10-P10-O10-F10</f>
        <v>362.59999999999997</v>
      </c>
      <c r="S10" s="8">
        <f t="shared" si="4"/>
        <v>18</v>
      </c>
      <c r="T10" s="8">
        <f t="shared" si="5"/>
        <v>5.1418439716312054</v>
      </c>
      <c r="U10" s="8">
        <v>10.4</v>
      </c>
      <c r="V10" s="8">
        <v>15.4</v>
      </c>
      <c r="W10" s="8">
        <v>20.2</v>
      </c>
      <c r="X10" s="8">
        <v>21.8</v>
      </c>
      <c r="Y10" s="8">
        <v>30.8</v>
      </c>
      <c r="Z10" s="8">
        <v>3.4</v>
      </c>
      <c r="AA10" s="8"/>
      <c r="AB10" s="8">
        <f t="shared" si="6"/>
        <v>134.88719999999998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spans="1:50" x14ac:dyDescent="0.25">
      <c r="A11" s="8" t="s">
        <v>43</v>
      </c>
      <c r="B11" s="8" t="s">
        <v>36</v>
      </c>
      <c r="C11" s="8">
        <v>346</v>
      </c>
      <c r="D11" s="8"/>
      <c r="E11" s="8">
        <v>84</v>
      </c>
      <c r="F11" s="8">
        <v>262</v>
      </c>
      <c r="G11" s="6">
        <v>0.74399999999999999</v>
      </c>
      <c r="H11" s="8">
        <v>180</v>
      </c>
      <c r="I11" s="8"/>
      <c r="J11" s="8"/>
      <c r="K11" s="8">
        <v>86</v>
      </c>
      <c r="L11" s="8">
        <f t="shared" si="2"/>
        <v>-2</v>
      </c>
      <c r="M11" s="8"/>
      <c r="N11" s="8"/>
      <c r="O11" s="8">
        <v>0</v>
      </c>
      <c r="P11" s="8"/>
      <c r="Q11" s="8">
        <f t="shared" si="3"/>
        <v>16.8</v>
      </c>
      <c r="R11" s="4">
        <f t="shared" si="7"/>
        <v>40.400000000000034</v>
      </c>
      <c r="S11" s="8">
        <f t="shared" si="4"/>
        <v>18</v>
      </c>
      <c r="T11" s="8">
        <f t="shared" si="5"/>
        <v>15.595238095238095</v>
      </c>
      <c r="U11" s="8">
        <v>10.8</v>
      </c>
      <c r="V11" s="8">
        <v>8</v>
      </c>
      <c r="W11" s="8">
        <v>19.399999999999999</v>
      </c>
      <c r="X11" s="8">
        <v>20.2</v>
      </c>
      <c r="Y11" s="8">
        <v>30.2</v>
      </c>
      <c r="Z11" s="8">
        <v>17.399999999999999</v>
      </c>
      <c r="AA11" s="8"/>
      <c r="AB11" s="8">
        <f t="shared" si="6"/>
        <v>30.057600000000026</v>
      </c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spans="1:50" x14ac:dyDescent="0.25">
      <c r="A12" s="8" t="s">
        <v>44</v>
      </c>
      <c r="B12" s="8" t="s">
        <v>36</v>
      </c>
      <c r="C12" s="8">
        <v>870</v>
      </c>
      <c r="D12" s="8"/>
      <c r="E12" s="8">
        <v>193</v>
      </c>
      <c r="F12" s="8">
        <v>677</v>
      </c>
      <c r="G12" s="6">
        <v>0.372</v>
      </c>
      <c r="H12" s="8">
        <v>180</v>
      </c>
      <c r="I12" s="8"/>
      <c r="J12" s="8"/>
      <c r="K12" s="8">
        <v>216</v>
      </c>
      <c r="L12" s="8">
        <f t="shared" si="2"/>
        <v>-23</v>
      </c>
      <c r="M12" s="8"/>
      <c r="N12" s="8"/>
      <c r="O12" s="8">
        <v>0</v>
      </c>
      <c r="P12" s="8"/>
      <c r="Q12" s="8">
        <f t="shared" si="3"/>
        <v>38.6</v>
      </c>
      <c r="R12" s="4">
        <f t="shared" si="7"/>
        <v>17.800000000000068</v>
      </c>
      <c r="S12" s="8">
        <f t="shared" si="4"/>
        <v>18</v>
      </c>
      <c r="T12" s="8">
        <f t="shared" si="5"/>
        <v>17.538860103626941</v>
      </c>
      <c r="U12" s="8">
        <v>32.4</v>
      </c>
      <c r="V12" s="8">
        <v>35</v>
      </c>
      <c r="W12" s="8">
        <v>33.6</v>
      </c>
      <c r="X12" s="8">
        <v>70.400000000000006</v>
      </c>
      <c r="Y12" s="8">
        <v>10.4</v>
      </c>
      <c r="Z12" s="8">
        <v>33.6</v>
      </c>
      <c r="AA12" s="8"/>
      <c r="AB12" s="8">
        <f t="shared" si="6"/>
        <v>6.6216000000000257</v>
      </c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spans="1:50" x14ac:dyDescent="0.25">
      <c r="A13" s="8" t="s">
        <v>45</v>
      </c>
      <c r="B13" s="8" t="s">
        <v>36</v>
      </c>
      <c r="C13" s="8">
        <v>45</v>
      </c>
      <c r="D13" s="8">
        <v>288</v>
      </c>
      <c r="E13" s="8">
        <v>293</v>
      </c>
      <c r="F13" s="8">
        <v>40</v>
      </c>
      <c r="G13" s="6">
        <v>0.74399999999999999</v>
      </c>
      <c r="H13" s="8">
        <v>180</v>
      </c>
      <c r="I13" s="8"/>
      <c r="J13" s="8"/>
      <c r="K13" s="8">
        <v>309</v>
      </c>
      <c r="L13" s="8">
        <f t="shared" si="2"/>
        <v>-16</v>
      </c>
      <c r="M13" s="8"/>
      <c r="N13" s="8"/>
      <c r="O13" s="8">
        <v>0</v>
      </c>
      <c r="P13" s="8">
        <v>696</v>
      </c>
      <c r="Q13" s="8">
        <f t="shared" si="3"/>
        <v>58.6</v>
      </c>
      <c r="R13" s="4">
        <f t="shared" ref="R13:R34" si="8">20*Q13-P13-O13-F13</f>
        <v>436</v>
      </c>
      <c r="S13" s="8">
        <f t="shared" si="4"/>
        <v>20</v>
      </c>
      <c r="T13" s="8">
        <f t="shared" si="5"/>
        <v>12.559726962457338</v>
      </c>
      <c r="U13" s="8">
        <v>46.2</v>
      </c>
      <c r="V13" s="8">
        <v>25.4</v>
      </c>
      <c r="W13" s="8">
        <v>41.2</v>
      </c>
      <c r="X13" s="8">
        <v>14.2</v>
      </c>
      <c r="Y13" s="8">
        <v>40.6</v>
      </c>
      <c r="Z13" s="8">
        <v>41.2</v>
      </c>
      <c r="AA13" s="8"/>
      <c r="AB13" s="8">
        <f t="shared" si="6"/>
        <v>324.38400000000001</v>
      </c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spans="1:50" x14ac:dyDescent="0.25">
      <c r="A14" s="8" t="s">
        <v>46</v>
      </c>
      <c r="B14" s="8" t="s">
        <v>36</v>
      </c>
      <c r="C14" s="8">
        <v>90</v>
      </c>
      <c r="D14" s="8">
        <v>32</v>
      </c>
      <c r="E14" s="8">
        <v>48</v>
      </c>
      <c r="F14" s="8">
        <v>74</v>
      </c>
      <c r="G14" s="6">
        <v>0.18</v>
      </c>
      <c r="H14" s="8">
        <v>270</v>
      </c>
      <c r="I14" s="8"/>
      <c r="J14" s="8"/>
      <c r="K14" s="8">
        <v>48</v>
      </c>
      <c r="L14" s="8">
        <f t="shared" si="2"/>
        <v>0</v>
      </c>
      <c r="M14" s="8"/>
      <c r="N14" s="8"/>
      <c r="O14" s="8">
        <v>0</v>
      </c>
      <c r="P14" s="8"/>
      <c r="Q14" s="8">
        <f t="shared" si="3"/>
        <v>9.6</v>
      </c>
      <c r="R14" s="4">
        <f>18*Q14-P14-O14-F14</f>
        <v>98.799999999999983</v>
      </c>
      <c r="S14" s="8">
        <f t="shared" si="4"/>
        <v>18</v>
      </c>
      <c r="T14" s="8">
        <f t="shared" si="5"/>
        <v>7.7083333333333339</v>
      </c>
      <c r="U14" s="8">
        <v>1.8</v>
      </c>
      <c r="V14" s="8">
        <v>5.8</v>
      </c>
      <c r="W14" s="8">
        <v>7.8</v>
      </c>
      <c r="X14" s="8">
        <v>2.8</v>
      </c>
      <c r="Y14" s="8">
        <v>6</v>
      </c>
      <c r="Z14" s="8">
        <v>9.8000000000000007</v>
      </c>
      <c r="AA14" s="8"/>
      <c r="AB14" s="8">
        <f t="shared" si="6"/>
        <v>17.783999999999995</v>
      </c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x14ac:dyDescent="0.25">
      <c r="A15" s="8" t="s">
        <v>38</v>
      </c>
      <c r="B15" s="8" t="s">
        <v>36</v>
      </c>
      <c r="C15" s="8">
        <v>122</v>
      </c>
      <c r="D15" s="8">
        <v>150</v>
      </c>
      <c r="E15" s="8">
        <v>100</v>
      </c>
      <c r="F15" s="12">
        <f>172+F7</f>
        <v>171</v>
      </c>
      <c r="G15" s="6">
        <v>0.18</v>
      </c>
      <c r="H15" s="8">
        <v>120</v>
      </c>
      <c r="I15" s="8"/>
      <c r="J15" s="8"/>
      <c r="K15" s="8">
        <v>119</v>
      </c>
      <c r="L15" s="8">
        <f t="shared" si="2"/>
        <v>-19</v>
      </c>
      <c r="M15" s="8"/>
      <c r="N15" s="8"/>
      <c r="O15" s="8">
        <v>0</v>
      </c>
      <c r="P15" s="8">
        <v>190</v>
      </c>
      <c r="Q15" s="8">
        <f t="shared" si="3"/>
        <v>20</v>
      </c>
      <c r="R15" s="4">
        <f t="shared" si="8"/>
        <v>39</v>
      </c>
      <c r="S15" s="8">
        <f t="shared" si="4"/>
        <v>20</v>
      </c>
      <c r="T15" s="8">
        <f t="shared" si="5"/>
        <v>18.05</v>
      </c>
      <c r="U15" s="8">
        <v>15.4</v>
      </c>
      <c r="V15" s="8">
        <v>15</v>
      </c>
      <c r="W15" s="8">
        <v>21.6</v>
      </c>
      <c r="X15" s="8">
        <v>20</v>
      </c>
      <c r="Y15" s="8">
        <v>13.8</v>
      </c>
      <c r="Z15" s="8">
        <v>6.2</v>
      </c>
      <c r="AA15" s="8"/>
      <c r="AB15" s="8">
        <f t="shared" si="6"/>
        <v>7.02</v>
      </c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spans="1:50" x14ac:dyDescent="0.25">
      <c r="A16" s="8" t="s">
        <v>47</v>
      </c>
      <c r="B16" s="8" t="s">
        <v>36</v>
      </c>
      <c r="C16" s="8">
        <v>1361</v>
      </c>
      <c r="D16" s="8">
        <v>10</v>
      </c>
      <c r="E16" s="8">
        <v>114</v>
      </c>
      <c r="F16" s="8">
        <v>996</v>
      </c>
      <c r="G16" s="6">
        <v>0.18</v>
      </c>
      <c r="H16" s="8">
        <v>120</v>
      </c>
      <c r="I16" s="8"/>
      <c r="J16" s="8"/>
      <c r="K16" s="8">
        <v>148</v>
      </c>
      <c r="L16" s="8">
        <f t="shared" si="2"/>
        <v>-34</v>
      </c>
      <c r="M16" s="8"/>
      <c r="N16" s="8"/>
      <c r="O16" s="8">
        <v>0</v>
      </c>
      <c r="P16" s="8"/>
      <c r="Q16" s="8">
        <f t="shared" si="3"/>
        <v>22.8</v>
      </c>
      <c r="R16" s="4"/>
      <c r="S16" s="8">
        <f t="shared" si="4"/>
        <v>43.684210526315788</v>
      </c>
      <c r="T16" s="8">
        <f t="shared" si="5"/>
        <v>43.684210526315788</v>
      </c>
      <c r="U16" s="8">
        <v>22.8</v>
      </c>
      <c r="V16" s="8">
        <v>20.8</v>
      </c>
      <c r="W16" s="8">
        <v>25</v>
      </c>
      <c r="X16" s="8">
        <v>25</v>
      </c>
      <c r="Y16" s="8">
        <v>19</v>
      </c>
      <c r="Z16" s="8">
        <v>4.8</v>
      </c>
      <c r="AA16" s="14" t="s">
        <v>40</v>
      </c>
      <c r="AB16" s="8">
        <f t="shared" si="6"/>
        <v>0</v>
      </c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</row>
    <row r="17" spans="1:50" x14ac:dyDescent="0.25">
      <c r="A17" s="8" t="s">
        <v>48</v>
      </c>
      <c r="B17" s="8" t="s">
        <v>36</v>
      </c>
      <c r="C17" s="8"/>
      <c r="D17" s="8">
        <v>16</v>
      </c>
      <c r="E17" s="8">
        <v>6</v>
      </c>
      <c r="F17" s="8">
        <v>10</v>
      </c>
      <c r="G17" s="6">
        <v>0.4</v>
      </c>
      <c r="H17" s="8">
        <v>270</v>
      </c>
      <c r="I17" s="8"/>
      <c r="J17" s="8"/>
      <c r="K17" s="8">
        <v>6</v>
      </c>
      <c r="L17" s="8">
        <f t="shared" si="2"/>
        <v>0</v>
      </c>
      <c r="M17" s="8"/>
      <c r="N17" s="8"/>
      <c r="O17" s="8"/>
      <c r="P17" s="8"/>
      <c r="Q17" s="8">
        <f t="shared" si="3"/>
        <v>1.2</v>
      </c>
      <c r="R17" s="4">
        <f t="shared" si="8"/>
        <v>14</v>
      </c>
      <c r="S17" s="8">
        <f t="shared" si="4"/>
        <v>20</v>
      </c>
      <c r="T17" s="8">
        <f t="shared" si="5"/>
        <v>8.3333333333333339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/>
      <c r="AB17" s="8">
        <f t="shared" si="6"/>
        <v>5.6000000000000005</v>
      </c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spans="1:50" x14ac:dyDescent="0.25">
      <c r="A18" s="8" t="s">
        <v>49</v>
      </c>
      <c r="B18" s="8" t="s">
        <v>36</v>
      </c>
      <c r="C18" s="8">
        <v>144</v>
      </c>
      <c r="D18" s="8"/>
      <c r="E18" s="8">
        <v>16</v>
      </c>
      <c r="F18" s="8">
        <v>128</v>
      </c>
      <c r="G18" s="6">
        <v>0.4</v>
      </c>
      <c r="H18" s="8">
        <v>270</v>
      </c>
      <c r="I18" s="8"/>
      <c r="J18" s="8"/>
      <c r="K18" s="8">
        <v>23</v>
      </c>
      <c r="L18" s="8">
        <f t="shared" si="2"/>
        <v>-7</v>
      </c>
      <c r="M18" s="8"/>
      <c r="N18" s="8"/>
      <c r="O18" s="8">
        <v>0</v>
      </c>
      <c r="P18" s="8"/>
      <c r="Q18" s="8">
        <f t="shared" si="3"/>
        <v>3.2</v>
      </c>
      <c r="R18" s="4"/>
      <c r="S18" s="8">
        <f t="shared" si="4"/>
        <v>40</v>
      </c>
      <c r="T18" s="8">
        <f t="shared" si="5"/>
        <v>40</v>
      </c>
      <c r="U18" s="8">
        <v>1.2</v>
      </c>
      <c r="V18" s="8">
        <v>4.5999999999999996</v>
      </c>
      <c r="W18" s="8">
        <v>2.4</v>
      </c>
      <c r="X18" s="8">
        <v>1.8</v>
      </c>
      <c r="Y18" s="8">
        <v>0</v>
      </c>
      <c r="Z18" s="8">
        <v>10</v>
      </c>
      <c r="AA18" s="14" t="s">
        <v>40</v>
      </c>
      <c r="AB18" s="8">
        <f t="shared" si="6"/>
        <v>0</v>
      </c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</row>
    <row r="19" spans="1:50" x14ac:dyDescent="0.25">
      <c r="A19" s="8" t="s">
        <v>50</v>
      </c>
      <c r="B19" s="8" t="s">
        <v>36</v>
      </c>
      <c r="C19" s="8">
        <v>73</v>
      </c>
      <c r="D19" s="8"/>
      <c r="E19" s="8">
        <v>22</v>
      </c>
      <c r="F19" s="8">
        <v>50</v>
      </c>
      <c r="G19" s="6">
        <v>0.18</v>
      </c>
      <c r="H19" s="8"/>
      <c r="I19" s="8"/>
      <c r="J19" s="8"/>
      <c r="K19" s="8">
        <v>24</v>
      </c>
      <c r="L19" s="8">
        <f t="shared" si="2"/>
        <v>-2</v>
      </c>
      <c r="M19" s="8"/>
      <c r="N19" s="8"/>
      <c r="O19" s="8">
        <v>0</v>
      </c>
      <c r="P19" s="8"/>
      <c r="Q19" s="8">
        <f t="shared" si="3"/>
        <v>4.4000000000000004</v>
      </c>
      <c r="R19" s="4">
        <f>18*Q19-P19-O19-F19</f>
        <v>29.200000000000003</v>
      </c>
      <c r="S19" s="8">
        <f t="shared" si="4"/>
        <v>18</v>
      </c>
      <c r="T19" s="8">
        <f t="shared" si="5"/>
        <v>11.363636363636363</v>
      </c>
      <c r="U19" s="8">
        <v>1.6</v>
      </c>
      <c r="V19" s="8">
        <v>1.4</v>
      </c>
      <c r="W19" s="8">
        <v>3.2</v>
      </c>
      <c r="X19" s="8">
        <v>3.8</v>
      </c>
      <c r="Y19" s="8">
        <v>4.8</v>
      </c>
      <c r="Z19" s="8">
        <v>7.4</v>
      </c>
      <c r="AA19" s="8"/>
      <c r="AB19" s="8">
        <f t="shared" si="6"/>
        <v>5.2560000000000002</v>
      </c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spans="1:50" x14ac:dyDescent="0.25">
      <c r="A20" s="8" t="s">
        <v>51</v>
      </c>
      <c r="B20" s="8" t="s">
        <v>36</v>
      </c>
      <c r="C20" s="8">
        <v>50</v>
      </c>
      <c r="D20" s="8">
        <v>64</v>
      </c>
      <c r="E20" s="8">
        <v>36</v>
      </c>
      <c r="F20" s="8">
        <v>78</v>
      </c>
      <c r="G20" s="6">
        <v>0.1</v>
      </c>
      <c r="H20" s="8"/>
      <c r="I20" s="8"/>
      <c r="J20" s="8"/>
      <c r="K20" s="8">
        <v>36</v>
      </c>
      <c r="L20" s="8">
        <f t="shared" si="2"/>
        <v>0</v>
      </c>
      <c r="M20" s="8"/>
      <c r="N20" s="8"/>
      <c r="O20" s="8">
        <v>43</v>
      </c>
      <c r="P20" s="8"/>
      <c r="Q20" s="8">
        <f t="shared" si="3"/>
        <v>7.2</v>
      </c>
      <c r="R20" s="4">
        <f t="shared" si="8"/>
        <v>23</v>
      </c>
      <c r="S20" s="8">
        <f t="shared" si="4"/>
        <v>20</v>
      </c>
      <c r="T20" s="8">
        <f t="shared" si="5"/>
        <v>16.805555555555554</v>
      </c>
      <c r="U20" s="8">
        <v>4.8</v>
      </c>
      <c r="V20" s="8">
        <v>8.8000000000000007</v>
      </c>
      <c r="W20" s="8">
        <v>8.8000000000000007</v>
      </c>
      <c r="X20" s="8">
        <v>6.2</v>
      </c>
      <c r="Y20" s="8">
        <v>0.4</v>
      </c>
      <c r="Z20" s="8">
        <v>9.1999999999999993</v>
      </c>
      <c r="AA20" s="8"/>
      <c r="AB20" s="8">
        <f t="shared" si="6"/>
        <v>2.3000000000000003</v>
      </c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spans="1:50" x14ac:dyDescent="0.25">
      <c r="A21" s="8" t="s">
        <v>52</v>
      </c>
      <c r="B21" s="8" t="s">
        <v>36</v>
      </c>
      <c r="C21" s="8">
        <v>104</v>
      </c>
      <c r="D21" s="8"/>
      <c r="E21" s="8">
        <v>104</v>
      </c>
      <c r="F21" s="8"/>
      <c r="G21" s="6">
        <v>0.18</v>
      </c>
      <c r="H21" s="8">
        <v>150</v>
      </c>
      <c r="I21" s="8"/>
      <c r="J21" s="8"/>
      <c r="K21" s="8">
        <v>177</v>
      </c>
      <c r="L21" s="8">
        <f t="shared" si="2"/>
        <v>-73</v>
      </c>
      <c r="M21" s="8"/>
      <c r="N21" s="8"/>
      <c r="O21" s="8">
        <v>258</v>
      </c>
      <c r="P21" s="8"/>
      <c r="Q21" s="8">
        <f t="shared" si="3"/>
        <v>20.8</v>
      </c>
      <c r="R21" s="4">
        <f t="shared" si="8"/>
        <v>158</v>
      </c>
      <c r="S21" s="8">
        <f t="shared" si="4"/>
        <v>20</v>
      </c>
      <c r="T21" s="8">
        <f t="shared" si="5"/>
        <v>12.403846153846153</v>
      </c>
      <c r="U21" s="8">
        <v>18.2</v>
      </c>
      <c r="V21" s="8">
        <v>23.8</v>
      </c>
      <c r="W21" s="8">
        <v>13</v>
      </c>
      <c r="X21" s="8">
        <v>27.6</v>
      </c>
      <c r="Y21" s="8">
        <v>27.2</v>
      </c>
      <c r="Z21" s="8">
        <v>19</v>
      </c>
      <c r="AA21" s="8"/>
      <c r="AB21" s="8">
        <f t="shared" si="6"/>
        <v>28.439999999999998</v>
      </c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spans="1:50" x14ac:dyDescent="0.25">
      <c r="A22" s="8" t="s">
        <v>53</v>
      </c>
      <c r="B22" s="8" t="s">
        <v>36</v>
      </c>
      <c r="C22" s="8">
        <v>156</v>
      </c>
      <c r="D22" s="8"/>
      <c r="E22" s="8">
        <v>101</v>
      </c>
      <c r="F22" s="8">
        <v>55</v>
      </c>
      <c r="G22" s="6">
        <v>0.18</v>
      </c>
      <c r="H22" s="8">
        <v>150</v>
      </c>
      <c r="I22" s="8"/>
      <c r="J22" s="8"/>
      <c r="K22" s="8">
        <v>130</v>
      </c>
      <c r="L22" s="8">
        <f t="shared" si="2"/>
        <v>-29</v>
      </c>
      <c r="M22" s="8"/>
      <c r="N22" s="8"/>
      <c r="O22" s="8">
        <v>242</v>
      </c>
      <c r="P22" s="8"/>
      <c r="Q22" s="8">
        <f t="shared" si="3"/>
        <v>20.2</v>
      </c>
      <c r="R22" s="4">
        <f t="shared" si="8"/>
        <v>107</v>
      </c>
      <c r="S22" s="8">
        <f t="shared" si="4"/>
        <v>20</v>
      </c>
      <c r="T22" s="8">
        <f t="shared" si="5"/>
        <v>14.702970297029703</v>
      </c>
      <c r="U22" s="8">
        <v>19.600000000000001</v>
      </c>
      <c r="V22" s="8">
        <v>25.6</v>
      </c>
      <c r="W22" s="8">
        <v>19.399999999999999</v>
      </c>
      <c r="X22" s="8">
        <v>23.4</v>
      </c>
      <c r="Y22" s="8">
        <v>29.6</v>
      </c>
      <c r="Z22" s="8">
        <v>23.2</v>
      </c>
      <c r="AA22" s="8"/>
      <c r="AB22" s="8">
        <f t="shared" si="6"/>
        <v>19.259999999999998</v>
      </c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x14ac:dyDescent="0.25">
      <c r="A23" s="8" t="s">
        <v>54</v>
      </c>
      <c r="B23" s="8" t="s">
        <v>36</v>
      </c>
      <c r="C23" s="8">
        <v>224</v>
      </c>
      <c r="D23" s="8"/>
      <c r="E23" s="8">
        <v>37</v>
      </c>
      <c r="F23" s="8">
        <v>186</v>
      </c>
      <c r="G23" s="6">
        <v>0.18</v>
      </c>
      <c r="H23" s="8"/>
      <c r="I23" s="8"/>
      <c r="J23" s="8"/>
      <c r="K23" s="8">
        <v>44</v>
      </c>
      <c r="L23" s="8">
        <f t="shared" si="2"/>
        <v>-7</v>
      </c>
      <c r="M23" s="8"/>
      <c r="N23" s="8"/>
      <c r="O23" s="8">
        <v>0</v>
      </c>
      <c r="P23" s="8"/>
      <c r="Q23" s="8">
        <f t="shared" si="3"/>
        <v>7.4</v>
      </c>
      <c r="R23" s="4"/>
      <c r="S23" s="8">
        <f t="shared" si="4"/>
        <v>25.135135135135133</v>
      </c>
      <c r="T23" s="8">
        <f t="shared" si="5"/>
        <v>25.135135135135133</v>
      </c>
      <c r="U23" s="8">
        <v>9</v>
      </c>
      <c r="V23" s="8">
        <v>8.6</v>
      </c>
      <c r="W23" s="8">
        <v>11.8</v>
      </c>
      <c r="X23" s="8">
        <v>9.6</v>
      </c>
      <c r="Y23" s="8">
        <v>15.2</v>
      </c>
      <c r="Z23" s="8">
        <v>13.2</v>
      </c>
      <c r="AA23" s="13" t="s">
        <v>34</v>
      </c>
      <c r="AB23" s="8">
        <f t="shared" si="6"/>
        <v>0</v>
      </c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spans="1:50" x14ac:dyDescent="0.25">
      <c r="A24" s="8" t="s">
        <v>55</v>
      </c>
      <c r="B24" s="8" t="s">
        <v>36</v>
      </c>
      <c r="C24" s="8">
        <v>90</v>
      </c>
      <c r="D24" s="8"/>
      <c r="E24" s="8">
        <v>47</v>
      </c>
      <c r="F24" s="8">
        <v>43</v>
      </c>
      <c r="G24" s="6">
        <v>0.18</v>
      </c>
      <c r="H24" s="8"/>
      <c r="I24" s="8"/>
      <c r="J24" s="8"/>
      <c r="K24" s="8">
        <v>52</v>
      </c>
      <c r="L24" s="8">
        <f t="shared" si="2"/>
        <v>-5</v>
      </c>
      <c r="M24" s="8"/>
      <c r="N24" s="8"/>
      <c r="O24" s="8">
        <v>0</v>
      </c>
      <c r="P24" s="8">
        <v>70</v>
      </c>
      <c r="Q24" s="8">
        <f t="shared" si="3"/>
        <v>9.4</v>
      </c>
      <c r="R24" s="4">
        <f t="shared" si="8"/>
        <v>75</v>
      </c>
      <c r="S24" s="8">
        <f t="shared" si="4"/>
        <v>20</v>
      </c>
      <c r="T24" s="8">
        <f t="shared" si="5"/>
        <v>12.021276595744681</v>
      </c>
      <c r="U24" s="8">
        <v>7.8</v>
      </c>
      <c r="V24" s="8">
        <v>7.2</v>
      </c>
      <c r="W24" s="8">
        <v>9</v>
      </c>
      <c r="X24" s="8">
        <v>9.8000000000000007</v>
      </c>
      <c r="Y24" s="8">
        <v>6.2</v>
      </c>
      <c r="Z24" s="8">
        <v>0</v>
      </c>
      <c r="AA24" s="8"/>
      <c r="AB24" s="8">
        <f t="shared" si="6"/>
        <v>13.5</v>
      </c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spans="1:50" x14ac:dyDescent="0.25">
      <c r="A25" s="8" t="s">
        <v>56</v>
      </c>
      <c r="B25" s="8" t="s">
        <v>36</v>
      </c>
      <c r="C25" s="8">
        <v>11</v>
      </c>
      <c r="D25" s="8">
        <v>220</v>
      </c>
      <c r="E25" s="8">
        <v>78</v>
      </c>
      <c r="F25" s="8">
        <v>153</v>
      </c>
      <c r="G25" s="6">
        <v>0.18</v>
      </c>
      <c r="H25" s="8">
        <v>150</v>
      </c>
      <c r="I25" s="8"/>
      <c r="J25" s="8"/>
      <c r="K25" s="8">
        <v>142</v>
      </c>
      <c r="L25" s="8">
        <f t="shared" si="2"/>
        <v>-64</v>
      </c>
      <c r="M25" s="8"/>
      <c r="N25" s="8"/>
      <c r="O25" s="8">
        <v>175</v>
      </c>
      <c r="P25" s="8">
        <v>310</v>
      </c>
      <c r="Q25" s="8">
        <f t="shared" si="3"/>
        <v>15.6</v>
      </c>
      <c r="R25" s="4"/>
      <c r="S25" s="8">
        <f t="shared" si="4"/>
        <v>40.897435897435898</v>
      </c>
      <c r="T25" s="8">
        <f t="shared" si="5"/>
        <v>40.897435897435898</v>
      </c>
      <c r="U25" s="8">
        <v>24.6</v>
      </c>
      <c r="V25" s="8">
        <v>27.4</v>
      </c>
      <c r="W25" s="8">
        <v>25.4</v>
      </c>
      <c r="X25" s="8">
        <v>20.8</v>
      </c>
      <c r="Y25" s="8">
        <v>24.6</v>
      </c>
      <c r="Z25" s="8">
        <v>32.4</v>
      </c>
      <c r="AA25" s="8"/>
      <c r="AB25" s="8">
        <f t="shared" si="6"/>
        <v>0</v>
      </c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spans="1:50" x14ac:dyDescent="0.25">
      <c r="A26" s="8" t="s">
        <v>57</v>
      </c>
      <c r="B26" s="8" t="s">
        <v>36</v>
      </c>
      <c r="C26" s="8">
        <v>395</v>
      </c>
      <c r="D26" s="8"/>
      <c r="E26" s="8">
        <v>62</v>
      </c>
      <c r="F26" s="8">
        <v>333</v>
      </c>
      <c r="G26" s="6">
        <v>0.18</v>
      </c>
      <c r="H26" s="8">
        <v>120</v>
      </c>
      <c r="I26" s="8"/>
      <c r="J26" s="8"/>
      <c r="K26" s="8">
        <v>69</v>
      </c>
      <c r="L26" s="8">
        <f t="shared" si="2"/>
        <v>-7</v>
      </c>
      <c r="M26" s="8"/>
      <c r="N26" s="8"/>
      <c r="O26" s="8">
        <v>0</v>
      </c>
      <c r="P26" s="8"/>
      <c r="Q26" s="8">
        <f t="shared" si="3"/>
        <v>12.4</v>
      </c>
      <c r="R26" s="4"/>
      <c r="S26" s="8">
        <f t="shared" si="4"/>
        <v>26.85483870967742</v>
      </c>
      <c r="T26" s="8">
        <f t="shared" si="5"/>
        <v>26.85483870967742</v>
      </c>
      <c r="U26" s="8">
        <v>10.8</v>
      </c>
      <c r="V26" s="8">
        <v>11.6</v>
      </c>
      <c r="W26" s="8">
        <v>9.4</v>
      </c>
      <c r="X26" s="8">
        <v>13.2</v>
      </c>
      <c r="Y26" s="8">
        <v>12.8</v>
      </c>
      <c r="Z26" s="8">
        <v>4.8</v>
      </c>
      <c r="AA26" s="14" t="s">
        <v>40</v>
      </c>
      <c r="AB26" s="8">
        <f t="shared" si="6"/>
        <v>0</v>
      </c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spans="1:50" x14ac:dyDescent="0.25">
      <c r="A27" s="8" t="s">
        <v>58</v>
      </c>
      <c r="B27" s="8" t="s">
        <v>33</v>
      </c>
      <c r="C27" s="8">
        <v>36.363999999999997</v>
      </c>
      <c r="D27" s="8"/>
      <c r="E27" s="8"/>
      <c r="F27" s="8">
        <v>36.363999999999997</v>
      </c>
      <c r="G27" s="6">
        <v>1</v>
      </c>
      <c r="H27" s="8"/>
      <c r="I27" s="8"/>
      <c r="J27" s="8"/>
      <c r="K27" s="8"/>
      <c r="L27" s="8">
        <f t="shared" si="2"/>
        <v>0</v>
      </c>
      <c r="M27" s="8"/>
      <c r="N27" s="8"/>
      <c r="O27" s="8">
        <v>0</v>
      </c>
      <c r="P27" s="8"/>
      <c r="Q27" s="8">
        <f t="shared" si="3"/>
        <v>0</v>
      </c>
      <c r="R27" s="4"/>
      <c r="S27" s="8" t="e">
        <f t="shared" si="4"/>
        <v>#DIV/0!</v>
      </c>
      <c r="T27" s="8" t="e">
        <f t="shared" si="5"/>
        <v>#DIV/0!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14" t="s">
        <v>40</v>
      </c>
      <c r="AB27" s="8">
        <f t="shared" si="6"/>
        <v>0</v>
      </c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spans="1:50" x14ac:dyDescent="0.25">
      <c r="A28" s="8" t="s">
        <v>59</v>
      </c>
      <c r="B28" s="8" t="s">
        <v>36</v>
      </c>
      <c r="C28" s="8">
        <v>78</v>
      </c>
      <c r="D28" s="8">
        <v>32</v>
      </c>
      <c r="E28" s="8">
        <v>46</v>
      </c>
      <c r="F28" s="8">
        <v>64</v>
      </c>
      <c r="G28" s="6">
        <v>0.14000000000000001</v>
      </c>
      <c r="H28" s="8"/>
      <c r="I28" s="8"/>
      <c r="J28" s="8"/>
      <c r="K28" s="8">
        <v>47</v>
      </c>
      <c r="L28" s="8">
        <f t="shared" si="2"/>
        <v>-1</v>
      </c>
      <c r="M28" s="8"/>
      <c r="N28" s="8"/>
      <c r="O28" s="8">
        <v>11</v>
      </c>
      <c r="P28" s="8"/>
      <c r="Q28" s="8">
        <f t="shared" si="3"/>
        <v>9.1999999999999993</v>
      </c>
      <c r="R28" s="4">
        <f t="shared" si="8"/>
        <v>109</v>
      </c>
      <c r="S28" s="8">
        <f t="shared" si="4"/>
        <v>20</v>
      </c>
      <c r="T28" s="8">
        <f t="shared" si="5"/>
        <v>8.1521739130434785</v>
      </c>
      <c r="U28" s="8">
        <v>3</v>
      </c>
      <c r="V28" s="8">
        <v>6.2</v>
      </c>
      <c r="W28" s="8">
        <v>7</v>
      </c>
      <c r="X28" s="8">
        <v>7</v>
      </c>
      <c r="Y28" s="8">
        <v>3.6</v>
      </c>
      <c r="Z28" s="8">
        <v>1</v>
      </c>
      <c r="AA28" s="8"/>
      <c r="AB28" s="8">
        <f t="shared" si="6"/>
        <v>15.260000000000002</v>
      </c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spans="1:50" x14ac:dyDescent="0.25">
      <c r="A29" s="8" t="s">
        <v>60</v>
      </c>
      <c r="B29" s="8" t="s">
        <v>36</v>
      </c>
      <c r="C29" s="8">
        <v>132</v>
      </c>
      <c r="D29" s="8"/>
      <c r="E29" s="8">
        <v>49</v>
      </c>
      <c r="F29" s="8">
        <v>83</v>
      </c>
      <c r="G29" s="6">
        <v>0.18</v>
      </c>
      <c r="H29" s="8"/>
      <c r="I29" s="8"/>
      <c r="J29" s="8"/>
      <c r="K29" s="8">
        <v>49</v>
      </c>
      <c r="L29" s="8">
        <f t="shared" si="2"/>
        <v>0</v>
      </c>
      <c r="M29" s="8"/>
      <c r="N29" s="8"/>
      <c r="O29" s="8">
        <v>19</v>
      </c>
      <c r="P29" s="8"/>
      <c r="Q29" s="8">
        <f t="shared" si="3"/>
        <v>9.8000000000000007</v>
      </c>
      <c r="R29" s="4">
        <f>18*Q29-P29-O29-F29</f>
        <v>74.400000000000006</v>
      </c>
      <c r="S29" s="8">
        <f t="shared" si="4"/>
        <v>18</v>
      </c>
      <c r="T29" s="8">
        <f t="shared" si="5"/>
        <v>10.408163265306122</v>
      </c>
      <c r="U29" s="8">
        <v>2.2000000000000002</v>
      </c>
      <c r="V29" s="8">
        <v>8.1999999999999993</v>
      </c>
      <c r="W29" s="8">
        <v>8.6</v>
      </c>
      <c r="X29" s="8">
        <v>7.4</v>
      </c>
      <c r="Y29" s="8">
        <v>5.8</v>
      </c>
      <c r="Z29" s="8">
        <v>12.4</v>
      </c>
      <c r="AA29" s="8"/>
      <c r="AB29" s="8">
        <f t="shared" si="6"/>
        <v>13.392000000000001</v>
      </c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spans="1:50" x14ac:dyDescent="0.25">
      <c r="A30" s="8" t="s">
        <v>61</v>
      </c>
      <c r="B30" s="8" t="s">
        <v>33</v>
      </c>
      <c r="C30" s="8">
        <v>46.095999999999997</v>
      </c>
      <c r="D30" s="8"/>
      <c r="E30" s="8">
        <v>9.7040000000000006</v>
      </c>
      <c r="F30" s="8">
        <v>36.392000000000003</v>
      </c>
      <c r="G30" s="6">
        <v>1</v>
      </c>
      <c r="H30" s="8"/>
      <c r="I30" s="8"/>
      <c r="J30" s="8"/>
      <c r="K30" s="8">
        <v>8.6</v>
      </c>
      <c r="L30" s="8">
        <f t="shared" si="2"/>
        <v>1.104000000000001</v>
      </c>
      <c r="M30" s="8"/>
      <c r="N30" s="8"/>
      <c r="O30" s="8">
        <v>0</v>
      </c>
      <c r="P30" s="8"/>
      <c r="Q30" s="8">
        <f t="shared" si="3"/>
        <v>1.9408000000000001</v>
      </c>
      <c r="R30" s="4"/>
      <c r="S30" s="8">
        <f t="shared" si="4"/>
        <v>18.75103050288541</v>
      </c>
      <c r="T30" s="8">
        <f t="shared" si="5"/>
        <v>18.75103050288541</v>
      </c>
      <c r="U30" s="8">
        <v>0.68840000000000001</v>
      </c>
      <c r="V30" s="8">
        <v>1.3236000000000001</v>
      </c>
      <c r="W30" s="8">
        <v>0.68840000000000001</v>
      </c>
      <c r="X30" s="8">
        <v>2.0207999999999999</v>
      </c>
      <c r="Y30" s="8">
        <v>1.988</v>
      </c>
      <c r="Z30" s="8">
        <v>1.3355999999999999</v>
      </c>
      <c r="AA30" s="8"/>
      <c r="AB30" s="8">
        <f t="shared" si="6"/>
        <v>0</v>
      </c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x14ac:dyDescent="0.25">
      <c r="A31" s="8" t="s">
        <v>62</v>
      </c>
      <c r="B31" s="8" t="s">
        <v>33</v>
      </c>
      <c r="C31" s="8">
        <v>48.148000000000003</v>
      </c>
      <c r="D31" s="8"/>
      <c r="E31" s="8">
        <v>23.141999999999999</v>
      </c>
      <c r="F31" s="8">
        <v>25.006</v>
      </c>
      <c r="G31" s="6">
        <v>1</v>
      </c>
      <c r="H31" s="8"/>
      <c r="I31" s="8"/>
      <c r="J31" s="8"/>
      <c r="K31" s="8">
        <v>24.2</v>
      </c>
      <c r="L31" s="8">
        <f t="shared" si="2"/>
        <v>-1.0579999999999998</v>
      </c>
      <c r="M31" s="8"/>
      <c r="N31" s="8"/>
      <c r="O31" s="8">
        <v>14.318</v>
      </c>
      <c r="P31" s="8"/>
      <c r="Q31" s="8">
        <f t="shared" si="3"/>
        <v>4.6284000000000001</v>
      </c>
      <c r="R31" s="4">
        <f t="shared" si="8"/>
        <v>53.244</v>
      </c>
      <c r="S31" s="8">
        <f t="shared" si="4"/>
        <v>20</v>
      </c>
      <c r="T31" s="8">
        <f t="shared" si="5"/>
        <v>8.496240601503759</v>
      </c>
      <c r="U31" s="8">
        <v>2.6107999999999998</v>
      </c>
      <c r="V31" s="8">
        <v>3.7959999999999998</v>
      </c>
      <c r="W31" s="8">
        <v>0</v>
      </c>
      <c r="X31" s="8">
        <v>0.71599999999999997</v>
      </c>
      <c r="Y31" s="8">
        <v>3.9607999999999999</v>
      </c>
      <c r="Z31" s="8">
        <v>3.8763999999999998</v>
      </c>
      <c r="AA31" s="8"/>
      <c r="AB31" s="8">
        <f t="shared" si="6"/>
        <v>53.244</v>
      </c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spans="1:50" x14ac:dyDescent="0.25">
      <c r="A32" s="8" t="s">
        <v>63</v>
      </c>
      <c r="B32" s="8" t="s">
        <v>36</v>
      </c>
      <c r="C32" s="8"/>
      <c r="D32" s="8"/>
      <c r="E32" s="8">
        <v>-1</v>
      </c>
      <c r="F32" s="8"/>
      <c r="G32" s="6">
        <v>0.1</v>
      </c>
      <c r="H32" s="8"/>
      <c r="I32" s="8"/>
      <c r="J32" s="8"/>
      <c r="K32" s="8">
        <v>50</v>
      </c>
      <c r="L32" s="8">
        <f t="shared" si="2"/>
        <v>-51</v>
      </c>
      <c r="M32" s="8"/>
      <c r="N32" s="8"/>
      <c r="O32" s="8">
        <v>178</v>
      </c>
      <c r="P32" s="8"/>
      <c r="Q32" s="8">
        <f t="shared" si="3"/>
        <v>-0.2</v>
      </c>
      <c r="R32" s="4"/>
      <c r="S32" s="8">
        <f t="shared" si="4"/>
        <v>-890</v>
      </c>
      <c r="T32" s="8">
        <f t="shared" si="5"/>
        <v>-890</v>
      </c>
      <c r="U32" s="8">
        <v>8.1999999999999993</v>
      </c>
      <c r="V32" s="8">
        <v>13.6</v>
      </c>
      <c r="W32" s="8">
        <v>8.1999999999999993</v>
      </c>
      <c r="X32" s="8">
        <v>4.8</v>
      </c>
      <c r="Y32" s="8">
        <v>-0.4</v>
      </c>
      <c r="Z32" s="8">
        <v>8.6</v>
      </c>
      <c r="AA32" s="8"/>
      <c r="AB32" s="8">
        <f t="shared" si="6"/>
        <v>0</v>
      </c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spans="1:50" x14ac:dyDescent="0.25">
      <c r="A33" s="8" t="s">
        <v>64</v>
      </c>
      <c r="B33" s="8" t="s">
        <v>36</v>
      </c>
      <c r="C33" s="8">
        <v>55</v>
      </c>
      <c r="D33" s="8"/>
      <c r="E33" s="8">
        <v>42</v>
      </c>
      <c r="F33" s="8">
        <v>12</v>
      </c>
      <c r="G33" s="6">
        <v>0.1</v>
      </c>
      <c r="H33" s="8"/>
      <c r="I33" s="8"/>
      <c r="J33" s="8"/>
      <c r="K33" s="8">
        <v>43</v>
      </c>
      <c r="L33" s="8">
        <f t="shared" si="2"/>
        <v>-1</v>
      </c>
      <c r="M33" s="8"/>
      <c r="N33" s="8"/>
      <c r="O33" s="8">
        <v>183</v>
      </c>
      <c r="P33" s="8"/>
      <c r="Q33" s="8">
        <f t="shared" si="3"/>
        <v>8.4</v>
      </c>
      <c r="R33" s="4"/>
      <c r="S33" s="8">
        <f t="shared" si="4"/>
        <v>23.214285714285712</v>
      </c>
      <c r="T33" s="8">
        <f t="shared" si="5"/>
        <v>23.214285714285712</v>
      </c>
      <c r="U33" s="8">
        <v>7</v>
      </c>
      <c r="V33" s="8">
        <v>14.2</v>
      </c>
      <c r="W33" s="8">
        <v>7.6</v>
      </c>
      <c r="X33" s="8">
        <v>7.4</v>
      </c>
      <c r="Y33" s="8">
        <v>2.6</v>
      </c>
      <c r="Z33" s="8">
        <v>12.6</v>
      </c>
      <c r="AA33" s="8"/>
      <c r="AB33" s="8">
        <f t="shared" si="6"/>
        <v>0</v>
      </c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spans="1:50" x14ac:dyDescent="0.25">
      <c r="A34" s="8" t="s">
        <v>65</v>
      </c>
      <c r="B34" s="8" t="s">
        <v>36</v>
      </c>
      <c r="C34" s="8">
        <v>44</v>
      </c>
      <c r="D34" s="8">
        <v>32</v>
      </c>
      <c r="E34" s="8">
        <v>50</v>
      </c>
      <c r="F34" s="8">
        <v>26</v>
      </c>
      <c r="G34" s="6">
        <v>0.14000000000000001</v>
      </c>
      <c r="H34" s="8"/>
      <c r="I34" s="8"/>
      <c r="J34" s="8"/>
      <c r="K34" s="8">
        <v>51</v>
      </c>
      <c r="L34" s="8">
        <f t="shared" si="2"/>
        <v>-1</v>
      </c>
      <c r="M34" s="8"/>
      <c r="N34" s="8"/>
      <c r="O34" s="8">
        <v>46</v>
      </c>
      <c r="P34" s="8"/>
      <c r="Q34" s="8">
        <f t="shared" si="3"/>
        <v>10</v>
      </c>
      <c r="R34" s="4">
        <f t="shared" si="8"/>
        <v>128</v>
      </c>
      <c r="S34" s="8">
        <f t="shared" si="4"/>
        <v>20</v>
      </c>
      <c r="T34" s="8">
        <f t="shared" si="5"/>
        <v>7.2</v>
      </c>
      <c r="U34" s="8">
        <v>4</v>
      </c>
      <c r="V34" s="8">
        <v>8</v>
      </c>
      <c r="W34" s="8">
        <v>7.6</v>
      </c>
      <c r="X34" s="8">
        <v>7.4</v>
      </c>
      <c r="Y34" s="8">
        <v>7.4</v>
      </c>
      <c r="Z34" s="8">
        <v>5.2</v>
      </c>
      <c r="AA34" s="8"/>
      <c r="AB34" s="8">
        <f t="shared" si="6"/>
        <v>17.920000000000002</v>
      </c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spans="1:50" x14ac:dyDescent="0.25">
      <c r="A35" s="8" t="s">
        <v>66</v>
      </c>
      <c r="B35" s="8" t="s">
        <v>36</v>
      </c>
      <c r="C35" s="8">
        <v>215</v>
      </c>
      <c r="D35" s="8"/>
      <c r="E35" s="8">
        <v>140</v>
      </c>
      <c r="F35" s="8">
        <v>75</v>
      </c>
      <c r="G35" s="6">
        <v>0.2</v>
      </c>
      <c r="H35" s="8"/>
      <c r="I35" s="8"/>
      <c r="J35" s="8"/>
      <c r="K35" s="8">
        <v>151</v>
      </c>
      <c r="L35" s="8">
        <f t="shared" si="2"/>
        <v>-11</v>
      </c>
      <c r="M35" s="8"/>
      <c r="N35" s="8"/>
      <c r="O35" s="8">
        <v>282</v>
      </c>
      <c r="P35" s="8"/>
      <c r="Q35" s="8">
        <f t="shared" si="3"/>
        <v>28</v>
      </c>
      <c r="R35" s="4">
        <f>18*Q35-P35-O35-F35</f>
        <v>147</v>
      </c>
      <c r="S35" s="8">
        <f t="shared" si="4"/>
        <v>18</v>
      </c>
      <c r="T35" s="8">
        <f t="shared" si="5"/>
        <v>12.75</v>
      </c>
      <c r="U35" s="8">
        <v>12</v>
      </c>
      <c r="V35" s="8">
        <v>24.6</v>
      </c>
      <c r="W35" s="8">
        <v>13.2</v>
      </c>
      <c r="X35" s="8">
        <v>8.1999999999999993</v>
      </c>
      <c r="Y35" s="8">
        <v>13.8</v>
      </c>
      <c r="Z35" s="8">
        <v>31.8</v>
      </c>
      <c r="AA35" s="8"/>
      <c r="AB35" s="8">
        <f t="shared" si="6"/>
        <v>29.400000000000002</v>
      </c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spans="1:50" x14ac:dyDescent="0.25">
      <c r="A36" s="8" t="s">
        <v>67</v>
      </c>
      <c r="B36" s="8" t="s">
        <v>33</v>
      </c>
      <c r="C36" s="8">
        <v>117.154</v>
      </c>
      <c r="D36" s="8"/>
      <c r="E36" s="8">
        <v>18.826000000000001</v>
      </c>
      <c r="F36" s="8">
        <v>98.328000000000003</v>
      </c>
      <c r="G36" s="6">
        <v>1</v>
      </c>
      <c r="H36" s="8"/>
      <c r="I36" s="8"/>
      <c r="J36" s="8"/>
      <c r="K36" s="8">
        <v>24.1</v>
      </c>
      <c r="L36" s="8">
        <f t="shared" si="2"/>
        <v>-5.2740000000000009</v>
      </c>
      <c r="M36" s="8"/>
      <c r="N36" s="8"/>
      <c r="O36" s="8">
        <v>0</v>
      </c>
      <c r="P36" s="8"/>
      <c r="Q36" s="8">
        <f t="shared" si="3"/>
        <v>3.7652000000000001</v>
      </c>
      <c r="R36" s="4"/>
      <c r="S36" s="8">
        <f t="shared" si="4"/>
        <v>26.114947413152024</v>
      </c>
      <c r="T36" s="8">
        <f t="shared" si="5"/>
        <v>26.114947413152024</v>
      </c>
      <c r="U36" s="8">
        <v>3.7711999999999999</v>
      </c>
      <c r="V36" s="8">
        <v>3.0623999999999998</v>
      </c>
      <c r="W36" s="8">
        <v>3.6636000000000002</v>
      </c>
      <c r="X36" s="8">
        <v>7.4767999999999999</v>
      </c>
      <c r="Y36" s="8">
        <v>1.1104000000000001</v>
      </c>
      <c r="Z36" s="8">
        <v>3.8748</v>
      </c>
      <c r="AA36" s="14" t="s">
        <v>40</v>
      </c>
      <c r="AB36" s="8">
        <f t="shared" si="6"/>
        <v>0</v>
      </c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spans="1:50" x14ac:dyDescent="0.25">
      <c r="A37" s="8" t="s">
        <v>68</v>
      </c>
      <c r="B37" s="8" t="s">
        <v>36</v>
      </c>
      <c r="C37" s="8">
        <v>94</v>
      </c>
      <c r="D37" s="8"/>
      <c r="E37" s="8">
        <v>88</v>
      </c>
      <c r="F37" s="8">
        <v>6</v>
      </c>
      <c r="G37" s="6">
        <v>0.2</v>
      </c>
      <c r="H37" s="8"/>
      <c r="I37" s="8"/>
      <c r="J37" s="8"/>
      <c r="K37" s="8">
        <v>107</v>
      </c>
      <c r="L37" s="8">
        <f t="shared" si="2"/>
        <v>-19</v>
      </c>
      <c r="M37" s="8"/>
      <c r="N37" s="8"/>
      <c r="O37" s="8">
        <v>177</v>
      </c>
      <c r="P37" s="8"/>
      <c r="Q37" s="8">
        <f t="shared" si="3"/>
        <v>17.600000000000001</v>
      </c>
      <c r="R37" s="4">
        <f>18*Q37-P37-O37-F37</f>
        <v>133.80000000000001</v>
      </c>
      <c r="S37" s="8">
        <f t="shared" si="4"/>
        <v>18</v>
      </c>
      <c r="T37" s="8">
        <f t="shared" si="5"/>
        <v>10.397727272727272</v>
      </c>
      <c r="U37" s="8">
        <v>10.6</v>
      </c>
      <c r="V37" s="8">
        <v>15</v>
      </c>
      <c r="W37" s="8">
        <v>8.6</v>
      </c>
      <c r="X37" s="8">
        <v>12.2</v>
      </c>
      <c r="Y37" s="8">
        <v>14</v>
      </c>
      <c r="Z37" s="8">
        <v>18.600000000000001</v>
      </c>
      <c r="AA37" s="8"/>
      <c r="AB37" s="8">
        <f t="shared" si="6"/>
        <v>26.760000000000005</v>
      </c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spans="1:50" x14ac:dyDescent="0.25">
      <c r="A38" s="8" t="s">
        <v>69</v>
      </c>
      <c r="B38" s="8" t="s">
        <v>33</v>
      </c>
      <c r="C38" s="8">
        <v>238.65199999999999</v>
      </c>
      <c r="D38" s="8"/>
      <c r="E38" s="8"/>
      <c r="F38" s="8">
        <v>238.65199999999999</v>
      </c>
      <c r="G38" s="6">
        <v>1</v>
      </c>
      <c r="H38" s="8"/>
      <c r="I38" s="8"/>
      <c r="J38" s="8"/>
      <c r="K38" s="8"/>
      <c r="L38" s="8">
        <f t="shared" si="2"/>
        <v>0</v>
      </c>
      <c r="M38" s="8"/>
      <c r="N38" s="8"/>
      <c r="O38" s="8">
        <v>0</v>
      </c>
      <c r="P38" s="8"/>
      <c r="Q38" s="8">
        <f t="shared" si="3"/>
        <v>0</v>
      </c>
      <c r="R38" s="4"/>
      <c r="S38" s="8" t="e">
        <f t="shared" si="4"/>
        <v>#DIV/0!</v>
      </c>
      <c r="T38" s="8" t="e">
        <f t="shared" si="5"/>
        <v>#DIV/0!</v>
      </c>
      <c r="U38" s="8">
        <v>0</v>
      </c>
      <c r="V38" s="8">
        <v>2.9496000000000002</v>
      </c>
      <c r="W38" s="8">
        <v>2.4E-2</v>
      </c>
      <c r="X38" s="8">
        <v>2.1876000000000002</v>
      </c>
      <c r="Y38" s="8">
        <v>8.5687999999999995</v>
      </c>
      <c r="Z38" s="8">
        <v>1.4568000000000001</v>
      </c>
      <c r="AA38" s="14" t="s">
        <v>40</v>
      </c>
      <c r="AB38" s="8">
        <f t="shared" si="6"/>
        <v>0</v>
      </c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x14ac:dyDescent="0.25">
      <c r="A39" s="8"/>
      <c r="B39" s="8"/>
      <c r="C39" s="8"/>
      <c r="D39" s="8"/>
      <c r="E39" s="8"/>
      <c r="F39" s="8"/>
      <c r="G39" s="6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spans="1:50" x14ac:dyDescent="0.25">
      <c r="A40" s="8"/>
      <c r="B40" s="8"/>
      <c r="C40" s="8"/>
      <c r="D40" s="8"/>
      <c r="E40" s="8"/>
      <c r="F40" s="8"/>
      <c r="G40" s="6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spans="1:50" x14ac:dyDescent="0.25">
      <c r="A41" s="8"/>
      <c r="B41" s="8"/>
      <c r="C41" s="8"/>
      <c r="D41" s="8"/>
      <c r="E41" s="8"/>
      <c r="F41" s="8"/>
      <c r="G41" s="6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spans="1:50" x14ac:dyDescent="0.25">
      <c r="A42" s="8"/>
      <c r="B42" s="8"/>
      <c r="C42" s="8"/>
      <c r="D42" s="8"/>
      <c r="E42" s="8"/>
      <c r="F42" s="8"/>
      <c r="G42" s="6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  <row r="43" spans="1:50" x14ac:dyDescent="0.25">
      <c r="A43" s="8"/>
      <c r="B43" s="8"/>
      <c r="C43" s="8"/>
      <c r="D43" s="8"/>
      <c r="E43" s="8"/>
      <c r="F43" s="8"/>
      <c r="G43" s="6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</row>
    <row r="44" spans="1:50" x14ac:dyDescent="0.25">
      <c r="A44" s="8"/>
      <c r="B44" s="8"/>
      <c r="C44" s="8"/>
      <c r="D44" s="8"/>
      <c r="E44" s="8"/>
      <c r="F44" s="8"/>
      <c r="G44" s="6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spans="1:50" x14ac:dyDescent="0.25">
      <c r="A45" s="8"/>
      <c r="B45" s="8"/>
      <c r="C45" s="8"/>
      <c r="D45" s="8"/>
      <c r="E45" s="8"/>
      <c r="F45" s="8"/>
      <c r="G45" s="6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 x14ac:dyDescent="0.25">
      <c r="A46" s="8"/>
      <c r="B46" s="8"/>
      <c r="C46" s="8"/>
      <c r="D46" s="8"/>
      <c r="E46" s="8"/>
      <c r="F46" s="8"/>
      <c r="G46" s="6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x14ac:dyDescent="0.25">
      <c r="A47" s="8"/>
      <c r="B47" s="8"/>
      <c r="C47" s="8"/>
      <c r="D47" s="8"/>
      <c r="E47" s="8"/>
      <c r="F47" s="8"/>
      <c r="G47" s="6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spans="1:50" x14ac:dyDescent="0.25">
      <c r="A48" s="8"/>
      <c r="B48" s="8"/>
      <c r="C48" s="8"/>
      <c r="D48" s="8"/>
      <c r="E48" s="8"/>
      <c r="F48" s="8"/>
      <c r="G48" s="6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spans="1:50" x14ac:dyDescent="0.25">
      <c r="A49" s="8"/>
      <c r="B49" s="8"/>
      <c r="C49" s="8"/>
      <c r="D49" s="8"/>
      <c r="E49" s="8"/>
      <c r="F49" s="8"/>
      <c r="G49" s="6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spans="1:50" x14ac:dyDescent="0.25">
      <c r="A50" s="8"/>
      <c r="B50" s="8"/>
      <c r="C50" s="8"/>
      <c r="D50" s="8"/>
      <c r="E50" s="8"/>
      <c r="F50" s="8"/>
      <c r="G50" s="6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spans="1:50" x14ac:dyDescent="0.25">
      <c r="A51" s="8"/>
      <c r="B51" s="8"/>
      <c r="C51" s="8"/>
      <c r="D51" s="8"/>
      <c r="E51" s="8"/>
      <c r="F51" s="8"/>
      <c r="G51" s="6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spans="1:50" x14ac:dyDescent="0.25">
      <c r="A52" s="8"/>
      <c r="B52" s="8"/>
      <c r="C52" s="8"/>
      <c r="D52" s="8"/>
      <c r="E52" s="8"/>
      <c r="F52" s="8"/>
      <c r="G52" s="6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  <row r="53" spans="1:50" x14ac:dyDescent="0.25">
      <c r="A53" s="8"/>
      <c r="B53" s="8"/>
      <c r="C53" s="8"/>
      <c r="D53" s="8"/>
      <c r="E53" s="8"/>
      <c r="F53" s="8"/>
      <c r="G53" s="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</row>
    <row r="54" spans="1:50" x14ac:dyDescent="0.25">
      <c r="A54" s="8"/>
      <c r="B54" s="8"/>
      <c r="C54" s="8"/>
      <c r="D54" s="8"/>
      <c r="E54" s="8"/>
      <c r="F54" s="8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spans="1:50" x14ac:dyDescent="0.25">
      <c r="A55" s="8"/>
      <c r="B55" s="8"/>
      <c r="C55" s="8"/>
      <c r="D55" s="8"/>
      <c r="E55" s="8"/>
      <c r="F55" s="8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spans="1:50" x14ac:dyDescent="0.25">
      <c r="A56" s="8"/>
      <c r="B56" s="8"/>
      <c r="C56" s="8"/>
      <c r="D56" s="8"/>
      <c r="E56" s="8"/>
      <c r="F56" s="8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spans="1:50" x14ac:dyDescent="0.25">
      <c r="A57" s="8"/>
      <c r="B57" s="8"/>
      <c r="C57" s="8"/>
      <c r="D57" s="8"/>
      <c r="E57" s="8"/>
      <c r="F57" s="8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spans="1:50" x14ac:dyDescent="0.25">
      <c r="A58" s="8"/>
      <c r="B58" s="8"/>
      <c r="C58" s="8"/>
      <c r="D58" s="8"/>
      <c r="E58" s="8"/>
      <c r="F58" s="8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</row>
    <row r="59" spans="1:50" x14ac:dyDescent="0.25">
      <c r="A59" s="8"/>
      <c r="B59" s="8"/>
      <c r="C59" s="8"/>
      <c r="D59" s="8"/>
      <c r="E59" s="8"/>
      <c r="F59" s="8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spans="1:50" x14ac:dyDescent="0.25">
      <c r="A60" s="8"/>
      <c r="B60" s="8"/>
      <c r="C60" s="8"/>
      <c r="D60" s="8"/>
      <c r="E60" s="8"/>
      <c r="F60" s="8"/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</row>
    <row r="61" spans="1:50" x14ac:dyDescent="0.25">
      <c r="A61" s="8"/>
      <c r="B61" s="8"/>
      <c r="C61" s="8"/>
      <c r="D61" s="8"/>
      <c r="E61" s="8"/>
      <c r="F61" s="8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</row>
    <row r="62" spans="1:50" x14ac:dyDescent="0.25">
      <c r="A62" s="8"/>
      <c r="B62" s="8"/>
      <c r="C62" s="8"/>
      <c r="D62" s="8"/>
      <c r="E62" s="8"/>
      <c r="F62" s="8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</row>
    <row r="63" spans="1:50" x14ac:dyDescent="0.25">
      <c r="A63" s="8"/>
      <c r="B63" s="8"/>
      <c r="C63" s="8"/>
      <c r="D63" s="8"/>
      <c r="E63" s="8"/>
      <c r="F63" s="8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</row>
    <row r="64" spans="1:50" x14ac:dyDescent="0.25">
      <c r="A64" s="8"/>
      <c r="B64" s="8"/>
      <c r="C64" s="8"/>
      <c r="D64" s="8"/>
      <c r="E64" s="8"/>
      <c r="F64" s="8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spans="1:50" x14ac:dyDescent="0.25">
      <c r="A65" s="8"/>
      <c r="B65" s="8"/>
      <c r="C65" s="8"/>
      <c r="D65" s="8"/>
      <c r="E65" s="8"/>
      <c r="F65" s="8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spans="1:50" x14ac:dyDescent="0.25">
      <c r="A66" s="8"/>
      <c r="B66" s="8"/>
      <c r="C66" s="8"/>
      <c r="D66" s="8"/>
      <c r="E66" s="8"/>
      <c r="F66" s="8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</row>
    <row r="67" spans="1:50" x14ac:dyDescent="0.25">
      <c r="A67" s="8"/>
      <c r="B67" s="8"/>
      <c r="C67" s="8"/>
      <c r="D67" s="8"/>
      <c r="E67" s="8"/>
      <c r="F67" s="8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</row>
    <row r="68" spans="1:50" x14ac:dyDescent="0.25">
      <c r="A68" s="8"/>
      <c r="B68" s="8"/>
      <c r="C68" s="8"/>
      <c r="D68" s="8"/>
      <c r="E68" s="8"/>
      <c r="F68" s="8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spans="1:50" x14ac:dyDescent="0.25">
      <c r="A69" s="8"/>
      <c r="B69" s="8"/>
      <c r="C69" s="8"/>
      <c r="D69" s="8"/>
      <c r="E69" s="8"/>
      <c r="F69" s="8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</row>
    <row r="70" spans="1:50" x14ac:dyDescent="0.25">
      <c r="A70" s="8"/>
      <c r="B70" s="8"/>
      <c r="C70" s="8"/>
      <c r="D70" s="8"/>
      <c r="E70" s="8"/>
      <c r="F70" s="8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</row>
    <row r="71" spans="1:50" x14ac:dyDescent="0.25">
      <c r="A71" s="8"/>
      <c r="B71" s="8"/>
      <c r="C71" s="8"/>
      <c r="D71" s="8"/>
      <c r="E71" s="8"/>
      <c r="F71" s="8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spans="1:50" x14ac:dyDescent="0.25">
      <c r="A72" s="8"/>
      <c r="B72" s="8"/>
      <c r="C72" s="8"/>
      <c r="D72" s="8"/>
      <c r="E72" s="8"/>
      <c r="F72" s="8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spans="1:50" x14ac:dyDescent="0.25">
      <c r="A73" s="8"/>
      <c r="B73" s="8"/>
      <c r="C73" s="8"/>
      <c r="D73" s="8"/>
      <c r="E73" s="8"/>
      <c r="F73" s="8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</row>
    <row r="74" spans="1:50" x14ac:dyDescent="0.25">
      <c r="A74" s="8"/>
      <c r="B74" s="8"/>
      <c r="C74" s="8"/>
      <c r="D74" s="8"/>
      <c r="E74" s="8"/>
      <c r="F74" s="8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spans="1:50" x14ac:dyDescent="0.25">
      <c r="A75" s="8"/>
      <c r="B75" s="8"/>
      <c r="C75" s="8"/>
      <c r="D75" s="8"/>
      <c r="E75" s="8"/>
      <c r="F75" s="8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spans="1:50" x14ac:dyDescent="0.25">
      <c r="A76" s="8"/>
      <c r="B76" s="8"/>
      <c r="C76" s="8"/>
      <c r="D76" s="8"/>
      <c r="E76" s="8"/>
      <c r="F76" s="8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</row>
    <row r="77" spans="1:50" x14ac:dyDescent="0.25">
      <c r="A77" s="8"/>
      <c r="B77" s="8"/>
      <c r="C77" s="8"/>
      <c r="D77" s="8"/>
      <c r="E77" s="8"/>
      <c r="F77" s="8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</row>
    <row r="78" spans="1:50" x14ac:dyDescent="0.25">
      <c r="A78" s="8"/>
      <c r="B78" s="8"/>
      <c r="C78" s="8"/>
      <c r="D78" s="8"/>
      <c r="E78" s="8"/>
      <c r="F78" s="8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</row>
    <row r="79" spans="1:50" x14ac:dyDescent="0.25">
      <c r="A79" s="8"/>
      <c r="B79" s="8"/>
      <c r="C79" s="8"/>
      <c r="D79" s="8"/>
      <c r="E79" s="8"/>
      <c r="F79" s="8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</row>
    <row r="80" spans="1:50" x14ac:dyDescent="0.25">
      <c r="A80" s="8"/>
      <c r="B80" s="8"/>
      <c r="C80" s="8"/>
      <c r="D80" s="8"/>
      <c r="E80" s="8"/>
      <c r="F80" s="8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</row>
    <row r="81" spans="1:50" x14ac:dyDescent="0.25">
      <c r="A81" s="8"/>
      <c r="B81" s="8"/>
      <c r="C81" s="8"/>
      <c r="D81" s="8"/>
      <c r="E81" s="8"/>
      <c r="F81" s="8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  <row r="82" spans="1:50" x14ac:dyDescent="0.25">
      <c r="A82" s="8"/>
      <c r="B82" s="8"/>
      <c r="C82" s="8"/>
      <c r="D82" s="8"/>
      <c r="E82" s="8"/>
      <c r="F82" s="8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</row>
    <row r="83" spans="1:50" x14ac:dyDescent="0.25">
      <c r="A83" s="8"/>
      <c r="B83" s="8"/>
      <c r="C83" s="8"/>
      <c r="D83" s="8"/>
      <c r="E83" s="8"/>
      <c r="F83" s="8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spans="1:50" x14ac:dyDescent="0.25">
      <c r="A84" s="8"/>
      <c r="B84" s="8"/>
      <c r="C84" s="8"/>
      <c r="D84" s="8"/>
      <c r="E84" s="8"/>
      <c r="F84" s="8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</row>
    <row r="85" spans="1:50" x14ac:dyDescent="0.25">
      <c r="A85" s="8"/>
      <c r="B85" s="8"/>
      <c r="C85" s="8"/>
      <c r="D85" s="8"/>
      <c r="E85" s="8"/>
      <c r="F85" s="8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spans="1:50" x14ac:dyDescent="0.25">
      <c r="A86" s="8"/>
      <c r="B86" s="8"/>
      <c r="C86" s="8"/>
      <c r="D86" s="8"/>
      <c r="E86" s="8"/>
      <c r="F86" s="8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spans="1:50" x14ac:dyDescent="0.25">
      <c r="A87" s="8"/>
      <c r="B87" s="8"/>
      <c r="C87" s="8"/>
      <c r="D87" s="8"/>
      <c r="E87" s="8"/>
      <c r="F87" s="8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spans="1:50" x14ac:dyDescent="0.25">
      <c r="A88" s="8"/>
      <c r="B88" s="8"/>
      <c r="C88" s="8"/>
      <c r="D88" s="8"/>
      <c r="E88" s="8"/>
      <c r="F88" s="8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</row>
    <row r="89" spans="1:50" x14ac:dyDescent="0.25">
      <c r="A89" s="8"/>
      <c r="B89" s="8"/>
      <c r="C89" s="8"/>
      <c r="D89" s="8"/>
      <c r="E89" s="8"/>
      <c r="F89" s="8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spans="1:50" x14ac:dyDescent="0.25">
      <c r="A90" s="8"/>
      <c r="B90" s="8"/>
      <c r="C90" s="8"/>
      <c r="D90" s="8"/>
      <c r="E90" s="8"/>
      <c r="F90" s="8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</row>
    <row r="91" spans="1:50" x14ac:dyDescent="0.25">
      <c r="A91" s="8"/>
      <c r="B91" s="8"/>
      <c r="C91" s="8"/>
      <c r="D91" s="8"/>
      <c r="E91" s="8"/>
      <c r="F91" s="8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</row>
    <row r="92" spans="1:50" x14ac:dyDescent="0.25">
      <c r="A92" s="8"/>
      <c r="B92" s="8"/>
      <c r="C92" s="8"/>
      <c r="D92" s="8"/>
      <c r="E92" s="8"/>
      <c r="F92" s="8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</row>
    <row r="93" spans="1:50" x14ac:dyDescent="0.25">
      <c r="A93" s="8"/>
      <c r="B93" s="8"/>
      <c r="C93" s="8"/>
      <c r="D93" s="8"/>
      <c r="E93" s="8"/>
      <c r="F93" s="8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</row>
    <row r="94" spans="1:50" x14ac:dyDescent="0.25">
      <c r="A94" s="8"/>
      <c r="B94" s="8"/>
      <c r="C94" s="8"/>
      <c r="D94" s="8"/>
      <c r="E94" s="8"/>
      <c r="F94" s="8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spans="1:50" x14ac:dyDescent="0.25">
      <c r="A95" s="8"/>
      <c r="B95" s="8"/>
      <c r="C95" s="8"/>
      <c r="D95" s="8"/>
      <c r="E95" s="8"/>
      <c r="F95" s="8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spans="1:50" x14ac:dyDescent="0.25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spans="1:50" x14ac:dyDescent="0.25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spans="1:50" x14ac:dyDescent="0.25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</row>
    <row r="99" spans="1:50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spans="1:50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</row>
    <row r="101" spans="1:50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</row>
    <row r="102" spans="1:50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</row>
    <row r="103" spans="1:50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</row>
    <row r="104" spans="1:50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</row>
    <row r="105" spans="1:50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</row>
    <row r="106" spans="1:50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</row>
    <row r="107" spans="1:50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</row>
    <row r="108" spans="1:50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spans="1:50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</row>
    <row r="110" spans="1:50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</row>
    <row r="111" spans="1:50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</row>
    <row r="112" spans="1:50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</row>
    <row r="113" spans="1:50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</row>
    <row r="114" spans="1:50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</row>
    <row r="115" spans="1:50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</row>
    <row r="116" spans="1:50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</row>
    <row r="117" spans="1:50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</row>
    <row r="118" spans="1:50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</row>
    <row r="119" spans="1:50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</row>
    <row r="120" spans="1:50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</row>
    <row r="121" spans="1:50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</row>
    <row r="122" spans="1:50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</row>
    <row r="123" spans="1:50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</row>
    <row r="124" spans="1:50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</row>
    <row r="125" spans="1:50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spans="1:50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spans="1:50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spans="1:50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</row>
    <row r="129" spans="1:50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spans="1:50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spans="1:50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spans="1:50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spans="1:50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spans="1:50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spans="1:50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spans="1:50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spans="1:50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spans="1:50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spans="1:50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spans="1:50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spans="1:50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spans="1:50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spans="1:50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spans="1:50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spans="1:50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spans="1:50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 spans="1:50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spans="1:50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</row>
    <row r="149" spans="1:50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spans="1:50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 spans="1:50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spans="1:50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 spans="1:50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spans="1:50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 spans="1:50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spans="1:50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 spans="1:50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spans="1:50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 spans="1:50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spans="1:50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 spans="1:50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spans="1:50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 spans="1:50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spans="1:50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 spans="1:50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spans="1:50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 spans="1:50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spans="1:50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 spans="1:50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</row>
    <row r="170" spans="1:50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</row>
    <row r="171" spans="1:50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</row>
    <row r="172" spans="1:50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</row>
    <row r="173" spans="1:50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</row>
    <row r="174" spans="1:50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</row>
    <row r="175" spans="1:50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</row>
    <row r="176" spans="1:50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</row>
    <row r="177" spans="1:50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</row>
    <row r="178" spans="1:50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</row>
    <row r="179" spans="1:50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</row>
    <row r="180" spans="1:50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spans="1:50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spans="1:50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</row>
    <row r="183" spans="1:50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spans="1:50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</row>
    <row r="185" spans="1:50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</row>
    <row r="186" spans="1:50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</row>
    <row r="187" spans="1:50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</row>
    <row r="188" spans="1:50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 spans="1:50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spans="1:50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 spans="1:50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spans="1:50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</row>
    <row r="193" spans="1:50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spans="1:50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</row>
    <row r="195" spans="1:50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</row>
    <row r="196" spans="1:50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</row>
    <row r="197" spans="1:50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</row>
    <row r="198" spans="1:50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</row>
    <row r="199" spans="1:50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</row>
    <row r="200" spans="1:50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</row>
    <row r="201" spans="1:50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</row>
    <row r="202" spans="1:50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</row>
    <row r="203" spans="1:50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</row>
    <row r="204" spans="1:50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</row>
    <row r="205" spans="1:50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</row>
    <row r="206" spans="1:50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</row>
    <row r="207" spans="1:50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</row>
    <row r="208" spans="1:50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</row>
    <row r="209" spans="1:50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</row>
    <row r="210" spans="1:50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</row>
    <row r="211" spans="1:50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</row>
    <row r="212" spans="1:50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</row>
    <row r="213" spans="1:50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</row>
    <row r="214" spans="1:50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</row>
    <row r="215" spans="1:50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</row>
    <row r="216" spans="1:50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</row>
    <row r="217" spans="1:50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</row>
    <row r="218" spans="1:50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</row>
    <row r="219" spans="1:50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</row>
    <row r="220" spans="1:50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</row>
    <row r="221" spans="1:50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</row>
    <row r="222" spans="1:50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</row>
    <row r="223" spans="1:50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</row>
    <row r="224" spans="1:50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</row>
    <row r="225" spans="1:50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</row>
    <row r="226" spans="1:50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</row>
    <row r="227" spans="1:50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</row>
    <row r="228" spans="1:50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</row>
    <row r="229" spans="1:50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</row>
    <row r="230" spans="1:50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</row>
    <row r="231" spans="1:50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</row>
    <row r="232" spans="1:50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</row>
    <row r="233" spans="1:50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</row>
    <row r="234" spans="1:50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</row>
    <row r="235" spans="1:50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</row>
    <row r="236" spans="1:50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</row>
    <row r="237" spans="1:50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</row>
    <row r="238" spans="1:50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</row>
    <row r="239" spans="1:50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</row>
    <row r="240" spans="1:50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</row>
    <row r="241" spans="1:50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</row>
    <row r="242" spans="1:50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</row>
    <row r="243" spans="1:50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</row>
    <row r="244" spans="1:50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</row>
    <row r="245" spans="1:50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</row>
    <row r="246" spans="1:50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</row>
    <row r="247" spans="1:50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</row>
    <row r="248" spans="1:50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</row>
    <row r="249" spans="1:50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</row>
    <row r="250" spans="1:50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</row>
    <row r="251" spans="1:50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</row>
    <row r="252" spans="1:50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</row>
    <row r="253" spans="1:50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</row>
    <row r="254" spans="1:50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</row>
    <row r="255" spans="1:50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</row>
    <row r="256" spans="1:50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</row>
    <row r="257" spans="1:50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</row>
    <row r="258" spans="1:50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</row>
    <row r="259" spans="1:50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</row>
    <row r="260" spans="1:50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</row>
    <row r="261" spans="1:50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</row>
    <row r="262" spans="1:50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</row>
    <row r="263" spans="1:50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</row>
    <row r="264" spans="1:50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</row>
    <row r="265" spans="1:50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</row>
    <row r="266" spans="1:50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</row>
    <row r="267" spans="1:50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</row>
    <row r="268" spans="1:50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</row>
    <row r="269" spans="1:50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</row>
    <row r="270" spans="1:50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</row>
    <row r="271" spans="1:50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</row>
    <row r="272" spans="1:50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</row>
    <row r="273" spans="1:50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</row>
    <row r="274" spans="1:50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</row>
    <row r="275" spans="1:50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</row>
    <row r="276" spans="1:50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</row>
    <row r="277" spans="1:50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</row>
    <row r="278" spans="1:50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</row>
    <row r="279" spans="1:50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</row>
    <row r="280" spans="1:50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</row>
    <row r="281" spans="1:50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</row>
    <row r="282" spans="1:50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</row>
    <row r="283" spans="1:50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</row>
    <row r="284" spans="1:50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</row>
    <row r="285" spans="1:50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</row>
    <row r="286" spans="1:50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</row>
    <row r="287" spans="1:50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</row>
    <row r="288" spans="1:50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</row>
    <row r="289" spans="1:50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</row>
    <row r="290" spans="1:50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</row>
    <row r="291" spans="1:50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</row>
    <row r="292" spans="1:50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</row>
    <row r="293" spans="1:50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</row>
    <row r="294" spans="1:50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</row>
    <row r="295" spans="1:50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</row>
    <row r="296" spans="1:50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</row>
    <row r="297" spans="1:50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</row>
    <row r="298" spans="1:50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</row>
    <row r="299" spans="1:50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</row>
    <row r="300" spans="1:50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</row>
    <row r="301" spans="1:50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</row>
    <row r="302" spans="1:50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</row>
    <row r="303" spans="1:50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</row>
    <row r="304" spans="1:50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</row>
    <row r="305" spans="1:50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</row>
    <row r="306" spans="1:50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</row>
    <row r="307" spans="1:50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</row>
    <row r="308" spans="1:50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</row>
    <row r="309" spans="1:50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</row>
    <row r="310" spans="1:50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</row>
    <row r="311" spans="1:50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</row>
    <row r="312" spans="1:50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</row>
    <row r="313" spans="1:50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</row>
    <row r="314" spans="1:50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</row>
    <row r="315" spans="1:50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</row>
    <row r="316" spans="1:50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</row>
    <row r="317" spans="1:50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</row>
    <row r="318" spans="1:50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</row>
    <row r="319" spans="1:50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</row>
    <row r="320" spans="1:50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</row>
    <row r="321" spans="1:50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</row>
    <row r="322" spans="1:50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</row>
    <row r="323" spans="1:50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</row>
    <row r="324" spans="1:50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</row>
    <row r="325" spans="1:50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</row>
    <row r="326" spans="1:50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</row>
    <row r="327" spans="1:50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</row>
    <row r="328" spans="1:50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</row>
    <row r="329" spans="1:50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</row>
    <row r="330" spans="1:50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</row>
    <row r="331" spans="1:50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</row>
    <row r="332" spans="1:50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</row>
    <row r="333" spans="1:50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</row>
    <row r="334" spans="1:50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</row>
    <row r="335" spans="1:50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</row>
    <row r="336" spans="1:50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</row>
    <row r="337" spans="1:50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</row>
    <row r="338" spans="1:50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</row>
    <row r="339" spans="1:50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</row>
    <row r="340" spans="1:50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</row>
    <row r="341" spans="1:50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</row>
    <row r="342" spans="1:50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</row>
    <row r="343" spans="1:50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</row>
    <row r="344" spans="1:50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</row>
    <row r="345" spans="1:50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</row>
    <row r="346" spans="1:50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</row>
    <row r="347" spans="1:50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</row>
    <row r="348" spans="1:50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</row>
    <row r="349" spans="1:50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</row>
    <row r="350" spans="1:50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</row>
    <row r="351" spans="1:50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</row>
    <row r="352" spans="1:50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</row>
    <row r="353" spans="1:50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</row>
    <row r="354" spans="1:50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</row>
    <row r="355" spans="1:50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</row>
    <row r="356" spans="1:50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</row>
    <row r="357" spans="1:50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</row>
    <row r="358" spans="1:50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</row>
    <row r="359" spans="1:50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</row>
    <row r="360" spans="1:50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</row>
    <row r="361" spans="1:50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</row>
    <row r="362" spans="1:50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</row>
    <row r="363" spans="1:50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</row>
    <row r="364" spans="1:50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</row>
    <row r="365" spans="1:50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</row>
    <row r="366" spans="1:50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</row>
    <row r="367" spans="1:50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</row>
    <row r="368" spans="1:50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</row>
    <row r="369" spans="1:50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</row>
    <row r="370" spans="1:50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</row>
    <row r="371" spans="1:50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</row>
    <row r="372" spans="1:50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</row>
    <row r="373" spans="1:50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</row>
    <row r="374" spans="1:50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</row>
    <row r="375" spans="1:50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</row>
    <row r="376" spans="1:50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</row>
    <row r="377" spans="1:50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</row>
    <row r="378" spans="1:50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</row>
    <row r="379" spans="1:50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</row>
    <row r="380" spans="1:50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</row>
    <row r="381" spans="1:50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</row>
    <row r="382" spans="1:50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</row>
    <row r="383" spans="1:50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</row>
    <row r="384" spans="1:50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</row>
    <row r="385" spans="1:50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</row>
    <row r="386" spans="1:50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</row>
    <row r="387" spans="1:50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</row>
    <row r="388" spans="1:50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</row>
    <row r="389" spans="1:50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</row>
    <row r="390" spans="1:50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</row>
    <row r="391" spans="1:50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</row>
    <row r="392" spans="1:50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</row>
    <row r="393" spans="1:50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</row>
    <row r="394" spans="1:50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</row>
    <row r="395" spans="1:50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</row>
    <row r="396" spans="1:50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</row>
    <row r="397" spans="1:50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</row>
    <row r="398" spans="1:50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</row>
    <row r="399" spans="1:50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</row>
    <row r="400" spans="1:50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</row>
    <row r="401" spans="1:50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</row>
    <row r="402" spans="1:50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</row>
    <row r="403" spans="1:50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</row>
    <row r="404" spans="1:50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</row>
    <row r="405" spans="1:50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</row>
    <row r="406" spans="1:50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</row>
    <row r="407" spans="1:50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</row>
    <row r="408" spans="1:50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</row>
    <row r="409" spans="1:50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</row>
    <row r="410" spans="1:50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</row>
    <row r="411" spans="1:50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</row>
    <row r="412" spans="1:50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</row>
    <row r="413" spans="1:50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</row>
    <row r="414" spans="1:50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</row>
    <row r="415" spans="1:50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</row>
    <row r="416" spans="1:50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</row>
    <row r="417" spans="1:50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</row>
    <row r="418" spans="1:50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</row>
    <row r="419" spans="1:50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</row>
    <row r="420" spans="1:50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</row>
    <row r="421" spans="1:50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</row>
    <row r="422" spans="1:50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</row>
    <row r="423" spans="1:50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</row>
    <row r="424" spans="1:50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</row>
    <row r="425" spans="1:50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</row>
    <row r="426" spans="1:50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</row>
    <row r="427" spans="1:50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</row>
    <row r="428" spans="1:50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</row>
    <row r="429" spans="1:50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</row>
    <row r="430" spans="1:50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</row>
    <row r="431" spans="1:50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</row>
    <row r="432" spans="1:50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</row>
    <row r="433" spans="1:50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</row>
    <row r="434" spans="1:50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</row>
    <row r="435" spans="1:50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</row>
    <row r="436" spans="1:50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</row>
    <row r="437" spans="1:50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</row>
    <row r="438" spans="1:50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</row>
    <row r="439" spans="1:50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</row>
    <row r="440" spans="1:50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</row>
    <row r="441" spans="1:50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</row>
    <row r="442" spans="1:50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</row>
    <row r="443" spans="1:50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</row>
    <row r="444" spans="1:50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</row>
    <row r="445" spans="1:50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</row>
    <row r="446" spans="1:50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</row>
    <row r="447" spans="1:50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</row>
    <row r="448" spans="1:50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</row>
    <row r="449" spans="1:50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</row>
    <row r="450" spans="1:50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</row>
    <row r="451" spans="1:50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</row>
    <row r="452" spans="1:50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</row>
    <row r="453" spans="1:50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</row>
    <row r="454" spans="1:50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</row>
    <row r="455" spans="1:50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</row>
    <row r="456" spans="1:50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</row>
    <row r="457" spans="1:50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</row>
    <row r="458" spans="1:50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</row>
    <row r="459" spans="1:50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</row>
    <row r="460" spans="1:50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</row>
    <row r="461" spans="1:50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</row>
    <row r="462" spans="1:50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</row>
    <row r="463" spans="1:50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</row>
    <row r="464" spans="1:50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</row>
    <row r="465" spans="1:50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</row>
    <row r="466" spans="1:50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</row>
    <row r="467" spans="1:50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</row>
    <row r="468" spans="1:50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</row>
    <row r="469" spans="1:50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</row>
    <row r="470" spans="1:50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</row>
    <row r="471" spans="1:50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</row>
    <row r="472" spans="1:50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</row>
    <row r="473" spans="1:50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</row>
    <row r="474" spans="1:50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</row>
    <row r="475" spans="1:50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</row>
    <row r="476" spans="1:50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</row>
    <row r="477" spans="1:50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</row>
    <row r="478" spans="1:50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</row>
    <row r="479" spans="1:50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</row>
    <row r="480" spans="1:50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</row>
    <row r="481" spans="1:50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</row>
    <row r="482" spans="1:50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</row>
    <row r="483" spans="1:50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</row>
    <row r="484" spans="1:50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</row>
    <row r="485" spans="1:50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</row>
    <row r="486" spans="1:50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</row>
    <row r="487" spans="1:50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</row>
    <row r="488" spans="1:50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</row>
    <row r="489" spans="1:50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</row>
    <row r="490" spans="1:50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</row>
    <row r="491" spans="1:50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</row>
    <row r="492" spans="1:50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</row>
    <row r="493" spans="1:50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</row>
    <row r="494" spans="1:50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</row>
    <row r="495" spans="1:50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</row>
    <row r="496" spans="1:50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</row>
    <row r="497" spans="1:50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</row>
    <row r="498" spans="1:50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</row>
    <row r="499" spans="1:50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</row>
    <row r="500" spans="1:50" x14ac:dyDescent="0.25">
      <c r="A500" s="8"/>
      <c r="B500" s="8"/>
      <c r="C500" s="8"/>
      <c r="D500" s="8"/>
      <c r="E500" s="8"/>
      <c r="F500" s="8"/>
      <c r="G500" s="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</row>
  </sheetData>
  <autoFilter ref="A3:AB38" xr:uid="{8E233E72-8D99-4286-BAF1-ED1F3CC21C0A}"/>
  <mergeCells count="1">
    <mergeCell ref="O1:O2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2026-07-07T07:46:46Z</dcterms:created>
  <dcterms:modified xsi:type="dcterms:W3CDTF">2026-07-07T13:35:30Z</dcterms:modified>
</cp:coreProperties>
</file>