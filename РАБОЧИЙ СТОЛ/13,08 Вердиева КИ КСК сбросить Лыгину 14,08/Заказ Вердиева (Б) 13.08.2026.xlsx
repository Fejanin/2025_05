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8_{CF70AB76-9A64-4223-848A-6D2F5FEC147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AC565" i="2" s="1"/>
  <c r="P552" i="2"/>
  <c r="X549" i="2"/>
  <c r="X548" i="2"/>
  <c r="BO547" i="2"/>
  <c r="BM547" i="2"/>
  <c r="Y547" i="2"/>
  <c r="P547" i="2"/>
  <c r="BO546" i="2"/>
  <c r="BM546" i="2"/>
  <c r="Y546" i="2"/>
  <c r="BP546" i="2" s="1"/>
  <c r="P546" i="2"/>
  <c r="X544" i="2"/>
  <c r="X543" i="2"/>
  <c r="BO542" i="2"/>
  <c r="BM542" i="2"/>
  <c r="Y542" i="2"/>
  <c r="P542" i="2"/>
  <c r="X540" i="2"/>
  <c r="X539" i="2"/>
  <c r="BO538" i="2"/>
  <c r="BM538" i="2"/>
  <c r="Y538" i="2"/>
  <c r="P538" i="2"/>
  <c r="X536" i="2"/>
  <c r="X535" i="2"/>
  <c r="BO534" i="2"/>
  <c r="BM534" i="2"/>
  <c r="Y534" i="2"/>
  <c r="BP534" i="2" s="1"/>
  <c r="P534" i="2"/>
  <c r="X532" i="2"/>
  <c r="X531" i="2"/>
  <c r="BO530" i="2"/>
  <c r="BM530" i="2"/>
  <c r="Y530" i="2"/>
  <c r="P530" i="2"/>
  <c r="X526" i="2"/>
  <c r="X525" i="2"/>
  <c r="BO524" i="2"/>
  <c r="BM524" i="2"/>
  <c r="Y524" i="2"/>
  <c r="P524" i="2"/>
  <c r="BO523" i="2"/>
  <c r="BM523" i="2"/>
  <c r="Y523" i="2"/>
  <c r="BN523" i="2" s="1"/>
  <c r="P523" i="2"/>
  <c r="BO522" i="2"/>
  <c r="BM522" i="2"/>
  <c r="Y522" i="2"/>
  <c r="BN522" i="2" s="1"/>
  <c r="P522" i="2"/>
  <c r="BO521" i="2"/>
  <c r="BM521" i="2"/>
  <c r="Y521" i="2"/>
  <c r="BP521" i="2" s="1"/>
  <c r="P521" i="2"/>
  <c r="BO520" i="2"/>
  <c r="BM520" i="2"/>
  <c r="Y520" i="2"/>
  <c r="BN520" i="2" s="1"/>
  <c r="P520" i="2"/>
  <c r="BO519" i="2"/>
  <c r="BM519" i="2"/>
  <c r="Y519" i="2"/>
  <c r="Z519" i="2" s="1"/>
  <c r="P519" i="2"/>
  <c r="BO518" i="2"/>
  <c r="BM518" i="2"/>
  <c r="Y518" i="2"/>
  <c r="BP518" i="2" s="1"/>
  <c r="P518" i="2"/>
  <c r="X516" i="2"/>
  <c r="X515" i="2"/>
  <c r="BO514" i="2"/>
  <c r="BM514" i="2"/>
  <c r="Y514" i="2"/>
  <c r="P514" i="2"/>
  <c r="BO513" i="2"/>
  <c r="BM513" i="2"/>
  <c r="Y513" i="2"/>
  <c r="BN513" i="2" s="1"/>
  <c r="P513" i="2"/>
  <c r="BO512" i="2"/>
  <c r="BM512" i="2"/>
  <c r="Y512" i="2"/>
  <c r="Z512" i="2" s="1"/>
  <c r="P512" i="2"/>
  <c r="X510" i="2"/>
  <c r="X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Z501" i="2" s="1"/>
  <c r="P501" i="2"/>
  <c r="BO500" i="2"/>
  <c r="BM500" i="2"/>
  <c r="Y500" i="2"/>
  <c r="Z500" i="2" s="1"/>
  <c r="P500" i="2"/>
  <c r="X496" i="2"/>
  <c r="X495" i="2"/>
  <c r="BO494" i="2"/>
  <c r="BM494" i="2"/>
  <c r="Y494" i="2"/>
  <c r="P494" i="2"/>
  <c r="BO493" i="2"/>
  <c r="BM493" i="2"/>
  <c r="Y493" i="2"/>
  <c r="BP493" i="2" s="1"/>
  <c r="P493" i="2"/>
  <c r="BO492" i="2"/>
  <c r="BM492" i="2"/>
  <c r="Y492" i="2"/>
  <c r="Z492" i="2" s="1"/>
  <c r="P492" i="2"/>
  <c r="X490" i="2"/>
  <c r="X489" i="2"/>
  <c r="BO488" i="2"/>
  <c r="BM488" i="2"/>
  <c r="Y488" i="2"/>
  <c r="BN488" i="2" s="1"/>
  <c r="P488" i="2"/>
  <c r="X485" i="2"/>
  <c r="X484" i="2"/>
  <c r="BO483" i="2"/>
  <c r="BM483" i="2"/>
  <c r="Y483" i="2"/>
  <c r="BP483" i="2" s="1"/>
  <c r="P483" i="2"/>
  <c r="BO482" i="2"/>
  <c r="BM482" i="2"/>
  <c r="Y482" i="2"/>
  <c r="Y484" i="2" s="1"/>
  <c r="P482" i="2"/>
  <c r="X480" i="2"/>
  <c r="X479" i="2"/>
  <c r="BO478" i="2"/>
  <c r="BM478" i="2"/>
  <c r="Y478" i="2"/>
  <c r="BP478" i="2" s="1"/>
  <c r="P478" i="2"/>
  <c r="BO477" i="2"/>
  <c r="BM477" i="2"/>
  <c r="Y477" i="2"/>
  <c r="BN477" i="2" s="1"/>
  <c r="P477" i="2"/>
  <c r="BO476" i="2"/>
  <c r="BM476" i="2"/>
  <c r="Y476" i="2"/>
  <c r="BP476" i="2" s="1"/>
  <c r="P476" i="2"/>
  <c r="BO475" i="2"/>
  <c r="BM475" i="2"/>
  <c r="Y475" i="2"/>
  <c r="BN475" i="2" s="1"/>
  <c r="P475" i="2"/>
  <c r="BO474" i="2"/>
  <c r="BM474" i="2"/>
  <c r="Y474" i="2"/>
  <c r="Z474" i="2" s="1"/>
  <c r="P474" i="2"/>
  <c r="BO473" i="2"/>
  <c r="BM473" i="2"/>
  <c r="Y473" i="2"/>
  <c r="P473" i="2"/>
  <c r="X469" i="2"/>
  <c r="X468" i="2"/>
  <c r="BO467" i="2"/>
  <c r="BM467" i="2"/>
  <c r="Y467" i="2"/>
  <c r="P467" i="2"/>
  <c r="BO466" i="2"/>
  <c r="BM466" i="2"/>
  <c r="Y466" i="2"/>
  <c r="BP466" i="2" s="1"/>
  <c r="P466" i="2"/>
  <c r="BO465" i="2"/>
  <c r="BM465" i="2"/>
  <c r="Y465" i="2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BN457" i="2" s="1"/>
  <c r="P457" i="2"/>
  <c r="BO456" i="2"/>
  <c r="BM456" i="2"/>
  <c r="Y456" i="2"/>
  <c r="P456" i="2"/>
  <c r="X453" i="2"/>
  <c r="X452" i="2"/>
  <c r="BO451" i="2"/>
  <c r="BM451" i="2"/>
  <c r="Y451" i="2"/>
  <c r="P451" i="2"/>
  <c r="BO450" i="2"/>
  <c r="BM450" i="2"/>
  <c r="Y450" i="2"/>
  <c r="BN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Z444" i="2" s="1"/>
  <c r="P444" i="2"/>
  <c r="X442" i="2"/>
  <c r="X441" i="2"/>
  <c r="BO440" i="2"/>
  <c r="BM440" i="2"/>
  <c r="Y440" i="2"/>
  <c r="BP440" i="2" s="1"/>
  <c r="P440" i="2"/>
  <c r="BO439" i="2"/>
  <c r="BM439" i="2"/>
  <c r="Y439" i="2"/>
  <c r="BP439" i="2" s="1"/>
  <c r="P439" i="2"/>
  <c r="BO438" i="2"/>
  <c r="BM438" i="2"/>
  <c r="Y438" i="2"/>
  <c r="Y442" i="2" s="1"/>
  <c r="P438" i="2"/>
  <c r="X436" i="2"/>
  <c r="X435" i="2"/>
  <c r="BO434" i="2"/>
  <c r="BM434" i="2"/>
  <c r="Y434" i="2"/>
  <c r="BN434" i="2" s="1"/>
  <c r="P434" i="2"/>
  <c r="BO433" i="2"/>
  <c r="BM433" i="2"/>
  <c r="Y433" i="2"/>
  <c r="BP433" i="2" s="1"/>
  <c r="P433" i="2"/>
  <c r="BO432" i="2"/>
  <c r="BM432" i="2"/>
  <c r="Y432" i="2"/>
  <c r="P432" i="2"/>
  <c r="BO431" i="2"/>
  <c r="BM431" i="2"/>
  <c r="Y431" i="2"/>
  <c r="Z431" i="2" s="1"/>
  <c r="P431" i="2"/>
  <c r="BO430" i="2"/>
  <c r="BM430" i="2"/>
  <c r="Y430" i="2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P421" i="2"/>
  <c r="BO420" i="2"/>
  <c r="BM420" i="2"/>
  <c r="Y420" i="2"/>
  <c r="BP420" i="2" s="1"/>
  <c r="P420" i="2"/>
  <c r="BO419" i="2"/>
  <c r="BM419" i="2"/>
  <c r="Y419" i="2"/>
  <c r="P419" i="2"/>
  <c r="X416" i="2"/>
  <c r="X415" i="2"/>
  <c r="BO414" i="2"/>
  <c r="BM414" i="2"/>
  <c r="Y414" i="2"/>
  <c r="Z414" i="2" s="1"/>
  <c r="BO413" i="2"/>
  <c r="BM413" i="2"/>
  <c r="Y413" i="2"/>
  <c r="X410" i="2"/>
  <c r="X409" i="2"/>
  <c r="BO408" i="2"/>
  <c r="BM408" i="2"/>
  <c r="Y408" i="2"/>
  <c r="BP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BP402" i="2" s="1"/>
  <c r="P402" i="2"/>
  <c r="BO401" i="2"/>
  <c r="BM401" i="2"/>
  <c r="Y401" i="2"/>
  <c r="BP401" i="2" s="1"/>
  <c r="P401" i="2"/>
  <c r="BO400" i="2"/>
  <c r="BM400" i="2"/>
  <c r="Y400" i="2"/>
  <c r="Y403" i="2" s="1"/>
  <c r="P400" i="2"/>
  <c r="X398" i="2"/>
  <c r="X397" i="2"/>
  <c r="BO396" i="2"/>
  <c r="BM396" i="2"/>
  <c r="Y396" i="2"/>
  <c r="BN396" i="2" s="1"/>
  <c r="P396" i="2"/>
  <c r="BO395" i="2"/>
  <c r="BM395" i="2"/>
  <c r="Y395" i="2"/>
  <c r="BP395" i="2" s="1"/>
  <c r="P395" i="2"/>
  <c r="BO394" i="2"/>
  <c r="BM394" i="2"/>
  <c r="Y394" i="2"/>
  <c r="Z394" i="2" s="1"/>
  <c r="P394" i="2"/>
  <c r="BO393" i="2"/>
  <c r="BM393" i="2"/>
  <c r="Y393" i="2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BP387" i="2" s="1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BP371" i="2" s="1"/>
  <c r="P371" i="2"/>
  <c r="BO370" i="2"/>
  <c r="BM370" i="2"/>
  <c r="Y370" i="2"/>
  <c r="BP370" i="2" s="1"/>
  <c r="P370" i="2"/>
  <c r="X368" i="2"/>
  <c r="X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BP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P361" i="2"/>
  <c r="X358" i="2"/>
  <c r="X357" i="2"/>
  <c r="BO356" i="2"/>
  <c r="BM356" i="2"/>
  <c r="Y356" i="2"/>
  <c r="BN356" i="2" s="1"/>
  <c r="P356" i="2"/>
  <c r="BO355" i="2"/>
  <c r="BM355" i="2"/>
  <c r="Y355" i="2"/>
  <c r="P355" i="2"/>
  <c r="BO354" i="2"/>
  <c r="BM354" i="2"/>
  <c r="Y354" i="2"/>
  <c r="BN354" i="2" s="1"/>
  <c r="P354" i="2"/>
  <c r="X351" i="2"/>
  <c r="X350" i="2"/>
  <c r="BO349" i="2"/>
  <c r="BM349" i="2"/>
  <c r="Y349" i="2"/>
  <c r="Z349" i="2" s="1"/>
  <c r="P349" i="2"/>
  <c r="BO348" i="2"/>
  <c r="BM348" i="2"/>
  <c r="Y348" i="2"/>
  <c r="BP348" i="2" s="1"/>
  <c r="P348" i="2"/>
  <c r="X346" i="2"/>
  <c r="X345" i="2"/>
  <c r="BO344" i="2"/>
  <c r="BM344" i="2"/>
  <c r="Y344" i="2"/>
  <c r="Z344" i="2" s="1"/>
  <c r="P344" i="2"/>
  <c r="BO343" i="2"/>
  <c r="BM343" i="2"/>
  <c r="Y343" i="2"/>
  <c r="BP343" i="2" s="1"/>
  <c r="P343" i="2"/>
  <c r="BO342" i="2"/>
  <c r="BM342" i="2"/>
  <c r="Y342" i="2"/>
  <c r="P342" i="2"/>
  <c r="BO341" i="2"/>
  <c r="BM341" i="2"/>
  <c r="Y341" i="2"/>
  <c r="BP341" i="2" s="1"/>
  <c r="P341" i="2"/>
  <c r="BO340" i="2"/>
  <c r="BM340" i="2"/>
  <c r="Y340" i="2"/>
  <c r="P340" i="2"/>
  <c r="X337" i="2"/>
  <c r="X336" i="2"/>
  <c r="BO335" i="2"/>
  <c r="BM335" i="2"/>
  <c r="Y335" i="2"/>
  <c r="P335" i="2"/>
  <c r="BO334" i="2"/>
  <c r="BM334" i="2"/>
  <c r="Y334" i="2"/>
  <c r="BN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P328" i="2" s="1"/>
  <c r="P328" i="2"/>
  <c r="BO327" i="2"/>
  <c r="BM327" i="2"/>
  <c r="Y327" i="2"/>
  <c r="P327" i="2"/>
  <c r="BO326" i="2"/>
  <c r="BM326" i="2"/>
  <c r="Y326" i="2"/>
  <c r="BP326" i="2" s="1"/>
  <c r="P326" i="2"/>
  <c r="BO325" i="2"/>
  <c r="BM325" i="2"/>
  <c r="Y325" i="2"/>
  <c r="BP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P319" i="2"/>
  <c r="BO318" i="2"/>
  <c r="BM318" i="2"/>
  <c r="Y318" i="2"/>
  <c r="Z318" i="2" s="1"/>
  <c r="P318" i="2"/>
  <c r="BO317" i="2"/>
  <c r="BM317" i="2"/>
  <c r="Y317" i="2"/>
  <c r="P317" i="2"/>
  <c r="X315" i="2"/>
  <c r="X314" i="2"/>
  <c r="BO313" i="2"/>
  <c r="BM313" i="2"/>
  <c r="Y313" i="2"/>
  <c r="Y314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Z299" i="2" s="1"/>
  <c r="P299" i="2"/>
  <c r="X296" i="2"/>
  <c r="X295" i="2"/>
  <c r="BO294" i="2"/>
  <c r="BM294" i="2"/>
  <c r="Y294" i="2"/>
  <c r="BP294" i="2" s="1"/>
  <c r="P294" i="2"/>
  <c r="BO293" i="2"/>
  <c r="BM293" i="2"/>
  <c r="Y293" i="2"/>
  <c r="Y296" i="2" s="1"/>
  <c r="P293" i="2"/>
  <c r="X291" i="2"/>
  <c r="X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Z263" i="2" s="1"/>
  <c r="P263" i="2"/>
  <c r="BO262" i="2"/>
  <c r="BM262" i="2"/>
  <c r="Y262" i="2"/>
  <c r="BP262" i="2" s="1"/>
  <c r="P262" i="2"/>
  <c r="X260" i="2"/>
  <c r="X259" i="2"/>
  <c r="BO258" i="2"/>
  <c r="BM258" i="2"/>
  <c r="Y258" i="2"/>
  <c r="BN258" i="2" s="1"/>
  <c r="P258" i="2"/>
  <c r="BO257" i="2"/>
  <c r="BM257" i="2"/>
  <c r="Y257" i="2"/>
  <c r="BP257" i="2" s="1"/>
  <c r="P257" i="2"/>
  <c r="X254" i="2"/>
  <c r="X253" i="2"/>
  <c r="BO252" i="2"/>
  <c r="BM252" i="2"/>
  <c r="Y252" i="2"/>
  <c r="Y253" i="2" s="1"/>
  <c r="P252" i="2"/>
  <c r="X250" i="2"/>
  <c r="X249" i="2"/>
  <c r="BO248" i="2"/>
  <c r="BM248" i="2"/>
  <c r="Y248" i="2"/>
  <c r="BP248" i="2" s="1"/>
  <c r="P248" i="2"/>
  <c r="BO247" i="2"/>
  <c r="BM247" i="2"/>
  <c r="Y247" i="2"/>
  <c r="BP247" i="2" s="1"/>
  <c r="P247" i="2"/>
  <c r="BO246" i="2"/>
  <c r="BM246" i="2"/>
  <c r="Y246" i="2"/>
  <c r="Y250" i="2" s="1"/>
  <c r="P246" i="2"/>
  <c r="X244" i="2"/>
  <c r="X243" i="2"/>
  <c r="BO242" i="2"/>
  <c r="BM242" i="2"/>
  <c r="Y242" i="2"/>
  <c r="Z242" i="2" s="1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X236" i="2"/>
  <c r="X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Z230" i="2" s="1"/>
  <c r="P230" i="2"/>
  <c r="BO229" i="2"/>
  <c r="BM229" i="2"/>
  <c r="Y229" i="2"/>
  <c r="BP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N222" i="2" s="1"/>
  <c r="P222" i="2"/>
  <c r="BO221" i="2"/>
  <c r="BM221" i="2"/>
  <c r="Y221" i="2"/>
  <c r="Z221" i="2" s="1"/>
  <c r="P221" i="2"/>
  <c r="X219" i="2"/>
  <c r="X218" i="2"/>
  <c r="BO217" i="2"/>
  <c r="BM217" i="2"/>
  <c r="Y217" i="2"/>
  <c r="P217" i="2"/>
  <c r="X214" i="2"/>
  <c r="X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Z209" i="2" s="1"/>
  <c r="P209" i="2"/>
  <c r="BO208" i="2"/>
  <c r="BM208" i="2"/>
  <c r="Y208" i="2"/>
  <c r="BP208" i="2" s="1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BP200" i="2" s="1"/>
  <c r="P200" i="2"/>
  <c r="X198" i="2"/>
  <c r="X197" i="2"/>
  <c r="BO196" i="2"/>
  <c r="BM196" i="2"/>
  <c r="Y196" i="2"/>
  <c r="BN196" i="2" s="1"/>
  <c r="P196" i="2"/>
  <c r="BO195" i="2"/>
  <c r="BM195" i="2"/>
  <c r="Y195" i="2"/>
  <c r="Z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Z190" i="2" s="1"/>
  <c r="P190" i="2"/>
  <c r="BO189" i="2"/>
  <c r="BM189" i="2"/>
  <c r="Y189" i="2"/>
  <c r="BN189" i="2" s="1"/>
  <c r="P189" i="2"/>
  <c r="X187" i="2"/>
  <c r="X186" i="2"/>
  <c r="BO185" i="2"/>
  <c r="BM185" i="2"/>
  <c r="Y185" i="2"/>
  <c r="Z185" i="2" s="1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BP178" i="2" s="1"/>
  <c r="P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P171" i="2"/>
  <c r="BO170" i="2"/>
  <c r="BM170" i="2"/>
  <c r="Y170" i="2"/>
  <c r="Z170" i="2" s="1"/>
  <c r="P170" i="2"/>
  <c r="X168" i="2"/>
  <c r="X167" i="2"/>
  <c r="BO166" i="2"/>
  <c r="BM166" i="2"/>
  <c r="Y166" i="2"/>
  <c r="Z166" i="2" s="1"/>
  <c r="P166" i="2"/>
  <c r="BO165" i="2"/>
  <c r="BM165" i="2"/>
  <c r="Y165" i="2"/>
  <c r="Z165" i="2" s="1"/>
  <c r="P165" i="2"/>
  <c r="BO164" i="2"/>
  <c r="BM164" i="2"/>
  <c r="Y164" i="2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BN154" i="2" s="1"/>
  <c r="P154" i="2"/>
  <c r="BO153" i="2"/>
  <c r="BM153" i="2"/>
  <c r="Y153" i="2"/>
  <c r="BN153" i="2" s="1"/>
  <c r="P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BP144" i="2" s="1"/>
  <c r="P144" i="2"/>
  <c r="BO143" i="2"/>
  <c r="BM143" i="2"/>
  <c r="Y143" i="2"/>
  <c r="P143" i="2"/>
  <c r="BO142" i="2"/>
  <c r="BM142" i="2"/>
  <c r="Y142" i="2"/>
  <c r="Z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Y135" i="2"/>
  <c r="BN135" i="2" s="1"/>
  <c r="P135" i="2"/>
  <c r="X133" i="2"/>
  <c r="X132" i="2"/>
  <c r="BO131" i="2"/>
  <c r="BM131" i="2"/>
  <c r="Y131" i="2"/>
  <c r="BP131" i="2" s="1"/>
  <c r="P131" i="2"/>
  <c r="BO130" i="2"/>
  <c r="BM130" i="2"/>
  <c r="Y130" i="2"/>
  <c r="BN130" i="2" s="1"/>
  <c r="P130" i="2"/>
  <c r="BO129" i="2"/>
  <c r="BM129" i="2"/>
  <c r="Y129" i="2"/>
  <c r="BN129" i="2" s="1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Y120" i="2"/>
  <c r="BN120" i="2" s="1"/>
  <c r="P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BN117" i="2" s="1"/>
  <c r="P117" i="2"/>
  <c r="X115" i="2"/>
  <c r="X114" i="2"/>
  <c r="BO113" i="2"/>
  <c r="BM113" i="2"/>
  <c r="Y113" i="2"/>
  <c r="Z113" i="2" s="1"/>
  <c r="P113" i="2"/>
  <c r="BO112" i="2"/>
  <c r="BM112" i="2"/>
  <c r="Y112" i="2"/>
  <c r="BP112" i="2" s="1"/>
  <c r="P112" i="2"/>
  <c r="BO111" i="2"/>
  <c r="BM111" i="2"/>
  <c r="Y111" i="2"/>
  <c r="BN111" i="2" s="1"/>
  <c r="P111" i="2"/>
  <c r="BO110" i="2"/>
  <c r="BM110" i="2"/>
  <c r="Y110" i="2"/>
  <c r="BN110" i="2" s="1"/>
  <c r="P110" i="2"/>
  <c r="BO109" i="2"/>
  <c r="BM109" i="2"/>
  <c r="Y109" i="2"/>
  <c r="BN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Z103" i="2" s="1"/>
  <c r="P103" i="2"/>
  <c r="BO102" i="2"/>
  <c r="BM102" i="2"/>
  <c r="Y102" i="2"/>
  <c r="BN102" i="2" s="1"/>
  <c r="P102" i="2"/>
  <c r="BO101" i="2"/>
  <c r="BM101" i="2"/>
  <c r="Y101" i="2"/>
  <c r="BP101" i="2" s="1"/>
  <c r="P101" i="2"/>
  <c r="BO100" i="2"/>
  <c r="BM100" i="2"/>
  <c r="Y100" i="2"/>
  <c r="P100" i="2"/>
  <c r="BO99" i="2"/>
  <c r="BM99" i="2"/>
  <c r="Y99" i="2"/>
  <c r="Z99" i="2" s="1"/>
  <c r="P99" i="2"/>
  <c r="X96" i="2"/>
  <c r="X95" i="2"/>
  <c r="BO94" i="2"/>
  <c r="BM94" i="2"/>
  <c r="Y94" i="2"/>
  <c r="BP94" i="2" s="1"/>
  <c r="P94" i="2"/>
  <c r="BO93" i="2"/>
  <c r="BM93" i="2"/>
  <c r="Y93" i="2"/>
  <c r="BP93" i="2" s="1"/>
  <c r="P93" i="2"/>
  <c r="BO92" i="2"/>
  <c r="BM92" i="2"/>
  <c r="Y92" i="2"/>
  <c r="Z92" i="2" s="1"/>
  <c r="P92" i="2"/>
  <c r="BO91" i="2"/>
  <c r="BM91" i="2"/>
  <c r="Y91" i="2"/>
  <c r="BP91" i="2" s="1"/>
  <c r="P91" i="2"/>
  <c r="X89" i="2"/>
  <c r="X88" i="2"/>
  <c r="BO87" i="2"/>
  <c r="BM87" i="2"/>
  <c r="Y87" i="2"/>
  <c r="Z87" i="2" s="1"/>
  <c r="P87" i="2"/>
  <c r="BO86" i="2"/>
  <c r="BM86" i="2"/>
  <c r="Y86" i="2"/>
  <c r="BN86" i="2" s="1"/>
  <c r="P86" i="2"/>
  <c r="BO85" i="2"/>
  <c r="BM85" i="2"/>
  <c r="Y85" i="2"/>
  <c r="BP85" i="2" s="1"/>
  <c r="P85" i="2"/>
  <c r="BO84" i="2"/>
  <c r="BM84" i="2"/>
  <c r="Y84" i="2"/>
  <c r="BP84" i="2" s="1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P69" i="2"/>
  <c r="BO68" i="2"/>
  <c r="BM68" i="2"/>
  <c r="Y68" i="2"/>
  <c r="BP68" i="2" s="1"/>
  <c r="P68" i="2"/>
  <c r="BO67" i="2"/>
  <c r="BM67" i="2"/>
  <c r="Y67" i="2"/>
  <c r="BP67" i="2" s="1"/>
  <c r="P67" i="2"/>
  <c r="BO66" i="2"/>
  <c r="BM66" i="2"/>
  <c r="Y66" i="2"/>
  <c r="BN66" i="2" s="1"/>
  <c r="P66" i="2"/>
  <c r="X64" i="2"/>
  <c r="X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Z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Z48" i="2" s="1"/>
  <c r="P48" i="2"/>
  <c r="BO47" i="2"/>
  <c r="BM47" i="2"/>
  <c r="Y47" i="2"/>
  <c r="BN47" i="2" s="1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M31" i="2"/>
  <c r="Y31" i="2"/>
  <c r="Z31" i="2" s="1"/>
  <c r="P31" i="2"/>
  <c r="BO30" i="2"/>
  <c r="BM30" i="2"/>
  <c r="Y30" i="2"/>
  <c r="BP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F10" i="2" s="1"/>
  <c r="D7" i="2"/>
  <c r="Q6" i="2"/>
  <c r="P2" i="2"/>
  <c r="Z58" i="2" l="1"/>
  <c r="BN58" i="2"/>
  <c r="Z324" i="2"/>
  <c r="BN324" i="2"/>
  <c r="Z325" i="2"/>
  <c r="BN325" i="2"/>
  <c r="Z183" i="2"/>
  <c r="BP444" i="2"/>
  <c r="Z111" i="2"/>
  <c r="Z247" i="2"/>
  <c r="BN247" i="2"/>
  <c r="BP268" i="2"/>
  <c r="Z383" i="2"/>
  <c r="X556" i="2"/>
  <c r="BP28" i="2"/>
  <c r="Z67" i="2"/>
  <c r="BN67" i="2"/>
  <c r="Z91" i="2"/>
  <c r="BN91" i="2"/>
  <c r="Z210" i="2"/>
  <c r="BN210" i="2"/>
  <c r="BP225" i="2"/>
  <c r="Z284" i="2"/>
  <c r="BN284" i="2"/>
  <c r="Z286" i="2"/>
  <c r="BN286" i="2"/>
  <c r="Z363" i="2"/>
  <c r="Z396" i="2"/>
  <c r="Z477" i="2"/>
  <c r="Z522" i="2"/>
  <c r="Y24" i="2"/>
  <c r="Z39" i="2"/>
  <c r="BN39" i="2"/>
  <c r="BP40" i="2"/>
  <c r="Z61" i="2"/>
  <c r="Z94" i="2"/>
  <c r="BN94" i="2"/>
  <c r="Y107" i="2"/>
  <c r="Z138" i="2"/>
  <c r="Z176" i="2"/>
  <c r="Z196" i="2"/>
  <c r="Z197" i="2" s="1"/>
  <c r="Y201" i="2"/>
  <c r="Y202" i="2"/>
  <c r="Z238" i="2"/>
  <c r="Z274" i="2"/>
  <c r="BN274" i="2"/>
  <c r="BP278" i="2"/>
  <c r="Z304" i="2"/>
  <c r="Z343" i="2"/>
  <c r="BN343" i="2"/>
  <c r="Z370" i="2"/>
  <c r="BN370" i="2"/>
  <c r="Z371" i="2"/>
  <c r="BN371" i="2"/>
  <c r="Z420" i="2"/>
  <c r="BN420" i="2"/>
  <c r="Z475" i="2"/>
  <c r="Y516" i="2"/>
  <c r="Z520" i="2"/>
  <c r="Z534" i="2"/>
  <c r="Z535" i="2" s="1"/>
  <c r="Y535" i="2"/>
  <c r="Z546" i="2"/>
  <c r="BN38" i="2"/>
  <c r="BN62" i="2"/>
  <c r="BN101" i="2"/>
  <c r="X559" i="2"/>
  <c r="Z27" i="2"/>
  <c r="Z30" i="2"/>
  <c r="BN30" i="2"/>
  <c r="BN50" i="2"/>
  <c r="Z56" i="2"/>
  <c r="BP59" i="2"/>
  <c r="BN68" i="2"/>
  <c r="Z79" i="2"/>
  <c r="Y81" i="2"/>
  <c r="BN84" i="2"/>
  <c r="BP86" i="2"/>
  <c r="BP92" i="2"/>
  <c r="BP111" i="2"/>
  <c r="BN112" i="2"/>
  <c r="BP113" i="2"/>
  <c r="BN118" i="2"/>
  <c r="Z120" i="2"/>
  <c r="Z135" i="2"/>
  <c r="BP136" i="2"/>
  <c r="BN144" i="2"/>
  <c r="Z152" i="2"/>
  <c r="Z153" i="2"/>
  <c r="BP170" i="2"/>
  <c r="Y198" i="2"/>
  <c r="BN200" i="2"/>
  <c r="BN212" i="2"/>
  <c r="Z223" i="2"/>
  <c r="Z227" i="2"/>
  <c r="BN227" i="2"/>
  <c r="Z231" i="2"/>
  <c r="BN231" i="2"/>
  <c r="BN248" i="2"/>
  <c r="Z294" i="2"/>
  <c r="BN294" i="2"/>
  <c r="Z328" i="2"/>
  <c r="BN328" i="2"/>
  <c r="BP334" i="2"/>
  <c r="Y367" i="2"/>
  <c r="Z374" i="2"/>
  <c r="BN374" i="2"/>
  <c r="Z376" i="2"/>
  <c r="Y378" i="2"/>
  <c r="Z387" i="2"/>
  <c r="BN387" i="2"/>
  <c r="Y397" i="2"/>
  <c r="BP396" i="2"/>
  <c r="BN406" i="2"/>
  <c r="Y423" i="2"/>
  <c r="Z429" i="2"/>
  <c r="BN431" i="2"/>
  <c r="Z446" i="2"/>
  <c r="BN446" i="2"/>
  <c r="Z450" i="2"/>
  <c r="Y452" i="2"/>
  <c r="BN451" i="2"/>
  <c r="Y453" i="2"/>
  <c r="Y469" i="2"/>
  <c r="BN465" i="2"/>
  <c r="Y479" i="2"/>
  <c r="BP477" i="2"/>
  <c r="BN478" i="2"/>
  <c r="BN503" i="2"/>
  <c r="BP512" i="2"/>
  <c r="BP522" i="2"/>
  <c r="BP79" i="2"/>
  <c r="BP135" i="2"/>
  <c r="BP152" i="2"/>
  <c r="BN178" i="2"/>
  <c r="BN195" i="2"/>
  <c r="BN206" i="2"/>
  <c r="BP223" i="2"/>
  <c r="BN224" i="2"/>
  <c r="BN233" i="2"/>
  <c r="BN242" i="2"/>
  <c r="BN252" i="2"/>
  <c r="BN270" i="2"/>
  <c r="BN280" i="2"/>
  <c r="BN318" i="2"/>
  <c r="BN349" i="2"/>
  <c r="BP376" i="2"/>
  <c r="BN395" i="2"/>
  <c r="BN440" i="2"/>
  <c r="BN466" i="2"/>
  <c r="BN476" i="2"/>
  <c r="BN502" i="2"/>
  <c r="BN507" i="2"/>
  <c r="BN521" i="2"/>
  <c r="BP31" i="2"/>
  <c r="BP179" i="2"/>
  <c r="Z179" i="2"/>
  <c r="Z211" i="2"/>
  <c r="BN211" i="2"/>
  <c r="Z232" i="2"/>
  <c r="BN232" i="2"/>
  <c r="BP317" i="2"/>
  <c r="Y320" i="2"/>
  <c r="BN317" i="2"/>
  <c r="Y321" i="2"/>
  <c r="Z317" i="2"/>
  <c r="BP430" i="2"/>
  <c r="BN430" i="2"/>
  <c r="Z430" i="2"/>
  <c r="BP494" i="2"/>
  <c r="Z494" i="2"/>
  <c r="X555" i="2"/>
  <c r="D565" i="2"/>
  <c r="E565" i="2"/>
  <c r="BP55" i="2"/>
  <c r="Z57" i="2"/>
  <c r="BP57" i="2"/>
  <c r="Y70" i="2"/>
  <c r="Z74" i="2"/>
  <c r="BP74" i="2"/>
  <c r="Z80" i="2"/>
  <c r="BP78" i="2"/>
  <c r="Z85" i="2"/>
  <c r="Z100" i="2"/>
  <c r="Z102" i="2"/>
  <c r="BP102" i="2"/>
  <c r="Z105" i="2"/>
  <c r="Z109" i="2"/>
  <c r="Y133" i="2"/>
  <c r="Z154" i="2"/>
  <c r="BP155" i="2"/>
  <c r="Z155" i="2"/>
  <c r="Z175" i="2"/>
  <c r="Z180" i="2"/>
  <c r="BP180" i="2"/>
  <c r="BP182" i="2"/>
  <c r="Z182" i="2"/>
  <c r="BP189" i="2"/>
  <c r="BP207" i="2"/>
  <c r="BN207" i="2"/>
  <c r="BP217" i="2"/>
  <c r="Y218" i="2"/>
  <c r="Z217" i="2"/>
  <c r="Z218" i="2" s="1"/>
  <c r="BP228" i="2"/>
  <c r="BN228" i="2"/>
  <c r="BP241" i="2"/>
  <c r="BN241" i="2"/>
  <c r="Z241" i="2"/>
  <c r="Y276" i="2"/>
  <c r="BP269" i="2"/>
  <c r="BP301" i="2"/>
  <c r="BN301" i="2"/>
  <c r="Z301" i="2"/>
  <c r="BN319" i="2"/>
  <c r="BP319" i="2"/>
  <c r="Z319" i="2"/>
  <c r="BN342" i="2"/>
  <c r="BP342" i="2"/>
  <c r="Z342" i="2"/>
  <c r="BN381" i="2"/>
  <c r="BP381" i="2"/>
  <c r="Z381" i="2"/>
  <c r="BN432" i="2"/>
  <c r="BP432" i="2"/>
  <c r="Z432" i="2"/>
  <c r="Z504" i="2"/>
  <c r="BP504" i="2"/>
  <c r="BP547" i="2"/>
  <c r="BN547" i="2"/>
  <c r="BN267" i="2"/>
  <c r="BP267" i="2"/>
  <c r="Z267" i="2"/>
  <c r="BP327" i="2"/>
  <c r="Z327" i="2"/>
  <c r="BN340" i="2"/>
  <c r="Y345" i="2"/>
  <c r="Z340" i="2"/>
  <c r="Z413" i="2"/>
  <c r="Z415" i="2" s="1"/>
  <c r="BN413" i="2"/>
  <c r="Z524" i="2"/>
  <c r="BP524" i="2"/>
  <c r="Z538" i="2"/>
  <c r="Z539" i="2" s="1"/>
  <c r="BP538" i="2"/>
  <c r="Y539" i="2"/>
  <c r="Y25" i="2"/>
  <c r="X557" i="2"/>
  <c r="BN27" i="2"/>
  <c r="BN31" i="2"/>
  <c r="Z38" i="2"/>
  <c r="Z47" i="2"/>
  <c r="BP47" i="2"/>
  <c r="Z50" i="2"/>
  <c r="Z55" i="2"/>
  <c r="BN61" i="2"/>
  <c r="Z62" i="2"/>
  <c r="Z66" i="2"/>
  <c r="Z68" i="2"/>
  <c r="Y80" i="2"/>
  <c r="G565" i="2"/>
  <c r="BP99" i="2"/>
  <c r="Z101" i="2"/>
  <c r="BP103" i="2"/>
  <c r="Y114" i="2"/>
  <c r="Z118" i="2"/>
  <c r="Y146" i="2"/>
  <c r="Z143" i="2"/>
  <c r="J565" i="2"/>
  <c r="Y168" i="2"/>
  <c r="BP166" i="2"/>
  <c r="BN166" i="2"/>
  <c r="BN179" i="2"/>
  <c r="Z189" i="2"/>
  <c r="BP196" i="2"/>
  <c r="Z207" i="2"/>
  <c r="Y213" i="2"/>
  <c r="BP222" i="2"/>
  <c r="Z222" i="2"/>
  <c r="Z228" i="2"/>
  <c r="Y235" i="2"/>
  <c r="BP271" i="2"/>
  <c r="BN271" i="2"/>
  <c r="Z271" i="2"/>
  <c r="BP335" i="2"/>
  <c r="BN335" i="2"/>
  <c r="Z335" i="2"/>
  <c r="BN355" i="2"/>
  <c r="BP355" i="2"/>
  <c r="Z355" i="2"/>
  <c r="Z365" i="2"/>
  <c r="BN365" i="2"/>
  <c r="Z407" i="2"/>
  <c r="BN407" i="2"/>
  <c r="Z467" i="2"/>
  <c r="BP467" i="2"/>
  <c r="Z514" i="2"/>
  <c r="BP514" i="2"/>
  <c r="Y515" i="2"/>
  <c r="Y531" i="2"/>
  <c r="BN530" i="2"/>
  <c r="Y543" i="2"/>
  <c r="BN542" i="2"/>
  <c r="Y89" i="2"/>
  <c r="BP109" i="2"/>
  <c r="BN119" i="2"/>
  <c r="Z119" i="2"/>
  <c r="BN175" i="2"/>
  <c r="Y187" i="2"/>
  <c r="BP281" i="2"/>
  <c r="BN281" i="2"/>
  <c r="Z281" i="2"/>
  <c r="A10" i="2"/>
  <c r="Z22" i="2"/>
  <c r="BP22" i="2"/>
  <c r="Y33" i="2"/>
  <c r="Y43" i="2"/>
  <c r="BP48" i="2"/>
  <c r="BP69" i="2"/>
  <c r="BN78" i="2"/>
  <c r="Z84" i="2"/>
  <c r="BN85" i="2"/>
  <c r="BN105" i="2"/>
  <c r="Z110" i="2"/>
  <c r="Z112" i="2"/>
  <c r="BP119" i="2"/>
  <c r="Y122" i="2"/>
  <c r="H565" i="2"/>
  <c r="Z129" i="2"/>
  <c r="BN155" i="2"/>
  <c r="BN177" i="2"/>
  <c r="Z177" i="2"/>
  <c r="BN182" i="2"/>
  <c r="BP211" i="2"/>
  <c r="BN217" i="2"/>
  <c r="Y219" i="2"/>
  <c r="BP232" i="2"/>
  <c r="BN279" i="2"/>
  <c r="BP279" i="2"/>
  <c r="Y295" i="2"/>
  <c r="Z293" i="2"/>
  <c r="Y330" i="2"/>
  <c r="BP340" i="2"/>
  <c r="BP413" i="2"/>
  <c r="W565" i="2"/>
  <c r="BN427" i="2"/>
  <c r="BP427" i="2"/>
  <c r="Z427" i="2"/>
  <c r="BP130" i="2"/>
  <c r="BN138" i="2"/>
  <c r="BP153" i="2"/>
  <c r="Y173" i="2"/>
  <c r="BN183" i="2"/>
  <c r="BP190" i="2"/>
  <c r="BP195" i="2"/>
  <c r="Y197" i="2"/>
  <c r="BN238" i="2"/>
  <c r="Y244" i="2"/>
  <c r="Y254" i="2"/>
  <c r="BP285" i="2"/>
  <c r="BP299" i="2"/>
  <c r="BN302" i="2"/>
  <c r="BN305" i="2"/>
  <c r="BP309" i="2"/>
  <c r="BP333" i="2"/>
  <c r="BN341" i="2"/>
  <c r="BP344" i="2"/>
  <c r="BN361" i="2"/>
  <c r="BN364" i="2"/>
  <c r="BN366" i="2"/>
  <c r="BP375" i="2"/>
  <c r="BN380" i="2"/>
  <c r="Y385" i="2"/>
  <c r="BP388" i="2"/>
  <c r="BP393" i="2"/>
  <c r="BN408" i="2"/>
  <c r="Y409" i="2"/>
  <c r="BP414" i="2"/>
  <c r="BP419" i="2"/>
  <c r="Y468" i="2"/>
  <c r="BP474" i="2"/>
  <c r="Z565" i="2"/>
  <c r="Y490" i="2"/>
  <c r="BP519" i="2"/>
  <c r="Y525" i="2"/>
  <c r="Y145" i="2"/>
  <c r="BP142" i="2"/>
  <c r="Z144" i="2"/>
  <c r="BP176" i="2"/>
  <c r="Z178" i="2"/>
  <c r="Z200" i="2"/>
  <c r="Z201" i="2" s="1"/>
  <c r="Z206" i="2"/>
  <c r="Z212" i="2"/>
  <c r="Y214" i="2"/>
  <c r="Y236" i="2"/>
  <c r="BP221" i="2"/>
  <c r="Z224" i="2"/>
  <c r="Z233" i="2"/>
  <c r="BP242" i="2"/>
  <c r="Z248" i="2"/>
  <c r="Z252" i="2"/>
  <c r="Z253" i="2" s="1"/>
  <c r="Y265" i="2"/>
  <c r="Z270" i="2"/>
  <c r="Z280" i="2"/>
  <c r="BP318" i="2"/>
  <c r="BP349" i="2"/>
  <c r="Y358" i="2"/>
  <c r="BP354" i="2"/>
  <c r="T565" i="2"/>
  <c r="Y377" i="2"/>
  <c r="Z395" i="2"/>
  <c r="Y422" i="2"/>
  <c r="BP431" i="2"/>
  <c r="Z439" i="2"/>
  <c r="Z451" i="2"/>
  <c r="Z452" i="2" s="1"/>
  <c r="X565" i="2"/>
  <c r="Z466" i="2"/>
  <c r="Z476" i="2"/>
  <c r="Z488" i="2"/>
  <c r="Z489" i="2" s="1"/>
  <c r="BP492" i="2"/>
  <c r="Z503" i="2"/>
  <c r="Z506" i="2"/>
  <c r="BN512" i="2"/>
  <c r="BP513" i="2"/>
  <c r="Z521" i="2"/>
  <c r="BP523" i="2"/>
  <c r="Y536" i="2"/>
  <c r="Z273" i="2"/>
  <c r="Z283" i="2"/>
  <c r="BN285" i="2"/>
  <c r="Y307" i="2"/>
  <c r="Z302" i="2"/>
  <c r="Z305" i="2"/>
  <c r="Y310" i="2"/>
  <c r="Z341" i="2"/>
  <c r="Y357" i="2"/>
  <c r="Z361" i="2"/>
  <c r="BP361" i="2"/>
  <c r="Z364" i="2"/>
  <c r="Z366" i="2"/>
  <c r="Y368" i="2"/>
  <c r="Z373" i="2"/>
  <c r="BN375" i="2"/>
  <c r="Z380" i="2"/>
  <c r="BN393" i="2"/>
  <c r="Y398" i="2"/>
  <c r="BP394" i="2"/>
  <c r="Z406" i="2"/>
  <c r="Z408" i="2"/>
  <c r="Y410" i="2"/>
  <c r="BN414" i="2"/>
  <c r="BN419" i="2"/>
  <c r="Z440" i="2"/>
  <c r="BP450" i="2"/>
  <c r="Z465" i="2"/>
  <c r="BP465" i="2"/>
  <c r="BN474" i="2"/>
  <c r="BP475" i="2"/>
  <c r="Z478" i="2"/>
  <c r="Y489" i="2"/>
  <c r="AA565" i="2"/>
  <c r="BP500" i="2"/>
  <c r="BN501" i="2"/>
  <c r="Z502" i="2"/>
  <c r="Z507" i="2"/>
  <c r="Z513" i="2"/>
  <c r="BN519" i="2"/>
  <c r="BP520" i="2"/>
  <c r="Z523" i="2"/>
  <c r="BN143" i="2"/>
  <c r="Z240" i="2"/>
  <c r="BN29" i="2"/>
  <c r="Y32" i="2"/>
  <c r="BN41" i="2"/>
  <c r="BP56" i="2"/>
  <c r="BP66" i="2"/>
  <c r="BN87" i="2"/>
  <c r="BP100" i="2"/>
  <c r="BP110" i="2"/>
  <c r="BP120" i="2"/>
  <c r="BN131" i="2"/>
  <c r="BP143" i="2"/>
  <c r="BP154" i="2"/>
  <c r="BN165" i="2"/>
  <c r="BP177" i="2"/>
  <c r="BN185" i="2"/>
  <c r="BN209" i="2"/>
  <c r="BN230" i="2"/>
  <c r="BN240" i="2"/>
  <c r="Y243" i="2"/>
  <c r="BP252" i="2"/>
  <c r="BN263" i="2"/>
  <c r="BN273" i="2"/>
  <c r="BN283" i="2"/>
  <c r="BN293" i="2"/>
  <c r="BN304" i="2"/>
  <c r="BN327" i="2"/>
  <c r="BN363" i="2"/>
  <c r="BN373" i="2"/>
  <c r="BN383" i="2"/>
  <c r="Z393" i="2"/>
  <c r="BN429" i="2"/>
  <c r="BN439" i="2"/>
  <c r="BP451" i="2"/>
  <c r="Y463" i="2"/>
  <c r="BP501" i="2"/>
  <c r="Y510" i="2"/>
  <c r="Y548" i="2"/>
  <c r="K565" i="2"/>
  <c r="BP117" i="2"/>
  <c r="Y193" i="2"/>
  <c r="BN100" i="2"/>
  <c r="Z131" i="2"/>
  <c r="BN48" i="2"/>
  <c r="Y51" i="2"/>
  <c r="BN59" i="2"/>
  <c r="BN69" i="2"/>
  <c r="BN92" i="2"/>
  <c r="Y95" i="2"/>
  <c r="BN103" i="2"/>
  <c r="Y106" i="2"/>
  <c r="BN113" i="2"/>
  <c r="BN136" i="2"/>
  <c r="Y139" i="2"/>
  <c r="BP149" i="2"/>
  <c r="BP159" i="2"/>
  <c r="BN170" i="2"/>
  <c r="BN180" i="2"/>
  <c r="BN190" i="2"/>
  <c r="BN225" i="2"/>
  <c r="BP258" i="2"/>
  <c r="BN268" i="2"/>
  <c r="BN278" i="2"/>
  <c r="BP288" i="2"/>
  <c r="BN299" i="2"/>
  <c r="BN309" i="2"/>
  <c r="BN333" i="2"/>
  <c r="Y336" i="2"/>
  <c r="BN344" i="2"/>
  <c r="BN388" i="2"/>
  <c r="BP400" i="2"/>
  <c r="BP434" i="2"/>
  <c r="BN444" i="2"/>
  <c r="Y447" i="2"/>
  <c r="BP457" i="2"/>
  <c r="BN467" i="2"/>
  <c r="Y480" i="2"/>
  <c r="BN492" i="2"/>
  <c r="Y495" i="2"/>
  <c r="BN504" i="2"/>
  <c r="BN514" i="2"/>
  <c r="BN524" i="2"/>
  <c r="BN538" i="2"/>
  <c r="L565" i="2"/>
  <c r="Y125" i="2"/>
  <c r="BP29" i="2"/>
  <c r="BP41" i="2"/>
  <c r="BP87" i="2"/>
  <c r="Y121" i="2"/>
  <c r="BP165" i="2"/>
  <c r="BP185" i="2"/>
  <c r="BP209" i="2"/>
  <c r="BP230" i="2"/>
  <c r="BP263" i="2"/>
  <c r="BP293" i="2"/>
  <c r="Y315" i="2"/>
  <c r="Y404" i="2"/>
  <c r="Y485" i="2"/>
  <c r="Y532" i="2"/>
  <c r="Y544" i="2"/>
  <c r="M565" i="2"/>
  <c r="Y259" i="2"/>
  <c r="Y435" i="2"/>
  <c r="Y458" i="2"/>
  <c r="Y549" i="2"/>
  <c r="O565" i="2"/>
  <c r="Y160" i="2"/>
  <c r="Y42" i="2"/>
  <c r="Y52" i="2"/>
  <c r="Y88" i="2"/>
  <c r="Y96" i="2"/>
  <c r="Y132" i="2"/>
  <c r="Y140" i="2"/>
  <c r="Z150" i="2"/>
  <c r="Y186" i="2"/>
  <c r="Y264" i="2"/>
  <c r="Z289" i="2"/>
  <c r="Y337" i="2"/>
  <c r="Y384" i="2"/>
  <c r="Z401" i="2"/>
  <c r="Y448" i="2"/>
  <c r="Z482" i="2"/>
  <c r="Y496" i="2"/>
  <c r="P565" i="2"/>
  <c r="Q565" i="2"/>
  <c r="Z37" i="2"/>
  <c r="Z49" i="2"/>
  <c r="Z60" i="2"/>
  <c r="Y75" i="2"/>
  <c r="Z93" i="2"/>
  <c r="Z104" i="2"/>
  <c r="BP129" i="2"/>
  <c r="Z137" i="2"/>
  <c r="BN150" i="2"/>
  <c r="Y161" i="2"/>
  <c r="Z171" i="2"/>
  <c r="Z172" i="2" s="1"/>
  <c r="Z181" i="2"/>
  <c r="Z191" i="2"/>
  <c r="Z226" i="2"/>
  <c r="Z246" i="2"/>
  <c r="Y260" i="2"/>
  <c r="Z269" i="2"/>
  <c r="Z279" i="2"/>
  <c r="BN289" i="2"/>
  <c r="Z300" i="2"/>
  <c r="Z334" i="2"/>
  <c r="Y350" i="2"/>
  <c r="Z389" i="2"/>
  <c r="Z390" i="2" s="1"/>
  <c r="BN401" i="2"/>
  <c r="Y415" i="2"/>
  <c r="Y436" i="2"/>
  <c r="Z445" i="2"/>
  <c r="Z447" i="2" s="1"/>
  <c r="Y459" i="2"/>
  <c r="BN482" i="2"/>
  <c r="Z493" i="2"/>
  <c r="Z505" i="2"/>
  <c r="Z552" i="2"/>
  <c r="Z553" i="2" s="1"/>
  <c r="R565" i="2"/>
  <c r="BN534" i="2"/>
  <c r="BN546" i="2"/>
  <c r="S565" i="2"/>
  <c r="Z23" i="2"/>
  <c r="Z24" i="2" s="1"/>
  <c r="BN37" i="2"/>
  <c r="BN49" i="2"/>
  <c r="BN60" i="2"/>
  <c r="Y63" i="2"/>
  <c r="Y71" i="2"/>
  <c r="BN93" i="2"/>
  <c r="BN104" i="2"/>
  <c r="Y115" i="2"/>
  <c r="Z124" i="2"/>
  <c r="Z125" i="2" s="1"/>
  <c r="BN171" i="2"/>
  <c r="BN181" i="2"/>
  <c r="BN191" i="2"/>
  <c r="BN226" i="2"/>
  <c r="Y249" i="2"/>
  <c r="Z257" i="2"/>
  <c r="BN269" i="2"/>
  <c r="Z287" i="2"/>
  <c r="BN300" i="2"/>
  <c r="Y311" i="2"/>
  <c r="BN389" i="2"/>
  <c r="Z421" i="2"/>
  <c r="Z433" i="2"/>
  <c r="BN445" i="2"/>
  <c r="Z456" i="2"/>
  <c r="BP482" i="2"/>
  <c r="BN493" i="2"/>
  <c r="BN505" i="2"/>
  <c r="Y526" i="2"/>
  <c r="Y540" i="2"/>
  <c r="BN552" i="2"/>
  <c r="BN137" i="2"/>
  <c r="Z234" i="2"/>
  <c r="BN246" i="2"/>
  <c r="Y346" i="2"/>
  <c r="Z356" i="2"/>
  <c r="Z28" i="2"/>
  <c r="Z40" i="2"/>
  <c r="BN55" i="2"/>
  <c r="Y76" i="2"/>
  <c r="Z86" i="2"/>
  <c r="BN99" i="2"/>
  <c r="Z130" i="2"/>
  <c r="BN142" i="2"/>
  <c r="Y156" i="2"/>
  <c r="Z164" i="2"/>
  <c r="Z167" i="2" s="1"/>
  <c r="Z184" i="2"/>
  <c r="Z208" i="2"/>
  <c r="BN221" i="2"/>
  <c r="Z229" i="2"/>
  <c r="Z239" i="2"/>
  <c r="Z262" i="2"/>
  <c r="Z264" i="2" s="1"/>
  <c r="Z272" i="2"/>
  <c r="Z282" i="2"/>
  <c r="Z303" i="2"/>
  <c r="Z326" i="2"/>
  <c r="Y351" i="2"/>
  <c r="Z362" i="2"/>
  <c r="Z372" i="2"/>
  <c r="Z382" i="2"/>
  <c r="BN394" i="2"/>
  <c r="Y416" i="2"/>
  <c r="Z428" i="2"/>
  <c r="Z438" i="2"/>
  <c r="Z461" i="2"/>
  <c r="Z462" i="2" s="1"/>
  <c r="BP488" i="2"/>
  <c r="BN500" i="2"/>
  <c r="Z508" i="2"/>
  <c r="B565" i="2"/>
  <c r="U565" i="2"/>
  <c r="BP171" i="2"/>
  <c r="Y290" i="2"/>
  <c r="BN421" i="2"/>
  <c r="BN433" i="2"/>
  <c r="BN456" i="2"/>
  <c r="BP552" i="2"/>
  <c r="C565" i="2"/>
  <c r="V565" i="2"/>
  <c r="BN23" i="2"/>
  <c r="BN234" i="2"/>
  <c r="BP246" i="2"/>
  <c r="Y64" i="2"/>
  <c r="Z73" i="2"/>
  <c r="Z117" i="2"/>
  <c r="Z151" i="2"/>
  <c r="BN164" i="2"/>
  <c r="Y167" i="2"/>
  <c r="BN184" i="2"/>
  <c r="BN208" i="2"/>
  <c r="BN229" i="2"/>
  <c r="BN239" i="2"/>
  <c r="BN262" i="2"/>
  <c r="BN272" i="2"/>
  <c r="Y275" i="2"/>
  <c r="BN282" i="2"/>
  <c r="BN303" i="2"/>
  <c r="Y306" i="2"/>
  <c r="Z313" i="2"/>
  <c r="Z314" i="2" s="1"/>
  <c r="BN326" i="2"/>
  <c r="Y329" i="2"/>
  <c r="Z348" i="2"/>
  <c r="Z350" i="2" s="1"/>
  <c r="BN362" i="2"/>
  <c r="BN372" i="2"/>
  <c r="BN382" i="2"/>
  <c r="Z402" i="2"/>
  <c r="BN428" i="2"/>
  <c r="BN438" i="2"/>
  <c r="Y441" i="2"/>
  <c r="BN461" i="2"/>
  <c r="Z473" i="2"/>
  <c r="Z483" i="2"/>
  <c r="BN508" i="2"/>
  <c r="Z518" i="2"/>
  <c r="Z530" i="2"/>
  <c r="Z531" i="2" s="1"/>
  <c r="Z542" i="2"/>
  <c r="Z543" i="2" s="1"/>
  <c r="BN124" i="2"/>
  <c r="BN257" i="2"/>
  <c r="BN287" i="2"/>
  <c r="F9" i="2"/>
  <c r="H9" i="2"/>
  <c r="BP23" i="2"/>
  <c r="BP124" i="2"/>
  <c r="Y157" i="2"/>
  <c r="Y172" i="2"/>
  <c r="Y192" i="2"/>
  <c r="BP234" i="2"/>
  <c r="Z354" i="2"/>
  <c r="BP356" i="2"/>
  <c r="Y390" i="2"/>
  <c r="Z419" i="2"/>
  <c r="BP421" i="2"/>
  <c r="BP456" i="2"/>
  <c r="Z547" i="2"/>
  <c r="Y553" i="2"/>
  <c r="J9" i="2"/>
  <c r="BN73" i="2"/>
  <c r="BN151" i="2"/>
  <c r="BP164" i="2"/>
  <c r="Y291" i="2"/>
  <c r="BN313" i="2"/>
  <c r="BN348" i="2"/>
  <c r="BN402" i="2"/>
  <c r="BP438" i="2"/>
  <c r="BP461" i="2"/>
  <c r="BN473" i="2"/>
  <c r="BN483" i="2"/>
  <c r="BN518" i="2"/>
  <c r="F565" i="2"/>
  <c r="Y565" i="2"/>
  <c r="Z149" i="2"/>
  <c r="Z258" i="2"/>
  <c r="Z288" i="2"/>
  <c r="BP313" i="2"/>
  <c r="Y391" i="2"/>
  <c r="Z400" i="2"/>
  <c r="Z434" i="2"/>
  <c r="Z457" i="2"/>
  <c r="BP473" i="2"/>
  <c r="BN494" i="2"/>
  <c r="BN506" i="2"/>
  <c r="Y509" i="2"/>
  <c r="BP530" i="2"/>
  <c r="BP542" i="2"/>
  <c r="Y554" i="2"/>
  <c r="I565" i="2"/>
  <c r="AB565" i="2"/>
  <c r="Z159" i="2"/>
  <c r="Z160" i="2" s="1"/>
  <c r="BN400" i="2"/>
  <c r="Z525" i="2" l="1"/>
  <c r="Z515" i="2"/>
  <c r="Z70" i="2"/>
  <c r="X558" i="2"/>
  <c r="Z422" i="2"/>
  <c r="Z329" i="2"/>
  <c r="Z51" i="2"/>
  <c r="Z397" i="2"/>
  <c r="Z409" i="2"/>
  <c r="Z145" i="2"/>
  <c r="Z295" i="2"/>
  <c r="Z345" i="2"/>
  <c r="Z213" i="2"/>
  <c r="Z548" i="2"/>
  <c r="Z357" i="2"/>
  <c r="Z75" i="2"/>
  <c r="Z377" i="2"/>
  <c r="Z243" i="2"/>
  <c r="Z132" i="2"/>
  <c r="Z32" i="2"/>
  <c r="Z509" i="2"/>
  <c r="Z336" i="2"/>
  <c r="Z249" i="2"/>
  <c r="Z95" i="2"/>
  <c r="Z63" i="2"/>
  <c r="Y556" i="2"/>
  <c r="Z156" i="2"/>
  <c r="Z479" i="2"/>
  <c r="Z121" i="2"/>
  <c r="Z441" i="2"/>
  <c r="Z495" i="2"/>
  <c r="Z139" i="2"/>
  <c r="Z468" i="2"/>
  <c r="Z367" i="2"/>
  <c r="Z290" i="2"/>
  <c r="Z106" i="2"/>
  <c r="Y559" i="2"/>
  <c r="Z114" i="2"/>
  <c r="Z88" i="2"/>
  <c r="Z235" i="2"/>
  <c r="Z275" i="2"/>
  <c r="Z192" i="2"/>
  <c r="Z435" i="2"/>
  <c r="Z384" i="2"/>
  <c r="Z259" i="2"/>
  <c r="Z306" i="2"/>
  <c r="Z186" i="2"/>
  <c r="Y555" i="2"/>
  <c r="Y557" i="2"/>
  <c r="Z320" i="2"/>
  <c r="Z42" i="2"/>
  <c r="Z484" i="2"/>
  <c r="Z403" i="2"/>
  <c r="Z458" i="2"/>
  <c r="Y558" i="2" l="1"/>
  <c r="Z560" i="2"/>
</calcChain>
</file>

<file path=xl/sharedStrings.xml><?xml version="1.0" encoding="utf-8"?>
<sst xmlns="http://schemas.openxmlformats.org/spreadsheetml/2006/main" count="4236" uniqueCount="895">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</sst>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5"/>
  <sheetViews>
    <sheetView showGridLines="0" tabSelected="1" topLeftCell="A528" zoomScaleNormal="100" zoomScaleSheetLayoutView="100" workbookViewId="0">
      <selection activeCell="X561" sqref="X56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4" t="s">
        <v>26</v>
      </c>
      <c r="E1" s="644"/>
      <c r="F1" s="644"/>
      <c r="G1" s="14" t="s">
        <v>67</v>
      </c>
      <c r="H1" s="644" t="s">
        <v>47</v>
      </c>
      <c r="I1" s="644"/>
      <c r="J1" s="644"/>
      <c r="K1" s="644"/>
      <c r="L1" s="644"/>
      <c r="M1" s="644"/>
      <c r="N1" s="644"/>
      <c r="O1" s="644"/>
      <c r="P1" s="644"/>
      <c r="Q1" s="644"/>
      <c r="R1" s="645" t="s">
        <v>68</v>
      </c>
      <c r="S1" s="646"/>
      <c r="T1" s="64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7"/>
      <c r="R2" s="647"/>
      <c r="S2" s="647"/>
      <c r="T2" s="647"/>
      <c r="U2" s="647"/>
      <c r="V2" s="647"/>
      <c r="W2" s="64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7"/>
      <c r="Q3" s="647"/>
      <c r="R3" s="647"/>
      <c r="S3" s="647"/>
      <c r="T3" s="647"/>
      <c r="U3" s="647"/>
      <c r="V3" s="647"/>
      <c r="W3" s="64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8" t="s">
        <v>8</v>
      </c>
      <c r="B5" s="648"/>
      <c r="C5" s="648"/>
      <c r="D5" s="649"/>
      <c r="E5" s="649"/>
      <c r="F5" s="650" t="s">
        <v>14</v>
      </c>
      <c r="G5" s="650"/>
      <c r="H5" s="649"/>
      <c r="I5" s="649"/>
      <c r="J5" s="649"/>
      <c r="K5" s="649"/>
      <c r="L5" s="649"/>
      <c r="M5" s="649"/>
      <c r="N5" s="72"/>
      <c r="P5" s="27" t="s">
        <v>4</v>
      </c>
      <c r="Q5" s="651">
        <v>46243</v>
      </c>
      <c r="R5" s="651"/>
      <c r="T5" s="652" t="s">
        <v>3</v>
      </c>
      <c r="U5" s="653"/>
      <c r="V5" s="654" t="s">
        <v>876</v>
      </c>
      <c r="W5" s="655"/>
      <c r="AB5" s="59"/>
      <c r="AC5" s="59"/>
      <c r="AD5" s="59"/>
      <c r="AE5" s="59"/>
    </row>
    <row r="6" spans="1:32" s="17" customFormat="1" ht="24" customHeight="1" x14ac:dyDescent="0.2">
      <c r="A6" s="648" t="s">
        <v>1</v>
      </c>
      <c r="B6" s="648"/>
      <c r="C6" s="648"/>
      <c r="D6" s="656" t="s">
        <v>877</v>
      </c>
      <c r="E6" s="656"/>
      <c r="F6" s="656"/>
      <c r="G6" s="656"/>
      <c r="H6" s="656"/>
      <c r="I6" s="656"/>
      <c r="J6" s="656"/>
      <c r="K6" s="656"/>
      <c r="L6" s="656"/>
      <c r="M6" s="656"/>
      <c r="N6" s="73"/>
      <c r="P6" s="27" t="s">
        <v>27</v>
      </c>
      <c r="Q6" s="657" t="str">
        <f>IF(Q5=0," ",CHOOSE(WEEKDAY(Q5,2),"Понедельник","Вторник","Среда","Четверг","Пятница","Суббота","Воскресенье"))</f>
        <v>Воскресенье</v>
      </c>
      <c r="R6" s="657"/>
      <c r="T6" s="658" t="s">
        <v>5</v>
      </c>
      <c r="U6" s="659"/>
      <c r="V6" s="660" t="s">
        <v>70</v>
      </c>
      <c r="W6" s="66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6" t="str">
        <f>IFERROR(VLOOKUP(DeliveryAddress,Table,3,0),1)</f>
        <v>1</v>
      </c>
      <c r="E7" s="667"/>
      <c r="F7" s="667"/>
      <c r="G7" s="667"/>
      <c r="H7" s="667"/>
      <c r="I7" s="667"/>
      <c r="J7" s="667"/>
      <c r="K7" s="667"/>
      <c r="L7" s="667"/>
      <c r="M7" s="668"/>
      <c r="N7" s="74"/>
      <c r="P7" s="29"/>
      <c r="Q7" s="48"/>
      <c r="R7" s="48"/>
      <c r="T7" s="658"/>
      <c r="U7" s="659"/>
      <c r="V7" s="662"/>
      <c r="W7" s="663"/>
      <c r="AB7" s="59"/>
      <c r="AC7" s="59"/>
      <c r="AD7" s="59"/>
      <c r="AE7" s="59"/>
    </row>
    <row r="8" spans="1:32" s="17" customFormat="1" ht="25.5" customHeight="1" x14ac:dyDescent="0.2">
      <c r="A8" s="669" t="s">
        <v>58</v>
      </c>
      <c r="B8" s="669"/>
      <c r="C8" s="669"/>
      <c r="D8" s="670"/>
      <c r="E8" s="670"/>
      <c r="F8" s="670"/>
      <c r="G8" s="670"/>
      <c r="H8" s="670"/>
      <c r="I8" s="670"/>
      <c r="J8" s="670"/>
      <c r="K8" s="670"/>
      <c r="L8" s="670"/>
      <c r="M8" s="670"/>
      <c r="N8" s="75"/>
      <c r="P8" s="27" t="s">
        <v>11</v>
      </c>
      <c r="Q8" s="671">
        <v>0.375</v>
      </c>
      <c r="R8" s="671"/>
      <c r="T8" s="658"/>
      <c r="U8" s="659"/>
      <c r="V8" s="662"/>
      <c r="W8" s="663"/>
      <c r="AB8" s="59"/>
      <c r="AC8" s="59"/>
      <c r="AD8" s="59"/>
      <c r="AE8" s="59"/>
    </row>
    <row r="9" spans="1:32" s="17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2"/>
      <c r="C9" s="672"/>
      <c r="D9" s="673" t="s">
        <v>46</v>
      </c>
      <c r="E9" s="674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2"/>
      <c r="H9" s="675" t="str">
        <f>IF(AND($A$9="Тип доверенности/получателя при получении в адресе перегруза:",$D$9="Разовая доверенность"),"Введите ФИО","")</f>
        <v/>
      </c>
      <c r="I9" s="675"/>
      <c r="J9" s="67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5"/>
      <c r="L9" s="675"/>
      <c r="M9" s="675"/>
      <c r="N9" s="70"/>
      <c r="P9" s="31" t="s">
        <v>15</v>
      </c>
      <c r="Q9" s="676"/>
      <c r="R9" s="676"/>
      <c r="T9" s="658"/>
      <c r="U9" s="659"/>
      <c r="V9" s="664"/>
      <c r="W9" s="66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2"/>
      <c r="C10" s="672"/>
      <c r="D10" s="673"/>
      <c r="E10" s="674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2"/>
      <c r="H10" s="677" t="str">
        <f>IFERROR(VLOOKUP($D$10,Proxy,2,FALSE),"")</f>
        <v/>
      </c>
      <c r="I10" s="677"/>
      <c r="J10" s="677"/>
      <c r="K10" s="677"/>
      <c r="L10" s="677"/>
      <c r="M10" s="677"/>
      <c r="N10" s="71"/>
      <c r="P10" s="31" t="s">
        <v>32</v>
      </c>
      <c r="Q10" s="678"/>
      <c r="R10" s="678"/>
      <c r="U10" s="29" t="s">
        <v>12</v>
      </c>
      <c r="V10" s="679" t="s">
        <v>71</v>
      </c>
      <c r="W10" s="6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1"/>
      <c r="R11" s="681"/>
      <c r="U11" s="29" t="s">
        <v>28</v>
      </c>
      <c r="V11" s="682" t="s">
        <v>55</v>
      </c>
      <c r="W11" s="6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3" t="s">
        <v>72</v>
      </c>
      <c r="B12" s="683"/>
      <c r="C12" s="683"/>
      <c r="D12" s="683"/>
      <c r="E12" s="683"/>
      <c r="F12" s="683"/>
      <c r="G12" s="683"/>
      <c r="H12" s="683"/>
      <c r="I12" s="683"/>
      <c r="J12" s="683"/>
      <c r="K12" s="683"/>
      <c r="L12" s="683"/>
      <c r="M12" s="683"/>
      <c r="N12" s="76"/>
      <c r="P12" s="27" t="s">
        <v>30</v>
      </c>
      <c r="Q12" s="671"/>
      <c r="R12" s="671"/>
      <c r="S12" s="28"/>
      <c r="T12"/>
      <c r="U12" s="29" t="s">
        <v>46</v>
      </c>
      <c r="V12" s="684"/>
      <c r="W12" s="684"/>
      <c r="X12"/>
      <c r="AB12" s="59"/>
      <c r="AC12" s="59"/>
      <c r="AD12" s="59"/>
      <c r="AE12" s="59"/>
    </row>
    <row r="13" spans="1:32" s="17" customFormat="1" ht="23.25" customHeight="1" x14ac:dyDescent="0.2">
      <c r="A13" s="683" t="s">
        <v>73</v>
      </c>
      <c r="B13" s="683"/>
      <c r="C13" s="683"/>
      <c r="D13" s="683"/>
      <c r="E13" s="683"/>
      <c r="F13" s="683"/>
      <c r="G13" s="683"/>
      <c r="H13" s="683"/>
      <c r="I13" s="683"/>
      <c r="J13" s="683"/>
      <c r="K13" s="683"/>
      <c r="L13" s="683"/>
      <c r="M13" s="683"/>
      <c r="N13" s="76"/>
      <c r="O13" s="31"/>
      <c r="P13" s="31" t="s">
        <v>31</v>
      </c>
      <c r="Q13" s="682"/>
      <c r="R13" s="6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3" t="s">
        <v>74</v>
      </c>
      <c r="B14" s="683"/>
      <c r="C14" s="683"/>
      <c r="D14" s="683"/>
      <c r="E14" s="683"/>
      <c r="F14" s="683"/>
      <c r="G14" s="683"/>
      <c r="H14" s="683"/>
      <c r="I14" s="683"/>
      <c r="J14" s="683"/>
      <c r="K14" s="683"/>
      <c r="L14" s="683"/>
      <c r="M14" s="6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5" t="s">
        <v>75</v>
      </c>
      <c r="B15" s="685"/>
      <c r="C15" s="685"/>
      <c r="D15" s="685"/>
      <c r="E15" s="685"/>
      <c r="F15" s="685"/>
      <c r="G15" s="685"/>
      <c r="H15" s="685"/>
      <c r="I15" s="685"/>
      <c r="J15" s="685"/>
      <c r="K15" s="685"/>
      <c r="L15" s="685"/>
      <c r="M15" s="685"/>
      <c r="N15" s="77"/>
      <c r="O15"/>
      <c r="P15" s="686" t="s">
        <v>61</v>
      </c>
      <c r="Q15" s="686"/>
      <c r="R15" s="686"/>
      <c r="S15" s="686"/>
      <c r="T15" s="68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7"/>
      <c r="Q16" s="687"/>
      <c r="R16" s="687"/>
      <c r="S16" s="687"/>
      <c r="T16" s="68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0" t="s">
        <v>59</v>
      </c>
      <c r="B17" s="690" t="s">
        <v>49</v>
      </c>
      <c r="C17" s="692" t="s">
        <v>48</v>
      </c>
      <c r="D17" s="694" t="s">
        <v>50</v>
      </c>
      <c r="E17" s="695"/>
      <c r="F17" s="690" t="s">
        <v>21</v>
      </c>
      <c r="G17" s="690" t="s">
        <v>24</v>
      </c>
      <c r="H17" s="690" t="s">
        <v>22</v>
      </c>
      <c r="I17" s="690" t="s">
        <v>23</v>
      </c>
      <c r="J17" s="690" t="s">
        <v>16</v>
      </c>
      <c r="K17" s="690" t="s">
        <v>66</v>
      </c>
      <c r="L17" s="690" t="s">
        <v>64</v>
      </c>
      <c r="M17" s="690" t="s">
        <v>2</v>
      </c>
      <c r="N17" s="690" t="s">
        <v>63</v>
      </c>
      <c r="O17" s="690" t="s">
        <v>25</v>
      </c>
      <c r="P17" s="694" t="s">
        <v>17</v>
      </c>
      <c r="Q17" s="698"/>
      <c r="R17" s="698"/>
      <c r="S17" s="698"/>
      <c r="T17" s="695"/>
      <c r="U17" s="688" t="s">
        <v>56</v>
      </c>
      <c r="V17" s="689"/>
      <c r="W17" s="690" t="s">
        <v>6</v>
      </c>
      <c r="X17" s="690" t="s">
        <v>41</v>
      </c>
      <c r="Y17" s="700" t="s">
        <v>54</v>
      </c>
      <c r="Z17" s="702" t="s">
        <v>18</v>
      </c>
      <c r="AA17" s="704" t="s">
        <v>60</v>
      </c>
      <c r="AB17" s="704" t="s">
        <v>19</v>
      </c>
      <c r="AC17" s="704" t="s">
        <v>65</v>
      </c>
      <c r="AD17" s="706" t="s">
        <v>57</v>
      </c>
      <c r="AE17" s="707"/>
      <c r="AF17" s="708"/>
      <c r="AG17" s="82"/>
      <c r="BD17" s="81" t="s">
        <v>62</v>
      </c>
    </row>
    <row r="18" spans="1:68" ht="14.25" customHeight="1" x14ac:dyDescent="0.2">
      <c r="A18" s="691"/>
      <c r="B18" s="691"/>
      <c r="C18" s="693"/>
      <c r="D18" s="696"/>
      <c r="E18" s="697"/>
      <c r="F18" s="691"/>
      <c r="G18" s="691"/>
      <c r="H18" s="691"/>
      <c r="I18" s="691"/>
      <c r="J18" s="691"/>
      <c r="K18" s="691"/>
      <c r="L18" s="691"/>
      <c r="M18" s="691"/>
      <c r="N18" s="691"/>
      <c r="O18" s="691"/>
      <c r="P18" s="696"/>
      <c r="Q18" s="699"/>
      <c r="R18" s="699"/>
      <c r="S18" s="699"/>
      <c r="T18" s="697"/>
      <c r="U18" s="83" t="s">
        <v>44</v>
      </c>
      <c r="V18" s="83" t="s">
        <v>43</v>
      </c>
      <c r="W18" s="691"/>
      <c r="X18" s="691"/>
      <c r="Y18" s="701"/>
      <c r="Z18" s="703"/>
      <c r="AA18" s="705"/>
      <c r="AB18" s="705"/>
      <c r="AC18" s="705"/>
      <c r="AD18" s="709"/>
      <c r="AE18" s="710"/>
      <c r="AF18" s="711"/>
      <c r="AG18" s="82"/>
      <c r="BD18" s="81"/>
    </row>
    <row r="19" spans="1:68" ht="27.75" customHeight="1" x14ac:dyDescent="0.2">
      <c r="A19" s="712" t="s">
        <v>76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54"/>
      <c r="AB19" s="54"/>
      <c r="AC19" s="54"/>
    </row>
    <row r="20" spans="1:68" ht="16.5" customHeight="1" x14ac:dyDescent="0.25">
      <c r="A20" s="713" t="s">
        <v>76</v>
      </c>
      <c r="B20" s="713"/>
      <c r="C20" s="713"/>
      <c r="D20" s="713"/>
      <c r="E20" s="713"/>
      <c r="F20" s="713"/>
      <c r="G20" s="713"/>
      <c r="H20" s="713"/>
      <c r="I20" s="713"/>
      <c r="J20" s="713"/>
      <c r="K20" s="713"/>
      <c r="L20" s="713"/>
      <c r="M20" s="713"/>
      <c r="N20" s="713"/>
      <c r="O20" s="713"/>
      <c r="P20" s="713"/>
      <c r="Q20" s="713"/>
      <c r="R20" s="713"/>
      <c r="S20" s="713"/>
      <c r="T20" s="713"/>
      <c r="U20" s="713"/>
      <c r="V20" s="713"/>
      <c r="W20" s="713"/>
      <c r="X20" s="713"/>
      <c r="Y20" s="713"/>
      <c r="Z20" s="713"/>
      <c r="AA20" s="65"/>
      <c r="AB20" s="65"/>
      <c r="AC20" s="79"/>
    </row>
    <row r="21" spans="1:68" ht="14.25" customHeight="1" x14ac:dyDescent="0.25">
      <c r="A21" s="714" t="s">
        <v>77</v>
      </c>
      <c r="B21" s="714"/>
      <c r="C21" s="714"/>
      <c r="D21" s="714"/>
      <c r="E21" s="714"/>
      <c r="F21" s="714"/>
      <c r="G21" s="714"/>
      <c r="H21" s="714"/>
      <c r="I21" s="714"/>
      <c r="J21" s="714"/>
      <c r="K21" s="714"/>
      <c r="L21" s="714"/>
      <c r="M21" s="714"/>
      <c r="N21" s="714"/>
      <c r="O21" s="714"/>
      <c r="P21" s="714"/>
      <c r="Q21" s="714"/>
      <c r="R21" s="714"/>
      <c r="S21" s="714"/>
      <c r="T21" s="714"/>
      <c r="U21" s="714"/>
      <c r="V21" s="714"/>
      <c r="W21" s="714"/>
      <c r="X21" s="714"/>
      <c r="Y21" s="714"/>
      <c r="Z21" s="714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715">
        <v>4680115886643</v>
      </c>
      <c r="E22" s="71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7"/>
      <c r="R22" s="717"/>
      <c r="S22" s="717"/>
      <c r="T22" s="71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715">
        <v>4680115889071</v>
      </c>
      <c r="E23" s="71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7"/>
      <c r="R23" s="717"/>
      <c r="S23" s="717"/>
      <c r="T23" s="71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723"/>
      <c r="B24" s="723"/>
      <c r="C24" s="723"/>
      <c r="D24" s="723"/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4"/>
      <c r="P24" s="720" t="s">
        <v>40</v>
      </c>
      <c r="Q24" s="721"/>
      <c r="R24" s="721"/>
      <c r="S24" s="721"/>
      <c r="T24" s="721"/>
      <c r="U24" s="721"/>
      <c r="V24" s="72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723"/>
      <c r="B25" s="723"/>
      <c r="C25" s="723"/>
      <c r="D25" s="723"/>
      <c r="E25" s="723"/>
      <c r="F25" s="723"/>
      <c r="G25" s="723"/>
      <c r="H25" s="723"/>
      <c r="I25" s="723"/>
      <c r="J25" s="723"/>
      <c r="K25" s="723"/>
      <c r="L25" s="723"/>
      <c r="M25" s="723"/>
      <c r="N25" s="723"/>
      <c r="O25" s="724"/>
      <c r="P25" s="720" t="s">
        <v>40</v>
      </c>
      <c r="Q25" s="721"/>
      <c r="R25" s="721"/>
      <c r="S25" s="721"/>
      <c r="T25" s="721"/>
      <c r="U25" s="721"/>
      <c r="V25" s="72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714" t="s">
        <v>86</v>
      </c>
      <c r="B26" s="714"/>
      <c r="C26" s="714"/>
      <c r="D26" s="714"/>
      <c r="E26" s="714"/>
      <c r="F26" s="714"/>
      <c r="G26" s="714"/>
      <c r="H26" s="714"/>
      <c r="I26" s="714"/>
      <c r="J26" s="714"/>
      <c r="K26" s="714"/>
      <c r="L26" s="714"/>
      <c r="M26" s="714"/>
      <c r="N26" s="714"/>
      <c r="O26" s="714"/>
      <c r="P26" s="714"/>
      <c r="Q26" s="714"/>
      <c r="R26" s="714"/>
      <c r="S26" s="714"/>
      <c r="T26" s="714"/>
      <c r="U26" s="714"/>
      <c r="V26" s="714"/>
      <c r="W26" s="714"/>
      <c r="X26" s="714"/>
      <c r="Y26" s="714"/>
      <c r="Z26" s="714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715">
        <v>4680115885912</v>
      </c>
      <c r="E27" s="71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2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7"/>
      <c r="R27" s="717"/>
      <c r="S27" s="717"/>
      <c r="T27" s="71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715">
        <v>4607091388237</v>
      </c>
      <c r="E28" s="71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7"/>
      <c r="R28" s="717"/>
      <c r="S28" s="717"/>
      <c r="T28" s="71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715">
        <v>4680115887350</v>
      </c>
      <c r="E29" s="71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7"/>
      <c r="R29" s="717"/>
      <c r="S29" s="717"/>
      <c r="T29" s="71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715">
        <v>4680115885905</v>
      </c>
      <c r="E30" s="71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7"/>
      <c r="R30" s="717"/>
      <c r="S30" s="717"/>
      <c r="T30" s="71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715">
        <v>4680115887619</v>
      </c>
      <c r="E31" s="71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7"/>
      <c r="R31" s="717"/>
      <c r="S31" s="717"/>
      <c r="T31" s="71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723"/>
      <c r="B32" s="723"/>
      <c r="C32" s="723"/>
      <c r="D32" s="723"/>
      <c r="E32" s="723"/>
      <c r="F32" s="723"/>
      <c r="G32" s="723"/>
      <c r="H32" s="723"/>
      <c r="I32" s="723"/>
      <c r="J32" s="723"/>
      <c r="K32" s="723"/>
      <c r="L32" s="723"/>
      <c r="M32" s="723"/>
      <c r="N32" s="723"/>
      <c r="O32" s="724"/>
      <c r="P32" s="720" t="s">
        <v>40</v>
      </c>
      <c r="Q32" s="721"/>
      <c r="R32" s="721"/>
      <c r="S32" s="721"/>
      <c r="T32" s="721"/>
      <c r="U32" s="721"/>
      <c r="V32" s="72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723"/>
      <c r="B33" s="723"/>
      <c r="C33" s="723"/>
      <c r="D33" s="723"/>
      <c r="E33" s="723"/>
      <c r="F33" s="723"/>
      <c r="G33" s="723"/>
      <c r="H33" s="723"/>
      <c r="I33" s="723"/>
      <c r="J33" s="723"/>
      <c r="K33" s="723"/>
      <c r="L33" s="723"/>
      <c r="M33" s="723"/>
      <c r="N33" s="723"/>
      <c r="O33" s="724"/>
      <c r="P33" s="720" t="s">
        <v>40</v>
      </c>
      <c r="Q33" s="721"/>
      <c r="R33" s="721"/>
      <c r="S33" s="721"/>
      <c r="T33" s="721"/>
      <c r="U33" s="721"/>
      <c r="V33" s="72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712" t="s">
        <v>45</v>
      </c>
      <c r="B34" s="712"/>
      <c r="C34" s="712"/>
      <c r="D34" s="712"/>
      <c r="E34" s="712"/>
      <c r="F34" s="712"/>
      <c r="G34" s="712"/>
      <c r="H34" s="712"/>
      <c r="I34" s="712"/>
      <c r="J34" s="712"/>
      <c r="K34" s="712"/>
      <c r="L34" s="712"/>
      <c r="M34" s="712"/>
      <c r="N34" s="712"/>
      <c r="O34" s="712"/>
      <c r="P34" s="712"/>
      <c r="Q34" s="712"/>
      <c r="R34" s="712"/>
      <c r="S34" s="712"/>
      <c r="T34" s="712"/>
      <c r="U34" s="712"/>
      <c r="V34" s="712"/>
      <c r="W34" s="712"/>
      <c r="X34" s="712"/>
      <c r="Y34" s="712"/>
      <c r="Z34" s="712"/>
      <c r="AA34" s="54"/>
      <c r="AB34" s="54"/>
      <c r="AC34" s="54"/>
    </row>
    <row r="35" spans="1:68" ht="16.5" customHeight="1" x14ac:dyDescent="0.25">
      <c r="A35" s="713" t="s">
        <v>104</v>
      </c>
      <c r="B35" s="713"/>
      <c r="C35" s="713"/>
      <c r="D35" s="713"/>
      <c r="E35" s="713"/>
      <c r="F35" s="713"/>
      <c r="G35" s="713"/>
      <c r="H35" s="713"/>
      <c r="I35" s="713"/>
      <c r="J35" s="713"/>
      <c r="K35" s="713"/>
      <c r="L35" s="713"/>
      <c r="M35" s="713"/>
      <c r="N35" s="713"/>
      <c r="O35" s="713"/>
      <c r="P35" s="713"/>
      <c r="Q35" s="713"/>
      <c r="R35" s="713"/>
      <c r="S35" s="713"/>
      <c r="T35" s="713"/>
      <c r="U35" s="713"/>
      <c r="V35" s="713"/>
      <c r="W35" s="713"/>
      <c r="X35" s="713"/>
      <c r="Y35" s="713"/>
      <c r="Z35" s="713"/>
      <c r="AA35" s="65"/>
      <c r="AB35" s="65"/>
      <c r="AC35" s="79"/>
    </row>
    <row r="36" spans="1:68" ht="14.25" customHeight="1" x14ac:dyDescent="0.25">
      <c r="A36" s="714" t="s">
        <v>86</v>
      </c>
      <c r="B36" s="714"/>
      <c r="C36" s="714"/>
      <c r="D36" s="714"/>
      <c r="E36" s="714"/>
      <c r="F36" s="714"/>
      <c r="G36" s="714"/>
      <c r="H36" s="714"/>
      <c r="I36" s="714"/>
      <c r="J36" s="714"/>
      <c r="K36" s="714"/>
      <c r="L36" s="714"/>
      <c r="M36" s="714"/>
      <c r="N36" s="714"/>
      <c r="O36" s="714"/>
      <c r="P36" s="714"/>
      <c r="Q36" s="714"/>
      <c r="R36" s="714"/>
      <c r="S36" s="714"/>
      <c r="T36" s="714"/>
      <c r="U36" s="714"/>
      <c r="V36" s="714"/>
      <c r="W36" s="714"/>
      <c r="X36" s="714"/>
      <c r="Y36" s="714"/>
      <c r="Z36" s="714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4301052187</v>
      </c>
      <c r="D37" s="715">
        <v>4680115889354</v>
      </c>
      <c r="E37" s="71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7"/>
      <c r="R37" s="717"/>
      <c r="S37" s="717"/>
      <c r="T37" s="71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4301052198</v>
      </c>
      <c r="D38" s="715">
        <v>4680115888463</v>
      </c>
      <c r="E38" s="71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7"/>
      <c r="R38" s="717"/>
      <c r="S38" s="717"/>
      <c r="T38" s="71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4301052202</v>
      </c>
      <c r="D39" s="715">
        <v>4680115888494</v>
      </c>
      <c r="E39" s="715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717"/>
      <c r="R39" s="717"/>
      <c r="S39" s="717"/>
      <c r="T39" s="71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715">
        <v>4680115888272</v>
      </c>
      <c r="E40" s="71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7"/>
      <c r="R40" s="717"/>
      <c r="S40" s="717"/>
      <c r="T40" s="71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715">
        <v>4680115888364</v>
      </c>
      <c r="E41" s="71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7"/>
      <c r="R41" s="717"/>
      <c r="S41" s="717"/>
      <c r="T41" s="71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723"/>
      <c r="B42" s="723"/>
      <c r="C42" s="723"/>
      <c r="D42" s="723"/>
      <c r="E42" s="723"/>
      <c r="F42" s="723"/>
      <c r="G42" s="723"/>
      <c r="H42" s="723"/>
      <c r="I42" s="723"/>
      <c r="J42" s="723"/>
      <c r="K42" s="723"/>
      <c r="L42" s="723"/>
      <c r="M42" s="723"/>
      <c r="N42" s="723"/>
      <c r="O42" s="724"/>
      <c r="P42" s="720" t="s">
        <v>40</v>
      </c>
      <c r="Q42" s="721"/>
      <c r="R42" s="721"/>
      <c r="S42" s="721"/>
      <c r="T42" s="721"/>
      <c r="U42" s="721"/>
      <c r="V42" s="72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">
      <c r="A43" s="723"/>
      <c r="B43" s="723"/>
      <c r="C43" s="723"/>
      <c r="D43" s="723"/>
      <c r="E43" s="723"/>
      <c r="F43" s="723"/>
      <c r="G43" s="723"/>
      <c r="H43" s="723"/>
      <c r="I43" s="723"/>
      <c r="J43" s="723"/>
      <c r="K43" s="723"/>
      <c r="L43" s="723"/>
      <c r="M43" s="723"/>
      <c r="N43" s="723"/>
      <c r="O43" s="724"/>
      <c r="P43" s="720" t="s">
        <v>40</v>
      </c>
      <c r="Q43" s="721"/>
      <c r="R43" s="721"/>
      <c r="S43" s="721"/>
      <c r="T43" s="721"/>
      <c r="U43" s="721"/>
      <c r="V43" s="72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">
      <c r="A44" s="712" t="s">
        <v>120</v>
      </c>
      <c r="B44" s="712"/>
      <c r="C44" s="712"/>
      <c r="D44" s="712"/>
      <c r="E44" s="712"/>
      <c r="F44" s="712"/>
      <c r="G44" s="712"/>
      <c r="H44" s="712"/>
      <c r="I44" s="712"/>
      <c r="J44" s="712"/>
      <c r="K44" s="712"/>
      <c r="L44" s="712"/>
      <c r="M44" s="712"/>
      <c r="N44" s="712"/>
      <c r="O44" s="712"/>
      <c r="P44" s="712"/>
      <c r="Q44" s="712"/>
      <c r="R44" s="712"/>
      <c r="S44" s="712"/>
      <c r="T44" s="712"/>
      <c r="U44" s="712"/>
      <c r="V44" s="712"/>
      <c r="W44" s="712"/>
      <c r="X44" s="712"/>
      <c r="Y44" s="712"/>
      <c r="Z44" s="712"/>
      <c r="AA44" s="54"/>
      <c r="AB44" s="54"/>
      <c r="AC44" s="54"/>
    </row>
    <row r="45" spans="1:68" ht="16.5" customHeight="1" x14ac:dyDescent="0.25">
      <c r="A45" s="713" t="s">
        <v>121</v>
      </c>
      <c r="B45" s="713"/>
      <c r="C45" s="713"/>
      <c r="D45" s="713"/>
      <c r="E45" s="713"/>
      <c r="F45" s="713"/>
      <c r="G45" s="713"/>
      <c r="H45" s="713"/>
      <c r="I45" s="713"/>
      <c r="J45" s="713"/>
      <c r="K45" s="713"/>
      <c r="L45" s="713"/>
      <c r="M45" s="713"/>
      <c r="N45" s="713"/>
      <c r="O45" s="713"/>
      <c r="P45" s="713"/>
      <c r="Q45" s="713"/>
      <c r="R45" s="713"/>
      <c r="S45" s="713"/>
      <c r="T45" s="713"/>
      <c r="U45" s="713"/>
      <c r="V45" s="713"/>
      <c r="W45" s="713"/>
      <c r="X45" s="713"/>
      <c r="Y45" s="713"/>
      <c r="Z45" s="713"/>
      <c r="AA45" s="65"/>
      <c r="AB45" s="65"/>
      <c r="AC45" s="79"/>
    </row>
    <row r="46" spans="1:68" ht="14.25" customHeight="1" x14ac:dyDescent="0.25">
      <c r="A46" s="714" t="s">
        <v>122</v>
      </c>
      <c r="B46" s="714"/>
      <c r="C46" s="714"/>
      <c r="D46" s="714"/>
      <c r="E46" s="714"/>
      <c r="F46" s="714"/>
      <c r="G46" s="714"/>
      <c r="H46" s="714"/>
      <c r="I46" s="714"/>
      <c r="J46" s="714"/>
      <c r="K46" s="714"/>
      <c r="L46" s="714"/>
      <c r="M46" s="714"/>
      <c r="N46" s="714"/>
      <c r="O46" s="714"/>
      <c r="P46" s="714"/>
      <c r="Q46" s="714"/>
      <c r="R46" s="714"/>
      <c r="S46" s="714"/>
      <c r="T46" s="714"/>
      <c r="U46" s="714"/>
      <c r="V46" s="714"/>
      <c r="W46" s="714"/>
      <c r="X46" s="714"/>
      <c r="Y46" s="714"/>
      <c r="Z46" s="714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15">
        <v>4607091385670</v>
      </c>
      <c r="E47" s="71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3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7"/>
      <c r="R47" s="717"/>
      <c r="S47" s="717"/>
      <c r="T47" s="718"/>
      <c r="U47" s="39" t="s">
        <v>46</v>
      </c>
      <c r="V47" s="39" t="s">
        <v>46</v>
      </c>
      <c r="W47" s="40" t="s">
        <v>0</v>
      </c>
      <c r="X47" s="58">
        <v>30</v>
      </c>
      <c r="Y47" s="55">
        <f>IFERROR(IF(X47="",0,CEILING((X47/$H47),1)*$H47),"")</f>
        <v>32.400000000000006</v>
      </c>
      <c r="Z47" s="41">
        <f>IFERROR(IF(Y47=0,"",ROUNDUP(Y47/H47,0)*0.01898),"")</f>
        <v>5.6940000000000004E-2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31.138888888888889</v>
      </c>
      <c r="BN47" s="78">
        <f>IFERROR(Y47*I47/H47,"0")</f>
        <v>33.630000000000003</v>
      </c>
      <c r="BO47" s="78">
        <f>IFERROR(1/J47*(X47/H47),"0")</f>
        <v>4.3402777777777776E-2</v>
      </c>
      <c r="BP47" s="78">
        <f>IFERROR(1/J47*(Y47/H47),"0")</f>
        <v>4.6875000000000007E-2</v>
      </c>
    </row>
    <row r="48" spans="1:68" ht="27" customHeight="1" x14ac:dyDescent="0.25">
      <c r="A48" s="63" t="s">
        <v>128</v>
      </c>
      <c r="B48" s="63" t="s">
        <v>129</v>
      </c>
      <c r="C48" s="36">
        <v>4301012053</v>
      </c>
      <c r="D48" s="715">
        <v>4680115887725</v>
      </c>
      <c r="E48" s="71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3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7"/>
      <c r="R48" s="717"/>
      <c r="S48" s="717"/>
      <c r="T48" s="71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715">
        <v>4607091385687</v>
      </c>
      <c r="E49" s="71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7"/>
      <c r="R49" s="717"/>
      <c r="S49" s="717"/>
      <c r="T49" s="71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135</v>
      </c>
      <c r="B50" s="63" t="s">
        <v>136</v>
      </c>
      <c r="C50" s="36">
        <v>4301011565</v>
      </c>
      <c r="D50" s="715">
        <v>4680115882539</v>
      </c>
      <c r="E50" s="71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7"/>
      <c r="R50" s="717"/>
      <c r="S50" s="717"/>
      <c r="T50" s="71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23"/>
      <c r="B51" s="723"/>
      <c r="C51" s="723"/>
      <c r="D51" s="723"/>
      <c r="E51" s="723"/>
      <c r="F51" s="723"/>
      <c r="G51" s="723"/>
      <c r="H51" s="723"/>
      <c r="I51" s="723"/>
      <c r="J51" s="723"/>
      <c r="K51" s="723"/>
      <c r="L51" s="723"/>
      <c r="M51" s="723"/>
      <c r="N51" s="723"/>
      <c r="O51" s="724"/>
      <c r="P51" s="720" t="s">
        <v>40</v>
      </c>
      <c r="Q51" s="721"/>
      <c r="R51" s="721"/>
      <c r="S51" s="721"/>
      <c r="T51" s="721"/>
      <c r="U51" s="721"/>
      <c r="V51" s="722"/>
      <c r="W51" s="42" t="s">
        <v>39</v>
      </c>
      <c r="X51" s="43">
        <f>IFERROR(X47/H47,"0")+IFERROR(X48/H48,"0")+IFERROR(X49/H49,"0")+IFERROR(X50/H50,"0")</f>
        <v>2.7777777777777777</v>
      </c>
      <c r="Y51" s="43">
        <f>IFERROR(Y47/H47,"0")+IFERROR(Y48/H48,"0")+IFERROR(Y49/H49,"0")+IFERROR(Y50/H50,"0")</f>
        <v>3.0000000000000004</v>
      </c>
      <c r="Z51" s="43">
        <f>IFERROR(IF(Z47="",0,Z47),"0")+IFERROR(IF(Z48="",0,Z48),"0")+IFERROR(IF(Z49="",0,Z49),"0")+IFERROR(IF(Z50="",0,Z50),"0")</f>
        <v>5.6940000000000004E-2</v>
      </c>
      <c r="AA51" s="67"/>
      <c r="AB51" s="67"/>
      <c r="AC51" s="67"/>
    </row>
    <row r="52" spans="1:68" x14ac:dyDescent="0.2">
      <c r="A52" s="723"/>
      <c r="B52" s="723"/>
      <c r="C52" s="723"/>
      <c r="D52" s="723"/>
      <c r="E52" s="723"/>
      <c r="F52" s="723"/>
      <c r="G52" s="723"/>
      <c r="H52" s="723"/>
      <c r="I52" s="723"/>
      <c r="J52" s="723"/>
      <c r="K52" s="723"/>
      <c r="L52" s="723"/>
      <c r="M52" s="723"/>
      <c r="N52" s="723"/>
      <c r="O52" s="724"/>
      <c r="P52" s="720" t="s">
        <v>40</v>
      </c>
      <c r="Q52" s="721"/>
      <c r="R52" s="721"/>
      <c r="S52" s="721"/>
      <c r="T52" s="721"/>
      <c r="U52" s="721"/>
      <c r="V52" s="722"/>
      <c r="W52" s="42" t="s">
        <v>0</v>
      </c>
      <c r="X52" s="43">
        <f>IFERROR(SUM(X47:X50),"0")</f>
        <v>30</v>
      </c>
      <c r="Y52" s="43">
        <f>IFERROR(SUM(Y47:Y50),"0")</f>
        <v>32.400000000000006</v>
      </c>
      <c r="Z52" s="42"/>
      <c r="AA52" s="67"/>
      <c r="AB52" s="67"/>
      <c r="AC52" s="67"/>
    </row>
    <row r="53" spans="1:68" ht="16.5" customHeight="1" x14ac:dyDescent="0.25">
      <c r="A53" s="713" t="s">
        <v>137</v>
      </c>
      <c r="B53" s="713"/>
      <c r="C53" s="713"/>
      <c r="D53" s="713"/>
      <c r="E53" s="713"/>
      <c r="F53" s="713"/>
      <c r="G53" s="713"/>
      <c r="H53" s="713"/>
      <c r="I53" s="713"/>
      <c r="J53" s="713"/>
      <c r="K53" s="713"/>
      <c r="L53" s="713"/>
      <c r="M53" s="713"/>
      <c r="N53" s="713"/>
      <c r="O53" s="713"/>
      <c r="P53" s="713"/>
      <c r="Q53" s="713"/>
      <c r="R53" s="713"/>
      <c r="S53" s="713"/>
      <c r="T53" s="713"/>
      <c r="U53" s="713"/>
      <c r="V53" s="713"/>
      <c r="W53" s="713"/>
      <c r="X53" s="713"/>
      <c r="Y53" s="713"/>
      <c r="Z53" s="713"/>
      <c r="AA53" s="65"/>
      <c r="AB53" s="65"/>
      <c r="AC53" s="79"/>
    </row>
    <row r="54" spans="1:68" ht="14.25" customHeight="1" x14ac:dyDescent="0.25">
      <c r="A54" s="714" t="s">
        <v>122</v>
      </c>
      <c r="B54" s="714"/>
      <c r="C54" s="714"/>
      <c r="D54" s="714"/>
      <c r="E54" s="714"/>
      <c r="F54" s="714"/>
      <c r="G54" s="714"/>
      <c r="H54" s="714"/>
      <c r="I54" s="714"/>
      <c r="J54" s="714"/>
      <c r="K54" s="714"/>
      <c r="L54" s="714"/>
      <c r="M54" s="714"/>
      <c r="N54" s="714"/>
      <c r="O54" s="714"/>
      <c r="P54" s="714"/>
      <c r="Q54" s="714"/>
      <c r="R54" s="714"/>
      <c r="S54" s="714"/>
      <c r="T54" s="714"/>
      <c r="U54" s="714"/>
      <c r="V54" s="714"/>
      <c r="W54" s="714"/>
      <c r="X54" s="714"/>
      <c r="Y54" s="714"/>
      <c r="Z54" s="714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4301012030</v>
      </c>
      <c r="D55" s="715">
        <v>4680115885882</v>
      </c>
      <c r="E55" s="71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73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717"/>
      <c r="R55" s="717"/>
      <c r="S55" s="717"/>
      <c r="T55" s="71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customHeight="1" x14ac:dyDescent="0.25">
      <c r="A56" s="63" t="s">
        <v>138</v>
      </c>
      <c r="B56" s="63" t="s">
        <v>141</v>
      </c>
      <c r="C56" s="36">
        <v>4301012161</v>
      </c>
      <c r="D56" s="715">
        <v>4680115885882</v>
      </c>
      <c r="E56" s="715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7"/>
      <c r="R56" s="717"/>
      <c r="S56" s="717"/>
      <c r="T56" s="71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143</v>
      </c>
      <c r="B57" s="63" t="s">
        <v>144</v>
      </c>
      <c r="C57" s="36">
        <v>4301011816</v>
      </c>
      <c r="D57" s="715">
        <v>4680115881426</v>
      </c>
      <c r="E57" s="71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7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7"/>
      <c r="R57" s="717"/>
      <c r="S57" s="717"/>
      <c r="T57" s="718"/>
      <c r="U57" s="39" t="s">
        <v>46</v>
      </c>
      <c r="V57" s="39" t="s">
        <v>46</v>
      </c>
      <c r="W57" s="40" t="s">
        <v>0</v>
      </c>
      <c r="X57" s="58">
        <v>30</v>
      </c>
      <c r="Y57" s="55">
        <f t="shared" si="0"/>
        <v>32.400000000000006</v>
      </c>
      <c r="Z57" s="41">
        <f>IFERROR(IF(Y57=0,"",ROUNDUP(Y57/H57,0)*0.01898),"")</f>
        <v>5.6940000000000004E-2</v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31.138888888888889</v>
      </c>
      <c r="BN57" s="78">
        <f t="shared" si="2"/>
        <v>33.630000000000003</v>
      </c>
      <c r="BO57" s="78">
        <f t="shared" si="3"/>
        <v>4.3402777777777776E-2</v>
      </c>
      <c r="BP57" s="78">
        <f t="shared" si="4"/>
        <v>4.6875000000000007E-2</v>
      </c>
    </row>
    <row r="58" spans="1:68" ht="27" customHeight="1" x14ac:dyDescent="0.25">
      <c r="A58" s="63" t="s">
        <v>146</v>
      </c>
      <c r="B58" s="63" t="s">
        <v>147</v>
      </c>
      <c r="C58" s="36">
        <v>4301011386</v>
      </c>
      <c r="D58" s="715">
        <v>4680115880283</v>
      </c>
      <c r="E58" s="71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74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717"/>
      <c r="R58" s="717"/>
      <c r="S58" s="717"/>
      <c r="T58" s="71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146</v>
      </c>
      <c r="B59" s="63" t="s">
        <v>149</v>
      </c>
      <c r="C59" s="36">
        <v>4301012259</v>
      </c>
      <c r="D59" s="715">
        <v>4680115880283</v>
      </c>
      <c r="E59" s="715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7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717"/>
      <c r="R59" s="717"/>
      <c r="S59" s="717"/>
      <c r="T59" s="71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customHeight="1" x14ac:dyDescent="0.25">
      <c r="A60" s="63" t="s">
        <v>150</v>
      </c>
      <c r="B60" s="63" t="s">
        <v>151</v>
      </c>
      <c r="C60" s="36">
        <v>4301011806</v>
      </c>
      <c r="D60" s="715">
        <v>4680115881525</v>
      </c>
      <c r="E60" s="71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717"/>
      <c r="R60" s="717"/>
      <c r="S60" s="717"/>
      <c r="T60" s="71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153</v>
      </c>
      <c r="B61" s="63" t="s">
        <v>154</v>
      </c>
      <c r="C61" s="36">
        <v>4301012165</v>
      </c>
      <c r="D61" s="715">
        <v>4680115885899</v>
      </c>
      <c r="E61" s="71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7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17"/>
      <c r="R61" s="717"/>
      <c r="S61" s="717"/>
      <c r="T61" s="71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715">
        <v>4680115881419</v>
      </c>
      <c r="E62" s="71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7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17"/>
      <c r="R62" s="717"/>
      <c r="S62" s="717"/>
      <c r="T62" s="718"/>
      <c r="U62" s="39" t="s">
        <v>46</v>
      </c>
      <c r="V62" s="39" t="s">
        <v>46</v>
      </c>
      <c r="W62" s="40" t="s">
        <v>0</v>
      </c>
      <c r="X62" s="58">
        <v>22.5</v>
      </c>
      <c r="Y62" s="55">
        <f t="shared" si="0"/>
        <v>22.5</v>
      </c>
      <c r="Z62" s="41">
        <f>IFERROR(IF(Y62=0,"",ROUNDUP(Y62/H62,0)*0.00902),"")</f>
        <v>4.5100000000000001E-2</v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23.450000000000003</v>
      </c>
      <c r="BN62" s="78">
        <f t="shared" si="2"/>
        <v>23.450000000000003</v>
      </c>
      <c r="BO62" s="78">
        <f t="shared" si="3"/>
        <v>3.787878787878788E-2</v>
      </c>
      <c r="BP62" s="78">
        <f t="shared" si="4"/>
        <v>3.787878787878788E-2</v>
      </c>
    </row>
    <row r="63" spans="1:68" x14ac:dyDescent="0.2">
      <c r="A63" s="723"/>
      <c r="B63" s="723"/>
      <c r="C63" s="723"/>
      <c r="D63" s="723"/>
      <c r="E63" s="723"/>
      <c r="F63" s="723"/>
      <c r="G63" s="723"/>
      <c r="H63" s="723"/>
      <c r="I63" s="723"/>
      <c r="J63" s="723"/>
      <c r="K63" s="723"/>
      <c r="L63" s="723"/>
      <c r="M63" s="723"/>
      <c r="N63" s="723"/>
      <c r="O63" s="724"/>
      <c r="P63" s="720" t="s">
        <v>40</v>
      </c>
      <c r="Q63" s="721"/>
      <c r="R63" s="721"/>
      <c r="S63" s="721"/>
      <c r="T63" s="721"/>
      <c r="U63" s="721"/>
      <c r="V63" s="722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7.7777777777777777</v>
      </c>
      <c r="Y63" s="43">
        <f>IFERROR(Y55/H55,"0")+IFERROR(Y56/H56,"0")+IFERROR(Y57/H57,"0")+IFERROR(Y58/H58,"0")+IFERROR(Y59/H59,"0")+IFERROR(Y60/H60,"0")+IFERROR(Y61/H61,"0")+IFERROR(Y62/H62,"0")</f>
        <v>8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0.10204000000000001</v>
      </c>
      <c r="AA63" s="67"/>
      <c r="AB63" s="67"/>
      <c r="AC63" s="67"/>
    </row>
    <row r="64" spans="1:68" x14ac:dyDescent="0.2">
      <c r="A64" s="723"/>
      <c r="B64" s="723"/>
      <c r="C64" s="723"/>
      <c r="D64" s="723"/>
      <c r="E64" s="723"/>
      <c r="F64" s="723"/>
      <c r="G64" s="723"/>
      <c r="H64" s="723"/>
      <c r="I64" s="723"/>
      <c r="J64" s="723"/>
      <c r="K64" s="723"/>
      <c r="L64" s="723"/>
      <c r="M64" s="723"/>
      <c r="N64" s="723"/>
      <c r="O64" s="724"/>
      <c r="P64" s="720" t="s">
        <v>40</v>
      </c>
      <c r="Q64" s="721"/>
      <c r="R64" s="721"/>
      <c r="S64" s="721"/>
      <c r="T64" s="721"/>
      <c r="U64" s="721"/>
      <c r="V64" s="722"/>
      <c r="W64" s="42" t="s">
        <v>0</v>
      </c>
      <c r="X64" s="43">
        <f>IFERROR(SUM(X55:X62),"0")</f>
        <v>52.5</v>
      </c>
      <c r="Y64" s="43">
        <f>IFERROR(SUM(Y55:Y62),"0")</f>
        <v>54.900000000000006</v>
      </c>
      <c r="Z64" s="42"/>
      <c r="AA64" s="67"/>
      <c r="AB64" s="67"/>
      <c r="AC64" s="67"/>
    </row>
    <row r="65" spans="1:68" ht="14.25" customHeight="1" x14ac:dyDescent="0.25">
      <c r="A65" s="714" t="s">
        <v>158</v>
      </c>
      <c r="B65" s="714"/>
      <c r="C65" s="714"/>
      <c r="D65" s="714"/>
      <c r="E65" s="714"/>
      <c r="F65" s="714"/>
      <c r="G65" s="714"/>
      <c r="H65" s="714"/>
      <c r="I65" s="714"/>
      <c r="J65" s="714"/>
      <c r="K65" s="714"/>
      <c r="L65" s="714"/>
      <c r="M65" s="714"/>
      <c r="N65" s="714"/>
      <c r="O65" s="714"/>
      <c r="P65" s="714"/>
      <c r="Q65" s="714"/>
      <c r="R65" s="714"/>
      <c r="S65" s="714"/>
      <c r="T65" s="714"/>
      <c r="U65" s="714"/>
      <c r="V65" s="714"/>
      <c r="W65" s="714"/>
      <c r="X65" s="714"/>
      <c r="Y65" s="714"/>
      <c r="Z65" s="714"/>
      <c r="AA65" s="66"/>
      <c r="AB65" s="66"/>
      <c r="AC65" s="80"/>
    </row>
    <row r="66" spans="1:68" ht="16.5" customHeight="1" x14ac:dyDescent="0.25">
      <c r="A66" s="63" t="s">
        <v>159</v>
      </c>
      <c r="B66" s="63" t="s">
        <v>160</v>
      </c>
      <c r="C66" s="36">
        <v>4301020298</v>
      </c>
      <c r="D66" s="715">
        <v>4680115881440</v>
      </c>
      <c r="E66" s="715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7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717"/>
      <c r="R66" s="717"/>
      <c r="S66" s="717"/>
      <c r="T66" s="718"/>
      <c r="U66" s="39" t="s">
        <v>46</v>
      </c>
      <c r="V66" s="39" t="s">
        <v>46</v>
      </c>
      <c r="W66" s="40" t="s">
        <v>0</v>
      </c>
      <c r="X66" s="58">
        <v>30</v>
      </c>
      <c r="Y66" s="55">
        <f>IFERROR(IF(X66="",0,CEILING((X66/$H66),1)*$H66),"")</f>
        <v>32.400000000000006</v>
      </c>
      <c r="Z66" s="41">
        <f>IFERROR(IF(Y66=0,"",ROUNDUP(Y66/H66,0)*0.01898),"")</f>
        <v>5.6940000000000004E-2</v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31.138888888888889</v>
      </c>
      <c r="BN66" s="78">
        <f>IFERROR(Y66*I66/H66,"0")</f>
        <v>33.630000000000003</v>
      </c>
      <c r="BO66" s="78">
        <f>IFERROR(1/J66*(X66/H66),"0")</f>
        <v>4.3402777777777776E-2</v>
      </c>
      <c r="BP66" s="78">
        <f>IFERROR(1/J66*(Y66/H66),"0")</f>
        <v>4.6875000000000007E-2</v>
      </c>
    </row>
    <row r="67" spans="1:68" ht="16.5" customHeight="1" x14ac:dyDescent="0.25">
      <c r="A67" s="63" t="s">
        <v>162</v>
      </c>
      <c r="B67" s="63" t="s">
        <v>163</v>
      </c>
      <c r="C67" s="36">
        <v>4301020358</v>
      </c>
      <c r="D67" s="715">
        <v>4680115885950</v>
      </c>
      <c r="E67" s="715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7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717"/>
      <c r="R67" s="717"/>
      <c r="S67" s="717"/>
      <c r="T67" s="71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customHeight="1" x14ac:dyDescent="0.25">
      <c r="A68" s="63" t="s">
        <v>164</v>
      </c>
      <c r="B68" s="63" t="s">
        <v>165</v>
      </c>
      <c r="C68" s="36">
        <v>4301020371</v>
      </c>
      <c r="D68" s="715">
        <v>4680115887688</v>
      </c>
      <c r="E68" s="715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7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717"/>
      <c r="R68" s="717"/>
      <c r="S68" s="717"/>
      <c r="T68" s="718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167</v>
      </c>
      <c r="B69" s="63" t="s">
        <v>168</v>
      </c>
      <c r="C69" s="36">
        <v>4301020296</v>
      </c>
      <c r="D69" s="715">
        <v>4680115881433</v>
      </c>
      <c r="E69" s="715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7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717"/>
      <c r="R69" s="717"/>
      <c r="S69" s="717"/>
      <c r="T69" s="718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723"/>
      <c r="B70" s="723"/>
      <c r="C70" s="723"/>
      <c r="D70" s="723"/>
      <c r="E70" s="723"/>
      <c r="F70" s="723"/>
      <c r="G70" s="723"/>
      <c r="H70" s="723"/>
      <c r="I70" s="723"/>
      <c r="J70" s="723"/>
      <c r="K70" s="723"/>
      <c r="L70" s="723"/>
      <c r="M70" s="723"/>
      <c r="N70" s="723"/>
      <c r="O70" s="724"/>
      <c r="P70" s="720" t="s">
        <v>40</v>
      </c>
      <c r="Q70" s="721"/>
      <c r="R70" s="721"/>
      <c r="S70" s="721"/>
      <c r="T70" s="721"/>
      <c r="U70" s="721"/>
      <c r="V70" s="722"/>
      <c r="W70" s="42" t="s">
        <v>39</v>
      </c>
      <c r="X70" s="43">
        <f>IFERROR(X66/H66,"0")+IFERROR(X67/H67,"0")+IFERROR(X68/H68,"0")+IFERROR(X69/H69,"0")</f>
        <v>2.7777777777777777</v>
      </c>
      <c r="Y70" s="43">
        <f>IFERROR(Y66/H66,"0")+IFERROR(Y67/H67,"0")+IFERROR(Y68/H68,"0")+IFERROR(Y69/H69,"0")</f>
        <v>3.0000000000000004</v>
      </c>
      <c r="Z70" s="43">
        <f>IFERROR(IF(Z66="",0,Z66),"0")+IFERROR(IF(Z67="",0,Z67),"0")+IFERROR(IF(Z68="",0,Z68),"0")+IFERROR(IF(Z69="",0,Z69),"0")</f>
        <v>5.6940000000000004E-2</v>
      </c>
      <c r="AA70" s="67"/>
      <c r="AB70" s="67"/>
      <c r="AC70" s="67"/>
    </row>
    <row r="71" spans="1:68" x14ac:dyDescent="0.2">
      <c r="A71" s="723"/>
      <c r="B71" s="723"/>
      <c r="C71" s="723"/>
      <c r="D71" s="723"/>
      <c r="E71" s="723"/>
      <c r="F71" s="723"/>
      <c r="G71" s="723"/>
      <c r="H71" s="723"/>
      <c r="I71" s="723"/>
      <c r="J71" s="723"/>
      <c r="K71" s="723"/>
      <c r="L71" s="723"/>
      <c r="M71" s="723"/>
      <c r="N71" s="723"/>
      <c r="O71" s="724"/>
      <c r="P71" s="720" t="s">
        <v>40</v>
      </c>
      <c r="Q71" s="721"/>
      <c r="R71" s="721"/>
      <c r="S71" s="721"/>
      <c r="T71" s="721"/>
      <c r="U71" s="721"/>
      <c r="V71" s="722"/>
      <c r="W71" s="42" t="s">
        <v>0</v>
      </c>
      <c r="X71" s="43">
        <f>IFERROR(SUM(X66:X69),"0")</f>
        <v>30</v>
      </c>
      <c r="Y71" s="43">
        <f>IFERROR(SUM(Y66:Y69),"0")</f>
        <v>32.400000000000006</v>
      </c>
      <c r="Z71" s="42"/>
      <c r="AA71" s="67"/>
      <c r="AB71" s="67"/>
      <c r="AC71" s="67"/>
    </row>
    <row r="72" spans="1:68" ht="14.25" customHeight="1" x14ac:dyDescent="0.25">
      <c r="A72" s="714" t="s">
        <v>86</v>
      </c>
      <c r="B72" s="714"/>
      <c r="C72" s="714"/>
      <c r="D72" s="714"/>
      <c r="E72" s="714"/>
      <c r="F72" s="714"/>
      <c r="G72" s="714"/>
      <c r="H72" s="714"/>
      <c r="I72" s="714"/>
      <c r="J72" s="714"/>
      <c r="K72" s="714"/>
      <c r="L72" s="714"/>
      <c r="M72" s="714"/>
      <c r="N72" s="714"/>
      <c r="O72" s="714"/>
      <c r="P72" s="714"/>
      <c r="Q72" s="714"/>
      <c r="R72" s="714"/>
      <c r="S72" s="714"/>
      <c r="T72" s="714"/>
      <c r="U72" s="714"/>
      <c r="V72" s="714"/>
      <c r="W72" s="714"/>
      <c r="X72" s="714"/>
      <c r="Y72" s="714"/>
      <c r="Z72" s="714"/>
      <c r="AA72" s="66"/>
      <c r="AB72" s="66"/>
      <c r="AC72" s="80"/>
    </row>
    <row r="73" spans="1:68" ht="16.5" customHeight="1" x14ac:dyDescent="0.25">
      <c r="A73" s="63" t="s">
        <v>169</v>
      </c>
      <c r="B73" s="63" t="s">
        <v>170</v>
      </c>
      <c r="C73" s="36">
        <v>4301051837</v>
      </c>
      <c r="D73" s="715">
        <v>4680115884311</v>
      </c>
      <c r="E73" s="715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717"/>
      <c r="R73" s="717"/>
      <c r="S73" s="717"/>
      <c r="T73" s="71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172</v>
      </c>
      <c r="B74" s="63" t="s">
        <v>173</v>
      </c>
      <c r="C74" s="36">
        <v>4301051929</v>
      </c>
      <c r="D74" s="715">
        <v>4680115884403</v>
      </c>
      <c r="E74" s="715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717"/>
      <c r="R74" s="717"/>
      <c r="S74" s="717"/>
      <c r="T74" s="718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x14ac:dyDescent="0.2">
      <c r="A75" s="723"/>
      <c r="B75" s="723"/>
      <c r="C75" s="723"/>
      <c r="D75" s="723"/>
      <c r="E75" s="723"/>
      <c r="F75" s="723"/>
      <c r="G75" s="723"/>
      <c r="H75" s="723"/>
      <c r="I75" s="723"/>
      <c r="J75" s="723"/>
      <c r="K75" s="723"/>
      <c r="L75" s="723"/>
      <c r="M75" s="723"/>
      <c r="N75" s="723"/>
      <c r="O75" s="724"/>
      <c r="P75" s="720" t="s">
        <v>40</v>
      </c>
      <c r="Q75" s="721"/>
      <c r="R75" s="721"/>
      <c r="S75" s="721"/>
      <c r="T75" s="721"/>
      <c r="U75" s="721"/>
      <c r="V75" s="722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x14ac:dyDescent="0.2">
      <c r="A76" s="723"/>
      <c r="B76" s="723"/>
      <c r="C76" s="723"/>
      <c r="D76" s="723"/>
      <c r="E76" s="723"/>
      <c r="F76" s="723"/>
      <c r="G76" s="723"/>
      <c r="H76" s="723"/>
      <c r="I76" s="723"/>
      <c r="J76" s="723"/>
      <c r="K76" s="723"/>
      <c r="L76" s="723"/>
      <c r="M76" s="723"/>
      <c r="N76" s="723"/>
      <c r="O76" s="724"/>
      <c r="P76" s="720" t="s">
        <v>40</v>
      </c>
      <c r="Q76" s="721"/>
      <c r="R76" s="721"/>
      <c r="S76" s="721"/>
      <c r="T76" s="721"/>
      <c r="U76" s="721"/>
      <c r="V76" s="722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customHeight="1" x14ac:dyDescent="0.25">
      <c r="A77" s="714" t="s">
        <v>175</v>
      </c>
      <c r="B77" s="714"/>
      <c r="C77" s="714"/>
      <c r="D77" s="714"/>
      <c r="E77" s="714"/>
      <c r="F77" s="714"/>
      <c r="G77" s="714"/>
      <c r="H77" s="714"/>
      <c r="I77" s="714"/>
      <c r="J77" s="714"/>
      <c r="K77" s="714"/>
      <c r="L77" s="714"/>
      <c r="M77" s="714"/>
      <c r="N77" s="714"/>
      <c r="O77" s="714"/>
      <c r="P77" s="714"/>
      <c r="Q77" s="714"/>
      <c r="R77" s="714"/>
      <c r="S77" s="714"/>
      <c r="T77" s="714"/>
      <c r="U77" s="714"/>
      <c r="V77" s="714"/>
      <c r="W77" s="714"/>
      <c r="X77" s="714"/>
      <c r="Y77" s="714"/>
      <c r="Z77" s="714"/>
      <c r="AA77" s="66"/>
      <c r="AB77" s="66"/>
      <c r="AC77" s="80"/>
    </row>
    <row r="78" spans="1:68" ht="27" customHeight="1" x14ac:dyDescent="0.25">
      <c r="A78" s="63" t="s">
        <v>176</v>
      </c>
      <c r="B78" s="63" t="s">
        <v>177</v>
      </c>
      <c r="C78" s="36">
        <v>4301060455</v>
      </c>
      <c r="D78" s="715">
        <v>4680115881532</v>
      </c>
      <c r="E78" s="71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7"/>
      <c r="R78" s="717"/>
      <c r="S78" s="717"/>
      <c r="T78" s="71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179</v>
      </c>
      <c r="B79" s="63" t="s">
        <v>180</v>
      </c>
      <c r="C79" s="36">
        <v>4301060351</v>
      </c>
      <c r="D79" s="715">
        <v>4680115881464</v>
      </c>
      <c r="E79" s="71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5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17"/>
      <c r="R79" s="717"/>
      <c r="S79" s="717"/>
      <c r="T79" s="71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723"/>
      <c r="B80" s="723"/>
      <c r="C80" s="723"/>
      <c r="D80" s="723"/>
      <c r="E80" s="723"/>
      <c r="F80" s="723"/>
      <c r="G80" s="723"/>
      <c r="H80" s="723"/>
      <c r="I80" s="723"/>
      <c r="J80" s="723"/>
      <c r="K80" s="723"/>
      <c r="L80" s="723"/>
      <c r="M80" s="723"/>
      <c r="N80" s="723"/>
      <c r="O80" s="724"/>
      <c r="P80" s="720" t="s">
        <v>40</v>
      </c>
      <c r="Q80" s="721"/>
      <c r="R80" s="721"/>
      <c r="S80" s="721"/>
      <c r="T80" s="721"/>
      <c r="U80" s="721"/>
      <c r="V80" s="722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x14ac:dyDescent="0.2">
      <c r="A81" s="723"/>
      <c r="B81" s="723"/>
      <c r="C81" s="723"/>
      <c r="D81" s="723"/>
      <c r="E81" s="723"/>
      <c r="F81" s="723"/>
      <c r="G81" s="723"/>
      <c r="H81" s="723"/>
      <c r="I81" s="723"/>
      <c r="J81" s="723"/>
      <c r="K81" s="723"/>
      <c r="L81" s="723"/>
      <c r="M81" s="723"/>
      <c r="N81" s="723"/>
      <c r="O81" s="724"/>
      <c r="P81" s="720" t="s">
        <v>40</v>
      </c>
      <c r="Q81" s="721"/>
      <c r="R81" s="721"/>
      <c r="S81" s="721"/>
      <c r="T81" s="721"/>
      <c r="U81" s="721"/>
      <c r="V81" s="722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customHeight="1" x14ac:dyDescent="0.25">
      <c r="A82" s="713" t="s">
        <v>182</v>
      </c>
      <c r="B82" s="713"/>
      <c r="C82" s="713"/>
      <c r="D82" s="713"/>
      <c r="E82" s="713"/>
      <c r="F82" s="713"/>
      <c r="G82" s="713"/>
      <c r="H82" s="713"/>
      <c r="I82" s="713"/>
      <c r="J82" s="713"/>
      <c r="K82" s="713"/>
      <c r="L82" s="713"/>
      <c r="M82" s="713"/>
      <c r="N82" s="713"/>
      <c r="O82" s="713"/>
      <c r="P82" s="713"/>
      <c r="Q82" s="713"/>
      <c r="R82" s="713"/>
      <c r="S82" s="713"/>
      <c r="T82" s="713"/>
      <c r="U82" s="713"/>
      <c r="V82" s="713"/>
      <c r="W82" s="713"/>
      <c r="X82" s="713"/>
      <c r="Y82" s="713"/>
      <c r="Z82" s="713"/>
      <c r="AA82" s="65"/>
      <c r="AB82" s="65"/>
      <c r="AC82" s="79"/>
    </row>
    <row r="83" spans="1:68" ht="14.25" customHeight="1" x14ac:dyDescent="0.25">
      <c r="A83" s="714" t="s">
        <v>122</v>
      </c>
      <c r="B83" s="714"/>
      <c r="C83" s="714"/>
      <c r="D83" s="714"/>
      <c r="E83" s="714"/>
      <c r="F83" s="714"/>
      <c r="G83" s="714"/>
      <c r="H83" s="714"/>
      <c r="I83" s="714"/>
      <c r="J83" s="714"/>
      <c r="K83" s="714"/>
      <c r="L83" s="714"/>
      <c r="M83" s="714"/>
      <c r="N83" s="714"/>
      <c r="O83" s="714"/>
      <c r="P83" s="714"/>
      <c r="Q83" s="714"/>
      <c r="R83" s="714"/>
      <c r="S83" s="714"/>
      <c r="T83" s="714"/>
      <c r="U83" s="714"/>
      <c r="V83" s="714"/>
      <c r="W83" s="714"/>
      <c r="X83" s="714"/>
      <c r="Y83" s="714"/>
      <c r="Z83" s="714"/>
      <c r="AA83" s="66"/>
      <c r="AB83" s="66"/>
      <c r="AC83" s="80"/>
    </row>
    <row r="84" spans="1:68" ht="27" customHeight="1" x14ac:dyDescent="0.25">
      <c r="A84" s="63" t="s">
        <v>183</v>
      </c>
      <c r="B84" s="63" t="s">
        <v>184</v>
      </c>
      <c r="C84" s="36">
        <v>4301011468</v>
      </c>
      <c r="D84" s="715">
        <v>4680115881327</v>
      </c>
      <c r="E84" s="715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75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717"/>
      <c r="R84" s="717"/>
      <c r="S84" s="717"/>
      <c r="T84" s="718"/>
      <c r="U84" s="39" t="s">
        <v>46</v>
      </c>
      <c r="V84" s="39" t="s">
        <v>46</v>
      </c>
      <c r="W84" s="40" t="s">
        <v>0</v>
      </c>
      <c r="X84" s="58">
        <v>20</v>
      </c>
      <c r="Y84" s="55">
        <f>IFERROR(IF(X84="",0,CEILING((X84/$H84),1)*$H84),"")</f>
        <v>21.6</v>
      </c>
      <c r="Z84" s="41">
        <f>IFERROR(IF(Y84=0,"",ROUNDUP(Y84/H84,0)*0.01898),"")</f>
        <v>3.7960000000000001E-2</v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20.75925925925926</v>
      </c>
      <c r="BN84" s="78">
        <f>IFERROR(Y84*I84/H84,"0")</f>
        <v>22.42</v>
      </c>
      <c r="BO84" s="78">
        <f>IFERROR(1/J84*(X84/H84),"0")</f>
        <v>2.8935185185185182E-2</v>
      </c>
      <c r="BP84" s="78">
        <f>IFERROR(1/J84*(Y84/H84),"0")</f>
        <v>3.125E-2</v>
      </c>
    </row>
    <row r="85" spans="1:68" ht="27" customHeight="1" x14ac:dyDescent="0.25">
      <c r="A85" s="63" t="s">
        <v>186</v>
      </c>
      <c r="B85" s="63" t="s">
        <v>187</v>
      </c>
      <c r="C85" s="36">
        <v>4301011261</v>
      </c>
      <c r="D85" s="715">
        <v>4680115887732</v>
      </c>
      <c r="E85" s="715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75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717"/>
      <c r="R85" s="717"/>
      <c r="S85" s="717"/>
      <c r="T85" s="71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189</v>
      </c>
      <c r="B86" s="63" t="s">
        <v>190</v>
      </c>
      <c r="C86" s="36">
        <v>4301011476</v>
      </c>
      <c r="D86" s="715">
        <v>4680115881518</v>
      </c>
      <c r="E86" s="715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75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717"/>
      <c r="R86" s="717"/>
      <c r="S86" s="717"/>
      <c r="T86" s="71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191</v>
      </c>
      <c r="B87" s="63" t="s">
        <v>192</v>
      </c>
      <c r="C87" s="36">
        <v>4301011443</v>
      </c>
      <c r="D87" s="715">
        <v>4680115881303</v>
      </c>
      <c r="E87" s="715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7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717"/>
      <c r="R87" s="717"/>
      <c r="S87" s="717"/>
      <c r="T87" s="718"/>
      <c r="U87" s="39" t="s">
        <v>46</v>
      </c>
      <c r="V87" s="39" t="s">
        <v>46</v>
      </c>
      <c r="W87" s="40" t="s">
        <v>0</v>
      </c>
      <c r="X87" s="58">
        <v>18</v>
      </c>
      <c r="Y87" s="55">
        <f>IFERROR(IF(X87="",0,CEILING((X87/$H87),1)*$H87),"")</f>
        <v>18</v>
      </c>
      <c r="Z87" s="41">
        <f>IFERROR(IF(Y87=0,"",ROUNDUP(Y87/H87,0)*0.00902),"")</f>
        <v>3.6080000000000001E-2</v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18.760000000000002</v>
      </c>
      <c r="BN87" s="78">
        <f>IFERROR(Y87*I87/H87,"0")</f>
        <v>18.760000000000002</v>
      </c>
      <c r="BO87" s="78">
        <f>IFERROR(1/J87*(X87/H87),"0")</f>
        <v>3.0303030303030304E-2</v>
      </c>
      <c r="BP87" s="78">
        <f>IFERROR(1/J87*(Y87/H87),"0")</f>
        <v>3.0303030303030304E-2</v>
      </c>
    </row>
    <row r="88" spans="1:68" x14ac:dyDescent="0.2">
      <c r="A88" s="723"/>
      <c r="B88" s="723"/>
      <c r="C88" s="723"/>
      <c r="D88" s="723"/>
      <c r="E88" s="723"/>
      <c r="F88" s="723"/>
      <c r="G88" s="723"/>
      <c r="H88" s="723"/>
      <c r="I88" s="723"/>
      <c r="J88" s="723"/>
      <c r="K88" s="723"/>
      <c r="L88" s="723"/>
      <c r="M88" s="723"/>
      <c r="N88" s="723"/>
      <c r="O88" s="724"/>
      <c r="P88" s="720" t="s">
        <v>40</v>
      </c>
      <c r="Q88" s="721"/>
      <c r="R88" s="721"/>
      <c r="S88" s="721"/>
      <c r="T88" s="721"/>
      <c r="U88" s="721"/>
      <c r="V88" s="722"/>
      <c r="W88" s="42" t="s">
        <v>39</v>
      </c>
      <c r="X88" s="43">
        <f>IFERROR(X84/H84,"0")+IFERROR(X85/H85,"0")+IFERROR(X86/H86,"0")+IFERROR(X87/H87,"0")</f>
        <v>5.8518518518518512</v>
      </c>
      <c r="Y88" s="43">
        <f>IFERROR(Y84/H84,"0")+IFERROR(Y85/H85,"0")+IFERROR(Y86/H86,"0")+IFERROR(Y87/H87,"0")</f>
        <v>6</v>
      </c>
      <c r="Z88" s="43">
        <f>IFERROR(IF(Z84="",0,Z84),"0")+IFERROR(IF(Z85="",0,Z85),"0")+IFERROR(IF(Z86="",0,Z86),"0")+IFERROR(IF(Z87="",0,Z87),"0")</f>
        <v>7.4039999999999995E-2</v>
      </c>
      <c r="AA88" s="67"/>
      <c r="AB88" s="67"/>
      <c r="AC88" s="67"/>
    </row>
    <row r="89" spans="1:68" x14ac:dyDescent="0.2">
      <c r="A89" s="723"/>
      <c r="B89" s="723"/>
      <c r="C89" s="723"/>
      <c r="D89" s="723"/>
      <c r="E89" s="723"/>
      <c r="F89" s="723"/>
      <c r="G89" s="723"/>
      <c r="H89" s="723"/>
      <c r="I89" s="723"/>
      <c r="J89" s="723"/>
      <c r="K89" s="723"/>
      <c r="L89" s="723"/>
      <c r="M89" s="723"/>
      <c r="N89" s="723"/>
      <c r="O89" s="724"/>
      <c r="P89" s="720" t="s">
        <v>40</v>
      </c>
      <c r="Q89" s="721"/>
      <c r="R89" s="721"/>
      <c r="S89" s="721"/>
      <c r="T89" s="721"/>
      <c r="U89" s="721"/>
      <c r="V89" s="722"/>
      <c r="W89" s="42" t="s">
        <v>0</v>
      </c>
      <c r="X89" s="43">
        <f>IFERROR(SUM(X84:X87),"0")</f>
        <v>38</v>
      </c>
      <c r="Y89" s="43">
        <f>IFERROR(SUM(Y84:Y87),"0")</f>
        <v>39.6</v>
      </c>
      <c r="Z89" s="42"/>
      <c r="AA89" s="67"/>
      <c r="AB89" s="67"/>
      <c r="AC89" s="67"/>
    </row>
    <row r="90" spans="1:68" ht="14.25" customHeight="1" x14ac:dyDescent="0.25">
      <c r="A90" s="714" t="s">
        <v>86</v>
      </c>
      <c r="B90" s="714"/>
      <c r="C90" s="714"/>
      <c r="D90" s="714"/>
      <c r="E90" s="714"/>
      <c r="F90" s="714"/>
      <c r="G90" s="714"/>
      <c r="H90" s="714"/>
      <c r="I90" s="714"/>
      <c r="J90" s="714"/>
      <c r="K90" s="714"/>
      <c r="L90" s="714"/>
      <c r="M90" s="714"/>
      <c r="N90" s="714"/>
      <c r="O90" s="714"/>
      <c r="P90" s="714"/>
      <c r="Q90" s="714"/>
      <c r="R90" s="714"/>
      <c r="S90" s="714"/>
      <c r="T90" s="714"/>
      <c r="U90" s="714"/>
      <c r="V90" s="714"/>
      <c r="W90" s="714"/>
      <c r="X90" s="714"/>
      <c r="Y90" s="714"/>
      <c r="Z90" s="714"/>
      <c r="AA90" s="66"/>
      <c r="AB90" s="66"/>
      <c r="AC90" s="80"/>
    </row>
    <row r="91" spans="1:68" ht="27" customHeight="1" x14ac:dyDescent="0.25">
      <c r="A91" s="63" t="s">
        <v>193</v>
      </c>
      <c r="B91" s="63" t="s">
        <v>194</v>
      </c>
      <c r="C91" s="36">
        <v>4301051712</v>
      </c>
      <c r="D91" s="715">
        <v>4607091386967</v>
      </c>
      <c r="E91" s="715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75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717"/>
      <c r="R91" s="717"/>
      <c r="S91" s="717"/>
      <c r="T91" s="718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196</v>
      </c>
      <c r="B92" s="63" t="s">
        <v>197</v>
      </c>
      <c r="C92" s="36">
        <v>4301051788</v>
      </c>
      <c r="D92" s="715">
        <v>4680115884953</v>
      </c>
      <c r="E92" s="715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76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717"/>
      <c r="R92" s="717"/>
      <c r="S92" s="717"/>
      <c r="T92" s="718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198</v>
      </c>
      <c r="B93" s="63" t="s">
        <v>199</v>
      </c>
      <c r="C93" s="36">
        <v>4301051718</v>
      </c>
      <c r="D93" s="715">
        <v>4607091385731</v>
      </c>
      <c r="E93" s="715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76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717"/>
      <c r="R93" s="717"/>
      <c r="S93" s="717"/>
      <c r="T93" s="718"/>
      <c r="U93" s="39" t="s">
        <v>46</v>
      </c>
      <c r="V93" s="39" t="s">
        <v>46</v>
      </c>
      <c r="W93" s="40" t="s">
        <v>0</v>
      </c>
      <c r="X93" s="58">
        <v>18</v>
      </c>
      <c r="Y93" s="55">
        <f>IFERROR(IF(X93="",0,CEILING((X93/$H93),1)*$H93),"")</f>
        <v>18.900000000000002</v>
      </c>
      <c r="Z93" s="41">
        <f>IFERROR(IF(Y93=0,"",ROUNDUP(Y93/H93,0)*0.00651),"")</f>
        <v>4.5569999999999999E-2</v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19.679999999999996</v>
      </c>
      <c r="BN93" s="78">
        <f>IFERROR(Y93*I93/H93,"0")</f>
        <v>20.664000000000001</v>
      </c>
      <c r="BO93" s="78">
        <f>IFERROR(1/J93*(X93/H93),"0")</f>
        <v>3.6630036630036632E-2</v>
      </c>
      <c r="BP93" s="78">
        <f>IFERROR(1/J93*(Y93/H93),"0")</f>
        <v>3.8461538461538464E-2</v>
      </c>
    </row>
    <row r="94" spans="1:68" ht="16.5" customHeight="1" x14ac:dyDescent="0.25">
      <c r="A94" s="63" t="s">
        <v>200</v>
      </c>
      <c r="B94" s="63" t="s">
        <v>201</v>
      </c>
      <c r="C94" s="36">
        <v>4301052092</v>
      </c>
      <c r="D94" s="715">
        <v>4680115880894</v>
      </c>
      <c r="E94" s="715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76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717"/>
      <c r="R94" s="717"/>
      <c r="S94" s="717"/>
      <c r="T94" s="718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723"/>
      <c r="B95" s="723"/>
      <c r="C95" s="723"/>
      <c r="D95" s="723"/>
      <c r="E95" s="723"/>
      <c r="F95" s="723"/>
      <c r="G95" s="723"/>
      <c r="H95" s="723"/>
      <c r="I95" s="723"/>
      <c r="J95" s="723"/>
      <c r="K95" s="723"/>
      <c r="L95" s="723"/>
      <c r="M95" s="723"/>
      <c r="N95" s="723"/>
      <c r="O95" s="724"/>
      <c r="P95" s="720" t="s">
        <v>40</v>
      </c>
      <c r="Q95" s="721"/>
      <c r="R95" s="721"/>
      <c r="S95" s="721"/>
      <c r="T95" s="721"/>
      <c r="U95" s="721"/>
      <c r="V95" s="722"/>
      <c r="W95" s="42" t="s">
        <v>39</v>
      </c>
      <c r="X95" s="43">
        <f>IFERROR(X91/H91,"0")+IFERROR(X92/H92,"0")+IFERROR(X93/H93,"0")+IFERROR(X94/H94,"0")</f>
        <v>6.6666666666666661</v>
      </c>
      <c r="Y95" s="43">
        <f>IFERROR(Y91/H91,"0")+IFERROR(Y92/H92,"0")+IFERROR(Y93/H93,"0")+IFERROR(Y94/H94,"0")</f>
        <v>7</v>
      </c>
      <c r="Z95" s="43">
        <f>IFERROR(IF(Z91="",0,Z91),"0")+IFERROR(IF(Z92="",0,Z92),"0")+IFERROR(IF(Z93="",0,Z93),"0")+IFERROR(IF(Z94="",0,Z94),"0")</f>
        <v>4.5569999999999999E-2</v>
      </c>
      <c r="AA95" s="67"/>
      <c r="AB95" s="67"/>
      <c r="AC95" s="67"/>
    </row>
    <row r="96" spans="1:68" x14ac:dyDescent="0.2">
      <c r="A96" s="723"/>
      <c r="B96" s="723"/>
      <c r="C96" s="723"/>
      <c r="D96" s="723"/>
      <c r="E96" s="723"/>
      <c r="F96" s="723"/>
      <c r="G96" s="723"/>
      <c r="H96" s="723"/>
      <c r="I96" s="723"/>
      <c r="J96" s="723"/>
      <c r="K96" s="723"/>
      <c r="L96" s="723"/>
      <c r="M96" s="723"/>
      <c r="N96" s="723"/>
      <c r="O96" s="724"/>
      <c r="P96" s="720" t="s">
        <v>40</v>
      </c>
      <c r="Q96" s="721"/>
      <c r="R96" s="721"/>
      <c r="S96" s="721"/>
      <c r="T96" s="721"/>
      <c r="U96" s="721"/>
      <c r="V96" s="722"/>
      <c r="W96" s="42" t="s">
        <v>0</v>
      </c>
      <c r="X96" s="43">
        <f>IFERROR(SUM(X91:X94),"0")</f>
        <v>18</v>
      </c>
      <c r="Y96" s="43">
        <f>IFERROR(SUM(Y91:Y94),"0")</f>
        <v>18.900000000000002</v>
      </c>
      <c r="Z96" s="42"/>
      <c r="AA96" s="67"/>
      <c r="AB96" s="67"/>
      <c r="AC96" s="67"/>
    </row>
    <row r="97" spans="1:68" ht="16.5" customHeight="1" x14ac:dyDescent="0.25">
      <c r="A97" s="713" t="s">
        <v>203</v>
      </c>
      <c r="B97" s="713"/>
      <c r="C97" s="713"/>
      <c r="D97" s="713"/>
      <c r="E97" s="713"/>
      <c r="F97" s="713"/>
      <c r="G97" s="713"/>
      <c r="H97" s="713"/>
      <c r="I97" s="713"/>
      <c r="J97" s="713"/>
      <c r="K97" s="713"/>
      <c r="L97" s="713"/>
      <c r="M97" s="713"/>
      <c r="N97" s="713"/>
      <c r="O97" s="713"/>
      <c r="P97" s="713"/>
      <c r="Q97" s="713"/>
      <c r="R97" s="713"/>
      <c r="S97" s="713"/>
      <c r="T97" s="713"/>
      <c r="U97" s="713"/>
      <c r="V97" s="713"/>
      <c r="W97" s="713"/>
      <c r="X97" s="713"/>
      <c r="Y97" s="713"/>
      <c r="Z97" s="713"/>
      <c r="AA97" s="65"/>
      <c r="AB97" s="65"/>
      <c r="AC97" s="79"/>
    </row>
    <row r="98" spans="1:68" ht="14.25" customHeight="1" x14ac:dyDescent="0.25">
      <c r="A98" s="714" t="s">
        <v>122</v>
      </c>
      <c r="B98" s="714"/>
      <c r="C98" s="714"/>
      <c r="D98" s="714"/>
      <c r="E98" s="714"/>
      <c r="F98" s="714"/>
      <c r="G98" s="714"/>
      <c r="H98" s="714"/>
      <c r="I98" s="714"/>
      <c r="J98" s="714"/>
      <c r="K98" s="714"/>
      <c r="L98" s="714"/>
      <c r="M98" s="714"/>
      <c r="N98" s="714"/>
      <c r="O98" s="714"/>
      <c r="P98" s="714"/>
      <c r="Q98" s="714"/>
      <c r="R98" s="714"/>
      <c r="S98" s="714"/>
      <c r="T98" s="714"/>
      <c r="U98" s="714"/>
      <c r="V98" s="714"/>
      <c r="W98" s="714"/>
      <c r="X98" s="714"/>
      <c r="Y98" s="714"/>
      <c r="Z98" s="714"/>
      <c r="AA98" s="66"/>
      <c r="AB98" s="66"/>
      <c r="AC98" s="80"/>
    </row>
    <row r="99" spans="1:68" ht="37.5" customHeight="1" x14ac:dyDescent="0.25">
      <c r="A99" s="63" t="s">
        <v>204</v>
      </c>
      <c r="B99" s="63" t="s">
        <v>205</v>
      </c>
      <c r="C99" s="36">
        <v>4301011514</v>
      </c>
      <c r="D99" s="715">
        <v>4680115882133</v>
      </c>
      <c r="E99" s="715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76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717"/>
      <c r="R99" s="717"/>
      <c r="S99" s="717"/>
      <c r="T99" s="718"/>
      <c r="U99" s="39" t="s">
        <v>46</v>
      </c>
      <c r="V99" s="39" t="s">
        <v>46</v>
      </c>
      <c r="W99" s="40" t="s">
        <v>0</v>
      </c>
      <c r="X99" s="58">
        <v>20</v>
      </c>
      <c r="Y99" s="55">
        <f t="shared" ref="Y99:Y105" si="5">IFERROR(IF(X99="",0,CEILING((X99/$H99),1)*$H99),"")</f>
        <v>21.6</v>
      </c>
      <c r="Z99" s="41">
        <f>IFERROR(IF(Y99=0,"",ROUNDUP(Y99/H99,0)*0.01898),"")</f>
        <v>3.7960000000000001E-2</v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20.75925925925926</v>
      </c>
      <c r="BN99" s="78">
        <f t="shared" ref="BN99:BN105" si="7">IFERROR(Y99*I99/H99,"0")</f>
        <v>22.42</v>
      </c>
      <c r="BO99" s="78">
        <f t="shared" ref="BO99:BO105" si="8">IFERROR(1/J99*(X99/H99),"0")</f>
        <v>2.8935185185185182E-2</v>
      </c>
      <c r="BP99" s="78">
        <f t="shared" ref="BP99:BP105" si="9">IFERROR(1/J99*(Y99/H99),"0")</f>
        <v>3.125E-2</v>
      </c>
    </row>
    <row r="100" spans="1:68" ht="27" customHeight="1" x14ac:dyDescent="0.25">
      <c r="A100" s="63" t="s">
        <v>207</v>
      </c>
      <c r="B100" s="63" t="s">
        <v>208</v>
      </c>
      <c r="C100" s="36">
        <v>4301012051</v>
      </c>
      <c r="D100" s="715">
        <v>4680115887718</v>
      </c>
      <c r="E100" s="715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76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7"/>
      <c r="R100" s="717"/>
      <c r="S100" s="717"/>
      <c r="T100" s="718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customHeight="1" x14ac:dyDescent="0.25">
      <c r="A101" s="63" t="s">
        <v>207</v>
      </c>
      <c r="B101" s="63" t="s">
        <v>210</v>
      </c>
      <c r="C101" s="36">
        <v>4301012334</v>
      </c>
      <c r="D101" s="715">
        <v>4680115887718</v>
      </c>
      <c r="E101" s="715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76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7"/>
      <c r="R101" s="717"/>
      <c r="S101" s="717"/>
      <c r="T101" s="718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customHeight="1" x14ac:dyDescent="0.25">
      <c r="A102" s="63" t="s">
        <v>207</v>
      </c>
      <c r="B102" s="63" t="s">
        <v>211</v>
      </c>
      <c r="C102" s="36">
        <v>4301012379</v>
      </c>
      <c r="D102" s="715">
        <v>4680115887718</v>
      </c>
      <c r="E102" s="715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76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717"/>
      <c r="R102" s="717"/>
      <c r="S102" s="717"/>
      <c r="T102" s="718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4301011417</v>
      </c>
      <c r="D103" s="715">
        <v>4680115880269</v>
      </c>
      <c r="E103" s="71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76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717"/>
      <c r="R103" s="717"/>
      <c r="S103" s="717"/>
      <c r="T103" s="71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customHeight="1" x14ac:dyDescent="0.25">
      <c r="A104" s="63" t="s">
        <v>214</v>
      </c>
      <c r="B104" s="63" t="s">
        <v>215</v>
      </c>
      <c r="C104" s="36">
        <v>4301011415</v>
      </c>
      <c r="D104" s="715">
        <v>4680115880429</v>
      </c>
      <c r="E104" s="71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6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717"/>
      <c r="R104" s="717"/>
      <c r="S104" s="717"/>
      <c r="T104" s="718"/>
      <c r="U104" s="39" t="s">
        <v>46</v>
      </c>
      <c r="V104" s="39" t="s">
        <v>46</v>
      </c>
      <c r="W104" s="40" t="s">
        <v>0</v>
      </c>
      <c r="X104" s="58">
        <v>6.75</v>
      </c>
      <c r="Y104" s="55">
        <f t="shared" si="5"/>
        <v>9</v>
      </c>
      <c r="Z104" s="41">
        <f>IFERROR(IF(Y104=0,"",ROUNDUP(Y104/H104,0)*0.00902),"")</f>
        <v>1.804E-2</v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7.0350000000000001</v>
      </c>
      <c r="BN104" s="78">
        <f t="shared" si="7"/>
        <v>9.3800000000000008</v>
      </c>
      <c r="BO104" s="78">
        <f t="shared" si="8"/>
        <v>1.1363636363636364E-2</v>
      </c>
      <c r="BP104" s="78">
        <f t="shared" si="9"/>
        <v>1.5151515151515152E-2</v>
      </c>
    </row>
    <row r="105" spans="1:68" ht="37.5" customHeight="1" x14ac:dyDescent="0.25">
      <c r="A105" s="63" t="s">
        <v>216</v>
      </c>
      <c r="B105" s="63" t="s">
        <v>217</v>
      </c>
      <c r="C105" s="36">
        <v>4301011462</v>
      </c>
      <c r="D105" s="715">
        <v>4680115881457</v>
      </c>
      <c r="E105" s="71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76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717"/>
      <c r="R105" s="717"/>
      <c r="S105" s="717"/>
      <c r="T105" s="71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x14ac:dyDescent="0.2">
      <c r="A106" s="723"/>
      <c r="B106" s="723"/>
      <c r="C106" s="723"/>
      <c r="D106" s="723"/>
      <c r="E106" s="723"/>
      <c r="F106" s="723"/>
      <c r="G106" s="723"/>
      <c r="H106" s="723"/>
      <c r="I106" s="723"/>
      <c r="J106" s="723"/>
      <c r="K106" s="723"/>
      <c r="L106" s="723"/>
      <c r="M106" s="723"/>
      <c r="N106" s="723"/>
      <c r="O106" s="724"/>
      <c r="P106" s="720" t="s">
        <v>40</v>
      </c>
      <c r="Q106" s="721"/>
      <c r="R106" s="721"/>
      <c r="S106" s="721"/>
      <c r="T106" s="721"/>
      <c r="U106" s="721"/>
      <c r="V106" s="722"/>
      <c r="W106" s="42" t="s">
        <v>39</v>
      </c>
      <c r="X106" s="43">
        <f>IFERROR(X99/H99,"0")+IFERROR(X100/H100,"0")+IFERROR(X101/H101,"0")+IFERROR(X102/H102,"0")+IFERROR(X103/H103,"0")+IFERROR(X104/H104,"0")+IFERROR(X105/H105,"0")</f>
        <v>3.3518518518518516</v>
      </c>
      <c r="Y106" s="43">
        <f>IFERROR(Y99/H99,"0")+IFERROR(Y100/H100,"0")+IFERROR(Y101/H101,"0")+IFERROR(Y102/H102,"0")+IFERROR(Y103/H103,"0")+IFERROR(Y104/H104,"0")+IFERROR(Y105/H105,"0")</f>
        <v>4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5.6000000000000001E-2</v>
      </c>
      <c r="AA106" s="67"/>
      <c r="AB106" s="67"/>
      <c r="AC106" s="67"/>
    </row>
    <row r="107" spans="1:68" x14ac:dyDescent="0.2">
      <c r="A107" s="723"/>
      <c r="B107" s="723"/>
      <c r="C107" s="723"/>
      <c r="D107" s="723"/>
      <c r="E107" s="723"/>
      <c r="F107" s="723"/>
      <c r="G107" s="723"/>
      <c r="H107" s="723"/>
      <c r="I107" s="723"/>
      <c r="J107" s="723"/>
      <c r="K107" s="723"/>
      <c r="L107" s="723"/>
      <c r="M107" s="723"/>
      <c r="N107" s="723"/>
      <c r="O107" s="724"/>
      <c r="P107" s="720" t="s">
        <v>40</v>
      </c>
      <c r="Q107" s="721"/>
      <c r="R107" s="721"/>
      <c r="S107" s="721"/>
      <c r="T107" s="721"/>
      <c r="U107" s="721"/>
      <c r="V107" s="722"/>
      <c r="W107" s="42" t="s">
        <v>0</v>
      </c>
      <c r="X107" s="43">
        <f>IFERROR(SUM(X99:X105),"0")</f>
        <v>26.75</v>
      </c>
      <c r="Y107" s="43">
        <f>IFERROR(SUM(Y99:Y105),"0")</f>
        <v>30.6</v>
      </c>
      <c r="Z107" s="42"/>
      <c r="AA107" s="67"/>
      <c r="AB107" s="67"/>
      <c r="AC107" s="67"/>
    </row>
    <row r="108" spans="1:68" ht="14.25" customHeight="1" x14ac:dyDescent="0.25">
      <c r="A108" s="714" t="s">
        <v>158</v>
      </c>
      <c r="B108" s="714"/>
      <c r="C108" s="714"/>
      <c r="D108" s="714"/>
      <c r="E108" s="714"/>
      <c r="F108" s="714"/>
      <c r="G108" s="714"/>
      <c r="H108" s="714"/>
      <c r="I108" s="714"/>
      <c r="J108" s="714"/>
      <c r="K108" s="714"/>
      <c r="L108" s="714"/>
      <c r="M108" s="714"/>
      <c r="N108" s="714"/>
      <c r="O108" s="714"/>
      <c r="P108" s="714"/>
      <c r="Q108" s="714"/>
      <c r="R108" s="714"/>
      <c r="S108" s="714"/>
      <c r="T108" s="714"/>
      <c r="U108" s="714"/>
      <c r="V108" s="714"/>
      <c r="W108" s="714"/>
      <c r="X108" s="714"/>
      <c r="Y108" s="714"/>
      <c r="Z108" s="714"/>
      <c r="AA108" s="66"/>
      <c r="AB108" s="66"/>
      <c r="AC108" s="80"/>
    </row>
    <row r="109" spans="1:68" ht="27" customHeight="1" x14ac:dyDescent="0.25">
      <c r="A109" s="63" t="s">
        <v>218</v>
      </c>
      <c r="B109" s="63" t="s">
        <v>219</v>
      </c>
      <c r="C109" s="36">
        <v>4301020391</v>
      </c>
      <c r="D109" s="715">
        <v>4680115881488</v>
      </c>
      <c r="E109" s="71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77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717"/>
      <c r="R109" s="717"/>
      <c r="S109" s="717"/>
      <c r="T109" s="718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221</v>
      </c>
      <c r="B110" s="63" t="s">
        <v>222</v>
      </c>
      <c r="C110" s="36">
        <v>4301020186</v>
      </c>
      <c r="D110" s="715">
        <v>4680115887664</v>
      </c>
      <c r="E110" s="71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77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7"/>
      <c r="R110" s="717"/>
      <c r="S110" s="717"/>
      <c r="T110" s="718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customHeight="1" x14ac:dyDescent="0.25">
      <c r="A111" s="63" t="s">
        <v>221</v>
      </c>
      <c r="B111" s="63" t="s">
        <v>225</v>
      </c>
      <c r="C111" s="36">
        <v>4301020430</v>
      </c>
      <c r="D111" s="715">
        <v>4680115887664</v>
      </c>
      <c r="E111" s="715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77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717"/>
      <c r="R111" s="717"/>
      <c r="S111" s="717"/>
      <c r="T111" s="718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customHeight="1" x14ac:dyDescent="0.25">
      <c r="A112" s="63" t="s">
        <v>226</v>
      </c>
      <c r="B112" s="63" t="s">
        <v>227</v>
      </c>
      <c r="C112" s="36">
        <v>4301020393</v>
      </c>
      <c r="D112" s="715">
        <v>4680115882775</v>
      </c>
      <c r="E112" s="715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77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717"/>
      <c r="R112" s="717"/>
      <c r="S112" s="717"/>
      <c r="T112" s="718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228</v>
      </c>
      <c r="B113" s="63" t="s">
        <v>229</v>
      </c>
      <c r="C113" s="36">
        <v>4301020392</v>
      </c>
      <c r="D113" s="715">
        <v>4680115880658</v>
      </c>
      <c r="E113" s="715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77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717"/>
      <c r="R113" s="717"/>
      <c r="S113" s="717"/>
      <c r="T113" s="718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x14ac:dyDescent="0.2">
      <c r="A114" s="723"/>
      <c r="B114" s="723"/>
      <c r="C114" s="723"/>
      <c r="D114" s="723"/>
      <c r="E114" s="723"/>
      <c r="F114" s="723"/>
      <c r="G114" s="723"/>
      <c r="H114" s="723"/>
      <c r="I114" s="723"/>
      <c r="J114" s="723"/>
      <c r="K114" s="723"/>
      <c r="L114" s="723"/>
      <c r="M114" s="723"/>
      <c r="N114" s="723"/>
      <c r="O114" s="724"/>
      <c r="P114" s="720" t="s">
        <v>40</v>
      </c>
      <c r="Q114" s="721"/>
      <c r="R114" s="721"/>
      <c r="S114" s="721"/>
      <c r="T114" s="721"/>
      <c r="U114" s="721"/>
      <c r="V114" s="722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x14ac:dyDescent="0.2">
      <c r="A115" s="723"/>
      <c r="B115" s="723"/>
      <c r="C115" s="723"/>
      <c r="D115" s="723"/>
      <c r="E115" s="723"/>
      <c r="F115" s="723"/>
      <c r="G115" s="723"/>
      <c r="H115" s="723"/>
      <c r="I115" s="723"/>
      <c r="J115" s="723"/>
      <c r="K115" s="723"/>
      <c r="L115" s="723"/>
      <c r="M115" s="723"/>
      <c r="N115" s="723"/>
      <c r="O115" s="724"/>
      <c r="P115" s="720" t="s">
        <v>40</v>
      </c>
      <c r="Q115" s="721"/>
      <c r="R115" s="721"/>
      <c r="S115" s="721"/>
      <c r="T115" s="721"/>
      <c r="U115" s="721"/>
      <c r="V115" s="722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customHeight="1" x14ac:dyDescent="0.25">
      <c r="A116" s="714" t="s">
        <v>86</v>
      </c>
      <c r="B116" s="714"/>
      <c r="C116" s="714"/>
      <c r="D116" s="714"/>
      <c r="E116" s="714"/>
      <c r="F116" s="714"/>
      <c r="G116" s="714"/>
      <c r="H116" s="714"/>
      <c r="I116" s="714"/>
      <c r="J116" s="714"/>
      <c r="K116" s="714"/>
      <c r="L116" s="714"/>
      <c r="M116" s="714"/>
      <c r="N116" s="714"/>
      <c r="O116" s="714"/>
      <c r="P116" s="714"/>
      <c r="Q116" s="714"/>
      <c r="R116" s="714"/>
      <c r="S116" s="714"/>
      <c r="T116" s="714"/>
      <c r="U116" s="714"/>
      <c r="V116" s="714"/>
      <c r="W116" s="714"/>
      <c r="X116" s="714"/>
      <c r="Y116" s="714"/>
      <c r="Z116" s="714"/>
      <c r="AA116" s="66"/>
      <c r="AB116" s="66"/>
      <c r="AC116" s="80"/>
    </row>
    <row r="117" spans="1:68" ht="27" customHeight="1" x14ac:dyDescent="0.25">
      <c r="A117" s="63" t="s">
        <v>230</v>
      </c>
      <c r="B117" s="63" t="s">
        <v>231</v>
      </c>
      <c r="C117" s="36">
        <v>4301051724</v>
      </c>
      <c r="D117" s="715">
        <v>4607091385168</v>
      </c>
      <c r="E117" s="715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77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717"/>
      <c r="R117" s="717"/>
      <c r="S117" s="717"/>
      <c r="T117" s="718"/>
      <c r="U117" s="39" t="s">
        <v>46</v>
      </c>
      <c r="V117" s="39" t="s">
        <v>46</v>
      </c>
      <c r="W117" s="40" t="s">
        <v>0</v>
      </c>
      <c r="X117" s="58">
        <v>30</v>
      </c>
      <c r="Y117" s="55">
        <f>IFERROR(IF(X117="",0,CEILING((X117/$H117),1)*$H117),"")</f>
        <v>32.4</v>
      </c>
      <c r="Z117" s="41">
        <f>IFERROR(IF(Y117=0,"",ROUNDUP(Y117/H117,0)*0.01898),"")</f>
        <v>7.5920000000000001E-2</v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31.807407407407407</v>
      </c>
      <c r="BN117" s="78">
        <f>IFERROR(Y117*I117/H117,"0")</f>
        <v>34.351999999999997</v>
      </c>
      <c r="BO117" s="78">
        <f>IFERROR(1/J117*(X117/H117),"0")</f>
        <v>5.7870370370370371E-2</v>
      </c>
      <c r="BP117" s="78">
        <f>IFERROR(1/J117*(Y117/H117),"0")</f>
        <v>6.25E-2</v>
      </c>
    </row>
    <row r="118" spans="1:68" ht="27" customHeight="1" x14ac:dyDescent="0.25">
      <c r="A118" s="63" t="s">
        <v>233</v>
      </c>
      <c r="B118" s="63" t="s">
        <v>234</v>
      </c>
      <c r="C118" s="36">
        <v>4301051730</v>
      </c>
      <c r="D118" s="715">
        <v>4607091383256</v>
      </c>
      <c r="E118" s="715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7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717"/>
      <c r="R118" s="717"/>
      <c r="S118" s="717"/>
      <c r="T118" s="71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235</v>
      </c>
      <c r="B119" s="63" t="s">
        <v>236</v>
      </c>
      <c r="C119" s="36">
        <v>4301051721</v>
      </c>
      <c r="D119" s="715">
        <v>4607091385748</v>
      </c>
      <c r="E119" s="715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7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717"/>
      <c r="R119" s="717"/>
      <c r="S119" s="717"/>
      <c r="T119" s="718"/>
      <c r="U119" s="39" t="s">
        <v>46</v>
      </c>
      <c r="V119" s="39" t="s">
        <v>46</v>
      </c>
      <c r="W119" s="40" t="s">
        <v>0</v>
      </c>
      <c r="X119" s="58">
        <v>27</v>
      </c>
      <c r="Y119" s="55">
        <f>IFERROR(IF(X119="",0,CEILING((X119/$H119),1)*$H119),"")</f>
        <v>27</v>
      </c>
      <c r="Z119" s="41">
        <f>IFERROR(IF(Y119=0,"",ROUNDUP(Y119/H119,0)*0.00651),"")</f>
        <v>6.5100000000000005E-2</v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29.519999999999996</v>
      </c>
      <c r="BN119" s="78">
        <f>IFERROR(Y119*I119/H119,"0")</f>
        <v>29.519999999999996</v>
      </c>
      <c r="BO119" s="78">
        <f>IFERROR(1/J119*(X119/H119),"0")</f>
        <v>5.4945054945054951E-2</v>
      </c>
      <c r="BP119" s="78">
        <f>IFERROR(1/J119*(Y119/H119),"0")</f>
        <v>5.4945054945054951E-2</v>
      </c>
    </row>
    <row r="120" spans="1:68" ht="16.5" customHeight="1" x14ac:dyDescent="0.25">
      <c r="A120" s="63" t="s">
        <v>237</v>
      </c>
      <c r="B120" s="63" t="s">
        <v>238</v>
      </c>
      <c r="C120" s="36">
        <v>4301051740</v>
      </c>
      <c r="D120" s="715">
        <v>4680115884533</v>
      </c>
      <c r="E120" s="715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7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717"/>
      <c r="R120" s="717"/>
      <c r="S120" s="717"/>
      <c r="T120" s="71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723"/>
      <c r="B121" s="723"/>
      <c r="C121" s="723"/>
      <c r="D121" s="723"/>
      <c r="E121" s="723"/>
      <c r="F121" s="723"/>
      <c r="G121" s="723"/>
      <c r="H121" s="723"/>
      <c r="I121" s="723"/>
      <c r="J121" s="723"/>
      <c r="K121" s="723"/>
      <c r="L121" s="723"/>
      <c r="M121" s="723"/>
      <c r="N121" s="723"/>
      <c r="O121" s="724"/>
      <c r="P121" s="720" t="s">
        <v>40</v>
      </c>
      <c r="Q121" s="721"/>
      <c r="R121" s="721"/>
      <c r="S121" s="721"/>
      <c r="T121" s="721"/>
      <c r="U121" s="721"/>
      <c r="V121" s="722"/>
      <c r="W121" s="42" t="s">
        <v>39</v>
      </c>
      <c r="X121" s="43">
        <f>IFERROR(X117/H117,"0")+IFERROR(X118/H118,"0")+IFERROR(X119/H119,"0")+IFERROR(X120/H120,"0")</f>
        <v>13.703703703703704</v>
      </c>
      <c r="Y121" s="43">
        <f>IFERROR(Y117/H117,"0")+IFERROR(Y118/H118,"0")+IFERROR(Y119/H119,"0")+IFERROR(Y120/H120,"0")</f>
        <v>14</v>
      </c>
      <c r="Z121" s="43">
        <f>IFERROR(IF(Z117="",0,Z117),"0")+IFERROR(IF(Z118="",0,Z118),"0")+IFERROR(IF(Z119="",0,Z119),"0")+IFERROR(IF(Z120="",0,Z120),"0")</f>
        <v>0.14102000000000001</v>
      </c>
      <c r="AA121" s="67"/>
      <c r="AB121" s="67"/>
      <c r="AC121" s="67"/>
    </row>
    <row r="122" spans="1:68" x14ac:dyDescent="0.2">
      <c r="A122" s="723"/>
      <c r="B122" s="723"/>
      <c r="C122" s="723"/>
      <c r="D122" s="723"/>
      <c r="E122" s="723"/>
      <c r="F122" s="723"/>
      <c r="G122" s="723"/>
      <c r="H122" s="723"/>
      <c r="I122" s="723"/>
      <c r="J122" s="723"/>
      <c r="K122" s="723"/>
      <c r="L122" s="723"/>
      <c r="M122" s="723"/>
      <c r="N122" s="723"/>
      <c r="O122" s="724"/>
      <c r="P122" s="720" t="s">
        <v>40</v>
      </c>
      <c r="Q122" s="721"/>
      <c r="R122" s="721"/>
      <c r="S122" s="721"/>
      <c r="T122" s="721"/>
      <c r="U122" s="721"/>
      <c r="V122" s="722"/>
      <c r="W122" s="42" t="s">
        <v>0</v>
      </c>
      <c r="X122" s="43">
        <f>IFERROR(SUM(X117:X120),"0")</f>
        <v>57</v>
      </c>
      <c r="Y122" s="43">
        <f>IFERROR(SUM(Y117:Y120),"0")</f>
        <v>59.4</v>
      </c>
      <c r="Z122" s="42"/>
      <c r="AA122" s="67"/>
      <c r="AB122" s="67"/>
      <c r="AC122" s="67"/>
    </row>
    <row r="123" spans="1:68" ht="14.25" customHeight="1" x14ac:dyDescent="0.25">
      <c r="A123" s="714" t="s">
        <v>175</v>
      </c>
      <c r="B123" s="714"/>
      <c r="C123" s="714"/>
      <c r="D123" s="714"/>
      <c r="E123" s="714"/>
      <c r="F123" s="714"/>
      <c r="G123" s="714"/>
      <c r="H123" s="714"/>
      <c r="I123" s="714"/>
      <c r="J123" s="714"/>
      <c r="K123" s="714"/>
      <c r="L123" s="714"/>
      <c r="M123" s="714"/>
      <c r="N123" s="714"/>
      <c r="O123" s="714"/>
      <c r="P123" s="714"/>
      <c r="Q123" s="714"/>
      <c r="R123" s="714"/>
      <c r="S123" s="714"/>
      <c r="T123" s="714"/>
      <c r="U123" s="714"/>
      <c r="V123" s="714"/>
      <c r="W123" s="714"/>
      <c r="X123" s="714"/>
      <c r="Y123" s="714"/>
      <c r="Z123" s="714"/>
      <c r="AA123" s="66"/>
      <c r="AB123" s="66"/>
      <c r="AC123" s="80"/>
    </row>
    <row r="124" spans="1:68" ht="16.5" customHeight="1" x14ac:dyDescent="0.25">
      <c r="A124" s="63" t="s">
        <v>240</v>
      </c>
      <c r="B124" s="63" t="s">
        <v>241</v>
      </c>
      <c r="C124" s="36">
        <v>4301060317</v>
      </c>
      <c r="D124" s="715">
        <v>4680115880238</v>
      </c>
      <c r="E124" s="715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77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717"/>
      <c r="R124" s="717"/>
      <c r="S124" s="717"/>
      <c r="T124" s="71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x14ac:dyDescent="0.2">
      <c r="A125" s="723"/>
      <c r="B125" s="723"/>
      <c r="C125" s="723"/>
      <c r="D125" s="723"/>
      <c r="E125" s="723"/>
      <c r="F125" s="723"/>
      <c r="G125" s="723"/>
      <c r="H125" s="723"/>
      <c r="I125" s="723"/>
      <c r="J125" s="723"/>
      <c r="K125" s="723"/>
      <c r="L125" s="723"/>
      <c r="M125" s="723"/>
      <c r="N125" s="723"/>
      <c r="O125" s="724"/>
      <c r="P125" s="720" t="s">
        <v>40</v>
      </c>
      <c r="Q125" s="721"/>
      <c r="R125" s="721"/>
      <c r="S125" s="721"/>
      <c r="T125" s="721"/>
      <c r="U125" s="721"/>
      <c r="V125" s="722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x14ac:dyDescent="0.2">
      <c r="A126" s="723"/>
      <c r="B126" s="723"/>
      <c r="C126" s="723"/>
      <c r="D126" s="723"/>
      <c r="E126" s="723"/>
      <c r="F126" s="723"/>
      <c r="G126" s="723"/>
      <c r="H126" s="723"/>
      <c r="I126" s="723"/>
      <c r="J126" s="723"/>
      <c r="K126" s="723"/>
      <c r="L126" s="723"/>
      <c r="M126" s="723"/>
      <c r="N126" s="723"/>
      <c r="O126" s="724"/>
      <c r="P126" s="720" t="s">
        <v>40</v>
      </c>
      <c r="Q126" s="721"/>
      <c r="R126" s="721"/>
      <c r="S126" s="721"/>
      <c r="T126" s="721"/>
      <c r="U126" s="721"/>
      <c r="V126" s="722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customHeight="1" x14ac:dyDescent="0.25">
      <c r="A127" s="713" t="s">
        <v>243</v>
      </c>
      <c r="B127" s="713"/>
      <c r="C127" s="713"/>
      <c r="D127" s="713"/>
      <c r="E127" s="713"/>
      <c r="F127" s="713"/>
      <c r="G127" s="713"/>
      <c r="H127" s="713"/>
      <c r="I127" s="713"/>
      <c r="J127" s="713"/>
      <c r="K127" s="713"/>
      <c r="L127" s="713"/>
      <c r="M127" s="713"/>
      <c r="N127" s="713"/>
      <c r="O127" s="713"/>
      <c r="P127" s="713"/>
      <c r="Q127" s="713"/>
      <c r="R127" s="713"/>
      <c r="S127" s="713"/>
      <c r="T127" s="713"/>
      <c r="U127" s="713"/>
      <c r="V127" s="713"/>
      <c r="W127" s="713"/>
      <c r="X127" s="713"/>
      <c r="Y127" s="713"/>
      <c r="Z127" s="713"/>
      <c r="AA127" s="65"/>
      <c r="AB127" s="65"/>
      <c r="AC127" s="79"/>
    </row>
    <row r="128" spans="1:68" ht="14.25" customHeight="1" x14ac:dyDescent="0.25">
      <c r="A128" s="714" t="s">
        <v>122</v>
      </c>
      <c r="B128" s="714"/>
      <c r="C128" s="714"/>
      <c r="D128" s="714"/>
      <c r="E128" s="714"/>
      <c r="F128" s="714"/>
      <c r="G128" s="714"/>
      <c r="H128" s="714"/>
      <c r="I128" s="714"/>
      <c r="J128" s="714"/>
      <c r="K128" s="714"/>
      <c r="L128" s="714"/>
      <c r="M128" s="714"/>
      <c r="N128" s="714"/>
      <c r="O128" s="714"/>
      <c r="P128" s="714"/>
      <c r="Q128" s="714"/>
      <c r="R128" s="714"/>
      <c r="S128" s="714"/>
      <c r="T128" s="714"/>
      <c r="U128" s="714"/>
      <c r="V128" s="714"/>
      <c r="W128" s="714"/>
      <c r="X128" s="714"/>
      <c r="Y128" s="714"/>
      <c r="Z128" s="714"/>
      <c r="AA128" s="66"/>
      <c r="AB128" s="66"/>
      <c r="AC128" s="80"/>
    </row>
    <row r="129" spans="1:68" ht="27" customHeight="1" x14ac:dyDescent="0.25">
      <c r="A129" s="63" t="s">
        <v>244</v>
      </c>
      <c r="B129" s="63" t="s">
        <v>245</v>
      </c>
      <c r="C129" s="36">
        <v>4301012347</v>
      </c>
      <c r="D129" s="715">
        <v>4680115888784</v>
      </c>
      <c r="E129" s="715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780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717"/>
      <c r="R129" s="717"/>
      <c r="S129" s="717"/>
      <c r="T129" s="718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248</v>
      </c>
      <c r="B130" s="63" t="s">
        <v>249</v>
      </c>
      <c r="C130" s="36">
        <v>4301011562</v>
      </c>
      <c r="D130" s="715">
        <v>4680115882577</v>
      </c>
      <c r="E130" s="715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7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717"/>
      <c r="R130" s="717"/>
      <c r="S130" s="717"/>
      <c r="T130" s="718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248</v>
      </c>
      <c r="B131" s="63" t="s">
        <v>252</v>
      </c>
      <c r="C131" s="36">
        <v>4301011564</v>
      </c>
      <c r="D131" s="715">
        <v>4680115882577</v>
      </c>
      <c r="E131" s="715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7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717"/>
      <c r="R131" s="717"/>
      <c r="S131" s="717"/>
      <c r="T131" s="718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723"/>
      <c r="B132" s="723"/>
      <c r="C132" s="723"/>
      <c r="D132" s="723"/>
      <c r="E132" s="723"/>
      <c r="F132" s="723"/>
      <c r="G132" s="723"/>
      <c r="H132" s="723"/>
      <c r="I132" s="723"/>
      <c r="J132" s="723"/>
      <c r="K132" s="723"/>
      <c r="L132" s="723"/>
      <c r="M132" s="723"/>
      <c r="N132" s="723"/>
      <c r="O132" s="724"/>
      <c r="P132" s="720" t="s">
        <v>40</v>
      </c>
      <c r="Q132" s="721"/>
      <c r="R132" s="721"/>
      <c r="S132" s="721"/>
      <c r="T132" s="721"/>
      <c r="U132" s="721"/>
      <c r="V132" s="722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x14ac:dyDescent="0.2">
      <c r="A133" s="723"/>
      <c r="B133" s="723"/>
      <c r="C133" s="723"/>
      <c r="D133" s="723"/>
      <c r="E133" s="723"/>
      <c r="F133" s="723"/>
      <c r="G133" s="723"/>
      <c r="H133" s="723"/>
      <c r="I133" s="723"/>
      <c r="J133" s="723"/>
      <c r="K133" s="723"/>
      <c r="L133" s="723"/>
      <c r="M133" s="723"/>
      <c r="N133" s="723"/>
      <c r="O133" s="724"/>
      <c r="P133" s="720" t="s">
        <v>40</v>
      </c>
      <c r="Q133" s="721"/>
      <c r="R133" s="721"/>
      <c r="S133" s="721"/>
      <c r="T133" s="721"/>
      <c r="U133" s="721"/>
      <c r="V133" s="722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customHeight="1" x14ac:dyDescent="0.25">
      <c r="A134" s="714" t="s">
        <v>77</v>
      </c>
      <c r="B134" s="714"/>
      <c r="C134" s="714"/>
      <c r="D134" s="714"/>
      <c r="E134" s="714"/>
      <c r="F134" s="714"/>
      <c r="G134" s="714"/>
      <c r="H134" s="714"/>
      <c r="I134" s="714"/>
      <c r="J134" s="714"/>
      <c r="K134" s="714"/>
      <c r="L134" s="714"/>
      <c r="M134" s="714"/>
      <c r="N134" s="714"/>
      <c r="O134" s="714"/>
      <c r="P134" s="714"/>
      <c r="Q134" s="714"/>
      <c r="R134" s="714"/>
      <c r="S134" s="714"/>
      <c r="T134" s="714"/>
      <c r="U134" s="714"/>
      <c r="V134" s="714"/>
      <c r="W134" s="714"/>
      <c r="X134" s="714"/>
      <c r="Y134" s="714"/>
      <c r="Z134" s="714"/>
      <c r="AA134" s="66"/>
      <c r="AB134" s="66"/>
      <c r="AC134" s="80"/>
    </row>
    <row r="135" spans="1:68" ht="16.5" customHeight="1" x14ac:dyDescent="0.25">
      <c r="A135" s="63" t="s">
        <v>253</v>
      </c>
      <c r="B135" s="63" t="s">
        <v>254</v>
      </c>
      <c r="C135" s="36">
        <v>4301031506</v>
      </c>
      <c r="D135" s="715">
        <v>4680115888913</v>
      </c>
      <c r="E135" s="715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7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717"/>
      <c r="R135" s="717"/>
      <c r="S135" s="717"/>
      <c r="T135" s="71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256</v>
      </c>
      <c r="B136" s="63" t="s">
        <v>257</v>
      </c>
      <c r="C136" s="36">
        <v>4301031234</v>
      </c>
      <c r="D136" s="715">
        <v>4680115883444</v>
      </c>
      <c r="E136" s="715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17"/>
      <c r="R136" s="717"/>
      <c r="S136" s="717"/>
      <c r="T136" s="71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customHeight="1" x14ac:dyDescent="0.25">
      <c r="A137" s="63" t="s">
        <v>256</v>
      </c>
      <c r="B137" s="63" t="s">
        <v>259</v>
      </c>
      <c r="C137" s="36">
        <v>4301031235</v>
      </c>
      <c r="D137" s="715">
        <v>4680115883444</v>
      </c>
      <c r="E137" s="715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17"/>
      <c r="R137" s="717"/>
      <c r="S137" s="717"/>
      <c r="T137" s="71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customHeight="1" x14ac:dyDescent="0.25">
      <c r="A138" s="63" t="s">
        <v>260</v>
      </c>
      <c r="B138" s="63" t="s">
        <v>261</v>
      </c>
      <c r="C138" s="36">
        <v>4301031504</v>
      </c>
      <c r="D138" s="715">
        <v>4680115888920</v>
      </c>
      <c r="E138" s="715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786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717"/>
      <c r="R138" s="717"/>
      <c r="S138" s="717"/>
      <c r="T138" s="71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723"/>
      <c r="B139" s="723"/>
      <c r="C139" s="723"/>
      <c r="D139" s="723"/>
      <c r="E139" s="723"/>
      <c r="F139" s="723"/>
      <c r="G139" s="723"/>
      <c r="H139" s="723"/>
      <c r="I139" s="723"/>
      <c r="J139" s="723"/>
      <c r="K139" s="723"/>
      <c r="L139" s="723"/>
      <c r="M139" s="723"/>
      <c r="N139" s="723"/>
      <c r="O139" s="724"/>
      <c r="P139" s="720" t="s">
        <v>40</v>
      </c>
      <c r="Q139" s="721"/>
      <c r="R139" s="721"/>
      <c r="S139" s="721"/>
      <c r="T139" s="721"/>
      <c r="U139" s="721"/>
      <c r="V139" s="722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x14ac:dyDescent="0.2">
      <c r="A140" s="723"/>
      <c r="B140" s="723"/>
      <c r="C140" s="723"/>
      <c r="D140" s="723"/>
      <c r="E140" s="723"/>
      <c r="F140" s="723"/>
      <c r="G140" s="723"/>
      <c r="H140" s="723"/>
      <c r="I140" s="723"/>
      <c r="J140" s="723"/>
      <c r="K140" s="723"/>
      <c r="L140" s="723"/>
      <c r="M140" s="723"/>
      <c r="N140" s="723"/>
      <c r="O140" s="724"/>
      <c r="P140" s="720" t="s">
        <v>40</v>
      </c>
      <c r="Q140" s="721"/>
      <c r="R140" s="721"/>
      <c r="S140" s="721"/>
      <c r="T140" s="721"/>
      <c r="U140" s="721"/>
      <c r="V140" s="722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customHeight="1" x14ac:dyDescent="0.25">
      <c r="A141" s="714" t="s">
        <v>86</v>
      </c>
      <c r="B141" s="714"/>
      <c r="C141" s="714"/>
      <c r="D141" s="714"/>
      <c r="E141" s="714"/>
      <c r="F141" s="714"/>
      <c r="G141" s="714"/>
      <c r="H141" s="714"/>
      <c r="I141" s="714"/>
      <c r="J141" s="714"/>
      <c r="K141" s="714"/>
      <c r="L141" s="714"/>
      <c r="M141" s="714"/>
      <c r="N141" s="714"/>
      <c r="O141" s="714"/>
      <c r="P141" s="714"/>
      <c r="Q141" s="714"/>
      <c r="R141" s="714"/>
      <c r="S141" s="714"/>
      <c r="T141" s="714"/>
      <c r="U141" s="714"/>
      <c r="V141" s="714"/>
      <c r="W141" s="714"/>
      <c r="X141" s="714"/>
      <c r="Y141" s="714"/>
      <c r="Z141" s="714"/>
      <c r="AA141" s="66"/>
      <c r="AB141" s="66"/>
      <c r="AC141" s="80"/>
    </row>
    <row r="142" spans="1:68" ht="16.5" customHeight="1" x14ac:dyDescent="0.25">
      <c r="A142" s="63" t="s">
        <v>262</v>
      </c>
      <c r="B142" s="63" t="s">
        <v>263</v>
      </c>
      <c r="C142" s="36">
        <v>4301052219</v>
      </c>
      <c r="D142" s="715">
        <v>4680115888944</v>
      </c>
      <c r="E142" s="715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787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717"/>
      <c r="R142" s="717"/>
      <c r="S142" s="717"/>
      <c r="T142" s="71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264</v>
      </c>
      <c r="B143" s="63" t="s">
        <v>265</v>
      </c>
      <c r="C143" s="36">
        <v>4301051476</v>
      </c>
      <c r="D143" s="715">
        <v>4680115882584</v>
      </c>
      <c r="E143" s="715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7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717"/>
      <c r="R143" s="717"/>
      <c r="S143" s="717"/>
      <c r="T143" s="71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customHeight="1" x14ac:dyDescent="0.25">
      <c r="A144" s="63" t="s">
        <v>264</v>
      </c>
      <c r="B144" s="63" t="s">
        <v>266</v>
      </c>
      <c r="C144" s="36">
        <v>4301051477</v>
      </c>
      <c r="D144" s="715">
        <v>4680115882584</v>
      </c>
      <c r="E144" s="715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7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717"/>
      <c r="R144" s="717"/>
      <c r="S144" s="717"/>
      <c r="T144" s="71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723"/>
      <c r="B145" s="723"/>
      <c r="C145" s="723"/>
      <c r="D145" s="723"/>
      <c r="E145" s="723"/>
      <c r="F145" s="723"/>
      <c r="G145" s="723"/>
      <c r="H145" s="723"/>
      <c r="I145" s="723"/>
      <c r="J145" s="723"/>
      <c r="K145" s="723"/>
      <c r="L145" s="723"/>
      <c r="M145" s="723"/>
      <c r="N145" s="723"/>
      <c r="O145" s="724"/>
      <c r="P145" s="720" t="s">
        <v>40</v>
      </c>
      <c r="Q145" s="721"/>
      <c r="R145" s="721"/>
      <c r="S145" s="721"/>
      <c r="T145" s="721"/>
      <c r="U145" s="721"/>
      <c r="V145" s="722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x14ac:dyDescent="0.2">
      <c r="A146" s="723"/>
      <c r="B146" s="723"/>
      <c r="C146" s="723"/>
      <c r="D146" s="723"/>
      <c r="E146" s="723"/>
      <c r="F146" s="723"/>
      <c r="G146" s="723"/>
      <c r="H146" s="723"/>
      <c r="I146" s="723"/>
      <c r="J146" s="723"/>
      <c r="K146" s="723"/>
      <c r="L146" s="723"/>
      <c r="M146" s="723"/>
      <c r="N146" s="723"/>
      <c r="O146" s="724"/>
      <c r="P146" s="720" t="s">
        <v>40</v>
      </c>
      <c r="Q146" s="721"/>
      <c r="R146" s="721"/>
      <c r="S146" s="721"/>
      <c r="T146" s="721"/>
      <c r="U146" s="721"/>
      <c r="V146" s="722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customHeight="1" x14ac:dyDescent="0.25">
      <c r="A147" s="713" t="s">
        <v>267</v>
      </c>
      <c r="B147" s="713"/>
      <c r="C147" s="713"/>
      <c r="D147" s="713"/>
      <c r="E147" s="713"/>
      <c r="F147" s="713"/>
      <c r="G147" s="713"/>
      <c r="H147" s="713"/>
      <c r="I147" s="713"/>
      <c r="J147" s="713"/>
      <c r="K147" s="713"/>
      <c r="L147" s="713"/>
      <c r="M147" s="713"/>
      <c r="N147" s="713"/>
      <c r="O147" s="713"/>
      <c r="P147" s="713"/>
      <c r="Q147" s="713"/>
      <c r="R147" s="713"/>
      <c r="S147" s="713"/>
      <c r="T147" s="713"/>
      <c r="U147" s="713"/>
      <c r="V147" s="713"/>
      <c r="W147" s="713"/>
      <c r="X147" s="713"/>
      <c r="Y147" s="713"/>
      <c r="Z147" s="713"/>
      <c r="AA147" s="65"/>
      <c r="AB147" s="65"/>
      <c r="AC147" s="79"/>
    </row>
    <row r="148" spans="1:68" ht="14.25" customHeight="1" x14ac:dyDescent="0.25">
      <c r="A148" s="714" t="s">
        <v>86</v>
      </c>
      <c r="B148" s="714"/>
      <c r="C148" s="714"/>
      <c r="D148" s="714"/>
      <c r="E148" s="714"/>
      <c r="F148" s="714"/>
      <c r="G148" s="714"/>
      <c r="H148" s="714"/>
      <c r="I148" s="714"/>
      <c r="J148" s="714"/>
      <c r="K148" s="714"/>
      <c r="L148" s="714"/>
      <c r="M148" s="714"/>
      <c r="N148" s="714"/>
      <c r="O148" s="714"/>
      <c r="P148" s="714"/>
      <c r="Q148" s="714"/>
      <c r="R148" s="714"/>
      <c r="S148" s="714"/>
      <c r="T148" s="714"/>
      <c r="U148" s="714"/>
      <c r="V148" s="714"/>
      <c r="W148" s="714"/>
      <c r="X148" s="714"/>
      <c r="Y148" s="714"/>
      <c r="Z148" s="714"/>
      <c r="AA148" s="66"/>
      <c r="AB148" s="66"/>
      <c r="AC148" s="80"/>
    </row>
    <row r="149" spans="1:68" ht="27" customHeight="1" x14ac:dyDescent="0.25">
      <c r="A149" s="63" t="s">
        <v>268</v>
      </c>
      <c r="B149" s="63" t="s">
        <v>269</v>
      </c>
      <c r="C149" s="36">
        <v>4301052254</v>
      </c>
      <c r="D149" s="715">
        <v>4680115888203</v>
      </c>
      <c r="E149" s="715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717"/>
      <c r="R149" s="717"/>
      <c r="S149" s="717"/>
      <c r="T149" s="718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customHeight="1" x14ac:dyDescent="0.25">
      <c r="A150" s="63" t="s">
        <v>271</v>
      </c>
      <c r="B150" s="63" t="s">
        <v>272</v>
      </c>
      <c r="C150" s="36">
        <v>4301052172</v>
      </c>
      <c r="D150" s="715">
        <v>4680115888180</v>
      </c>
      <c r="E150" s="715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7"/>
      <c r="R150" s="717"/>
      <c r="S150" s="717"/>
      <c r="T150" s="718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customHeight="1" x14ac:dyDescent="0.25">
      <c r="A151" s="63" t="s">
        <v>271</v>
      </c>
      <c r="B151" s="63" t="s">
        <v>274</v>
      </c>
      <c r="C151" s="36">
        <v>4301052252</v>
      </c>
      <c r="D151" s="715">
        <v>4680115888180</v>
      </c>
      <c r="E151" s="715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17"/>
      <c r="R151" s="717"/>
      <c r="S151" s="717"/>
      <c r="T151" s="718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customHeight="1" x14ac:dyDescent="0.25">
      <c r="A152" s="63" t="s">
        <v>275</v>
      </c>
      <c r="B152" s="63" t="s">
        <v>276</v>
      </c>
      <c r="C152" s="36">
        <v>4301052173</v>
      </c>
      <c r="D152" s="715">
        <v>4680115888197</v>
      </c>
      <c r="E152" s="715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7"/>
      <c r="R152" s="717"/>
      <c r="S152" s="717"/>
      <c r="T152" s="718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customHeight="1" x14ac:dyDescent="0.25">
      <c r="A153" s="63" t="s">
        <v>275</v>
      </c>
      <c r="B153" s="63" t="s">
        <v>278</v>
      </c>
      <c r="C153" s="36">
        <v>4301052253</v>
      </c>
      <c r="D153" s="715">
        <v>4680115888197</v>
      </c>
      <c r="E153" s="71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9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17"/>
      <c r="R153" s="717"/>
      <c r="S153" s="717"/>
      <c r="T153" s="718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customHeight="1" x14ac:dyDescent="0.25">
      <c r="A154" s="63" t="s">
        <v>279</v>
      </c>
      <c r="B154" s="63" t="s">
        <v>280</v>
      </c>
      <c r="C154" s="36">
        <v>4301052175</v>
      </c>
      <c r="D154" s="715">
        <v>4680115888210</v>
      </c>
      <c r="E154" s="71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9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7"/>
      <c r="R154" s="717"/>
      <c r="S154" s="717"/>
      <c r="T154" s="71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customHeight="1" x14ac:dyDescent="0.25">
      <c r="A155" s="63" t="s">
        <v>279</v>
      </c>
      <c r="B155" s="63" t="s">
        <v>282</v>
      </c>
      <c r="C155" s="36">
        <v>4301052255</v>
      </c>
      <c r="D155" s="715">
        <v>4680115888210</v>
      </c>
      <c r="E155" s="71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9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17"/>
      <c r="R155" s="717"/>
      <c r="S155" s="717"/>
      <c r="T155" s="71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x14ac:dyDescent="0.2">
      <c r="A156" s="723"/>
      <c r="B156" s="723"/>
      <c r="C156" s="723"/>
      <c r="D156" s="723"/>
      <c r="E156" s="723"/>
      <c r="F156" s="723"/>
      <c r="G156" s="723"/>
      <c r="H156" s="723"/>
      <c r="I156" s="723"/>
      <c r="J156" s="723"/>
      <c r="K156" s="723"/>
      <c r="L156" s="723"/>
      <c r="M156" s="723"/>
      <c r="N156" s="723"/>
      <c r="O156" s="724"/>
      <c r="P156" s="720" t="s">
        <v>40</v>
      </c>
      <c r="Q156" s="721"/>
      <c r="R156" s="721"/>
      <c r="S156" s="721"/>
      <c r="T156" s="721"/>
      <c r="U156" s="721"/>
      <c r="V156" s="722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x14ac:dyDescent="0.2">
      <c r="A157" s="723"/>
      <c r="B157" s="723"/>
      <c r="C157" s="723"/>
      <c r="D157" s="723"/>
      <c r="E157" s="723"/>
      <c r="F157" s="723"/>
      <c r="G157" s="723"/>
      <c r="H157" s="723"/>
      <c r="I157" s="723"/>
      <c r="J157" s="723"/>
      <c r="K157" s="723"/>
      <c r="L157" s="723"/>
      <c r="M157" s="723"/>
      <c r="N157" s="723"/>
      <c r="O157" s="724"/>
      <c r="P157" s="720" t="s">
        <v>40</v>
      </c>
      <c r="Q157" s="721"/>
      <c r="R157" s="721"/>
      <c r="S157" s="721"/>
      <c r="T157" s="721"/>
      <c r="U157" s="721"/>
      <c r="V157" s="722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customHeight="1" x14ac:dyDescent="0.25">
      <c r="A158" s="714" t="s">
        <v>283</v>
      </c>
      <c r="B158" s="714"/>
      <c r="C158" s="714"/>
      <c r="D158" s="714"/>
      <c r="E158" s="714"/>
      <c r="F158" s="714"/>
      <c r="G158" s="714"/>
      <c r="H158" s="714"/>
      <c r="I158" s="714"/>
      <c r="J158" s="714"/>
      <c r="K158" s="714"/>
      <c r="L158" s="714"/>
      <c r="M158" s="714"/>
      <c r="N158" s="714"/>
      <c r="O158" s="714"/>
      <c r="P158" s="714"/>
      <c r="Q158" s="714"/>
      <c r="R158" s="714"/>
      <c r="S158" s="714"/>
      <c r="T158" s="714"/>
      <c r="U158" s="714"/>
      <c r="V158" s="714"/>
      <c r="W158" s="714"/>
      <c r="X158" s="714"/>
      <c r="Y158" s="714"/>
      <c r="Z158" s="714"/>
      <c r="AA158" s="66"/>
      <c r="AB158" s="66"/>
      <c r="AC158" s="80"/>
    </row>
    <row r="159" spans="1:68" ht="27" customHeight="1" x14ac:dyDescent="0.25">
      <c r="A159" s="63" t="s">
        <v>284</v>
      </c>
      <c r="B159" s="63" t="s">
        <v>285</v>
      </c>
      <c r="C159" s="36">
        <v>4301032067</v>
      </c>
      <c r="D159" s="715">
        <v>4680115889132</v>
      </c>
      <c r="E159" s="71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79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17"/>
      <c r="R159" s="717"/>
      <c r="S159" s="717"/>
      <c r="T159" s="71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x14ac:dyDescent="0.2">
      <c r="A160" s="723"/>
      <c r="B160" s="723"/>
      <c r="C160" s="723"/>
      <c r="D160" s="723"/>
      <c r="E160" s="723"/>
      <c r="F160" s="723"/>
      <c r="G160" s="723"/>
      <c r="H160" s="723"/>
      <c r="I160" s="723"/>
      <c r="J160" s="723"/>
      <c r="K160" s="723"/>
      <c r="L160" s="723"/>
      <c r="M160" s="723"/>
      <c r="N160" s="723"/>
      <c r="O160" s="724"/>
      <c r="P160" s="720" t="s">
        <v>40</v>
      </c>
      <c r="Q160" s="721"/>
      <c r="R160" s="721"/>
      <c r="S160" s="721"/>
      <c r="T160" s="721"/>
      <c r="U160" s="721"/>
      <c r="V160" s="722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x14ac:dyDescent="0.2">
      <c r="A161" s="723"/>
      <c r="B161" s="723"/>
      <c r="C161" s="723"/>
      <c r="D161" s="723"/>
      <c r="E161" s="723"/>
      <c r="F161" s="723"/>
      <c r="G161" s="723"/>
      <c r="H161" s="723"/>
      <c r="I161" s="723"/>
      <c r="J161" s="723"/>
      <c r="K161" s="723"/>
      <c r="L161" s="723"/>
      <c r="M161" s="723"/>
      <c r="N161" s="723"/>
      <c r="O161" s="724"/>
      <c r="P161" s="720" t="s">
        <v>40</v>
      </c>
      <c r="Q161" s="721"/>
      <c r="R161" s="721"/>
      <c r="S161" s="721"/>
      <c r="T161" s="721"/>
      <c r="U161" s="721"/>
      <c r="V161" s="722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customHeight="1" x14ac:dyDescent="0.25">
      <c r="A162" s="713" t="s">
        <v>120</v>
      </c>
      <c r="B162" s="713"/>
      <c r="C162" s="713"/>
      <c r="D162" s="713"/>
      <c r="E162" s="713"/>
      <c r="F162" s="713"/>
      <c r="G162" s="713"/>
      <c r="H162" s="713"/>
      <c r="I162" s="713"/>
      <c r="J162" s="713"/>
      <c r="K162" s="713"/>
      <c r="L162" s="713"/>
      <c r="M162" s="713"/>
      <c r="N162" s="713"/>
      <c r="O162" s="713"/>
      <c r="P162" s="713"/>
      <c r="Q162" s="713"/>
      <c r="R162" s="713"/>
      <c r="S162" s="713"/>
      <c r="T162" s="713"/>
      <c r="U162" s="713"/>
      <c r="V162" s="713"/>
      <c r="W162" s="713"/>
      <c r="X162" s="713"/>
      <c r="Y162" s="713"/>
      <c r="Z162" s="713"/>
      <c r="AA162" s="65"/>
      <c r="AB162" s="65"/>
      <c r="AC162" s="79"/>
    </row>
    <row r="163" spans="1:68" ht="14.25" customHeight="1" x14ac:dyDescent="0.25">
      <c r="A163" s="714" t="s">
        <v>122</v>
      </c>
      <c r="B163" s="714"/>
      <c r="C163" s="714"/>
      <c r="D163" s="714"/>
      <c r="E163" s="714"/>
      <c r="F163" s="714"/>
      <c r="G163" s="714"/>
      <c r="H163" s="714"/>
      <c r="I163" s="714"/>
      <c r="J163" s="714"/>
      <c r="K163" s="714"/>
      <c r="L163" s="714"/>
      <c r="M163" s="714"/>
      <c r="N163" s="714"/>
      <c r="O163" s="714"/>
      <c r="P163" s="714"/>
      <c r="Q163" s="714"/>
      <c r="R163" s="714"/>
      <c r="S163" s="714"/>
      <c r="T163" s="714"/>
      <c r="U163" s="714"/>
      <c r="V163" s="714"/>
      <c r="W163" s="714"/>
      <c r="X163" s="714"/>
      <c r="Y163" s="714"/>
      <c r="Z163" s="714"/>
      <c r="AA163" s="66"/>
      <c r="AB163" s="66"/>
      <c r="AC163" s="80"/>
    </row>
    <row r="164" spans="1:68" ht="27" customHeight="1" x14ac:dyDescent="0.25">
      <c r="A164" s="63" t="s">
        <v>290</v>
      </c>
      <c r="B164" s="63" t="s">
        <v>291</v>
      </c>
      <c r="C164" s="36">
        <v>4301012338</v>
      </c>
      <c r="D164" s="715">
        <v>4680115887374</v>
      </c>
      <c r="E164" s="71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79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17"/>
      <c r="R164" s="717"/>
      <c r="S164" s="717"/>
      <c r="T164" s="71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customHeight="1" x14ac:dyDescent="0.25">
      <c r="A165" s="63" t="s">
        <v>293</v>
      </c>
      <c r="B165" s="63" t="s">
        <v>294</v>
      </c>
      <c r="C165" s="36">
        <v>4301011705</v>
      </c>
      <c r="D165" s="715">
        <v>4607091384604</v>
      </c>
      <c r="E165" s="71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79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17"/>
      <c r="R165" s="717"/>
      <c r="S165" s="717"/>
      <c r="T165" s="71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customHeight="1" x14ac:dyDescent="0.25">
      <c r="A166" s="63" t="s">
        <v>296</v>
      </c>
      <c r="B166" s="63" t="s">
        <v>297</v>
      </c>
      <c r="C166" s="36">
        <v>4301012344</v>
      </c>
      <c r="D166" s="715">
        <v>4680115888876</v>
      </c>
      <c r="E166" s="715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0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7"/>
      <c r="R166" s="717"/>
      <c r="S166" s="717"/>
      <c r="T166" s="71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x14ac:dyDescent="0.2">
      <c r="A167" s="723"/>
      <c r="B167" s="723"/>
      <c r="C167" s="723"/>
      <c r="D167" s="723"/>
      <c r="E167" s="723"/>
      <c r="F167" s="723"/>
      <c r="G167" s="723"/>
      <c r="H167" s="723"/>
      <c r="I167" s="723"/>
      <c r="J167" s="723"/>
      <c r="K167" s="723"/>
      <c r="L167" s="723"/>
      <c r="M167" s="723"/>
      <c r="N167" s="723"/>
      <c r="O167" s="724"/>
      <c r="P167" s="720" t="s">
        <v>40</v>
      </c>
      <c r="Q167" s="721"/>
      <c r="R167" s="721"/>
      <c r="S167" s="721"/>
      <c r="T167" s="721"/>
      <c r="U167" s="721"/>
      <c r="V167" s="722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x14ac:dyDescent="0.2">
      <c r="A168" s="723"/>
      <c r="B168" s="723"/>
      <c r="C168" s="723"/>
      <c r="D168" s="723"/>
      <c r="E168" s="723"/>
      <c r="F168" s="723"/>
      <c r="G168" s="723"/>
      <c r="H168" s="723"/>
      <c r="I168" s="723"/>
      <c r="J168" s="723"/>
      <c r="K168" s="723"/>
      <c r="L168" s="723"/>
      <c r="M168" s="723"/>
      <c r="N168" s="723"/>
      <c r="O168" s="724"/>
      <c r="P168" s="720" t="s">
        <v>40</v>
      </c>
      <c r="Q168" s="721"/>
      <c r="R168" s="721"/>
      <c r="S168" s="721"/>
      <c r="T168" s="721"/>
      <c r="U168" s="721"/>
      <c r="V168" s="722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customHeight="1" x14ac:dyDescent="0.25">
      <c r="A169" s="714" t="s">
        <v>158</v>
      </c>
      <c r="B169" s="714"/>
      <c r="C169" s="714"/>
      <c r="D169" s="714"/>
      <c r="E169" s="714"/>
      <c r="F169" s="714"/>
      <c r="G169" s="714"/>
      <c r="H169" s="714"/>
      <c r="I169" s="714"/>
      <c r="J169" s="714"/>
      <c r="K169" s="714"/>
      <c r="L169" s="714"/>
      <c r="M169" s="714"/>
      <c r="N169" s="714"/>
      <c r="O169" s="714"/>
      <c r="P169" s="714"/>
      <c r="Q169" s="714"/>
      <c r="R169" s="714"/>
      <c r="S169" s="714"/>
      <c r="T169" s="714"/>
      <c r="U169" s="714"/>
      <c r="V169" s="714"/>
      <c r="W169" s="714"/>
      <c r="X169" s="714"/>
      <c r="Y169" s="714"/>
      <c r="Z169" s="714"/>
      <c r="AA169" s="66"/>
      <c r="AB169" s="66"/>
      <c r="AC169" s="80"/>
    </row>
    <row r="170" spans="1:68" ht="16.5" customHeight="1" x14ac:dyDescent="0.25">
      <c r="A170" s="63" t="s">
        <v>299</v>
      </c>
      <c r="B170" s="63" t="s">
        <v>300</v>
      </c>
      <c r="C170" s="36">
        <v>4301020410</v>
      </c>
      <c r="D170" s="715">
        <v>4680115887695</v>
      </c>
      <c r="E170" s="715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0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17"/>
      <c r="R170" s="717"/>
      <c r="S170" s="717"/>
      <c r="T170" s="71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customHeight="1" x14ac:dyDescent="0.25">
      <c r="A171" s="63" t="s">
        <v>302</v>
      </c>
      <c r="B171" s="63" t="s">
        <v>303</v>
      </c>
      <c r="C171" s="36">
        <v>4301020439</v>
      </c>
      <c r="D171" s="715">
        <v>4680115889491</v>
      </c>
      <c r="E171" s="715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0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17"/>
      <c r="R171" s="717"/>
      <c r="S171" s="717"/>
      <c r="T171" s="71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x14ac:dyDescent="0.2">
      <c r="A172" s="723"/>
      <c r="B172" s="723"/>
      <c r="C172" s="723"/>
      <c r="D172" s="723"/>
      <c r="E172" s="723"/>
      <c r="F172" s="723"/>
      <c r="G172" s="723"/>
      <c r="H172" s="723"/>
      <c r="I172" s="723"/>
      <c r="J172" s="723"/>
      <c r="K172" s="723"/>
      <c r="L172" s="723"/>
      <c r="M172" s="723"/>
      <c r="N172" s="723"/>
      <c r="O172" s="724"/>
      <c r="P172" s="720" t="s">
        <v>40</v>
      </c>
      <c r="Q172" s="721"/>
      <c r="R172" s="721"/>
      <c r="S172" s="721"/>
      <c r="T172" s="721"/>
      <c r="U172" s="721"/>
      <c r="V172" s="722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x14ac:dyDescent="0.2">
      <c r="A173" s="723"/>
      <c r="B173" s="723"/>
      <c r="C173" s="723"/>
      <c r="D173" s="723"/>
      <c r="E173" s="723"/>
      <c r="F173" s="723"/>
      <c r="G173" s="723"/>
      <c r="H173" s="723"/>
      <c r="I173" s="723"/>
      <c r="J173" s="723"/>
      <c r="K173" s="723"/>
      <c r="L173" s="723"/>
      <c r="M173" s="723"/>
      <c r="N173" s="723"/>
      <c r="O173" s="724"/>
      <c r="P173" s="720" t="s">
        <v>40</v>
      </c>
      <c r="Q173" s="721"/>
      <c r="R173" s="721"/>
      <c r="S173" s="721"/>
      <c r="T173" s="721"/>
      <c r="U173" s="721"/>
      <c r="V173" s="722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customHeight="1" x14ac:dyDescent="0.25">
      <c r="A174" s="714" t="s">
        <v>77</v>
      </c>
      <c r="B174" s="714"/>
      <c r="C174" s="714"/>
      <c r="D174" s="714"/>
      <c r="E174" s="714"/>
      <c r="F174" s="714"/>
      <c r="G174" s="714"/>
      <c r="H174" s="714"/>
      <c r="I174" s="714"/>
      <c r="J174" s="714"/>
      <c r="K174" s="714"/>
      <c r="L174" s="714"/>
      <c r="M174" s="714"/>
      <c r="N174" s="714"/>
      <c r="O174" s="714"/>
      <c r="P174" s="714"/>
      <c r="Q174" s="714"/>
      <c r="R174" s="714"/>
      <c r="S174" s="714"/>
      <c r="T174" s="714"/>
      <c r="U174" s="714"/>
      <c r="V174" s="714"/>
      <c r="W174" s="714"/>
      <c r="X174" s="714"/>
      <c r="Y174" s="714"/>
      <c r="Z174" s="714"/>
      <c r="AA174" s="66"/>
      <c r="AB174" s="66"/>
      <c r="AC174" s="80"/>
    </row>
    <row r="175" spans="1:68" ht="27" customHeight="1" x14ac:dyDescent="0.25">
      <c r="A175" s="63" t="s">
        <v>305</v>
      </c>
      <c r="B175" s="63" t="s">
        <v>306</v>
      </c>
      <c r="C175" s="36">
        <v>4301031496</v>
      </c>
      <c r="D175" s="715">
        <v>4680115887428</v>
      </c>
      <c r="E175" s="715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17"/>
      <c r="R175" s="717"/>
      <c r="S175" s="717"/>
      <c r="T175" s="718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customHeight="1" x14ac:dyDescent="0.25">
      <c r="A176" s="63" t="s">
        <v>308</v>
      </c>
      <c r="B176" s="63" t="s">
        <v>309</v>
      </c>
      <c r="C176" s="36">
        <v>4301031509</v>
      </c>
      <c r="D176" s="715">
        <v>4680115889170</v>
      </c>
      <c r="E176" s="715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0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17"/>
      <c r="R176" s="717"/>
      <c r="S176" s="717"/>
      <c r="T176" s="71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customHeight="1" x14ac:dyDescent="0.25">
      <c r="A177" s="63" t="s">
        <v>311</v>
      </c>
      <c r="B177" s="63" t="s">
        <v>312</v>
      </c>
      <c r="C177" s="36">
        <v>4301031498</v>
      </c>
      <c r="D177" s="715">
        <v>4680115887398</v>
      </c>
      <c r="E177" s="71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0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17"/>
      <c r="R177" s="717"/>
      <c r="S177" s="717"/>
      <c r="T177" s="71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customHeight="1" x14ac:dyDescent="0.25">
      <c r="A178" s="63" t="s">
        <v>314</v>
      </c>
      <c r="B178" s="63" t="s">
        <v>315</v>
      </c>
      <c r="C178" s="36">
        <v>4301031497</v>
      </c>
      <c r="D178" s="715">
        <v>4680115887336</v>
      </c>
      <c r="E178" s="715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0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17"/>
      <c r="R178" s="717"/>
      <c r="S178" s="717"/>
      <c r="T178" s="71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customHeight="1" x14ac:dyDescent="0.25">
      <c r="A179" s="63" t="s">
        <v>317</v>
      </c>
      <c r="B179" s="63" t="s">
        <v>318</v>
      </c>
      <c r="C179" s="36">
        <v>4301032049</v>
      </c>
      <c r="D179" s="715">
        <v>4680115887787</v>
      </c>
      <c r="E179" s="715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0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7"/>
      <c r="R179" s="717"/>
      <c r="S179" s="717"/>
      <c r="T179" s="71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customHeight="1" x14ac:dyDescent="0.25">
      <c r="A180" s="63" t="s">
        <v>320</v>
      </c>
      <c r="B180" s="63" t="s">
        <v>321</v>
      </c>
      <c r="C180" s="36">
        <v>4301031448</v>
      </c>
      <c r="D180" s="715">
        <v>4680115887503</v>
      </c>
      <c r="E180" s="715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0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7"/>
      <c r="R180" s="717"/>
      <c r="S180" s="717"/>
      <c r="T180" s="71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customHeight="1" x14ac:dyDescent="0.25">
      <c r="A181" s="63" t="s">
        <v>322</v>
      </c>
      <c r="B181" s="63" t="s">
        <v>323</v>
      </c>
      <c r="C181" s="36">
        <v>4301031389</v>
      </c>
      <c r="D181" s="715">
        <v>4680115887763</v>
      </c>
      <c r="E181" s="71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0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7"/>
      <c r="R181" s="717"/>
      <c r="S181" s="717"/>
      <c r="T181" s="71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customHeight="1" x14ac:dyDescent="0.25">
      <c r="A182" s="63" t="s">
        <v>322</v>
      </c>
      <c r="B182" s="63" t="s">
        <v>325</v>
      </c>
      <c r="C182" s="36">
        <v>4301031510</v>
      </c>
      <c r="D182" s="715">
        <v>4680115887763</v>
      </c>
      <c r="E182" s="715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10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717"/>
      <c r="R182" s="717"/>
      <c r="S182" s="717"/>
      <c r="T182" s="71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customHeight="1" x14ac:dyDescent="0.25">
      <c r="A183" s="63" t="s">
        <v>326</v>
      </c>
      <c r="B183" s="63" t="s">
        <v>327</v>
      </c>
      <c r="C183" s="36">
        <v>4301031454</v>
      </c>
      <c r="D183" s="715">
        <v>4680115887480</v>
      </c>
      <c r="E183" s="715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1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717"/>
      <c r="R183" s="717"/>
      <c r="S183" s="717"/>
      <c r="T183" s="71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customHeight="1" x14ac:dyDescent="0.25">
      <c r="A184" s="63" t="s">
        <v>328</v>
      </c>
      <c r="B184" s="63" t="s">
        <v>329</v>
      </c>
      <c r="C184" s="36">
        <v>4301031434</v>
      </c>
      <c r="D184" s="715">
        <v>4680115888067</v>
      </c>
      <c r="E184" s="715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1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717"/>
      <c r="R184" s="717"/>
      <c r="S184" s="717"/>
      <c r="T184" s="71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4301031451</v>
      </c>
      <c r="D185" s="715">
        <v>4680115887435</v>
      </c>
      <c r="E185" s="715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1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717"/>
      <c r="R185" s="717"/>
      <c r="S185" s="717"/>
      <c r="T185" s="71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x14ac:dyDescent="0.2">
      <c r="A186" s="723"/>
      <c r="B186" s="723"/>
      <c r="C186" s="723"/>
      <c r="D186" s="723"/>
      <c r="E186" s="723"/>
      <c r="F186" s="723"/>
      <c r="G186" s="723"/>
      <c r="H186" s="723"/>
      <c r="I186" s="723"/>
      <c r="J186" s="723"/>
      <c r="K186" s="723"/>
      <c r="L186" s="723"/>
      <c r="M186" s="723"/>
      <c r="N186" s="723"/>
      <c r="O186" s="724"/>
      <c r="P186" s="720" t="s">
        <v>40</v>
      </c>
      <c r="Q186" s="721"/>
      <c r="R186" s="721"/>
      <c r="S186" s="721"/>
      <c r="T186" s="721"/>
      <c r="U186" s="721"/>
      <c r="V186" s="722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x14ac:dyDescent="0.2">
      <c r="A187" s="723"/>
      <c r="B187" s="723"/>
      <c r="C187" s="723"/>
      <c r="D187" s="723"/>
      <c r="E187" s="723"/>
      <c r="F187" s="723"/>
      <c r="G187" s="723"/>
      <c r="H187" s="723"/>
      <c r="I187" s="723"/>
      <c r="J187" s="723"/>
      <c r="K187" s="723"/>
      <c r="L187" s="723"/>
      <c r="M187" s="723"/>
      <c r="N187" s="723"/>
      <c r="O187" s="724"/>
      <c r="P187" s="720" t="s">
        <v>40</v>
      </c>
      <c r="Q187" s="721"/>
      <c r="R187" s="721"/>
      <c r="S187" s="721"/>
      <c r="T187" s="721"/>
      <c r="U187" s="721"/>
      <c r="V187" s="722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customHeight="1" x14ac:dyDescent="0.25">
      <c r="A188" s="714" t="s">
        <v>86</v>
      </c>
      <c r="B188" s="714"/>
      <c r="C188" s="714"/>
      <c r="D188" s="714"/>
      <c r="E188" s="714"/>
      <c r="F188" s="714"/>
      <c r="G188" s="714"/>
      <c r="H188" s="714"/>
      <c r="I188" s="714"/>
      <c r="J188" s="714"/>
      <c r="K188" s="714"/>
      <c r="L188" s="714"/>
      <c r="M188" s="714"/>
      <c r="N188" s="714"/>
      <c r="O188" s="714"/>
      <c r="P188" s="714"/>
      <c r="Q188" s="714"/>
      <c r="R188" s="714"/>
      <c r="S188" s="714"/>
      <c r="T188" s="714"/>
      <c r="U188" s="714"/>
      <c r="V188" s="714"/>
      <c r="W188" s="714"/>
      <c r="X188" s="714"/>
      <c r="Y188" s="714"/>
      <c r="Z188" s="714"/>
      <c r="AA188" s="66"/>
      <c r="AB188" s="66"/>
      <c r="AC188" s="80"/>
    </row>
    <row r="189" spans="1:68" ht="16.5" customHeight="1" x14ac:dyDescent="0.25">
      <c r="A189" s="63" t="s">
        <v>333</v>
      </c>
      <c r="B189" s="63" t="s">
        <v>334</v>
      </c>
      <c r="C189" s="36">
        <v>4301052193</v>
      </c>
      <c r="D189" s="715">
        <v>4680115888395</v>
      </c>
      <c r="E189" s="715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1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717"/>
      <c r="R189" s="717"/>
      <c r="S189" s="717"/>
      <c r="T189" s="718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customHeight="1" x14ac:dyDescent="0.25">
      <c r="A190" s="63" t="s">
        <v>336</v>
      </c>
      <c r="B190" s="63" t="s">
        <v>337</v>
      </c>
      <c r="C190" s="36">
        <v>4301052191</v>
      </c>
      <c r="D190" s="715">
        <v>4680115888371</v>
      </c>
      <c r="E190" s="71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1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717"/>
      <c r="R190" s="717"/>
      <c r="S190" s="717"/>
      <c r="T190" s="71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customHeight="1" x14ac:dyDescent="0.25">
      <c r="A191" s="63" t="s">
        <v>339</v>
      </c>
      <c r="B191" s="63" t="s">
        <v>340</v>
      </c>
      <c r="C191" s="36">
        <v>4301052064</v>
      </c>
      <c r="D191" s="715">
        <v>4680115887459</v>
      </c>
      <c r="E191" s="715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1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717"/>
      <c r="R191" s="717"/>
      <c r="S191" s="717"/>
      <c r="T191" s="71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723"/>
      <c r="B192" s="723"/>
      <c r="C192" s="723"/>
      <c r="D192" s="723"/>
      <c r="E192" s="723"/>
      <c r="F192" s="723"/>
      <c r="G192" s="723"/>
      <c r="H192" s="723"/>
      <c r="I192" s="723"/>
      <c r="J192" s="723"/>
      <c r="K192" s="723"/>
      <c r="L192" s="723"/>
      <c r="M192" s="723"/>
      <c r="N192" s="723"/>
      <c r="O192" s="724"/>
      <c r="P192" s="720" t="s">
        <v>40</v>
      </c>
      <c r="Q192" s="721"/>
      <c r="R192" s="721"/>
      <c r="S192" s="721"/>
      <c r="T192" s="721"/>
      <c r="U192" s="721"/>
      <c r="V192" s="722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x14ac:dyDescent="0.2">
      <c r="A193" s="723"/>
      <c r="B193" s="723"/>
      <c r="C193" s="723"/>
      <c r="D193" s="723"/>
      <c r="E193" s="723"/>
      <c r="F193" s="723"/>
      <c r="G193" s="723"/>
      <c r="H193" s="723"/>
      <c r="I193" s="723"/>
      <c r="J193" s="723"/>
      <c r="K193" s="723"/>
      <c r="L193" s="723"/>
      <c r="M193" s="723"/>
      <c r="N193" s="723"/>
      <c r="O193" s="724"/>
      <c r="P193" s="720" t="s">
        <v>40</v>
      </c>
      <c r="Q193" s="721"/>
      <c r="R193" s="721"/>
      <c r="S193" s="721"/>
      <c r="T193" s="721"/>
      <c r="U193" s="721"/>
      <c r="V193" s="722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customHeight="1" x14ac:dyDescent="0.25">
      <c r="A194" s="714" t="s">
        <v>283</v>
      </c>
      <c r="B194" s="714"/>
      <c r="C194" s="714"/>
      <c r="D194" s="714"/>
      <c r="E194" s="714"/>
      <c r="F194" s="714"/>
      <c r="G194" s="714"/>
      <c r="H194" s="714"/>
      <c r="I194" s="714"/>
      <c r="J194" s="714"/>
      <c r="K194" s="714"/>
      <c r="L194" s="714"/>
      <c r="M194" s="714"/>
      <c r="N194" s="714"/>
      <c r="O194" s="714"/>
      <c r="P194" s="714"/>
      <c r="Q194" s="714"/>
      <c r="R194" s="714"/>
      <c r="S194" s="714"/>
      <c r="T194" s="714"/>
      <c r="U194" s="714"/>
      <c r="V194" s="714"/>
      <c r="W194" s="714"/>
      <c r="X194" s="714"/>
      <c r="Y194" s="714"/>
      <c r="Z194" s="714"/>
      <c r="AA194" s="66"/>
      <c r="AB194" s="66"/>
      <c r="AC194" s="80"/>
    </row>
    <row r="195" spans="1:68" ht="16.5" customHeight="1" x14ac:dyDescent="0.25">
      <c r="A195" s="63" t="s">
        <v>342</v>
      </c>
      <c r="B195" s="63" t="s">
        <v>343</v>
      </c>
      <c r="C195" s="36">
        <v>4301032058</v>
      </c>
      <c r="D195" s="715">
        <v>4680115889026</v>
      </c>
      <c r="E195" s="71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1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17"/>
      <c r="R195" s="717"/>
      <c r="S195" s="717"/>
      <c r="T195" s="71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customHeight="1" x14ac:dyDescent="0.25">
      <c r="A196" s="63" t="s">
        <v>346</v>
      </c>
      <c r="B196" s="63" t="s">
        <v>347</v>
      </c>
      <c r="C196" s="36">
        <v>4301032057</v>
      </c>
      <c r="D196" s="715">
        <v>4680115889088</v>
      </c>
      <c r="E196" s="715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1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717"/>
      <c r="R196" s="717"/>
      <c r="S196" s="717"/>
      <c r="T196" s="71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x14ac:dyDescent="0.2">
      <c r="A197" s="723"/>
      <c r="B197" s="723"/>
      <c r="C197" s="723"/>
      <c r="D197" s="723"/>
      <c r="E197" s="723"/>
      <c r="F197" s="723"/>
      <c r="G197" s="723"/>
      <c r="H197" s="723"/>
      <c r="I197" s="723"/>
      <c r="J197" s="723"/>
      <c r="K197" s="723"/>
      <c r="L197" s="723"/>
      <c r="M197" s="723"/>
      <c r="N197" s="723"/>
      <c r="O197" s="724"/>
      <c r="P197" s="720" t="s">
        <v>40</v>
      </c>
      <c r="Q197" s="721"/>
      <c r="R197" s="721"/>
      <c r="S197" s="721"/>
      <c r="T197" s="721"/>
      <c r="U197" s="721"/>
      <c r="V197" s="722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x14ac:dyDescent="0.2">
      <c r="A198" s="723"/>
      <c r="B198" s="723"/>
      <c r="C198" s="723"/>
      <c r="D198" s="723"/>
      <c r="E198" s="723"/>
      <c r="F198" s="723"/>
      <c r="G198" s="723"/>
      <c r="H198" s="723"/>
      <c r="I198" s="723"/>
      <c r="J198" s="723"/>
      <c r="K198" s="723"/>
      <c r="L198" s="723"/>
      <c r="M198" s="723"/>
      <c r="N198" s="723"/>
      <c r="O198" s="724"/>
      <c r="P198" s="720" t="s">
        <v>40</v>
      </c>
      <c r="Q198" s="721"/>
      <c r="R198" s="721"/>
      <c r="S198" s="721"/>
      <c r="T198" s="721"/>
      <c r="U198" s="721"/>
      <c r="V198" s="722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customHeight="1" x14ac:dyDescent="0.25">
      <c r="A199" s="714" t="s">
        <v>349</v>
      </c>
      <c r="B199" s="714"/>
      <c r="C199" s="714"/>
      <c r="D199" s="714"/>
      <c r="E199" s="714"/>
      <c r="F199" s="714"/>
      <c r="G199" s="714"/>
      <c r="H199" s="714"/>
      <c r="I199" s="714"/>
      <c r="J199" s="714"/>
      <c r="K199" s="714"/>
      <c r="L199" s="714"/>
      <c r="M199" s="714"/>
      <c r="N199" s="714"/>
      <c r="O199" s="714"/>
      <c r="P199" s="714"/>
      <c r="Q199" s="714"/>
      <c r="R199" s="714"/>
      <c r="S199" s="714"/>
      <c r="T199" s="714"/>
      <c r="U199" s="714"/>
      <c r="V199" s="714"/>
      <c r="W199" s="714"/>
      <c r="X199" s="714"/>
      <c r="Y199" s="714"/>
      <c r="Z199" s="714"/>
      <c r="AA199" s="66"/>
      <c r="AB199" s="66"/>
      <c r="AC199" s="80"/>
    </row>
    <row r="200" spans="1:68" ht="27" customHeight="1" x14ac:dyDescent="0.25">
      <c r="A200" s="63" t="s">
        <v>350</v>
      </c>
      <c r="B200" s="63" t="s">
        <v>351</v>
      </c>
      <c r="C200" s="36">
        <v>4301041009</v>
      </c>
      <c r="D200" s="715">
        <v>4680115889033</v>
      </c>
      <c r="E200" s="715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1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717"/>
      <c r="R200" s="717"/>
      <c r="S200" s="717"/>
      <c r="T200" s="71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x14ac:dyDescent="0.2">
      <c r="A201" s="723"/>
      <c r="B201" s="723"/>
      <c r="C201" s="723"/>
      <c r="D201" s="723"/>
      <c r="E201" s="723"/>
      <c r="F201" s="723"/>
      <c r="G201" s="723"/>
      <c r="H201" s="723"/>
      <c r="I201" s="723"/>
      <c r="J201" s="723"/>
      <c r="K201" s="723"/>
      <c r="L201" s="723"/>
      <c r="M201" s="723"/>
      <c r="N201" s="723"/>
      <c r="O201" s="724"/>
      <c r="P201" s="720" t="s">
        <v>40</v>
      </c>
      <c r="Q201" s="721"/>
      <c r="R201" s="721"/>
      <c r="S201" s="721"/>
      <c r="T201" s="721"/>
      <c r="U201" s="721"/>
      <c r="V201" s="722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x14ac:dyDescent="0.2">
      <c r="A202" s="723"/>
      <c r="B202" s="723"/>
      <c r="C202" s="723"/>
      <c r="D202" s="723"/>
      <c r="E202" s="723"/>
      <c r="F202" s="723"/>
      <c r="G202" s="723"/>
      <c r="H202" s="723"/>
      <c r="I202" s="723"/>
      <c r="J202" s="723"/>
      <c r="K202" s="723"/>
      <c r="L202" s="723"/>
      <c r="M202" s="723"/>
      <c r="N202" s="723"/>
      <c r="O202" s="724"/>
      <c r="P202" s="720" t="s">
        <v>40</v>
      </c>
      <c r="Q202" s="721"/>
      <c r="R202" s="721"/>
      <c r="S202" s="721"/>
      <c r="T202" s="721"/>
      <c r="U202" s="721"/>
      <c r="V202" s="722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customHeight="1" x14ac:dyDescent="0.2">
      <c r="A203" s="712" t="s">
        <v>353</v>
      </c>
      <c r="B203" s="712"/>
      <c r="C203" s="712"/>
      <c r="D203" s="712"/>
      <c r="E203" s="712"/>
      <c r="F203" s="712"/>
      <c r="G203" s="712"/>
      <c r="H203" s="712"/>
      <c r="I203" s="712"/>
      <c r="J203" s="712"/>
      <c r="K203" s="712"/>
      <c r="L203" s="712"/>
      <c r="M203" s="712"/>
      <c r="N203" s="712"/>
      <c r="O203" s="712"/>
      <c r="P203" s="712"/>
      <c r="Q203" s="712"/>
      <c r="R203" s="712"/>
      <c r="S203" s="712"/>
      <c r="T203" s="712"/>
      <c r="U203" s="712"/>
      <c r="V203" s="712"/>
      <c r="W203" s="712"/>
      <c r="X203" s="712"/>
      <c r="Y203" s="712"/>
      <c r="Z203" s="712"/>
      <c r="AA203" s="54"/>
      <c r="AB203" s="54"/>
      <c r="AC203" s="54"/>
    </row>
    <row r="204" spans="1:68" ht="16.5" customHeight="1" x14ac:dyDescent="0.25">
      <c r="A204" s="713" t="s">
        <v>354</v>
      </c>
      <c r="B204" s="713"/>
      <c r="C204" s="713"/>
      <c r="D204" s="713"/>
      <c r="E204" s="713"/>
      <c r="F204" s="713"/>
      <c r="G204" s="713"/>
      <c r="H204" s="713"/>
      <c r="I204" s="713"/>
      <c r="J204" s="713"/>
      <c r="K204" s="713"/>
      <c r="L204" s="713"/>
      <c r="M204" s="713"/>
      <c r="N204" s="713"/>
      <c r="O204" s="713"/>
      <c r="P204" s="713"/>
      <c r="Q204" s="713"/>
      <c r="R204" s="713"/>
      <c r="S204" s="713"/>
      <c r="T204" s="713"/>
      <c r="U204" s="713"/>
      <c r="V204" s="713"/>
      <c r="W204" s="713"/>
      <c r="X204" s="713"/>
      <c r="Y204" s="713"/>
      <c r="Z204" s="713"/>
      <c r="AA204" s="65"/>
      <c r="AB204" s="65"/>
      <c r="AC204" s="79"/>
    </row>
    <row r="205" spans="1:68" ht="14.25" customHeight="1" x14ac:dyDescent="0.25">
      <c r="A205" s="714" t="s">
        <v>122</v>
      </c>
      <c r="B205" s="714"/>
      <c r="C205" s="714"/>
      <c r="D205" s="714"/>
      <c r="E205" s="714"/>
      <c r="F205" s="714"/>
      <c r="G205" s="714"/>
      <c r="H205" s="714"/>
      <c r="I205" s="714"/>
      <c r="J205" s="714"/>
      <c r="K205" s="714"/>
      <c r="L205" s="714"/>
      <c r="M205" s="714"/>
      <c r="N205" s="714"/>
      <c r="O205" s="714"/>
      <c r="P205" s="714"/>
      <c r="Q205" s="714"/>
      <c r="R205" s="714"/>
      <c r="S205" s="714"/>
      <c r="T205" s="714"/>
      <c r="U205" s="714"/>
      <c r="V205" s="714"/>
      <c r="W205" s="714"/>
      <c r="X205" s="714"/>
      <c r="Y205" s="714"/>
      <c r="Z205" s="714"/>
      <c r="AA205" s="66"/>
      <c r="AB205" s="66"/>
      <c r="AC205" s="80"/>
    </row>
    <row r="206" spans="1:68" ht="27" customHeight="1" x14ac:dyDescent="0.25">
      <c r="A206" s="63" t="s">
        <v>355</v>
      </c>
      <c r="B206" s="63" t="s">
        <v>356</v>
      </c>
      <c r="C206" s="36">
        <v>4301011223</v>
      </c>
      <c r="D206" s="715">
        <v>4607091383423</v>
      </c>
      <c r="E206" s="715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717"/>
      <c r="R206" s="717"/>
      <c r="S206" s="717"/>
      <c r="T206" s="71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customHeight="1" x14ac:dyDescent="0.25">
      <c r="A207" s="63" t="s">
        <v>357</v>
      </c>
      <c r="B207" s="63" t="s">
        <v>358</v>
      </c>
      <c r="C207" s="36">
        <v>4301012340</v>
      </c>
      <c r="D207" s="715">
        <v>4680115888760</v>
      </c>
      <c r="E207" s="71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2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717"/>
      <c r="R207" s="717"/>
      <c r="S207" s="717"/>
      <c r="T207" s="71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customHeight="1" x14ac:dyDescent="0.25">
      <c r="A208" s="63" t="s">
        <v>360</v>
      </c>
      <c r="B208" s="63" t="s">
        <v>361</v>
      </c>
      <c r="C208" s="36">
        <v>4301012341</v>
      </c>
      <c r="D208" s="715">
        <v>4680115888807</v>
      </c>
      <c r="E208" s="715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2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717"/>
      <c r="R208" s="717"/>
      <c r="S208" s="717"/>
      <c r="T208" s="71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customHeight="1" x14ac:dyDescent="0.25">
      <c r="A209" s="63" t="s">
        <v>363</v>
      </c>
      <c r="B209" s="63" t="s">
        <v>364</v>
      </c>
      <c r="C209" s="36">
        <v>4301012342</v>
      </c>
      <c r="D209" s="715">
        <v>4680115888852</v>
      </c>
      <c r="E209" s="715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2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717"/>
      <c r="R209" s="717"/>
      <c r="S209" s="717"/>
      <c r="T209" s="71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customHeight="1" x14ac:dyDescent="0.25">
      <c r="A210" s="63" t="s">
        <v>366</v>
      </c>
      <c r="B210" s="63" t="s">
        <v>367</v>
      </c>
      <c r="C210" s="36">
        <v>4301012370</v>
      </c>
      <c r="D210" s="715">
        <v>4680115886957</v>
      </c>
      <c r="E210" s="715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2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717"/>
      <c r="R210" s="717"/>
      <c r="S210" s="717"/>
      <c r="T210" s="71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customHeight="1" x14ac:dyDescent="0.25">
      <c r="A211" s="63" t="s">
        <v>369</v>
      </c>
      <c r="B211" s="63" t="s">
        <v>370</v>
      </c>
      <c r="C211" s="36">
        <v>4301012098</v>
      </c>
      <c r="D211" s="715">
        <v>4680115885660</v>
      </c>
      <c r="E211" s="71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2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717"/>
      <c r="R211" s="717"/>
      <c r="S211" s="717"/>
      <c r="T211" s="71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customHeight="1" x14ac:dyDescent="0.25">
      <c r="A212" s="63" t="s">
        <v>372</v>
      </c>
      <c r="B212" s="63" t="s">
        <v>373</v>
      </c>
      <c r="C212" s="36">
        <v>4301012369</v>
      </c>
      <c r="D212" s="715">
        <v>4680115886773</v>
      </c>
      <c r="E212" s="715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2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717"/>
      <c r="R212" s="717"/>
      <c r="S212" s="717"/>
      <c r="T212" s="71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x14ac:dyDescent="0.2">
      <c r="A213" s="723"/>
      <c r="B213" s="723"/>
      <c r="C213" s="723"/>
      <c r="D213" s="723"/>
      <c r="E213" s="723"/>
      <c r="F213" s="723"/>
      <c r="G213" s="723"/>
      <c r="H213" s="723"/>
      <c r="I213" s="723"/>
      <c r="J213" s="723"/>
      <c r="K213" s="723"/>
      <c r="L213" s="723"/>
      <c r="M213" s="723"/>
      <c r="N213" s="723"/>
      <c r="O213" s="724"/>
      <c r="P213" s="720" t="s">
        <v>40</v>
      </c>
      <c r="Q213" s="721"/>
      <c r="R213" s="721"/>
      <c r="S213" s="721"/>
      <c r="T213" s="721"/>
      <c r="U213" s="721"/>
      <c r="V213" s="722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x14ac:dyDescent="0.2">
      <c r="A214" s="723"/>
      <c r="B214" s="723"/>
      <c r="C214" s="723"/>
      <c r="D214" s="723"/>
      <c r="E214" s="723"/>
      <c r="F214" s="723"/>
      <c r="G214" s="723"/>
      <c r="H214" s="723"/>
      <c r="I214" s="723"/>
      <c r="J214" s="723"/>
      <c r="K214" s="723"/>
      <c r="L214" s="723"/>
      <c r="M214" s="723"/>
      <c r="N214" s="723"/>
      <c r="O214" s="724"/>
      <c r="P214" s="720" t="s">
        <v>40</v>
      </c>
      <c r="Q214" s="721"/>
      <c r="R214" s="721"/>
      <c r="S214" s="721"/>
      <c r="T214" s="721"/>
      <c r="U214" s="721"/>
      <c r="V214" s="722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customHeight="1" x14ac:dyDescent="0.25">
      <c r="A215" s="713" t="s">
        <v>375</v>
      </c>
      <c r="B215" s="713"/>
      <c r="C215" s="713"/>
      <c r="D215" s="713"/>
      <c r="E215" s="713"/>
      <c r="F215" s="713"/>
      <c r="G215" s="713"/>
      <c r="H215" s="713"/>
      <c r="I215" s="713"/>
      <c r="J215" s="713"/>
      <c r="K215" s="713"/>
      <c r="L215" s="713"/>
      <c r="M215" s="713"/>
      <c r="N215" s="713"/>
      <c r="O215" s="713"/>
      <c r="P215" s="713"/>
      <c r="Q215" s="713"/>
      <c r="R215" s="713"/>
      <c r="S215" s="713"/>
      <c r="T215" s="713"/>
      <c r="U215" s="713"/>
      <c r="V215" s="713"/>
      <c r="W215" s="713"/>
      <c r="X215" s="713"/>
      <c r="Y215" s="713"/>
      <c r="Z215" s="713"/>
      <c r="AA215" s="65"/>
      <c r="AB215" s="65"/>
      <c r="AC215" s="79"/>
    </row>
    <row r="216" spans="1:68" ht="14.25" customHeight="1" x14ac:dyDescent="0.25">
      <c r="A216" s="714" t="s">
        <v>158</v>
      </c>
      <c r="B216" s="714"/>
      <c r="C216" s="714"/>
      <c r="D216" s="714"/>
      <c r="E216" s="714"/>
      <c r="F216" s="714"/>
      <c r="G216" s="714"/>
      <c r="H216" s="714"/>
      <c r="I216" s="714"/>
      <c r="J216" s="714"/>
      <c r="K216" s="714"/>
      <c r="L216" s="714"/>
      <c r="M216" s="714"/>
      <c r="N216" s="714"/>
      <c r="O216" s="714"/>
      <c r="P216" s="714"/>
      <c r="Q216" s="714"/>
      <c r="R216" s="714"/>
      <c r="S216" s="714"/>
      <c r="T216" s="714"/>
      <c r="U216" s="714"/>
      <c r="V216" s="714"/>
      <c r="W216" s="714"/>
      <c r="X216" s="714"/>
      <c r="Y216" s="714"/>
      <c r="Z216" s="714"/>
      <c r="AA216" s="66"/>
      <c r="AB216" s="66"/>
      <c r="AC216" s="80"/>
    </row>
    <row r="217" spans="1:68" ht="27" customHeight="1" x14ac:dyDescent="0.25">
      <c r="A217" s="63" t="s">
        <v>376</v>
      </c>
      <c r="B217" s="63" t="s">
        <v>377</v>
      </c>
      <c r="C217" s="36">
        <v>4301020323</v>
      </c>
      <c r="D217" s="715">
        <v>4680115886223</v>
      </c>
      <c r="E217" s="715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2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717"/>
      <c r="R217" s="717"/>
      <c r="S217" s="717"/>
      <c r="T217" s="718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x14ac:dyDescent="0.2">
      <c r="A218" s="723"/>
      <c r="B218" s="723"/>
      <c r="C218" s="723"/>
      <c r="D218" s="723"/>
      <c r="E218" s="723"/>
      <c r="F218" s="723"/>
      <c r="G218" s="723"/>
      <c r="H218" s="723"/>
      <c r="I218" s="723"/>
      <c r="J218" s="723"/>
      <c r="K218" s="723"/>
      <c r="L218" s="723"/>
      <c r="M218" s="723"/>
      <c r="N218" s="723"/>
      <c r="O218" s="724"/>
      <c r="P218" s="720" t="s">
        <v>40</v>
      </c>
      <c r="Q218" s="721"/>
      <c r="R218" s="721"/>
      <c r="S218" s="721"/>
      <c r="T218" s="721"/>
      <c r="U218" s="721"/>
      <c r="V218" s="722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x14ac:dyDescent="0.2">
      <c r="A219" s="723"/>
      <c r="B219" s="723"/>
      <c r="C219" s="723"/>
      <c r="D219" s="723"/>
      <c r="E219" s="723"/>
      <c r="F219" s="723"/>
      <c r="G219" s="723"/>
      <c r="H219" s="723"/>
      <c r="I219" s="723"/>
      <c r="J219" s="723"/>
      <c r="K219" s="723"/>
      <c r="L219" s="723"/>
      <c r="M219" s="723"/>
      <c r="N219" s="723"/>
      <c r="O219" s="724"/>
      <c r="P219" s="720" t="s">
        <v>40</v>
      </c>
      <c r="Q219" s="721"/>
      <c r="R219" s="721"/>
      <c r="S219" s="721"/>
      <c r="T219" s="721"/>
      <c r="U219" s="721"/>
      <c r="V219" s="722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customHeight="1" x14ac:dyDescent="0.25">
      <c r="A220" s="714" t="s">
        <v>77</v>
      </c>
      <c r="B220" s="714"/>
      <c r="C220" s="714"/>
      <c r="D220" s="714"/>
      <c r="E220" s="714"/>
      <c r="F220" s="714"/>
      <c r="G220" s="714"/>
      <c r="H220" s="714"/>
      <c r="I220" s="714"/>
      <c r="J220" s="714"/>
      <c r="K220" s="714"/>
      <c r="L220" s="714"/>
      <c r="M220" s="714"/>
      <c r="N220" s="714"/>
      <c r="O220" s="714"/>
      <c r="P220" s="714"/>
      <c r="Q220" s="714"/>
      <c r="R220" s="714"/>
      <c r="S220" s="714"/>
      <c r="T220" s="714"/>
      <c r="U220" s="714"/>
      <c r="V220" s="714"/>
      <c r="W220" s="714"/>
      <c r="X220" s="714"/>
      <c r="Y220" s="714"/>
      <c r="Z220" s="714"/>
      <c r="AA220" s="66"/>
      <c r="AB220" s="66"/>
      <c r="AC220" s="80"/>
    </row>
    <row r="221" spans="1:68" ht="27" customHeight="1" x14ac:dyDescent="0.25">
      <c r="A221" s="63" t="s">
        <v>379</v>
      </c>
      <c r="B221" s="63" t="s">
        <v>380</v>
      </c>
      <c r="C221" s="36">
        <v>4301031191</v>
      </c>
      <c r="D221" s="715">
        <v>4680115880993</v>
      </c>
      <c r="E221" s="71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2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717"/>
      <c r="R221" s="717"/>
      <c r="S221" s="717"/>
      <c r="T221" s="71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customHeight="1" x14ac:dyDescent="0.25">
      <c r="A222" s="63" t="s">
        <v>382</v>
      </c>
      <c r="B222" s="63" t="s">
        <v>383</v>
      </c>
      <c r="C222" s="36">
        <v>4301031204</v>
      </c>
      <c r="D222" s="715">
        <v>4680115881761</v>
      </c>
      <c r="E222" s="715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717"/>
      <c r="R222" s="717"/>
      <c r="S222" s="717"/>
      <c r="T222" s="71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customHeight="1" x14ac:dyDescent="0.25">
      <c r="A223" s="63" t="s">
        <v>385</v>
      </c>
      <c r="B223" s="63" t="s">
        <v>386</v>
      </c>
      <c r="C223" s="36">
        <v>4301031201</v>
      </c>
      <c r="D223" s="715">
        <v>4680115881563</v>
      </c>
      <c r="E223" s="715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717"/>
      <c r="R223" s="717"/>
      <c r="S223" s="717"/>
      <c r="T223" s="71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customHeight="1" x14ac:dyDescent="0.25">
      <c r="A224" s="63" t="s">
        <v>388</v>
      </c>
      <c r="B224" s="63" t="s">
        <v>389</v>
      </c>
      <c r="C224" s="36">
        <v>4301031447</v>
      </c>
      <c r="D224" s="715">
        <v>4680115887565</v>
      </c>
      <c r="E224" s="715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717"/>
      <c r="R224" s="717"/>
      <c r="S224" s="717"/>
      <c r="T224" s="71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customHeight="1" x14ac:dyDescent="0.25">
      <c r="A225" s="63" t="s">
        <v>391</v>
      </c>
      <c r="B225" s="63" t="s">
        <v>392</v>
      </c>
      <c r="C225" s="36">
        <v>4301031199</v>
      </c>
      <c r="D225" s="715">
        <v>4680115880986</v>
      </c>
      <c r="E225" s="715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717"/>
      <c r="R225" s="717"/>
      <c r="S225" s="717"/>
      <c r="T225" s="71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customHeight="1" x14ac:dyDescent="0.25">
      <c r="A226" s="63" t="s">
        <v>393</v>
      </c>
      <c r="B226" s="63" t="s">
        <v>394</v>
      </c>
      <c r="C226" s="36">
        <v>4301031443</v>
      </c>
      <c r="D226" s="715">
        <v>4680115887213</v>
      </c>
      <c r="E226" s="715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717"/>
      <c r="R226" s="717"/>
      <c r="S226" s="717"/>
      <c r="T226" s="71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4301031205</v>
      </c>
      <c r="D227" s="715">
        <v>4680115881785</v>
      </c>
      <c r="E227" s="715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717"/>
      <c r="R227" s="717"/>
      <c r="S227" s="717"/>
      <c r="T227" s="71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4301031499</v>
      </c>
      <c r="D228" s="715">
        <v>4680115888432</v>
      </c>
      <c r="E228" s="71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717"/>
      <c r="R228" s="717"/>
      <c r="S228" s="717"/>
      <c r="T228" s="71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customHeight="1" x14ac:dyDescent="0.25">
      <c r="A229" s="63" t="s">
        <v>401</v>
      </c>
      <c r="B229" s="63" t="s">
        <v>402</v>
      </c>
      <c r="C229" s="36">
        <v>4301031427</v>
      </c>
      <c r="D229" s="715">
        <v>4680115888104</v>
      </c>
      <c r="E229" s="715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717"/>
      <c r="R229" s="717"/>
      <c r="S229" s="717"/>
      <c r="T229" s="71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customHeight="1" x14ac:dyDescent="0.25">
      <c r="A230" s="63" t="s">
        <v>404</v>
      </c>
      <c r="B230" s="63" t="s">
        <v>405</v>
      </c>
      <c r="C230" s="36">
        <v>4301031399</v>
      </c>
      <c r="D230" s="715">
        <v>4680115886537</v>
      </c>
      <c r="E230" s="715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3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717"/>
      <c r="R230" s="717"/>
      <c r="S230" s="717"/>
      <c r="T230" s="71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customHeight="1" x14ac:dyDescent="0.25">
      <c r="A231" s="63" t="s">
        <v>407</v>
      </c>
      <c r="B231" s="63" t="s">
        <v>408</v>
      </c>
      <c r="C231" s="36">
        <v>4301031279</v>
      </c>
      <c r="D231" s="715">
        <v>4680115887596</v>
      </c>
      <c r="E231" s="715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3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717"/>
      <c r="R231" s="717"/>
      <c r="S231" s="717"/>
      <c r="T231" s="71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customHeight="1" x14ac:dyDescent="0.25">
      <c r="A232" s="63" t="s">
        <v>410</v>
      </c>
      <c r="B232" s="63" t="s">
        <v>411</v>
      </c>
      <c r="C232" s="36">
        <v>4301031202</v>
      </c>
      <c r="D232" s="715">
        <v>4680115881679</v>
      </c>
      <c r="E232" s="715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717"/>
      <c r="R232" s="717"/>
      <c r="S232" s="717"/>
      <c r="T232" s="71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customHeight="1" x14ac:dyDescent="0.25">
      <c r="A233" s="63" t="s">
        <v>412</v>
      </c>
      <c r="B233" s="63" t="s">
        <v>413</v>
      </c>
      <c r="C233" s="36">
        <v>4301031158</v>
      </c>
      <c r="D233" s="715">
        <v>4680115880191</v>
      </c>
      <c r="E233" s="715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4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717"/>
      <c r="R233" s="717"/>
      <c r="S233" s="717"/>
      <c r="T233" s="71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customHeight="1" x14ac:dyDescent="0.25">
      <c r="A234" s="63" t="s">
        <v>414</v>
      </c>
      <c r="B234" s="63" t="s">
        <v>415</v>
      </c>
      <c r="C234" s="36">
        <v>4301031245</v>
      </c>
      <c r="D234" s="715">
        <v>4680115883963</v>
      </c>
      <c r="E234" s="715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717"/>
      <c r="R234" s="717"/>
      <c r="S234" s="717"/>
      <c r="T234" s="71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x14ac:dyDescent="0.2">
      <c r="A235" s="723"/>
      <c r="B235" s="723"/>
      <c r="C235" s="723"/>
      <c r="D235" s="723"/>
      <c r="E235" s="723"/>
      <c r="F235" s="723"/>
      <c r="G235" s="723"/>
      <c r="H235" s="723"/>
      <c r="I235" s="723"/>
      <c r="J235" s="723"/>
      <c r="K235" s="723"/>
      <c r="L235" s="723"/>
      <c r="M235" s="723"/>
      <c r="N235" s="723"/>
      <c r="O235" s="724"/>
      <c r="P235" s="720" t="s">
        <v>40</v>
      </c>
      <c r="Q235" s="721"/>
      <c r="R235" s="721"/>
      <c r="S235" s="721"/>
      <c r="T235" s="721"/>
      <c r="U235" s="721"/>
      <c r="V235" s="722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723"/>
      <c r="B236" s="723"/>
      <c r="C236" s="723"/>
      <c r="D236" s="723"/>
      <c r="E236" s="723"/>
      <c r="F236" s="723"/>
      <c r="G236" s="723"/>
      <c r="H236" s="723"/>
      <c r="I236" s="723"/>
      <c r="J236" s="723"/>
      <c r="K236" s="723"/>
      <c r="L236" s="723"/>
      <c r="M236" s="723"/>
      <c r="N236" s="723"/>
      <c r="O236" s="724"/>
      <c r="P236" s="720" t="s">
        <v>40</v>
      </c>
      <c r="Q236" s="721"/>
      <c r="R236" s="721"/>
      <c r="S236" s="721"/>
      <c r="T236" s="721"/>
      <c r="U236" s="721"/>
      <c r="V236" s="722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customHeight="1" x14ac:dyDescent="0.25">
      <c r="A237" s="714" t="s">
        <v>86</v>
      </c>
      <c r="B237" s="714"/>
      <c r="C237" s="714"/>
      <c r="D237" s="714"/>
      <c r="E237" s="714"/>
      <c r="F237" s="714"/>
      <c r="G237" s="714"/>
      <c r="H237" s="714"/>
      <c r="I237" s="714"/>
      <c r="J237" s="714"/>
      <c r="K237" s="714"/>
      <c r="L237" s="714"/>
      <c r="M237" s="714"/>
      <c r="N237" s="714"/>
      <c r="O237" s="714"/>
      <c r="P237" s="714"/>
      <c r="Q237" s="714"/>
      <c r="R237" s="714"/>
      <c r="S237" s="714"/>
      <c r="T237" s="714"/>
      <c r="U237" s="714"/>
      <c r="V237" s="714"/>
      <c r="W237" s="714"/>
      <c r="X237" s="714"/>
      <c r="Y237" s="714"/>
      <c r="Z237" s="714"/>
      <c r="AA237" s="66"/>
      <c r="AB237" s="66"/>
      <c r="AC237" s="80"/>
    </row>
    <row r="238" spans="1:68" ht="16.5" customHeight="1" x14ac:dyDescent="0.25">
      <c r="A238" s="63" t="s">
        <v>417</v>
      </c>
      <c r="B238" s="63" t="s">
        <v>418</v>
      </c>
      <c r="C238" s="36">
        <v>4301052209</v>
      </c>
      <c r="D238" s="715">
        <v>4680115888692</v>
      </c>
      <c r="E238" s="715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4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717"/>
      <c r="R238" s="717"/>
      <c r="S238" s="717"/>
      <c r="T238" s="71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420</v>
      </c>
      <c r="B239" s="63" t="s">
        <v>421</v>
      </c>
      <c r="C239" s="36">
        <v>4301052213</v>
      </c>
      <c r="D239" s="715">
        <v>4680115888722</v>
      </c>
      <c r="E239" s="715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4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717"/>
      <c r="R239" s="717"/>
      <c r="S239" s="717"/>
      <c r="T239" s="71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423</v>
      </c>
      <c r="B240" s="63" t="s">
        <v>424</v>
      </c>
      <c r="C240" s="36">
        <v>4301052177</v>
      </c>
      <c r="D240" s="715">
        <v>4680115888951</v>
      </c>
      <c r="E240" s="71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4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17"/>
      <c r="R240" s="717"/>
      <c r="S240" s="717"/>
      <c r="T240" s="71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25">
      <c r="A241" s="63" t="s">
        <v>426</v>
      </c>
      <c r="B241" s="63" t="s">
        <v>427</v>
      </c>
      <c r="C241" s="36">
        <v>4301052178</v>
      </c>
      <c r="D241" s="715">
        <v>4680115888975</v>
      </c>
      <c r="E241" s="715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717"/>
      <c r="R241" s="717"/>
      <c r="S241" s="717"/>
      <c r="T241" s="718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429</v>
      </c>
      <c r="B242" s="63" t="s">
        <v>430</v>
      </c>
      <c r="C242" s="36">
        <v>4301052176</v>
      </c>
      <c r="D242" s="715">
        <v>4680115888982</v>
      </c>
      <c r="E242" s="715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4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717"/>
      <c r="R242" s="717"/>
      <c r="S242" s="717"/>
      <c r="T242" s="718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723"/>
      <c r="B243" s="723"/>
      <c r="C243" s="723"/>
      <c r="D243" s="723"/>
      <c r="E243" s="723"/>
      <c r="F243" s="723"/>
      <c r="G243" s="723"/>
      <c r="H243" s="723"/>
      <c r="I243" s="723"/>
      <c r="J243" s="723"/>
      <c r="K243" s="723"/>
      <c r="L243" s="723"/>
      <c r="M243" s="723"/>
      <c r="N243" s="723"/>
      <c r="O243" s="724"/>
      <c r="P243" s="720" t="s">
        <v>40</v>
      </c>
      <c r="Q243" s="721"/>
      <c r="R243" s="721"/>
      <c r="S243" s="721"/>
      <c r="T243" s="721"/>
      <c r="U243" s="721"/>
      <c r="V243" s="722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x14ac:dyDescent="0.2">
      <c r="A244" s="723"/>
      <c r="B244" s="723"/>
      <c r="C244" s="723"/>
      <c r="D244" s="723"/>
      <c r="E244" s="723"/>
      <c r="F244" s="723"/>
      <c r="G244" s="723"/>
      <c r="H244" s="723"/>
      <c r="I244" s="723"/>
      <c r="J244" s="723"/>
      <c r="K244" s="723"/>
      <c r="L244" s="723"/>
      <c r="M244" s="723"/>
      <c r="N244" s="723"/>
      <c r="O244" s="724"/>
      <c r="P244" s="720" t="s">
        <v>40</v>
      </c>
      <c r="Q244" s="721"/>
      <c r="R244" s="721"/>
      <c r="S244" s="721"/>
      <c r="T244" s="721"/>
      <c r="U244" s="721"/>
      <c r="V244" s="722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customHeight="1" x14ac:dyDescent="0.25">
      <c r="A245" s="714" t="s">
        <v>283</v>
      </c>
      <c r="B245" s="714"/>
      <c r="C245" s="714"/>
      <c r="D245" s="714"/>
      <c r="E245" s="714"/>
      <c r="F245" s="714"/>
      <c r="G245" s="714"/>
      <c r="H245" s="714"/>
      <c r="I245" s="714"/>
      <c r="J245" s="714"/>
      <c r="K245" s="714"/>
      <c r="L245" s="714"/>
      <c r="M245" s="714"/>
      <c r="N245" s="714"/>
      <c r="O245" s="714"/>
      <c r="P245" s="714"/>
      <c r="Q245" s="714"/>
      <c r="R245" s="714"/>
      <c r="S245" s="714"/>
      <c r="T245" s="714"/>
      <c r="U245" s="714"/>
      <c r="V245" s="714"/>
      <c r="W245" s="714"/>
      <c r="X245" s="714"/>
      <c r="Y245" s="714"/>
      <c r="Z245" s="714"/>
      <c r="AA245" s="66"/>
      <c r="AB245" s="66"/>
      <c r="AC245" s="80"/>
    </row>
    <row r="246" spans="1:68" ht="27" customHeight="1" x14ac:dyDescent="0.25">
      <c r="A246" s="63" t="s">
        <v>431</v>
      </c>
      <c r="B246" s="63" t="s">
        <v>432</v>
      </c>
      <c r="C246" s="36">
        <v>4301032053</v>
      </c>
      <c r="D246" s="715">
        <v>4680115886780</v>
      </c>
      <c r="E246" s="71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717"/>
      <c r="R246" s="717"/>
      <c r="S246" s="717"/>
      <c r="T246" s="71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434</v>
      </c>
      <c r="B247" s="63" t="s">
        <v>435</v>
      </c>
      <c r="C247" s="36">
        <v>4301032051</v>
      </c>
      <c r="D247" s="715">
        <v>4680115886742</v>
      </c>
      <c r="E247" s="715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4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717"/>
      <c r="R247" s="717"/>
      <c r="S247" s="717"/>
      <c r="T247" s="71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437</v>
      </c>
      <c r="B248" s="63" t="s">
        <v>438</v>
      </c>
      <c r="C248" s="36">
        <v>4301032052</v>
      </c>
      <c r="D248" s="715">
        <v>4680115886766</v>
      </c>
      <c r="E248" s="715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717"/>
      <c r="R248" s="717"/>
      <c r="S248" s="717"/>
      <c r="T248" s="718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x14ac:dyDescent="0.2">
      <c r="A249" s="723"/>
      <c r="B249" s="723"/>
      <c r="C249" s="723"/>
      <c r="D249" s="723"/>
      <c r="E249" s="723"/>
      <c r="F249" s="723"/>
      <c r="G249" s="723"/>
      <c r="H249" s="723"/>
      <c r="I249" s="723"/>
      <c r="J249" s="723"/>
      <c r="K249" s="723"/>
      <c r="L249" s="723"/>
      <c r="M249" s="723"/>
      <c r="N249" s="723"/>
      <c r="O249" s="724"/>
      <c r="P249" s="720" t="s">
        <v>40</v>
      </c>
      <c r="Q249" s="721"/>
      <c r="R249" s="721"/>
      <c r="S249" s="721"/>
      <c r="T249" s="721"/>
      <c r="U249" s="721"/>
      <c r="V249" s="722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x14ac:dyDescent="0.2">
      <c r="A250" s="723"/>
      <c r="B250" s="723"/>
      <c r="C250" s="723"/>
      <c r="D250" s="723"/>
      <c r="E250" s="723"/>
      <c r="F250" s="723"/>
      <c r="G250" s="723"/>
      <c r="H250" s="723"/>
      <c r="I250" s="723"/>
      <c r="J250" s="723"/>
      <c r="K250" s="723"/>
      <c r="L250" s="723"/>
      <c r="M250" s="723"/>
      <c r="N250" s="723"/>
      <c r="O250" s="724"/>
      <c r="P250" s="720" t="s">
        <v>40</v>
      </c>
      <c r="Q250" s="721"/>
      <c r="R250" s="721"/>
      <c r="S250" s="721"/>
      <c r="T250" s="721"/>
      <c r="U250" s="721"/>
      <c r="V250" s="722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customHeight="1" x14ac:dyDescent="0.25">
      <c r="A251" s="714" t="s">
        <v>439</v>
      </c>
      <c r="B251" s="714"/>
      <c r="C251" s="714"/>
      <c r="D251" s="714"/>
      <c r="E251" s="714"/>
      <c r="F251" s="714"/>
      <c r="G251" s="714"/>
      <c r="H251" s="714"/>
      <c r="I251" s="714"/>
      <c r="J251" s="714"/>
      <c r="K251" s="714"/>
      <c r="L251" s="714"/>
      <c r="M251" s="714"/>
      <c r="N251" s="714"/>
      <c r="O251" s="714"/>
      <c r="P251" s="714"/>
      <c r="Q251" s="714"/>
      <c r="R251" s="714"/>
      <c r="S251" s="714"/>
      <c r="T251" s="714"/>
      <c r="U251" s="714"/>
      <c r="V251" s="714"/>
      <c r="W251" s="714"/>
      <c r="X251" s="714"/>
      <c r="Y251" s="714"/>
      <c r="Z251" s="714"/>
      <c r="AA251" s="66"/>
      <c r="AB251" s="66"/>
      <c r="AC251" s="80"/>
    </row>
    <row r="252" spans="1:68" ht="27" customHeight="1" x14ac:dyDescent="0.25">
      <c r="A252" s="63" t="s">
        <v>440</v>
      </c>
      <c r="B252" s="63" t="s">
        <v>441</v>
      </c>
      <c r="C252" s="36">
        <v>4301170013</v>
      </c>
      <c r="D252" s="715">
        <v>4680115886797</v>
      </c>
      <c r="E252" s="71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5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717"/>
      <c r="R252" s="717"/>
      <c r="S252" s="717"/>
      <c r="T252" s="71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x14ac:dyDescent="0.2">
      <c r="A253" s="723"/>
      <c r="B253" s="723"/>
      <c r="C253" s="723"/>
      <c r="D253" s="723"/>
      <c r="E253" s="723"/>
      <c r="F253" s="723"/>
      <c r="G253" s="723"/>
      <c r="H253" s="723"/>
      <c r="I253" s="723"/>
      <c r="J253" s="723"/>
      <c r="K253" s="723"/>
      <c r="L253" s="723"/>
      <c r="M253" s="723"/>
      <c r="N253" s="723"/>
      <c r="O253" s="724"/>
      <c r="P253" s="720" t="s">
        <v>40</v>
      </c>
      <c r="Q253" s="721"/>
      <c r="R253" s="721"/>
      <c r="S253" s="721"/>
      <c r="T253" s="721"/>
      <c r="U253" s="721"/>
      <c r="V253" s="722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x14ac:dyDescent="0.2">
      <c r="A254" s="723"/>
      <c r="B254" s="723"/>
      <c r="C254" s="723"/>
      <c r="D254" s="723"/>
      <c r="E254" s="723"/>
      <c r="F254" s="723"/>
      <c r="G254" s="723"/>
      <c r="H254" s="723"/>
      <c r="I254" s="723"/>
      <c r="J254" s="723"/>
      <c r="K254" s="723"/>
      <c r="L254" s="723"/>
      <c r="M254" s="723"/>
      <c r="N254" s="723"/>
      <c r="O254" s="724"/>
      <c r="P254" s="720" t="s">
        <v>40</v>
      </c>
      <c r="Q254" s="721"/>
      <c r="R254" s="721"/>
      <c r="S254" s="721"/>
      <c r="T254" s="721"/>
      <c r="U254" s="721"/>
      <c r="V254" s="722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customHeight="1" x14ac:dyDescent="0.25">
      <c r="A255" s="713" t="s">
        <v>442</v>
      </c>
      <c r="B255" s="713"/>
      <c r="C255" s="713"/>
      <c r="D255" s="713"/>
      <c r="E255" s="713"/>
      <c r="F255" s="713"/>
      <c r="G255" s="713"/>
      <c r="H255" s="713"/>
      <c r="I255" s="713"/>
      <c r="J255" s="713"/>
      <c r="K255" s="713"/>
      <c r="L255" s="713"/>
      <c r="M255" s="713"/>
      <c r="N255" s="713"/>
      <c r="O255" s="713"/>
      <c r="P255" s="713"/>
      <c r="Q255" s="713"/>
      <c r="R255" s="713"/>
      <c r="S255" s="713"/>
      <c r="T255" s="713"/>
      <c r="U255" s="713"/>
      <c r="V255" s="713"/>
      <c r="W255" s="713"/>
      <c r="X255" s="713"/>
      <c r="Y255" s="713"/>
      <c r="Z255" s="713"/>
      <c r="AA255" s="65"/>
      <c r="AB255" s="65"/>
      <c r="AC255" s="79"/>
    </row>
    <row r="256" spans="1:68" ht="14.25" customHeight="1" x14ac:dyDescent="0.25">
      <c r="A256" s="714" t="s">
        <v>122</v>
      </c>
      <c r="B256" s="714"/>
      <c r="C256" s="714"/>
      <c r="D256" s="714"/>
      <c r="E256" s="714"/>
      <c r="F256" s="714"/>
      <c r="G256" s="714"/>
      <c r="H256" s="714"/>
      <c r="I256" s="714"/>
      <c r="J256" s="714"/>
      <c r="K256" s="714"/>
      <c r="L256" s="714"/>
      <c r="M256" s="714"/>
      <c r="N256" s="714"/>
      <c r="O256" s="714"/>
      <c r="P256" s="714"/>
      <c r="Q256" s="714"/>
      <c r="R256" s="714"/>
      <c r="S256" s="714"/>
      <c r="T256" s="714"/>
      <c r="U256" s="714"/>
      <c r="V256" s="714"/>
      <c r="W256" s="714"/>
      <c r="X256" s="714"/>
      <c r="Y256" s="714"/>
      <c r="Z256" s="714"/>
      <c r="AA256" s="66"/>
      <c r="AB256" s="66"/>
      <c r="AC256" s="80"/>
    </row>
    <row r="257" spans="1:68" ht="27" customHeight="1" x14ac:dyDescent="0.25">
      <c r="A257" s="63" t="s">
        <v>443</v>
      </c>
      <c r="B257" s="63" t="s">
        <v>444</v>
      </c>
      <c r="C257" s="36">
        <v>4301011450</v>
      </c>
      <c r="D257" s="715">
        <v>4680115881402</v>
      </c>
      <c r="E257" s="715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5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717"/>
      <c r="R257" s="717"/>
      <c r="S257" s="717"/>
      <c r="T257" s="71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customHeight="1" x14ac:dyDescent="0.25">
      <c r="A258" s="63" t="s">
        <v>446</v>
      </c>
      <c r="B258" s="63" t="s">
        <v>447</v>
      </c>
      <c r="C258" s="36">
        <v>4301011768</v>
      </c>
      <c r="D258" s="715">
        <v>4680115881396</v>
      </c>
      <c r="E258" s="715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5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717"/>
      <c r="R258" s="717"/>
      <c r="S258" s="717"/>
      <c r="T258" s="718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723"/>
      <c r="B259" s="723"/>
      <c r="C259" s="723"/>
      <c r="D259" s="723"/>
      <c r="E259" s="723"/>
      <c r="F259" s="723"/>
      <c r="G259" s="723"/>
      <c r="H259" s="723"/>
      <c r="I259" s="723"/>
      <c r="J259" s="723"/>
      <c r="K259" s="723"/>
      <c r="L259" s="723"/>
      <c r="M259" s="723"/>
      <c r="N259" s="723"/>
      <c r="O259" s="724"/>
      <c r="P259" s="720" t="s">
        <v>40</v>
      </c>
      <c r="Q259" s="721"/>
      <c r="R259" s="721"/>
      <c r="S259" s="721"/>
      <c r="T259" s="721"/>
      <c r="U259" s="721"/>
      <c r="V259" s="722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x14ac:dyDescent="0.2">
      <c r="A260" s="723"/>
      <c r="B260" s="723"/>
      <c r="C260" s="723"/>
      <c r="D260" s="723"/>
      <c r="E260" s="723"/>
      <c r="F260" s="723"/>
      <c r="G260" s="723"/>
      <c r="H260" s="723"/>
      <c r="I260" s="723"/>
      <c r="J260" s="723"/>
      <c r="K260" s="723"/>
      <c r="L260" s="723"/>
      <c r="M260" s="723"/>
      <c r="N260" s="723"/>
      <c r="O260" s="724"/>
      <c r="P260" s="720" t="s">
        <v>40</v>
      </c>
      <c r="Q260" s="721"/>
      <c r="R260" s="721"/>
      <c r="S260" s="721"/>
      <c r="T260" s="721"/>
      <c r="U260" s="721"/>
      <c r="V260" s="722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customHeight="1" x14ac:dyDescent="0.25">
      <c r="A261" s="714" t="s">
        <v>158</v>
      </c>
      <c r="B261" s="714"/>
      <c r="C261" s="714"/>
      <c r="D261" s="714"/>
      <c r="E261" s="714"/>
      <c r="F261" s="714"/>
      <c r="G261" s="714"/>
      <c r="H261" s="714"/>
      <c r="I261" s="714"/>
      <c r="J261" s="714"/>
      <c r="K261" s="714"/>
      <c r="L261" s="714"/>
      <c r="M261" s="714"/>
      <c r="N261" s="714"/>
      <c r="O261" s="714"/>
      <c r="P261" s="714"/>
      <c r="Q261" s="714"/>
      <c r="R261" s="714"/>
      <c r="S261" s="714"/>
      <c r="T261" s="714"/>
      <c r="U261" s="714"/>
      <c r="V261" s="714"/>
      <c r="W261" s="714"/>
      <c r="X261" s="714"/>
      <c r="Y261" s="714"/>
      <c r="Z261" s="714"/>
      <c r="AA261" s="66"/>
      <c r="AB261" s="66"/>
      <c r="AC261" s="80"/>
    </row>
    <row r="262" spans="1:68" ht="16.5" customHeight="1" x14ac:dyDescent="0.25">
      <c r="A262" s="63" t="s">
        <v>448</v>
      </c>
      <c r="B262" s="63" t="s">
        <v>449</v>
      </c>
      <c r="C262" s="36">
        <v>4301020261</v>
      </c>
      <c r="D262" s="715">
        <v>4680115882935</v>
      </c>
      <c r="E262" s="71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5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717"/>
      <c r="R262" s="717"/>
      <c r="S262" s="717"/>
      <c r="T262" s="71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customHeight="1" x14ac:dyDescent="0.25">
      <c r="A263" s="63" t="s">
        <v>451</v>
      </c>
      <c r="B263" s="63" t="s">
        <v>452</v>
      </c>
      <c r="C263" s="36">
        <v>4301020220</v>
      </c>
      <c r="D263" s="715">
        <v>4680115880764</v>
      </c>
      <c r="E263" s="715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5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717"/>
      <c r="R263" s="717"/>
      <c r="S263" s="717"/>
      <c r="T263" s="71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x14ac:dyDescent="0.2">
      <c r="A264" s="723"/>
      <c r="B264" s="723"/>
      <c r="C264" s="723"/>
      <c r="D264" s="723"/>
      <c r="E264" s="723"/>
      <c r="F264" s="723"/>
      <c r="G264" s="723"/>
      <c r="H264" s="723"/>
      <c r="I264" s="723"/>
      <c r="J264" s="723"/>
      <c r="K264" s="723"/>
      <c r="L264" s="723"/>
      <c r="M264" s="723"/>
      <c r="N264" s="723"/>
      <c r="O264" s="724"/>
      <c r="P264" s="720" t="s">
        <v>40</v>
      </c>
      <c r="Q264" s="721"/>
      <c r="R264" s="721"/>
      <c r="S264" s="721"/>
      <c r="T264" s="721"/>
      <c r="U264" s="721"/>
      <c r="V264" s="72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x14ac:dyDescent="0.2">
      <c r="A265" s="723"/>
      <c r="B265" s="723"/>
      <c r="C265" s="723"/>
      <c r="D265" s="723"/>
      <c r="E265" s="723"/>
      <c r="F265" s="723"/>
      <c r="G265" s="723"/>
      <c r="H265" s="723"/>
      <c r="I265" s="723"/>
      <c r="J265" s="723"/>
      <c r="K265" s="723"/>
      <c r="L265" s="723"/>
      <c r="M265" s="723"/>
      <c r="N265" s="723"/>
      <c r="O265" s="724"/>
      <c r="P265" s="720" t="s">
        <v>40</v>
      </c>
      <c r="Q265" s="721"/>
      <c r="R265" s="721"/>
      <c r="S265" s="721"/>
      <c r="T265" s="721"/>
      <c r="U265" s="721"/>
      <c r="V265" s="72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customHeight="1" x14ac:dyDescent="0.25">
      <c r="A266" s="714" t="s">
        <v>77</v>
      </c>
      <c r="B266" s="714"/>
      <c r="C266" s="714"/>
      <c r="D266" s="714"/>
      <c r="E266" s="714"/>
      <c r="F266" s="714"/>
      <c r="G266" s="714"/>
      <c r="H266" s="714"/>
      <c r="I266" s="714"/>
      <c r="J266" s="714"/>
      <c r="K266" s="714"/>
      <c r="L266" s="714"/>
      <c r="M266" s="714"/>
      <c r="N266" s="714"/>
      <c r="O266" s="714"/>
      <c r="P266" s="714"/>
      <c r="Q266" s="714"/>
      <c r="R266" s="714"/>
      <c r="S266" s="714"/>
      <c r="T266" s="714"/>
      <c r="U266" s="714"/>
      <c r="V266" s="714"/>
      <c r="W266" s="714"/>
      <c r="X266" s="714"/>
      <c r="Y266" s="714"/>
      <c r="Z266" s="714"/>
      <c r="AA266" s="66"/>
      <c r="AB266" s="66"/>
      <c r="AC266" s="80"/>
    </row>
    <row r="267" spans="1:68" ht="27" customHeight="1" x14ac:dyDescent="0.25">
      <c r="A267" s="63" t="s">
        <v>453</v>
      </c>
      <c r="B267" s="63" t="s">
        <v>454</v>
      </c>
      <c r="C267" s="36">
        <v>4301031224</v>
      </c>
      <c r="D267" s="715">
        <v>4680115882683</v>
      </c>
      <c r="E267" s="71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5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717"/>
      <c r="R267" s="717"/>
      <c r="S267" s="717"/>
      <c r="T267" s="718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customHeight="1" x14ac:dyDescent="0.25">
      <c r="A268" s="63" t="s">
        <v>456</v>
      </c>
      <c r="B268" s="63" t="s">
        <v>457</v>
      </c>
      <c r="C268" s="36">
        <v>4301031230</v>
      </c>
      <c r="D268" s="715">
        <v>4680115882690</v>
      </c>
      <c r="E268" s="71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5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717"/>
      <c r="R268" s="717"/>
      <c r="S268" s="717"/>
      <c r="T268" s="718"/>
      <c r="U268" s="39" t="s">
        <v>46</v>
      </c>
      <c r="V268" s="39" t="s">
        <v>46</v>
      </c>
      <c r="W268" s="40" t="s">
        <v>0</v>
      </c>
      <c r="X268" s="58">
        <v>30</v>
      </c>
      <c r="Y268" s="55">
        <f t="shared" si="33"/>
        <v>32.400000000000006</v>
      </c>
      <c r="Z268" s="41">
        <f>IFERROR(IF(Y268=0,"",ROUNDUP(Y268/H268,0)*0.00902),"")</f>
        <v>5.4120000000000001E-2</v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31.05555555555555</v>
      </c>
      <c r="BN268" s="78">
        <f t="shared" si="35"/>
        <v>33.54</v>
      </c>
      <c r="BO268" s="78">
        <f t="shared" si="36"/>
        <v>4.208754208754209E-2</v>
      </c>
      <c r="BP268" s="78">
        <f t="shared" si="37"/>
        <v>4.5454545454545463E-2</v>
      </c>
    </row>
    <row r="269" spans="1:68" ht="27" customHeight="1" x14ac:dyDescent="0.25">
      <c r="A269" s="63" t="s">
        <v>459</v>
      </c>
      <c r="B269" s="63" t="s">
        <v>460</v>
      </c>
      <c r="C269" s="36">
        <v>4301031220</v>
      </c>
      <c r="D269" s="715">
        <v>4680115882669</v>
      </c>
      <c r="E269" s="715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717"/>
      <c r="R269" s="717"/>
      <c r="S269" s="717"/>
      <c r="T269" s="718"/>
      <c r="U269" s="39" t="s">
        <v>46</v>
      </c>
      <c r="V269" s="39" t="s">
        <v>46</v>
      </c>
      <c r="W269" s="40" t="s">
        <v>0</v>
      </c>
      <c r="X269" s="58">
        <v>20</v>
      </c>
      <c r="Y269" s="55">
        <f t="shared" si="33"/>
        <v>21.6</v>
      </c>
      <c r="Z269" s="41">
        <f>IFERROR(IF(Y269=0,"",ROUNDUP(Y269/H269,0)*0.00902),"")</f>
        <v>3.6080000000000001E-2</v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20.703703703703702</v>
      </c>
      <c r="BN269" s="78">
        <f t="shared" si="35"/>
        <v>22.36</v>
      </c>
      <c r="BO269" s="78">
        <f t="shared" si="36"/>
        <v>2.8058361391694722E-2</v>
      </c>
      <c r="BP269" s="78">
        <f t="shared" si="37"/>
        <v>3.0303030303030304E-2</v>
      </c>
    </row>
    <row r="270" spans="1:68" ht="27" customHeight="1" x14ac:dyDescent="0.25">
      <c r="A270" s="63" t="s">
        <v>462</v>
      </c>
      <c r="B270" s="63" t="s">
        <v>463</v>
      </c>
      <c r="C270" s="36">
        <v>4301031221</v>
      </c>
      <c r="D270" s="715">
        <v>4680115882676</v>
      </c>
      <c r="E270" s="715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5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717"/>
      <c r="R270" s="717"/>
      <c r="S270" s="717"/>
      <c r="T270" s="718"/>
      <c r="U270" s="39" t="s">
        <v>46</v>
      </c>
      <c r="V270" s="39" t="s">
        <v>46</v>
      </c>
      <c r="W270" s="40" t="s">
        <v>0</v>
      </c>
      <c r="X270" s="58">
        <v>40</v>
      </c>
      <c r="Y270" s="55">
        <f t="shared" si="33"/>
        <v>43.2</v>
      </c>
      <c r="Z270" s="41">
        <f>IFERROR(IF(Y270=0,"",ROUNDUP(Y270/H270,0)*0.00902),"")</f>
        <v>7.2160000000000002E-2</v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41.407407407407405</v>
      </c>
      <c r="BN270" s="78">
        <f t="shared" si="35"/>
        <v>44.72</v>
      </c>
      <c r="BO270" s="78">
        <f t="shared" si="36"/>
        <v>5.6116722783389444E-2</v>
      </c>
      <c r="BP270" s="78">
        <f t="shared" si="37"/>
        <v>6.0606060606060608E-2</v>
      </c>
    </row>
    <row r="271" spans="1:68" ht="27" customHeight="1" x14ac:dyDescent="0.25">
      <c r="A271" s="63" t="s">
        <v>465</v>
      </c>
      <c r="B271" s="63" t="s">
        <v>466</v>
      </c>
      <c r="C271" s="36">
        <v>4301031223</v>
      </c>
      <c r="D271" s="715">
        <v>4680115884014</v>
      </c>
      <c r="E271" s="715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717"/>
      <c r="R271" s="717"/>
      <c r="S271" s="717"/>
      <c r="T271" s="71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customHeight="1" x14ac:dyDescent="0.25">
      <c r="A272" s="63" t="s">
        <v>467</v>
      </c>
      <c r="B272" s="63" t="s">
        <v>468</v>
      </c>
      <c r="C272" s="36">
        <v>4301031222</v>
      </c>
      <c r="D272" s="715">
        <v>4680115884007</v>
      </c>
      <c r="E272" s="71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6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717"/>
      <c r="R272" s="717"/>
      <c r="S272" s="717"/>
      <c r="T272" s="71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customHeight="1" x14ac:dyDescent="0.25">
      <c r="A273" s="63" t="s">
        <v>469</v>
      </c>
      <c r="B273" s="63" t="s">
        <v>470</v>
      </c>
      <c r="C273" s="36">
        <v>4301031229</v>
      </c>
      <c r="D273" s="715">
        <v>4680115884038</v>
      </c>
      <c r="E273" s="715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6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717"/>
      <c r="R273" s="717"/>
      <c r="S273" s="717"/>
      <c r="T273" s="71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customHeight="1" x14ac:dyDescent="0.25">
      <c r="A274" s="63" t="s">
        <v>471</v>
      </c>
      <c r="B274" s="63" t="s">
        <v>472</v>
      </c>
      <c r="C274" s="36">
        <v>4301031225</v>
      </c>
      <c r="D274" s="715">
        <v>4680115884021</v>
      </c>
      <c r="E274" s="715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6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717"/>
      <c r="R274" s="717"/>
      <c r="S274" s="717"/>
      <c r="T274" s="71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x14ac:dyDescent="0.2">
      <c r="A275" s="723"/>
      <c r="B275" s="723"/>
      <c r="C275" s="723"/>
      <c r="D275" s="723"/>
      <c r="E275" s="723"/>
      <c r="F275" s="723"/>
      <c r="G275" s="723"/>
      <c r="H275" s="723"/>
      <c r="I275" s="723"/>
      <c r="J275" s="723"/>
      <c r="K275" s="723"/>
      <c r="L275" s="723"/>
      <c r="M275" s="723"/>
      <c r="N275" s="723"/>
      <c r="O275" s="724"/>
      <c r="P275" s="720" t="s">
        <v>40</v>
      </c>
      <c r="Q275" s="721"/>
      <c r="R275" s="721"/>
      <c r="S275" s="721"/>
      <c r="T275" s="721"/>
      <c r="U275" s="721"/>
      <c r="V275" s="722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16.666666666666664</v>
      </c>
      <c r="Y275" s="43">
        <f>IFERROR(Y267/H267,"0")+IFERROR(Y268/H268,"0")+IFERROR(Y269/H269,"0")+IFERROR(Y270/H270,"0")+IFERROR(Y271/H271,"0")+IFERROR(Y272/H272,"0")+IFERROR(Y273/H273,"0")+IFERROR(Y274/H274,"0")</f>
        <v>18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0.16236</v>
      </c>
      <c r="AA275" s="67"/>
      <c r="AB275" s="67"/>
      <c r="AC275" s="67"/>
    </row>
    <row r="276" spans="1:68" x14ac:dyDescent="0.2">
      <c r="A276" s="723"/>
      <c r="B276" s="723"/>
      <c r="C276" s="723"/>
      <c r="D276" s="723"/>
      <c r="E276" s="723"/>
      <c r="F276" s="723"/>
      <c r="G276" s="723"/>
      <c r="H276" s="723"/>
      <c r="I276" s="723"/>
      <c r="J276" s="723"/>
      <c r="K276" s="723"/>
      <c r="L276" s="723"/>
      <c r="M276" s="723"/>
      <c r="N276" s="723"/>
      <c r="O276" s="724"/>
      <c r="P276" s="720" t="s">
        <v>40</v>
      </c>
      <c r="Q276" s="721"/>
      <c r="R276" s="721"/>
      <c r="S276" s="721"/>
      <c r="T276" s="721"/>
      <c r="U276" s="721"/>
      <c r="V276" s="722"/>
      <c r="W276" s="42" t="s">
        <v>0</v>
      </c>
      <c r="X276" s="43">
        <f>IFERROR(SUM(X267:X274),"0")</f>
        <v>90</v>
      </c>
      <c r="Y276" s="43">
        <f>IFERROR(SUM(Y267:Y274),"0")</f>
        <v>97.200000000000017</v>
      </c>
      <c r="Z276" s="42"/>
      <c r="AA276" s="67"/>
      <c r="AB276" s="67"/>
      <c r="AC276" s="67"/>
    </row>
    <row r="277" spans="1:68" ht="14.25" customHeight="1" x14ac:dyDescent="0.25">
      <c r="A277" s="714" t="s">
        <v>86</v>
      </c>
      <c r="B277" s="714"/>
      <c r="C277" s="714"/>
      <c r="D277" s="714"/>
      <c r="E277" s="714"/>
      <c r="F277" s="714"/>
      <c r="G277" s="714"/>
      <c r="H277" s="714"/>
      <c r="I277" s="714"/>
      <c r="J277" s="714"/>
      <c r="K277" s="714"/>
      <c r="L277" s="714"/>
      <c r="M277" s="714"/>
      <c r="N277" s="714"/>
      <c r="O277" s="714"/>
      <c r="P277" s="714"/>
      <c r="Q277" s="714"/>
      <c r="R277" s="714"/>
      <c r="S277" s="714"/>
      <c r="T277" s="714"/>
      <c r="U277" s="714"/>
      <c r="V277" s="714"/>
      <c r="W277" s="714"/>
      <c r="X277" s="714"/>
      <c r="Y277" s="714"/>
      <c r="Z277" s="714"/>
      <c r="AA277" s="66"/>
      <c r="AB277" s="66"/>
      <c r="AC277" s="80"/>
    </row>
    <row r="278" spans="1:68" ht="27" customHeight="1" x14ac:dyDescent="0.25">
      <c r="A278" s="63" t="s">
        <v>473</v>
      </c>
      <c r="B278" s="63" t="s">
        <v>474</v>
      </c>
      <c r="C278" s="36">
        <v>4301051408</v>
      </c>
      <c r="D278" s="715">
        <v>4680115881594</v>
      </c>
      <c r="E278" s="715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717"/>
      <c r="R278" s="717"/>
      <c r="S278" s="717"/>
      <c r="T278" s="71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customHeight="1" x14ac:dyDescent="0.25">
      <c r="A279" s="63" t="s">
        <v>476</v>
      </c>
      <c r="B279" s="63" t="s">
        <v>477</v>
      </c>
      <c r="C279" s="36">
        <v>4301051411</v>
      </c>
      <c r="D279" s="715">
        <v>4680115881617</v>
      </c>
      <c r="E279" s="715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6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717"/>
      <c r="R279" s="717"/>
      <c r="S279" s="717"/>
      <c r="T279" s="71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customHeight="1" x14ac:dyDescent="0.25">
      <c r="A280" s="63" t="s">
        <v>479</v>
      </c>
      <c r="B280" s="63" t="s">
        <v>480</v>
      </c>
      <c r="C280" s="36">
        <v>4301051656</v>
      </c>
      <c r="D280" s="715">
        <v>4680115880573</v>
      </c>
      <c r="E280" s="715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6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717"/>
      <c r="R280" s="717"/>
      <c r="S280" s="717"/>
      <c r="T280" s="718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customHeight="1" x14ac:dyDescent="0.25">
      <c r="A281" s="63" t="s">
        <v>482</v>
      </c>
      <c r="B281" s="63" t="s">
        <v>483</v>
      </c>
      <c r="C281" s="36">
        <v>4301051407</v>
      </c>
      <c r="D281" s="715">
        <v>4680115882195</v>
      </c>
      <c r="E281" s="715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86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717"/>
      <c r="R281" s="717"/>
      <c r="S281" s="717"/>
      <c r="T281" s="718"/>
      <c r="U281" s="39" t="s">
        <v>46</v>
      </c>
      <c r="V281" s="39" t="s">
        <v>46</v>
      </c>
      <c r="W281" s="40" t="s">
        <v>0</v>
      </c>
      <c r="X281" s="58">
        <v>8</v>
      </c>
      <c r="Y281" s="55">
        <f t="shared" si="38"/>
        <v>9.6</v>
      </c>
      <c r="Z281" s="41">
        <f>IFERROR(IF(Y281=0,"",ROUNDUP(Y281/H281,0)*0.00651),"")</f>
        <v>2.6040000000000001E-2</v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8.9</v>
      </c>
      <c r="BN281" s="78">
        <f t="shared" si="40"/>
        <v>10.68</v>
      </c>
      <c r="BO281" s="78">
        <f t="shared" si="41"/>
        <v>1.8315018315018316E-2</v>
      </c>
      <c r="BP281" s="78">
        <f t="shared" si="42"/>
        <v>2.197802197802198E-2</v>
      </c>
    </row>
    <row r="282" spans="1:68" ht="27" customHeight="1" x14ac:dyDescent="0.25">
      <c r="A282" s="63" t="s">
        <v>484</v>
      </c>
      <c r="B282" s="63" t="s">
        <v>485</v>
      </c>
      <c r="C282" s="36">
        <v>4301051752</v>
      </c>
      <c r="D282" s="715">
        <v>4680115882607</v>
      </c>
      <c r="E282" s="715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86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717"/>
      <c r="R282" s="717"/>
      <c r="S282" s="717"/>
      <c r="T282" s="71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customHeight="1" x14ac:dyDescent="0.25">
      <c r="A283" s="63" t="s">
        <v>486</v>
      </c>
      <c r="B283" s="63" t="s">
        <v>487</v>
      </c>
      <c r="C283" s="36">
        <v>4301052143</v>
      </c>
      <c r="D283" s="715">
        <v>4680115882607</v>
      </c>
      <c r="E283" s="715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86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717"/>
      <c r="R283" s="717"/>
      <c r="S283" s="717"/>
      <c r="T283" s="71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4301051666</v>
      </c>
      <c r="D284" s="715">
        <v>4680115880092</v>
      </c>
      <c r="E284" s="71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86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717"/>
      <c r="R284" s="717"/>
      <c r="S284" s="717"/>
      <c r="T284" s="718"/>
      <c r="U284" s="39" t="s">
        <v>46</v>
      </c>
      <c r="V284" s="39" t="s">
        <v>46</v>
      </c>
      <c r="W284" s="40" t="s">
        <v>0</v>
      </c>
      <c r="X284" s="58">
        <v>16</v>
      </c>
      <c r="Y284" s="55">
        <f t="shared" si="38"/>
        <v>16.8</v>
      </c>
      <c r="Z284" s="41">
        <f>IFERROR(IF(Y284=0,"",ROUNDUP(Y284/H284,0)*0.00651),"")</f>
        <v>4.5569999999999999E-2</v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17.680000000000003</v>
      </c>
      <c r="BN284" s="78">
        <f t="shared" si="40"/>
        <v>18.564000000000004</v>
      </c>
      <c r="BO284" s="78">
        <f t="shared" si="41"/>
        <v>3.6630036630036632E-2</v>
      </c>
      <c r="BP284" s="78">
        <f t="shared" si="42"/>
        <v>3.8461538461538471E-2</v>
      </c>
    </row>
    <row r="285" spans="1:68" ht="27" customHeight="1" x14ac:dyDescent="0.25">
      <c r="A285" s="63" t="s">
        <v>491</v>
      </c>
      <c r="B285" s="63" t="s">
        <v>492</v>
      </c>
      <c r="C285" s="36">
        <v>4301052214</v>
      </c>
      <c r="D285" s="715">
        <v>4680115889064</v>
      </c>
      <c r="E285" s="715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7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717"/>
      <c r="R285" s="717"/>
      <c r="S285" s="717"/>
      <c r="T285" s="71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customHeight="1" x14ac:dyDescent="0.25">
      <c r="A286" s="63" t="s">
        <v>493</v>
      </c>
      <c r="B286" s="63" t="s">
        <v>494</v>
      </c>
      <c r="C286" s="36">
        <v>4301051668</v>
      </c>
      <c r="D286" s="715">
        <v>4680115880221</v>
      </c>
      <c r="E286" s="715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7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717"/>
      <c r="R286" s="717"/>
      <c r="S286" s="717"/>
      <c r="T286" s="718"/>
      <c r="U286" s="39" t="s">
        <v>46</v>
      </c>
      <c r="V286" s="39" t="s">
        <v>46</v>
      </c>
      <c r="W286" s="40" t="s">
        <v>0</v>
      </c>
      <c r="X286" s="58">
        <v>6</v>
      </c>
      <c r="Y286" s="55">
        <f t="shared" si="38"/>
        <v>7.1999999999999993</v>
      </c>
      <c r="Z286" s="41">
        <f>IFERROR(IF(Y286=0,"",ROUNDUP(Y286/H286,0)*0.00651),"")</f>
        <v>1.9529999999999999E-2</v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6.6300000000000008</v>
      </c>
      <c r="BN286" s="78">
        <f t="shared" si="40"/>
        <v>7.9560000000000004</v>
      </c>
      <c r="BO286" s="78">
        <f t="shared" si="41"/>
        <v>1.3736263736263738E-2</v>
      </c>
      <c r="BP286" s="78">
        <f t="shared" si="42"/>
        <v>1.6483516483516484E-2</v>
      </c>
    </row>
    <row r="287" spans="1:68" ht="27" customHeight="1" x14ac:dyDescent="0.25">
      <c r="A287" s="63" t="s">
        <v>495</v>
      </c>
      <c r="B287" s="63" t="s">
        <v>496</v>
      </c>
      <c r="C287" s="36">
        <v>4301051945</v>
      </c>
      <c r="D287" s="715">
        <v>4680115880504</v>
      </c>
      <c r="E287" s="71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87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717"/>
      <c r="R287" s="717"/>
      <c r="S287" s="717"/>
      <c r="T287" s="71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4301051410</v>
      </c>
      <c r="D288" s="715">
        <v>4680115882164</v>
      </c>
      <c r="E288" s="715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8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717"/>
      <c r="R288" s="717"/>
      <c r="S288" s="717"/>
      <c r="T288" s="71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customHeight="1" x14ac:dyDescent="0.25">
      <c r="A289" s="63" t="s">
        <v>501</v>
      </c>
      <c r="B289" s="63" t="s">
        <v>502</v>
      </c>
      <c r="C289" s="36">
        <v>4301052180</v>
      </c>
      <c r="D289" s="715">
        <v>4680115888340</v>
      </c>
      <c r="E289" s="71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7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717"/>
      <c r="R289" s="717"/>
      <c r="S289" s="717"/>
      <c r="T289" s="71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x14ac:dyDescent="0.2">
      <c r="A290" s="723"/>
      <c r="B290" s="723"/>
      <c r="C290" s="723"/>
      <c r="D290" s="723"/>
      <c r="E290" s="723"/>
      <c r="F290" s="723"/>
      <c r="G290" s="723"/>
      <c r="H290" s="723"/>
      <c r="I290" s="723"/>
      <c r="J290" s="723"/>
      <c r="K290" s="723"/>
      <c r="L290" s="723"/>
      <c r="M290" s="723"/>
      <c r="N290" s="723"/>
      <c r="O290" s="724"/>
      <c r="P290" s="720" t="s">
        <v>40</v>
      </c>
      <c r="Q290" s="721"/>
      <c r="R290" s="721"/>
      <c r="S290" s="721"/>
      <c r="T290" s="721"/>
      <c r="U290" s="721"/>
      <c r="V290" s="722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12.5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14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9.1139999999999999E-2</v>
      </c>
      <c r="AA290" s="67"/>
      <c r="AB290" s="67"/>
      <c r="AC290" s="67"/>
    </row>
    <row r="291" spans="1:68" x14ac:dyDescent="0.2">
      <c r="A291" s="723"/>
      <c r="B291" s="723"/>
      <c r="C291" s="723"/>
      <c r="D291" s="723"/>
      <c r="E291" s="723"/>
      <c r="F291" s="723"/>
      <c r="G291" s="723"/>
      <c r="H291" s="723"/>
      <c r="I291" s="723"/>
      <c r="J291" s="723"/>
      <c r="K291" s="723"/>
      <c r="L291" s="723"/>
      <c r="M291" s="723"/>
      <c r="N291" s="723"/>
      <c r="O291" s="724"/>
      <c r="P291" s="720" t="s">
        <v>40</v>
      </c>
      <c r="Q291" s="721"/>
      <c r="R291" s="721"/>
      <c r="S291" s="721"/>
      <c r="T291" s="721"/>
      <c r="U291" s="721"/>
      <c r="V291" s="722"/>
      <c r="W291" s="42" t="s">
        <v>0</v>
      </c>
      <c r="X291" s="43">
        <f>IFERROR(SUM(X278:X289),"0")</f>
        <v>30</v>
      </c>
      <c r="Y291" s="43">
        <f>IFERROR(SUM(Y278:Y289),"0")</f>
        <v>33.599999999999994</v>
      </c>
      <c r="Z291" s="42"/>
      <c r="AA291" s="67"/>
      <c r="AB291" s="67"/>
      <c r="AC291" s="67"/>
    </row>
    <row r="292" spans="1:68" ht="14.25" customHeight="1" x14ac:dyDescent="0.25">
      <c r="A292" s="714" t="s">
        <v>175</v>
      </c>
      <c r="B292" s="714"/>
      <c r="C292" s="714"/>
      <c r="D292" s="714"/>
      <c r="E292" s="714"/>
      <c r="F292" s="714"/>
      <c r="G292" s="714"/>
      <c r="H292" s="714"/>
      <c r="I292" s="714"/>
      <c r="J292" s="714"/>
      <c r="K292" s="714"/>
      <c r="L292" s="714"/>
      <c r="M292" s="714"/>
      <c r="N292" s="714"/>
      <c r="O292" s="714"/>
      <c r="P292" s="714"/>
      <c r="Q292" s="714"/>
      <c r="R292" s="714"/>
      <c r="S292" s="714"/>
      <c r="T292" s="714"/>
      <c r="U292" s="714"/>
      <c r="V292" s="714"/>
      <c r="W292" s="714"/>
      <c r="X292" s="714"/>
      <c r="Y292" s="714"/>
      <c r="Z292" s="714"/>
      <c r="AA292" s="66"/>
      <c r="AB292" s="66"/>
      <c r="AC292" s="80"/>
    </row>
    <row r="293" spans="1:68" ht="27" customHeight="1" x14ac:dyDescent="0.25">
      <c r="A293" s="63" t="s">
        <v>504</v>
      </c>
      <c r="B293" s="63" t="s">
        <v>505</v>
      </c>
      <c r="C293" s="36">
        <v>4301060463</v>
      </c>
      <c r="D293" s="715">
        <v>4680115880818</v>
      </c>
      <c r="E293" s="715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87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717"/>
      <c r="R293" s="717"/>
      <c r="S293" s="717"/>
      <c r="T293" s="718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customHeight="1" x14ac:dyDescent="0.25">
      <c r="A294" s="63" t="s">
        <v>507</v>
      </c>
      <c r="B294" s="63" t="s">
        <v>508</v>
      </c>
      <c r="C294" s="36">
        <v>4301060389</v>
      </c>
      <c r="D294" s="715">
        <v>4680115880801</v>
      </c>
      <c r="E294" s="71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8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717"/>
      <c r="R294" s="717"/>
      <c r="S294" s="717"/>
      <c r="T294" s="718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x14ac:dyDescent="0.2">
      <c r="A295" s="723"/>
      <c r="B295" s="723"/>
      <c r="C295" s="723"/>
      <c r="D295" s="723"/>
      <c r="E295" s="723"/>
      <c r="F295" s="723"/>
      <c r="G295" s="723"/>
      <c r="H295" s="723"/>
      <c r="I295" s="723"/>
      <c r="J295" s="723"/>
      <c r="K295" s="723"/>
      <c r="L295" s="723"/>
      <c r="M295" s="723"/>
      <c r="N295" s="723"/>
      <c r="O295" s="724"/>
      <c r="P295" s="720" t="s">
        <v>40</v>
      </c>
      <c r="Q295" s="721"/>
      <c r="R295" s="721"/>
      <c r="S295" s="721"/>
      <c r="T295" s="721"/>
      <c r="U295" s="721"/>
      <c r="V295" s="722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x14ac:dyDescent="0.2">
      <c r="A296" s="723"/>
      <c r="B296" s="723"/>
      <c r="C296" s="723"/>
      <c r="D296" s="723"/>
      <c r="E296" s="723"/>
      <c r="F296" s="723"/>
      <c r="G296" s="723"/>
      <c r="H296" s="723"/>
      <c r="I296" s="723"/>
      <c r="J296" s="723"/>
      <c r="K296" s="723"/>
      <c r="L296" s="723"/>
      <c r="M296" s="723"/>
      <c r="N296" s="723"/>
      <c r="O296" s="724"/>
      <c r="P296" s="720" t="s">
        <v>40</v>
      </c>
      <c r="Q296" s="721"/>
      <c r="R296" s="721"/>
      <c r="S296" s="721"/>
      <c r="T296" s="721"/>
      <c r="U296" s="721"/>
      <c r="V296" s="722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customHeight="1" x14ac:dyDescent="0.25">
      <c r="A297" s="713" t="s">
        <v>510</v>
      </c>
      <c r="B297" s="713"/>
      <c r="C297" s="713"/>
      <c r="D297" s="713"/>
      <c r="E297" s="713"/>
      <c r="F297" s="713"/>
      <c r="G297" s="713"/>
      <c r="H297" s="713"/>
      <c r="I297" s="713"/>
      <c r="J297" s="713"/>
      <c r="K297" s="713"/>
      <c r="L297" s="713"/>
      <c r="M297" s="713"/>
      <c r="N297" s="713"/>
      <c r="O297" s="713"/>
      <c r="P297" s="713"/>
      <c r="Q297" s="713"/>
      <c r="R297" s="713"/>
      <c r="S297" s="713"/>
      <c r="T297" s="713"/>
      <c r="U297" s="713"/>
      <c r="V297" s="713"/>
      <c r="W297" s="713"/>
      <c r="X297" s="713"/>
      <c r="Y297" s="713"/>
      <c r="Z297" s="713"/>
      <c r="AA297" s="65"/>
      <c r="AB297" s="65"/>
      <c r="AC297" s="79"/>
    </row>
    <row r="298" spans="1:68" ht="14.25" customHeight="1" x14ac:dyDescent="0.25">
      <c r="A298" s="714" t="s">
        <v>122</v>
      </c>
      <c r="B298" s="714"/>
      <c r="C298" s="714"/>
      <c r="D298" s="714"/>
      <c r="E298" s="714"/>
      <c r="F298" s="714"/>
      <c r="G298" s="714"/>
      <c r="H298" s="714"/>
      <c r="I298" s="714"/>
      <c r="J298" s="714"/>
      <c r="K298" s="714"/>
      <c r="L298" s="714"/>
      <c r="M298" s="714"/>
      <c r="N298" s="714"/>
      <c r="O298" s="714"/>
      <c r="P298" s="714"/>
      <c r="Q298" s="714"/>
      <c r="R298" s="714"/>
      <c r="S298" s="714"/>
      <c r="T298" s="714"/>
      <c r="U298" s="714"/>
      <c r="V298" s="714"/>
      <c r="W298" s="714"/>
      <c r="X298" s="714"/>
      <c r="Y298" s="714"/>
      <c r="Z298" s="714"/>
      <c r="AA298" s="66"/>
      <c r="AB298" s="66"/>
      <c r="AC298" s="80"/>
    </row>
    <row r="299" spans="1:68" ht="27" customHeight="1" x14ac:dyDescent="0.25">
      <c r="A299" s="63" t="s">
        <v>511</v>
      </c>
      <c r="B299" s="63" t="s">
        <v>512</v>
      </c>
      <c r="C299" s="36">
        <v>4301011826</v>
      </c>
      <c r="D299" s="715">
        <v>4680115884137</v>
      </c>
      <c r="E299" s="71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8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717"/>
      <c r="R299" s="717"/>
      <c r="S299" s="717"/>
      <c r="T299" s="71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customHeight="1" x14ac:dyDescent="0.25">
      <c r="A300" s="63" t="s">
        <v>514</v>
      </c>
      <c r="B300" s="63" t="s">
        <v>515</v>
      </c>
      <c r="C300" s="36">
        <v>4301011724</v>
      </c>
      <c r="D300" s="715">
        <v>4680115884236</v>
      </c>
      <c r="E300" s="715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87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717"/>
      <c r="R300" s="717"/>
      <c r="S300" s="717"/>
      <c r="T300" s="718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customHeight="1" x14ac:dyDescent="0.25">
      <c r="A301" s="63" t="s">
        <v>517</v>
      </c>
      <c r="B301" s="63" t="s">
        <v>518</v>
      </c>
      <c r="C301" s="36">
        <v>4301011721</v>
      </c>
      <c r="D301" s="715">
        <v>4680115884175</v>
      </c>
      <c r="E301" s="715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87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717"/>
      <c r="R301" s="717"/>
      <c r="S301" s="717"/>
      <c r="T301" s="71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4301011824</v>
      </c>
      <c r="D302" s="715">
        <v>4680115884144</v>
      </c>
      <c r="E302" s="715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88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717"/>
      <c r="R302" s="717"/>
      <c r="S302" s="717"/>
      <c r="T302" s="718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customHeight="1" x14ac:dyDescent="0.25">
      <c r="A303" s="63" t="s">
        <v>521</v>
      </c>
      <c r="B303" s="63" t="s">
        <v>522</v>
      </c>
      <c r="C303" s="36">
        <v>4301012149</v>
      </c>
      <c r="D303" s="715">
        <v>4680115886551</v>
      </c>
      <c r="E303" s="71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8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717"/>
      <c r="R303" s="717"/>
      <c r="S303" s="717"/>
      <c r="T303" s="71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customHeight="1" x14ac:dyDescent="0.25">
      <c r="A304" s="63" t="s">
        <v>524</v>
      </c>
      <c r="B304" s="63" t="s">
        <v>525</v>
      </c>
      <c r="C304" s="36">
        <v>4301012228</v>
      </c>
      <c r="D304" s="715">
        <v>4680115887282</v>
      </c>
      <c r="E304" s="715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8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717"/>
      <c r="R304" s="717"/>
      <c r="S304" s="717"/>
      <c r="T304" s="71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customHeight="1" x14ac:dyDescent="0.25">
      <c r="A305" s="63" t="s">
        <v>527</v>
      </c>
      <c r="B305" s="63" t="s">
        <v>528</v>
      </c>
      <c r="C305" s="36">
        <v>4301011722</v>
      </c>
      <c r="D305" s="715">
        <v>4680115884205</v>
      </c>
      <c r="E305" s="715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8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717"/>
      <c r="R305" s="717"/>
      <c r="S305" s="717"/>
      <c r="T305" s="71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x14ac:dyDescent="0.2">
      <c r="A306" s="723"/>
      <c r="B306" s="723"/>
      <c r="C306" s="723"/>
      <c r="D306" s="723"/>
      <c r="E306" s="723"/>
      <c r="F306" s="723"/>
      <c r="G306" s="723"/>
      <c r="H306" s="723"/>
      <c r="I306" s="723"/>
      <c r="J306" s="723"/>
      <c r="K306" s="723"/>
      <c r="L306" s="723"/>
      <c r="M306" s="723"/>
      <c r="N306" s="723"/>
      <c r="O306" s="724"/>
      <c r="P306" s="720" t="s">
        <v>40</v>
      </c>
      <c r="Q306" s="721"/>
      <c r="R306" s="721"/>
      <c r="S306" s="721"/>
      <c r="T306" s="721"/>
      <c r="U306" s="721"/>
      <c r="V306" s="722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x14ac:dyDescent="0.2">
      <c r="A307" s="723"/>
      <c r="B307" s="723"/>
      <c r="C307" s="723"/>
      <c r="D307" s="723"/>
      <c r="E307" s="723"/>
      <c r="F307" s="723"/>
      <c r="G307" s="723"/>
      <c r="H307" s="723"/>
      <c r="I307" s="723"/>
      <c r="J307" s="723"/>
      <c r="K307" s="723"/>
      <c r="L307" s="723"/>
      <c r="M307" s="723"/>
      <c r="N307" s="723"/>
      <c r="O307" s="724"/>
      <c r="P307" s="720" t="s">
        <v>40</v>
      </c>
      <c r="Q307" s="721"/>
      <c r="R307" s="721"/>
      <c r="S307" s="721"/>
      <c r="T307" s="721"/>
      <c r="U307" s="721"/>
      <c r="V307" s="722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customHeight="1" x14ac:dyDescent="0.25">
      <c r="A308" s="714" t="s">
        <v>158</v>
      </c>
      <c r="B308" s="714"/>
      <c r="C308" s="714"/>
      <c r="D308" s="714"/>
      <c r="E308" s="714"/>
      <c r="F308" s="714"/>
      <c r="G308" s="714"/>
      <c r="H308" s="714"/>
      <c r="I308" s="714"/>
      <c r="J308" s="714"/>
      <c r="K308" s="714"/>
      <c r="L308" s="714"/>
      <c r="M308" s="714"/>
      <c r="N308" s="714"/>
      <c r="O308" s="714"/>
      <c r="P308" s="714"/>
      <c r="Q308" s="714"/>
      <c r="R308" s="714"/>
      <c r="S308" s="714"/>
      <c r="T308" s="714"/>
      <c r="U308" s="714"/>
      <c r="V308" s="714"/>
      <c r="W308" s="714"/>
      <c r="X308" s="714"/>
      <c r="Y308" s="714"/>
      <c r="Z308" s="714"/>
      <c r="AA308" s="66"/>
      <c r="AB308" s="66"/>
      <c r="AC308" s="80"/>
    </row>
    <row r="309" spans="1:68" ht="27" customHeight="1" x14ac:dyDescent="0.25">
      <c r="A309" s="63" t="s">
        <v>529</v>
      </c>
      <c r="B309" s="63" t="s">
        <v>530</v>
      </c>
      <c r="C309" s="36">
        <v>4301020377</v>
      </c>
      <c r="D309" s="715">
        <v>4680115885981</v>
      </c>
      <c r="E309" s="715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88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717"/>
      <c r="R309" s="717"/>
      <c r="S309" s="717"/>
      <c r="T309" s="718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x14ac:dyDescent="0.2">
      <c r="A310" s="723"/>
      <c r="B310" s="723"/>
      <c r="C310" s="723"/>
      <c r="D310" s="723"/>
      <c r="E310" s="723"/>
      <c r="F310" s="723"/>
      <c r="G310" s="723"/>
      <c r="H310" s="723"/>
      <c r="I310" s="723"/>
      <c r="J310" s="723"/>
      <c r="K310" s="723"/>
      <c r="L310" s="723"/>
      <c r="M310" s="723"/>
      <c r="N310" s="723"/>
      <c r="O310" s="724"/>
      <c r="P310" s="720" t="s">
        <v>40</v>
      </c>
      <c r="Q310" s="721"/>
      <c r="R310" s="721"/>
      <c r="S310" s="721"/>
      <c r="T310" s="721"/>
      <c r="U310" s="721"/>
      <c r="V310" s="722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x14ac:dyDescent="0.2">
      <c r="A311" s="723"/>
      <c r="B311" s="723"/>
      <c r="C311" s="723"/>
      <c r="D311" s="723"/>
      <c r="E311" s="723"/>
      <c r="F311" s="723"/>
      <c r="G311" s="723"/>
      <c r="H311" s="723"/>
      <c r="I311" s="723"/>
      <c r="J311" s="723"/>
      <c r="K311" s="723"/>
      <c r="L311" s="723"/>
      <c r="M311" s="723"/>
      <c r="N311" s="723"/>
      <c r="O311" s="724"/>
      <c r="P311" s="720" t="s">
        <v>40</v>
      </c>
      <c r="Q311" s="721"/>
      <c r="R311" s="721"/>
      <c r="S311" s="721"/>
      <c r="T311" s="721"/>
      <c r="U311" s="721"/>
      <c r="V311" s="722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customHeight="1" x14ac:dyDescent="0.25">
      <c r="A312" s="714" t="s">
        <v>532</v>
      </c>
      <c r="B312" s="714"/>
      <c r="C312" s="714"/>
      <c r="D312" s="714"/>
      <c r="E312" s="714"/>
      <c r="F312" s="714"/>
      <c r="G312" s="714"/>
      <c r="H312" s="714"/>
      <c r="I312" s="714"/>
      <c r="J312" s="714"/>
      <c r="K312" s="714"/>
      <c r="L312" s="714"/>
      <c r="M312" s="714"/>
      <c r="N312" s="714"/>
      <c r="O312" s="714"/>
      <c r="P312" s="714"/>
      <c r="Q312" s="714"/>
      <c r="R312" s="714"/>
      <c r="S312" s="714"/>
      <c r="T312" s="714"/>
      <c r="U312" s="714"/>
      <c r="V312" s="714"/>
      <c r="W312" s="714"/>
      <c r="X312" s="714"/>
      <c r="Y312" s="714"/>
      <c r="Z312" s="714"/>
      <c r="AA312" s="66"/>
      <c r="AB312" s="66"/>
      <c r="AC312" s="80"/>
    </row>
    <row r="313" spans="1:68" ht="27" customHeight="1" x14ac:dyDescent="0.25">
      <c r="A313" s="63" t="s">
        <v>533</v>
      </c>
      <c r="B313" s="63" t="s">
        <v>534</v>
      </c>
      <c r="C313" s="36">
        <v>4301040362</v>
      </c>
      <c r="D313" s="715">
        <v>4680115886803</v>
      </c>
      <c r="E313" s="715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88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717"/>
      <c r="R313" s="717"/>
      <c r="S313" s="717"/>
      <c r="T313" s="718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x14ac:dyDescent="0.2">
      <c r="A314" s="723"/>
      <c r="B314" s="723"/>
      <c r="C314" s="723"/>
      <c r="D314" s="723"/>
      <c r="E314" s="723"/>
      <c r="F314" s="723"/>
      <c r="G314" s="723"/>
      <c r="H314" s="723"/>
      <c r="I314" s="723"/>
      <c r="J314" s="723"/>
      <c r="K314" s="723"/>
      <c r="L314" s="723"/>
      <c r="M314" s="723"/>
      <c r="N314" s="723"/>
      <c r="O314" s="724"/>
      <c r="P314" s="720" t="s">
        <v>40</v>
      </c>
      <c r="Q314" s="721"/>
      <c r="R314" s="721"/>
      <c r="S314" s="721"/>
      <c r="T314" s="721"/>
      <c r="U314" s="721"/>
      <c r="V314" s="722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x14ac:dyDescent="0.2">
      <c r="A315" s="723"/>
      <c r="B315" s="723"/>
      <c r="C315" s="723"/>
      <c r="D315" s="723"/>
      <c r="E315" s="723"/>
      <c r="F315" s="723"/>
      <c r="G315" s="723"/>
      <c r="H315" s="723"/>
      <c r="I315" s="723"/>
      <c r="J315" s="723"/>
      <c r="K315" s="723"/>
      <c r="L315" s="723"/>
      <c r="M315" s="723"/>
      <c r="N315" s="723"/>
      <c r="O315" s="724"/>
      <c r="P315" s="720" t="s">
        <v>40</v>
      </c>
      <c r="Q315" s="721"/>
      <c r="R315" s="721"/>
      <c r="S315" s="721"/>
      <c r="T315" s="721"/>
      <c r="U315" s="721"/>
      <c r="V315" s="722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customHeight="1" x14ac:dyDescent="0.25">
      <c r="A316" s="714" t="s">
        <v>349</v>
      </c>
      <c r="B316" s="714"/>
      <c r="C316" s="714"/>
      <c r="D316" s="714"/>
      <c r="E316" s="714"/>
      <c r="F316" s="714"/>
      <c r="G316" s="714"/>
      <c r="H316" s="714"/>
      <c r="I316" s="714"/>
      <c r="J316" s="714"/>
      <c r="K316" s="714"/>
      <c r="L316" s="714"/>
      <c r="M316" s="714"/>
      <c r="N316" s="714"/>
      <c r="O316" s="714"/>
      <c r="P316" s="714"/>
      <c r="Q316" s="714"/>
      <c r="R316" s="714"/>
      <c r="S316" s="714"/>
      <c r="T316" s="714"/>
      <c r="U316" s="714"/>
      <c r="V316" s="714"/>
      <c r="W316" s="714"/>
      <c r="X316" s="714"/>
      <c r="Y316" s="714"/>
      <c r="Z316" s="714"/>
      <c r="AA316" s="66"/>
      <c r="AB316" s="66"/>
      <c r="AC316" s="80"/>
    </row>
    <row r="317" spans="1:68" ht="27" customHeight="1" x14ac:dyDescent="0.25">
      <c r="A317" s="63" t="s">
        <v>536</v>
      </c>
      <c r="B317" s="63" t="s">
        <v>537</v>
      </c>
      <c r="C317" s="36">
        <v>4301041004</v>
      </c>
      <c r="D317" s="715">
        <v>4680115886704</v>
      </c>
      <c r="E317" s="71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88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717"/>
      <c r="R317" s="717"/>
      <c r="S317" s="717"/>
      <c r="T317" s="71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539</v>
      </c>
      <c r="B318" s="63" t="s">
        <v>540</v>
      </c>
      <c r="C318" s="36">
        <v>4301041008</v>
      </c>
      <c r="D318" s="715">
        <v>4680115886681</v>
      </c>
      <c r="E318" s="71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88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717"/>
      <c r="R318" s="717"/>
      <c r="S318" s="717"/>
      <c r="T318" s="71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541</v>
      </c>
      <c r="B319" s="63" t="s">
        <v>542</v>
      </c>
      <c r="C319" s="36">
        <v>4301041007</v>
      </c>
      <c r="D319" s="715">
        <v>4680115886735</v>
      </c>
      <c r="E319" s="715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8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717"/>
      <c r="R319" s="717"/>
      <c r="S319" s="717"/>
      <c r="T319" s="718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x14ac:dyDescent="0.2">
      <c r="A320" s="723"/>
      <c r="B320" s="723"/>
      <c r="C320" s="723"/>
      <c r="D320" s="723"/>
      <c r="E320" s="723"/>
      <c r="F320" s="723"/>
      <c r="G320" s="723"/>
      <c r="H320" s="723"/>
      <c r="I320" s="723"/>
      <c r="J320" s="723"/>
      <c r="K320" s="723"/>
      <c r="L320" s="723"/>
      <c r="M320" s="723"/>
      <c r="N320" s="723"/>
      <c r="O320" s="724"/>
      <c r="P320" s="720" t="s">
        <v>40</v>
      </c>
      <c r="Q320" s="721"/>
      <c r="R320" s="721"/>
      <c r="S320" s="721"/>
      <c r="T320" s="721"/>
      <c r="U320" s="721"/>
      <c r="V320" s="722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x14ac:dyDescent="0.2">
      <c r="A321" s="723"/>
      <c r="B321" s="723"/>
      <c r="C321" s="723"/>
      <c r="D321" s="723"/>
      <c r="E321" s="723"/>
      <c r="F321" s="723"/>
      <c r="G321" s="723"/>
      <c r="H321" s="723"/>
      <c r="I321" s="723"/>
      <c r="J321" s="723"/>
      <c r="K321" s="723"/>
      <c r="L321" s="723"/>
      <c r="M321" s="723"/>
      <c r="N321" s="723"/>
      <c r="O321" s="724"/>
      <c r="P321" s="720" t="s">
        <v>40</v>
      </c>
      <c r="Q321" s="721"/>
      <c r="R321" s="721"/>
      <c r="S321" s="721"/>
      <c r="T321" s="721"/>
      <c r="U321" s="721"/>
      <c r="V321" s="722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customHeight="1" x14ac:dyDescent="0.25">
      <c r="A322" s="713" t="s">
        <v>543</v>
      </c>
      <c r="B322" s="713"/>
      <c r="C322" s="713"/>
      <c r="D322" s="713"/>
      <c r="E322" s="713"/>
      <c r="F322" s="713"/>
      <c r="G322" s="713"/>
      <c r="H322" s="713"/>
      <c r="I322" s="713"/>
      <c r="J322" s="713"/>
      <c r="K322" s="713"/>
      <c r="L322" s="713"/>
      <c r="M322" s="713"/>
      <c r="N322" s="713"/>
      <c r="O322" s="713"/>
      <c r="P322" s="713"/>
      <c r="Q322" s="713"/>
      <c r="R322" s="713"/>
      <c r="S322" s="713"/>
      <c r="T322" s="713"/>
      <c r="U322" s="713"/>
      <c r="V322" s="713"/>
      <c r="W322" s="713"/>
      <c r="X322" s="713"/>
      <c r="Y322" s="713"/>
      <c r="Z322" s="713"/>
      <c r="AA322" s="65"/>
      <c r="AB322" s="65"/>
      <c r="AC322" s="79"/>
    </row>
    <row r="323" spans="1:68" ht="14.25" customHeight="1" x14ac:dyDescent="0.25">
      <c r="A323" s="714" t="s">
        <v>122</v>
      </c>
      <c r="B323" s="714"/>
      <c r="C323" s="714"/>
      <c r="D323" s="714"/>
      <c r="E323" s="714"/>
      <c r="F323" s="714"/>
      <c r="G323" s="714"/>
      <c r="H323" s="714"/>
      <c r="I323" s="714"/>
      <c r="J323" s="714"/>
      <c r="K323" s="714"/>
      <c r="L323" s="714"/>
      <c r="M323" s="714"/>
      <c r="N323" s="714"/>
      <c r="O323" s="714"/>
      <c r="P323" s="714"/>
      <c r="Q323" s="714"/>
      <c r="R323" s="714"/>
      <c r="S323" s="714"/>
      <c r="T323" s="714"/>
      <c r="U323" s="714"/>
      <c r="V323" s="714"/>
      <c r="W323" s="714"/>
      <c r="X323" s="714"/>
      <c r="Y323" s="714"/>
      <c r="Z323" s="714"/>
      <c r="AA323" s="66"/>
      <c r="AB323" s="66"/>
      <c r="AC323" s="80"/>
    </row>
    <row r="324" spans="1:68" ht="27" customHeight="1" x14ac:dyDescent="0.25">
      <c r="A324" s="63" t="s">
        <v>544</v>
      </c>
      <c r="B324" s="63" t="s">
        <v>545</v>
      </c>
      <c r="C324" s="36">
        <v>4301011855</v>
      </c>
      <c r="D324" s="715">
        <v>4680115885837</v>
      </c>
      <c r="E324" s="71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8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717"/>
      <c r="R324" s="717"/>
      <c r="S324" s="717"/>
      <c r="T324" s="71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customHeight="1" x14ac:dyDescent="0.25">
      <c r="A325" s="63" t="s">
        <v>547</v>
      </c>
      <c r="B325" s="63" t="s">
        <v>548</v>
      </c>
      <c r="C325" s="36">
        <v>4301012234</v>
      </c>
      <c r="D325" s="715">
        <v>4680115887237</v>
      </c>
      <c r="E325" s="71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89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717"/>
      <c r="R325" s="717"/>
      <c r="S325" s="717"/>
      <c r="T325" s="718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550</v>
      </c>
      <c r="B326" s="63" t="s">
        <v>551</v>
      </c>
      <c r="C326" s="36">
        <v>4301011850</v>
      </c>
      <c r="D326" s="715">
        <v>4680115885806</v>
      </c>
      <c r="E326" s="71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89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717"/>
      <c r="R326" s="717"/>
      <c r="S326" s="717"/>
      <c r="T326" s="718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553</v>
      </c>
      <c r="B327" s="63" t="s">
        <v>554</v>
      </c>
      <c r="C327" s="36">
        <v>4301011852</v>
      </c>
      <c r="D327" s="715">
        <v>4680115885844</v>
      </c>
      <c r="E327" s="715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89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717"/>
      <c r="R327" s="717"/>
      <c r="S327" s="717"/>
      <c r="T327" s="718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customHeight="1" x14ac:dyDescent="0.25">
      <c r="A328" s="63" t="s">
        <v>556</v>
      </c>
      <c r="B328" s="63" t="s">
        <v>557</v>
      </c>
      <c r="C328" s="36">
        <v>4301011851</v>
      </c>
      <c r="D328" s="715">
        <v>4680115885820</v>
      </c>
      <c r="E328" s="71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89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717"/>
      <c r="R328" s="717"/>
      <c r="S328" s="717"/>
      <c r="T328" s="718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x14ac:dyDescent="0.2">
      <c r="A329" s="723"/>
      <c r="B329" s="723"/>
      <c r="C329" s="723"/>
      <c r="D329" s="723"/>
      <c r="E329" s="723"/>
      <c r="F329" s="723"/>
      <c r="G329" s="723"/>
      <c r="H329" s="723"/>
      <c r="I329" s="723"/>
      <c r="J329" s="723"/>
      <c r="K329" s="723"/>
      <c r="L329" s="723"/>
      <c r="M329" s="723"/>
      <c r="N329" s="723"/>
      <c r="O329" s="724"/>
      <c r="P329" s="720" t="s">
        <v>40</v>
      </c>
      <c r="Q329" s="721"/>
      <c r="R329" s="721"/>
      <c r="S329" s="721"/>
      <c r="T329" s="721"/>
      <c r="U329" s="721"/>
      <c r="V329" s="722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x14ac:dyDescent="0.2">
      <c r="A330" s="723"/>
      <c r="B330" s="723"/>
      <c r="C330" s="723"/>
      <c r="D330" s="723"/>
      <c r="E330" s="723"/>
      <c r="F330" s="723"/>
      <c r="G330" s="723"/>
      <c r="H330" s="723"/>
      <c r="I330" s="723"/>
      <c r="J330" s="723"/>
      <c r="K330" s="723"/>
      <c r="L330" s="723"/>
      <c r="M330" s="723"/>
      <c r="N330" s="723"/>
      <c r="O330" s="724"/>
      <c r="P330" s="720" t="s">
        <v>40</v>
      </c>
      <c r="Q330" s="721"/>
      <c r="R330" s="721"/>
      <c r="S330" s="721"/>
      <c r="T330" s="721"/>
      <c r="U330" s="721"/>
      <c r="V330" s="722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customHeight="1" x14ac:dyDescent="0.25">
      <c r="A331" s="713" t="s">
        <v>559</v>
      </c>
      <c r="B331" s="713"/>
      <c r="C331" s="713"/>
      <c r="D331" s="713"/>
      <c r="E331" s="713"/>
      <c r="F331" s="713"/>
      <c r="G331" s="713"/>
      <c r="H331" s="713"/>
      <c r="I331" s="713"/>
      <c r="J331" s="713"/>
      <c r="K331" s="713"/>
      <c r="L331" s="713"/>
      <c r="M331" s="713"/>
      <c r="N331" s="713"/>
      <c r="O331" s="713"/>
      <c r="P331" s="713"/>
      <c r="Q331" s="713"/>
      <c r="R331" s="713"/>
      <c r="S331" s="713"/>
      <c r="T331" s="713"/>
      <c r="U331" s="713"/>
      <c r="V331" s="713"/>
      <c r="W331" s="713"/>
      <c r="X331" s="713"/>
      <c r="Y331" s="713"/>
      <c r="Z331" s="713"/>
      <c r="AA331" s="65"/>
      <c r="AB331" s="65"/>
      <c r="AC331" s="79"/>
    </row>
    <row r="332" spans="1:68" ht="14.25" customHeight="1" x14ac:dyDescent="0.25">
      <c r="A332" s="714" t="s">
        <v>86</v>
      </c>
      <c r="B332" s="714"/>
      <c r="C332" s="714"/>
      <c r="D332" s="714"/>
      <c r="E332" s="714"/>
      <c r="F332" s="714"/>
      <c r="G332" s="714"/>
      <c r="H332" s="714"/>
      <c r="I332" s="714"/>
      <c r="J332" s="714"/>
      <c r="K332" s="714"/>
      <c r="L332" s="714"/>
      <c r="M332" s="714"/>
      <c r="N332" s="714"/>
      <c r="O332" s="714"/>
      <c r="P332" s="714"/>
      <c r="Q332" s="714"/>
      <c r="R332" s="714"/>
      <c r="S332" s="714"/>
      <c r="T332" s="714"/>
      <c r="U332" s="714"/>
      <c r="V332" s="714"/>
      <c r="W332" s="714"/>
      <c r="X332" s="714"/>
      <c r="Y332" s="714"/>
      <c r="Z332" s="714"/>
      <c r="AA332" s="66"/>
      <c r="AB332" s="66"/>
      <c r="AC332" s="80"/>
    </row>
    <row r="333" spans="1:68" ht="27" customHeight="1" x14ac:dyDescent="0.25">
      <c r="A333" s="63" t="s">
        <v>560</v>
      </c>
      <c r="B333" s="63" t="s">
        <v>561</v>
      </c>
      <c r="C333" s="36">
        <v>4301051893</v>
      </c>
      <c r="D333" s="715">
        <v>4680115886186</v>
      </c>
      <c r="E333" s="715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717"/>
      <c r="R333" s="717"/>
      <c r="S333" s="717"/>
      <c r="T333" s="71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563</v>
      </c>
      <c r="B334" s="63" t="s">
        <v>564</v>
      </c>
      <c r="C334" s="36">
        <v>4301051795</v>
      </c>
      <c r="D334" s="715">
        <v>4680115881228</v>
      </c>
      <c r="E334" s="715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8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717"/>
      <c r="R334" s="717"/>
      <c r="S334" s="717"/>
      <c r="T334" s="718"/>
      <c r="U334" s="39" t="s">
        <v>46</v>
      </c>
      <c r="V334" s="39" t="s">
        <v>46</v>
      </c>
      <c r="W334" s="40" t="s">
        <v>0</v>
      </c>
      <c r="X334" s="58">
        <v>16</v>
      </c>
      <c r="Y334" s="55">
        <f>IFERROR(IF(X334="",0,CEILING((X334/$H334),1)*$H334),"")</f>
        <v>16.8</v>
      </c>
      <c r="Z334" s="41">
        <f>IFERROR(IF(Y334=0,"",ROUNDUP(Y334/H334,0)*0.00651),"")</f>
        <v>4.5569999999999999E-2</v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17.680000000000003</v>
      </c>
      <c r="BN334" s="78">
        <f>IFERROR(Y334*I334/H334,"0")</f>
        <v>18.564000000000004</v>
      </c>
      <c r="BO334" s="78">
        <f>IFERROR(1/J334*(X334/H334),"0")</f>
        <v>3.6630036630036632E-2</v>
      </c>
      <c r="BP334" s="78">
        <f>IFERROR(1/J334*(Y334/H334),"0")</f>
        <v>3.8461538461538471E-2</v>
      </c>
    </row>
    <row r="335" spans="1:68" ht="27" customHeight="1" x14ac:dyDescent="0.25">
      <c r="A335" s="63" t="s">
        <v>566</v>
      </c>
      <c r="B335" s="63" t="s">
        <v>567</v>
      </c>
      <c r="C335" s="36">
        <v>4301051388</v>
      </c>
      <c r="D335" s="715">
        <v>4680115881211</v>
      </c>
      <c r="E335" s="715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9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717"/>
      <c r="R335" s="717"/>
      <c r="S335" s="717"/>
      <c r="T335" s="718"/>
      <c r="U335" s="39" t="s">
        <v>46</v>
      </c>
      <c r="V335" s="39" t="s">
        <v>46</v>
      </c>
      <c r="W335" s="40" t="s">
        <v>0</v>
      </c>
      <c r="X335" s="58">
        <v>6</v>
      </c>
      <c r="Y335" s="55">
        <f>IFERROR(IF(X335="",0,CEILING((X335/$H335),1)*$H335),"")</f>
        <v>7.1999999999999993</v>
      </c>
      <c r="Z335" s="41">
        <f>IFERROR(IF(Y335=0,"",ROUNDUP(Y335/H335,0)*0.00651),"")</f>
        <v>1.9529999999999999E-2</v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6.45</v>
      </c>
      <c r="BN335" s="78">
        <f>IFERROR(Y335*I335/H335,"0")</f>
        <v>7.7399999999999993</v>
      </c>
      <c r="BO335" s="78">
        <f>IFERROR(1/J335*(X335/H335),"0")</f>
        <v>1.3736263736263738E-2</v>
      </c>
      <c r="BP335" s="78">
        <f>IFERROR(1/J335*(Y335/H335),"0")</f>
        <v>1.6483516483516484E-2</v>
      </c>
    </row>
    <row r="336" spans="1:68" x14ac:dyDescent="0.2">
      <c r="A336" s="723"/>
      <c r="B336" s="723"/>
      <c r="C336" s="723"/>
      <c r="D336" s="723"/>
      <c r="E336" s="723"/>
      <c r="F336" s="723"/>
      <c r="G336" s="723"/>
      <c r="H336" s="723"/>
      <c r="I336" s="723"/>
      <c r="J336" s="723"/>
      <c r="K336" s="723"/>
      <c r="L336" s="723"/>
      <c r="M336" s="723"/>
      <c r="N336" s="723"/>
      <c r="O336" s="724"/>
      <c r="P336" s="720" t="s">
        <v>40</v>
      </c>
      <c r="Q336" s="721"/>
      <c r="R336" s="721"/>
      <c r="S336" s="721"/>
      <c r="T336" s="721"/>
      <c r="U336" s="721"/>
      <c r="V336" s="722"/>
      <c r="W336" s="42" t="s">
        <v>39</v>
      </c>
      <c r="X336" s="43">
        <f>IFERROR(X333/H333,"0")+IFERROR(X334/H334,"0")+IFERROR(X335/H335,"0")</f>
        <v>9.1666666666666679</v>
      </c>
      <c r="Y336" s="43">
        <f>IFERROR(Y333/H333,"0")+IFERROR(Y334/H334,"0")+IFERROR(Y335/H335,"0")</f>
        <v>10</v>
      </c>
      <c r="Z336" s="43">
        <f>IFERROR(IF(Z333="",0,Z333),"0")+IFERROR(IF(Z334="",0,Z334),"0")+IFERROR(IF(Z335="",0,Z335),"0")</f>
        <v>6.5099999999999991E-2</v>
      </c>
      <c r="AA336" s="67"/>
      <c r="AB336" s="67"/>
      <c r="AC336" s="67"/>
    </row>
    <row r="337" spans="1:68" x14ac:dyDescent="0.2">
      <c r="A337" s="723"/>
      <c r="B337" s="723"/>
      <c r="C337" s="723"/>
      <c r="D337" s="723"/>
      <c r="E337" s="723"/>
      <c r="F337" s="723"/>
      <c r="G337" s="723"/>
      <c r="H337" s="723"/>
      <c r="I337" s="723"/>
      <c r="J337" s="723"/>
      <c r="K337" s="723"/>
      <c r="L337" s="723"/>
      <c r="M337" s="723"/>
      <c r="N337" s="723"/>
      <c r="O337" s="724"/>
      <c r="P337" s="720" t="s">
        <v>40</v>
      </c>
      <c r="Q337" s="721"/>
      <c r="R337" s="721"/>
      <c r="S337" s="721"/>
      <c r="T337" s="721"/>
      <c r="U337" s="721"/>
      <c r="V337" s="722"/>
      <c r="W337" s="42" t="s">
        <v>0</v>
      </c>
      <c r="X337" s="43">
        <f>IFERROR(SUM(X333:X335),"0")</f>
        <v>22</v>
      </c>
      <c r="Y337" s="43">
        <f>IFERROR(SUM(Y333:Y335),"0")</f>
        <v>24</v>
      </c>
      <c r="Z337" s="42"/>
      <c r="AA337" s="67"/>
      <c r="AB337" s="67"/>
      <c r="AC337" s="67"/>
    </row>
    <row r="338" spans="1:68" ht="16.5" customHeight="1" x14ac:dyDescent="0.25">
      <c r="A338" s="713" t="s">
        <v>568</v>
      </c>
      <c r="B338" s="713"/>
      <c r="C338" s="713"/>
      <c r="D338" s="713"/>
      <c r="E338" s="713"/>
      <c r="F338" s="713"/>
      <c r="G338" s="713"/>
      <c r="H338" s="713"/>
      <c r="I338" s="713"/>
      <c r="J338" s="713"/>
      <c r="K338" s="713"/>
      <c r="L338" s="713"/>
      <c r="M338" s="713"/>
      <c r="N338" s="713"/>
      <c r="O338" s="713"/>
      <c r="P338" s="713"/>
      <c r="Q338" s="713"/>
      <c r="R338" s="713"/>
      <c r="S338" s="713"/>
      <c r="T338" s="713"/>
      <c r="U338" s="713"/>
      <c r="V338" s="713"/>
      <c r="W338" s="713"/>
      <c r="X338" s="713"/>
      <c r="Y338" s="713"/>
      <c r="Z338" s="713"/>
      <c r="AA338" s="65"/>
      <c r="AB338" s="65"/>
      <c r="AC338" s="79"/>
    </row>
    <row r="339" spans="1:68" ht="14.25" customHeight="1" x14ac:dyDescent="0.25">
      <c r="A339" s="714" t="s">
        <v>77</v>
      </c>
      <c r="B339" s="714"/>
      <c r="C339" s="714"/>
      <c r="D339" s="714"/>
      <c r="E339" s="714"/>
      <c r="F339" s="714"/>
      <c r="G339" s="714"/>
      <c r="H339" s="714"/>
      <c r="I339" s="714"/>
      <c r="J339" s="714"/>
      <c r="K339" s="714"/>
      <c r="L339" s="714"/>
      <c r="M339" s="714"/>
      <c r="N339" s="714"/>
      <c r="O339" s="714"/>
      <c r="P339" s="714"/>
      <c r="Q339" s="714"/>
      <c r="R339" s="714"/>
      <c r="S339" s="714"/>
      <c r="T339" s="714"/>
      <c r="U339" s="714"/>
      <c r="V339" s="714"/>
      <c r="W339" s="714"/>
      <c r="X339" s="714"/>
      <c r="Y339" s="714"/>
      <c r="Z339" s="714"/>
      <c r="AA339" s="66"/>
      <c r="AB339" s="66"/>
      <c r="AC339" s="80"/>
    </row>
    <row r="340" spans="1:68" ht="27" customHeight="1" x14ac:dyDescent="0.25">
      <c r="A340" s="63" t="s">
        <v>569</v>
      </c>
      <c r="B340" s="63" t="s">
        <v>570</v>
      </c>
      <c r="C340" s="36">
        <v>4301031445</v>
      </c>
      <c r="D340" s="715">
        <v>4680115888319</v>
      </c>
      <c r="E340" s="715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89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717"/>
      <c r="R340" s="717"/>
      <c r="S340" s="717"/>
      <c r="T340" s="71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571</v>
      </c>
      <c r="B341" s="63" t="s">
        <v>572</v>
      </c>
      <c r="C341" s="36">
        <v>4301031502</v>
      </c>
      <c r="D341" s="715">
        <v>4680115884700</v>
      </c>
      <c r="E341" s="715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89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717"/>
      <c r="R341" s="717"/>
      <c r="S341" s="717"/>
      <c r="T341" s="71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574</v>
      </c>
      <c r="B342" s="63" t="s">
        <v>575</v>
      </c>
      <c r="C342" s="36">
        <v>4301031307</v>
      </c>
      <c r="D342" s="715">
        <v>4680115880344</v>
      </c>
      <c r="E342" s="715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8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717"/>
      <c r="R342" s="717"/>
      <c r="S342" s="717"/>
      <c r="T342" s="71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577</v>
      </c>
      <c r="B343" s="63" t="s">
        <v>578</v>
      </c>
      <c r="C343" s="36">
        <v>4301031501</v>
      </c>
      <c r="D343" s="715">
        <v>4680115886919</v>
      </c>
      <c r="E343" s="715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90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717"/>
      <c r="R343" s="717"/>
      <c r="S343" s="717"/>
      <c r="T343" s="71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580</v>
      </c>
      <c r="B344" s="63" t="s">
        <v>581</v>
      </c>
      <c r="C344" s="36">
        <v>4301031246</v>
      </c>
      <c r="D344" s="715">
        <v>4680115883970</v>
      </c>
      <c r="E344" s="715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90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717"/>
      <c r="R344" s="717"/>
      <c r="S344" s="717"/>
      <c r="T344" s="71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723"/>
      <c r="B345" s="723"/>
      <c r="C345" s="723"/>
      <c r="D345" s="723"/>
      <c r="E345" s="723"/>
      <c r="F345" s="723"/>
      <c r="G345" s="723"/>
      <c r="H345" s="723"/>
      <c r="I345" s="723"/>
      <c r="J345" s="723"/>
      <c r="K345" s="723"/>
      <c r="L345" s="723"/>
      <c r="M345" s="723"/>
      <c r="N345" s="723"/>
      <c r="O345" s="724"/>
      <c r="P345" s="720" t="s">
        <v>40</v>
      </c>
      <c r="Q345" s="721"/>
      <c r="R345" s="721"/>
      <c r="S345" s="721"/>
      <c r="T345" s="721"/>
      <c r="U345" s="721"/>
      <c r="V345" s="722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x14ac:dyDescent="0.2">
      <c r="A346" s="723"/>
      <c r="B346" s="723"/>
      <c r="C346" s="723"/>
      <c r="D346" s="723"/>
      <c r="E346" s="723"/>
      <c r="F346" s="723"/>
      <c r="G346" s="723"/>
      <c r="H346" s="723"/>
      <c r="I346" s="723"/>
      <c r="J346" s="723"/>
      <c r="K346" s="723"/>
      <c r="L346" s="723"/>
      <c r="M346" s="723"/>
      <c r="N346" s="723"/>
      <c r="O346" s="724"/>
      <c r="P346" s="720" t="s">
        <v>40</v>
      </c>
      <c r="Q346" s="721"/>
      <c r="R346" s="721"/>
      <c r="S346" s="721"/>
      <c r="T346" s="721"/>
      <c r="U346" s="721"/>
      <c r="V346" s="722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customHeight="1" x14ac:dyDescent="0.25">
      <c r="A347" s="714" t="s">
        <v>86</v>
      </c>
      <c r="B347" s="714"/>
      <c r="C347" s="714"/>
      <c r="D347" s="714"/>
      <c r="E347" s="714"/>
      <c r="F347" s="714"/>
      <c r="G347" s="714"/>
      <c r="H347" s="714"/>
      <c r="I347" s="714"/>
      <c r="J347" s="714"/>
      <c r="K347" s="714"/>
      <c r="L347" s="714"/>
      <c r="M347" s="714"/>
      <c r="N347" s="714"/>
      <c r="O347" s="714"/>
      <c r="P347" s="714"/>
      <c r="Q347" s="714"/>
      <c r="R347" s="714"/>
      <c r="S347" s="714"/>
      <c r="T347" s="714"/>
      <c r="U347" s="714"/>
      <c r="V347" s="714"/>
      <c r="W347" s="714"/>
      <c r="X347" s="714"/>
      <c r="Y347" s="714"/>
      <c r="Z347" s="714"/>
      <c r="AA347" s="66"/>
      <c r="AB347" s="66"/>
      <c r="AC347" s="80"/>
    </row>
    <row r="348" spans="1:68" ht="27" customHeight="1" x14ac:dyDescent="0.25">
      <c r="A348" s="63" t="s">
        <v>583</v>
      </c>
      <c r="B348" s="63" t="s">
        <v>584</v>
      </c>
      <c r="C348" s="36">
        <v>4301051782</v>
      </c>
      <c r="D348" s="715">
        <v>4680115884618</v>
      </c>
      <c r="E348" s="71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9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717"/>
      <c r="R348" s="717"/>
      <c r="S348" s="717"/>
      <c r="T348" s="71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customHeight="1" x14ac:dyDescent="0.25">
      <c r="A349" s="63" t="s">
        <v>586</v>
      </c>
      <c r="B349" s="63" t="s">
        <v>587</v>
      </c>
      <c r="C349" s="36">
        <v>4301052057</v>
      </c>
      <c r="D349" s="715">
        <v>4680115887114</v>
      </c>
      <c r="E349" s="71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9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717"/>
      <c r="R349" s="717"/>
      <c r="S349" s="717"/>
      <c r="T349" s="71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x14ac:dyDescent="0.2">
      <c r="A350" s="723"/>
      <c r="B350" s="723"/>
      <c r="C350" s="723"/>
      <c r="D350" s="723"/>
      <c r="E350" s="723"/>
      <c r="F350" s="723"/>
      <c r="G350" s="723"/>
      <c r="H350" s="723"/>
      <c r="I350" s="723"/>
      <c r="J350" s="723"/>
      <c r="K350" s="723"/>
      <c r="L350" s="723"/>
      <c r="M350" s="723"/>
      <c r="N350" s="723"/>
      <c r="O350" s="724"/>
      <c r="P350" s="720" t="s">
        <v>40</v>
      </c>
      <c r="Q350" s="721"/>
      <c r="R350" s="721"/>
      <c r="S350" s="721"/>
      <c r="T350" s="721"/>
      <c r="U350" s="721"/>
      <c r="V350" s="722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x14ac:dyDescent="0.2">
      <c r="A351" s="723"/>
      <c r="B351" s="723"/>
      <c r="C351" s="723"/>
      <c r="D351" s="723"/>
      <c r="E351" s="723"/>
      <c r="F351" s="723"/>
      <c r="G351" s="723"/>
      <c r="H351" s="723"/>
      <c r="I351" s="723"/>
      <c r="J351" s="723"/>
      <c r="K351" s="723"/>
      <c r="L351" s="723"/>
      <c r="M351" s="723"/>
      <c r="N351" s="723"/>
      <c r="O351" s="724"/>
      <c r="P351" s="720" t="s">
        <v>40</v>
      </c>
      <c r="Q351" s="721"/>
      <c r="R351" s="721"/>
      <c r="S351" s="721"/>
      <c r="T351" s="721"/>
      <c r="U351" s="721"/>
      <c r="V351" s="722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customHeight="1" x14ac:dyDescent="0.25">
      <c r="A352" s="713" t="s">
        <v>589</v>
      </c>
      <c r="B352" s="713"/>
      <c r="C352" s="713"/>
      <c r="D352" s="713"/>
      <c r="E352" s="713"/>
      <c r="F352" s="713"/>
      <c r="G352" s="713"/>
      <c r="H352" s="713"/>
      <c r="I352" s="713"/>
      <c r="J352" s="713"/>
      <c r="K352" s="713"/>
      <c r="L352" s="713"/>
      <c r="M352" s="713"/>
      <c r="N352" s="713"/>
      <c r="O352" s="713"/>
      <c r="P352" s="713"/>
      <c r="Q352" s="713"/>
      <c r="R352" s="713"/>
      <c r="S352" s="713"/>
      <c r="T352" s="713"/>
      <c r="U352" s="713"/>
      <c r="V352" s="713"/>
      <c r="W352" s="713"/>
      <c r="X352" s="713"/>
      <c r="Y352" s="713"/>
      <c r="Z352" s="713"/>
      <c r="AA352" s="65"/>
      <c r="AB352" s="65"/>
      <c r="AC352" s="79"/>
    </row>
    <row r="353" spans="1:68" ht="14.25" customHeight="1" x14ac:dyDescent="0.25">
      <c r="A353" s="714" t="s">
        <v>122</v>
      </c>
      <c r="B353" s="714"/>
      <c r="C353" s="714"/>
      <c r="D353" s="714"/>
      <c r="E353" s="714"/>
      <c r="F353" s="714"/>
      <c r="G353" s="714"/>
      <c r="H353" s="714"/>
      <c r="I353" s="714"/>
      <c r="J353" s="714"/>
      <c r="K353" s="714"/>
      <c r="L353" s="714"/>
      <c r="M353" s="714"/>
      <c r="N353" s="714"/>
      <c r="O353" s="714"/>
      <c r="P353" s="714"/>
      <c r="Q353" s="714"/>
      <c r="R353" s="714"/>
      <c r="S353" s="714"/>
      <c r="T353" s="714"/>
      <c r="U353" s="714"/>
      <c r="V353" s="714"/>
      <c r="W353" s="714"/>
      <c r="X353" s="714"/>
      <c r="Y353" s="714"/>
      <c r="Z353" s="714"/>
      <c r="AA353" s="66"/>
      <c r="AB353" s="66"/>
      <c r="AC353" s="80"/>
    </row>
    <row r="354" spans="1:68" ht="27" customHeight="1" x14ac:dyDescent="0.25">
      <c r="A354" s="63" t="s">
        <v>590</v>
      </c>
      <c r="B354" s="63" t="s">
        <v>591</v>
      </c>
      <c r="C354" s="36">
        <v>4301012324</v>
      </c>
      <c r="D354" s="715">
        <v>4680115887947</v>
      </c>
      <c r="E354" s="715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717"/>
      <c r="R354" s="717"/>
      <c r="S354" s="717"/>
      <c r="T354" s="71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customHeight="1" x14ac:dyDescent="0.25">
      <c r="A355" s="63" t="s">
        <v>592</v>
      </c>
      <c r="B355" s="63" t="s">
        <v>593</v>
      </c>
      <c r="C355" s="36">
        <v>4301012325</v>
      </c>
      <c r="D355" s="715">
        <v>4680115887978</v>
      </c>
      <c r="E355" s="715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717"/>
      <c r="R355" s="717"/>
      <c r="S355" s="717"/>
      <c r="T355" s="71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customHeight="1" x14ac:dyDescent="0.25">
      <c r="A356" s="63" t="s">
        <v>595</v>
      </c>
      <c r="B356" s="63" t="s">
        <v>596</v>
      </c>
      <c r="C356" s="36">
        <v>4301012327</v>
      </c>
      <c r="D356" s="715">
        <v>4680115887992</v>
      </c>
      <c r="E356" s="715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717"/>
      <c r="R356" s="717"/>
      <c r="S356" s="717"/>
      <c r="T356" s="718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x14ac:dyDescent="0.2">
      <c r="A357" s="723"/>
      <c r="B357" s="723"/>
      <c r="C357" s="723"/>
      <c r="D357" s="723"/>
      <c r="E357" s="723"/>
      <c r="F357" s="723"/>
      <c r="G357" s="723"/>
      <c r="H357" s="723"/>
      <c r="I357" s="723"/>
      <c r="J357" s="723"/>
      <c r="K357" s="723"/>
      <c r="L357" s="723"/>
      <c r="M357" s="723"/>
      <c r="N357" s="723"/>
      <c r="O357" s="724"/>
      <c r="P357" s="720" t="s">
        <v>40</v>
      </c>
      <c r="Q357" s="721"/>
      <c r="R357" s="721"/>
      <c r="S357" s="721"/>
      <c r="T357" s="721"/>
      <c r="U357" s="721"/>
      <c r="V357" s="722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x14ac:dyDescent="0.2">
      <c r="A358" s="723"/>
      <c r="B358" s="723"/>
      <c r="C358" s="723"/>
      <c r="D358" s="723"/>
      <c r="E358" s="723"/>
      <c r="F358" s="723"/>
      <c r="G358" s="723"/>
      <c r="H358" s="723"/>
      <c r="I358" s="723"/>
      <c r="J358" s="723"/>
      <c r="K358" s="723"/>
      <c r="L358" s="723"/>
      <c r="M358" s="723"/>
      <c r="N358" s="723"/>
      <c r="O358" s="724"/>
      <c r="P358" s="720" t="s">
        <v>40</v>
      </c>
      <c r="Q358" s="721"/>
      <c r="R358" s="721"/>
      <c r="S358" s="721"/>
      <c r="T358" s="721"/>
      <c r="U358" s="721"/>
      <c r="V358" s="722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customHeight="1" x14ac:dyDescent="0.25">
      <c r="A359" s="713" t="s">
        <v>598</v>
      </c>
      <c r="B359" s="713"/>
      <c r="C359" s="713"/>
      <c r="D359" s="713"/>
      <c r="E359" s="713"/>
      <c r="F359" s="713"/>
      <c r="G359" s="713"/>
      <c r="H359" s="713"/>
      <c r="I359" s="713"/>
      <c r="J359" s="713"/>
      <c r="K359" s="713"/>
      <c r="L359" s="713"/>
      <c r="M359" s="713"/>
      <c r="N359" s="713"/>
      <c r="O359" s="713"/>
      <c r="P359" s="713"/>
      <c r="Q359" s="713"/>
      <c r="R359" s="713"/>
      <c r="S359" s="713"/>
      <c r="T359" s="713"/>
      <c r="U359" s="713"/>
      <c r="V359" s="713"/>
      <c r="W359" s="713"/>
      <c r="X359" s="713"/>
      <c r="Y359" s="713"/>
      <c r="Z359" s="713"/>
      <c r="AA359" s="65"/>
      <c r="AB359" s="65"/>
      <c r="AC359" s="79"/>
    </row>
    <row r="360" spans="1:68" ht="14.25" customHeight="1" x14ac:dyDescent="0.25">
      <c r="A360" s="714" t="s">
        <v>122</v>
      </c>
      <c r="B360" s="714"/>
      <c r="C360" s="714"/>
      <c r="D360" s="714"/>
      <c r="E360" s="714"/>
      <c r="F360" s="714"/>
      <c r="G360" s="714"/>
      <c r="H360" s="714"/>
      <c r="I360" s="714"/>
      <c r="J360" s="714"/>
      <c r="K360" s="714"/>
      <c r="L360" s="714"/>
      <c r="M360" s="714"/>
      <c r="N360" s="714"/>
      <c r="O360" s="714"/>
      <c r="P360" s="714"/>
      <c r="Q360" s="714"/>
      <c r="R360" s="714"/>
      <c r="S360" s="714"/>
      <c r="T360" s="714"/>
      <c r="U360" s="714"/>
      <c r="V360" s="714"/>
      <c r="W360" s="714"/>
      <c r="X360" s="714"/>
      <c r="Y360" s="714"/>
      <c r="Z360" s="714"/>
      <c r="AA360" s="66"/>
      <c r="AB360" s="66"/>
      <c r="AC360" s="80"/>
    </row>
    <row r="361" spans="1:68" ht="27" customHeight="1" x14ac:dyDescent="0.25">
      <c r="A361" s="63" t="s">
        <v>599</v>
      </c>
      <c r="B361" s="63" t="s">
        <v>600</v>
      </c>
      <c r="C361" s="36">
        <v>4301012126</v>
      </c>
      <c r="D361" s="715">
        <v>4607091386004</v>
      </c>
      <c r="E361" s="715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90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717"/>
      <c r="R361" s="717"/>
      <c r="S361" s="717"/>
      <c r="T361" s="718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6" si="48"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0</v>
      </c>
      <c r="BN361" s="78">
        <f t="shared" ref="BN361:BN366" si="50">IFERROR(Y361*I361/H361,"0")</f>
        <v>0</v>
      </c>
      <c r="BO361" s="78">
        <f t="shared" ref="BO361:BO366" si="51">IFERROR(1/J361*(X361/H361),"0")</f>
        <v>0</v>
      </c>
      <c r="BP361" s="78">
        <f t="shared" ref="BP361:BP366" si="52">IFERROR(1/J361*(Y361/H361),"0")</f>
        <v>0</v>
      </c>
    </row>
    <row r="362" spans="1:68" ht="27" customHeight="1" x14ac:dyDescent="0.25">
      <c r="A362" s="63" t="s">
        <v>602</v>
      </c>
      <c r="B362" s="63" t="s">
        <v>603</v>
      </c>
      <c r="C362" s="36">
        <v>4301012235</v>
      </c>
      <c r="D362" s="715">
        <v>4680115887190</v>
      </c>
      <c r="E362" s="715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90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717"/>
      <c r="R362" s="717"/>
      <c r="S362" s="717"/>
      <c r="T362" s="718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customHeight="1" x14ac:dyDescent="0.25">
      <c r="A363" s="63" t="s">
        <v>605</v>
      </c>
      <c r="B363" s="63" t="s">
        <v>606</v>
      </c>
      <c r="C363" s="36">
        <v>4301012233</v>
      </c>
      <c r="D363" s="715">
        <v>4680115887138</v>
      </c>
      <c r="E363" s="715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90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717"/>
      <c r="R363" s="717"/>
      <c r="S363" s="717"/>
      <c r="T363" s="718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0</v>
      </c>
      <c r="BN363" s="78">
        <f t="shared" si="50"/>
        <v>0</v>
      </c>
      <c r="BO363" s="78">
        <f t="shared" si="51"/>
        <v>0</v>
      </c>
      <c r="BP363" s="78">
        <f t="shared" si="52"/>
        <v>0</v>
      </c>
    </row>
    <row r="364" spans="1:68" ht="27" customHeight="1" x14ac:dyDescent="0.25">
      <c r="A364" s="63" t="s">
        <v>608</v>
      </c>
      <c r="B364" s="63" t="s">
        <v>609</v>
      </c>
      <c r="C364" s="36">
        <v>4301012016</v>
      </c>
      <c r="D364" s="715">
        <v>4680115885554</v>
      </c>
      <c r="E364" s="715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91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717"/>
      <c r="R364" s="717"/>
      <c r="S364" s="717"/>
      <c r="T364" s="718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customHeight="1" x14ac:dyDescent="0.25">
      <c r="A365" s="63" t="s">
        <v>611</v>
      </c>
      <c r="B365" s="63" t="s">
        <v>612</v>
      </c>
      <c r="C365" s="36">
        <v>4301012236</v>
      </c>
      <c r="D365" s="715">
        <v>4680115887220</v>
      </c>
      <c r="E365" s="715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91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717"/>
      <c r="R365" s="717"/>
      <c r="S365" s="717"/>
      <c r="T365" s="718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customHeight="1" x14ac:dyDescent="0.25">
      <c r="A366" s="63" t="s">
        <v>613</v>
      </c>
      <c r="B366" s="63" t="s">
        <v>614</v>
      </c>
      <c r="C366" s="36">
        <v>4301011859</v>
      </c>
      <c r="D366" s="715">
        <v>4680115885608</v>
      </c>
      <c r="E366" s="715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91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717"/>
      <c r="R366" s="717"/>
      <c r="S366" s="717"/>
      <c r="T366" s="71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8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0</v>
      </c>
      <c r="BN366" s="78">
        <f t="shared" si="50"/>
        <v>0</v>
      </c>
      <c r="BO366" s="78">
        <f t="shared" si="51"/>
        <v>0</v>
      </c>
      <c r="BP366" s="78">
        <f t="shared" si="52"/>
        <v>0</v>
      </c>
    </row>
    <row r="367" spans="1:68" x14ac:dyDescent="0.2">
      <c r="A367" s="723"/>
      <c r="B367" s="723"/>
      <c r="C367" s="723"/>
      <c r="D367" s="723"/>
      <c r="E367" s="723"/>
      <c r="F367" s="723"/>
      <c r="G367" s="723"/>
      <c r="H367" s="723"/>
      <c r="I367" s="723"/>
      <c r="J367" s="723"/>
      <c r="K367" s="723"/>
      <c r="L367" s="723"/>
      <c r="M367" s="723"/>
      <c r="N367" s="723"/>
      <c r="O367" s="724"/>
      <c r="P367" s="720" t="s">
        <v>40</v>
      </c>
      <c r="Q367" s="721"/>
      <c r="R367" s="721"/>
      <c r="S367" s="721"/>
      <c r="T367" s="721"/>
      <c r="U367" s="721"/>
      <c r="V367" s="722"/>
      <c r="W367" s="42" t="s">
        <v>39</v>
      </c>
      <c r="X367" s="43">
        <f>IFERROR(X361/H361,"0")+IFERROR(X362/H362,"0")+IFERROR(X363/H363,"0")+IFERROR(X364/H364,"0")+IFERROR(X365/H365,"0")+IFERROR(X366/H366,"0")</f>
        <v>0</v>
      </c>
      <c r="Y367" s="43">
        <f>IFERROR(Y361/H361,"0")+IFERROR(Y362/H362,"0")+IFERROR(Y363/H363,"0")+IFERROR(Y364/H364,"0")+IFERROR(Y365/H365,"0")+IFERROR(Y366/H366,"0")</f>
        <v>0</v>
      </c>
      <c r="Z367" s="43">
        <f>IFERROR(IF(Z361="",0,Z361),"0")+IFERROR(IF(Z362="",0,Z362),"0")+IFERROR(IF(Z363="",0,Z363),"0")+IFERROR(IF(Z364="",0,Z364),"0")+IFERROR(IF(Z365="",0,Z365),"0")+IFERROR(IF(Z366="",0,Z366),"0")</f>
        <v>0</v>
      </c>
      <c r="AA367" s="67"/>
      <c r="AB367" s="67"/>
      <c r="AC367" s="67"/>
    </row>
    <row r="368" spans="1:68" x14ac:dyDescent="0.2">
      <c r="A368" s="723"/>
      <c r="B368" s="723"/>
      <c r="C368" s="723"/>
      <c r="D368" s="723"/>
      <c r="E368" s="723"/>
      <c r="F368" s="723"/>
      <c r="G368" s="723"/>
      <c r="H368" s="723"/>
      <c r="I368" s="723"/>
      <c r="J368" s="723"/>
      <c r="K368" s="723"/>
      <c r="L368" s="723"/>
      <c r="M368" s="723"/>
      <c r="N368" s="723"/>
      <c r="O368" s="724"/>
      <c r="P368" s="720" t="s">
        <v>40</v>
      </c>
      <c r="Q368" s="721"/>
      <c r="R368" s="721"/>
      <c r="S368" s="721"/>
      <c r="T368" s="721"/>
      <c r="U368" s="721"/>
      <c r="V368" s="722"/>
      <c r="W368" s="42" t="s">
        <v>0</v>
      </c>
      <c r="X368" s="43">
        <f>IFERROR(SUM(X361:X366),"0")</f>
        <v>0</v>
      </c>
      <c r="Y368" s="43">
        <f>IFERROR(SUM(Y361:Y366),"0")</f>
        <v>0</v>
      </c>
      <c r="Z368" s="42"/>
      <c r="AA368" s="67"/>
      <c r="AB368" s="67"/>
      <c r="AC368" s="67"/>
    </row>
    <row r="369" spans="1:68" ht="14.25" customHeight="1" x14ac:dyDescent="0.25">
      <c r="A369" s="714" t="s">
        <v>77</v>
      </c>
      <c r="B369" s="714"/>
      <c r="C369" s="714"/>
      <c r="D369" s="714"/>
      <c r="E369" s="714"/>
      <c r="F369" s="714"/>
      <c r="G369" s="714"/>
      <c r="H369" s="714"/>
      <c r="I369" s="714"/>
      <c r="J369" s="714"/>
      <c r="K369" s="714"/>
      <c r="L369" s="714"/>
      <c r="M369" s="714"/>
      <c r="N369" s="714"/>
      <c r="O369" s="714"/>
      <c r="P369" s="714"/>
      <c r="Q369" s="714"/>
      <c r="R369" s="714"/>
      <c r="S369" s="714"/>
      <c r="T369" s="714"/>
      <c r="U369" s="714"/>
      <c r="V369" s="714"/>
      <c r="W369" s="714"/>
      <c r="X369" s="714"/>
      <c r="Y369" s="714"/>
      <c r="Z369" s="714"/>
      <c r="AA369" s="66"/>
      <c r="AB369" s="66"/>
      <c r="AC369" s="80"/>
    </row>
    <row r="370" spans="1:68" ht="27" customHeight="1" x14ac:dyDescent="0.25">
      <c r="A370" s="63" t="s">
        <v>616</v>
      </c>
      <c r="B370" s="63" t="s">
        <v>617</v>
      </c>
      <c r="C370" s="36">
        <v>4301030878</v>
      </c>
      <c r="D370" s="715">
        <v>4607091387193</v>
      </c>
      <c r="E370" s="715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91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717"/>
      <c r="R370" s="717"/>
      <c r="S370" s="717"/>
      <c r="T370" s="71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6" si="53"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0</v>
      </c>
      <c r="BN370" s="78">
        <f t="shared" ref="BN370:BN376" si="55">IFERROR(Y370*I370/H370,"0")</f>
        <v>0</v>
      </c>
      <c r="BO370" s="78">
        <f t="shared" ref="BO370:BO376" si="56">IFERROR(1/J370*(X370/H370),"0")</f>
        <v>0</v>
      </c>
      <c r="BP370" s="78">
        <f t="shared" ref="BP370:BP376" si="57">IFERROR(1/J370*(Y370/H370),"0")</f>
        <v>0</v>
      </c>
    </row>
    <row r="371" spans="1:68" ht="27" customHeight="1" x14ac:dyDescent="0.25">
      <c r="A371" s="63" t="s">
        <v>619</v>
      </c>
      <c r="B371" s="63" t="s">
        <v>620</v>
      </c>
      <c r="C371" s="36">
        <v>4301031153</v>
      </c>
      <c r="D371" s="715">
        <v>4607091387230</v>
      </c>
      <c r="E371" s="715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91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717"/>
      <c r="R371" s="717"/>
      <c r="S371" s="717"/>
      <c r="T371" s="71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0</v>
      </c>
      <c r="BN371" s="78">
        <f t="shared" si="55"/>
        <v>0</v>
      </c>
      <c r="BO371" s="78">
        <f t="shared" si="56"/>
        <v>0</v>
      </c>
      <c r="BP371" s="78">
        <f t="shared" si="57"/>
        <v>0</v>
      </c>
    </row>
    <row r="372" spans="1:68" ht="27" customHeight="1" x14ac:dyDescent="0.25">
      <c r="A372" s="63" t="s">
        <v>622</v>
      </c>
      <c r="B372" s="63" t="s">
        <v>623</v>
      </c>
      <c r="C372" s="36">
        <v>4301031154</v>
      </c>
      <c r="D372" s="715">
        <v>4607091387292</v>
      </c>
      <c r="E372" s="715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91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717"/>
      <c r="R372" s="717"/>
      <c r="S372" s="717"/>
      <c r="T372" s="71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customHeight="1" x14ac:dyDescent="0.25">
      <c r="A373" s="63" t="s">
        <v>625</v>
      </c>
      <c r="B373" s="63" t="s">
        <v>626</v>
      </c>
      <c r="C373" s="36">
        <v>4301031152</v>
      </c>
      <c r="D373" s="715">
        <v>4607091387285</v>
      </c>
      <c r="E373" s="715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91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717"/>
      <c r="R373" s="717"/>
      <c r="S373" s="717"/>
      <c r="T373" s="718"/>
      <c r="U373" s="39" t="s">
        <v>46</v>
      </c>
      <c r="V373" s="39" t="s">
        <v>46</v>
      </c>
      <c r="W373" s="40" t="s">
        <v>0</v>
      </c>
      <c r="X373" s="58">
        <v>10.5</v>
      </c>
      <c r="Y373" s="55">
        <f t="shared" si="53"/>
        <v>10.5</v>
      </c>
      <c r="Z373" s="41">
        <f>IFERROR(IF(Y373=0,"",ROUNDUP(Y373/H373,0)*0.00502),"")</f>
        <v>2.5100000000000001E-2</v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11.149999999999999</v>
      </c>
      <c r="BN373" s="78">
        <f t="shared" si="55"/>
        <v>11.149999999999999</v>
      </c>
      <c r="BO373" s="78">
        <f t="shared" si="56"/>
        <v>2.1367521367521368E-2</v>
      </c>
      <c r="BP373" s="78">
        <f t="shared" si="57"/>
        <v>2.1367521367521368E-2</v>
      </c>
    </row>
    <row r="374" spans="1:68" ht="27" customHeight="1" x14ac:dyDescent="0.25">
      <c r="A374" s="63" t="s">
        <v>627</v>
      </c>
      <c r="B374" s="63" t="s">
        <v>628</v>
      </c>
      <c r="C374" s="36">
        <v>4301031305</v>
      </c>
      <c r="D374" s="715">
        <v>4607091389845</v>
      </c>
      <c r="E374" s="715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91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717"/>
      <c r="R374" s="717"/>
      <c r="S374" s="717"/>
      <c r="T374" s="718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3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0</v>
      </c>
      <c r="BN374" s="78">
        <f t="shared" si="55"/>
        <v>0</v>
      </c>
      <c r="BO374" s="78">
        <f t="shared" si="56"/>
        <v>0</v>
      </c>
      <c r="BP374" s="78">
        <f t="shared" si="57"/>
        <v>0</v>
      </c>
    </row>
    <row r="375" spans="1:68" ht="27" customHeight="1" x14ac:dyDescent="0.25">
      <c r="A375" s="63" t="s">
        <v>630</v>
      </c>
      <c r="B375" s="63" t="s">
        <v>631</v>
      </c>
      <c r="C375" s="36">
        <v>4301031460</v>
      </c>
      <c r="D375" s="715">
        <v>4680115887442</v>
      </c>
      <c r="E375" s="715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91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717"/>
      <c r="R375" s="717"/>
      <c r="S375" s="717"/>
      <c r="T375" s="71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customHeight="1" x14ac:dyDescent="0.25">
      <c r="A376" s="63" t="s">
        <v>632</v>
      </c>
      <c r="B376" s="63" t="s">
        <v>633</v>
      </c>
      <c r="C376" s="36">
        <v>4301031066</v>
      </c>
      <c r="D376" s="715">
        <v>4607091383836</v>
      </c>
      <c r="E376" s="715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91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717"/>
      <c r="R376" s="717"/>
      <c r="S376" s="717"/>
      <c r="T376" s="71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3"/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0</v>
      </c>
      <c r="BN376" s="78">
        <f t="shared" si="55"/>
        <v>0</v>
      </c>
      <c r="BO376" s="78">
        <f t="shared" si="56"/>
        <v>0</v>
      </c>
      <c r="BP376" s="78">
        <f t="shared" si="57"/>
        <v>0</v>
      </c>
    </row>
    <row r="377" spans="1:68" x14ac:dyDescent="0.2">
      <c r="A377" s="723"/>
      <c r="B377" s="723"/>
      <c r="C377" s="723"/>
      <c r="D377" s="723"/>
      <c r="E377" s="723"/>
      <c r="F377" s="723"/>
      <c r="G377" s="723"/>
      <c r="H377" s="723"/>
      <c r="I377" s="723"/>
      <c r="J377" s="723"/>
      <c r="K377" s="723"/>
      <c r="L377" s="723"/>
      <c r="M377" s="723"/>
      <c r="N377" s="723"/>
      <c r="O377" s="724"/>
      <c r="P377" s="720" t="s">
        <v>40</v>
      </c>
      <c r="Q377" s="721"/>
      <c r="R377" s="721"/>
      <c r="S377" s="721"/>
      <c r="T377" s="721"/>
      <c r="U377" s="721"/>
      <c r="V377" s="722"/>
      <c r="W377" s="42" t="s">
        <v>39</v>
      </c>
      <c r="X377" s="43">
        <f>IFERROR(X370/H370,"0")+IFERROR(X371/H371,"0")+IFERROR(X372/H372,"0")+IFERROR(X373/H373,"0")+IFERROR(X374/H374,"0")+IFERROR(X375/H375,"0")+IFERROR(X376/H376,"0")</f>
        <v>5</v>
      </c>
      <c r="Y377" s="43">
        <f>IFERROR(Y370/H370,"0")+IFERROR(Y371/H371,"0")+IFERROR(Y372/H372,"0")+IFERROR(Y373/H373,"0")+IFERROR(Y374/H374,"0")+IFERROR(Y375/H375,"0")+IFERROR(Y376/H376,"0")</f>
        <v>5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2.5100000000000001E-2</v>
      </c>
      <c r="AA377" s="67"/>
      <c r="AB377" s="67"/>
      <c r="AC377" s="67"/>
    </row>
    <row r="378" spans="1:68" x14ac:dyDescent="0.2">
      <c r="A378" s="723"/>
      <c r="B378" s="723"/>
      <c r="C378" s="723"/>
      <c r="D378" s="723"/>
      <c r="E378" s="723"/>
      <c r="F378" s="723"/>
      <c r="G378" s="723"/>
      <c r="H378" s="723"/>
      <c r="I378" s="723"/>
      <c r="J378" s="723"/>
      <c r="K378" s="723"/>
      <c r="L378" s="723"/>
      <c r="M378" s="723"/>
      <c r="N378" s="723"/>
      <c r="O378" s="724"/>
      <c r="P378" s="720" t="s">
        <v>40</v>
      </c>
      <c r="Q378" s="721"/>
      <c r="R378" s="721"/>
      <c r="S378" s="721"/>
      <c r="T378" s="721"/>
      <c r="U378" s="721"/>
      <c r="V378" s="722"/>
      <c r="W378" s="42" t="s">
        <v>0</v>
      </c>
      <c r="X378" s="43">
        <f>IFERROR(SUM(X370:X376),"0")</f>
        <v>10.5</v>
      </c>
      <c r="Y378" s="43">
        <f>IFERROR(SUM(Y370:Y376),"0")</f>
        <v>10.5</v>
      </c>
      <c r="Z378" s="42"/>
      <c r="AA378" s="67"/>
      <c r="AB378" s="67"/>
      <c r="AC378" s="67"/>
    </row>
    <row r="379" spans="1:68" ht="14.25" customHeight="1" x14ac:dyDescent="0.25">
      <c r="A379" s="714" t="s">
        <v>86</v>
      </c>
      <c r="B379" s="714"/>
      <c r="C379" s="714"/>
      <c r="D379" s="714"/>
      <c r="E379" s="714"/>
      <c r="F379" s="714"/>
      <c r="G379" s="714"/>
      <c r="H379" s="714"/>
      <c r="I379" s="714"/>
      <c r="J379" s="714"/>
      <c r="K379" s="714"/>
      <c r="L379" s="714"/>
      <c r="M379" s="714"/>
      <c r="N379" s="714"/>
      <c r="O379" s="714"/>
      <c r="P379" s="714"/>
      <c r="Q379" s="714"/>
      <c r="R379" s="714"/>
      <c r="S379" s="714"/>
      <c r="T379" s="714"/>
      <c r="U379" s="714"/>
      <c r="V379" s="714"/>
      <c r="W379" s="714"/>
      <c r="X379" s="714"/>
      <c r="Y379" s="714"/>
      <c r="Z379" s="714"/>
      <c r="AA379" s="66"/>
      <c r="AB379" s="66"/>
      <c r="AC379" s="80"/>
    </row>
    <row r="380" spans="1:68" ht="27" customHeight="1" x14ac:dyDescent="0.25">
      <c r="A380" s="63" t="s">
        <v>635</v>
      </c>
      <c r="B380" s="63" t="s">
        <v>636</v>
      </c>
      <c r="C380" s="36">
        <v>4301051100</v>
      </c>
      <c r="D380" s="715">
        <v>4607091387766</v>
      </c>
      <c r="E380" s="715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92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717"/>
      <c r="R380" s="717"/>
      <c r="S380" s="717"/>
      <c r="T380" s="718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638</v>
      </c>
      <c r="B381" s="63" t="s">
        <v>639</v>
      </c>
      <c r="C381" s="36">
        <v>4301051818</v>
      </c>
      <c r="D381" s="715">
        <v>4607091387957</v>
      </c>
      <c r="E381" s="715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92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717"/>
      <c r="R381" s="717"/>
      <c r="S381" s="717"/>
      <c r="T381" s="718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641</v>
      </c>
      <c r="B382" s="63" t="s">
        <v>642</v>
      </c>
      <c r="C382" s="36">
        <v>4301051819</v>
      </c>
      <c r="D382" s="715">
        <v>4607091387964</v>
      </c>
      <c r="E382" s="715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92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717"/>
      <c r="R382" s="717"/>
      <c r="S382" s="717"/>
      <c r="T382" s="718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644</v>
      </c>
      <c r="B383" s="63" t="s">
        <v>645</v>
      </c>
      <c r="C383" s="36">
        <v>4301051734</v>
      </c>
      <c r="D383" s="715">
        <v>4680115884588</v>
      </c>
      <c r="E383" s="715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92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717"/>
      <c r="R383" s="717"/>
      <c r="S383" s="717"/>
      <c r="T383" s="718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x14ac:dyDescent="0.2">
      <c r="A384" s="723"/>
      <c r="B384" s="723"/>
      <c r="C384" s="723"/>
      <c r="D384" s="723"/>
      <c r="E384" s="723"/>
      <c r="F384" s="723"/>
      <c r="G384" s="723"/>
      <c r="H384" s="723"/>
      <c r="I384" s="723"/>
      <c r="J384" s="723"/>
      <c r="K384" s="723"/>
      <c r="L384" s="723"/>
      <c r="M384" s="723"/>
      <c r="N384" s="723"/>
      <c r="O384" s="724"/>
      <c r="P384" s="720" t="s">
        <v>40</v>
      </c>
      <c r="Q384" s="721"/>
      <c r="R384" s="721"/>
      <c r="S384" s="721"/>
      <c r="T384" s="721"/>
      <c r="U384" s="721"/>
      <c r="V384" s="722"/>
      <c r="W384" s="42" t="s">
        <v>39</v>
      </c>
      <c r="X384" s="43">
        <f>IFERROR(X380/H380,"0")+IFERROR(X381/H381,"0")+IFERROR(X382/H382,"0")+IFERROR(X383/H383,"0")</f>
        <v>0</v>
      </c>
      <c r="Y384" s="43">
        <f>IFERROR(Y380/H380,"0")+IFERROR(Y381/H381,"0")+IFERROR(Y382/H382,"0")+IFERROR(Y383/H383,"0")</f>
        <v>0</v>
      </c>
      <c r="Z384" s="43">
        <f>IFERROR(IF(Z380="",0,Z380),"0")+IFERROR(IF(Z381="",0,Z381),"0")+IFERROR(IF(Z382="",0,Z382),"0")+IFERROR(IF(Z383="",0,Z383),"0")</f>
        <v>0</v>
      </c>
      <c r="AA384" s="67"/>
      <c r="AB384" s="67"/>
      <c r="AC384" s="67"/>
    </row>
    <row r="385" spans="1:68" x14ac:dyDescent="0.2">
      <c r="A385" s="723"/>
      <c r="B385" s="723"/>
      <c r="C385" s="723"/>
      <c r="D385" s="723"/>
      <c r="E385" s="723"/>
      <c r="F385" s="723"/>
      <c r="G385" s="723"/>
      <c r="H385" s="723"/>
      <c r="I385" s="723"/>
      <c r="J385" s="723"/>
      <c r="K385" s="723"/>
      <c r="L385" s="723"/>
      <c r="M385" s="723"/>
      <c r="N385" s="723"/>
      <c r="O385" s="724"/>
      <c r="P385" s="720" t="s">
        <v>40</v>
      </c>
      <c r="Q385" s="721"/>
      <c r="R385" s="721"/>
      <c r="S385" s="721"/>
      <c r="T385" s="721"/>
      <c r="U385" s="721"/>
      <c r="V385" s="722"/>
      <c r="W385" s="42" t="s">
        <v>0</v>
      </c>
      <c r="X385" s="43">
        <f>IFERROR(SUM(X380:X383),"0")</f>
        <v>0</v>
      </c>
      <c r="Y385" s="43">
        <f>IFERROR(SUM(Y380:Y383),"0")</f>
        <v>0</v>
      </c>
      <c r="Z385" s="42"/>
      <c r="AA385" s="67"/>
      <c r="AB385" s="67"/>
      <c r="AC385" s="67"/>
    </row>
    <row r="386" spans="1:68" ht="14.25" customHeight="1" x14ac:dyDescent="0.25">
      <c r="A386" s="714" t="s">
        <v>175</v>
      </c>
      <c r="B386" s="714"/>
      <c r="C386" s="714"/>
      <c r="D386" s="714"/>
      <c r="E386" s="714"/>
      <c r="F386" s="714"/>
      <c r="G386" s="714"/>
      <c r="H386" s="714"/>
      <c r="I386" s="714"/>
      <c r="J386" s="714"/>
      <c r="K386" s="714"/>
      <c r="L386" s="714"/>
      <c r="M386" s="714"/>
      <c r="N386" s="714"/>
      <c r="O386" s="714"/>
      <c r="P386" s="714"/>
      <c r="Q386" s="714"/>
      <c r="R386" s="714"/>
      <c r="S386" s="714"/>
      <c r="T386" s="714"/>
      <c r="U386" s="714"/>
      <c r="V386" s="714"/>
      <c r="W386" s="714"/>
      <c r="X386" s="714"/>
      <c r="Y386" s="714"/>
      <c r="Z386" s="714"/>
      <c r="AA386" s="66"/>
      <c r="AB386" s="66"/>
      <c r="AC386" s="80"/>
    </row>
    <row r="387" spans="1:68" ht="27" customHeight="1" x14ac:dyDescent="0.25">
      <c r="A387" s="63" t="s">
        <v>646</v>
      </c>
      <c r="B387" s="63" t="s">
        <v>647</v>
      </c>
      <c r="C387" s="36">
        <v>4301060387</v>
      </c>
      <c r="D387" s="715">
        <v>4607091380880</v>
      </c>
      <c r="E387" s="715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92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717"/>
      <c r="R387" s="717"/>
      <c r="S387" s="717"/>
      <c r="T387" s="71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649</v>
      </c>
      <c r="B388" s="63" t="s">
        <v>650</v>
      </c>
      <c r="C388" s="36">
        <v>4301060406</v>
      </c>
      <c r="D388" s="715">
        <v>4607091384482</v>
      </c>
      <c r="E388" s="715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92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717"/>
      <c r="R388" s="717"/>
      <c r="S388" s="717"/>
      <c r="T388" s="718"/>
      <c r="U388" s="39" t="s">
        <v>46</v>
      </c>
      <c r="V388" s="39" t="s">
        <v>46</v>
      </c>
      <c r="W388" s="40" t="s">
        <v>0</v>
      </c>
      <c r="X388" s="58">
        <v>30</v>
      </c>
      <c r="Y388" s="55">
        <f>IFERROR(IF(X388="",0,CEILING((X388/$H388),1)*$H388),"")</f>
        <v>31.2</v>
      </c>
      <c r="Z388" s="41">
        <f>IFERROR(IF(Y388=0,"",ROUNDUP(Y388/H388,0)*0.01898),"")</f>
        <v>7.5920000000000001E-2</v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31.900000000000002</v>
      </c>
      <c r="BN388" s="78">
        <f>IFERROR(Y388*I388/H388,"0")</f>
        <v>33.176000000000002</v>
      </c>
      <c r="BO388" s="78">
        <f>IFERROR(1/J388*(X388/H388),"0")</f>
        <v>6.0096153846153848E-2</v>
      </c>
      <c r="BP388" s="78">
        <f>IFERROR(1/J388*(Y388/H388),"0")</f>
        <v>6.25E-2</v>
      </c>
    </row>
    <row r="389" spans="1:68" ht="27" customHeight="1" x14ac:dyDescent="0.25">
      <c r="A389" s="63" t="s">
        <v>652</v>
      </c>
      <c r="B389" s="63" t="s">
        <v>653</v>
      </c>
      <c r="C389" s="36">
        <v>4301060484</v>
      </c>
      <c r="D389" s="715">
        <v>4607091380897</v>
      </c>
      <c r="E389" s="715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92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717"/>
      <c r="R389" s="717"/>
      <c r="S389" s="717"/>
      <c r="T389" s="718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x14ac:dyDescent="0.2">
      <c r="A390" s="723"/>
      <c r="B390" s="723"/>
      <c r="C390" s="723"/>
      <c r="D390" s="723"/>
      <c r="E390" s="723"/>
      <c r="F390" s="723"/>
      <c r="G390" s="723"/>
      <c r="H390" s="723"/>
      <c r="I390" s="723"/>
      <c r="J390" s="723"/>
      <c r="K390" s="723"/>
      <c r="L390" s="723"/>
      <c r="M390" s="723"/>
      <c r="N390" s="723"/>
      <c r="O390" s="724"/>
      <c r="P390" s="720" t="s">
        <v>40</v>
      </c>
      <c r="Q390" s="721"/>
      <c r="R390" s="721"/>
      <c r="S390" s="721"/>
      <c r="T390" s="721"/>
      <c r="U390" s="721"/>
      <c r="V390" s="722"/>
      <c r="W390" s="42" t="s">
        <v>39</v>
      </c>
      <c r="X390" s="43">
        <f>IFERROR(X387/H387,"0")+IFERROR(X388/H388,"0")+IFERROR(X389/H389,"0")</f>
        <v>3.8461538461538463</v>
      </c>
      <c r="Y390" s="43">
        <f>IFERROR(Y387/H387,"0")+IFERROR(Y388/H388,"0")+IFERROR(Y389/H389,"0")</f>
        <v>4</v>
      </c>
      <c r="Z390" s="43">
        <f>IFERROR(IF(Z387="",0,Z387),"0")+IFERROR(IF(Z388="",0,Z388),"0")+IFERROR(IF(Z389="",0,Z389),"0")</f>
        <v>7.5920000000000001E-2</v>
      </c>
      <c r="AA390" s="67"/>
      <c r="AB390" s="67"/>
      <c r="AC390" s="67"/>
    </row>
    <row r="391" spans="1:68" x14ac:dyDescent="0.2">
      <c r="A391" s="723"/>
      <c r="B391" s="723"/>
      <c r="C391" s="723"/>
      <c r="D391" s="723"/>
      <c r="E391" s="723"/>
      <c r="F391" s="723"/>
      <c r="G391" s="723"/>
      <c r="H391" s="723"/>
      <c r="I391" s="723"/>
      <c r="J391" s="723"/>
      <c r="K391" s="723"/>
      <c r="L391" s="723"/>
      <c r="M391" s="723"/>
      <c r="N391" s="723"/>
      <c r="O391" s="724"/>
      <c r="P391" s="720" t="s">
        <v>40</v>
      </c>
      <c r="Q391" s="721"/>
      <c r="R391" s="721"/>
      <c r="S391" s="721"/>
      <c r="T391" s="721"/>
      <c r="U391" s="721"/>
      <c r="V391" s="722"/>
      <c r="W391" s="42" t="s">
        <v>0</v>
      </c>
      <c r="X391" s="43">
        <f>IFERROR(SUM(X387:X389),"0")</f>
        <v>30</v>
      </c>
      <c r="Y391" s="43">
        <f>IFERROR(SUM(Y387:Y389),"0")</f>
        <v>31.2</v>
      </c>
      <c r="Z391" s="42"/>
      <c r="AA391" s="67"/>
      <c r="AB391" s="67"/>
      <c r="AC391" s="67"/>
    </row>
    <row r="392" spans="1:68" ht="14.25" customHeight="1" x14ac:dyDescent="0.25">
      <c r="A392" s="714" t="s">
        <v>283</v>
      </c>
      <c r="B392" s="714"/>
      <c r="C392" s="714"/>
      <c r="D392" s="714"/>
      <c r="E392" s="714"/>
      <c r="F392" s="714"/>
      <c r="G392" s="714"/>
      <c r="H392" s="714"/>
      <c r="I392" s="714"/>
      <c r="J392" s="714"/>
      <c r="K392" s="714"/>
      <c r="L392" s="714"/>
      <c r="M392" s="714"/>
      <c r="N392" s="714"/>
      <c r="O392" s="714"/>
      <c r="P392" s="714"/>
      <c r="Q392" s="714"/>
      <c r="R392" s="714"/>
      <c r="S392" s="714"/>
      <c r="T392" s="714"/>
      <c r="U392" s="714"/>
      <c r="V392" s="714"/>
      <c r="W392" s="714"/>
      <c r="X392" s="714"/>
      <c r="Y392" s="714"/>
      <c r="Z392" s="714"/>
      <c r="AA392" s="66"/>
      <c r="AB392" s="66"/>
      <c r="AC392" s="80"/>
    </row>
    <row r="393" spans="1:68" ht="27" customHeight="1" x14ac:dyDescent="0.25">
      <c r="A393" s="63" t="s">
        <v>655</v>
      </c>
      <c r="B393" s="63" t="s">
        <v>656</v>
      </c>
      <c r="C393" s="36">
        <v>4301030235</v>
      </c>
      <c r="D393" s="715">
        <v>4607091388381</v>
      </c>
      <c r="E393" s="715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9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717"/>
      <c r="R393" s="717"/>
      <c r="S393" s="717"/>
      <c r="T393" s="71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658</v>
      </c>
      <c r="B394" s="63" t="s">
        <v>659</v>
      </c>
      <c r="C394" s="36">
        <v>4301030232</v>
      </c>
      <c r="D394" s="715">
        <v>4607091388374</v>
      </c>
      <c r="E394" s="715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9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717"/>
      <c r="R394" s="717"/>
      <c r="S394" s="717"/>
      <c r="T394" s="71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660</v>
      </c>
      <c r="B395" s="63" t="s">
        <v>661</v>
      </c>
      <c r="C395" s="36">
        <v>4301032015</v>
      </c>
      <c r="D395" s="715">
        <v>4607091383102</v>
      </c>
      <c r="E395" s="715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9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717"/>
      <c r="R395" s="717"/>
      <c r="S395" s="717"/>
      <c r="T395" s="718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662</v>
      </c>
      <c r="B396" s="63" t="s">
        <v>663</v>
      </c>
      <c r="C396" s="36">
        <v>4301030233</v>
      </c>
      <c r="D396" s="715">
        <v>4607091388404</v>
      </c>
      <c r="E396" s="715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9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717"/>
      <c r="R396" s="717"/>
      <c r="S396" s="717"/>
      <c r="T396" s="718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x14ac:dyDescent="0.2">
      <c r="A397" s="723"/>
      <c r="B397" s="723"/>
      <c r="C397" s="723"/>
      <c r="D397" s="723"/>
      <c r="E397" s="723"/>
      <c r="F397" s="723"/>
      <c r="G397" s="723"/>
      <c r="H397" s="723"/>
      <c r="I397" s="723"/>
      <c r="J397" s="723"/>
      <c r="K397" s="723"/>
      <c r="L397" s="723"/>
      <c r="M397" s="723"/>
      <c r="N397" s="723"/>
      <c r="O397" s="724"/>
      <c r="P397" s="720" t="s">
        <v>40</v>
      </c>
      <c r="Q397" s="721"/>
      <c r="R397" s="721"/>
      <c r="S397" s="721"/>
      <c r="T397" s="721"/>
      <c r="U397" s="721"/>
      <c r="V397" s="722"/>
      <c r="W397" s="42" t="s">
        <v>39</v>
      </c>
      <c r="X397" s="43">
        <f>IFERROR(X393/H393,"0")+IFERROR(X394/H394,"0")+IFERROR(X395/H395,"0")+IFERROR(X396/H396,"0")</f>
        <v>0</v>
      </c>
      <c r="Y397" s="43">
        <f>IFERROR(Y393/H393,"0")+IFERROR(Y394/H394,"0")+IFERROR(Y395/H395,"0")+IFERROR(Y396/H396,"0")</f>
        <v>0</v>
      </c>
      <c r="Z397" s="43">
        <f>IFERROR(IF(Z393="",0,Z393),"0")+IFERROR(IF(Z394="",0,Z394),"0")+IFERROR(IF(Z395="",0,Z395),"0")+IFERROR(IF(Z396="",0,Z396),"0")</f>
        <v>0</v>
      </c>
      <c r="AA397" s="67"/>
      <c r="AB397" s="67"/>
      <c r="AC397" s="67"/>
    </row>
    <row r="398" spans="1:68" x14ac:dyDescent="0.2">
      <c r="A398" s="723"/>
      <c r="B398" s="723"/>
      <c r="C398" s="723"/>
      <c r="D398" s="723"/>
      <c r="E398" s="723"/>
      <c r="F398" s="723"/>
      <c r="G398" s="723"/>
      <c r="H398" s="723"/>
      <c r="I398" s="723"/>
      <c r="J398" s="723"/>
      <c r="K398" s="723"/>
      <c r="L398" s="723"/>
      <c r="M398" s="723"/>
      <c r="N398" s="723"/>
      <c r="O398" s="724"/>
      <c r="P398" s="720" t="s">
        <v>40</v>
      </c>
      <c r="Q398" s="721"/>
      <c r="R398" s="721"/>
      <c r="S398" s="721"/>
      <c r="T398" s="721"/>
      <c r="U398" s="721"/>
      <c r="V398" s="722"/>
      <c r="W398" s="42" t="s">
        <v>0</v>
      </c>
      <c r="X398" s="43">
        <f>IFERROR(SUM(X393:X396),"0")</f>
        <v>0</v>
      </c>
      <c r="Y398" s="43">
        <f>IFERROR(SUM(Y393:Y396),"0")</f>
        <v>0</v>
      </c>
      <c r="Z398" s="42"/>
      <c r="AA398" s="67"/>
      <c r="AB398" s="67"/>
      <c r="AC398" s="67"/>
    </row>
    <row r="399" spans="1:68" ht="14.25" customHeight="1" x14ac:dyDescent="0.25">
      <c r="A399" s="714" t="s">
        <v>664</v>
      </c>
      <c r="B399" s="714"/>
      <c r="C399" s="714"/>
      <c r="D399" s="714"/>
      <c r="E399" s="714"/>
      <c r="F399" s="714"/>
      <c r="G399" s="714"/>
      <c r="H399" s="714"/>
      <c r="I399" s="714"/>
      <c r="J399" s="714"/>
      <c r="K399" s="714"/>
      <c r="L399" s="714"/>
      <c r="M399" s="714"/>
      <c r="N399" s="714"/>
      <c r="O399" s="714"/>
      <c r="P399" s="714"/>
      <c r="Q399" s="714"/>
      <c r="R399" s="714"/>
      <c r="S399" s="714"/>
      <c r="T399" s="714"/>
      <c r="U399" s="714"/>
      <c r="V399" s="714"/>
      <c r="W399" s="714"/>
      <c r="X399" s="714"/>
      <c r="Y399" s="714"/>
      <c r="Z399" s="714"/>
      <c r="AA399" s="66"/>
      <c r="AB399" s="66"/>
      <c r="AC399" s="80"/>
    </row>
    <row r="400" spans="1:68" ht="16.5" customHeight="1" x14ac:dyDescent="0.25">
      <c r="A400" s="63" t="s">
        <v>665</v>
      </c>
      <c r="B400" s="63" t="s">
        <v>666</v>
      </c>
      <c r="C400" s="36">
        <v>4301180007</v>
      </c>
      <c r="D400" s="715">
        <v>4680115881808</v>
      </c>
      <c r="E400" s="715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9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717"/>
      <c r="R400" s="717"/>
      <c r="S400" s="717"/>
      <c r="T400" s="71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669</v>
      </c>
      <c r="B401" s="63" t="s">
        <v>670</v>
      </c>
      <c r="C401" s="36">
        <v>4301180006</v>
      </c>
      <c r="D401" s="715">
        <v>4680115881822</v>
      </c>
      <c r="E401" s="715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9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717"/>
      <c r="R401" s="717"/>
      <c r="S401" s="717"/>
      <c r="T401" s="71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671</v>
      </c>
      <c r="B402" s="63" t="s">
        <v>672</v>
      </c>
      <c r="C402" s="36">
        <v>4301180001</v>
      </c>
      <c r="D402" s="715">
        <v>4680115880016</v>
      </c>
      <c r="E402" s="715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9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717"/>
      <c r="R402" s="717"/>
      <c r="S402" s="717"/>
      <c r="T402" s="718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x14ac:dyDescent="0.2">
      <c r="A403" s="723"/>
      <c r="B403" s="723"/>
      <c r="C403" s="723"/>
      <c r="D403" s="723"/>
      <c r="E403" s="723"/>
      <c r="F403" s="723"/>
      <c r="G403" s="723"/>
      <c r="H403" s="723"/>
      <c r="I403" s="723"/>
      <c r="J403" s="723"/>
      <c r="K403" s="723"/>
      <c r="L403" s="723"/>
      <c r="M403" s="723"/>
      <c r="N403" s="723"/>
      <c r="O403" s="724"/>
      <c r="P403" s="720" t="s">
        <v>40</v>
      </c>
      <c r="Q403" s="721"/>
      <c r="R403" s="721"/>
      <c r="S403" s="721"/>
      <c r="T403" s="721"/>
      <c r="U403" s="721"/>
      <c r="V403" s="722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x14ac:dyDescent="0.2">
      <c r="A404" s="723"/>
      <c r="B404" s="723"/>
      <c r="C404" s="723"/>
      <c r="D404" s="723"/>
      <c r="E404" s="723"/>
      <c r="F404" s="723"/>
      <c r="G404" s="723"/>
      <c r="H404" s="723"/>
      <c r="I404" s="723"/>
      <c r="J404" s="723"/>
      <c r="K404" s="723"/>
      <c r="L404" s="723"/>
      <c r="M404" s="723"/>
      <c r="N404" s="723"/>
      <c r="O404" s="724"/>
      <c r="P404" s="720" t="s">
        <v>40</v>
      </c>
      <c r="Q404" s="721"/>
      <c r="R404" s="721"/>
      <c r="S404" s="721"/>
      <c r="T404" s="721"/>
      <c r="U404" s="721"/>
      <c r="V404" s="722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14.25" customHeight="1" x14ac:dyDescent="0.25">
      <c r="A405" s="714" t="s">
        <v>673</v>
      </c>
      <c r="B405" s="714"/>
      <c r="C405" s="714"/>
      <c r="D405" s="714"/>
      <c r="E405" s="714"/>
      <c r="F405" s="714"/>
      <c r="G405" s="714"/>
      <c r="H405" s="714"/>
      <c r="I405" s="714"/>
      <c r="J405" s="714"/>
      <c r="K405" s="714"/>
      <c r="L405" s="714"/>
      <c r="M405" s="714"/>
      <c r="N405" s="714"/>
      <c r="O405" s="714"/>
      <c r="P405" s="714"/>
      <c r="Q405" s="714"/>
      <c r="R405" s="714"/>
      <c r="S405" s="714"/>
      <c r="T405" s="714"/>
      <c r="U405" s="714"/>
      <c r="V405" s="714"/>
      <c r="W405" s="714"/>
      <c r="X405" s="714"/>
      <c r="Y405" s="714"/>
      <c r="Z405" s="714"/>
      <c r="AA405" s="66"/>
      <c r="AB405" s="66"/>
      <c r="AC405" s="80"/>
    </row>
    <row r="406" spans="1:68" ht="27" customHeight="1" x14ac:dyDescent="0.25">
      <c r="A406" s="63" t="s">
        <v>674</v>
      </c>
      <c r="B406" s="63" t="s">
        <v>675</v>
      </c>
      <c r="C406" s="36">
        <v>4301220003</v>
      </c>
      <c r="D406" s="715">
        <v>4680115888678</v>
      </c>
      <c r="E406" s="715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9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717"/>
      <c r="R406" s="717"/>
      <c r="S406" s="717"/>
      <c r="T406" s="71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677</v>
      </c>
      <c r="B407" s="63" t="s">
        <v>678</v>
      </c>
      <c r="C407" s="36">
        <v>4301220001</v>
      </c>
      <c r="D407" s="715">
        <v>4680115888654</v>
      </c>
      <c r="E407" s="715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93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717"/>
      <c r="R407" s="717"/>
      <c r="S407" s="717"/>
      <c r="T407" s="71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IFERROR(IF(Y407=0,"",ROUNDUP(Y407/H407,0)*0.006),"")</f>
        <v/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680</v>
      </c>
      <c r="B408" s="63" t="s">
        <v>681</v>
      </c>
      <c r="C408" s="36">
        <v>4301220002</v>
      </c>
      <c r="D408" s="715">
        <v>4680115888753</v>
      </c>
      <c r="E408" s="715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93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717"/>
      <c r="R408" s="717"/>
      <c r="S408" s="717"/>
      <c r="T408" s="718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x14ac:dyDescent="0.2">
      <c r="A409" s="723"/>
      <c r="B409" s="723"/>
      <c r="C409" s="723"/>
      <c r="D409" s="723"/>
      <c r="E409" s="723"/>
      <c r="F409" s="723"/>
      <c r="G409" s="723"/>
      <c r="H409" s="723"/>
      <c r="I409" s="723"/>
      <c r="J409" s="723"/>
      <c r="K409" s="723"/>
      <c r="L409" s="723"/>
      <c r="M409" s="723"/>
      <c r="N409" s="723"/>
      <c r="O409" s="724"/>
      <c r="P409" s="720" t="s">
        <v>40</v>
      </c>
      <c r="Q409" s="721"/>
      <c r="R409" s="721"/>
      <c r="S409" s="721"/>
      <c r="T409" s="721"/>
      <c r="U409" s="721"/>
      <c r="V409" s="722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x14ac:dyDescent="0.2">
      <c r="A410" s="723"/>
      <c r="B410" s="723"/>
      <c r="C410" s="723"/>
      <c r="D410" s="723"/>
      <c r="E410" s="723"/>
      <c r="F410" s="723"/>
      <c r="G410" s="723"/>
      <c r="H410" s="723"/>
      <c r="I410" s="723"/>
      <c r="J410" s="723"/>
      <c r="K410" s="723"/>
      <c r="L410" s="723"/>
      <c r="M410" s="723"/>
      <c r="N410" s="723"/>
      <c r="O410" s="724"/>
      <c r="P410" s="720" t="s">
        <v>40</v>
      </c>
      <c r="Q410" s="721"/>
      <c r="R410" s="721"/>
      <c r="S410" s="721"/>
      <c r="T410" s="721"/>
      <c r="U410" s="721"/>
      <c r="V410" s="722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6.5" customHeight="1" x14ac:dyDescent="0.25">
      <c r="A411" s="713" t="s">
        <v>682</v>
      </c>
      <c r="B411" s="713"/>
      <c r="C411" s="713"/>
      <c r="D411" s="713"/>
      <c r="E411" s="713"/>
      <c r="F411" s="713"/>
      <c r="G411" s="713"/>
      <c r="H411" s="713"/>
      <c r="I411" s="713"/>
      <c r="J411" s="713"/>
      <c r="K411" s="713"/>
      <c r="L411" s="713"/>
      <c r="M411" s="713"/>
      <c r="N411" s="713"/>
      <c r="O411" s="713"/>
      <c r="P411" s="713"/>
      <c r="Q411" s="713"/>
      <c r="R411" s="713"/>
      <c r="S411" s="713"/>
      <c r="T411" s="713"/>
      <c r="U411" s="713"/>
      <c r="V411" s="713"/>
      <c r="W411" s="713"/>
      <c r="X411" s="713"/>
      <c r="Y411" s="713"/>
      <c r="Z411" s="713"/>
      <c r="AA411" s="65"/>
      <c r="AB411" s="65"/>
      <c r="AC411" s="79"/>
    </row>
    <row r="412" spans="1:68" ht="14.25" customHeight="1" x14ac:dyDescent="0.25">
      <c r="A412" s="714" t="s">
        <v>86</v>
      </c>
      <c r="B412" s="714"/>
      <c r="C412" s="714"/>
      <c r="D412" s="714"/>
      <c r="E412" s="714"/>
      <c r="F412" s="714"/>
      <c r="G412" s="714"/>
      <c r="H412" s="714"/>
      <c r="I412" s="714"/>
      <c r="J412" s="714"/>
      <c r="K412" s="714"/>
      <c r="L412" s="714"/>
      <c r="M412" s="714"/>
      <c r="N412" s="714"/>
      <c r="O412" s="714"/>
      <c r="P412" s="714"/>
      <c r="Q412" s="714"/>
      <c r="R412" s="714"/>
      <c r="S412" s="714"/>
      <c r="T412" s="714"/>
      <c r="U412" s="714"/>
      <c r="V412" s="714"/>
      <c r="W412" s="714"/>
      <c r="X412" s="714"/>
      <c r="Y412" s="714"/>
      <c r="Z412" s="714"/>
      <c r="AA412" s="66"/>
      <c r="AB412" s="66"/>
      <c r="AC412" s="80"/>
    </row>
    <row r="413" spans="1:68" ht="16.5" customHeight="1" x14ac:dyDescent="0.25">
      <c r="A413" s="63" t="s">
        <v>683</v>
      </c>
      <c r="B413" s="63" t="s">
        <v>684</v>
      </c>
      <c r="C413" s="36">
        <v>4301052235</v>
      </c>
      <c r="D413" s="715">
        <v>4680115889415</v>
      </c>
      <c r="E413" s="715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937" t="s">
        <v>685</v>
      </c>
      <c r="Q413" s="717"/>
      <c r="R413" s="717"/>
      <c r="S413" s="717"/>
      <c r="T413" s="71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customHeight="1" x14ac:dyDescent="0.25">
      <c r="A414" s="63" t="s">
        <v>688</v>
      </c>
      <c r="B414" s="63" t="s">
        <v>689</v>
      </c>
      <c r="C414" s="36">
        <v>4301052236</v>
      </c>
      <c r="D414" s="715">
        <v>4680115889422</v>
      </c>
      <c r="E414" s="715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938" t="s">
        <v>690</v>
      </c>
      <c r="Q414" s="717"/>
      <c r="R414" s="717"/>
      <c r="S414" s="717"/>
      <c r="T414" s="718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x14ac:dyDescent="0.2">
      <c r="A415" s="723"/>
      <c r="B415" s="723"/>
      <c r="C415" s="723"/>
      <c r="D415" s="723"/>
      <c r="E415" s="723"/>
      <c r="F415" s="723"/>
      <c r="G415" s="723"/>
      <c r="H415" s="723"/>
      <c r="I415" s="723"/>
      <c r="J415" s="723"/>
      <c r="K415" s="723"/>
      <c r="L415" s="723"/>
      <c r="M415" s="723"/>
      <c r="N415" s="723"/>
      <c r="O415" s="724"/>
      <c r="P415" s="720" t="s">
        <v>40</v>
      </c>
      <c r="Q415" s="721"/>
      <c r="R415" s="721"/>
      <c r="S415" s="721"/>
      <c r="T415" s="721"/>
      <c r="U415" s="721"/>
      <c r="V415" s="722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x14ac:dyDescent="0.2">
      <c r="A416" s="723"/>
      <c r="B416" s="723"/>
      <c r="C416" s="723"/>
      <c r="D416" s="723"/>
      <c r="E416" s="723"/>
      <c r="F416" s="723"/>
      <c r="G416" s="723"/>
      <c r="H416" s="723"/>
      <c r="I416" s="723"/>
      <c r="J416" s="723"/>
      <c r="K416" s="723"/>
      <c r="L416" s="723"/>
      <c r="M416" s="723"/>
      <c r="N416" s="723"/>
      <c r="O416" s="724"/>
      <c r="P416" s="720" t="s">
        <v>40</v>
      </c>
      <c r="Q416" s="721"/>
      <c r="R416" s="721"/>
      <c r="S416" s="721"/>
      <c r="T416" s="721"/>
      <c r="U416" s="721"/>
      <c r="V416" s="722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customHeight="1" x14ac:dyDescent="0.25">
      <c r="A417" s="713" t="s">
        <v>692</v>
      </c>
      <c r="B417" s="713"/>
      <c r="C417" s="713"/>
      <c r="D417" s="713"/>
      <c r="E417" s="713"/>
      <c r="F417" s="713"/>
      <c r="G417" s="713"/>
      <c r="H417" s="713"/>
      <c r="I417" s="713"/>
      <c r="J417" s="713"/>
      <c r="K417" s="713"/>
      <c r="L417" s="713"/>
      <c r="M417" s="713"/>
      <c r="N417" s="713"/>
      <c r="O417" s="713"/>
      <c r="P417" s="713"/>
      <c r="Q417" s="713"/>
      <c r="R417" s="713"/>
      <c r="S417" s="713"/>
      <c r="T417" s="713"/>
      <c r="U417" s="713"/>
      <c r="V417" s="713"/>
      <c r="W417" s="713"/>
      <c r="X417" s="713"/>
      <c r="Y417" s="713"/>
      <c r="Z417" s="713"/>
      <c r="AA417" s="65"/>
      <c r="AB417" s="65"/>
      <c r="AC417" s="79"/>
    </row>
    <row r="418" spans="1:68" ht="14.25" customHeight="1" x14ac:dyDescent="0.25">
      <c r="A418" s="714" t="s">
        <v>86</v>
      </c>
      <c r="B418" s="714"/>
      <c r="C418" s="714"/>
      <c r="D418" s="714"/>
      <c r="E418" s="714"/>
      <c r="F418" s="714"/>
      <c r="G418" s="714"/>
      <c r="H418" s="714"/>
      <c r="I418" s="714"/>
      <c r="J418" s="714"/>
      <c r="K418" s="714"/>
      <c r="L418" s="714"/>
      <c r="M418" s="714"/>
      <c r="N418" s="714"/>
      <c r="O418" s="714"/>
      <c r="P418" s="714"/>
      <c r="Q418" s="714"/>
      <c r="R418" s="714"/>
      <c r="S418" s="714"/>
      <c r="T418" s="714"/>
      <c r="U418" s="714"/>
      <c r="V418" s="714"/>
      <c r="W418" s="714"/>
      <c r="X418" s="714"/>
      <c r="Y418" s="714"/>
      <c r="Z418" s="714"/>
      <c r="AA418" s="66"/>
      <c r="AB418" s="66"/>
      <c r="AC418" s="80"/>
    </row>
    <row r="419" spans="1:68" ht="27" customHeight="1" x14ac:dyDescent="0.25">
      <c r="A419" s="63" t="s">
        <v>693</v>
      </c>
      <c r="B419" s="63" t="s">
        <v>694</v>
      </c>
      <c r="C419" s="36">
        <v>4301051489</v>
      </c>
      <c r="D419" s="715">
        <v>4607091387919</v>
      </c>
      <c r="E419" s="715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9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717"/>
      <c r="R419" s="717"/>
      <c r="S419" s="717"/>
      <c r="T419" s="71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696</v>
      </c>
      <c r="B420" s="63" t="s">
        <v>697</v>
      </c>
      <c r="C420" s="36">
        <v>4301051461</v>
      </c>
      <c r="D420" s="715">
        <v>4680115883604</v>
      </c>
      <c r="E420" s="715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9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717"/>
      <c r="R420" s="717"/>
      <c r="S420" s="717"/>
      <c r="T420" s="718"/>
      <c r="U420" s="39" t="s">
        <v>46</v>
      </c>
      <c r="V420" s="39" t="s">
        <v>46</v>
      </c>
      <c r="W420" s="40" t="s">
        <v>0</v>
      </c>
      <c r="X420" s="58">
        <v>28</v>
      </c>
      <c r="Y420" s="55">
        <f>IFERROR(IF(X420="",0,CEILING((X420/$H420),1)*$H420),"")</f>
        <v>29.400000000000002</v>
      </c>
      <c r="Z420" s="41">
        <f>IFERROR(IF(Y420=0,"",ROUNDUP(Y420/H420,0)*0.00651),"")</f>
        <v>9.1139999999999999E-2</v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31.359999999999996</v>
      </c>
      <c r="BN420" s="78">
        <f>IFERROR(Y420*I420/H420,"0")</f>
        <v>32.927999999999997</v>
      </c>
      <c r="BO420" s="78">
        <f>IFERROR(1/J420*(X420/H420),"0")</f>
        <v>7.3260073260073263E-2</v>
      </c>
      <c r="BP420" s="78">
        <f>IFERROR(1/J420*(Y420/H420),"0")</f>
        <v>7.6923076923076927E-2</v>
      </c>
    </row>
    <row r="421" spans="1:68" ht="27" customHeight="1" x14ac:dyDescent="0.25">
      <c r="A421" s="63" t="s">
        <v>699</v>
      </c>
      <c r="B421" s="63" t="s">
        <v>700</v>
      </c>
      <c r="C421" s="36">
        <v>4301051864</v>
      </c>
      <c r="D421" s="715">
        <v>4680115883567</v>
      </c>
      <c r="E421" s="715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9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717"/>
      <c r="R421" s="717"/>
      <c r="S421" s="717"/>
      <c r="T421" s="718"/>
      <c r="U421" s="39" t="s">
        <v>46</v>
      </c>
      <c r="V421" s="39" t="s">
        <v>46</v>
      </c>
      <c r="W421" s="40" t="s">
        <v>0</v>
      </c>
      <c r="X421" s="58">
        <v>24.5</v>
      </c>
      <c r="Y421" s="55">
        <f>IFERROR(IF(X421="",0,CEILING((X421/$H421),1)*$H421),"")</f>
        <v>25.200000000000003</v>
      </c>
      <c r="Z421" s="41">
        <f>IFERROR(IF(Y421=0,"",ROUNDUP(Y421/H421,0)*0.00651),"")</f>
        <v>7.8119999999999995E-2</v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27.299999999999997</v>
      </c>
      <c r="BN421" s="78">
        <f>IFERROR(Y421*I421/H421,"0")</f>
        <v>28.080000000000002</v>
      </c>
      <c r="BO421" s="78">
        <f>IFERROR(1/J421*(X421/H421),"0")</f>
        <v>6.4102564102564111E-2</v>
      </c>
      <c r="BP421" s="78">
        <f>IFERROR(1/J421*(Y421/H421),"0")</f>
        <v>6.5934065934065936E-2</v>
      </c>
    </row>
    <row r="422" spans="1:68" x14ac:dyDescent="0.2">
      <c r="A422" s="723"/>
      <c r="B422" s="723"/>
      <c r="C422" s="723"/>
      <c r="D422" s="723"/>
      <c r="E422" s="723"/>
      <c r="F422" s="723"/>
      <c r="G422" s="723"/>
      <c r="H422" s="723"/>
      <c r="I422" s="723"/>
      <c r="J422" s="723"/>
      <c r="K422" s="723"/>
      <c r="L422" s="723"/>
      <c r="M422" s="723"/>
      <c r="N422" s="723"/>
      <c r="O422" s="724"/>
      <c r="P422" s="720" t="s">
        <v>40</v>
      </c>
      <c r="Q422" s="721"/>
      <c r="R422" s="721"/>
      <c r="S422" s="721"/>
      <c r="T422" s="721"/>
      <c r="U422" s="721"/>
      <c r="V422" s="722"/>
      <c r="W422" s="42" t="s">
        <v>39</v>
      </c>
      <c r="X422" s="43">
        <f>IFERROR(X419/H419,"0")+IFERROR(X420/H420,"0")+IFERROR(X421/H421,"0")</f>
        <v>25</v>
      </c>
      <c r="Y422" s="43">
        <f>IFERROR(Y419/H419,"0")+IFERROR(Y420/H420,"0")+IFERROR(Y421/H421,"0")</f>
        <v>26</v>
      </c>
      <c r="Z422" s="43">
        <f>IFERROR(IF(Z419="",0,Z419),"0")+IFERROR(IF(Z420="",0,Z420),"0")+IFERROR(IF(Z421="",0,Z421),"0")</f>
        <v>0.16925999999999999</v>
      </c>
      <c r="AA422" s="67"/>
      <c r="AB422" s="67"/>
      <c r="AC422" s="67"/>
    </row>
    <row r="423" spans="1:68" x14ac:dyDescent="0.2">
      <c r="A423" s="723"/>
      <c r="B423" s="723"/>
      <c r="C423" s="723"/>
      <c r="D423" s="723"/>
      <c r="E423" s="723"/>
      <c r="F423" s="723"/>
      <c r="G423" s="723"/>
      <c r="H423" s="723"/>
      <c r="I423" s="723"/>
      <c r="J423" s="723"/>
      <c r="K423" s="723"/>
      <c r="L423" s="723"/>
      <c r="M423" s="723"/>
      <c r="N423" s="723"/>
      <c r="O423" s="724"/>
      <c r="P423" s="720" t="s">
        <v>40</v>
      </c>
      <c r="Q423" s="721"/>
      <c r="R423" s="721"/>
      <c r="S423" s="721"/>
      <c r="T423" s="721"/>
      <c r="U423" s="721"/>
      <c r="V423" s="722"/>
      <c r="W423" s="42" t="s">
        <v>0</v>
      </c>
      <c r="X423" s="43">
        <f>IFERROR(SUM(X419:X421),"0")</f>
        <v>52.5</v>
      </c>
      <c r="Y423" s="43">
        <f>IFERROR(SUM(Y419:Y421),"0")</f>
        <v>54.600000000000009</v>
      </c>
      <c r="Z423" s="42"/>
      <c r="AA423" s="67"/>
      <c r="AB423" s="67"/>
      <c r="AC423" s="67"/>
    </row>
    <row r="424" spans="1:68" ht="27.75" customHeight="1" x14ac:dyDescent="0.2">
      <c r="A424" s="712" t="s">
        <v>702</v>
      </c>
      <c r="B424" s="712"/>
      <c r="C424" s="712"/>
      <c r="D424" s="712"/>
      <c r="E424" s="712"/>
      <c r="F424" s="712"/>
      <c r="G424" s="712"/>
      <c r="H424" s="712"/>
      <c r="I424" s="712"/>
      <c r="J424" s="712"/>
      <c r="K424" s="712"/>
      <c r="L424" s="712"/>
      <c r="M424" s="712"/>
      <c r="N424" s="712"/>
      <c r="O424" s="712"/>
      <c r="P424" s="712"/>
      <c r="Q424" s="712"/>
      <c r="R424" s="712"/>
      <c r="S424" s="712"/>
      <c r="T424" s="712"/>
      <c r="U424" s="712"/>
      <c r="V424" s="712"/>
      <c r="W424" s="712"/>
      <c r="X424" s="712"/>
      <c r="Y424" s="712"/>
      <c r="Z424" s="712"/>
      <c r="AA424" s="54"/>
      <c r="AB424" s="54"/>
      <c r="AC424" s="54"/>
    </row>
    <row r="425" spans="1:68" ht="16.5" customHeight="1" x14ac:dyDescent="0.25">
      <c r="A425" s="713" t="s">
        <v>703</v>
      </c>
      <c r="B425" s="713"/>
      <c r="C425" s="713"/>
      <c r="D425" s="713"/>
      <c r="E425" s="713"/>
      <c r="F425" s="713"/>
      <c r="G425" s="713"/>
      <c r="H425" s="713"/>
      <c r="I425" s="713"/>
      <c r="J425" s="713"/>
      <c r="K425" s="713"/>
      <c r="L425" s="713"/>
      <c r="M425" s="713"/>
      <c r="N425" s="713"/>
      <c r="O425" s="713"/>
      <c r="P425" s="713"/>
      <c r="Q425" s="713"/>
      <c r="R425" s="713"/>
      <c r="S425" s="713"/>
      <c r="T425" s="713"/>
      <c r="U425" s="713"/>
      <c r="V425" s="713"/>
      <c r="W425" s="713"/>
      <c r="X425" s="713"/>
      <c r="Y425" s="713"/>
      <c r="Z425" s="713"/>
      <c r="AA425" s="65"/>
      <c r="AB425" s="65"/>
      <c r="AC425" s="79"/>
    </row>
    <row r="426" spans="1:68" ht="14.25" customHeight="1" x14ac:dyDescent="0.25">
      <c r="A426" s="714" t="s">
        <v>122</v>
      </c>
      <c r="B426" s="714"/>
      <c r="C426" s="714"/>
      <c r="D426" s="714"/>
      <c r="E426" s="714"/>
      <c r="F426" s="714"/>
      <c r="G426" s="714"/>
      <c r="H426" s="714"/>
      <c r="I426" s="714"/>
      <c r="J426" s="714"/>
      <c r="K426" s="714"/>
      <c r="L426" s="714"/>
      <c r="M426" s="714"/>
      <c r="N426" s="714"/>
      <c r="O426" s="714"/>
      <c r="P426" s="714"/>
      <c r="Q426" s="714"/>
      <c r="R426" s="714"/>
      <c r="S426" s="714"/>
      <c r="T426" s="714"/>
      <c r="U426" s="714"/>
      <c r="V426" s="714"/>
      <c r="W426" s="714"/>
      <c r="X426" s="714"/>
      <c r="Y426" s="714"/>
      <c r="Z426" s="714"/>
      <c r="AA426" s="66"/>
      <c r="AB426" s="66"/>
      <c r="AC426" s="80"/>
    </row>
    <row r="427" spans="1:68" ht="27" customHeight="1" x14ac:dyDescent="0.25">
      <c r="A427" s="63" t="s">
        <v>704</v>
      </c>
      <c r="B427" s="63" t="s">
        <v>705</v>
      </c>
      <c r="C427" s="36">
        <v>4301012332</v>
      </c>
      <c r="D427" s="715">
        <v>4680115888401</v>
      </c>
      <c r="E427" s="715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9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717"/>
      <c r="R427" s="717"/>
      <c r="S427" s="717"/>
      <c r="T427" s="718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ref="Y427:Y434" si="58">IFERROR(IF(X427="",0,CEILING((X427/$H427),1)*$H427),"")</f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0</v>
      </c>
      <c r="BN427" s="78">
        <f t="shared" ref="BN427:BN434" si="60">IFERROR(Y427*I427/H427,"0")</f>
        <v>0</v>
      </c>
      <c r="BO427" s="78">
        <f t="shared" ref="BO427:BO434" si="61">IFERROR(1/J427*(X427/H427),"0")</f>
        <v>0</v>
      </c>
      <c r="BP427" s="78">
        <f t="shared" ref="BP427:BP434" si="62">IFERROR(1/J427*(Y427/H427),"0")</f>
        <v>0</v>
      </c>
    </row>
    <row r="428" spans="1:68" ht="37.5" customHeight="1" x14ac:dyDescent="0.25">
      <c r="A428" s="63" t="s">
        <v>707</v>
      </c>
      <c r="B428" s="63" t="s">
        <v>708</v>
      </c>
      <c r="C428" s="36">
        <v>4301011869</v>
      </c>
      <c r="D428" s="715">
        <v>4680115884847</v>
      </c>
      <c r="E428" s="715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9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717"/>
      <c r="R428" s="717"/>
      <c r="S428" s="717"/>
      <c r="T428" s="718"/>
      <c r="U428" s="39" t="s">
        <v>46</v>
      </c>
      <c r="V428" s="39" t="s">
        <v>46</v>
      </c>
      <c r="W428" s="40" t="s">
        <v>0</v>
      </c>
      <c r="X428" s="58">
        <v>200</v>
      </c>
      <c r="Y428" s="55">
        <f t="shared" si="58"/>
        <v>210</v>
      </c>
      <c r="Z428" s="41">
        <f>IFERROR(IF(Y428=0,"",ROUNDUP(Y428/H428,0)*0.02175),"")</f>
        <v>0.30449999999999999</v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206.26666666666668</v>
      </c>
      <c r="BN428" s="78">
        <f t="shared" si="60"/>
        <v>216.58</v>
      </c>
      <c r="BO428" s="78">
        <f t="shared" si="61"/>
        <v>0.27777777777777779</v>
      </c>
      <c r="BP428" s="78">
        <f t="shared" si="62"/>
        <v>0.29166666666666663</v>
      </c>
    </row>
    <row r="429" spans="1:68" ht="27" customHeight="1" x14ac:dyDescent="0.25">
      <c r="A429" s="63" t="s">
        <v>710</v>
      </c>
      <c r="B429" s="63" t="s">
        <v>711</v>
      </c>
      <c r="C429" s="36">
        <v>4301012083</v>
      </c>
      <c r="D429" s="715">
        <v>4680115884854</v>
      </c>
      <c r="E429" s="715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94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717"/>
      <c r="R429" s="717"/>
      <c r="S429" s="717"/>
      <c r="T429" s="718"/>
      <c r="U429" s="39" t="s">
        <v>46</v>
      </c>
      <c r="V429" s="39" t="s">
        <v>46</v>
      </c>
      <c r="W429" s="40" t="s">
        <v>0</v>
      </c>
      <c r="X429" s="58">
        <v>200</v>
      </c>
      <c r="Y429" s="55">
        <f t="shared" si="58"/>
        <v>210</v>
      </c>
      <c r="Z429" s="41">
        <f>IFERROR(IF(Y429=0,"",ROUNDUP(Y429/H429,0)*0.02175),"")</f>
        <v>0.30449999999999999</v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206.26666666666668</v>
      </c>
      <c r="BN429" s="78">
        <f t="shared" si="60"/>
        <v>216.58</v>
      </c>
      <c r="BO429" s="78">
        <f t="shared" si="61"/>
        <v>0.27777777777777779</v>
      </c>
      <c r="BP429" s="78">
        <f t="shared" si="62"/>
        <v>0.29166666666666663</v>
      </c>
    </row>
    <row r="430" spans="1:68" ht="27" customHeight="1" x14ac:dyDescent="0.25">
      <c r="A430" s="63" t="s">
        <v>713</v>
      </c>
      <c r="B430" s="63" t="s">
        <v>714</v>
      </c>
      <c r="C430" s="36">
        <v>4301011867</v>
      </c>
      <c r="D430" s="715">
        <v>4680115884830</v>
      </c>
      <c r="E430" s="715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94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717"/>
      <c r="R430" s="717"/>
      <c r="S430" s="717"/>
      <c r="T430" s="718"/>
      <c r="U430" s="39" t="s">
        <v>46</v>
      </c>
      <c r="V430" s="39" t="s">
        <v>46</v>
      </c>
      <c r="W430" s="40" t="s">
        <v>0</v>
      </c>
      <c r="X430" s="58">
        <v>170</v>
      </c>
      <c r="Y430" s="55">
        <f t="shared" si="58"/>
        <v>180</v>
      </c>
      <c r="Z430" s="41">
        <f>IFERROR(IF(Y430=0,"",ROUNDUP(Y430/H430,0)*0.02175),"")</f>
        <v>0.26100000000000001</v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175.32666666666668</v>
      </c>
      <c r="BN430" s="78">
        <f t="shared" si="60"/>
        <v>185.64</v>
      </c>
      <c r="BO430" s="78">
        <f t="shared" si="61"/>
        <v>0.2361111111111111</v>
      </c>
      <c r="BP430" s="78">
        <f t="shared" si="62"/>
        <v>0.25</v>
      </c>
    </row>
    <row r="431" spans="1:68" ht="27" customHeight="1" x14ac:dyDescent="0.25">
      <c r="A431" s="63" t="s">
        <v>716</v>
      </c>
      <c r="B431" s="63" t="s">
        <v>717</v>
      </c>
      <c r="C431" s="36">
        <v>4301012356</v>
      </c>
      <c r="D431" s="715">
        <v>4680115889231</v>
      </c>
      <c r="E431" s="715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94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717"/>
      <c r="R431" s="717"/>
      <c r="S431" s="717"/>
      <c r="T431" s="718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0</v>
      </c>
      <c r="BN431" s="78">
        <f t="shared" si="60"/>
        <v>0</v>
      </c>
      <c r="BO431" s="78">
        <f t="shared" si="61"/>
        <v>0</v>
      </c>
      <c r="BP431" s="78">
        <f t="shared" si="62"/>
        <v>0</v>
      </c>
    </row>
    <row r="432" spans="1:68" ht="27" customHeight="1" x14ac:dyDescent="0.25">
      <c r="A432" s="63" t="s">
        <v>719</v>
      </c>
      <c r="B432" s="63" t="s">
        <v>720</v>
      </c>
      <c r="C432" s="36">
        <v>4301011433</v>
      </c>
      <c r="D432" s="715">
        <v>4680115882638</v>
      </c>
      <c r="E432" s="715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94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717"/>
      <c r="R432" s="717"/>
      <c r="S432" s="717"/>
      <c r="T432" s="71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customHeight="1" x14ac:dyDescent="0.25">
      <c r="A433" s="63" t="s">
        <v>722</v>
      </c>
      <c r="B433" s="63" t="s">
        <v>723</v>
      </c>
      <c r="C433" s="36">
        <v>4301011952</v>
      </c>
      <c r="D433" s="715">
        <v>4680115884922</v>
      </c>
      <c r="E433" s="715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94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717"/>
      <c r="R433" s="717"/>
      <c r="S433" s="717"/>
      <c r="T433" s="71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customHeight="1" x14ac:dyDescent="0.25">
      <c r="A434" s="63" t="s">
        <v>725</v>
      </c>
      <c r="B434" s="63" t="s">
        <v>726</v>
      </c>
      <c r="C434" s="36">
        <v>4301011868</v>
      </c>
      <c r="D434" s="715">
        <v>4680115884861</v>
      </c>
      <c r="E434" s="715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94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717"/>
      <c r="R434" s="717"/>
      <c r="S434" s="717"/>
      <c r="T434" s="718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x14ac:dyDescent="0.2">
      <c r="A435" s="723"/>
      <c r="B435" s="723"/>
      <c r="C435" s="723"/>
      <c r="D435" s="723"/>
      <c r="E435" s="723"/>
      <c r="F435" s="723"/>
      <c r="G435" s="723"/>
      <c r="H435" s="723"/>
      <c r="I435" s="723"/>
      <c r="J435" s="723"/>
      <c r="K435" s="723"/>
      <c r="L435" s="723"/>
      <c r="M435" s="723"/>
      <c r="N435" s="723"/>
      <c r="O435" s="724"/>
      <c r="P435" s="720" t="s">
        <v>40</v>
      </c>
      <c r="Q435" s="721"/>
      <c r="R435" s="721"/>
      <c r="S435" s="721"/>
      <c r="T435" s="721"/>
      <c r="U435" s="721"/>
      <c r="V435" s="722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38</v>
      </c>
      <c r="Y435" s="43">
        <f>IFERROR(Y427/H427,"0")+IFERROR(Y428/H428,"0")+IFERROR(Y429/H429,"0")+IFERROR(Y430/H430,"0")+IFERROR(Y431/H431,"0")+IFERROR(Y432/H432,"0")+IFERROR(Y433/H433,"0")+IFERROR(Y434/H434,"0")</f>
        <v>40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0.87</v>
      </c>
      <c r="AA435" s="67"/>
      <c r="AB435" s="67"/>
      <c r="AC435" s="67"/>
    </row>
    <row r="436" spans="1:68" x14ac:dyDescent="0.2">
      <c r="A436" s="723"/>
      <c r="B436" s="723"/>
      <c r="C436" s="723"/>
      <c r="D436" s="723"/>
      <c r="E436" s="723"/>
      <c r="F436" s="723"/>
      <c r="G436" s="723"/>
      <c r="H436" s="723"/>
      <c r="I436" s="723"/>
      <c r="J436" s="723"/>
      <c r="K436" s="723"/>
      <c r="L436" s="723"/>
      <c r="M436" s="723"/>
      <c r="N436" s="723"/>
      <c r="O436" s="724"/>
      <c r="P436" s="720" t="s">
        <v>40</v>
      </c>
      <c r="Q436" s="721"/>
      <c r="R436" s="721"/>
      <c r="S436" s="721"/>
      <c r="T436" s="721"/>
      <c r="U436" s="721"/>
      <c r="V436" s="722"/>
      <c r="W436" s="42" t="s">
        <v>0</v>
      </c>
      <c r="X436" s="43">
        <f>IFERROR(SUM(X427:X434),"0")</f>
        <v>570</v>
      </c>
      <c r="Y436" s="43">
        <f>IFERROR(SUM(Y427:Y434),"0")</f>
        <v>600</v>
      </c>
      <c r="Z436" s="42"/>
      <c r="AA436" s="67"/>
      <c r="AB436" s="67"/>
      <c r="AC436" s="67"/>
    </row>
    <row r="437" spans="1:68" ht="14.25" customHeight="1" x14ac:dyDescent="0.25">
      <c r="A437" s="714" t="s">
        <v>158</v>
      </c>
      <c r="B437" s="714"/>
      <c r="C437" s="714"/>
      <c r="D437" s="714"/>
      <c r="E437" s="714"/>
      <c r="F437" s="714"/>
      <c r="G437" s="714"/>
      <c r="H437" s="714"/>
      <c r="I437" s="714"/>
      <c r="J437" s="714"/>
      <c r="K437" s="714"/>
      <c r="L437" s="714"/>
      <c r="M437" s="714"/>
      <c r="N437" s="714"/>
      <c r="O437" s="714"/>
      <c r="P437" s="714"/>
      <c r="Q437" s="714"/>
      <c r="R437" s="714"/>
      <c r="S437" s="714"/>
      <c r="T437" s="714"/>
      <c r="U437" s="714"/>
      <c r="V437" s="714"/>
      <c r="W437" s="714"/>
      <c r="X437" s="714"/>
      <c r="Y437" s="714"/>
      <c r="Z437" s="714"/>
      <c r="AA437" s="66"/>
      <c r="AB437" s="66"/>
      <c r="AC437" s="80"/>
    </row>
    <row r="438" spans="1:68" ht="27" customHeight="1" x14ac:dyDescent="0.25">
      <c r="A438" s="63" t="s">
        <v>728</v>
      </c>
      <c r="B438" s="63" t="s">
        <v>729</v>
      </c>
      <c r="C438" s="36">
        <v>4301020178</v>
      </c>
      <c r="D438" s="715">
        <v>4607091383980</v>
      </c>
      <c r="E438" s="715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95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717"/>
      <c r="R438" s="717"/>
      <c r="S438" s="717"/>
      <c r="T438" s="718"/>
      <c r="U438" s="39" t="s">
        <v>46</v>
      </c>
      <c r="V438" s="39" t="s">
        <v>46</v>
      </c>
      <c r="W438" s="40" t="s">
        <v>0</v>
      </c>
      <c r="X438" s="58">
        <v>100</v>
      </c>
      <c r="Y438" s="55">
        <f>IFERROR(IF(X438="",0,CEILING((X438/$H438),1)*$H438),"")</f>
        <v>105</v>
      </c>
      <c r="Z438" s="41">
        <f>IFERROR(IF(Y438=0,"",ROUNDUP(Y438/H438,0)*0.02175),"")</f>
        <v>0.15225</v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103.13333333333334</v>
      </c>
      <c r="BN438" s="78">
        <f>IFERROR(Y438*I438/H438,"0")</f>
        <v>108.29</v>
      </c>
      <c r="BO438" s="78">
        <f>IFERROR(1/J438*(X438/H438),"0")</f>
        <v>0.1388888888888889</v>
      </c>
      <c r="BP438" s="78">
        <f>IFERROR(1/J438*(Y438/H438),"0")</f>
        <v>0.14583333333333331</v>
      </c>
    </row>
    <row r="439" spans="1:68" ht="27" customHeight="1" x14ac:dyDescent="0.25">
      <c r="A439" s="63" t="s">
        <v>731</v>
      </c>
      <c r="B439" s="63" t="s">
        <v>732</v>
      </c>
      <c r="C439" s="36">
        <v>4301020355</v>
      </c>
      <c r="D439" s="715">
        <v>4680115888425</v>
      </c>
      <c r="E439" s="715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95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717"/>
      <c r="R439" s="717"/>
      <c r="S439" s="717"/>
      <c r="T439" s="718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customHeight="1" x14ac:dyDescent="0.25">
      <c r="A440" s="63" t="s">
        <v>734</v>
      </c>
      <c r="B440" s="63" t="s">
        <v>735</v>
      </c>
      <c r="C440" s="36">
        <v>4301020179</v>
      </c>
      <c r="D440" s="715">
        <v>4607091384178</v>
      </c>
      <c r="E440" s="715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9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717"/>
      <c r="R440" s="717"/>
      <c r="S440" s="717"/>
      <c r="T440" s="718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x14ac:dyDescent="0.2">
      <c r="A441" s="723"/>
      <c r="B441" s="723"/>
      <c r="C441" s="723"/>
      <c r="D441" s="723"/>
      <c r="E441" s="723"/>
      <c r="F441" s="723"/>
      <c r="G441" s="723"/>
      <c r="H441" s="723"/>
      <c r="I441" s="723"/>
      <c r="J441" s="723"/>
      <c r="K441" s="723"/>
      <c r="L441" s="723"/>
      <c r="M441" s="723"/>
      <c r="N441" s="723"/>
      <c r="O441" s="724"/>
      <c r="P441" s="720" t="s">
        <v>40</v>
      </c>
      <c r="Q441" s="721"/>
      <c r="R441" s="721"/>
      <c r="S441" s="721"/>
      <c r="T441" s="721"/>
      <c r="U441" s="721"/>
      <c r="V441" s="722"/>
      <c r="W441" s="42" t="s">
        <v>39</v>
      </c>
      <c r="X441" s="43">
        <f>IFERROR(X438/H438,"0")+IFERROR(X439/H439,"0")+IFERROR(X440/H440,"0")</f>
        <v>6.666666666666667</v>
      </c>
      <c r="Y441" s="43">
        <f>IFERROR(Y438/H438,"0")+IFERROR(Y439/H439,"0")+IFERROR(Y440/H440,"0")</f>
        <v>7</v>
      </c>
      <c r="Z441" s="43">
        <f>IFERROR(IF(Z438="",0,Z438),"0")+IFERROR(IF(Z439="",0,Z439),"0")+IFERROR(IF(Z440="",0,Z440),"0")</f>
        <v>0.15225</v>
      </c>
      <c r="AA441" s="67"/>
      <c r="AB441" s="67"/>
      <c r="AC441" s="67"/>
    </row>
    <row r="442" spans="1:68" x14ac:dyDescent="0.2">
      <c r="A442" s="723"/>
      <c r="B442" s="723"/>
      <c r="C442" s="723"/>
      <c r="D442" s="723"/>
      <c r="E442" s="723"/>
      <c r="F442" s="723"/>
      <c r="G442" s="723"/>
      <c r="H442" s="723"/>
      <c r="I442" s="723"/>
      <c r="J442" s="723"/>
      <c r="K442" s="723"/>
      <c r="L442" s="723"/>
      <c r="M442" s="723"/>
      <c r="N442" s="723"/>
      <c r="O442" s="724"/>
      <c r="P442" s="720" t="s">
        <v>40</v>
      </c>
      <c r="Q442" s="721"/>
      <c r="R442" s="721"/>
      <c r="S442" s="721"/>
      <c r="T442" s="721"/>
      <c r="U442" s="721"/>
      <c r="V442" s="722"/>
      <c r="W442" s="42" t="s">
        <v>0</v>
      </c>
      <c r="X442" s="43">
        <f>IFERROR(SUM(X438:X440),"0")</f>
        <v>100</v>
      </c>
      <c r="Y442" s="43">
        <f>IFERROR(SUM(Y438:Y440),"0")</f>
        <v>105</v>
      </c>
      <c r="Z442" s="42"/>
      <c r="AA442" s="67"/>
      <c r="AB442" s="67"/>
      <c r="AC442" s="67"/>
    </row>
    <row r="443" spans="1:68" ht="14.25" customHeight="1" x14ac:dyDescent="0.25">
      <c r="A443" s="714" t="s">
        <v>86</v>
      </c>
      <c r="B443" s="714"/>
      <c r="C443" s="714"/>
      <c r="D443" s="714"/>
      <c r="E443" s="714"/>
      <c r="F443" s="714"/>
      <c r="G443" s="714"/>
      <c r="H443" s="714"/>
      <c r="I443" s="714"/>
      <c r="J443" s="714"/>
      <c r="K443" s="714"/>
      <c r="L443" s="714"/>
      <c r="M443" s="714"/>
      <c r="N443" s="714"/>
      <c r="O443" s="714"/>
      <c r="P443" s="714"/>
      <c r="Q443" s="714"/>
      <c r="R443" s="714"/>
      <c r="S443" s="714"/>
      <c r="T443" s="714"/>
      <c r="U443" s="714"/>
      <c r="V443" s="714"/>
      <c r="W443" s="714"/>
      <c r="X443" s="714"/>
      <c r="Y443" s="714"/>
      <c r="Z443" s="714"/>
      <c r="AA443" s="66"/>
      <c r="AB443" s="66"/>
      <c r="AC443" s="80"/>
    </row>
    <row r="444" spans="1:68" ht="27" customHeight="1" x14ac:dyDescent="0.25">
      <c r="A444" s="63" t="s">
        <v>737</v>
      </c>
      <c r="B444" s="63" t="s">
        <v>738</v>
      </c>
      <c r="C444" s="36">
        <v>4301051903</v>
      </c>
      <c r="D444" s="715">
        <v>4607091383928</v>
      </c>
      <c r="E444" s="715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717"/>
      <c r="R444" s="717"/>
      <c r="S444" s="717"/>
      <c r="T444" s="71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740</v>
      </c>
      <c r="B445" s="63" t="s">
        <v>741</v>
      </c>
      <c r="C445" s="36">
        <v>4301051897</v>
      </c>
      <c r="D445" s="715">
        <v>4607091384260</v>
      </c>
      <c r="E445" s="715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95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717"/>
      <c r="R445" s="717"/>
      <c r="S445" s="717"/>
      <c r="T445" s="718"/>
      <c r="U445" s="39" t="s">
        <v>46</v>
      </c>
      <c r="V445" s="39" t="s">
        <v>46</v>
      </c>
      <c r="W445" s="40" t="s">
        <v>0</v>
      </c>
      <c r="X445" s="58">
        <v>100</v>
      </c>
      <c r="Y445" s="55">
        <f>IFERROR(IF(X445="",0,CEILING((X445/$H445),1)*$H445),"")</f>
        <v>108</v>
      </c>
      <c r="Z445" s="41">
        <f>IFERROR(IF(Y445=0,"",ROUNDUP(Y445/H445,0)*0.01898),"")</f>
        <v>0.22776000000000002</v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105.48888888888888</v>
      </c>
      <c r="BN445" s="78">
        <f>IFERROR(Y445*I445/H445,"0")</f>
        <v>113.92799999999998</v>
      </c>
      <c r="BO445" s="78">
        <f>IFERROR(1/J445*(X445/H445),"0")</f>
        <v>0.1736111111111111</v>
      </c>
      <c r="BP445" s="78">
        <f>IFERROR(1/J445*(Y445/H445),"0")</f>
        <v>0.1875</v>
      </c>
    </row>
    <row r="446" spans="1:68" ht="16.5" customHeight="1" x14ac:dyDescent="0.25">
      <c r="A446" s="63" t="s">
        <v>743</v>
      </c>
      <c r="B446" s="63" t="s">
        <v>744</v>
      </c>
      <c r="C446" s="36">
        <v>4301052220</v>
      </c>
      <c r="D446" s="715">
        <v>4680115889538</v>
      </c>
      <c r="E446" s="715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95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717"/>
      <c r="R446" s="717"/>
      <c r="S446" s="717"/>
      <c r="T446" s="718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723"/>
      <c r="B447" s="723"/>
      <c r="C447" s="723"/>
      <c r="D447" s="723"/>
      <c r="E447" s="723"/>
      <c r="F447" s="723"/>
      <c r="G447" s="723"/>
      <c r="H447" s="723"/>
      <c r="I447" s="723"/>
      <c r="J447" s="723"/>
      <c r="K447" s="723"/>
      <c r="L447" s="723"/>
      <c r="M447" s="723"/>
      <c r="N447" s="723"/>
      <c r="O447" s="724"/>
      <c r="P447" s="720" t="s">
        <v>40</v>
      </c>
      <c r="Q447" s="721"/>
      <c r="R447" s="721"/>
      <c r="S447" s="721"/>
      <c r="T447" s="721"/>
      <c r="U447" s="721"/>
      <c r="V447" s="722"/>
      <c r="W447" s="42" t="s">
        <v>39</v>
      </c>
      <c r="X447" s="43">
        <f>IFERROR(X444/H444,"0")+IFERROR(X445/H445,"0")+IFERROR(X446/H446,"0")</f>
        <v>11.111111111111111</v>
      </c>
      <c r="Y447" s="43">
        <f>IFERROR(Y444/H444,"0")+IFERROR(Y445/H445,"0")+IFERROR(Y446/H446,"0")</f>
        <v>12</v>
      </c>
      <c r="Z447" s="43">
        <f>IFERROR(IF(Z444="",0,Z444),"0")+IFERROR(IF(Z445="",0,Z445),"0")+IFERROR(IF(Z446="",0,Z446),"0")</f>
        <v>0.22776000000000002</v>
      </c>
      <c r="AA447" s="67"/>
      <c r="AB447" s="67"/>
      <c r="AC447" s="67"/>
    </row>
    <row r="448" spans="1:68" x14ac:dyDescent="0.2">
      <c r="A448" s="723"/>
      <c r="B448" s="723"/>
      <c r="C448" s="723"/>
      <c r="D448" s="723"/>
      <c r="E448" s="723"/>
      <c r="F448" s="723"/>
      <c r="G448" s="723"/>
      <c r="H448" s="723"/>
      <c r="I448" s="723"/>
      <c r="J448" s="723"/>
      <c r="K448" s="723"/>
      <c r="L448" s="723"/>
      <c r="M448" s="723"/>
      <c r="N448" s="723"/>
      <c r="O448" s="724"/>
      <c r="P448" s="720" t="s">
        <v>40</v>
      </c>
      <c r="Q448" s="721"/>
      <c r="R448" s="721"/>
      <c r="S448" s="721"/>
      <c r="T448" s="721"/>
      <c r="U448" s="721"/>
      <c r="V448" s="722"/>
      <c r="W448" s="42" t="s">
        <v>0</v>
      </c>
      <c r="X448" s="43">
        <f>IFERROR(SUM(X444:X446),"0")</f>
        <v>100</v>
      </c>
      <c r="Y448" s="43">
        <f>IFERROR(SUM(Y444:Y446),"0")</f>
        <v>108</v>
      </c>
      <c r="Z448" s="42"/>
      <c r="AA448" s="67"/>
      <c r="AB448" s="67"/>
      <c r="AC448" s="67"/>
    </row>
    <row r="449" spans="1:68" ht="14.25" customHeight="1" x14ac:dyDescent="0.25">
      <c r="A449" s="714" t="s">
        <v>175</v>
      </c>
      <c r="B449" s="714"/>
      <c r="C449" s="714"/>
      <c r="D449" s="714"/>
      <c r="E449" s="714"/>
      <c r="F449" s="714"/>
      <c r="G449" s="714"/>
      <c r="H449" s="714"/>
      <c r="I449" s="714"/>
      <c r="J449" s="714"/>
      <c r="K449" s="714"/>
      <c r="L449" s="714"/>
      <c r="M449" s="714"/>
      <c r="N449" s="714"/>
      <c r="O449" s="714"/>
      <c r="P449" s="714"/>
      <c r="Q449" s="714"/>
      <c r="R449" s="714"/>
      <c r="S449" s="714"/>
      <c r="T449" s="714"/>
      <c r="U449" s="714"/>
      <c r="V449" s="714"/>
      <c r="W449" s="714"/>
      <c r="X449" s="714"/>
      <c r="Y449" s="714"/>
      <c r="Z449" s="714"/>
      <c r="AA449" s="66"/>
      <c r="AB449" s="66"/>
      <c r="AC449" s="80"/>
    </row>
    <row r="450" spans="1:68" ht="27" customHeight="1" x14ac:dyDescent="0.25">
      <c r="A450" s="63" t="s">
        <v>746</v>
      </c>
      <c r="B450" s="63" t="s">
        <v>747</v>
      </c>
      <c r="C450" s="36">
        <v>4301060537</v>
      </c>
      <c r="D450" s="715">
        <v>4680115889545</v>
      </c>
      <c r="E450" s="715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95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717"/>
      <c r="R450" s="717"/>
      <c r="S450" s="717"/>
      <c r="T450" s="71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customHeight="1" x14ac:dyDescent="0.25">
      <c r="A451" s="63" t="s">
        <v>749</v>
      </c>
      <c r="B451" s="63" t="s">
        <v>750</v>
      </c>
      <c r="C451" s="36">
        <v>4301060524</v>
      </c>
      <c r="D451" s="715">
        <v>4607091384673</v>
      </c>
      <c r="E451" s="715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9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717"/>
      <c r="R451" s="717"/>
      <c r="S451" s="717"/>
      <c r="T451" s="71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723"/>
      <c r="B452" s="723"/>
      <c r="C452" s="723"/>
      <c r="D452" s="723"/>
      <c r="E452" s="723"/>
      <c r="F452" s="723"/>
      <c r="G452" s="723"/>
      <c r="H452" s="723"/>
      <c r="I452" s="723"/>
      <c r="J452" s="723"/>
      <c r="K452" s="723"/>
      <c r="L452" s="723"/>
      <c r="M452" s="723"/>
      <c r="N452" s="723"/>
      <c r="O452" s="724"/>
      <c r="P452" s="720" t="s">
        <v>40</v>
      </c>
      <c r="Q452" s="721"/>
      <c r="R452" s="721"/>
      <c r="S452" s="721"/>
      <c r="T452" s="721"/>
      <c r="U452" s="721"/>
      <c r="V452" s="722"/>
      <c r="W452" s="42" t="s">
        <v>39</v>
      </c>
      <c r="X452" s="43">
        <f>IFERROR(X450/H450,"0")+IFERROR(X451/H451,"0")</f>
        <v>0</v>
      </c>
      <c r="Y452" s="43">
        <f>IFERROR(Y450/H450,"0")+IFERROR(Y451/H451,"0")</f>
        <v>0</v>
      </c>
      <c r="Z452" s="43">
        <f>IFERROR(IF(Z450="",0,Z450),"0")+IFERROR(IF(Z451="",0,Z451),"0")</f>
        <v>0</v>
      </c>
      <c r="AA452" s="67"/>
      <c r="AB452" s="67"/>
      <c r="AC452" s="67"/>
    </row>
    <row r="453" spans="1:68" x14ac:dyDescent="0.2">
      <c r="A453" s="723"/>
      <c r="B453" s="723"/>
      <c r="C453" s="723"/>
      <c r="D453" s="723"/>
      <c r="E453" s="723"/>
      <c r="F453" s="723"/>
      <c r="G453" s="723"/>
      <c r="H453" s="723"/>
      <c r="I453" s="723"/>
      <c r="J453" s="723"/>
      <c r="K453" s="723"/>
      <c r="L453" s="723"/>
      <c r="M453" s="723"/>
      <c r="N453" s="723"/>
      <c r="O453" s="724"/>
      <c r="P453" s="720" t="s">
        <v>40</v>
      </c>
      <c r="Q453" s="721"/>
      <c r="R453" s="721"/>
      <c r="S453" s="721"/>
      <c r="T453" s="721"/>
      <c r="U453" s="721"/>
      <c r="V453" s="722"/>
      <c r="W453" s="42" t="s">
        <v>0</v>
      </c>
      <c r="X453" s="43">
        <f>IFERROR(SUM(X450:X451),"0")</f>
        <v>0</v>
      </c>
      <c r="Y453" s="43">
        <f>IFERROR(SUM(Y450:Y451),"0")</f>
        <v>0</v>
      </c>
      <c r="Z453" s="42"/>
      <c r="AA453" s="67"/>
      <c r="AB453" s="67"/>
      <c r="AC453" s="67"/>
    </row>
    <row r="454" spans="1:68" ht="16.5" customHeight="1" x14ac:dyDescent="0.25">
      <c r="A454" s="713" t="s">
        <v>752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5"/>
      <c r="AB454" s="65"/>
      <c r="AC454" s="79"/>
    </row>
    <row r="455" spans="1:68" ht="14.25" customHeight="1" x14ac:dyDescent="0.25">
      <c r="A455" s="714" t="s">
        <v>122</v>
      </c>
      <c r="B455" s="714"/>
      <c r="C455" s="714"/>
      <c r="D455" s="714"/>
      <c r="E455" s="714"/>
      <c r="F455" s="714"/>
      <c r="G455" s="714"/>
      <c r="H455" s="714"/>
      <c r="I455" s="714"/>
      <c r="J455" s="714"/>
      <c r="K455" s="714"/>
      <c r="L455" s="714"/>
      <c r="M455" s="714"/>
      <c r="N455" s="714"/>
      <c r="O455" s="714"/>
      <c r="P455" s="714"/>
      <c r="Q455" s="714"/>
      <c r="R455" s="714"/>
      <c r="S455" s="714"/>
      <c r="T455" s="714"/>
      <c r="U455" s="714"/>
      <c r="V455" s="714"/>
      <c r="W455" s="714"/>
      <c r="X455" s="714"/>
      <c r="Y455" s="714"/>
      <c r="Z455" s="714"/>
      <c r="AA455" s="66"/>
      <c r="AB455" s="66"/>
      <c r="AC455" s="80"/>
    </row>
    <row r="456" spans="1:68" ht="27" customHeight="1" x14ac:dyDescent="0.25">
      <c r="A456" s="63" t="s">
        <v>753</v>
      </c>
      <c r="B456" s="63" t="s">
        <v>754</v>
      </c>
      <c r="C456" s="36">
        <v>4301011875</v>
      </c>
      <c r="D456" s="715">
        <v>4680115884885</v>
      </c>
      <c r="E456" s="715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95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717"/>
      <c r="R456" s="717"/>
      <c r="S456" s="717"/>
      <c r="T456" s="71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37.5" customHeight="1" x14ac:dyDescent="0.25">
      <c r="A457" s="63" t="s">
        <v>756</v>
      </c>
      <c r="B457" s="63" t="s">
        <v>757</v>
      </c>
      <c r="C457" s="36">
        <v>4301011871</v>
      </c>
      <c r="D457" s="715">
        <v>4680115884908</v>
      </c>
      <c r="E457" s="715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9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717"/>
      <c r="R457" s="717"/>
      <c r="S457" s="717"/>
      <c r="T457" s="718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723"/>
      <c r="B458" s="723"/>
      <c r="C458" s="723"/>
      <c r="D458" s="723"/>
      <c r="E458" s="723"/>
      <c r="F458" s="723"/>
      <c r="G458" s="723"/>
      <c r="H458" s="723"/>
      <c r="I458" s="723"/>
      <c r="J458" s="723"/>
      <c r="K458" s="723"/>
      <c r="L458" s="723"/>
      <c r="M458" s="723"/>
      <c r="N458" s="723"/>
      <c r="O458" s="724"/>
      <c r="P458" s="720" t="s">
        <v>40</v>
      </c>
      <c r="Q458" s="721"/>
      <c r="R458" s="721"/>
      <c r="S458" s="721"/>
      <c r="T458" s="721"/>
      <c r="U458" s="721"/>
      <c r="V458" s="722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x14ac:dyDescent="0.2">
      <c r="A459" s="723"/>
      <c r="B459" s="723"/>
      <c r="C459" s="723"/>
      <c r="D459" s="723"/>
      <c r="E459" s="723"/>
      <c r="F459" s="723"/>
      <c r="G459" s="723"/>
      <c r="H459" s="723"/>
      <c r="I459" s="723"/>
      <c r="J459" s="723"/>
      <c r="K459" s="723"/>
      <c r="L459" s="723"/>
      <c r="M459" s="723"/>
      <c r="N459" s="723"/>
      <c r="O459" s="724"/>
      <c r="P459" s="720" t="s">
        <v>40</v>
      </c>
      <c r="Q459" s="721"/>
      <c r="R459" s="721"/>
      <c r="S459" s="721"/>
      <c r="T459" s="721"/>
      <c r="U459" s="721"/>
      <c r="V459" s="722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4.25" customHeight="1" x14ac:dyDescent="0.25">
      <c r="A460" s="714" t="s">
        <v>77</v>
      </c>
      <c r="B460" s="714"/>
      <c r="C460" s="714"/>
      <c r="D460" s="714"/>
      <c r="E460" s="714"/>
      <c r="F460" s="714"/>
      <c r="G460" s="714"/>
      <c r="H460" s="714"/>
      <c r="I460" s="714"/>
      <c r="J460" s="714"/>
      <c r="K460" s="714"/>
      <c r="L460" s="714"/>
      <c r="M460" s="714"/>
      <c r="N460" s="714"/>
      <c r="O460" s="714"/>
      <c r="P460" s="714"/>
      <c r="Q460" s="714"/>
      <c r="R460" s="714"/>
      <c r="S460" s="714"/>
      <c r="T460" s="714"/>
      <c r="U460" s="714"/>
      <c r="V460" s="714"/>
      <c r="W460" s="714"/>
      <c r="X460" s="714"/>
      <c r="Y460" s="714"/>
      <c r="Z460" s="714"/>
      <c r="AA460" s="66"/>
      <c r="AB460" s="66"/>
      <c r="AC460" s="80"/>
    </row>
    <row r="461" spans="1:68" ht="27" customHeight="1" x14ac:dyDescent="0.25">
      <c r="A461" s="63" t="s">
        <v>758</v>
      </c>
      <c r="B461" s="63" t="s">
        <v>759</v>
      </c>
      <c r="C461" s="36">
        <v>4301031457</v>
      </c>
      <c r="D461" s="715">
        <v>4607091384802</v>
      </c>
      <c r="E461" s="715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9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717"/>
      <c r="R461" s="717"/>
      <c r="S461" s="717"/>
      <c r="T461" s="71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723"/>
      <c r="B462" s="723"/>
      <c r="C462" s="723"/>
      <c r="D462" s="723"/>
      <c r="E462" s="723"/>
      <c r="F462" s="723"/>
      <c r="G462" s="723"/>
      <c r="H462" s="723"/>
      <c r="I462" s="723"/>
      <c r="J462" s="723"/>
      <c r="K462" s="723"/>
      <c r="L462" s="723"/>
      <c r="M462" s="723"/>
      <c r="N462" s="723"/>
      <c r="O462" s="724"/>
      <c r="P462" s="720" t="s">
        <v>40</v>
      </c>
      <c r="Q462" s="721"/>
      <c r="R462" s="721"/>
      <c r="S462" s="721"/>
      <c r="T462" s="721"/>
      <c r="U462" s="721"/>
      <c r="V462" s="722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x14ac:dyDescent="0.2">
      <c r="A463" s="723"/>
      <c r="B463" s="723"/>
      <c r="C463" s="723"/>
      <c r="D463" s="723"/>
      <c r="E463" s="723"/>
      <c r="F463" s="723"/>
      <c r="G463" s="723"/>
      <c r="H463" s="723"/>
      <c r="I463" s="723"/>
      <c r="J463" s="723"/>
      <c r="K463" s="723"/>
      <c r="L463" s="723"/>
      <c r="M463" s="723"/>
      <c r="N463" s="723"/>
      <c r="O463" s="724"/>
      <c r="P463" s="720" t="s">
        <v>40</v>
      </c>
      <c r="Q463" s="721"/>
      <c r="R463" s="721"/>
      <c r="S463" s="721"/>
      <c r="T463" s="721"/>
      <c r="U463" s="721"/>
      <c r="V463" s="722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customHeight="1" x14ac:dyDescent="0.25">
      <c r="A464" s="714" t="s">
        <v>86</v>
      </c>
      <c r="B464" s="714"/>
      <c r="C464" s="714"/>
      <c r="D464" s="714"/>
      <c r="E464" s="714"/>
      <c r="F464" s="714"/>
      <c r="G464" s="714"/>
      <c r="H464" s="714"/>
      <c r="I464" s="714"/>
      <c r="J464" s="714"/>
      <c r="K464" s="714"/>
      <c r="L464" s="714"/>
      <c r="M464" s="714"/>
      <c r="N464" s="714"/>
      <c r="O464" s="714"/>
      <c r="P464" s="714"/>
      <c r="Q464" s="714"/>
      <c r="R464" s="714"/>
      <c r="S464" s="714"/>
      <c r="T464" s="714"/>
      <c r="U464" s="714"/>
      <c r="V464" s="714"/>
      <c r="W464" s="714"/>
      <c r="X464" s="714"/>
      <c r="Y464" s="714"/>
      <c r="Z464" s="714"/>
      <c r="AA464" s="66"/>
      <c r="AB464" s="66"/>
      <c r="AC464" s="80"/>
    </row>
    <row r="465" spans="1:68" ht="27" customHeight="1" x14ac:dyDescent="0.25">
      <c r="A465" s="63" t="s">
        <v>761</v>
      </c>
      <c r="B465" s="63" t="s">
        <v>762</v>
      </c>
      <c r="C465" s="36">
        <v>4301051899</v>
      </c>
      <c r="D465" s="715">
        <v>4607091384246</v>
      </c>
      <c r="E465" s="715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9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717"/>
      <c r="R465" s="717"/>
      <c r="S465" s="717"/>
      <c r="T465" s="718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764</v>
      </c>
      <c r="B466" s="63" t="s">
        <v>765</v>
      </c>
      <c r="C466" s="36">
        <v>4301051660</v>
      </c>
      <c r="D466" s="715">
        <v>4607091384253</v>
      </c>
      <c r="E466" s="715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96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717"/>
      <c r="R466" s="717"/>
      <c r="S466" s="717"/>
      <c r="T466" s="71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764</v>
      </c>
      <c r="B467" s="63" t="s">
        <v>766</v>
      </c>
      <c r="C467" s="36">
        <v>4301052069</v>
      </c>
      <c r="D467" s="715">
        <v>4607091384253</v>
      </c>
      <c r="E467" s="715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9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717"/>
      <c r="R467" s="717"/>
      <c r="S467" s="717"/>
      <c r="T467" s="718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723"/>
      <c r="B468" s="723"/>
      <c r="C468" s="723"/>
      <c r="D468" s="723"/>
      <c r="E468" s="723"/>
      <c r="F468" s="723"/>
      <c r="G468" s="723"/>
      <c r="H468" s="723"/>
      <c r="I468" s="723"/>
      <c r="J468" s="723"/>
      <c r="K468" s="723"/>
      <c r="L468" s="723"/>
      <c r="M468" s="723"/>
      <c r="N468" s="723"/>
      <c r="O468" s="724"/>
      <c r="P468" s="720" t="s">
        <v>40</v>
      </c>
      <c r="Q468" s="721"/>
      <c r="R468" s="721"/>
      <c r="S468" s="721"/>
      <c r="T468" s="721"/>
      <c r="U468" s="721"/>
      <c r="V468" s="722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x14ac:dyDescent="0.2">
      <c r="A469" s="723"/>
      <c r="B469" s="723"/>
      <c r="C469" s="723"/>
      <c r="D469" s="723"/>
      <c r="E469" s="723"/>
      <c r="F469" s="723"/>
      <c r="G469" s="723"/>
      <c r="H469" s="723"/>
      <c r="I469" s="723"/>
      <c r="J469" s="723"/>
      <c r="K469" s="723"/>
      <c r="L469" s="723"/>
      <c r="M469" s="723"/>
      <c r="N469" s="723"/>
      <c r="O469" s="724"/>
      <c r="P469" s="720" t="s">
        <v>40</v>
      </c>
      <c r="Q469" s="721"/>
      <c r="R469" s="721"/>
      <c r="S469" s="721"/>
      <c r="T469" s="721"/>
      <c r="U469" s="721"/>
      <c r="V469" s="722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27.75" customHeight="1" x14ac:dyDescent="0.2">
      <c r="A470" s="712" t="s">
        <v>768</v>
      </c>
      <c r="B470" s="712"/>
      <c r="C470" s="712"/>
      <c r="D470" s="712"/>
      <c r="E470" s="712"/>
      <c r="F470" s="712"/>
      <c r="G470" s="712"/>
      <c r="H470" s="712"/>
      <c r="I470" s="712"/>
      <c r="J470" s="712"/>
      <c r="K470" s="712"/>
      <c r="L470" s="712"/>
      <c r="M470" s="712"/>
      <c r="N470" s="712"/>
      <c r="O470" s="712"/>
      <c r="P470" s="712"/>
      <c r="Q470" s="712"/>
      <c r="R470" s="712"/>
      <c r="S470" s="712"/>
      <c r="T470" s="712"/>
      <c r="U470" s="712"/>
      <c r="V470" s="712"/>
      <c r="W470" s="712"/>
      <c r="X470" s="712"/>
      <c r="Y470" s="712"/>
      <c r="Z470" s="712"/>
      <c r="AA470" s="54"/>
      <c r="AB470" s="54"/>
      <c r="AC470" s="54"/>
    </row>
    <row r="471" spans="1:68" ht="16.5" customHeight="1" x14ac:dyDescent="0.25">
      <c r="A471" s="713" t="s">
        <v>769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5"/>
      <c r="AB471" s="65"/>
      <c r="AC471" s="79"/>
    </row>
    <row r="472" spans="1:68" ht="14.25" customHeight="1" x14ac:dyDescent="0.25">
      <c r="A472" s="714" t="s">
        <v>77</v>
      </c>
      <c r="B472" s="714"/>
      <c r="C472" s="714"/>
      <c r="D472" s="714"/>
      <c r="E472" s="714"/>
      <c r="F472" s="714"/>
      <c r="G472" s="714"/>
      <c r="H472" s="714"/>
      <c r="I472" s="714"/>
      <c r="J472" s="714"/>
      <c r="K472" s="714"/>
      <c r="L472" s="714"/>
      <c r="M472" s="714"/>
      <c r="N472" s="714"/>
      <c r="O472" s="714"/>
      <c r="P472" s="714"/>
      <c r="Q472" s="714"/>
      <c r="R472" s="714"/>
      <c r="S472" s="714"/>
      <c r="T472" s="714"/>
      <c r="U472" s="714"/>
      <c r="V472" s="714"/>
      <c r="W472" s="714"/>
      <c r="X472" s="714"/>
      <c r="Y472" s="714"/>
      <c r="Z472" s="714"/>
      <c r="AA472" s="66"/>
      <c r="AB472" s="66"/>
      <c r="AC472" s="80"/>
    </row>
    <row r="473" spans="1:68" ht="27" customHeight="1" x14ac:dyDescent="0.25">
      <c r="A473" s="63" t="s">
        <v>770</v>
      </c>
      <c r="B473" s="63" t="s">
        <v>771</v>
      </c>
      <c r="C473" s="36">
        <v>4301031405</v>
      </c>
      <c r="D473" s="715">
        <v>4680115886100</v>
      </c>
      <c r="E473" s="715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9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717"/>
      <c r="R473" s="717"/>
      <c r="S473" s="717"/>
      <c r="T473" s="718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customHeight="1" x14ac:dyDescent="0.25">
      <c r="A474" s="63" t="s">
        <v>773</v>
      </c>
      <c r="B474" s="63" t="s">
        <v>774</v>
      </c>
      <c r="C474" s="36">
        <v>4301031402</v>
      </c>
      <c r="D474" s="715">
        <v>4680115886124</v>
      </c>
      <c r="E474" s="715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9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717"/>
      <c r="R474" s="717"/>
      <c r="S474" s="717"/>
      <c r="T474" s="718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customHeight="1" x14ac:dyDescent="0.25">
      <c r="A475" s="63" t="s">
        <v>776</v>
      </c>
      <c r="B475" s="63" t="s">
        <v>777</v>
      </c>
      <c r="C475" s="36">
        <v>4301031362</v>
      </c>
      <c r="D475" s="715">
        <v>4607091384338</v>
      </c>
      <c r="E475" s="715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9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717"/>
      <c r="R475" s="717"/>
      <c r="S475" s="717"/>
      <c r="T475" s="718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customHeight="1" x14ac:dyDescent="0.25">
      <c r="A476" s="63" t="s">
        <v>778</v>
      </c>
      <c r="B476" s="63" t="s">
        <v>779</v>
      </c>
      <c r="C476" s="36">
        <v>4301031364</v>
      </c>
      <c r="D476" s="715">
        <v>4680115883161</v>
      </c>
      <c r="E476" s="715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96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717"/>
      <c r="R476" s="717"/>
      <c r="S476" s="717"/>
      <c r="T476" s="718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customHeight="1" x14ac:dyDescent="0.25">
      <c r="A477" s="63" t="s">
        <v>781</v>
      </c>
      <c r="B477" s="63" t="s">
        <v>782</v>
      </c>
      <c r="C477" s="36">
        <v>4301031358</v>
      </c>
      <c r="D477" s="715">
        <v>4607091389531</v>
      </c>
      <c r="E477" s="715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6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717"/>
      <c r="R477" s="717"/>
      <c r="S477" s="717"/>
      <c r="T477" s="718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customHeight="1" x14ac:dyDescent="0.25">
      <c r="A478" s="63" t="s">
        <v>784</v>
      </c>
      <c r="B478" s="63" t="s">
        <v>785</v>
      </c>
      <c r="C478" s="36">
        <v>4301031360</v>
      </c>
      <c r="D478" s="715">
        <v>4607091384345</v>
      </c>
      <c r="E478" s="715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96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717"/>
      <c r="R478" s="717"/>
      <c r="S478" s="717"/>
      <c r="T478" s="718"/>
      <c r="U478" s="39" t="s">
        <v>46</v>
      </c>
      <c r="V478" s="39" t="s">
        <v>46</v>
      </c>
      <c r="W478" s="40" t="s">
        <v>0</v>
      </c>
      <c r="X478" s="58">
        <v>7</v>
      </c>
      <c r="Y478" s="55">
        <f t="shared" si="63"/>
        <v>8.4</v>
      </c>
      <c r="Z478" s="41">
        <f>IFERROR(IF(Y478=0,"",ROUNDUP(Y478/H478,0)*0.00502),"")</f>
        <v>2.0080000000000001E-2</v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7.4333333333333327</v>
      </c>
      <c r="BN478" s="78">
        <f t="shared" si="65"/>
        <v>8.92</v>
      </c>
      <c r="BO478" s="78">
        <f t="shared" si="66"/>
        <v>1.4245014245014245E-2</v>
      </c>
      <c r="BP478" s="78">
        <f t="shared" si="67"/>
        <v>1.7094017094017096E-2</v>
      </c>
    </row>
    <row r="479" spans="1:68" x14ac:dyDescent="0.2">
      <c r="A479" s="723"/>
      <c r="B479" s="723"/>
      <c r="C479" s="723"/>
      <c r="D479" s="723"/>
      <c r="E479" s="723"/>
      <c r="F479" s="723"/>
      <c r="G479" s="723"/>
      <c r="H479" s="723"/>
      <c r="I479" s="723"/>
      <c r="J479" s="723"/>
      <c r="K479" s="723"/>
      <c r="L479" s="723"/>
      <c r="M479" s="723"/>
      <c r="N479" s="723"/>
      <c r="O479" s="724"/>
      <c r="P479" s="720" t="s">
        <v>40</v>
      </c>
      <c r="Q479" s="721"/>
      <c r="R479" s="721"/>
      <c r="S479" s="721"/>
      <c r="T479" s="721"/>
      <c r="U479" s="721"/>
      <c r="V479" s="722"/>
      <c r="W479" s="42" t="s">
        <v>39</v>
      </c>
      <c r="X479" s="43">
        <f>IFERROR(X473/H473,"0")+IFERROR(X474/H474,"0")+IFERROR(X475/H475,"0")+IFERROR(X476/H476,"0")+IFERROR(X477/H477,"0")+IFERROR(X478/H478,"0")</f>
        <v>3.333333333333333</v>
      </c>
      <c r="Y479" s="43">
        <f>IFERROR(Y473/H473,"0")+IFERROR(Y474/H474,"0")+IFERROR(Y475/H475,"0")+IFERROR(Y476/H476,"0")+IFERROR(Y477/H477,"0")+IFERROR(Y478/H478,"0")</f>
        <v>4</v>
      </c>
      <c r="Z479" s="43">
        <f>IFERROR(IF(Z473="",0,Z473),"0")+IFERROR(IF(Z474="",0,Z474),"0")+IFERROR(IF(Z475="",0,Z475),"0")+IFERROR(IF(Z476="",0,Z476),"0")+IFERROR(IF(Z477="",0,Z477),"0")+IFERROR(IF(Z478="",0,Z478),"0")</f>
        <v>2.0080000000000001E-2</v>
      </c>
      <c r="AA479" s="67"/>
      <c r="AB479" s="67"/>
      <c r="AC479" s="67"/>
    </row>
    <row r="480" spans="1:68" x14ac:dyDescent="0.2">
      <c r="A480" s="723"/>
      <c r="B480" s="723"/>
      <c r="C480" s="723"/>
      <c r="D480" s="723"/>
      <c r="E480" s="723"/>
      <c r="F480" s="723"/>
      <c r="G480" s="723"/>
      <c r="H480" s="723"/>
      <c r="I480" s="723"/>
      <c r="J480" s="723"/>
      <c r="K480" s="723"/>
      <c r="L480" s="723"/>
      <c r="M480" s="723"/>
      <c r="N480" s="723"/>
      <c r="O480" s="724"/>
      <c r="P480" s="720" t="s">
        <v>40</v>
      </c>
      <c r="Q480" s="721"/>
      <c r="R480" s="721"/>
      <c r="S480" s="721"/>
      <c r="T480" s="721"/>
      <c r="U480" s="721"/>
      <c r="V480" s="722"/>
      <c r="W480" s="42" t="s">
        <v>0</v>
      </c>
      <c r="X480" s="43">
        <f>IFERROR(SUM(X473:X478),"0")</f>
        <v>7</v>
      </c>
      <c r="Y480" s="43">
        <f>IFERROR(SUM(Y473:Y478),"0")</f>
        <v>8.4</v>
      </c>
      <c r="Z480" s="42"/>
      <c r="AA480" s="67"/>
      <c r="AB480" s="67"/>
      <c r="AC480" s="67"/>
    </row>
    <row r="481" spans="1:68" ht="14.25" customHeight="1" x14ac:dyDescent="0.25">
      <c r="A481" s="714" t="s">
        <v>86</v>
      </c>
      <c r="B481" s="714"/>
      <c r="C481" s="714"/>
      <c r="D481" s="714"/>
      <c r="E481" s="714"/>
      <c r="F481" s="714"/>
      <c r="G481" s="714"/>
      <c r="H481" s="714"/>
      <c r="I481" s="714"/>
      <c r="J481" s="714"/>
      <c r="K481" s="714"/>
      <c r="L481" s="714"/>
      <c r="M481" s="714"/>
      <c r="N481" s="714"/>
      <c r="O481" s="714"/>
      <c r="P481" s="714"/>
      <c r="Q481" s="714"/>
      <c r="R481" s="714"/>
      <c r="S481" s="714"/>
      <c r="T481" s="714"/>
      <c r="U481" s="714"/>
      <c r="V481" s="714"/>
      <c r="W481" s="714"/>
      <c r="X481" s="714"/>
      <c r="Y481" s="714"/>
      <c r="Z481" s="714"/>
      <c r="AA481" s="66"/>
      <c r="AB481" s="66"/>
      <c r="AC481" s="80"/>
    </row>
    <row r="482" spans="1:68" ht="27" customHeight="1" x14ac:dyDescent="0.25">
      <c r="A482" s="63" t="s">
        <v>786</v>
      </c>
      <c r="B482" s="63" t="s">
        <v>787</v>
      </c>
      <c r="C482" s="36">
        <v>4301051284</v>
      </c>
      <c r="D482" s="715">
        <v>4607091384352</v>
      </c>
      <c r="E482" s="715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9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717"/>
      <c r="R482" s="717"/>
      <c r="S482" s="717"/>
      <c r="T482" s="718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customHeight="1" x14ac:dyDescent="0.25">
      <c r="A483" s="63" t="s">
        <v>789</v>
      </c>
      <c r="B483" s="63" t="s">
        <v>790</v>
      </c>
      <c r="C483" s="36">
        <v>4301051431</v>
      </c>
      <c r="D483" s="715">
        <v>4607091389654</v>
      </c>
      <c r="E483" s="715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97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717"/>
      <c r="R483" s="717"/>
      <c r="S483" s="717"/>
      <c r="T483" s="718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x14ac:dyDescent="0.2">
      <c r="A484" s="723"/>
      <c r="B484" s="723"/>
      <c r="C484" s="723"/>
      <c r="D484" s="723"/>
      <c r="E484" s="723"/>
      <c r="F484" s="723"/>
      <c r="G484" s="723"/>
      <c r="H484" s="723"/>
      <c r="I484" s="723"/>
      <c r="J484" s="723"/>
      <c r="K484" s="723"/>
      <c r="L484" s="723"/>
      <c r="M484" s="723"/>
      <c r="N484" s="723"/>
      <c r="O484" s="724"/>
      <c r="P484" s="720" t="s">
        <v>40</v>
      </c>
      <c r="Q484" s="721"/>
      <c r="R484" s="721"/>
      <c r="S484" s="721"/>
      <c r="T484" s="721"/>
      <c r="U484" s="721"/>
      <c r="V484" s="722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x14ac:dyDescent="0.2">
      <c r="A485" s="723"/>
      <c r="B485" s="723"/>
      <c r="C485" s="723"/>
      <c r="D485" s="723"/>
      <c r="E485" s="723"/>
      <c r="F485" s="723"/>
      <c r="G485" s="723"/>
      <c r="H485" s="723"/>
      <c r="I485" s="723"/>
      <c r="J485" s="723"/>
      <c r="K485" s="723"/>
      <c r="L485" s="723"/>
      <c r="M485" s="723"/>
      <c r="N485" s="723"/>
      <c r="O485" s="724"/>
      <c r="P485" s="720" t="s">
        <v>40</v>
      </c>
      <c r="Q485" s="721"/>
      <c r="R485" s="721"/>
      <c r="S485" s="721"/>
      <c r="T485" s="721"/>
      <c r="U485" s="721"/>
      <c r="V485" s="722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customHeight="1" x14ac:dyDescent="0.25">
      <c r="A486" s="713" t="s">
        <v>792</v>
      </c>
      <c r="B486" s="713"/>
      <c r="C486" s="713"/>
      <c r="D486" s="713"/>
      <c r="E486" s="713"/>
      <c r="F486" s="713"/>
      <c r="G486" s="713"/>
      <c r="H486" s="713"/>
      <c r="I486" s="713"/>
      <c r="J486" s="713"/>
      <c r="K486" s="713"/>
      <c r="L486" s="713"/>
      <c r="M486" s="713"/>
      <c r="N486" s="713"/>
      <c r="O486" s="713"/>
      <c r="P486" s="713"/>
      <c r="Q486" s="713"/>
      <c r="R486" s="713"/>
      <c r="S486" s="713"/>
      <c r="T486" s="713"/>
      <c r="U486" s="713"/>
      <c r="V486" s="713"/>
      <c r="W486" s="713"/>
      <c r="X486" s="713"/>
      <c r="Y486" s="713"/>
      <c r="Z486" s="713"/>
      <c r="AA486" s="65"/>
      <c r="AB486" s="65"/>
      <c r="AC486" s="79"/>
    </row>
    <row r="487" spans="1:68" ht="14.25" customHeight="1" x14ac:dyDescent="0.25">
      <c r="A487" s="714" t="s">
        <v>158</v>
      </c>
      <c r="B487" s="714"/>
      <c r="C487" s="714"/>
      <c r="D487" s="714"/>
      <c r="E487" s="714"/>
      <c r="F487" s="714"/>
      <c r="G487" s="714"/>
      <c r="H487" s="714"/>
      <c r="I487" s="714"/>
      <c r="J487" s="714"/>
      <c r="K487" s="714"/>
      <c r="L487" s="714"/>
      <c r="M487" s="714"/>
      <c r="N487" s="714"/>
      <c r="O487" s="714"/>
      <c r="P487" s="714"/>
      <c r="Q487" s="714"/>
      <c r="R487" s="714"/>
      <c r="S487" s="714"/>
      <c r="T487" s="714"/>
      <c r="U487" s="714"/>
      <c r="V487" s="714"/>
      <c r="W487" s="714"/>
      <c r="X487" s="714"/>
      <c r="Y487" s="714"/>
      <c r="Z487" s="714"/>
      <c r="AA487" s="66"/>
      <c r="AB487" s="66"/>
      <c r="AC487" s="80"/>
    </row>
    <row r="488" spans="1:68" ht="27" customHeight="1" x14ac:dyDescent="0.25">
      <c r="A488" s="63" t="s">
        <v>793</v>
      </c>
      <c r="B488" s="63" t="s">
        <v>794</v>
      </c>
      <c r="C488" s="36">
        <v>4301020416</v>
      </c>
      <c r="D488" s="715">
        <v>4680115885240</v>
      </c>
      <c r="E488" s="715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97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717"/>
      <c r="R488" s="717"/>
      <c r="S488" s="717"/>
      <c r="T488" s="71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x14ac:dyDescent="0.2">
      <c r="A489" s="723"/>
      <c r="B489" s="723"/>
      <c r="C489" s="723"/>
      <c r="D489" s="723"/>
      <c r="E489" s="723"/>
      <c r="F489" s="723"/>
      <c r="G489" s="723"/>
      <c r="H489" s="723"/>
      <c r="I489" s="723"/>
      <c r="J489" s="723"/>
      <c r="K489" s="723"/>
      <c r="L489" s="723"/>
      <c r="M489" s="723"/>
      <c r="N489" s="723"/>
      <c r="O489" s="724"/>
      <c r="P489" s="720" t="s">
        <v>40</v>
      </c>
      <c r="Q489" s="721"/>
      <c r="R489" s="721"/>
      <c r="S489" s="721"/>
      <c r="T489" s="721"/>
      <c r="U489" s="721"/>
      <c r="V489" s="722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x14ac:dyDescent="0.2">
      <c r="A490" s="723"/>
      <c r="B490" s="723"/>
      <c r="C490" s="723"/>
      <c r="D490" s="723"/>
      <c r="E490" s="723"/>
      <c r="F490" s="723"/>
      <c r="G490" s="723"/>
      <c r="H490" s="723"/>
      <c r="I490" s="723"/>
      <c r="J490" s="723"/>
      <c r="K490" s="723"/>
      <c r="L490" s="723"/>
      <c r="M490" s="723"/>
      <c r="N490" s="723"/>
      <c r="O490" s="724"/>
      <c r="P490" s="720" t="s">
        <v>40</v>
      </c>
      <c r="Q490" s="721"/>
      <c r="R490" s="721"/>
      <c r="S490" s="721"/>
      <c r="T490" s="721"/>
      <c r="U490" s="721"/>
      <c r="V490" s="722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customHeight="1" x14ac:dyDescent="0.25">
      <c r="A491" s="714" t="s">
        <v>77</v>
      </c>
      <c r="B491" s="714"/>
      <c r="C491" s="714"/>
      <c r="D491" s="714"/>
      <c r="E491" s="714"/>
      <c r="F491" s="714"/>
      <c r="G491" s="714"/>
      <c r="H491" s="714"/>
      <c r="I491" s="714"/>
      <c r="J491" s="714"/>
      <c r="K491" s="714"/>
      <c r="L491" s="714"/>
      <c r="M491" s="714"/>
      <c r="N491" s="714"/>
      <c r="O491" s="714"/>
      <c r="P491" s="714"/>
      <c r="Q491" s="714"/>
      <c r="R491" s="714"/>
      <c r="S491" s="714"/>
      <c r="T491" s="714"/>
      <c r="U491" s="714"/>
      <c r="V491" s="714"/>
      <c r="W491" s="714"/>
      <c r="X491" s="714"/>
      <c r="Y491" s="714"/>
      <c r="Z491" s="714"/>
      <c r="AA491" s="66"/>
      <c r="AB491" s="66"/>
      <c r="AC491" s="80"/>
    </row>
    <row r="492" spans="1:68" ht="27" customHeight="1" x14ac:dyDescent="0.25">
      <c r="A492" s="63" t="s">
        <v>796</v>
      </c>
      <c r="B492" s="63" t="s">
        <v>797</v>
      </c>
      <c r="C492" s="36">
        <v>4301031407</v>
      </c>
      <c r="D492" s="715">
        <v>4680115886094</v>
      </c>
      <c r="E492" s="715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97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717"/>
      <c r="R492" s="717"/>
      <c r="S492" s="717"/>
      <c r="T492" s="718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customHeight="1" x14ac:dyDescent="0.25">
      <c r="A493" s="63" t="s">
        <v>799</v>
      </c>
      <c r="B493" s="63" t="s">
        <v>800</v>
      </c>
      <c r="C493" s="36">
        <v>4301031373</v>
      </c>
      <c r="D493" s="715">
        <v>4680115880771</v>
      </c>
      <c r="E493" s="715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97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717"/>
      <c r="R493" s="717"/>
      <c r="S493" s="717"/>
      <c r="T493" s="71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customHeight="1" x14ac:dyDescent="0.25">
      <c r="A494" s="63" t="s">
        <v>802</v>
      </c>
      <c r="B494" s="63" t="s">
        <v>803</v>
      </c>
      <c r="C494" s="36">
        <v>4301031359</v>
      </c>
      <c r="D494" s="715">
        <v>4607091389500</v>
      </c>
      <c r="E494" s="715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97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717"/>
      <c r="R494" s="717"/>
      <c r="S494" s="717"/>
      <c r="T494" s="718"/>
      <c r="U494" s="39" t="s">
        <v>46</v>
      </c>
      <c r="V494" s="39" t="s">
        <v>46</v>
      </c>
      <c r="W494" s="40" t="s">
        <v>0</v>
      </c>
      <c r="X494" s="58">
        <v>10.5</v>
      </c>
      <c r="Y494" s="55">
        <f>IFERROR(IF(X494="",0,CEILING((X494/$H494),1)*$H494),"")</f>
        <v>10.5</v>
      </c>
      <c r="Z494" s="41">
        <f>IFERROR(IF(Y494=0,"",ROUNDUP(Y494/H494,0)*0.00502),"")</f>
        <v>2.5100000000000001E-2</v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11.149999999999999</v>
      </c>
      <c r="BN494" s="78">
        <f>IFERROR(Y494*I494/H494,"0")</f>
        <v>11.149999999999999</v>
      </c>
      <c r="BO494" s="78">
        <f>IFERROR(1/J494*(X494/H494),"0")</f>
        <v>2.1367521367521368E-2</v>
      </c>
      <c r="BP494" s="78">
        <f>IFERROR(1/J494*(Y494/H494),"0")</f>
        <v>2.1367521367521368E-2</v>
      </c>
    </row>
    <row r="495" spans="1:68" x14ac:dyDescent="0.2">
      <c r="A495" s="723"/>
      <c r="B495" s="723"/>
      <c r="C495" s="723"/>
      <c r="D495" s="723"/>
      <c r="E495" s="723"/>
      <c r="F495" s="723"/>
      <c r="G495" s="723"/>
      <c r="H495" s="723"/>
      <c r="I495" s="723"/>
      <c r="J495" s="723"/>
      <c r="K495" s="723"/>
      <c r="L495" s="723"/>
      <c r="M495" s="723"/>
      <c r="N495" s="723"/>
      <c r="O495" s="724"/>
      <c r="P495" s="720" t="s">
        <v>40</v>
      </c>
      <c r="Q495" s="721"/>
      <c r="R495" s="721"/>
      <c r="S495" s="721"/>
      <c r="T495" s="721"/>
      <c r="U495" s="721"/>
      <c r="V495" s="722"/>
      <c r="W495" s="42" t="s">
        <v>39</v>
      </c>
      <c r="X495" s="43">
        <f>IFERROR(X492/H492,"0")+IFERROR(X493/H493,"0")+IFERROR(X494/H494,"0")</f>
        <v>5</v>
      </c>
      <c r="Y495" s="43">
        <f>IFERROR(Y492/H492,"0")+IFERROR(Y493/H493,"0")+IFERROR(Y494/H494,"0")</f>
        <v>5</v>
      </c>
      <c r="Z495" s="43">
        <f>IFERROR(IF(Z492="",0,Z492),"0")+IFERROR(IF(Z493="",0,Z493),"0")+IFERROR(IF(Z494="",0,Z494),"0")</f>
        <v>2.5100000000000001E-2</v>
      </c>
      <c r="AA495" s="67"/>
      <c r="AB495" s="67"/>
      <c r="AC495" s="67"/>
    </row>
    <row r="496" spans="1:68" x14ac:dyDescent="0.2">
      <c r="A496" s="723"/>
      <c r="B496" s="723"/>
      <c r="C496" s="723"/>
      <c r="D496" s="723"/>
      <c r="E496" s="723"/>
      <c r="F496" s="723"/>
      <c r="G496" s="723"/>
      <c r="H496" s="723"/>
      <c r="I496" s="723"/>
      <c r="J496" s="723"/>
      <c r="K496" s="723"/>
      <c r="L496" s="723"/>
      <c r="M496" s="723"/>
      <c r="N496" s="723"/>
      <c r="O496" s="724"/>
      <c r="P496" s="720" t="s">
        <v>40</v>
      </c>
      <c r="Q496" s="721"/>
      <c r="R496" s="721"/>
      <c r="S496" s="721"/>
      <c r="T496" s="721"/>
      <c r="U496" s="721"/>
      <c r="V496" s="722"/>
      <c r="W496" s="42" t="s">
        <v>0</v>
      </c>
      <c r="X496" s="43">
        <f>IFERROR(SUM(X492:X494),"0")</f>
        <v>10.5</v>
      </c>
      <c r="Y496" s="43">
        <f>IFERROR(SUM(Y492:Y494),"0")</f>
        <v>10.5</v>
      </c>
      <c r="Z496" s="42"/>
      <c r="AA496" s="67"/>
      <c r="AB496" s="67"/>
      <c r="AC496" s="67"/>
    </row>
    <row r="497" spans="1:68" ht="27.75" customHeight="1" x14ac:dyDescent="0.2">
      <c r="A497" s="712" t="s">
        <v>804</v>
      </c>
      <c r="B497" s="712"/>
      <c r="C497" s="712"/>
      <c r="D497" s="712"/>
      <c r="E497" s="712"/>
      <c r="F497" s="712"/>
      <c r="G497" s="712"/>
      <c r="H497" s="712"/>
      <c r="I497" s="712"/>
      <c r="J497" s="712"/>
      <c r="K497" s="712"/>
      <c r="L497" s="712"/>
      <c r="M497" s="712"/>
      <c r="N497" s="712"/>
      <c r="O497" s="712"/>
      <c r="P497" s="712"/>
      <c r="Q497" s="712"/>
      <c r="R497" s="712"/>
      <c r="S497" s="712"/>
      <c r="T497" s="712"/>
      <c r="U497" s="712"/>
      <c r="V497" s="712"/>
      <c r="W497" s="712"/>
      <c r="X497" s="712"/>
      <c r="Y497" s="712"/>
      <c r="Z497" s="712"/>
      <c r="AA497" s="54"/>
      <c r="AB497" s="54"/>
      <c r="AC497" s="54"/>
    </row>
    <row r="498" spans="1:68" ht="16.5" customHeight="1" x14ac:dyDescent="0.25">
      <c r="A498" s="713" t="s">
        <v>804</v>
      </c>
      <c r="B498" s="713"/>
      <c r="C498" s="713"/>
      <c r="D498" s="713"/>
      <c r="E498" s="713"/>
      <c r="F498" s="713"/>
      <c r="G498" s="713"/>
      <c r="H498" s="713"/>
      <c r="I498" s="713"/>
      <c r="J498" s="713"/>
      <c r="K498" s="713"/>
      <c r="L498" s="713"/>
      <c r="M498" s="713"/>
      <c r="N498" s="713"/>
      <c r="O498" s="713"/>
      <c r="P498" s="713"/>
      <c r="Q498" s="713"/>
      <c r="R498" s="713"/>
      <c r="S498" s="713"/>
      <c r="T498" s="713"/>
      <c r="U498" s="713"/>
      <c r="V498" s="713"/>
      <c r="W498" s="713"/>
      <c r="X498" s="713"/>
      <c r="Y498" s="713"/>
      <c r="Z498" s="713"/>
      <c r="AA498" s="65"/>
      <c r="AB498" s="65"/>
      <c r="AC498" s="79"/>
    </row>
    <row r="499" spans="1:68" ht="14.25" customHeight="1" x14ac:dyDescent="0.25">
      <c r="A499" s="714" t="s">
        <v>122</v>
      </c>
      <c r="B499" s="714"/>
      <c r="C499" s="714"/>
      <c r="D499" s="714"/>
      <c r="E499" s="714"/>
      <c r="F499" s="714"/>
      <c r="G499" s="714"/>
      <c r="H499" s="714"/>
      <c r="I499" s="714"/>
      <c r="J499" s="714"/>
      <c r="K499" s="714"/>
      <c r="L499" s="714"/>
      <c r="M499" s="714"/>
      <c r="N499" s="714"/>
      <c r="O499" s="714"/>
      <c r="P499" s="714"/>
      <c r="Q499" s="714"/>
      <c r="R499" s="714"/>
      <c r="S499" s="714"/>
      <c r="T499" s="714"/>
      <c r="U499" s="714"/>
      <c r="V499" s="714"/>
      <c r="W499" s="714"/>
      <c r="X499" s="714"/>
      <c r="Y499" s="714"/>
      <c r="Z499" s="714"/>
      <c r="AA499" s="66"/>
      <c r="AB499" s="66"/>
      <c r="AC499" s="80"/>
    </row>
    <row r="500" spans="1:68" ht="27" customHeight="1" x14ac:dyDescent="0.25">
      <c r="A500" s="63" t="s">
        <v>805</v>
      </c>
      <c r="B500" s="63" t="s">
        <v>806</v>
      </c>
      <c r="C500" s="36">
        <v>4301011769</v>
      </c>
      <c r="D500" s="715">
        <v>4607091389067</v>
      </c>
      <c r="E500" s="715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97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717"/>
      <c r="R500" s="717"/>
      <c r="S500" s="717"/>
      <c r="T500" s="718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ref="Y500:Y508" si="68">IFERROR(IF(X500="",0,CEILING((X500/$H500),1)*$H500),"")</f>
        <v>0</v>
      </c>
      <c r="Z500" s="41" t="str">
        <f t="shared" ref="Z500:Z505" si="69">IFERROR(IF(Y500=0,"",ROUNDUP(Y500/H500,0)*0.01196),"")</f>
        <v/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0</v>
      </c>
      <c r="BN500" s="78">
        <f t="shared" ref="BN500:BN508" si="71">IFERROR(Y500*I500/H500,"0")</f>
        <v>0</v>
      </c>
      <c r="BO500" s="78">
        <f t="shared" ref="BO500:BO508" si="72">IFERROR(1/J500*(X500/H500),"0")</f>
        <v>0</v>
      </c>
      <c r="BP500" s="78">
        <f t="shared" ref="BP500:BP508" si="73">IFERROR(1/J500*(Y500/H500),"0")</f>
        <v>0</v>
      </c>
    </row>
    <row r="501" spans="1:68" ht="16.5" customHeight="1" x14ac:dyDescent="0.25">
      <c r="A501" s="63" t="s">
        <v>807</v>
      </c>
      <c r="B501" s="63" t="s">
        <v>808</v>
      </c>
      <c r="C501" s="36">
        <v>4301012380</v>
      </c>
      <c r="D501" s="715">
        <v>4680115889576</v>
      </c>
      <c r="E501" s="715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97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717"/>
      <c r="R501" s="717"/>
      <c r="S501" s="717"/>
      <c r="T501" s="718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customHeight="1" x14ac:dyDescent="0.25">
      <c r="A502" s="63" t="s">
        <v>810</v>
      </c>
      <c r="B502" s="63" t="s">
        <v>811</v>
      </c>
      <c r="C502" s="36">
        <v>4301011961</v>
      </c>
      <c r="D502" s="715">
        <v>4680115885271</v>
      </c>
      <c r="E502" s="715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97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717"/>
      <c r="R502" s="717"/>
      <c r="S502" s="717"/>
      <c r="T502" s="718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customHeight="1" x14ac:dyDescent="0.25">
      <c r="A503" s="63" t="s">
        <v>813</v>
      </c>
      <c r="B503" s="63" t="s">
        <v>814</v>
      </c>
      <c r="C503" s="36">
        <v>4301011369</v>
      </c>
      <c r="D503" s="715">
        <v>4680115885226</v>
      </c>
      <c r="E503" s="715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97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717"/>
      <c r="R503" s="717"/>
      <c r="S503" s="717"/>
      <c r="T503" s="718"/>
      <c r="U503" s="39" t="s">
        <v>46</v>
      </c>
      <c r="V503" s="39" t="s">
        <v>46</v>
      </c>
      <c r="W503" s="40" t="s">
        <v>0</v>
      </c>
      <c r="X503" s="58">
        <v>50</v>
      </c>
      <c r="Y503" s="55">
        <f t="shared" si="68"/>
        <v>52.800000000000004</v>
      </c>
      <c r="Z503" s="41">
        <f t="shared" si="69"/>
        <v>0.1196</v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53.314393939393938</v>
      </c>
      <c r="BN503" s="78">
        <f t="shared" si="71"/>
        <v>56.3</v>
      </c>
      <c r="BO503" s="78">
        <f t="shared" si="72"/>
        <v>9.1054778554778545E-2</v>
      </c>
      <c r="BP503" s="78">
        <f t="shared" si="73"/>
        <v>9.6153846153846159E-2</v>
      </c>
    </row>
    <row r="504" spans="1:68" ht="16.5" customHeight="1" x14ac:dyDescent="0.25">
      <c r="A504" s="63" t="s">
        <v>816</v>
      </c>
      <c r="B504" s="63" t="s">
        <v>817</v>
      </c>
      <c r="C504" s="36">
        <v>4301011797</v>
      </c>
      <c r="D504" s="715">
        <v>4680115884502</v>
      </c>
      <c r="E504" s="715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9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717"/>
      <c r="R504" s="717"/>
      <c r="S504" s="717"/>
      <c r="T504" s="718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customHeight="1" x14ac:dyDescent="0.25">
      <c r="A505" s="63" t="s">
        <v>819</v>
      </c>
      <c r="B505" s="63" t="s">
        <v>820</v>
      </c>
      <c r="C505" s="36">
        <v>4301011771</v>
      </c>
      <c r="D505" s="715">
        <v>4607091389104</v>
      </c>
      <c r="E505" s="71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9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717"/>
      <c r="R505" s="717"/>
      <c r="S505" s="717"/>
      <c r="T505" s="718"/>
      <c r="U505" s="39" t="s">
        <v>46</v>
      </c>
      <c r="V505" s="39" t="s">
        <v>46</v>
      </c>
      <c r="W505" s="40" t="s">
        <v>0</v>
      </c>
      <c r="X505" s="58">
        <v>50</v>
      </c>
      <c r="Y505" s="55">
        <f t="shared" si="68"/>
        <v>52.800000000000004</v>
      </c>
      <c r="Z505" s="41">
        <f t="shared" si="69"/>
        <v>0.1196</v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53.314393939393938</v>
      </c>
      <c r="BN505" s="78">
        <f t="shared" si="71"/>
        <v>56.3</v>
      </c>
      <c r="BO505" s="78">
        <f t="shared" si="72"/>
        <v>9.1054778554778545E-2</v>
      </c>
      <c r="BP505" s="78">
        <f t="shared" si="73"/>
        <v>9.6153846153846159E-2</v>
      </c>
    </row>
    <row r="506" spans="1:68" ht="27" customHeight="1" x14ac:dyDescent="0.25">
      <c r="A506" s="63" t="s">
        <v>822</v>
      </c>
      <c r="B506" s="63" t="s">
        <v>823</v>
      </c>
      <c r="C506" s="36">
        <v>4301012125</v>
      </c>
      <c r="D506" s="715">
        <v>4680115886391</v>
      </c>
      <c r="E506" s="715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9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717"/>
      <c r="R506" s="717"/>
      <c r="S506" s="717"/>
      <c r="T506" s="71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customHeight="1" x14ac:dyDescent="0.25">
      <c r="A507" s="63" t="s">
        <v>824</v>
      </c>
      <c r="B507" s="63" t="s">
        <v>825</v>
      </c>
      <c r="C507" s="36">
        <v>4301012048</v>
      </c>
      <c r="D507" s="715">
        <v>4680115880603</v>
      </c>
      <c r="E507" s="715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9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717"/>
      <c r="R507" s="717"/>
      <c r="S507" s="717"/>
      <c r="T507" s="71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0</v>
      </c>
      <c r="BN507" s="78">
        <f t="shared" si="71"/>
        <v>0</v>
      </c>
      <c r="BO507" s="78">
        <f t="shared" si="72"/>
        <v>0</v>
      </c>
      <c r="BP507" s="78">
        <f t="shared" si="73"/>
        <v>0</v>
      </c>
    </row>
    <row r="508" spans="1:68" ht="27" customHeight="1" x14ac:dyDescent="0.25">
      <c r="A508" s="63" t="s">
        <v>826</v>
      </c>
      <c r="B508" s="63" t="s">
        <v>827</v>
      </c>
      <c r="C508" s="36">
        <v>4301012034</v>
      </c>
      <c r="D508" s="715">
        <v>4607091389982</v>
      </c>
      <c r="E508" s="715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9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717"/>
      <c r="R508" s="717"/>
      <c r="S508" s="717"/>
      <c r="T508" s="71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0</v>
      </c>
      <c r="BN508" s="78">
        <f t="shared" si="71"/>
        <v>0</v>
      </c>
      <c r="BO508" s="78">
        <f t="shared" si="72"/>
        <v>0</v>
      </c>
      <c r="BP508" s="78">
        <f t="shared" si="73"/>
        <v>0</v>
      </c>
    </row>
    <row r="509" spans="1:68" x14ac:dyDescent="0.2">
      <c r="A509" s="723"/>
      <c r="B509" s="723"/>
      <c r="C509" s="723"/>
      <c r="D509" s="723"/>
      <c r="E509" s="723"/>
      <c r="F509" s="723"/>
      <c r="G509" s="723"/>
      <c r="H509" s="723"/>
      <c r="I509" s="723"/>
      <c r="J509" s="723"/>
      <c r="K509" s="723"/>
      <c r="L509" s="723"/>
      <c r="M509" s="723"/>
      <c r="N509" s="723"/>
      <c r="O509" s="724"/>
      <c r="P509" s="720" t="s">
        <v>40</v>
      </c>
      <c r="Q509" s="721"/>
      <c r="R509" s="721"/>
      <c r="S509" s="721"/>
      <c r="T509" s="721"/>
      <c r="U509" s="721"/>
      <c r="V509" s="722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18.939393939393938</v>
      </c>
      <c r="Y509" s="43">
        <f>IFERROR(Y500/H500,"0")+IFERROR(Y501/H501,"0")+IFERROR(Y502/H502,"0")+IFERROR(Y503/H503,"0")+IFERROR(Y504/H504,"0")+IFERROR(Y505/H505,"0")+IFERROR(Y506/H506,"0")+IFERROR(Y507/H507,"0")+IFERROR(Y508/H508,"0")</f>
        <v>20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0.2392</v>
      </c>
      <c r="AA509" s="67"/>
      <c r="AB509" s="67"/>
      <c r="AC509" s="67"/>
    </row>
    <row r="510" spans="1:68" x14ac:dyDescent="0.2">
      <c r="A510" s="723"/>
      <c r="B510" s="723"/>
      <c r="C510" s="723"/>
      <c r="D510" s="723"/>
      <c r="E510" s="723"/>
      <c r="F510" s="723"/>
      <c r="G510" s="723"/>
      <c r="H510" s="723"/>
      <c r="I510" s="723"/>
      <c r="J510" s="723"/>
      <c r="K510" s="723"/>
      <c r="L510" s="723"/>
      <c r="M510" s="723"/>
      <c r="N510" s="723"/>
      <c r="O510" s="724"/>
      <c r="P510" s="720" t="s">
        <v>40</v>
      </c>
      <c r="Q510" s="721"/>
      <c r="R510" s="721"/>
      <c r="S510" s="721"/>
      <c r="T510" s="721"/>
      <c r="U510" s="721"/>
      <c r="V510" s="722"/>
      <c r="W510" s="42" t="s">
        <v>0</v>
      </c>
      <c r="X510" s="43">
        <f>IFERROR(SUM(X500:X508),"0")</f>
        <v>100</v>
      </c>
      <c r="Y510" s="43">
        <f>IFERROR(SUM(Y500:Y508),"0")</f>
        <v>105.60000000000001</v>
      </c>
      <c r="Z510" s="42"/>
      <c r="AA510" s="67"/>
      <c r="AB510" s="67"/>
      <c r="AC510" s="67"/>
    </row>
    <row r="511" spans="1:68" ht="14.25" customHeight="1" x14ac:dyDescent="0.25">
      <c r="A511" s="714" t="s">
        <v>158</v>
      </c>
      <c r="B511" s="714"/>
      <c r="C511" s="714"/>
      <c r="D511" s="714"/>
      <c r="E511" s="714"/>
      <c r="F511" s="714"/>
      <c r="G511" s="714"/>
      <c r="H511" s="714"/>
      <c r="I511" s="714"/>
      <c r="J511" s="714"/>
      <c r="K511" s="714"/>
      <c r="L511" s="714"/>
      <c r="M511" s="714"/>
      <c r="N511" s="714"/>
      <c r="O511" s="714"/>
      <c r="P511" s="714"/>
      <c r="Q511" s="714"/>
      <c r="R511" s="714"/>
      <c r="S511" s="714"/>
      <c r="T511" s="714"/>
      <c r="U511" s="714"/>
      <c r="V511" s="714"/>
      <c r="W511" s="714"/>
      <c r="X511" s="714"/>
      <c r="Y511" s="714"/>
      <c r="Z511" s="714"/>
      <c r="AA511" s="66"/>
      <c r="AB511" s="66"/>
      <c r="AC511" s="80"/>
    </row>
    <row r="512" spans="1:68" ht="16.5" customHeight="1" x14ac:dyDescent="0.25">
      <c r="A512" s="63" t="s">
        <v>828</v>
      </c>
      <c r="B512" s="63" t="s">
        <v>829</v>
      </c>
      <c r="C512" s="36">
        <v>4301020334</v>
      </c>
      <c r="D512" s="715">
        <v>4607091388930</v>
      </c>
      <c r="E512" s="715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9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717"/>
      <c r="R512" s="717"/>
      <c r="S512" s="717"/>
      <c r="T512" s="718"/>
      <c r="U512" s="39" t="s">
        <v>46</v>
      </c>
      <c r="V512" s="39" t="s">
        <v>46</v>
      </c>
      <c r="W512" s="40" t="s">
        <v>0</v>
      </c>
      <c r="X512" s="58">
        <v>40</v>
      </c>
      <c r="Y512" s="55">
        <f>IFERROR(IF(X512="",0,CEILING((X512/$H512),1)*$H512),"")</f>
        <v>42.24</v>
      </c>
      <c r="Z512" s="41">
        <f>IFERROR(IF(Y512=0,"",ROUNDUP(Y512/H512,0)*0.01196),"")</f>
        <v>9.5680000000000001E-2</v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42.651515151515149</v>
      </c>
      <c r="BN512" s="78">
        <f>IFERROR(Y512*I512/H512,"0")</f>
        <v>45.04</v>
      </c>
      <c r="BO512" s="78">
        <f>IFERROR(1/J512*(X512/H512),"0")</f>
        <v>7.2843822843822847E-2</v>
      </c>
      <c r="BP512" s="78">
        <f>IFERROR(1/J512*(Y512/H512),"0")</f>
        <v>7.6923076923076927E-2</v>
      </c>
    </row>
    <row r="513" spans="1:68" ht="16.5" customHeight="1" x14ac:dyDescent="0.25">
      <c r="A513" s="63" t="s">
        <v>831</v>
      </c>
      <c r="B513" s="63" t="s">
        <v>832</v>
      </c>
      <c r="C513" s="36">
        <v>4301020374</v>
      </c>
      <c r="D513" s="715">
        <v>4680115886407</v>
      </c>
      <c r="E513" s="715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9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717"/>
      <c r="R513" s="717"/>
      <c r="S513" s="717"/>
      <c r="T513" s="718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customHeight="1" x14ac:dyDescent="0.25">
      <c r="A514" s="63" t="s">
        <v>833</v>
      </c>
      <c r="B514" s="63" t="s">
        <v>834</v>
      </c>
      <c r="C514" s="36">
        <v>4301020385</v>
      </c>
      <c r="D514" s="715">
        <v>4680115880054</v>
      </c>
      <c r="E514" s="715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9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717"/>
      <c r="R514" s="717"/>
      <c r="S514" s="717"/>
      <c r="T514" s="718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x14ac:dyDescent="0.2">
      <c r="A515" s="723"/>
      <c r="B515" s="723"/>
      <c r="C515" s="723"/>
      <c r="D515" s="723"/>
      <c r="E515" s="723"/>
      <c r="F515" s="723"/>
      <c r="G515" s="723"/>
      <c r="H515" s="723"/>
      <c r="I515" s="723"/>
      <c r="J515" s="723"/>
      <c r="K515" s="723"/>
      <c r="L515" s="723"/>
      <c r="M515" s="723"/>
      <c r="N515" s="723"/>
      <c r="O515" s="724"/>
      <c r="P515" s="720" t="s">
        <v>40</v>
      </c>
      <c r="Q515" s="721"/>
      <c r="R515" s="721"/>
      <c r="S515" s="721"/>
      <c r="T515" s="721"/>
      <c r="U515" s="721"/>
      <c r="V515" s="722"/>
      <c r="W515" s="42" t="s">
        <v>39</v>
      </c>
      <c r="X515" s="43">
        <f>IFERROR(X512/H512,"0")+IFERROR(X513/H513,"0")+IFERROR(X514/H514,"0")</f>
        <v>7.5757575757575752</v>
      </c>
      <c r="Y515" s="43">
        <f>IFERROR(Y512/H512,"0")+IFERROR(Y513/H513,"0")+IFERROR(Y514/H514,"0")</f>
        <v>8</v>
      </c>
      <c r="Z515" s="43">
        <f>IFERROR(IF(Z512="",0,Z512),"0")+IFERROR(IF(Z513="",0,Z513),"0")+IFERROR(IF(Z514="",0,Z514),"0")</f>
        <v>9.5680000000000001E-2</v>
      </c>
      <c r="AA515" s="67"/>
      <c r="AB515" s="67"/>
      <c r="AC515" s="67"/>
    </row>
    <row r="516" spans="1:68" x14ac:dyDescent="0.2">
      <c r="A516" s="723"/>
      <c r="B516" s="723"/>
      <c r="C516" s="723"/>
      <c r="D516" s="723"/>
      <c r="E516" s="723"/>
      <c r="F516" s="723"/>
      <c r="G516" s="723"/>
      <c r="H516" s="723"/>
      <c r="I516" s="723"/>
      <c r="J516" s="723"/>
      <c r="K516" s="723"/>
      <c r="L516" s="723"/>
      <c r="M516" s="723"/>
      <c r="N516" s="723"/>
      <c r="O516" s="724"/>
      <c r="P516" s="720" t="s">
        <v>40</v>
      </c>
      <c r="Q516" s="721"/>
      <c r="R516" s="721"/>
      <c r="S516" s="721"/>
      <c r="T516" s="721"/>
      <c r="U516" s="721"/>
      <c r="V516" s="722"/>
      <c r="W516" s="42" t="s">
        <v>0</v>
      </c>
      <c r="X516" s="43">
        <f>IFERROR(SUM(X512:X514),"0")</f>
        <v>40</v>
      </c>
      <c r="Y516" s="43">
        <f>IFERROR(SUM(Y512:Y514),"0")</f>
        <v>42.24</v>
      </c>
      <c r="Z516" s="42"/>
      <c r="AA516" s="67"/>
      <c r="AB516" s="67"/>
      <c r="AC516" s="67"/>
    </row>
    <row r="517" spans="1:68" ht="14.25" customHeight="1" x14ac:dyDescent="0.25">
      <c r="A517" s="714" t="s">
        <v>77</v>
      </c>
      <c r="B517" s="714"/>
      <c r="C517" s="714"/>
      <c r="D517" s="714"/>
      <c r="E517" s="714"/>
      <c r="F517" s="714"/>
      <c r="G517" s="714"/>
      <c r="H517" s="714"/>
      <c r="I517" s="714"/>
      <c r="J517" s="714"/>
      <c r="K517" s="714"/>
      <c r="L517" s="714"/>
      <c r="M517" s="714"/>
      <c r="N517" s="714"/>
      <c r="O517" s="714"/>
      <c r="P517" s="714"/>
      <c r="Q517" s="714"/>
      <c r="R517" s="714"/>
      <c r="S517" s="714"/>
      <c r="T517" s="714"/>
      <c r="U517" s="714"/>
      <c r="V517" s="714"/>
      <c r="W517" s="714"/>
      <c r="X517" s="714"/>
      <c r="Y517" s="714"/>
      <c r="Z517" s="714"/>
      <c r="AA517" s="66"/>
      <c r="AB517" s="66"/>
      <c r="AC517" s="80"/>
    </row>
    <row r="518" spans="1:68" ht="27" customHeight="1" x14ac:dyDescent="0.25">
      <c r="A518" s="63" t="s">
        <v>835</v>
      </c>
      <c r="B518" s="63" t="s">
        <v>836</v>
      </c>
      <c r="C518" s="36">
        <v>4301031349</v>
      </c>
      <c r="D518" s="715">
        <v>4680115883116</v>
      </c>
      <c r="E518" s="715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9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717"/>
      <c r="R518" s="717"/>
      <c r="S518" s="717"/>
      <c r="T518" s="718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ref="Y518:Y524" si="74"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0</v>
      </c>
      <c r="BN518" s="78">
        <f t="shared" ref="BN518:BN524" si="76">IFERROR(Y518*I518/H518,"0")</f>
        <v>0</v>
      </c>
      <c r="BO518" s="78">
        <f t="shared" ref="BO518:BO524" si="77">IFERROR(1/J518*(X518/H518),"0")</f>
        <v>0</v>
      </c>
      <c r="BP518" s="78">
        <f t="shared" ref="BP518:BP524" si="78">IFERROR(1/J518*(Y518/H518),"0")</f>
        <v>0</v>
      </c>
    </row>
    <row r="519" spans="1:68" ht="27" customHeight="1" x14ac:dyDescent="0.25">
      <c r="A519" s="63" t="s">
        <v>838</v>
      </c>
      <c r="B519" s="63" t="s">
        <v>839</v>
      </c>
      <c r="C519" s="36">
        <v>4301031350</v>
      </c>
      <c r="D519" s="715">
        <v>4680115883093</v>
      </c>
      <c r="E519" s="715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98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717"/>
      <c r="R519" s="717"/>
      <c r="S519" s="717"/>
      <c r="T519" s="718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7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0</v>
      </c>
      <c r="BN519" s="78">
        <f t="shared" si="76"/>
        <v>0</v>
      </c>
      <c r="BO519" s="78">
        <f t="shared" si="77"/>
        <v>0</v>
      </c>
      <c r="BP519" s="78">
        <f t="shared" si="78"/>
        <v>0</v>
      </c>
    </row>
    <row r="520" spans="1:68" ht="27" customHeight="1" x14ac:dyDescent="0.25">
      <c r="A520" s="63" t="s">
        <v>841</v>
      </c>
      <c r="B520" s="63" t="s">
        <v>842</v>
      </c>
      <c r="C520" s="36">
        <v>4301031353</v>
      </c>
      <c r="D520" s="715">
        <v>4680115883109</v>
      </c>
      <c r="E520" s="715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9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717"/>
      <c r="R520" s="717"/>
      <c r="S520" s="717"/>
      <c r="T520" s="718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74"/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0</v>
      </c>
      <c r="BN520" s="78">
        <f t="shared" si="76"/>
        <v>0</v>
      </c>
      <c r="BO520" s="78">
        <f t="shared" si="77"/>
        <v>0</v>
      </c>
      <c r="BP520" s="78">
        <f t="shared" si="78"/>
        <v>0</v>
      </c>
    </row>
    <row r="521" spans="1:68" ht="27" customHeight="1" x14ac:dyDescent="0.25">
      <c r="A521" s="63" t="s">
        <v>844</v>
      </c>
      <c r="B521" s="63" t="s">
        <v>845</v>
      </c>
      <c r="C521" s="36">
        <v>4301031419</v>
      </c>
      <c r="D521" s="715">
        <v>4680115882072</v>
      </c>
      <c r="E521" s="715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9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717"/>
      <c r="R521" s="717"/>
      <c r="S521" s="717"/>
      <c r="T521" s="718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0</v>
      </c>
      <c r="BN521" s="78">
        <f t="shared" si="76"/>
        <v>0</v>
      </c>
      <c r="BO521" s="78">
        <f t="shared" si="77"/>
        <v>0</v>
      </c>
      <c r="BP521" s="78">
        <f t="shared" si="78"/>
        <v>0</v>
      </c>
    </row>
    <row r="522" spans="1:68" ht="27" customHeight="1" x14ac:dyDescent="0.25">
      <c r="A522" s="63" t="s">
        <v>846</v>
      </c>
      <c r="B522" s="63" t="s">
        <v>847</v>
      </c>
      <c r="C522" s="36">
        <v>4301031352</v>
      </c>
      <c r="D522" s="715">
        <v>4680115882102</v>
      </c>
      <c r="E522" s="715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99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717"/>
      <c r="R522" s="717"/>
      <c r="S522" s="717"/>
      <c r="T522" s="718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customHeight="1" x14ac:dyDescent="0.25">
      <c r="A523" s="63" t="s">
        <v>846</v>
      </c>
      <c r="B523" s="63" t="s">
        <v>848</v>
      </c>
      <c r="C523" s="36">
        <v>4301031418</v>
      </c>
      <c r="D523" s="715">
        <v>4680115882102</v>
      </c>
      <c r="E523" s="715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99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717"/>
      <c r="R523" s="717"/>
      <c r="S523" s="717"/>
      <c r="T523" s="71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customHeight="1" x14ac:dyDescent="0.25">
      <c r="A524" s="63" t="s">
        <v>849</v>
      </c>
      <c r="B524" s="63" t="s">
        <v>850</v>
      </c>
      <c r="C524" s="36">
        <v>4301031417</v>
      </c>
      <c r="D524" s="715">
        <v>4680115882096</v>
      </c>
      <c r="E524" s="715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99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717"/>
      <c r="R524" s="717"/>
      <c r="S524" s="717"/>
      <c r="T524" s="71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0</v>
      </c>
      <c r="BN524" s="78">
        <f t="shared" si="76"/>
        <v>0</v>
      </c>
      <c r="BO524" s="78">
        <f t="shared" si="77"/>
        <v>0</v>
      </c>
      <c r="BP524" s="78">
        <f t="shared" si="78"/>
        <v>0</v>
      </c>
    </row>
    <row r="525" spans="1:68" x14ac:dyDescent="0.2">
      <c r="A525" s="723"/>
      <c r="B525" s="723"/>
      <c r="C525" s="723"/>
      <c r="D525" s="723"/>
      <c r="E525" s="723"/>
      <c r="F525" s="723"/>
      <c r="G525" s="723"/>
      <c r="H525" s="723"/>
      <c r="I525" s="723"/>
      <c r="J525" s="723"/>
      <c r="K525" s="723"/>
      <c r="L525" s="723"/>
      <c r="M525" s="723"/>
      <c r="N525" s="723"/>
      <c r="O525" s="724"/>
      <c r="P525" s="720" t="s">
        <v>40</v>
      </c>
      <c r="Q525" s="721"/>
      <c r="R525" s="721"/>
      <c r="S525" s="721"/>
      <c r="T525" s="721"/>
      <c r="U525" s="721"/>
      <c r="V525" s="722"/>
      <c r="W525" s="42" t="s">
        <v>39</v>
      </c>
      <c r="X525" s="43">
        <f>IFERROR(X518/H518,"0")+IFERROR(X519/H519,"0")+IFERROR(X520/H520,"0")+IFERROR(X521/H521,"0")+IFERROR(X522/H522,"0")+IFERROR(X523/H523,"0")+IFERROR(X524/H524,"0")</f>
        <v>0</v>
      </c>
      <c r="Y525" s="43">
        <f>IFERROR(Y518/H518,"0")+IFERROR(Y519/H519,"0")+IFERROR(Y520/H520,"0")+IFERROR(Y521/H521,"0")+IFERROR(Y522/H522,"0")+IFERROR(Y523/H523,"0")+IFERROR(Y524/H524,"0")</f>
        <v>0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0</v>
      </c>
      <c r="AA525" s="67"/>
      <c r="AB525" s="67"/>
      <c r="AC525" s="67"/>
    </row>
    <row r="526" spans="1:68" x14ac:dyDescent="0.2">
      <c r="A526" s="723"/>
      <c r="B526" s="723"/>
      <c r="C526" s="723"/>
      <c r="D526" s="723"/>
      <c r="E526" s="723"/>
      <c r="F526" s="723"/>
      <c r="G526" s="723"/>
      <c r="H526" s="723"/>
      <c r="I526" s="723"/>
      <c r="J526" s="723"/>
      <c r="K526" s="723"/>
      <c r="L526" s="723"/>
      <c r="M526" s="723"/>
      <c r="N526" s="723"/>
      <c r="O526" s="724"/>
      <c r="P526" s="720" t="s">
        <v>40</v>
      </c>
      <c r="Q526" s="721"/>
      <c r="R526" s="721"/>
      <c r="S526" s="721"/>
      <c r="T526" s="721"/>
      <c r="U526" s="721"/>
      <c r="V526" s="722"/>
      <c r="W526" s="42" t="s">
        <v>0</v>
      </c>
      <c r="X526" s="43">
        <f>IFERROR(SUM(X518:X524),"0")</f>
        <v>0</v>
      </c>
      <c r="Y526" s="43">
        <f>IFERROR(SUM(Y518:Y524),"0")</f>
        <v>0</v>
      </c>
      <c r="Z526" s="42"/>
      <c r="AA526" s="67"/>
      <c r="AB526" s="67"/>
      <c r="AC526" s="67"/>
    </row>
    <row r="527" spans="1:68" ht="27.75" customHeight="1" x14ac:dyDescent="0.2">
      <c r="A527" s="712" t="s">
        <v>851</v>
      </c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2"/>
      <c r="P527" s="712"/>
      <c r="Q527" s="712"/>
      <c r="R527" s="712"/>
      <c r="S527" s="712"/>
      <c r="T527" s="712"/>
      <c r="U527" s="712"/>
      <c r="V527" s="712"/>
      <c r="W527" s="712"/>
      <c r="X527" s="712"/>
      <c r="Y527" s="712"/>
      <c r="Z527" s="712"/>
      <c r="AA527" s="54"/>
      <c r="AB527" s="54"/>
      <c r="AC527" s="54"/>
    </row>
    <row r="528" spans="1:68" ht="16.5" customHeight="1" x14ac:dyDescent="0.25">
      <c r="A528" s="713" t="s">
        <v>851</v>
      </c>
      <c r="B528" s="713"/>
      <c r="C528" s="713"/>
      <c r="D528" s="713"/>
      <c r="E528" s="713"/>
      <c r="F528" s="713"/>
      <c r="G528" s="713"/>
      <c r="H528" s="713"/>
      <c r="I528" s="713"/>
      <c r="J528" s="713"/>
      <c r="K528" s="713"/>
      <c r="L528" s="713"/>
      <c r="M528" s="713"/>
      <c r="N528" s="713"/>
      <c r="O528" s="713"/>
      <c r="P528" s="713"/>
      <c r="Q528" s="713"/>
      <c r="R528" s="713"/>
      <c r="S528" s="713"/>
      <c r="T528" s="713"/>
      <c r="U528" s="713"/>
      <c r="V528" s="713"/>
      <c r="W528" s="713"/>
      <c r="X528" s="713"/>
      <c r="Y528" s="713"/>
      <c r="Z528" s="713"/>
      <c r="AA528" s="65"/>
      <c r="AB528" s="65"/>
      <c r="AC528" s="79"/>
    </row>
    <row r="529" spans="1:68" ht="14.25" customHeight="1" x14ac:dyDescent="0.25">
      <c r="A529" s="714" t="s">
        <v>122</v>
      </c>
      <c r="B529" s="714"/>
      <c r="C529" s="714"/>
      <c r="D529" s="714"/>
      <c r="E529" s="714"/>
      <c r="F529" s="714"/>
      <c r="G529" s="714"/>
      <c r="H529" s="714"/>
      <c r="I529" s="714"/>
      <c r="J529" s="714"/>
      <c r="K529" s="714"/>
      <c r="L529" s="714"/>
      <c r="M529" s="714"/>
      <c r="N529" s="714"/>
      <c r="O529" s="714"/>
      <c r="P529" s="714"/>
      <c r="Q529" s="714"/>
      <c r="R529" s="714"/>
      <c r="S529" s="714"/>
      <c r="T529" s="714"/>
      <c r="U529" s="714"/>
      <c r="V529" s="714"/>
      <c r="W529" s="714"/>
      <c r="X529" s="714"/>
      <c r="Y529" s="714"/>
      <c r="Z529" s="714"/>
      <c r="AA529" s="66"/>
      <c r="AB529" s="66"/>
      <c r="AC529" s="80"/>
    </row>
    <row r="530" spans="1:68" ht="27" customHeight="1" x14ac:dyDescent="0.25">
      <c r="A530" s="63" t="s">
        <v>852</v>
      </c>
      <c r="B530" s="63" t="s">
        <v>853</v>
      </c>
      <c r="C530" s="36">
        <v>4301011584</v>
      </c>
      <c r="D530" s="715">
        <v>4640242180564</v>
      </c>
      <c r="E530" s="715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9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717"/>
      <c r="R530" s="717"/>
      <c r="S530" s="717"/>
      <c r="T530" s="718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x14ac:dyDescent="0.2">
      <c r="A531" s="723"/>
      <c r="B531" s="723"/>
      <c r="C531" s="723"/>
      <c r="D531" s="723"/>
      <c r="E531" s="723"/>
      <c r="F531" s="723"/>
      <c r="G531" s="723"/>
      <c r="H531" s="723"/>
      <c r="I531" s="723"/>
      <c r="J531" s="723"/>
      <c r="K531" s="723"/>
      <c r="L531" s="723"/>
      <c r="M531" s="723"/>
      <c r="N531" s="723"/>
      <c r="O531" s="724"/>
      <c r="P531" s="720" t="s">
        <v>40</v>
      </c>
      <c r="Q531" s="721"/>
      <c r="R531" s="721"/>
      <c r="S531" s="721"/>
      <c r="T531" s="721"/>
      <c r="U531" s="721"/>
      <c r="V531" s="722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x14ac:dyDescent="0.2">
      <c r="A532" s="723"/>
      <c r="B532" s="723"/>
      <c r="C532" s="723"/>
      <c r="D532" s="723"/>
      <c r="E532" s="723"/>
      <c r="F532" s="723"/>
      <c r="G532" s="723"/>
      <c r="H532" s="723"/>
      <c r="I532" s="723"/>
      <c r="J532" s="723"/>
      <c r="K532" s="723"/>
      <c r="L532" s="723"/>
      <c r="M532" s="723"/>
      <c r="N532" s="723"/>
      <c r="O532" s="724"/>
      <c r="P532" s="720" t="s">
        <v>40</v>
      </c>
      <c r="Q532" s="721"/>
      <c r="R532" s="721"/>
      <c r="S532" s="721"/>
      <c r="T532" s="721"/>
      <c r="U532" s="721"/>
      <c r="V532" s="722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customHeight="1" x14ac:dyDescent="0.25">
      <c r="A533" s="714" t="s">
        <v>158</v>
      </c>
      <c r="B533" s="714"/>
      <c r="C533" s="714"/>
      <c r="D533" s="714"/>
      <c r="E533" s="714"/>
      <c r="F533" s="714"/>
      <c r="G533" s="714"/>
      <c r="H533" s="714"/>
      <c r="I533" s="714"/>
      <c r="J533" s="714"/>
      <c r="K533" s="714"/>
      <c r="L533" s="714"/>
      <c r="M533" s="714"/>
      <c r="N533" s="714"/>
      <c r="O533" s="714"/>
      <c r="P533" s="714"/>
      <c r="Q533" s="714"/>
      <c r="R533" s="714"/>
      <c r="S533" s="714"/>
      <c r="T533" s="714"/>
      <c r="U533" s="714"/>
      <c r="V533" s="714"/>
      <c r="W533" s="714"/>
      <c r="X533" s="714"/>
      <c r="Y533" s="714"/>
      <c r="Z533" s="714"/>
      <c r="AA533" s="66"/>
      <c r="AB533" s="66"/>
      <c r="AC533" s="80"/>
    </row>
    <row r="534" spans="1:68" ht="27" customHeight="1" x14ac:dyDescent="0.25">
      <c r="A534" s="63" t="s">
        <v>855</v>
      </c>
      <c r="B534" s="63" t="s">
        <v>856</v>
      </c>
      <c r="C534" s="36">
        <v>4301020400</v>
      </c>
      <c r="D534" s="715">
        <v>4640242180519</v>
      </c>
      <c r="E534" s="715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99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717"/>
      <c r="R534" s="717"/>
      <c r="S534" s="717"/>
      <c r="T534" s="718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x14ac:dyDescent="0.2">
      <c r="A535" s="723"/>
      <c r="B535" s="723"/>
      <c r="C535" s="723"/>
      <c r="D535" s="723"/>
      <c r="E535" s="723"/>
      <c r="F535" s="723"/>
      <c r="G535" s="723"/>
      <c r="H535" s="723"/>
      <c r="I535" s="723"/>
      <c r="J535" s="723"/>
      <c r="K535" s="723"/>
      <c r="L535" s="723"/>
      <c r="M535" s="723"/>
      <c r="N535" s="723"/>
      <c r="O535" s="724"/>
      <c r="P535" s="720" t="s">
        <v>40</v>
      </c>
      <c r="Q535" s="721"/>
      <c r="R535" s="721"/>
      <c r="S535" s="721"/>
      <c r="T535" s="721"/>
      <c r="U535" s="721"/>
      <c r="V535" s="722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x14ac:dyDescent="0.2">
      <c r="A536" s="723"/>
      <c r="B536" s="723"/>
      <c r="C536" s="723"/>
      <c r="D536" s="723"/>
      <c r="E536" s="723"/>
      <c r="F536" s="723"/>
      <c r="G536" s="723"/>
      <c r="H536" s="723"/>
      <c r="I536" s="723"/>
      <c r="J536" s="723"/>
      <c r="K536" s="723"/>
      <c r="L536" s="723"/>
      <c r="M536" s="723"/>
      <c r="N536" s="723"/>
      <c r="O536" s="724"/>
      <c r="P536" s="720" t="s">
        <v>40</v>
      </c>
      <c r="Q536" s="721"/>
      <c r="R536" s="721"/>
      <c r="S536" s="721"/>
      <c r="T536" s="721"/>
      <c r="U536" s="721"/>
      <c r="V536" s="722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customHeight="1" x14ac:dyDescent="0.25">
      <c r="A537" s="714" t="s">
        <v>77</v>
      </c>
      <c r="B537" s="714"/>
      <c r="C537" s="714"/>
      <c r="D537" s="714"/>
      <c r="E537" s="714"/>
      <c r="F537" s="714"/>
      <c r="G537" s="714"/>
      <c r="H537" s="714"/>
      <c r="I537" s="714"/>
      <c r="J537" s="714"/>
      <c r="K537" s="714"/>
      <c r="L537" s="714"/>
      <c r="M537" s="714"/>
      <c r="N537" s="714"/>
      <c r="O537" s="714"/>
      <c r="P537" s="714"/>
      <c r="Q537" s="714"/>
      <c r="R537" s="714"/>
      <c r="S537" s="714"/>
      <c r="T537" s="714"/>
      <c r="U537" s="714"/>
      <c r="V537" s="714"/>
      <c r="W537" s="714"/>
      <c r="X537" s="714"/>
      <c r="Y537" s="714"/>
      <c r="Z537" s="714"/>
      <c r="AA537" s="66"/>
      <c r="AB537" s="66"/>
      <c r="AC537" s="80"/>
    </row>
    <row r="538" spans="1:68" ht="27" customHeight="1" x14ac:dyDescent="0.25">
      <c r="A538" s="63" t="s">
        <v>858</v>
      </c>
      <c r="B538" s="63" t="s">
        <v>859</v>
      </c>
      <c r="C538" s="36">
        <v>4301031500</v>
      </c>
      <c r="D538" s="715">
        <v>4640242180595</v>
      </c>
      <c r="E538" s="715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99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717"/>
      <c r="R538" s="717"/>
      <c r="S538" s="717"/>
      <c r="T538" s="718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IFERROR(IF(Y538=0,"",ROUNDUP(Y538/H538,0)*0.00902),"")</f>
        <v/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x14ac:dyDescent="0.2">
      <c r="A539" s="723"/>
      <c r="B539" s="723"/>
      <c r="C539" s="723"/>
      <c r="D539" s="723"/>
      <c r="E539" s="723"/>
      <c r="F539" s="723"/>
      <c r="G539" s="723"/>
      <c r="H539" s="723"/>
      <c r="I539" s="723"/>
      <c r="J539" s="723"/>
      <c r="K539" s="723"/>
      <c r="L539" s="723"/>
      <c r="M539" s="723"/>
      <c r="N539" s="723"/>
      <c r="O539" s="724"/>
      <c r="P539" s="720" t="s">
        <v>40</v>
      </c>
      <c r="Q539" s="721"/>
      <c r="R539" s="721"/>
      <c r="S539" s="721"/>
      <c r="T539" s="721"/>
      <c r="U539" s="721"/>
      <c r="V539" s="722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x14ac:dyDescent="0.2">
      <c r="A540" s="723"/>
      <c r="B540" s="723"/>
      <c r="C540" s="723"/>
      <c r="D540" s="723"/>
      <c r="E540" s="723"/>
      <c r="F540" s="723"/>
      <c r="G540" s="723"/>
      <c r="H540" s="723"/>
      <c r="I540" s="723"/>
      <c r="J540" s="723"/>
      <c r="K540" s="723"/>
      <c r="L540" s="723"/>
      <c r="M540" s="723"/>
      <c r="N540" s="723"/>
      <c r="O540" s="724"/>
      <c r="P540" s="720" t="s">
        <v>40</v>
      </c>
      <c r="Q540" s="721"/>
      <c r="R540" s="721"/>
      <c r="S540" s="721"/>
      <c r="T540" s="721"/>
      <c r="U540" s="721"/>
      <c r="V540" s="722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customHeight="1" x14ac:dyDescent="0.25">
      <c r="A541" s="714" t="s">
        <v>86</v>
      </c>
      <c r="B541" s="714"/>
      <c r="C541" s="714"/>
      <c r="D541" s="714"/>
      <c r="E541" s="714"/>
      <c r="F541" s="714"/>
      <c r="G541" s="714"/>
      <c r="H541" s="714"/>
      <c r="I541" s="714"/>
      <c r="J541" s="714"/>
      <c r="K541" s="714"/>
      <c r="L541" s="714"/>
      <c r="M541" s="714"/>
      <c r="N541" s="714"/>
      <c r="O541" s="714"/>
      <c r="P541" s="714"/>
      <c r="Q541" s="714"/>
      <c r="R541" s="714"/>
      <c r="S541" s="714"/>
      <c r="T541" s="714"/>
      <c r="U541" s="714"/>
      <c r="V541" s="714"/>
      <c r="W541" s="714"/>
      <c r="X541" s="714"/>
      <c r="Y541" s="714"/>
      <c r="Z541" s="714"/>
      <c r="AA541" s="66"/>
      <c r="AB541" s="66"/>
      <c r="AC541" s="80"/>
    </row>
    <row r="542" spans="1:68" ht="27" customHeight="1" x14ac:dyDescent="0.25">
      <c r="A542" s="63" t="s">
        <v>861</v>
      </c>
      <c r="B542" s="63" t="s">
        <v>862</v>
      </c>
      <c r="C542" s="36">
        <v>4301052043</v>
      </c>
      <c r="D542" s="715">
        <v>4640242180533</v>
      </c>
      <c r="E542" s="715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99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717"/>
      <c r="R542" s="717"/>
      <c r="S542" s="717"/>
      <c r="T542" s="718"/>
      <c r="U542" s="39" t="s">
        <v>46</v>
      </c>
      <c r="V542" s="39" t="s">
        <v>46</v>
      </c>
      <c r="W542" s="40" t="s">
        <v>0</v>
      </c>
      <c r="X542" s="58">
        <v>350</v>
      </c>
      <c r="Y542" s="55">
        <f>IFERROR(IF(X542="",0,CEILING((X542/$H542),1)*$H542),"")</f>
        <v>351</v>
      </c>
      <c r="Z542" s="41">
        <f>IFERROR(IF(Y542=0,"",ROUNDUP(Y542/H542,0)*0.01898),"")</f>
        <v>0.74021999999999999</v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369.21111111111111</v>
      </c>
      <c r="BN542" s="78">
        <f>IFERROR(Y542*I542/H542,"0")</f>
        <v>370.26599999999996</v>
      </c>
      <c r="BO542" s="78">
        <f>IFERROR(1/J542*(X542/H542),"0")</f>
        <v>0.60763888888888884</v>
      </c>
      <c r="BP542" s="78">
        <f>IFERROR(1/J542*(Y542/H542),"0")</f>
        <v>0.609375</v>
      </c>
    </row>
    <row r="543" spans="1:68" x14ac:dyDescent="0.2">
      <c r="A543" s="723"/>
      <c r="B543" s="723"/>
      <c r="C543" s="723"/>
      <c r="D543" s="723"/>
      <c r="E543" s="723"/>
      <c r="F543" s="723"/>
      <c r="G543" s="723"/>
      <c r="H543" s="723"/>
      <c r="I543" s="723"/>
      <c r="J543" s="723"/>
      <c r="K543" s="723"/>
      <c r="L543" s="723"/>
      <c r="M543" s="723"/>
      <c r="N543" s="723"/>
      <c r="O543" s="724"/>
      <c r="P543" s="720" t="s">
        <v>40</v>
      </c>
      <c r="Q543" s="721"/>
      <c r="R543" s="721"/>
      <c r="S543" s="721"/>
      <c r="T543" s="721"/>
      <c r="U543" s="721"/>
      <c r="V543" s="722"/>
      <c r="W543" s="42" t="s">
        <v>39</v>
      </c>
      <c r="X543" s="43">
        <f>IFERROR(X542/H542,"0")</f>
        <v>38.888888888888886</v>
      </c>
      <c r="Y543" s="43">
        <f>IFERROR(Y542/H542,"0")</f>
        <v>39</v>
      </c>
      <c r="Z543" s="43">
        <f>IFERROR(IF(Z542="",0,Z542),"0")</f>
        <v>0.74021999999999999</v>
      </c>
      <c r="AA543" s="67"/>
      <c r="AB543" s="67"/>
      <c r="AC543" s="67"/>
    </row>
    <row r="544" spans="1:68" x14ac:dyDescent="0.2">
      <c r="A544" s="723"/>
      <c r="B544" s="723"/>
      <c r="C544" s="723"/>
      <c r="D544" s="723"/>
      <c r="E544" s="723"/>
      <c r="F544" s="723"/>
      <c r="G544" s="723"/>
      <c r="H544" s="723"/>
      <c r="I544" s="723"/>
      <c r="J544" s="723"/>
      <c r="K544" s="723"/>
      <c r="L544" s="723"/>
      <c r="M544" s="723"/>
      <c r="N544" s="723"/>
      <c r="O544" s="724"/>
      <c r="P544" s="720" t="s">
        <v>40</v>
      </c>
      <c r="Q544" s="721"/>
      <c r="R544" s="721"/>
      <c r="S544" s="721"/>
      <c r="T544" s="721"/>
      <c r="U544" s="721"/>
      <c r="V544" s="722"/>
      <c r="W544" s="42" t="s">
        <v>0</v>
      </c>
      <c r="X544" s="43">
        <f>IFERROR(SUM(X542:X542),"0")</f>
        <v>350</v>
      </c>
      <c r="Y544" s="43">
        <f>IFERROR(SUM(Y542:Y542),"0")</f>
        <v>351</v>
      </c>
      <c r="Z544" s="42"/>
      <c r="AA544" s="67"/>
      <c r="AB544" s="67"/>
      <c r="AC544" s="67"/>
    </row>
    <row r="545" spans="1:68" ht="14.25" customHeight="1" x14ac:dyDescent="0.25">
      <c r="A545" s="714" t="s">
        <v>175</v>
      </c>
      <c r="B545" s="714"/>
      <c r="C545" s="714"/>
      <c r="D545" s="714"/>
      <c r="E545" s="714"/>
      <c r="F545" s="714"/>
      <c r="G545" s="714"/>
      <c r="H545" s="714"/>
      <c r="I545" s="714"/>
      <c r="J545" s="714"/>
      <c r="K545" s="714"/>
      <c r="L545" s="714"/>
      <c r="M545" s="714"/>
      <c r="N545" s="714"/>
      <c r="O545" s="714"/>
      <c r="P545" s="714"/>
      <c r="Q545" s="714"/>
      <c r="R545" s="714"/>
      <c r="S545" s="714"/>
      <c r="T545" s="714"/>
      <c r="U545" s="714"/>
      <c r="V545" s="714"/>
      <c r="W545" s="714"/>
      <c r="X545" s="714"/>
      <c r="Y545" s="714"/>
      <c r="Z545" s="714"/>
      <c r="AA545" s="66"/>
      <c r="AB545" s="66"/>
      <c r="AC545" s="80"/>
    </row>
    <row r="546" spans="1:68" ht="27" customHeight="1" x14ac:dyDescent="0.25">
      <c r="A546" s="63" t="s">
        <v>864</v>
      </c>
      <c r="B546" s="63" t="s">
        <v>865</v>
      </c>
      <c r="C546" s="36">
        <v>4301060535</v>
      </c>
      <c r="D546" s="715">
        <v>4640242180120</v>
      </c>
      <c r="E546" s="715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99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717"/>
      <c r="R546" s="717"/>
      <c r="S546" s="717"/>
      <c r="T546" s="718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customHeight="1" x14ac:dyDescent="0.25">
      <c r="A547" s="63" t="s">
        <v>867</v>
      </c>
      <c r="B547" s="63" t="s">
        <v>868</v>
      </c>
      <c r="C547" s="36">
        <v>4301060536</v>
      </c>
      <c r="D547" s="715">
        <v>4640242180137</v>
      </c>
      <c r="E547" s="715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100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717"/>
      <c r="R547" s="717"/>
      <c r="S547" s="717"/>
      <c r="T547" s="71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x14ac:dyDescent="0.2">
      <c r="A548" s="723"/>
      <c r="B548" s="723"/>
      <c r="C548" s="723"/>
      <c r="D548" s="723"/>
      <c r="E548" s="723"/>
      <c r="F548" s="723"/>
      <c r="G548" s="723"/>
      <c r="H548" s="723"/>
      <c r="I548" s="723"/>
      <c r="J548" s="723"/>
      <c r="K548" s="723"/>
      <c r="L548" s="723"/>
      <c r="M548" s="723"/>
      <c r="N548" s="723"/>
      <c r="O548" s="724"/>
      <c r="P548" s="720" t="s">
        <v>40</v>
      </c>
      <c r="Q548" s="721"/>
      <c r="R548" s="721"/>
      <c r="S548" s="721"/>
      <c r="T548" s="721"/>
      <c r="U548" s="721"/>
      <c r="V548" s="722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x14ac:dyDescent="0.2">
      <c r="A549" s="723"/>
      <c r="B549" s="723"/>
      <c r="C549" s="723"/>
      <c r="D549" s="723"/>
      <c r="E549" s="723"/>
      <c r="F549" s="723"/>
      <c r="G549" s="723"/>
      <c r="H549" s="723"/>
      <c r="I549" s="723"/>
      <c r="J549" s="723"/>
      <c r="K549" s="723"/>
      <c r="L549" s="723"/>
      <c r="M549" s="723"/>
      <c r="N549" s="723"/>
      <c r="O549" s="724"/>
      <c r="P549" s="720" t="s">
        <v>40</v>
      </c>
      <c r="Q549" s="721"/>
      <c r="R549" s="721"/>
      <c r="S549" s="721"/>
      <c r="T549" s="721"/>
      <c r="U549" s="721"/>
      <c r="V549" s="722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customHeight="1" x14ac:dyDescent="0.25">
      <c r="A550" s="713" t="s">
        <v>870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5"/>
      <c r="AB550" s="65"/>
      <c r="AC550" s="79"/>
    </row>
    <row r="551" spans="1:68" ht="14.25" customHeight="1" x14ac:dyDescent="0.25">
      <c r="A551" s="714" t="s">
        <v>158</v>
      </c>
      <c r="B551" s="714"/>
      <c r="C551" s="714"/>
      <c r="D551" s="714"/>
      <c r="E551" s="714"/>
      <c r="F551" s="714"/>
      <c r="G551" s="714"/>
      <c r="H551" s="714"/>
      <c r="I551" s="714"/>
      <c r="J551" s="714"/>
      <c r="K551" s="714"/>
      <c r="L551" s="714"/>
      <c r="M551" s="714"/>
      <c r="N551" s="714"/>
      <c r="O551" s="714"/>
      <c r="P551" s="714"/>
      <c r="Q551" s="714"/>
      <c r="R551" s="714"/>
      <c r="S551" s="714"/>
      <c r="T551" s="714"/>
      <c r="U551" s="714"/>
      <c r="V551" s="714"/>
      <c r="W551" s="714"/>
      <c r="X551" s="714"/>
      <c r="Y551" s="714"/>
      <c r="Z551" s="714"/>
      <c r="AA551" s="66"/>
      <c r="AB551" s="66"/>
      <c r="AC551" s="80"/>
    </row>
    <row r="552" spans="1:68" ht="27" customHeight="1" x14ac:dyDescent="0.25">
      <c r="A552" s="63" t="s">
        <v>871</v>
      </c>
      <c r="B552" s="63" t="s">
        <v>872</v>
      </c>
      <c r="C552" s="36">
        <v>4301020428</v>
      </c>
      <c r="D552" s="715">
        <v>4640242180090</v>
      </c>
      <c r="E552" s="715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100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717"/>
      <c r="R552" s="717"/>
      <c r="S552" s="717"/>
      <c r="T552" s="71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x14ac:dyDescent="0.2">
      <c r="A553" s="723"/>
      <c r="B553" s="723"/>
      <c r="C553" s="723"/>
      <c r="D553" s="723"/>
      <c r="E553" s="723"/>
      <c r="F553" s="723"/>
      <c r="G553" s="723"/>
      <c r="H553" s="723"/>
      <c r="I553" s="723"/>
      <c r="J553" s="723"/>
      <c r="K553" s="723"/>
      <c r="L553" s="723"/>
      <c r="M553" s="723"/>
      <c r="N553" s="723"/>
      <c r="O553" s="724"/>
      <c r="P553" s="720" t="s">
        <v>40</v>
      </c>
      <c r="Q553" s="721"/>
      <c r="R553" s="721"/>
      <c r="S553" s="721"/>
      <c r="T553" s="721"/>
      <c r="U553" s="721"/>
      <c r="V553" s="722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x14ac:dyDescent="0.2">
      <c r="A554" s="723"/>
      <c r="B554" s="723"/>
      <c r="C554" s="723"/>
      <c r="D554" s="723"/>
      <c r="E554" s="723"/>
      <c r="F554" s="723"/>
      <c r="G554" s="723"/>
      <c r="H554" s="723"/>
      <c r="I554" s="723"/>
      <c r="J554" s="723"/>
      <c r="K554" s="723"/>
      <c r="L554" s="723"/>
      <c r="M554" s="723"/>
      <c r="N554" s="723"/>
      <c r="O554" s="724"/>
      <c r="P554" s="720" t="s">
        <v>40</v>
      </c>
      <c r="Q554" s="721"/>
      <c r="R554" s="721"/>
      <c r="S554" s="721"/>
      <c r="T554" s="721"/>
      <c r="U554" s="721"/>
      <c r="V554" s="722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723"/>
      <c r="B555" s="723"/>
      <c r="C555" s="723"/>
      <c r="D555" s="723"/>
      <c r="E555" s="723"/>
      <c r="F555" s="723"/>
      <c r="G555" s="723"/>
      <c r="H555" s="723"/>
      <c r="I555" s="723"/>
      <c r="J555" s="723"/>
      <c r="K555" s="723"/>
      <c r="L555" s="723"/>
      <c r="M555" s="723"/>
      <c r="N555" s="723"/>
      <c r="O555" s="1005"/>
      <c r="P555" s="1002" t="s">
        <v>33</v>
      </c>
      <c r="Q555" s="1003"/>
      <c r="R555" s="1003"/>
      <c r="S555" s="1003"/>
      <c r="T555" s="1003"/>
      <c r="U555" s="1003"/>
      <c r="V555" s="1004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1764.75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1850.04</v>
      </c>
      <c r="Z555" s="42"/>
      <c r="AA555" s="67"/>
      <c r="AB555" s="67"/>
      <c r="AC555" s="67"/>
    </row>
    <row r="556" spans="1:68" x14ac:dyDescent="0.2">
      <c r="A556" s="723"/>
      <c r="B556" s="723"/>
      <c r="C556" s="723"/>
      <c r="D556" s="723"/>
      <c r="E556" s="723"/>
      <c r="F556" s="723"/>
      <c r="G556" s="723"/>
      <c r="H556" s="723"/>
      <c r="I556" s="723"/>
      <c r="J556" s="723"/>
      <c r="K556" s="723"/>
      <c r="L556" s="723"/>
      <c r="M556" s="723"/>
      <c r="N556" s="723"/>
      <c r="O556" s="1005"/>
      <c r="P556" s="1002" t="s">
        <v>34</v>
      </c>
      <c r="Q556" s="1003"/>
      <c r="R556" s="1003"/>
      <c r="S556" s="1003"/>
      <c r="T556" s="1003"/>
      <c r="U556" s="1003"/>
      <c r="V556" s="1004"/>
      <c r="W556" s="42" t="s">
        <v>0</v>
      </c>
      <c r="X556" s="43">
        <f>IFERROR(SUM(BM22:BM552),"0")</f>
        <v>1850.9612289562292</v>
      </c>
      <c r="Y556" s="43">
        <f>IFERROR(SUM(BN22:BN552),"0")</f>
        <v>1940.308</v>
      </c>
      <c r="Z556" s="42"/>
      <c r="AA556" s="67"/>
      <c r="AB556" s="67"/>
      <c r="AC556" s="67"/>
    </row>
    <row r="557" spans="1:68" x14ac:dyDescent="0.2">
      <c r="A557" s="723"/>
      <c r="B557" s="723"/>
      <c r="C557" s="723"/>
      <c r="D557" s="723"/>
      <c r="E557" s="723"/>
      <c r="F557" s="723"/>
      <c r="G557" s="723"/>
      <c r="H557" s="723"/>
      <c r="I557" s="723"/>
      <c r="J557" s="723"/>
      <c r="K557" s="723"/>
      <c r="L557" s="723"/>
      <c r="M557" s="723"/>
      <c r="N557" s="723"/>
      <c r="O557" s="1005"/>
      <c r="P557" s="1002" t="s">
        <v>35</v>
      </c>
      <c r="Q557" s="1003"/>
      <c r="R557" s="1003"/>
      <c r="S557" s="1003"/>
      <c r="T557" s="1003"/>
      <c r="U557" s="1003"/>
      <c r="V557" s="1004"/>
      <c r="W557" s="42" t="s">
        <v>20</v>
      </c>
      <c r="X557" s="44">
        <f>ROUNDUP(SUM(BO22:BO552),0)</f>
        <v>3</v>
      </c>
      <c r="Y557" s="44">
        <f>ROUNDUP(SUM(BP22:BP552),0)</f>
        <v>4</v>
      </c>
      <c r="Z557" s="42"/>
      <c r="AA557" s="67"/>
      <c r="AB557" s="67"/>
      <c r="AC557" s="67"/>
    </row>
    <row r="558" spans="1:68" x14ac:dyDescent="0.2">
      <c r="A558" s="723"/>
      <c r="B558" s="723"/>
      <c r="C558" s="723"/>
      <c r="D558" s="723"/>
      <c r="E558" s="723"/>
      <c r="F558" s="723"/>
      <c r="G558" s="723"/>
      <c r="H558" s="723"/>
      <c r="I558" s="723"/>
      <c r="J558" s="723"/>
      <c r="K558" s="723"/>
      <c r="L558" s="723"/>
      <c r="M558" s="723"/>
      <c r="N558" s="723"/>
      <c r="O558" s="1005"/>
      <c r="P558" s="1002" t="s">
        <v>36</v>
      </c>
      <c r="Q558" s="1003"/>
      <c r="R558" s="1003"/>
      <c r="S558" s="1003"/>
      <c r="T558" s="1003"/>
      <c r="U558" s="1003"/>
      <c r="V558" s="1004"/>
      <c r="W558" s="42" t="s">
        <v>0</v>
      </c>
      <c r="X558" s="43">
        <f>GrossWeightTotal+PalletQtyTotal*25</f>
        <v>1925.9612289562292</v>
      </c>
      <c r="Y558" s="43">
        <f>GrossWeightTotalR+PalletQtyTotalR*25</f>
        <v>2040.308</v>
      </c>
      <c r="Z558" s="42"/>
      <c r="AA558" s="67"/>
      <c r="AB558" s="67"/>
      <c r="AC558" s="67"/>
    </row>
    <row r="559" spans="1:68" x14ac:dyDescent="0.2">
      <c r="A559" s="723"/>
      <c r="B559" s="723"/>
      <c r="C559" s="723"/>
      <c r="D559" s="723"/>
      <c r="E559" s="723"/>
      <c r="F559" s="723"/>
      <c r="G559" s="723"/>
      <c r="H559" s="723"/>
      <c r="I559" s="723"/>
      <c r="J559" s="723"/>
      <c r="K559" s="723"/>
      <c r="L559" s="723"/>
      <c r="M559" s="723"/>
      <c r="N559" s="723"/>
      <c r="O559" s="1005"/>
      <c r="P559" s="1002" t="s">
        <v>37</v>
      </c>
      <c r="Q559" s="1003"/>
      <c r="R559" s="1003"/>
      <c r="S559" s="1003"/>
      <c r="T559" s="1003"/>
      <c r="U559" s="1003"/>
      <c r="V559" s="1004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244.60204610204607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257</v>
      </c>
      <c r="Z559" s="42"/>
      <c r="AA559" s="67"/>
      <c r="AB559" s="67"/>
      <c r="AC559" s="67"/>
    </row>
    <row r="560" spans="1:68" ht="14.25" x14ac:dyDescent="0.2">
      <c r="A560" s="723"/>
      <c r="B560" s="723"/>
      <c r="C560" s="723"/>
      <c r="D560" s="723"/>
      <c r="E560" s="723"/>
      <c r="F560" s="723"/>
      <c r="G560" s="723"/>
      <c r="H560" s="723"/>
      <c r="I560" s="723"/>
      <c r="J560" s="723"/>
      <c r="K560" s="723"/>
      <c r="L560" s="723"/>
      <c r="M560" s="723"/>
      <c r="N560" s="723"/>
      <c r="O560" s="1005"/>
      <c r="P560" s="1002" t="s">
        <v>38</v>
      </c>
      <c r="Q560" s="1003"/>
      <c r="R560" s="1003"/>
      <c r="S560" s="1003"/>
      <c r="T560" s="1003"/>
      <c r="U560" s="1003"/>
      <c r="V560" s="1004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3.4917199999999999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1006" t="s">
        <v>120</v>
      </c>
      <c r="E562" s="1006" t="s">
        <v>120</v>
      </c>
      <c r="F562" s="1006" t="s">
        <v>120</v>
      </c>
      <c r="G562" s="1006" t="s">
        <v>120</v>
      </c>
      <c r="H562" s="1006" t="s">
        <v>120</v>
      </c>
      <c r="I562" s="1006" t="s">
        <v>120</v>
      </c>
      <c r="J562" s="1006" t="s">
        <v>120</v>
      </c>
      <c r="K562" s="1006" t="s">
        <v>353</v>
      </c>
      <c r="L562" s="1006" t="s">
        <v>353</v>
      </c>
      <c r="M562" s="1006" t="s">
        <v>353</v>
      </c>
      <c r="N562" s="1007"/>
      <c r="O562" s="1006" t="s">
        <v>353</v>
      </c>
      <c r="P562" s="1006" t="s">
        <v>353</v>
      </c>
      <c r="Q562" s="1006" t="s">
        <v>353</v>
      </c>
      <c r="R562" s="1006" t="s">
        <v>353</v>
      </c>
      <c r="S562" s="1006" t="s">
        <v>353</v>
      </c>
      <c r="T562" s="1006" t="s">
        <v>353</v>
      </c>
      <c r="U562" s="1006" t="s">
        <v>353</v>
      </c>
      <c r="V562" s="1006" t="s">
        <v>353</v>
      </c>
      <c r="W562" s="1006" t="s">
        <v>702</v>
      </c>
      <c r="X562" s="1006" t="s">
        <v>702</v>
      </c>
      <c r="Y562" s="1006" t="s">
        <v>768</v>
      </c>
      <c r="Z562" s="1006" t="s">
        <v>768</v>
      </c>
      <c r="AA562" s="85" t="s">
        <v>804</v>
      </c>
      <c r="AB562" s="1006" t="s">
        <v>851</v>
      </c>
      <c r="AC562" s="1006" t="s">
        <v>851</v>
      </c>
      <c r="AF562" s="1"/>
    </row>
    <row r="563" spans="1:32" ht="14.25" customHeight="1" thickTop="1" x14ac:dyDescent="0.2">
      <c r="A563" s="1008" t="s">
        <v>10</v>
      </c>
      <c r="B563" s="1006" t="s">
        <v>76</v>
      </c>
      <c r="C563" s="1006" t="s">
        <v>104</v>
      </c>
      <c r="D563" s="1006" t="s">
        <v>121</v>
      </c>
      <c r="E563" s="1006" t="s">
        <v>137</v>
      </c>
      <c r="F563" s="1006" t="s">
        <v>182</v>
      </c>
      <c r="G563" s="1006" t="s">
        <v>203</v>
      </c>
      <c r="H563" s="1006" t="s">
        <v>243</v>
      </c>
      <c r="I563" s="1006" t="s">
        <v>267</v>
      </c>
      <c r="J563" s="1006" t="s">
        <v>120</v>
      </c>
      <c r="K563" s="1006" t="s">
        <v>354</v>
      </c>
      <c r="L563" s="1006" t="s">
        <v>375</v>
      </c>
      <c r="M563" s="1006" t="s">
        <v>442</v>
      </c>
      <c r="N563" s="1"/>
      <c r="O563" s="1006" t="s">
        <v>510</v>
      </c>
      <c r="P563" s="1006" t="s">
        <v>543</v>
      </c>
      <c r="Q563" s="1006" t="s">
        <v>559</v>
      </c>
      <c r="R563" s="1006" t="s">
        <v>568</v>
      </c>
      <c r="S563" s="1006" t="s">
        <v>589</v>
      </c>
      <c r="T563" s="1006" t="s">
        <v>598</v>
      </c>
      <c r="U563" s="1006" t="s">
        <v>682</v>
      </c>
      <c r="V563" s="1006" t="s">
        <v>692</v>
      </c>
      <c r="W563" s="1006" t="s">
        <v>703</v>
      </c>
      <c r="X563" s="1006" t="s">
        <v>752</v>
      </c>
      <c r="Y563" s="1006" t="s">
        <v>769</v>
      </c>
      <c r="Z563" s="1006" t="s">
        <v>792</v>
      </c>
      <c r="AA563" s="1006" t="s">
        <v>804</v>
      </c>
      <c r="AB563" s="1006" t="s">
        <v>851</v>
      </c>
      <c r="AC563" s="1006" t="s">
        <v>870</v>
      </c>
      <c r="AF563" s="1"/>
    </row>
    <row r="564" spans="1:32" ht="13.5" thickBot="1" x14ac:dyDescent="0.25">
      <c r="A564" s="1009"/>
      <c r="B564" s="1006"/>
      <c r="C564" s="1006"/>
      <c r="D564" s="1006"/>
      <c r="E564" s="1006"/>
      <c r="F564" s="1006"/>
      <c r="G564" s="1006"/>
      <c r="H564" s="1006"/>
      <c r="I564" s="1006"/>
      <c r="J564" s="1006"/>
      <c r="K564" s="1006"/>
      <c r="L564" s="1006"/>
      <c r="M564" s="1006"/>
      <c r="N564" s="1"/>
      <c r="O564" s="1006"/>
      <c r="P564" s="1006"/>
      <c r="Q564" s="1006"/>
      <c r="R564" s="1006"/>
      <c r="S564" s="1006"/>
      <c r="T564" s="1006"/>
      <c r="U564" s="1006"/>
      <c r="V564" s="1006"/>
      <c r="W564" s="1006"/>
      <c r="X564" s="1006"/>
      <c r="Y564" s="1006"/>
      <c r="Z564" s="1006"/>
      <c r="AA564" s="1006"/>
      <c r="AB564" s="1006"/>
      <c r="AC564" s="1006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0</v>
      </c>
      <c r="D565" s="52">
        <f>IFERROR(Y47*1,"0")+IFERROR(Y48*1,"0")+IFERROR(Y49*1,"0")+IFERROR(Y50*1,"0")</f>
        <v>32.400000000000006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87.300000000000011</v>
      </c>
      <c r="F565" s="52">
        <f>IFERROR(Y84*1,"0")+IFERROR(Y85*1,"0")+IFERROR(Y86*1,"0")+IFERROR(Y87*1,"0")+IFERROR(Y91*1,"0")+IFERROR(Y92*1,"0")+IFERROR(Y93*1,"0")+IFERROR(Y94*1,"0")</f>
        <v>58.5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90</v>
      </c>
      <c r="H565" s="52">
        <f>IFERROR(Y129*1,"0")+IFERROR(Y130*1,"0")+IFERROR(Y131*1,"0")+IFERROR(Y135*1,"0")+IFERROR(Y136*1,"0")+IFERROR(Y137*1,"0")+IFERROR(Y138*1,"0")+IFERROR(Y142*1,"0")+IFERROR(Y143*1,"0")+IFERROR(Y144*1,"0")</f>
        <v>0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130.80000000000001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5" s="52">
        <f>IFERROR(Y324*1,"0")+IFERROR(Y325*1,"0")+IFERROR(Y326*1,"0")+IFERROR(Y327*1,"0")+IFERROR(Y328*1,"0")</f>
        <v>0</v>
      </c>
      <c r="Q565" s="52">
        <f>IFERROR(Y333*1,"0")+IFERROR(Y334*1,"0")+IFERROR(Y335*1,"0")</f>
        <v>24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0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41.7</v>
      </c>
      <c r="U565" s="52">
        <f>IFERROR(Y413*1,"0")+IFERROR(Y414*1,"0")</f>
        <v>0</v>
      </c>
      <c r="V565" s="52">
        <f>IFERROR(Y419*1,"0")+IFERROR(Y420*1,"0")+IFERROR(Y421*1,"0")</f>
        <v>54.600000000000009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813</v>
      </c>
      <c r="X565" s="52">
        <f>IFERROR(Y456*1,"0")+IFERROR(Y457*1,"0")+IFERROR(Y461*1,"0")+IFERROR(Y465*1,"0")+IFERROR(Y466*1,"0")+IFERROR(Y467*1,"0")</f>
        <v>0</v>
      </c>
      <c r="Y565" s="52">
        <f>IFERROR(Y473*1,"0")+IFERROR(Y474*1,"0")+IFERROR(Y475*1,"0")+IFERROR(Y476*1,"0")+IFERROR(Y477*1,"0")+IFERROR(Y478*1,"0")+IFERROR(Y482*1,"0")+IFERROR(Y483*1,"0")</f>
        <v>8.4</v>
      </c>
      <c r="Z565" s="52">
        <f>IFERROR(Y488*1,"0")+IFERROR(Y492*1,"0")+IFERROR(Y493*1,"0")+IFERROR(Y494*1,"0")</f>
        <v>10.5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147.84</v>
      </c>
      <c r="AB565" s="52">
        <f>IFERROR(Y530*1,"0")+IFERROR(Y534*1,"0")+IFERROR(Y538*1,"0")+IFERROR(Y542*1,"0")+IFERROR(Y546*1,"0")+IFERROR(Y547*1,"0")</f>
        <v>351</v>
      </c>
      <c r="AC565" s="52">
        <f>IFERROR(Y552*1,"0")</f>
        <v>0</v>
      </c>
      <c r="AF565" s="1"/>
    </row>
  </sheetData>
  <sheetProtection algorithmName="SHA-512" hashValue="W6xKtQtov4L4myRjPs6AGslIaGv3M7DM6ryDyvZMUY8LKHkWJ71E2pABeLsF7NTOJPE3443iXaEXaMPOZo6Gog==" saltValue="mUkFJ3PFyT1ATOvIhq7cWw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95"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9" spans="2:8" x14ac:dyDescent="0.2">
      <c r="B9" s="53" t="s">
        <v>883</v>
      </c>
      <c r="C9" s="53" t="s">
        <v>878</v>
      </c>
      <c r="D9" s="53" t="s">
        <v>46</v>
      </c>
      <c r="E9" s="53" t="s">
        <v>46</v>
      </c>
    </row>
    <row r="11" spans="2:8" x14ac:dyDescent="0.2">
      <c r="B11" s="53" t="s">
        <v>883</v>
      </c>
      <c r="C11" s="53" t="s">
        <v>881</v>
      </c>
      <c r="D11" s="53" t="s">
        <v>46</v>
      </c>
      <c r="E11" s="53" t="s">
        <v>46</v>
      </c>
    </row>
    <row r="13" spans="2:8" x14ac:dyDescent="0.2">
      <c r="B13" s="53" t="s">
        <v>884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894</v>
      </c>
      <c r="C23" s="53" t="s">
        <v>46</v>
      </c>
      <c r="D23" s="53" t="s">
        <v>46</v>
      </c>
      <c r="E23" s="53" t="s">
        <v>46</v>
      </c>
    </row>
  </sheetData>
  <sheetProtection algorithmName="SHA-512" hashValue="GpFm4YsdmBoNDdBmvCk/8x8PC7shbvwLfboWgKcbwIPEf3WEeyTJNpyt3/JSTMkq307BSLAYC9LQJtK874uGtg==" saltValue="pyUt+4FPmuV9o1PK5EZv7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1159</vt:i4>
      </vt:variant>
    </vt:vector>
  </HeadingPairs>
  <TitlesOfParts>
    <vt:vector size="116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2026-08-13T12:02:11Z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