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2,25 ПОКОМ КИ филиалы\"/>
    </mc:Choice>
  </mc:AlternateContent>
  <xr:revisionPtr revIDLastSave="0" documentId="13_ncr:1_{E084F55E-3637-422B-9C35-8F260F14350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Sheet!$A$3:$AH$94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5" i="1" l="1"/>
  <c r="M7" i="1"/>
  <c r="R7" i="1" s="1"/>
  <c r="M8" i="1"/>
  <c r="R8" i="1" s="1"/>
  <c r="S8" i="1" s="1"/>
  <c r="M9" i="1"/>
  <c r="R9" i="1" s="1"/>
  <c r="M10" i="1"/>
  <c r="R10" i="1" s="1"/>
  <c r="S10" i="1" s="1"/>
  <c r="M11" i="1"/>
  <c r="R11" i="1" s="1"/>
  <c r="M12" i="1"/>
  <c r="R12" i="1" s="1"/>
  <c r="M13" i="1"/>
  <c r="R13" i="1" s="1"/>
  <c r="M14" i="1"/>
  <c r="R14" i="1" s="1"/>
  <c r="M15" i="1"/>
  <c r="R15" i="1" s="1"/>
  <c r="M16" i="1"/>
  <c r="R16" i="1" s="1"/>
  <c r="M17" i="1"/>
  <c r="R17" i="1" s="1"/>
  <c r="M18" i="1"/>
  <c r="R18" i="1" s="1"/>
  <c r="M19" i="1"/>
  <c r="R19" i="1" s="1"/>
  <c r="M20" i="1"/>
  <c r="R20" i="1" s="1"/>
  <c r="M21" i="1"/>
  <c r="R21" i="1" s="1"/>
  <c r="M22" i="1"/>
  <c r="R22" i="1" s="1"/>
  <c r="M23" i="1"/>
  <c r="R23" i="1" s="1"/>
  <c r="M24" i="1"/>
  <c r="R24" i="1" s="1"/>
  <c r="M25" i="1"/>
  <c r="R25" i="1" s="1"/>
  <c r="W25" i="1" s="1"/>
  <c r="M26" i="1"/>
  <c r="R26" i="1" s="1"/>
  <c r="M27" i="1"/>
  <c r="R27" i="1" s="1"/>
  <c r="M28" i="1"/>
  <c r="R28" i="1" s="1"/>
  <c r="M29" i="1"/>
  <c r="R29" i="1" s="1"/>
  <c r="W29" i="1" s="1"/>
  <c r="M30" i="1"/>
  <c r="R30" i="1" s="1"/>
  <c r="M31" i="1"/>
  <c r="R31" i="1" s="1"/>
  <c r="W31" i="1" s="1"/>
  <c r="M32" i="1"/>
  <c r="R32" i="1" s="1"/>
  <c r="S32" i="1" s="1"/>
  <c r="M33" i="1"/>
  <c r="R33" i="1" s="1"/>
  <c r="M34" i="1"/>
  <c r="R34" i="1" s="1"/>
  <c r="M35" i="1"/>
  <c r="R35" i="1" s="1"/>
  <c r="M36" i="1"/>
  <c r="R36" i="1" s="1"/>
  <c r="S36" i="1" s="1"/>
  <c r="M37" i="1"/>
  <c r="R37" i="1" s="1"/>
  <c r="M38" i="1"/>
  <c r="R38" i="1" s="1"/>
  <c r="M39" i="1"/>
  <c r="R39" i="1" s="1"/>
  <c r="M40" i="1"/>
  <c r="R40" i="1" s="1"/>
  <c r="S40" i="1" s="1"/>
  <c r="M41" i="1"/>
  <c r="R41" i="1" s="1"/>
  <c r="M42" i="1"/>
  <c r="R42" i="1" s="1"/>
  <c r="S42" i="1" s="1"/>
  <c r="M43" i="1"/>
  <c r="R43" i="1" s="1"/>
  <c r="M44" i="1"/>
  <c r="R44" i="1" s="1"/>
  <c r="S44" i="1" s="1"/>
  <c r="M45" i="1"/>
  <c r="R45" i="1" s="1"/>
  <c r="M46" i="1"/>
  <c r="R46" i="1" s="1"/>
  <c r="S46" i="1" s="1"/>
  <c r="M47" i="1"/>
  <c r="R47" i="1" s="1"/>
  <c r="M48" i="1"/>
  <c r="R48" i="1" s="1"/>
  <c r="M49" i="1"/>
  <c r="R49" i="1" s="1"/>
  <c r="M50" i="1"/>
  <c r="R50" i="1" s="1"/>
  <c r="S50" i="1" s="1"/>
  <c r="M51" i="1"/>
  <c r="R51" i="1" s="1"/>
  <c r="M52" i="1"/>
  <c r="R52" i="1" s="1"/>
  <c r="S52" i="1" s="1"/>
  <c r="M53" i="1"/>
  <c r="R53" i="1" s="1"/>
  <c r="M54" i="1"/>
  <c r="R54" i="1" s="1"/>
  <c r="M55" i="1"/>
  <c r="R55" i="1" s="1"/>
  <c r="M56" i="1"/>
  <c r="R56" i="1" s="1"/>
  <c r="S56" i="1" s="1"/>
  <c r="M57" i="1"/>
  <c r="R57" i="1" s="1"/>
  <c r="M58" i="1"/>
  <c r="R58" i="1" s="1"/>
  <c r="S58" i="1" s="1"/>
  <c r="M59" i="1"/>
  <c r="R59" i="1" s="1"/>
  <c r="M60" i="1"/>
  <c r="R60" i="1" s="1"/>
  <c r="S60" i="1" s="1"/>
  <c r="M61" i="1"/>
  <c r="R61" i="1" s="1"/>
  <c r="M62" i="1"/>
  <c r="R62" i="1" s="1"/>
  <c r="S62" i="1" s="1"/>
  <c r="M63" i="1"/>
  <c r="R63" i="1" s="1"/>
  <c r="M64" i="1"/>
  <c r="R64" i="1" s="1"/>
  <c r="S64" i="1" s="1"/>
  <c r="M65" i="1"/>
  <c r="R65" i="1" s="1"/>
  <c r="M66" i="1"/>
  <c r="R66" i="1" s="1"/>
  <c r="S66" i="1" s="1"/>
  <c r="M67" i="1"/>
  <c r="R67" i="1" s="1"/>
  <c r="W67" i="1" s="1"/>
  <c r="M68" i="1"/>
  <c r="R68" i="1" s="1"/>
  <c r="M69" i="1"/>
  <c r="R69" i="1" s="1"/>
  <c r="M70" i="1"/>
  <c r="R70" i="1" s="1"/>
  <c r="M71" i="1"/>
  <c r="R71" i="1" s="1"/>
  <c r="M72" i="1"/>
  <c r="R72" i="1" s="1"/>
  <c r="M73" i="1"/>
  <c r="R73" i="1" s="1"/>
  <c r="M74" i="1"/>
  <c r="R74" i="1" s="1"/>
  <c r="M75" i="1"/>
  <c r="R75" i="1" s="1"/>
  <c r="M76" i="1"/>
  <c r="R76" i="1" s="1"/>
  <c r="M77" i="1"/>
  <c r="R77" i="1" s="1"/>
  <c r="M78" i="1"/>
  <c r="R78" i="1" s="1"/>
  <c r="M79" i="1"/>
  <c r="R79" i="1" s="1"/>
  <c r="M80" i="1"/>
  <c r="R80" i="1" s="1"/>
  <c r="S80" i="1" s="1"/>
  <c r="M81" i="1"/>
  <c r="R81" i="1" s="1"/>
  <c r="M82" i="1"/>
  <c r="R82" i="1" s="1"/>
  <c r="S82" i="1" s="1"/>
  <c r="M83" i="1"/>
  <c r="R83" i="1" s="1"/>
  <c r="M84" i="1"/>
  <c r="R84" i="1" s="1"/>
  <c r="S84" i="1" s="1"/>
  <c r="M85" i="1"/>
  <c r="R85" i="1" s="1"/>
  <c r="M86" i="1"/>
  <c r="R86" i="1" s="1"/>
  <c r="M87" i="1"/>
  <c r="R87" i="1" s="1"/>
  <c r="S87" i="1" s="1"/>
  <c r="M88" i="1"/>
  <c r="R88" i="1" s="1"/>
  <c r="M89" i="1"/>
  <c r="R89" i="1" s="1"/>
  <c r="S89" i="1" s="1"/>
  <c r="M90" i="1"/>
  <c r="R90" i="1" s="1"/>
  <c r="S90" i="1" s="1"/>
  <c r="M91" i="1"/>
  <c r="R91" i="1" s="1"/>
  <c r="M92" i="1"/>
  <c r="R92" i="1" s="1"/>
  <c r="M93" i="1"/>
  <c r="R93" i="1" s="1"/>
  <c r="M94" i="1"/>
  <c r="R94" i="1" s="1"/>
  <c r="M6" i="1"/>
  <c r="R6" i="1" s="1"/>
  <c r="W83" i="1" l="1"/>
  <c r="S81" i="1"/>
  <c r="W81" i="1" s="1"/>
  <c r="S79" i="1"/>
  <c r="W79" i="1" s="1"/>
  <c r="S77" i="1"/>
  <c r="W77" i="1" s="1"/>
  <c r="W75" i="1"/>
  <c r="W73" i="1"/>
  <c r="S71" i="1"/>
  <c r="W71" i="1" s="1"/>
  <c r="S69" i="1"/>
  <c r="W69" i="1" s="1"/>
  <c r="W63" i="1"/>
  <c r="W59" i="1"/>
  <c r="W43" i="1"/>
  <c r="W21" i="1"/>
  <c r="W19" i="1"/>
  <c r="W23" i="1"/>
  <c r="S27" i="1"/>
  <c r="W27" i="1" s="1"/>
  <c r="S33" i="1"/>
  <c r="W33" i="1" s="1"/>
  <c r="S35" i="1"/>
  <c r="W35" i="1" s="1"/>
  <c r="W37" i="1"/>
  <c r="S39" i="1"/>
  <c r="W39" i="1" s="1"/>
  <c r="W41" i="1"/>
  <c r="S45" i="1"/>
  <c r="W45" i="1" s="1"/>
  <c r="S47" i="1"/>
  <c r="AH47" i="1" s="1"/>
  <c r="S7" i="1"/>
  <c r="W7" i="1" s="1"/>
  <c r="S9" i="1"/>
  <c r="W9" i="1" s="1"/>
  <c r="S11" i="1"/>
  <c r="W11" i="1" s="1"/>
  <c r="S13" i="1"/>
  <c r="W13" i="1" s="1"/>
  <c r="W15" i="1"/>
  <c r="S17" i="1"/>
  <c r="W17" i="1" s="1"/>
  <c r="S49" i="1"/>
  <c r="W49" i="1" s="1"/>
  <c r="S51" i="1"/>
  <c r="W51" i="1" s="1"/>
  <c r="W53" i="1"/>
  <c r="S55" i="1"/>
  <c r="W55" i="1" s="1"/>
  <c r="S57" i="1"/>
  <c r="W57" i="1" s="1"/>
  <c r="S61" i="1"/>
  <c r="W61" i="1" s="1"/>
  <c r="S65" i="1"/>
  <c r="W65" i="1" s="1"/>
  <c r="W92" i="1"/>
  <c r="W94" i="1"/>
  <c r="W82" i="1"/>
  <c r="X82" i="1"/>
  <c r="W78" i="1"/>
  <c r="X78" i="1"/>
  <c r="W74" i="1"/>
  <c r="X74" i="1"/>
  <c r="W70" i="1"/>
  <c r="X70" i="1"/>
  <c r="W66" i="1"/>
  <c r="X66" i="1"/>
  <c r="W62" i="1"/>
  <c r="X62" i="1"/>
  <c r="W58" i="1"/>
  <c r="X58" i="1"/>
  <c r="W54" i="1"/>
  <c r="X54" i="1"/>
  <c r="W50" i="1"/>
  <c r="X50" i="1"/>
  <c r="W46" i="1"/>
  <c r="X46" i="1"/>
  <c r="W42" i="1"/>
  <c r="X42" i="1"/>
  <c r="W38" i="1"/>
  <c r="X38" i="1"/>
  <c r="W34" i="1"/>
  <c r="X34" i="1"/>
  <c r="W30" i="1"/>
  <c r="X30" i="1"/>
  <c r="W26" i="1"/>
  <c r="X26" i="1"/>
  <c r="W22" i="1"/>
  <c r="X22" i="1"/>
  <c r="W18" i="1"/>
  <c r="X18" i="1"/>
  <c r="W14" i="1"/>
  <c r="X14" i="1"/>
  <c r="W10" i="1"/>
  <c r="X10" i="1"/>
  <c r="X6" i="1"/>
  <c r="W6" i="1"/>
  <c r="W93" i="1"/>
  <c r="X93" i="1"/>
  <c r="W91" i="1"/>
  <c r="X91" i="1"/>
  <c r="W89" i="1"/>
  <c r="X89" i="1"/>
  <c r="W87" i="1"/>
  <c r="X87" i="1"/>
  <c r="W85" i="1"/>
  <c r="X85" i="1"/>
  <c r="W90" i="1"/>
  <c r="X90" i="1"/>
  <c r="W88" i="1"/>
  <c r="X88" i="1"/>
  <c r="W86" i="1"/>
  <c r="X86" i="1"/>
  <c r="W84" i="1"/>
  <c r="X84" i="1"/>
  <c r="W80" i="1"/>
  <c r="X80" i="1"/>
  <c r="W76" i="1"/>
  <c r="X76" i="1"/>
  <c r="W72" i="1"/>
  <c r="X72" i="1"/>
  <c r="W68" i="1"/>
  <c r="X68" i="1"/>
  <c r="W64" i="1"/>
  <c r="X64" i="1"/>
  <c r="W60" i="1"/>
  <c r="X60" i="1"/>
  <c r="W56" i="1"/>
  <c r="X56" i="1"/>
  <c r="W52" i="1"/>
  <c r="X52" i="1"/>
  <c r="W48" i="1"/>
  <c r="X48" i="1"/>
  <c r="W44" i="1"/>
  <c r="X44" i="1"/>
  <c r="W40" i="1"/>
  <c r="X40" i="1"/>
  <c r="W36" i="1"/>
  <c r="X36" i="1"/>
  <c r="W32" i="1"/>
  <c r="X32" i="1"/>
  <c r="W28" i="1"/>
  <c r="X28" i="1"/>
  <c r="W24" i="1"/>
  <c r="X24" i="1"/>
  <c r="W20" i="1"/>
  <c r="X20" i="1"/>
  <c r="W16" i="1"/>
  <c r="X16" i="1"/>
  <c r="W12" i="1"/>
  <c r="X12" i="1"/>
  <c r="W8" i="1"/>
  <c r="X8" i="1"/>
  <c r="X94" i="1"/>
  <c r="X92" i="1"/>
  <c r="X81" i="1"/>
  <c r="X77" i="1"/>
  <c r="X73" i="1"/>
  <c r="X69" i="1"/>
  <c r="X65" i="1"/>
  <c r="X61" i="1"/>
  <c r="X57" i="1"/>
  <c r="X53" i="1"/>
  <c r="X49" i="1"/>
  <c r="X45" i="1"/>
  <c r="X41" i="1"/>
  <c r="X37" i="1"/>
  <c r="X33" i="1"/>
  <c r="X29" i="1"/>
  <c r="X25" i="1"/>
  <c r="X21" i="1"/>
  <c r="X17" i="1"/>
  <c r="X13" i="1"/>
  <c r="X9" i="1"/>
  <c r="X83" i="1"/>
  <c r="X79" i="1"/>
  <c r="X75" i="1"/>
  <c r="X71" i="1"/>
  <c r="X67" i="1"/>
  <c r="X63" i="1"/>
  <c r="X59" i="1"/>
  <c r="X55" i="1"/>
  <c r="X51" i="1"/>
  <c r="X47" i="1"/>
  <c r="X43" i="1"/>
  <c r="X39" i="1"/>
  <c r="X35" i="1"/>
  <c r="X31" i="1"/>
  <c r="X27" i="1"/>
  <c r="X23" i="1"/>
  <c r="X19" i="1"/>
  <c r="X15" i="1"/>
  <c r="X11" i="1"/>
  <c r="X7" i="1"/>
  <c r="AH94" i="1"/>
  <c r="L94" i="1"/>
  <c r="AH93" i="1"/>
  <c r="L93" i="1"/>
  <c r="AH92" i="1"/>
  <c r="L92" i="1"/>
  <c r="AH91" i="1"/>
  <c r="L91" i="1"/>
  <c r="AH90" i="1"/>
  <c r="L90" i="1"/>
  <c r="AH89" i="1"/>
  <c r="L89" i="1"/>
  <c r="AH88" i="1"/>
  <c r="L88" i="1"/>
  <c r="AH87" i="1"/>
  <c r="L87" i="1"/>
  <c r="L86" i="1"/>
  <c r="AH85" i="1"/>
  <c r="L85" i="1"/>
  <c r="AH84" i="1"/>
  <c r="L84" i="1"/>
  <c r="L83" i="1"/>
  <c r="AH82" i="1"/>
  <c r="L82" i="1"/>
  <c r="L81" i="1"/>
  <c r="AH80" i="1"/>
  <c r="L80" i="1"/>
  <c r="L79" i="1"/>
  <c r="AH78" i="1"/>
  <c r="L78" i="1"/>
  <c r="L77" i="1"/>
  <c r="AH76" i="1"/>
  <c r="L76" i="1"/>
  <c r="L75" i="1"/>
  <c r="AH74" i="1"/>
  <c r="L74" i="1"/>
  <c r="L73" i="1"/>
  <c r="L72" i="1"/>
  <c r="L71" i="1"/>
  <c r="L70" i="1"/>
  <c r="L69" i="1"/>
  <c r="L68" i="1"/>
  <c r="L67" i="1"/>
  <c r="AH66" i="1"/>
  <c r="L66" i="1"/>
  <c r="L65" i="1"/>
  <c r="AH64" i="1"/>
  <c r="L64" i="1"/>
  <c r="AH63" i="1"/>
  <c r="L63" i="1"/>
  <c r="AH62" i="1"/>
  <c r="L62" i="1"/>
  <c r="L61" i="1"/>
  <c r="AH60" i="1"/>
  <c r="L60" i="1"/>
  <c r="AH59" i="1"/>
  <c r="L59" i="1"/>
  <c r="AH58" i="1"/>
  <c r="L58" i="1"/>
  <c r="L57" i="1"/>
  <c r="AH56" i="1"/>
  <c r="L56" i="1"/>
  <c r="L55" i="1"/>
  <c r="AH54" i="1"/>
  <c r="L54" i="1"/>
  <c r="L53" i="1"/>
  <c r="AH52" i="1"/>
  <c r="L52" i="1"/>
  <c r="L51" i="1"/>
  <c r="AH50" i="1"/>
  <c r="L50" i="1"/>
  <c r="L49" i="1"/>
  <c r="L48" i="1"/>
  <c r="L47" i="1"/>
  <c r="AH46" i="1"/>
  <c r="L46" i="1"/>
  <c r="L45" i="1"/>
  <c r="AH44" i="1"/>
  <c r="L44" i="1"/>
  <c r="AH43" i="1"/>
  <c r="L43" i="1"/>
  <c r="AH42" i="1"/>
  <c r="L42" i="1"/>
  <c r="AH41" i="1"/>
  <c r="L41" i="1"/>
  <c r="AH40" i="1"/>
  <c r="L40" i="1"/>
  <c r="L39" i="1"/>
  <c r="AH38" i="1"/>
  <c r="L38" i="1"/>
  <c r="AH37" i="1"/>
  <c r="L37" i="1"/>
  <c r="AH36" i="1"/>
  <c r="L36" i="1"/>
  <c r="L35" i="1"/>
  <c r="AH34" i="1"/>
  <c r="L34" i="1"/>
  <c r="L33" i="1"/>
  <c r="AH32" i="1"/>
  <c r="L32" i="1"/>
  <c r="L31" i="1"/>
  <c r="L30" i="1"/>
  <c r="L29" i="1"/>
  <c r="L28" i="1"/>
  <c r="L27" i="1"/>
  <c r="L26" i="1"/>
  <c r="L25" i="1"/>
  <c r="AH24" i="1"/>
  <c r="L24" i="1"/>
  <c r="AH23" i="1"/>
  <c r="L23" i="1"/>
  <c r="AH22" i="1"/>
  <c r="L22" i="1"/>
  <c r="AH21" i="1"/>
  <c r="L21" i="1"/>
  <c r="AH20" i="1"/>
  <c r="L20" i="1"/>
  <c r="AH19" i="1"/>
  <c r="L19" i="1"/>
  <c r="L18" i="1"/>
  <c r="L17" i="1"/>
  <c r="AH16" i="1"/>
  <c r="L16" i="1"/>
  <c r="L15" i="1"/>
  <c r="AH14" i="1"/>
  <c r="L14" i="1"/>
  <c r="L13" i="1"/>
  <c r="AH12" i="1"/>
  <c r="L12" i="1"/>
  <c r="L11" i="1"/>
  <c r="AH10" i="1"/>
  <c r="L10" i="1"/>
  <c r="L9" i="1"/>
  <c r="AH8" i="1"/>
  <c r="L8" i="1"/>
  <c r="L7" i="1"/>
  <c r="AH6" i="1"/>
  <c r="L6" i="1"/>
  <c r="AF5" i="1"/>
  <c r="AE5" i="1"/>
  <c r="AD5" i="1"/>
  <c r="AC5" i="1"/>
  <c r="AB5" i="1"/>
  <c r="AA5" i="1"/>
  <c r="Z5" i="1"/>
  <c r="Y5" i="1"/>
  <c r="T5" i="1"/>
  <c r="R5" i="1"/>
  <c r="Q5" i="1"/>
  <c r="P5" i="1"/>
  <c r="O5" i="1"/>
  <c r="N5" i="1"/>
  <c r="M5" i="1"/>
  <c r="K5" i="1"/>
  <c r="F5" i="1"/>
  <c r="E5" i="1"/>
  <c r="AH17" i="1" l="1"/>
  <c r="AH9" i="1"/>
  <c r="AH55" i="1"/>
  <c r="S5" i="1"/>
  <c r="AH27" i="1"/>
  <c r="AH35" i="1"/>
  <c r="AH39" i="1"/>
  <c r="AH45" i="1"/>
  <c r="W47" i="1"/>
  <c r="AH13" i="1"/>
  <c r="AH33" i="1"/>
  <c r="AH51" i="1"/>
  <c r="AH71" i="1"/>
  <c r="AH7" i="1"/>
  <c r="AH11" i="1"/>
  <c r="AH15" i="1"/>
  <c r="AH49" i="1"/>
  <c r="AH53" i="1"/>
  <c r="AH57" i="1"/>
  <c r="AH61" i="1"/>
  <c r="AH65" i="1"/>
  <c r="AH69" i="1"/>
  <c r="AH73" i="1"/>
  <c r="AH75" i="1"/>
  <c r="AH77" i="1"/>
  <c r="AH79" i="1"/>
  <c r="AH81" i="1"/>
  <c r="AH83" i="1"/>
  <c r="L5" i="1"/>
  <c r="AH5" i="1" l="1"/>
</calcChain>
</file>

<file path=xl/sharedStrings.xml><?xml version="1.0" encoding="utf-8"?>
<sst xmlns="http://schemas.openxmlformats.org/spreadsheetml/2006/main" count="361" uniqueCount="147">
  <si>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</si>
  <si>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</si>
  <si>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</si>
  <si>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</si>
  <si>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</si>
  <si>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</si>
  <si>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</si>
  <si>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</si>
  <si>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</si>
  <si>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</si>
  <si>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</si>
  <si>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</si>
  <si>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</si>
  <si>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</si>
  <si>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</si>
  <si>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</si>
  <si>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</si>
  <si>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</si>
  <si>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</si>
  <si>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</si>
  <si>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</si>
  <si>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</si>
  <si>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</si>
  <si>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</si>
  <si>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Бутырин(13,12)</t>
  </si>
  <si>
    <t>13,12,(1)</t>
  </si>
  <si>
    <t>13,12,(2)</t>
  </si>
  <si>
    <t>11,12,</t>
  </si>
  <si>
    <t>09,12,</t>
  </si>
  <si>
    <t>04,12,</t>
  </si>
  <si>
    <t>02,12,</t>
  </si>
  <si>
    <t>27,11,</t>
  </si>
  <si>
    <t>25,11,</t>
  </si>
  <si>
    <t>20,11,</t>
  </si>
  <si>
    <t>18,11,</t>
  </si>
  <si>
    <t>13,11,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</si>
  <si>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</si>
  <si>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</si>
  <si>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</si>
  <si>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</si>
  <si>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</si>
  <si>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</si>
  <si>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</si>
  <si>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>ТС Обжора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</si>
  <si>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</si>
  <si>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</si>
  <si>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</si>
  <si>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</si>
  <si>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</si>
  <si>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ноябрь_декабрь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</si>
  <si>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</si>
  <si>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</si>
  <si>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</si>
  <si>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</si>
  <si>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</si>
  <si>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</si>
  <si>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>нужно увеличить продажи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</si>
  <si>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</si>
  <si>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</si>
  <si>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</si>
  <si>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</si>
  <si>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</si>
  <si>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</si>
  <si>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</si>
  <si>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</si>
  <si>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</si>
  <si>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</si>
  <si>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</si>
  <si>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</si>
  <si>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</si>
  <si>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</si>
  <si>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ноябрь_декабрь / ТС Обжора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</si>
  <si>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</si>
  <si>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</si>
  <si>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</si>
  <si>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>новинка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</si>
  <si>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</si>
  <si>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</si>
  <si>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</si>
  <si>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</si>
  <si>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</si>
  <si>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</si>
  <si>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</si>
  <si>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</si>
  <si>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</si>
  <si>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</si>
  <si>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</si>
  <si>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</si>
  <si>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</si>
  <si>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</si>
  <si>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</si>
  <si>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ТМА ноябрь_декабрь / 20,01,25 в уценку 86шт.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</si>
  <si>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</si>
  <si>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</si>
  <si>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</si>
  <si>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</si>
  <si>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>29,04,25 в уценку 30кг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</si>
  <si>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</si>
  <si>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</si>
  <si>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</si>
  <si>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</si>
  <si>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</si>
  <si>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</si>
  <si>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</si>
  <si>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</si>
  <si>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</si>
  <si>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</si>
  <si>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</si>
  <si>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>ВНИМАНИЕ / матрица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</si>
  <si>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</si>
  <si>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</si>
  <si>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</si>
  <si>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</si>
  <si>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</si>
  <si>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</si>
  <si>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</si>
  <si>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>нет потребности / 02,06,25 в уценку 8шт.</t>
  </si>
  <si>
    <t xml:space="preserve"> 436  Колбаса Молочная стародворская с молоком, ВЕС, ТМ Стародворье  ПОКОМ</t>
  </si>
  <si>
    <t>нужно увеличить продажи!!!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</si>
  <si>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</si>
  <si>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</si>
  <si>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</si>
  <si>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>ТМА ноябрь_декабрь / 22,01,25 в уценку 1989кг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</si>
  <si>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</si>
  <si>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</si>
  <si>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</si>
  <si>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</si>
  <si>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</si>
  <si>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</si>
  <si>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</si>
  <si>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</si>
  <si>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</si>
  <si>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</si>
  <si>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вывод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</si>
  <si>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</si>
  <si>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</si>
  <si>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05,12,25 списание 29кг (сроки) / 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</si>
  <si>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</si>
  <si>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</si>
  <si>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31,01,25 в уценку 96шт.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</si>
  <si>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</si>
  <si>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</si>
  <si>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</si>
  <si>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25,05,25 в уценку 56шт.</t>
  </si>
  <si>
    <t>377  Колбаса Молочная Дугушка 0,6кг ТМ Стародворье  ПОКОМ</t>
  </si>
  <si>
    <t>Химич</t>
  </si>
  <si>
    <t>23,06,25 в уценку 6кг / 22,04,25 в уценку 34 кг / 25,01,25 в уценку 108кг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</si>
</sst>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2" fillId="0" borderId="1"/>
  </cellStyleXfs>
  <cellXfs count="27">
    <xf numFmtId="0" fontId="0" fillId="0" borderId="0" xfId="0" applyBorder="1"/>
    <xf numFmtId="164" fontId="2" fillId="0" borderId="1" xfId="1" applyNumberFormat="1"/>
    <xf numFmtId="164" fontId="3" fillId="2" borderId="1" xfId="1" applyNumberFormat="1" applyFont="1" applyFill="1"/>
    <xf numFmtId="164" fontId="4" fillId="2" borderId="1" xfId="1" applyNumberFormat="1" applyFont="1" applyFill="1"/>
    <xf numFmtId="164" fontId="2" fillId="3" borderId="1" xfId="1" applyNumberFormat="1" applyFill="1"/>
    <xf numFmtId="164" fontId="2" fillId="0" borderId="2" xfId="1" applyNumberFormat="1" applyBorder="1"/>
    <xf numFmtId="2" fontId="0" fillId="0" borderId="0" xfId="0" applyNumberFormat="1" applyBorder="1"/>
    <xf numFmtId="164" fontId="3" fillId="4" borderId="1" xfId="1" applyNumberFormat="1" applyFont="1" applyFill="1"/>
    <xf numFmtId="0" fontId="1" fillId="5" borderId="1" xfId="0" applyFont="1" applyFill="1"/>
    <xf numFmtId="164" fontId="5" fillId="5" borderId="1" xfId="1" applyNumberFormat="1" applyFont="1" applyFill="1"/>
    <xf numFmtId="164" fontId="2" fillId="5" borderId="1" xfId="1" applyNumberFormat="1" applyFill="1"/>
    <xf numFmtId="2" fontId="2" fillId="5" borderId="1" xfId="1" applyNumberFormat="1" applyFill="1"/>
    <xf numFmtId="2" fontId="2" fillId="0" borderId="1" xfId="1" applyNumberFormat="1"/>
    <xf numFmtId="2" fontId="3" fillId="2" borderId="1" xfId="1" applyNumberFormat="1" applyFont="1" applyFill="1"/>
    <xf numFmtId="164" fontId="2" fillId="5" borderId="2" xfId="1" applyNumberFormat="1" applyFill="1" applyBorder="1"/>
    <xf numFmtId="164" fontId="2" fillId="6" borderId="1" xfId="1" applyNumberFormat="1" applyFill="1"/>
    <xf numFmtId="164" fontId="2" fillId="7" borderId="1" xfId="1" applyNumberFormat="1" applyFill="1"/>
    <xf numFmtId="2" fontId="2" fillId="7" borderId="1" xfId="1" applyNumberFormat="1" applyFill="1"/>
    <xf numFmtId="164" fontId="2" fillId="7" borderId="2" xfId="1" applyNumberFormat="1" applyFill="1" applyBorder="1"/>
    <xf numFmtId="164" fontId="6" fillId="2" borderId="1" xfId="1" applyNumberFormat="1" applyFont="1" applyFill="1"/>
    <xf numFmtId="164" fontId="2" fillId="8" borderId="1" xfId="1" applyNumberFormat="1" applyFill="1"/>
    <xf numFmtId="2" fontId="2" fillId="8" borderId="1" xfId="1" applyNumberFormat="1" applyFill="1"/>
    <xf numFmtId="164" fontId="2" fillId="8" borderId="2" xfId="1" applyNumberFormat="1" applyFill="1" applyBorder="1"/>
    <xf numFmtId="164" fontId="2" fillId="6" borderId="2" xfId="1" applyNumberFormat="1" applyFill="1" applyBorder="1"/>
    <xf numFmtId="164" fontId="7" fillId="9" borderId="1" xfId="1" applyNumberFormat="1" applyFont="1" applyFill="1"/>
    <xf numFmtId="164" fontId="5" fillId="0" borderId="1" xfId="1" applyNumberFormat="1" applyFont="1"/>
    <xf numFmtId="164" fontId="5" fillId="9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6" sqref="U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20" width="7" customWidth="1"/>
    <col min="21" max="21" width="14.5703125" customWidth="1"/>
    <col min="22" max="22" width="7" customWidth="1"/>
    <col min="23" max="24" width="5" customWidth="1"/>
    <col min="25" max="32" width="6" customWidth="1"/>
    <col min="33" max="33" width="37" customWidth="1"/>
    <col min="34" max="34" width="7" customWidth="1"/>
    <col min="35" max="49" width="3" customWidth="1"/>
  </cols>
  <sheetData>
    <row r="1" spans="1:49" x14ac:dyDescent="0.25">
      <c r="A1" s="1"/>
      <c r="B1" s="1"/>
      <c r="C1" s="1"/>
      <c r="D1" s="1"/>
      <c r="E1" s="1"/>
      <c r="F1" s="1"/>
      <c r="G1" s="1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1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13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7" t="s">
        <v>17</v>
      </c>
      <c r="U3" s="7" t="s">
        <v>18</v>
      </c>
      <c r="V3" s="19" t="s">
        <v>145</v>
      </c>
      <c r="W3" s="2" t="s">
        <v>19</v>
      </c>
      <c r="X3" s="2" t="s">
        <v>20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22</v>
      </c>
      <c r="AH3" s="2" t="s">
        <v>23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12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27</v>
      </c>
      <c r="S4" s="1"/>
      <c r="T4" s="1"/>
      <c r="U4" s="1"/>
      <c r="V4" s="1"/>
      <c r="W4" s="1"/>
      <c r="X4" s="1"/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SUM(E6:E499)</f>
        <v>39300.206000000006</v>
      </c>
      <c r="F5" s="4">
        <f>SUM(F6:F499)</f>
        <v>48222.327000000012</v>
      </c>
      <c r="G5" s="12"/>
      <c r="H5" s="1"/>
      <c r="I5" s="1"/>
      <c r="J5" s="1"/>
      <c r="K5" s="4">
        <f t="shared" ref="K5:V5" si="0">SUM(K6:K499)</f>
        <v>44390.123000000014</v>
      </c>
      <c r="L5" s="4">
        <f t="shared" si="0"/>
        <v>-5089.9169999999995</v>
      </c>
      <c r="M5" s="4">
        <f t="shared" si="0"/>
        <v>33404.104999999996</v>
      </c>
      <c r="N5" s="4">
        <f t="shared" si="0"/>
        <v>5896.1010000000006</v>
      </c>
      <c r="O5" s="4">
        <f t="shared" si="0"/>
        <v>1849</v>
      </c>
      <c r="P5" s="4">
        <f t="shared" si="0"/>
        <v>18613.017744000001</v>
      </c>
      <c r="Q5" s="4">
        <f t="shared" si="0"/>
        <v>4537.3072499999989</v>
      </c>
      <c r="R5" s="4">
        <f t="shared" si="0"/>
        <v>6680.8209999999999</v>
      </c>
      <c r="S5" s="4">
        <f t="shared" si="0"/>
        <v>15444.448525999996</v>
      </c>
      <c r="T5" s="4">
        <f t="shared" si="0"/>
        <v>0</v>
      </c>
      <c r="U5" s="1"/>
      <c r="V5" s="4">
        <f t="shared" si="0"/>
        <v>0</v>
      </c>
      <c r="W5" s="1"/>
      <c r="X5" s="1"/>
      <c r="Y5" s="4">
        <f t="shared" ref="Y5:AF5" si="1">SUM(Y6:Y499)</f>
        <v>6846.5255999999999</v>
      </c>
      <c r="Z5" s="4">
        <f t="shared" si="1"/>
        <v>6312.9053999999996</v>
      </c>
      <c r="AA5" s="4">
        <f t="shared" si="1"/>
        <v>5752.2629999999999</v>
      </c>
      <c r="AB5" s="4">
        <f t="shared" si="1"/>
        <v>6866.8038000000015</v>
      </c>
      <c r="AC5" s="4">
        <f t="shared" si="1"/>
        <v>6386.0083999999988</v>
      </c>
      <c r="AD5" s="4">
        <f t="shared" si="1"/>
        <v>6783.7095999999992</v>
      </c>
      <c r="AE5" s="4">
        <f t="shared" si="1"/>
        <v>7266.0890000000036</v>
      </c>
      <c r="AF5" s="4">
        <f t="shared" si="1"/>
        <v>6579.0063999999984</v>
      </c>
      <c r="AG5" s="1"/>
      <c r="AH5" s="4">
        <f>SUM(AH6:AH499)</f>
        <v>11397.651025999994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36</v>
      </c>
      <c r="B6" s="1" t="s">
        <v>37</v>
      </c>
      <c r="C6" s="1">
        <v>13.877000000000001</v>
      </c>
      <c r="D6" s="1">
        <v>757.37400000000002</v>
      </c>
      <c r="E6" s="1">
        <v>174.626</v>
      </c>
      <c r="F6" s="1">
        <v>563.98199999999997</v>
      </c>
      <c r="G6" s="12">
        <v>1</v>
      </c>
      <c r="H6" s="1">
        <v>50</v>
      </c>
      <c r="I6" s="1" t="s">
        <v>38</v>
      </c>
      <c r="J6" s="1"/>
      <c r="K6" s="1">
        <v>378.7</v>
      </c>
      <c r="L6" s="1">
        <f t="shared" ref="L6:L37" si="2">E6-K6</f>
        <v>-204.07399999999998</v>
      </c>
      <c r="M6" s="1">
        <f>E6-N6</f>
        <v>174.626</v>
      </c>
      <c r="N6" s="1"/>
      <c r="O6" s="1">
        <v>0</v>
      </c>
      <c r="P6" s="1">
        <v>0</v>
      </c>
      <c r="Q6" s="1"/>
      <c r="R6" s="1">
        <f>M6/5</f>
        <v>34.925200000000004</v>
      </c>
      <c r="S6" s="5"/>
      <c r="T6" s="5"/>
      <c r="U6" s="1"/>
      <c r="V6" s="1"/>
      <c r="W6" s="1">
        <f>(F6+P6+Q6+S6)/R6</f>
        <v>16.14828261541809</v>
      </c>
      <c r="X6" s="1">
        <f>(F6+P6+Q6)/R6</f>
        <v>16.14828261541809</v>
      </c>
      <c r="Y6" s="1">
        <v>21.172999999999998</v>
      </c>
      <c r="Z6" s="1">
        <v>57.832000000000008</v>
      </c>
      <c r="AA6" s="1">
        <v>49.332799999999999</v>
      </c>
      <c r="AB6" s="1">
        <v>31.3186</v>
      </c>
      <c r="AC6" s="1">
        <v>41.005799999999986</v>
      </c>
      <c r="AD6" s="1">
        <v>51.827199999999991</v>
      </c>
      <c r="AE6" s="1">
        <v>36.511000000000003</v>
      </c>
      <c r="AF6" s="1">
        <v>40.831000000000003</v>
      </c>
      <c r="AG6" s="1"/>
      <c r="AH6" s="1">
        <f t="shared" ref="AH6:AH17" si="3">G6*S6</f>
        <v>0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39</v>
      </c>
      <c r="B7" s="1" t="s">
        <v>37</v>
      </c>
      <c r="C7" s="1">
        <v>168.20599999999999</v>
      </c>
      <c r="D7" s="1">
        <v>301.10300000000001</v>
      </c>
      <c r="E7" s="1">
        <v>335.15300000000002</v>
      </c>
      <c r="F7" s="1">
        <v>151.66200000000001</v>
      </c>
      <c r="G7" s="12">
        <v>1</v>
      </c>
      <c r="H7" s="1">
        <v>45</v>
      </c>
      <c r="I7" s="1" t="s">
        <v>38</v>
      </c>
      <c r="J7" s="1"/>
      <c r="K7" s="1">
        <v>476.95</v>
      </c>
      <c r="L7" s="1">
        <f t="shared" si="2"/>
        <v>-141.79699999999997</v>
      </c>
      <c r="M7" s="1">
        <f t="shared" ref="M7:M70" si="4">E7-N7</f>
        <v>184.78900000000002</v>
      </c>
      <c r="N7" s="1">
        <v>150.364</v>
      </c>
      <c r="O7" s="1">
        <v>84</v>
      </c>
      <c r="P7" s="1">
        <v>120.0019999999999</v>
      </c>
      <c r="Q7" s="1"/>
      <c r="R7" s="1">
        <f t="shared" ref="R7:R70" si="5">M7/5</f>
        <v>36.957800000000006</v>
      </c>
      <c r="S7" s="5">
        <f t="shared" ref="S7:S17" si="6">12*R7-Q7-P7-F7</f>
        <v>171.82960000000017</v>
      </c>
      <c r="T7" s="5"/>
      <c r="U7" s="1"/>
      <c r="V7" s="1"/>
      <c r="W7" s="1">
        <f t="shared" ref="W7:W70" si="7">(F7+P7+Q7+S7)/R7</f>
        <v>11.999999999999998</v>
      </c>
      <c r="X7" s="1">
        <f t="shared" ref="X7:X70" si="8">(F7+P7+Q7)/R7</f>
        <v>7.3506539891443712</v>
      </c>
      <c r="Y7" s="1">
        <v>35.177799999999998</v>
      </c>
      <c r="Z7" s="1">
        <v>28.428999999999998</v>
      </c>
      <c r="AA7" s="1">
        <v>22.7546</v>
      </c>
      <c r="AB7" s="1">
        <v>28.552800000000001</v>
      </c>
      <c r="AC7" s="1">
        <v>28.0106</v>
      </c>
      <c r="AD7" s="1">
        <v>30.247199999999999</v>
      </c>
      <c r="AE7" s="1">
        <v>30.461200000000002</v>
      </c>
      <c r="AF7" s="1">
        <v>35.405799999999999</v>
      </c>
      <c r="AG7" s="1"/>
      <c r="AH7" s="1">
        <f t="shared" si="3"/>
        <v>171.82960000000017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40</v>
      </c>
      <c r="B8" s="1" t="s">
        <v>37</v>
      </c>
      <c r="C8" s="1">
        <v>724.67499999999995</v>
      </c>
      <c r="D8" s="1">
        <v>581.65700000000004</v>
      </c>
      <c r="E8" s="1">
        <v>1113.902</v>
      </c>
      <c r="F8" s="1">
        <v>140.304</v>
      </c>
      <c r="G8" s="12">
        <v>1</v>
      </c>
      <c r="H8" s="1">
        <v>45</v>
      </c>
      <c r="I8" s="1" t="s">
        <v>38</v>
      </c>
      <c r="J8" s="1"/>
      <c r="K8" s="1">
        <v>1408.1279999999999</v>
      </c>
      <c r="L8" s="1">
        <f t="shared" si="2"/>
        <v>-294.22599999999989</v>
      </c>
      <c r="M8" s="1">
        <f t="shared" si="4"/>
        <v>721.75300000000004</v>
      </c>
      <c r="N8" s="1">
        <v>392.149</v>
      </c>
      <c r="O8" s="1">
        <v>139</v>
      </c>
      <c r="P8" s="1">
        <v>620.0329099999999</v>
      </c>
      <c r="Q8" s="1"/>
      <c r="R8" s="1">
        <f t="shared" si="5"/>
        <v>144.35060000000001</v>
      </c>
      <c r="S8" s="5">
        <f t="shared" si="6"/>
        <v>971.87029000000041</v>
      </c>
      <c r="T8" s="5"/>
      <c r="U8" s="1"/>
      <c r="V8" s="1"/>
      <c r="W8" s="1">
        <f t="shared" si="7"/>
        <v>12</v>
      </c>
      <c r="X8" s="1">
        <f t="shared" si="8"/>
        <v>5.2672930351519138</v>
      </c>
      <c r="Y8" s="1">
        <v>122.66119999999999</v>
      </c>
      <c r="Z8" s="1">
        <v>92.555399999999992</v>
      </c>
      <c r="AA8" s="1">
        <v>83.119</v>
      </c>
      <c r="AB8" s="1">
        <v>114.33620000000001</v>
      </c>
      <c r="AC8" s="1">
        <v>107.63379999999999</v>
      </c>
      <c r="AD8" s="1">
        <v>124.9104</v>
      </c>
      <c r="AE8" s="1">
        <v>127.4502</v>
      </c>
      <c r="AF8" s="1">
        <v>106.184</v>
      </c>
      <c r="AG8" s="1"/>
      <c r="AH8" s="1">
        <f t="shared" si="3"/>
        <v>971.87029000000041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41</v>
      </c>
      <c r="B9" s="1" t="s">
        <v>42</v>
      </c>
      <c r="C9" s="1">
        <v>1336</v>
      </c>
      <c r="D9" s="1">
        <v>671</v>
      </c>
      <c r="E9" s="1">
        <v>996</v>
      </c>
      <c r="F9" s="1">
        <v>1077</v>
      </c>
      <c r="G9" s="12">
        <v>0.45</v>
      </c>
      <c r="H9" s="1">
        <v>45</v>
      </c>
      <c r="I9" s="1" t="s">
        <v>38</v>
      </c>
      <c r="J9" s="1"/>
      <c r="K9" s="1">
        <v>1051</v>
      </c>
      <c r="L9" s="1">
        <f t="shared" si="2"/>
        <v>-55</v>
      </c>
      <c r="M9" s="1">
        <f t="shared" si="4"/>
        <v>942</v>
      </c>
      <c r="N9" s="1">
        <v>54</v>
      </c>
      <c r="O9" s="1">
        <v>0</v>
      </c>
      <c r="P9" s="1">
        <v>0</v>
      </c>
      <c r="Q9" s="1"/>
      <c r="R9" s="1">
        <f t="shared" si="5"/>
        <v>188.4</v>
      </c>
      <c r="S9" s="5">
        <f t="shared" si="6"/>
        <v>1183.8000000000002</v>
      </c>
      <c r="T9" s="5"/>
      <c r="U9" s="1"/>
      <c r="V9" s="1"/>
      <c r="W9" s="1">
        <f t="shared" si="7"/>
        <v>12</v>
      </c>
      <c r="X9" s="1">
        <f t="shared" si="8"/>
        <v>5.7165605095541396</v>
      </c>
      <c r="Y9" s="1">
        <v>156.6</v>
      </c>
      <c r="Z9" s="1">
        <v>144.6</v>
      </c>
      <c r="AA9" s="1">
        <v>164.2</v>
      </c>
      <c r="AB9" s="1">
        <v>172.6</v>
      </c>
      <c r="AC9" s="1">
        <v>146.6</v>
      </c>
      <c r="AD9" s="1">
        <v>141</v>
      </c>
      <c r="AE9" s="1">
        <v>133.80000000000001</v>
      </c>
      <c r="AF9" s="1">
        <v>135.4</v>
      </c>
      <c r="AG9" s="1" t="s">
        <v>43</v>
      </c>
      <c r="AH9" s="1">
        <f t="shared" si="3"/>
        <v>532.71000000000015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44</v>
      </c>
      <c r="B10" s="1" t="s">
        <v>42</v>
      </c>
      <c r="C10" s="1">
        <v>2118</v>
      </c>
      <c r="D10" s="1">
        <v>784</v>
      </c>
      <c r="E10" s="1">
        <v>1573</v>
      </c>
      <c r="F10" s="1">
        <v>1408</v>
      </c>
      <c r="G10" s="12">
        <v>0.45</v>
      </c>
      <c r="H10" s="1">
        <v>45</v>
      </c>
      <c r="I10" s="1" t="s">
        <v>38</v>
      </c>
      <c r="J10" s="1"/>
      <c r="K10" s="1">
        <v>1697</v>
      </c>
      <c r="L10" s="1">
        <f t="shared" si="2"/>
        <v>-124</v>
      </c>
      <c r="M10" s="1">
        <f t="shared" si="4"/>
        <v>1351</v>
      </c>
      <c r="N10" s="1">
        <v>222</v>
      </c>
      <c r="O10" s="1">
        <v>0</v>
      </c>
      <c r="P10" s="1">
        <v>210.59999999999991</v>
      </c>
      <c r="Q10" s="1"/>
      <c r="R10" s="1">
        <f t="shared" si="5"/>
        <v>270.2</v>
      </c>
      <c r="S10" s="5">
        <f t="shared" si="6"/>
        <v>1623.7999999999997</v>
      </c>
      <c r="T10" s="5"/>
      <c r="U10" s="1"/>
      <c r="V10" s="1"/>
      <c r="W10" s="1">
        <f t="shared" si="7"/>
        <v>12</v>
      </c>
      <c r="X10" s="1">
        <f t="shared" si="8"/>
        <v>5.9903774981495186</v>
      </c>
      <c r="Y10" s="1">
        <v>249.2</v>
      </c>
      <c r="Z10" s="1">
        <v>219.4</v>
      </c>
      <c r="AA10" s="1">
        <v>240.4</v>
      </c>
      <c r="AB10" s="1">
        <v>272.39999999999998</v>
      </c>
      <c r="AC10" s="1">
        <v>258.2</v>
      </c>
      <c r="AD10" s="1">
        <v>335.8</v>
      </c>
      <c r="AE10" s="1">
        <v>416.4</v>
      </c>
      <c r="AF10" s="1">
        <v>388.6</v>
      </c>
      <c r="AG10" s="1" t="s">
        <v>43</v>
      </c>
      <c r="AH10" s="1">
        <f t="shared" si="3"/>
        <v>730.70999999999992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45</v>
      </c>
      <c r="B11" s="1" t="s">
        <v>42</v>
      </c>
      <c r="C11" s="1">
        <v>92</v>
      </c>
      <c r="D11" s="1">
        <v>106</v>
      </c>
      <c r="E11" s="1">
        <v>42</v>
      </c>
      <c r="F11" s="1">
        <v>95</v>
      </c>
      <c r="G11" s="12">
        <v>0.17</v>
      </c>
      <c r="H11" s="1">
        <v>180</v>
      </c>
      <c r="I11" s="1" t="s">
        <v>38</v>
      </c>
      <c r="J11" s="1"/>
      <c r="K11" s="1">
        <v>43</v>
      </c>
      <c r="L11" s="1">
        <f t="shared" si="2"/>
        <v>-1</v>
      </c>
      <c r="M11" s="1">
        <f t="shared" si="4"/>
        <v>42</v>
      </c>
      <c r="N11" s="1"/>
      <c r="O11" s="1">
        <v>0</v>
      </c>
      <c r="P11" s="1">
        <v>0</v>
      </c>
      <c r="Q11" s="1"/>
      <c r="R11" s="1">
        <f t="shared" si="5"/>
        <v>8.4</v>
      </c>
      <c r="S11" s="5">
        <f t="shared" si="6"/>
        <v>5.8000000000000114</v>
      </c>
      <c r="T11" s="5"/>
      <c r="U11" s="1"/>
      <c r="V11" s="1"/>
      <c r="W11" s="1">
        <f t="shared" si="7"/>
        <v>12</v>
      </c>
      <c r="X11" s="1">
        <f t="shared" si="8"/>
        <v>11.309523809523808</v>
      </c>
      <c r="Y11" s="1">
        <v>13.8</v>
      </c>
      <c r="Z11" s="1">
        <v>14.8</v>
      </c>
      <c r="AA11" s="1">
        <v>13.2</v>
      </c>
      <c r="AB11" s="1">
        <v>13.6</v>
      </c>
      <c r="AC11" s="1">
        <v>16</v>
      </c>
      <c r="AD11" s="1">
        <v>14.2</v>
      </c>
      <c r="AE11" s="1">
        <v>11</v>
      </c>
      <c r="AF11" s="1">
        <v>9.6</v>
      </c>
      <c r="AG11" s="1" t="s">
        <v>43</v>
      </c>
      <c r="AH11" s="1">
        <f t="shared" si="3"/>
        <v>0.98600000000000199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46</v>
      </c>
      <c r="B12" s="1" t="s">
        <v>42</v>
      </c>
      <c r="C12" s="1">
        <v>27</v>
      </c>
      <c r="D12" s="1">
        <v>42</v>
      </c>
      <c r="E12" s="1">
        <v>15</v>
      </c>
      <c r="F12" s="1">
        <v>51</v>
      </c>
      <c r="G12" s="12">
        <v>0.3</v>
      </c>
      <c r="H12" s="1">
        <v>40</v>
      </c>
      <c r="I12" s="1" t="s">
        <v>38</v>
      </c>
      <c r="J12" s="1"/>
      <c r="K12" s="1">
        <v>18</v>
      </c>
      <c r="L12" s="1">
        <f t="shared" si="2"/>
        <v>-3</v>
      </c>
      <c r="M12" s="1">
        <f t="shared" si="4"/>
        <v>15</v>
      </c>
      <c r="N12" s="1"/>
      <c r="O12" s="1">
        <v>0</v>
      </c>
      <c r="P12" s="1">
        <v>29.000000000000011</v>
      </c>
      <c r="Q12" s="1"/>
      <c r="R12" s="1">
        <f t="shared" si="5"/>
        <v>3</v>
      </c>
      <c r="S12" s="5"/>
      <c r="T12" s="5"/>
      <c r="U12" s="1"/>
      <c r="V12" s="1"/>
      <c r="W12" s="1">
        <f t="shared" si="7"/>
        <v>26.666666666666671</v>
      </c>
      <c r="X12" s="1">
        <f t="shared" si="8"/>
        <v>26.666666666666671</v>
      </c>
      <c r="Y12" s="1">
        <v>7.2</v>
      </c>
      <c r="Z12" s="1">
        <v>5.6</v>
      </c>
      <c r="AA12" s="1">
        <v>2</v>
      </c>
      <c r="AB12" s="1">
        <v>1.4</v>
      </c>
      <c r="AC12" s="1">
        <v>3</v>
      </c>
      <c r="AD12" s="1">
        <v>4.5999999999999996</v>
      </c>
      <c r="AE12" s="1">
        <v>3.4</v>
      </c>
      <c r="AF12" s="1">
        <v>2.4</v>
      </c>
      <c r="AG12" s="24" t="s">
        <v>118</v>
      </c>
      <c r="AH12" s="1">
        <f t="shared" si="3"/>
        <v>0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47</v>
      </c>
      <c r="B13" s="1" t="s">
        <v>42</v>
      </c>
      <c r="C13" s="1">
        <v>212</v>
      </c>
      <c r="D13" s="1">
        <v>131</v>
      </c>
      <c r="E13" s="1">
        <v>305</v>
      </c>
      <c r="F13" s="1">
        <v>25</v>
      </c>
      <c r="G13" s="12">
        <v>0.17</v>
      </c>
      <c r="H13" s="1">
        <v>180</v>
      </c>
      <c r="I13" s="1" t="s">
        <v>38</v>
      </c>
      <c r="J13" s="1"/>
      <c r="K13" s="1">
        <v>305</v>
      </c>
      <c r="L13" s="1">
        <f t="shared" si="2"/>
        <v>0</v>
      </c>
      <c r="M13" s="1">
        <f t="shared" si="4"/>
        <v>185</v>
      </c>
      <c r="N13" s="1">
        <v>120</v>
      </c>
      <c r="O13" s="1">
        <v>0</v>
      </c>
      <c r="P13" s="1">
        <v>232.8000000000001</v>
      </c>
      <c r="Q13" s="1"/>
      <c r="R13" s="1">
        <f t="shared" si="5"/>
        <v>37</v>
      </c>
      <c r="S13" s="5">
        <f t="shared" si="6"/>
        <v>186.1999999999999</v>
      </c>
      <c r="T13" s="5"/>
      <c r="U13" s="1"/>
      <c r="V13" s="1"/>
      <c r="W13" s="1">
        <f t="shared" si="7"/>
        <v>12</v>
      </c>
      <c r="X13" s="1">
        <f t="shared" si="8"/>
        <v>6.9675675675675697</v>
      </c>
      <c r="Y13" s="1">
        <v>39.6</v>
      </c>
      <c r="Z13" s="1">
        <v>23</v>
      </c>
      <c r="AA13" s="1">
        <v>24.8</v>
      </c>
      <c r="AB13" s="1">
        <v>33.799999999999997</v>
      </c>
      <c r="AC13" s="1">
        <v>26.2</v>
      </c>
      <c r="AD13" s="1">
        <v>20.8</v>
      </c>
      <c r="AE13" s="1">
        <v>18.600000000000001</v>
      </c>
      <c r="AF13" s="1">
        <v>22.4</v>
      </c>
      <c r="AG13" s="1"/>
      <c r="AH13" s="1">
        <f t="shared" si="3"/>
        <v>31.653999999999986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48</v>
      </c>
      <c r="B14" s="1" t="s">
        <v>37</v>
      </c>
      <c r="C14" s="1">
        <v>2684.7310000000002</v>
      </c>
      <c r="D14" s="1">
        <v>1340.989</v>
      </c>
      <c r="E14" s="1">
        <v>1918.1389999999999</v>
      </c>
      <c r="F14" s="1">
        <v>2194.509</v>
      </c>
      <c r="G14" s="12">
        <v>1</v>
      </c>
      <c r="H14" s="1">
        <v>55</v>
      </c>
      <c r="I14" s="1" t="s">
        <v>38</v>
      </c>
      <c r="J14" s="1"/>
      <c r="K14" s="1">
        <v>2135.2220000000002</v>
      </c>
      <c r="L14" s="1">
        <f t="shared" si="2"/>
        <v>-217.08300000000031</v>
      </c>
      <c r="M14" s="1">
        <f t="shared" si="4"/>
        <v>1665.0319999999999</v>
      </c>
      <c r="N14" s="1">
        <v>253.107</v>
      </c>
      <c r="O14" s="1">
        <v>100</v>
      </c>
      <c r="P14" s="1">
        <v>2507.0571920000011</v>
      </c>
      <c r="Q14" s="1">
        <v>611.72455000000002</v>
      </c>
      <c r="R14" s="1">
        <f t="shared" si="5"/>
        <v>333.00639999999999</v>
      </c>
      <c r="S14" s="5"/>
      <c r="T14" s="5"/>
      <c r="U14" s="1"/>
      <c r="V14" s="1"/>
      <c r="W14" s="1">
        <f t="shared" si="7"/>
        <v>15.955521401390488</v>
      </c>
      <c r="X14" s="1">
        <f t="shared" si="8"/>
        <v>15.955521401390488</v>
      </c>
      <c r="Y14" s="1">
        <v>394.661</v>
      </c>
      <c r="Z14" s="1">
        <v>323.76679999999999</v>
      </c>
      <c r="AA14" s="1">
        <v>244.8562</v>
      </c>
      <c r="AB14" s="1">
        <v>340.5652</v>
      </c>
      <c r="AC14" s="1">
        <v>343.31139999999999</v>
      </c>
      <c r="AD14" s="1">
        <v>303.4008</v>
      </c>
      <c r="AE14" s="1">
        <v>324.76</v>
      </c>
      <c r="AF14" s="1">
        <v>289.77679999999998</v>
      </c>
      <c r="AG14" s="1" t="s">
        <v>49</v>
      </c>
      <c r="AH14" s="1">
        <f t="shared" si="3"/>
        <v>0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50</v>
      </c>
      <c r="B15" s="1" t="s">
        <v>37</v>
      </c>
      <c r="C15" s="1">
        <v>2553.8150000000001</v>
      </c>
      <c r="D15" s="1">
        <v>2055.6970000000001</v>
      </c>
      <c r="E15" s="1">
        <v>2275.6729999999998</v>
      </c>
      <c r="F15" s="1">
        <v>2713.3389999999999</v>
      </c>
      <c r="G15" s="12">
        <v>1</v>
      </c>
      <c r="H15" s="1">
        <v>50</v>
      </c>
      <c r="I15" s="1" t="s">
        <v>38</v>
      </c>
      <c r="J15" s="1"/>
      <c r="K15" s="1">
        <v>2458.413</v>
      </c>
      <c r="L15" s="1">
        <f t="shared" si="2"/>
        <v>-182.74000000000024</v>
      </c>
      <c r="M15" s="1">
        <f t="shared" si="4"/>
        <v>1975.9349999999997</v>
      </c>
      <c r="N15" s="1">
        <v>299.738</v>
      </c>
      <c r="O15" s="1">
        <v>128</v>
      </c>
      <c r="P15" s="1">
        <v>1946.692907999997</v>
      </c>
      <c r="Q15" s="1">
        <v>617.27757999999994</v>
      </c>
      <c r="R15" s="1">
        <f t="shared" si="5"/>
        <v>395.18699999999995</v>
      </c>
      <c r="S15" s="5"/>
      <c r="T15" s="5"/>
      <c r="U15" s="1"/>
      <c r="V15" s="1"/>
      <c r="W15" s="1">
        <f t="shared" si="7"/>
        <v>13.353955185772806</v>
      </c>
      <c r="X15" s="1">
        <f t="shared" si="8"/>
        <v>13.353955185772806</v>
      </c>
      <c r="Y15" s="1">
        <v>398.24360000000001</v>
      </c>
      <c r="Z15" s="1">
        <v>378.39319999999998</v>
      </c>
      <c r="AA15" s="1">
        <v>325.65100000000001</v>
      </c>
      <c r="AB15" s="1">
        <v>355.86079999999998</v>
      </c>
      <c r="AC15" s="1">
        <v>327.43279999999999</v>
      </c>
      <c r="AD15" s="1">
        <v>320.59660000000002</v>
      </c>
      <c r="AE15" s="1">
        <v>356.32499999999999</v>
      </c>
      <c r="AF15" s="1">
        <v>329.22059999999999</v>
      </c>
      <c r="AG15" s="1" t="s">
        <v>49</v>
      </c>
      <c r="AH15" s="1">
        <f t="shared" si="3"/>
        <v>0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51</v>
      </c>
      <c r="B16" s="1" t="s">
        <v>37</v>
      </c>
      <c r="C16" s="1">
        <v>296.89800000000002</v>
      </c>
      <c r="D16" s="1">
        <v>73.727000000000004</v>
      </c>
      <c r="E16" s="1">
        <v>186.47399999999999</v>
      </c>
      <c r="F16" s="1">
        <v>176.71299999999999</v>
      </c>
      <c r="G16" s="12">
        <v>1</v>
      </c>
      <c r="H16" s="1">
        <v>60</v>
      </c>
      <c r="I16" s="1" t="s">
        <v>38</v>
      </c>
      <c r="J16" s="1"/>
      <c r="K16" s="1">
        <v>205.93700000000001</v>
      </c>
      <c r="L16" s="1">
        <f t="shared" si="2"/>
        <v>-19.463000000000022</v>
      </c>
      <c r="M16" s="1">
        <f t="shared" si="4"/>
        <v>154.78699999999998</v>
      </c>
      <c r="N16" s="1">
        <v>31.687000000000001</v>
      </c>
      <c r="O16" s="1">
        <v>0</v>
      </c>
      <c r="P16" s="1">
        <v>236.04870000000011</v>
      </c>
      <c r="Q16" s="1">
        <v>55.213170000000012</v>
      </c>
      <c r="R16" s="1">
        <f t="shared" si="5"/>
        <v>30.957399999999996</v>
      </c>
      <c r="S16" s="5"/>
      <c r="T16" s="5"/>
      <c r="U16" s="1"/>
      <c r="V16" s="1"/>
      <c r="W16" s="1">
        <f t="shared" si="7"/>
        <v>15.11673687066744</v>
      </c>
      <c r="X16" s="1">
        <f t="shared" si="8"/>
        <v>15.11673687066744</v>
      </c>
      <c r="Y16" s="1">
        <v>35.621400000000001</v>
      </c>
      <c r="Z16" s="1">
        <v>30.276199999999999</v>
      </c>
      <c r="AA16" s="1">
        <v>27.043199999999999</v>
      </c>
      <c r="AB16" s="1">
        <v>37.480800000000002</v>
      </c>
      <c r="AC16" s="1">
        <v>35.740400000000001</v>
      </c>
      <c r="AD16" s="1">
        <v>24.6844</v>
      </c>
      <c r="AE16" s="1">
        <v>33.172999999999988</v>
      </c>
      <c r="AF16" s="1">
        <v>36.040999999999997</v>
      </c>
      <c r="AG16" s="1"/>
      <c r="AH16" s="1">
        <f t="shared" si="3"/>
        <v>0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52</v>
      </c>
      <c r="B17" s="1" t="s">
        <v>37</v>
      </c>
      <c r="C17" s="1">
        <v>1006.044</v>
      </c>
      <c r="D17" s="1">
        <v>738.45899999999995</v>
      </c>
      <c r="E17" s="1">
        <v>1557.347</v>
      </c>
      <c r="F17" s="1">
        <v>110.46899999999999</v>
      </c>
      <c r="G17" s="12">
        <v>1</v>
      </c>
      <c r="H17" s="1">
        <v>60</v>
      </c>
      <c r="I17" s="1" t="s">
        <v>38</v>
      </c>
      <c r="J17" s="1"/>
      <c r="K17" s="1">
        <v>1891.4369999999999</v>
      </c>
      <c r="L17" s="1">
        <f t="shared" si="2"/>
        <v>-334.08999999999992</v>
      </c>
      <c r="M17" s="1">
        <f t="shared" si="4"/>
        <v>1273.001</v>
      </c>
      <c r="N17" s="1">
        <v>284.346</v>
      </c>
      <c r="O17" s="1">
        <v>118</v>
      </c>
      <c r="P17" s="1">
        <v>1351.780354</v>
      </c>
      <c r="Q17" s="1"/>
      <c r="R17" s="1">
        <f t="shared" si="5"/>
        <v>254.6002</v>
      </c>
      <c r="S17" s="5">
        <f t="shared" si="6"/>
        <v>1592.9530460000001</v>
      </c>
      <c r="T17" s="5"/>
      <c r="U17" s="1"/>
      <c r="V17" s="1"/>
      <c r="W17" s="1">
        <f t="shared" si="7"/>
        <v>12</v>
      </c>
      <c r="X17" s="1">
        <f t="shared" si="8"/>
        <v>5.7433158104353419</v>
      </c>
      <c r="Y17" s="1">
        <v>220.2482</v>
      </c>
      <c r="Z17" s="1">
        <v>120.8116</v>
      </c>
      <c r="AA17" s="1">
        <v>94.181799999999996</v>
      </c>
      <c r="AB17" s="1">
        <v>120.8854</v>
      </c>
      <c r="AC17" s="1">
        <v>123.5022</v>
      </c>
      <c r="AD17" s="1">
        <v>119.4024</v>
      </c>
      <c r="AE17" s="1">
        <v>147.22900000000001</v>
      </c>
      <c r="AF17" s="1">
        <v>133.0924</v>
      </c>
      <c r="AG17" s="1"/>
      <c r="AH17" s="1">
        <f t="shared" si="3"/>
        <v>1592.9530460000001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20" t="s">
        <v>53</v>
      </c>
      <c r="B18" s="20" t="s">
        <v>37</v>
      </c>
      <c r="C18" s="20"/>
      <c r="D18" s="20"/>
      <c r="E18" s="20"/>
      <c r="F18" s="20"/>
      <c r="G18" s="21">
        <v>0</v>
      </c>
      <c r="H18" s="20">
        <v>60</v>
      </c>
      <c r="I18" s="20" t="s">
        <v>38</v>
      </c>
      <c r="J18" s="20"/>
      <c r="K18" s="20"/>
      <c r="L18" s="20">
        <f t="shared" si="2"/>
        <v>0</v>
      </c>
      <c r="M18" s="20">
        <f t="shared" si="4"/>
        <v>0</v>
      </c>
      <c r="N18" s="20"/>
      <c r="O18" s="20">
        <v>0</v>
      </c>
      <c r="P18" s="20">
        <v>0</v>
      </c>
      <c r="Q18" s="20"/>
      <c r="R18" s="20">
        <f t="shared" si="5"/>
        <v>0</v>
      </c>
      <c r="S18" s="22"/>
      <c r="T18" s="22"/>
      <c r="U18" s="20"/>
      <c r="V18" s="20"/>
      <c r="W18" s="20" t="e">
        <f t="shared" si="7"/>
        <v>#DIV/0!</v>
      </c>
      <c r="X18" s="20" t="e">
        <f t="shared" si="8"/>
        <v>#DIV/0!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 t="s">
        <v>54</v>
      </c>
      <c r="AH18" s="20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55</v>
      </c>
      <c r="B19" s="1" t="s">
        <v>37</v>
      </c>
      <c r="C19" s="1">
        <v>17.396000000000001</v>
      </c>
      <c r="D19" s="1"/>
      <c r="E19" s="1">
        <v>1.98</v>
      </c>
      <c r="F19" s="1">
        <v>15.025</v>
      </c>
      <c r="G19" s="12">
        <v>1</v>
      </c>
      <c r="H19" s="1">
        <v>180</v>
      </c>
      <c r="I19" s="1" t="s">
        <v>38</v>
      </c>
      <c r="J19" s="1"/>
      <c r="K19" s="1">
        <v>1.7</v>
      </c>
      <c r="L19" s="1">
        <f t="shared" si="2"/>
        <v>0.28000000000000003</v>
      </c>
      <c r="M19" s="1">
        <f t="shared" si="4"/>
        <v>1.98</v>
      </c>
      <c r="N19" s="1"/>
      <c r="O19" s="1">
        <v>0</v>
      </c>
      <c r="P19" s="1">
        <v>0</v>
      </c>
      <c r="Q19" s="1"/>
      <c r="R19" s="1">
        <f t="shared" si="5"/>
        <v>0.39600000000000002</v>
      </c>
      <c r="S19" s="5"/>
      <c r="T19" s="5"/>
      <c r="U19" s="1"/>
      <c r="V19" s="1"/>
      <c r="W19" s="1">
        <f t="shared" si="7"/>
        <v>37.94191919191919</v>
      </c>
      <c r="X19" s="1">
        <f t="shared" si="8"/>
        <v>37.94191919191919</v>
      </c>
      <c r="Y19" s="1">
        <v>0.7994</v>
      </c>
      <c r="Z19" s="1">
        <v>0.95459999999999989</v>
      </c>
      <c r="AA19" s="1">
        <v>0.47639999999999999</v>
      </c>
      <c r="AB19" s="1">
        <v>0.63159999999999994</v>
      </c>
      <c r="AC19" s="1">
        <v>0.62739999999999996</v>
      </c>
      <c r="AD19" s="1">
        <v>0.72399999999999998</v>
      </c>
      <c r="AE19" s="1">
        <v>0.80120000000000002</v>
      </c>
      <c r="AF19" s="1">
        <v>0.55959999999999999</v>
      </c>
      <c r="AG19" s="24" t="s">
        <v>118</v>
      </c>
      <c r="AH19" s="1">
        <f t="shared" ref="AH19:AH24" si="9">G19*S19</f>
        <v>0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57</v>
      </c>
      <c r="B20" s="1" t="s">
        <v>37</v>
      </c>
      <c r="C20" s="1">
        <v>5341.83</v>
      </c>
      <c r="D20" s="1">
        <v>1403.0039999999999</v>
      </c>
      <c r="E20" s="1">
        <v>2858.67</v>
      </c>
      <c r="F20" s="1">
        <v>4213.1480000000001</v>
      </c>
      <c r="G20" s="12">
        <v>1</v>
      </c>
      <c r="H20" s="1">
        <v>60</v>
      </c>
      <c r="I20" s="1" t="s">
        <v>38</v>
      </c>
      <c r="J20" s="1"/>
      <c r="K20" s="1">
        <v>3096.9349999999999</v>
      </c>
      <c r="L20" s="1">
        <f t="shared" si="2"/>
        <v>-238.26499999999987</v>
      </c>
      <c r="M20" s="1">
        <f t="shared" si="4"/>
        <v>2351.1999999999998</v>
      </c>
      <c r="N20" s="1">
        <v>507.47</v>
      </c>
      <c r="O20" s="1">
        <v>275</v>
      </c>
      <c r="P20" s="1">
        <v>1714.1867999999999</v>
      </c>
      <c r="Q20" s="1">
        <v>786.05894000000001</v>
      </c>
      <c r="R20" s="1">
        <f t="shared" si="5"/>
        <v>470.23999999999995</v>
      </c>
      <c r="S20" s="5"/>
      <c r="T20" s="5"/>
      <c r="U20" s="1"/>
      <c r="V20" s="1"/>
      <c r="W20" s="1">
        <f t="shared" si="7"/>
        <v>14.276526326981969</v>
      </c>
      <c r="X20" s="1">
        <f t="shared" si="8"/>
        <v>14.276526326981969</v>
      </c>
      <c r="Y20" s="1">
        <v>507.13479999999998</v>
      </c>
      <c r="Z20" s="1">
        <v>444.26359999999988</v>
      </c>
      <c r="AA20" s="1">
        <v>462.14479999999998</v>
      </c>
      <c r="AB20" s="1">
        <v>598.63080000000002</v>
      </c>
      <c r="AC20" s="1">
        <v>533.14740000000006</v>
      </c>
      <c r="AD20" s="1">
        <v>493.63819999999998</v>
      </c>
      <c r="AE20" s="1">
        <v>556.68439999999998</v>
      </c>
      <c r="AF20" s="1">
        <v>507.28480000000002</v>
      </c>
      <c r="AG20" s="1" t="s">
        <v>49</v>
      </c>
      <c r="AH20" s="1">
        <f t="shared" si="9"/>
        <v>0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58</v>
      </c>
      <c r="B21" s="1" t="s">
        <v>37</v>
      </c>
      <c r="C21" s="1">
        <v>1023.701</v>
      </c>
      <c r="D21" s="1">
        <v>350.98</v>
      </c>
      <c r="E21" s="1">
        <v>549.58000000000004</v>
      </c>
      <c r="F21" s="1">
        <v>792.61</v>
      </c>
      <c r="G21" s="12">
        <v>1</v>
      </c>
      <c r="H21" s="1">
        <v>60</v>
      </c>
      <c r="I21" s="1" t="s">
        <v>38</v>
      </c>
      <c r="J21" s="1"/>
      <c r="K21" s="1">
        <v>703.47</v>
      </c>
      <c r="L21" s="1">
        <f t="shared" si="2"/>
        <v>-153.88999999999999</v>
      </c>
      <c r="M21" s="1">
        <f t="shared" si="4"/>
        <v>358.74</v>
      </c>
      <c r="N21" s="1">
        <v>190.84</v>
      </c>
      <c r="O21" s="1">
        <v>68</v>
      </c>
      <c r="P21" s="1">
        <v>0</v>
      </c>
      <c r="Q21" s="1">
        <v>126.32314</v>
      </c>
      <c r="R21" s="1">
        <f t="shared" si="5"/>
        <v>71.748000000000005</v>
      </c>
      <c r="S21" s="5"/>
      <c r="T21" s="5"/>
      <c r="U21" s="1"/>
      <c r="V21" s="1"/>
      <c r="W21" s="1">
        <f t="shared" si="7"/>
        <v>12.807787534147293</v>
      </c>
      <c r="X21" s="1">
        <f t="shared" si="8"/>
        <v>12.807787534147293</v>
      </c>
      <c r="Y21" s="1">
        <v>81.498799999999989</v>
      </c>
      <c r="Z21" s="1">
        <v>75.505799999999994</v>
      </c>
      <c r="AA21" s="1">
        <v>81.349599999999995</v>
      </c>
      <c r="AB21" s="1">
        <v>107.3248</v>
      </c>
      <c r="AC21" s="1">
        <v>103.1934</v>
      </c>
      <c r="AD21" s="1">
        <v>71.532799999999995</v>
      </c>
      <c r="AE21" s="1">
        <v>82.011799999999994</v>
      </c>
      <c r="AF21" s="1">
        <v>89.286000000000016</v>
      </c>
      <c r="AG21" s="1"/>
      <c r="AH21" s="1">
        <f t="shared" si="9"/>
        <v>0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59</v>
      </c>
      <c r="B22" s="1" t="s">
        <v>37</v>
      </c>
      <c r="C22" s="1">
        <v>1084.403</v>
      </c>
      <c r="D22" s="1">
        <v>469.87599999999998</v>
      </c>
      <c r="E22" s="1">
        <v>692.68899999999996</v>
      </c>
      <c r="F22" s="1">
        <v>928.87400000000002</v>
      </c>
      <c r="G22" s="12">
        <v>1</v>
      </c>
      <c r="H22" s="1">
        <v>60</v>
      </c>
      <c r="I22" s="1" t="s">
        <v>38</v>
      </c>
      <c r="J22" s="1"/>
      <c r="K22" s="1">
        <v>741.35500000000002</v>
      </c>
      <c r="L22" s="1">
        <f t="shared" si="2"/>
        <v>-48.666000000000054</v>
      </c>
      <c r="M22" s="1">
        <f t="shared" si="4"/>
        <v>587.20399999999995</v>
      </c>
      <c r="N22" s="1">
        <v>105.485</v>
      </c>
      <c r="O22" s="1">
        <v>55</v>
      </c>
      <c r="P22" s="1">
        <v>473.39616999999993</v>
      </c>
      <c r="Q22" s="1">
        <v>191.89155</v>
      </c>
      <c r="R22" s="1">
        <f t="shared" si="5"/>
        <v>117.4408</v>
      </c>
      <c r="S22" s="5"/>
      <c r="T22" s="5"/>
      <c r="U22" s="1"/>
      <c r="V22" s="1"/>
      <c r="W22" s="1">
        <f t="shared" si="7"/>
        <v>13.574172859857903</v>
      </c>
      <c r="X22" s="1">
        <f t="shared" si="8"/>
        <v>13.574172859857903</v>
      </c>
      <c r="Y22" s="1">
        <v>123.801</v>
      </c>
      <c r="Z22" s="1">
        <v>113.193</v>
      </c>
      <c r="AA22" s="1">
        <v>102.5826</v>
      </c>
      <c r="AB22" s="1">
        <v>127.6872</v>
      </c>
      <c r="AC22" s="1">
        <v>124.87260000000001</v>
      </c>
      <c r="AD22" s="1">
        <v>107.78579999999999</v>
      </c>
      <c r="AE22" s="1">
        <v>108.6494</v>
      </c>
      <c r="AF22" s="1">
        <v>97.132800000000003</v>
      </c>
      <c r="AG22" s="1"/>
      <c r="AH22" s="1">
        <f t="shared" si="9"/>
        <v>0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60</v>
      </c>
      <c r="B23" s="1" t="s">
        <v>37</v>
      </c>
      <c r="C23" s="1">
        <v>26.274999999999999</v>
      </c>
      <c r="D23" s="1"/>
      <c r="E23" s="1">
        <v>1.7569999999999999</v>
      </c>
      <c r="F23" s="1">
        <v>24.158999999999999</v>
      </c>
      <c r="G23" s="12">
        <v>1</v>
      </c>
      <c r="H23" s="1">
        <v>180</v>
      </c>
      <c r="I23" s="1" t="s">
        <v>38</v>
      </c>
      <c r="J23" s="1"/>
      <c r="K23" s="1">
        <v>1.8</v>
      </c>
      <c r="L23" s="1">
        <f t="shared" si="2"/>
        <v>-4.3000000000000149E-2</v>
      </c>
      <c r="M23" s="1">
        <f t="shared" si="4"/>
        <v>1.7569999999999999</v>
      </c>
      <c r="N23" s="1"/>
      <c r="O23" s="1">
        <v>0</v>
      </c>
      <c r="P23" s="1">
        <v>0</v>
      </c>
      <c r="Q23" s="1"/>
      <c r="R23" s="1">
        <f t="shared" si="5"/>
        <v>0.35139999999999999</v>
      </c>
      <c r="S23" s="5"/>
      <c r="T23" s="5"/>
      <c r="U23" s="1"/>
      <c r="V23" s="1"/>
      <c r="W23" s="1">
        <f t="shared" si="7"/>
        <v>68.750711439954472</v>
      </c>
      <c r="X23" s="1">
        <f t="shared" si="8"/>
        <v>68.750711439954472</v>
      </c>
      <c r="Y23" s="1">
        <v>0.98520000000000008</v>
      </c>
      <c r="Z23" s="1">
        <v>1.1292</v>
      </c>
      <c r="AA23" s="1">
        <v>0.56580000000000008</v>
      </c>
      <c r="AB23" s="1">
        <v>1.0658000000000001</v>
      </c>
      <c r="AC23" s="1">
        <v>0.92880000000000007</v>
      </c>
      <c r="AD23" s="1">
        <v>2.3759999999999999</v>
      </c>
      <c r="AE23" s="1">
        <v>2.4468000000000001</v>
      </c>
      <c r="AF23" s="1">
        <v>0.501</v>
      </c>
      <c r="AG23" s="24" t="s">
        <v>118</v>
      </c>
      <c r="AH23" s="1">
        <f t="shared" si="9"/>
        <v>0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61</v>
      </c>
      <c r="B24" s="1" t="s">
        <v>37</v>
      </c>
      <c r="C24" s="1">
        <v>1803.518</v>
      </c>
      <c r="D24" s="1">
        <v>1392.09</v>
      </c>
      <c r="E24" s="1">
        <v>1437.3510000000001</v>
      </c>
      <c r="F24" s="1">
        <v>1834.241</v>
      </c>
      <c r="G24" s="12">
        <v>1</v>
      </c>
      <c r="H24" s="1">
        <v>60</v>
      </c>
      <c r="I24" s="1" t="s">
        <v>38</v>
      </c>
      <c r="J24" s="1"/>
      <c r="K24" s="1">
        <v>1590.366</v>
      </c>
      <c r="L24" s="1">
        <f t="shared" si="2"/>
        <v>-153.01499999999987</v>
      </c>
      <c r="M24" s="1">
        <f t="shared" si="4"/>
        <v>1332.1610000000001</v>
      </c>
      <c r="N24" s="1">
        <v>105.19</v>
      </c>
      <c r="O24" s="1">
        <v>100</v>
      </c>
      <c r="P24" s="1">
        <v>1929.1569619999991</v>
      </c>
      <c r="Q24" s="1">
        <v>488.26116000000002</v>
      </c>
      <c r="R24" s="1">
        <f t="shared" si="5"/>
        <v>266.43220000000002</v>
      </c>
      <c r="S24" s="5"/>
      <c r="T24" s="5"/>
      <c r="U24" s="1"/>
      <c r="V24" s="1"/>
      <c r="W24" s="1">
        <f t="shared" si="7"/>
        <v>15.957752561439641</v>
      </c>
      <c r="X24" s="1">
        <f t="shared" si="8"/>
        <v>15.957752561439641</v>
      </c>
      <c r="Y24" s="1">
        <v>315.00720000000001</v>
      </c>
      <c r="Z24" s="1">
        <v>251.37479999999999</v>
      </c>
      <c r="AA24" s="1">
        <v>179.57560000000001</v>
      </c>
      <c r="AB24" s="1">
        <v>251.23220000000001</v>
      </c>
      <c r="AC24" s="1">
        <v>230.3176</v>
      </c>
      <c r="AD24" s="1">
        <v>201.70679999999999</v>
      </c>
      <c r="AE24" s="1">
        <v>217.13900000000001</v>
      </c>
      <c r="AF24" s="1">
        <v>209.31739999999999</v>
      </c>
      <c r="AG24" s="1" t="s">
        <v>49</v>
      </c>
      <c r="AH24" s="1">
        <f t="shared" si="9"/>
        <v>0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20" t="s">
        <v>62</v>
      </c>
      <c r="B25" s="20" t="s">
        <v>37</v>
      </c>
      <c r="C25" s="20"/>
      <c r="D25" s="20"/>
      <c r="E25" s="20"/>
      <c r="F25" s="20"/>
      <c r="G25" s="21">
        <v>0</v>
      </c>
      <c r="H25" s="20">
        <v>30</v>
      </c>
      <c r="I25" s="20" t="s">
        <v>38</v>
      </c>
      <c r="J25" s="20"/>
      <c r="K25" s="20"/>
      <c r="L25" s="20">
        <f t="shared" si="2"/>
        <v>0</v>
      </c>
      <c r="M25" s="20">
        <f t="shared" si="4"/>
        <v>0</v>
      </c>
      <c r="N25" s="20"/>
      <c r="O25" s="20">
        <v>0</v>
      </c>
      <c r="P25" s="20">
        <v>0</v>
      </c>
      <c r="Q25" s="20"/>
      <c r="R25" s="20">
        <f t="shared" si="5"/>
        <v>0</v>
      </c>
      <c r="S25" s="22"/>
      <c r="T25" s="22"/>
      <c r="U25" s="20"/>
      <c r="V25" s="20"/>
      <c r="W25" s="20" t="e">
        <f t="shared" si="7"/>
        <v>#DIV/0!</v>
      </c>
      <c r="X25" s="20" t="e">
        <f t="shared" si="8"/>
        <v>#DIV/0!</v>
      </c>
      <c r="Y25" s="20">
        <v>0</v>
      </c>
      <c r="Z25" s="20">
        <v>0</v>
      </c>
      <c r="AA25" s="20">
        <v>0</v>
      </c>
      <c r="AB25" s="20">
        <v>0</v>
      </c>
      <c r="AC25" s="20">
        <v>0</v>
      </c>
      <c r="AD25" s="20">
        <v>0</v>
      </c>
      <c r="AE25" s="20">
        <v>0</v>
      </c>
      <c r="AF25" s="20">
        <v>0</v>
      </c>
      <c r="AG25" s="20" t="s">
        <v>54</v>
      </c>
      <c r="AH25" s="20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20" t="s">
        <v>63</v>
      </c>
      <c r="B26" s="20" t="s">
        <v>37</v>
      </c>
      <c r="C26" s="20"/>
      <c r="D26" s="20"/>
      <c r="E26" s="20"/>
      <c r="F26" s="20"/>
      <c r="G26" s="21">
        <v>0</v>
      </c>
      <c r="H26" s="20">
        <v>30</v>
      </c>
      <c r="I26" s="20" t="s">
        <v>38</v>
      </c>
      <c r="J26" s="20"/>
      <c r="K26" s="20"/>
      <c r="L26" s="20">
        <f t="shared" si="2"/>
        <v>0</v>
      </c>
      <c r="M26" s="20">
        <f t="shared" si="4"/>
        <v>0</v>
      </c>
      <c r="N26" s="20"/>
      <c r="O26" s="20">
        <v>0</v>
      </c>
      <c r="P26" s="20">
        <v>0</v>
      </c>
      <c r="Q26" s="20"/>
      <c r="R26" s="20">
        <f t="shared" si="5"/>
        <v>0</v>
      </c>
      <c r="S26" s="22"/>
      <c r="T26" s="22"/>
      <c r="U26" s="20"/>
      <c r="V26" s="20"/>
      <c r="W26" s="20" t="e">
        <f t="shared" si="7"/>
        <v>#DIV/0!</v>
      </c>
      <c r="X26" s="20" t="e">
        <f t="shared" si="8"/>
        <v>#DIV/0!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  <c r="AD26" s="20">
        <v>0</v>
      </c>
      <c r="AE26" s="20">
        <v>0</v>
      </c>
      <c r="AF26" s="20">
        <v>0</v>
      </c>
      <c r="AG26" s="20" t="s">
        <v>54</v>
      </c>
      <c r="AH26" s="20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64</v>
      </c>
      <c r="B27" s="1" t="s">
        <v>37</v>
      </c>
      <c r="C27" s="1">
        <v>695.84900000000005</v>
      </c>
      <c r="D27" s="1">
        <v>1229.08</v>
      </c>
      <c r="E27" s="1">
        <v>1110.989</v>
      </c>
      <c r="F27" s="1">
        <v>891.928</v>
      </c>
      <c r="G27" s="12">
        <v>1</v>
      </c>
      <c r="H27" s="1">
        <v>30</v>
      </c>
      <c r="I27" s="1" t="s">
        <v>38</v>
      </c>
      <c r="J27" s="1"/>
      <c r="K27" s="1">
        <v>1371.808</v>
      </c>
      <c r="L27" s="1">
        <f t="shared" si="2"/>
        <v>-260.81899999999996</v>
      </c>
      <c r="M27" s="1">
        <f t="shared" si="4"/>
        <v>907.83799999999997</v>
      </c>
      <c r="N27" s="1">
        <v>203.15100000000001</v>
      </c>
      <c r="O27" s="1">
        <v>88</v>
      </c>
      <c r="P27" s="1">
        <v>840.20000000000027</v>
      </c>
      <c r="Q27" s="1"/>
      <c r="R27" s="1">
        <f t="shared" si="5"/>
        <v>181.5676</v>
      </c>
      <c r="S27" s="5">
        <f>12*R27-Q27-P27-F27</f>
        <v>446.68319999999983</v>
      </c>
      <c r="T27" s="5"/>
      <c r="U27" s="1"/>
      <c r="V27" s="1"/>
      <c r="W27" s="1">
        <f t="shared" si="7"/>
        <v>12</v>
      </c>
      <c r="X27" s="1">
        <f t="shared" si="8"/>
        <v>9.5398518237835397</v>
      </c>
      <c r="Y27" s="1">
        <v>204.2704</v>
      </c>
      <c r="Z27" s="1">
        <v>155.9264</v>
      </c>
      <c r="AA27" s="1">
        <v>116.1802</v>
      </c>
      <c r="AB27" s="1">
        <v>143.58860000000001</v>
      </c>
      <c r="AC27" s="1">
        <v>147.16900000000001</v>
      </c>
      <c r="AD27" s="1">
        <v>145.21</v>
      </c>
      <c r="AE27" s="1">
        <v>137.3604</v>
      </c>
      <c r="AF27" s="1">
        <v>156.0812</v>
      </c>
      <c r="AG27" s="1" t="s">
        <v>49</v>
      </c>
      <c r="AH27" s="1">
        <f>G27*S27</f>
        <v>446.68319999999983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20" t="s">
        <v>65</v>
      </c>
      <c r="B28" s="20" t="s">
        <v>37</v>
      </c>
      <c r="C28" s="20"/>
      <c r="D28" s="20"/>
      <c r="E28" s="20"/>
      <c r="F28" s="20"/>
      <c r="G28" s="21">
        <v>0</v>
      </c>
      <c r="H28" s="20">
        <v>45</v>
      </c>
      <c r="I28" s="20" t="s">
        <v>38</v>
      </c>
      <c r="J28" s="20"/>
      <c r="K28" s="20"/>
      <c r="L28" s="20">
        <f t="shared" si="2"/>
        <v>0</v>
      </c>
      <c r="M28" s="20">
        <f t="shared" si="4"/>
        <v>0</v>
      </c>
      <c r="N28" s="20"/>
      <c r="O28" s="20">
        <v>0</v>
      </c>
      <c r="P28" s="20">
        <v>0</v>
      </c>
      <c r="Q28" s="20"/>
      <c r="R28" s="20">
        <f t="shared" si="5"/>
        <v>0</v>
      </c>
      <c r="S28" s="22"/>
      <c r="T28" s="22"/>
      <c r="U28" s="20"/>
      <c r="V28" s="20"/>
      <c r="W28" s="20" t="e">
        <f t="shared" si="7"/>
        <v>#DIV/0!</v>
      </c>
      <c r="X28" s="20" t="e">
        <f t="shared" si="8"/>
        <v>#DIV/0!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D28" s="20">
        <v>0</v>
      </c>
      <c r="AE28" s="20">
        <v>0</v>
      </c>
      <c r="AF28" s="20">
        <v>0</v>
      </c>
      <c r="AG28" s="20" t="s">
        <v>54</v>
      </c>
      <c r="AH28" s="20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20" t="s">
        <v>66</v>
      </c>
      <c r="B29" s="20" t="s">
        <v>37</v>
      </c>
      <c r="C29" s="20"/>
      <c r="D29" s="20"/>
      <c r="E29" s="20"/>
      <c r="F29" s="20"/>
      <c r="G29" s="21">
        <v>0</v>
      </c>
      <c r="H29" s="20">
        <v>40</v>
      </c>
      <c r="I29" s="20" t="s">
        <v>38</v>
      </c>
      <c r="J29" s="20"/>
      <c r="K29" s="20"/>
      <c r="L29" s="20">
        <f t="shared" si="2"/>
        <v>0</v>
      </c>
      <c r="M29" s="20">
        <f t="shared" si="4"/>
        <v>0</v>
      </c>
      <c r="N29" s="20"/>
      <c r="O29" s="20">
        <v>0</v>
      </c>
      <c r="P29" s="20">
        <v>0</v>
      </c>
      <c r="Q29" s="20"/>
      <c r="R29" s="20">
        <f t="shared" si="5"/>
        <v>0</v>
      </c>
      <c r="S29" s="22"/>
      <c r="T29" s="22"/>
      <c r="U29" s="20"/>
      <c r="V29" s="20"/>
      <c r="W29" s="20" t="e">
        <f t="shared" si="7"/>
        <v>#DIV/0!</v>
      </c>
      <c r="X29" s="20" t="e">
        <f t="shared" si="8"/>
        <v>#DIV/0!</v>
      </c>
      <c r="Y29" s="20">
        <v>0</v>
      </c>
      <c r="Z29" s="20">
        <v>0</v>
      </c>
      <c r="AA29" s="20">
        <v>0</v>
      </c>
      <c r="AB29" s="20">
        <v>0</v>
      </c>
      <c r="AC29" s="20">
        <v>0</v>
      </c>
      <c r="AD29" s="20">
        <v>0</v>
      </c>
      <c r="AE29" s="20">
        <v>0</v>
      </c>
      <c r="AF29" s="20">
        <v>0</v>
      </c>
      <c r="AG29" s="20" t="s">
        <v>54</v>
      </c>
      <c r="AH29" s="20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20" t="s">
        <v>67</v>
      </c>
      <c r="B30" s="20" t="s">
        <v>37</v>
      </c>
      <c r="C30" s="20"/>
      <c r="D30" s="20"/>
      <c r="E30" s="20"/>
      <c r="F30" s="20"/>
      <c r="G30" s="21">
        <v>0</v>
      </c>
      <c r="H30" s="20">
        <v>30</v>
      </c>
      <c r="I30" s="20" t="s">
        <v>38</v>
      </c>
      <c r="J30" s="20"/>
      <c r="K30" s="20"/>
      <c r="L30" s="20">
        <f t="shared" si="2"/>
        <v>0</v>
      </c>
      <c r="M30" s="20">
        <f t="shared" si="4"/>
        <v>0</v>
      </c>
      <c r="N30" s="20"/>
      <c r="O30" s="20">
        <v>0</v>
      </c>
      <c r="P30" s="20">
        <v>0</v>
      </c>
      <c r="Q30" s="20"/>
      <c r="R30" s="20">
        <f t="shared" si="5"/>
        <v>0</v>
      </c>
      <c r="S30" s="22"/>
      <c r="T30" s="22"/>
      <c r="U30" s="20"/>
      <c r="V30" s="20"/>
      <c r="W30" s="20" t="e">
        <f t="shared" si="7"/>
        <v>#DIV/0!</v>
      </c>
      <c r="X30" s="20" t="e">
        <f t="shared" si="8"/>
        <v>#DIV/0!</v>
      </c>
      <c r="Y30" s="20">
        <v>0</v>
      </c>
      <c r="Z30" s="20">
        <v>0</v>
      </c>
      <c r="AA30" s="20">
        <v>0</v>
      </c>
      <c r="AB30" s="20">
        <v>0</v>
      </c>
      <c r="AC30" s="20">
        <v>0</v>
      </c>
      <c r="AD30" s="20">
        <v>0</v>
      </c>
      <c r="AE30" s="20">
        <v>0</v>
      </c>
      <c r="AF30" s="20">
        <v>0</v>
      </c>
      <c r="AG30" s="20" t="s">
        <v>54</v>
      </c>
      <c r="AH30" s="20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20" t="s">
        <v>68</v>
      </c>
      <c r="B31" s="20" t="s">
        <v>37</v>
      </c>
      <c r="C31" s="20"/>
      <c r="D31" s="20"/>
      <c r="E31" s="20"/>
      <c r="F31" s="20"/>
      <c r="G31" s="21">
        <v>0</v>
      </c>
      <c r="H31" s="20">
        <v>50</v>
      </c>
      <c r="I31" s="20" t="s">
        <v>38</v>
      </c>
      <c r="J31" s="20"/>
      <c r="K31" s="20"/>
      <c r="L31" s="20">
        <f t="shared" si="2"/>
        <v>0</v>
      </c>
      <c r="M31" s="20">
        <f t="shared" si="4"/>
        <v>0</v>
      </c>
      <c r="N31" s="20"/>
      <c r="O31" s="20">
        <v>0</v>
      </c>
      <c r="P31" s="20">
        <v>0</v>
      </c>
      <c r="Q31" s="20"/>
      <c r="R31" s="20">
        <f t="shared" si="5"/>
        <v>0</v>
      </c>
      <c r="S31" s="22"/>
      <c r="T31" s="22"/>
      <c r="U31" s="20"/>
      <c r="V31" s="20"/>
      <c r="W31" s="20" t="e">
        <f t="shared" si="7"/>
        <v>#DIV/0!</v>
      </c>
      <c r="X31" s="20" t="e">
        <f t="shared" si="8"/>
        <v>#DIV/0!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20">
        <v>0</v>
      </c>
      <c r="AG31" s="20" t="s">
        <v>54</v>
      </c>
      <c r="AH31" s="20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69</v>
      </c>
      <c r="B32" s="1" t="s">
        <v>37</v>
      </c>
      <c r="C32" s="1">
        <v>22.364000000000001</v>
      </c>
      <c r="D32" s="1">
        <v>0.89</v>
      </c>
      <c r="E32" s="1">
        <v>11.571</v>
      </c>
      <c r="F32" s="1">
        <v>12.595000000000001</v>
      </c>
      <c r="G32" s="12">
        <v>1</v>
      </c>
      <c r="H32" s="1">
        <v>50</v>
      </c>
      <c r="I32" s="1" t="s">
        <v>38</v>
      </c>
      <c r="J32" s="1"/>
      <c r="K32" s="1">
        <v>11.5</v>
      </c>
      <c r="L32" s="1">
        <f t="shared" si="2"/>
        <v>7.099999999999973E-2</v>
      </c>
      <c r="M32" s="1">
        <f t="shared" si="4"/>
        <v>11.571</v>
      </c>
      <c r="N32" s="1"/>
      <c r="O32" s="1">
        <v>0</v>
      </c>
      <c r="P32" s="1">
        <v>0</v>
      </c>
      <c r="Q32" s="1"/>
      <c r="R32" s="1">
        <f t="shared" si="5"/>
        <v>2.3142</v>
      </c>
      <c r="S32" s="5">
        <f t="shared" ref="S32:S47" si="10">12*R32-Q32-P32-F32</f>
        <v>15.175400000000002</v>
      </c>
      <c r="T32" s="5"/>
      <c r="U32" s="1"/>
      <c r="V32" s="1"/>
      <c r="W32" s="1">
        <f t="shared" si="7"/>
        <v>12</v>
      </c>
      <c r="X32" s="1">
        <f t="shared" si="8"/>
        <v>5.4424855241552157</v>
      </c>
      <c r="Y32" s="1">
        <v>1.6046</v>
      </c>
      <c r="Z32" s="1">
        <v>0.71699999999999997</v>
      </c>
      <c r="AA32" s="1">
        <v>0.53520000000000001</v>
      </c>
      <c r="AB32" s="1">
        <v>1.073</v>
      </c>
      <c r="AC32" s="1">
        <v>1.974</v>
      </c>
      <c r="AD32" s="1">
        <v>1.6204000000000001</v>
      </c>
      <c r="AE32" s="1">
        <v>1.2534000000000001</v>
      </c>
      <c r="AF32" s="1">
        <v>1.5980000000000001</v>
      </c>
      <c r="AG32" s="25" t="s">
        <v>146</v>
      </c>
      <c r="AH32" s="1">
        <f t="shared" ref="AH32:AH47" si="11">G32*S32</f>
        <v>15.175400000000002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70</v>
      </c>
      <c r="B33" s="1" t="s">
        <v>42</v>
      </c>
      <c r="C33" s="1">
        <v>1923</v>
      </c>
      <c r="D33" s="1">
        <v>1171</v>
      </c>
      <c r="E33" s="1">
        <v>1434</v>
      </c>
      <c r="F33" s="1">
        <v>1800</v>
      </c>
      <c r="G33" s="12">
        <v>0.4</v>
      </c>
      <c r="H33" s="1">
        <v>45</v>
      </c>
      <c r="I33" s="1" t="s">
        <v>38</v>
      </c>
      <c r="J33" s="1"/>
      <c r="K33" s="1">
        <v>1700</v>
      </c>
      <c r="L33" s="1">
        <f t="shared" si="2"/>
        <v>-266</v>
      </c>
      <c r="M33" s="1">
        <f t="shared" si="4"/>
        <v>1146</v>
      </c>
      <c r="N33" s="1">
        <v>288</v>
      </c>
      <c r="O33" s="1">
        <v>205</v>
      </c>
      <c r="P33" s="1">
        <v>0</v>
      </c>
      <c r="Q33" s="1"/>
      <c r="R33" s="1">
        <f t="shared" si="5"/>
        <v>229.2</v>
      </c>
      <c r="S33" s="5">
        <f t="shared" si="10"/>
        <v>950.39999999999964</v>
      </c>
      <c r="T33" s="5"/>
      <c r="U33" s="1"/>
      <c r="V33" s="1"/>
      <c r="W33" s="1">
        <f t="shared" si="7"/>
        <v>11.999999999999998</v>
      </c>
      <c r="X33" s="1">
        <f t="shared" si="8"/>
        <v>7.8534031413612571</v>
      </c>
      <c r="Y33" s="1">
        <v>238.6</v>
      </c>
      <c r="Z33" s="1">
        <v>223.8</v>
      </c>
      <c r="AA33" s="1">
        <v>240</v>
      </c>
      <c r="AB33" s="1">
        <v>250.8</v>
      </c>
      <c r="AC33" s="1">
        <v>231.8</v>
      </c>
      <c r="AD33" s="1">
        <v>246.8</v>
      </c>
      <c r="AE33" s="1">
        <v>260.8</v>
      </c>
      <c r="AF33" s="1">
        <v>219.2</v>
      </c>
      <c r="AG33" s="1" t="s">
        <v>71</v>
      </c>
      <c r="AH33" s="1">
        <f t="shared" si="11"/>
        <v>380.15999999999985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72</v>
      </c>
      <c r="B34" s="1" t="s">
        <v>42</v>
      </c>
      <c r="C34" s="1">
        <v>526</v>
      </c>
      <c r="D34" s="1">
        <v>112</v>
      </c>
      <c r="E34" s="1">
        <v>284</v>
      </c>
      <c r="F34" s="1">
        <v>373</v>
      </c>
      <c r="G34" s="12">
        <v>0.45</v>
      </c>
      <c r="H34" s="1">
        <v>50</v>
      </c>
      <c r="I34" s="1" t="s">
        <v>38</v>
      </c>
      <c r="J34" s="1"/>
      <c r="K34" s="1">
        <v>344</v>
      </c>
      <c r="L34" s="1">
        <f t="shared" si="2"/>
        <v>-60</v>
      </c>
      <c r="M34" s="1">
        <f t="shared" si="4"/>
        <v>214</v>
      </c>
      <c r="N34" s="1">
        <v>70</v>
      </c>
      <c r="O34" s="1">
        <v>0</v>
      </c>
      <c r="P34" s="1">
        <v>205.50000000000011</v>
      </c>
      <c r="Q34" s="1">
        <v>78.430000000000007</v>
      </c>
      <c r="R34" s="1">
        <f t="shared" si="5"/>
        <v>42.8</v>
      </c>
      <c r="S34" s="5"/>
      <c r="T34" s="5"/>
      <c r="U34" s="1"/>
      <c r="V34" s="1"/>
      <c r="W34" s="1">
        <f t="shared" si="7"/>
        <v>15.348831775700937</v>
      </c>
      <c r="X34" s="1">
        <f t="shared" si="8"/>
        <v>15.348831775700937</v>
      </c>
      <c r="Y34" s="1">
        <v>50.6</v>
      </c>
      <c r="Z34" s="1">
        <v>53.8</v>
      </c>
      <c r="AA34" s="1">
        <v>52</v>
      </c>
      <c r="AB34" s="1">
        <v>53.4</v>
      </c>
      <c r="AC34" s="1">
        <v>52</v>
      </c>
      <c r="AD34" s="1">
        <v>86</v>
      </c>
      <c r="AE34" s="1">
        <v>132.4</v>
      </c>
      <c r="AF34" s="1">
        <v>154.6</v>
      </c>
      <c r="AG34" s="1" t="s">
        <v>43</v>
      </c>
      <c r="AH34" s="1">
        <f t="shared" si="11"/>
        <v>0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73</v>
      </c>
      <c r="B35" s="1" t="s">
        <v>42</v>
      </c>
      <c r="C35" s="1">
        <v>2040</v>
      </c>
      <c r="D35" s="1">
        <v>1395</v>
      </c>
      <c r="E35" s="1">
        <v>1248</v>
      </c>
      <c r="F35" s="1">
        <v>2231</v>
      </c>
      <c r="G35" s="12">
        <v>0.4</v>
      </c>
      <c r="H35" s="1">
        <v>45</v>
      </c>
      <c r="I35" s="1" t="s">
        <v>38</v>
      </c>
      <c r="J35" s="1"/>
      <c r="K35" s="1">
        <v>1506</v>
      </c>
      <c r="L35" s="1">
        <f t="shared" si="2"/>
        <v>-258</v>
      </c>
      <c r="M35" s="1">
        <f t="shared" si="4"/>
        <v>954</v>
      </c>
      <c r="N35" s="1">
        <v>294</v>
      </c>
      <c r="O35" s="1">
        <v>180</v>
      </c>
      <c r="P35" s="1">
        <v>0</v>
      </c>
      <c r="Q35" s="1"/>
      <c r="R35" s="1">
        <f t="shared" si="5"/>
        <v>190.8</v>
      </c>
      <c r="S35" s="5">
        <f t="shared" si="10"/>
        <v>58.600000000000364</v>
      </c>
      <c r="T35" s="5"/>
      <c r="U35" s="1"/>
      <c r="V35" s="1"/>
      <c r="W35" s="1">
        <f t="shared" si="7"/>
        <v>12.000000000000002</v>
      </c>
      <c r="X35" s="1">
        <f t="shared" si="8"/>
        <v>11.692872117400418</v>
      </c>
      <c r="Y35" s="1">
        <v>257.39999999999998</v>
      </c>
      <c r="Z35" s="1">
        <v>270</v>
      </c>
      <c r="AA35" s="1">
        <v>250.8</v>
      </c>
      <c r="AB35" s="1">
        <v>238.8</v>
      </c>
      <c r="AC35" s="1">
        <v>264.2</v>
      </c>
      <c r="AD35" s="1">
        <v>235.8</v>
      </c>
      <c r="AE35" s="1">
        <v>260.8</v>
      </c>
      <c r="AF35" s="1">
        <v>218.2</v>
      </c>
      <c r="AG35" s="1"/>
      <c r="AH35" s="1">
        <f t="shared" si="11"/>
        <v>23.440000000000147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74</v>
      </c>
      <c r="B36" s="1" t="s">
        <v>42</v>
      </c>
      <c r="C36" s="1">
        <v>170</v>
      </c>
      <c r="D36" s="1">
        <v>55</v>
      </c>
      <c r="E36" s="1">
        <v>109</v>
      </c>
      <c r="F36" s="1">
        <v>122</v>
      </c>
      <c r="G36" s="12">
        <v>0.4</v>
      </c>
      <c r="H36" s="1">
        <v>40</v>
      </c>
      <c r="I36" s="1" t="s">
        <v>38</v>
      </c>
      <c r="J36" s="1"/>
      <c r="K36" s="1">
        <v>116</v>
      </c>
      <c r="L36" s="1">
        <f t="shared" si="2"/>
        <v>-7</v>
      </c>
      <c r="M36" s="1">
        <f t="shared" si="4"/>
        <v>109</v>
      </c>
      <c r="N36" s="1"/>
      <c r="O36" s="1">
        <v>0</v>
      </c>
      <c r="P36" s="1">
        <v>0</v>
      </c>
      <c r="Q36" s="1"/>
      <c r="R36" s="1">
        <f t="shared" si="5"/>
        <v>21.8</v>
      </c>
      <c r="S36" s="5">
        <f t="shared" si="10"/>
        <v>139.60000000000002</v>
      </c>
      <c r="T36" s="5"/>
      <c r="U36" s="1"/>
      <c r="V36" s="1"/>
      <c r="W36" s="1">
        <f t="shared" si="7"/>
        <v>12</v>
      </c>
      <c r="X36" s="1">
        <f t="shared" si="8"/>
        <v>5.5963302752293576</v>
      </c>
      <c r="Y36" s="1">
        <v>12.6</v>
      </c>
      <c r="Z36" s="1">
        <v>10.4</v>
      </c>
      <c r="AA36" s="1">
        <v>17</v>
      </c>
      <c r="AB36" s="1">
        <v>20.6</v>
      </c>
      <c r="AC36" s="1">
        <v>12.6</v>
      </c>
      <c r="AD36" s="1">
        <v>15.4</v>
      </c>
      <c r="AE36" s="1">
        <v>19</v>
      </c>
      <c r="AF36" s="1">
        <v>9.1999999999999993</v>
      </c>
      <c r="AG36" s="1" t="s">
        <v>75</v>
      </c>
      <c r="AH36" s="1">
        <f t="shared" si="11"/>
        <v>55.840000000000011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76</v>
      </c>
      <c r="B37" s="1" t="s">
        <v>37</v>
      </c>
      <c r="C37" s="1">
        <v>583.53800000000001</v>
      </c>
      <c r="D37" s="1">
        <v>749.17</v>
      </c>
      <c r="E37" s="1">
        <v>323.30599999999998</v>
      </c>
      <c r="F37" s="1">
        <v>974.81200000000001</v>
      </c>
      <c r="G37" s="12">
        <v>1</v>
      </c>
      <c r="H37" s="1">
        <v>45</v>
      </c>
      <c r="I37" s="1" t="s">
        <v>38</v>
      </c>
      <c r="J37" s="1"/>
      <c r="K37" s="1">
        <v>430.92599999999999</v>
      </c>
      <c r="L37" s="1">
        <f t="shared" si="2"/>
        <v>-107.62</v>
      </c>
      <c r="M37" s="1">
        <f t="shared" si="4"/>
        <v>323.30599999999998</v>
      </c>
      <c r="N37" s="1"/>
      <c r="O37" s="1">
        <v>0</v>
      </c>
      <c r="P37" s="1">
        <v>0</v>
      </c>
      <c r="Q37" s="1"/>
      <c r="R37" s="1">
        <f t="shared" si="5"/>
        <v>64.661199999999994</v>
      </c>
      <c r="S37" s="5"/>
      <c r="T37" s="5"/>
      <c r="U37" s="1"/>
      <c r="V37" s="1"/>
      <c r="W37" s="1">
        <f t="shared" si="7"/>
        <v>15.075686810637603</v>
      </c>
      <c r="X37" s="1">
        <f t="shared" si="8"/>
        <v>15.075686810637603</v>
      </c>
      <c r="Y37" s="1">
        <v>58.102600000000002</v>
      </c>
      <c r="Z37" s="1">
        <v>74.066200000000009</v>
      </c>
      <c r="AA37" s="1">
        <v>96.037400000000005</v>
      </c>
      <c r="AB37" s="1">
        <v>76.811599999999999</v>
      </c>
      <c r="AC37" s="1">
        <v>61.268600000000013</v>
      </c>
      <c r="AD37" s="1">
        <v>76.885999999999996</v>
      </c>
      <c r="AE37" s="1">
        <v>77.734999999999999</v>
      </c>
      <c r="AF37" s="1">
        <v>41.408200000000001</v>
      </c>
      <c r="AG37" s="1"/>
      <c r="AH37" s="1">
        <f t="shared" si="11"/>
        <v>0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77</v>
      </c>
      <c r="B38" s="1" t="s">
        <v>42</v>
      </c>
      <c r="C38" s="1">
        <v>124</v>
      </c>
      <c r="D38" s="1">
        <v>371</v>
      </c>
      <c r="E38" s="1">
        <v>122</v>
      </c>
      <c r="F38" s="1">
        <v>258</v>
      </c>
      <c r="G38" s="12">
        <v>0.1</v>
      </c>
      <c r="H38" s="1">
        <v>730</v>
      </c>
      <c r="I38" s="1" t="s">
        <v>38</v>
      </c>
      <c r="J38" s="1"/>
      <c r="K38" s="1">
        <v>127</v>
      </c>
      <c r="L38" s="1">
        <f t="shared" ref="L38:L69" si="12">E38-K38</f>
        <v>-5</v>
      </c>
      <c r="M38" s="1">
        <f t="shared" si="4"/>
        <v>122</v>
      </c>
      <c r="N38" s="1"/>
      <c r="O38" s="1">
        <v>0</v>
      </c>
      <c r="P38" s="1">
        <v>80.5</v>
      </c>
      <c r="Q38" s="1">
        <v>49.91</v>
      </c>
      <c r="R38" s="1">
        <f t="shared" si="5"/>
        <v>24.4</v>
      </c>
      <c r="S38" s="5"/>
      <c r="T38" s="5"/>
      <c r="U38" s="1"/>
      <c r="V38" s="1"/>
      <c r="W38" s="1">
        <f t="shared" si="7"/>
        <v>15.918442622950819</v>
      </c>
      <c r="X38" s="1">
        <f t="shared" si="8"/>
        <v>15.918442622950819</v>
      </c>
      <c r="Y38" s="1">
        <v>32.200000000000003</v>
      </c>
      <c r="Z38" s="1">
        <v>34.6</v>
      </c>
      <c r="AA38" s="1">
        <v>28.2</v>
      </c>
      <c r="AB38" s="1">
        <v>27.6</v>
      </c>
      <c r="AC38" s="1">
        <v>28.6</v>
      </c>
      <c r="AD38" s="1">
        <v>31.2</v>
      </c>
      <c r="AE38" s="1">
        <v>31.8</v>
      </c>
      <c r="AF38" s="1">
        <v>28.6</v>
      </c>
      <c r="AG38" s="1"/>
      <c r="AH38" s="1">
        <f t="shared" si="11"/>
        <v>0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78</v>
      </c>
      <c r="B39" s="1" t="s">
        <v>42</v>
      </c>
      <c r="C39" s="1">
        <v>282</v>
      </c>
      <c r="D39" s="1">
        <v>384</v>
      </c>
      <c r="E39" s="1">
        <v>286</v>
      </c>
      <c r="F39" s="1">
        <v>363</v>
      </c>
      <c r="G39" s="12">
        <v>0.35</v>
      </c>
      <c r="H39" s="1">
        <v>40</v>
      </c>
      <c r="I39" s="1" t="s">
        <v>38</v>
      </c>
      <c r="J39" s="1"/>
      <c r="K39" s="1">
        <v>340</v>
      </c>
      <c r="L39" s="1">
        <f t="shared" si="12"/>
        <v>-54</v>
      </c>
      <c r="M39" s="1">
        <f t="shared" si="4"/>
        <v>232</v>
      </c>
      <c r="N39" s="1">
        <v>54</v>
      </c>
      <c r="O39" s="1">
        <v>0</v>
      </c>
      <c r="P39" s="1">
        <v>0</v>
      </c>
      <c r="Q39" s="1"/>
      <c r="R39" s="1">
        <f t="shared" si="5"/>
        <v>46.4</v>
      </c>
      <c r="S39" s="5">
        <f t="shared" si="10"/>
        <v>193.79999999999995</v>
      </c>
      <c r="T39" s="5"/>
      <c r="U39" s="1"/>
      <c r="V39" s="1"/>
      <c r="W39" s="1">
        <f t="shared" si="7"/>
        <v>12</v>
      </c>
      <c r="X39" s="1">
        <f t="shared" si="8"/>
        <v>7.8232758620689662</v>
      </c>
      <c r="Y39" s="1">
        <v>34.4</v>
      </c>
      <c r="Z39" s="1">
        <v>51</v>
      </c>
      <c r="AA39" s="1">
        <v>48.6</v>
      </c>
      <c r="AB39" s="1">
        <v>46.8</v>
      </c>
      <c r="AC39" s="1">
        <v>36.200000000000003</v>
      </c>
      <c r="AD39" s="1">
        <v>37.200000000000003</v>
      </c>
      <c r="AE39" s="1">
        <v>39</v>
      </c>
      <c r="AF39" s="1">
        <v>33</v>
      </c>
      <c r="AG39" s="1"/>
      <c r="AH39" s="1">
        <f t="shared" si="11"/>
        <v>67.829999999999984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79</v>
      </c>
      <c r="B40" s="1" t="s">
        <v>37</v>
      </c>
      <c r="C40" s="1">
        <v>56.567999999999998</v>
      </c>
      <c r="D40" s="1">
        <v>32.485999999999997</v>
      </c>
      <c r="E40" s="1">
        <v>65.766000000000005</v>
      </c>
      <c r="F40" s="1">
        <v>23.356999999999999</v>
      </c>
      <c r="G40" s="12">
        <v>1</v>
      </c>
      <c r="H40" s="1">
        <v>40</v>
      </c>
      <c r="I40" s="1" t="s">
        <v>38</v>
      </c>
      <c r="J40" s="1"/>
      <c r="K40" s="1">
        <v>73.328000000000003</v>
      </c>
      <c r="L40" s="1">
        <f t="shared" si="12"/>
        <v>-7.5619999999999976</v>
      </c>
      <c r="M40" s="1">
        <f t="shared" si="4"/>
        <v>55.638000000000005</v>
      </c>
      <c r="N40" s="1">
        <v>10.128</v>
      </c>
      <c r="O40" s="1">
        <v>0</v>
      </c>
      <c r="P40" s="1">
        <v>61.960999999999977</v>
      </c>
      <c r="Q40" s="1"/>
      <c r="R40" s="1">
        <f t="shared" si="5"/>
        <v>11.127600000000001</v>
      </c>
      <c r="S40" s="5">
        <f t="shared" si="10"/>
        <v>48.213200000000029</v>
      </c>
      <c r="T40" s="5"/>
      <c r="U40" s="1"/>
      <c r="V40" s="1"/>
      <c r="W40" s="1">
        <f t="shared" si="7"/>
        <v>12</v>
      </c>
      <c r="X40" s="1">
        <f t="shared" si="8"/>
        <v>7.6672418131492845</v>
      </c>
      <c r="Y40" s="1">
        <v>10.8368</v>
      </c>
      <c r="Z40" s="1">
        <v>6.8138000000000014</v>
      </c>
      <c r="AA40" s="1">
        <v>6.9438000000000004</v>
      </c>
      <c r="AB40" s="1">
        <v>7.7876000000000003</v>
      </c>
      <c r="AC40" s="1">
        <v>7.6316000000000006</v>
      </c>
      <c r="AD40" s="1">
        <v>6.4818000000000016</v>
      </c>
      <c r="AE40" s="1">
        <v>8.1997999999999998</v>
      </c>
      <c r="AF40" s="1">
        <v>8.4890000000000008</v>
      </c>
      <c r="AG40" s="1"/>
      <c r="AH40" s="1">
        <f t="shared" si="11"/>
        <v>48.213200000000029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80</v>
      </c>
      <c r="B41" s="1" t="s">
        <v>42</v>
      </c>
      <c r="C41" s="1">
        <v>223</v>
      </c>
      <c r="D41" s="1">
        <v>408</v>
      </c>
      <c r="E41" s="1">
        <v>255</v>
      </c>
      <c r="F41" s="1">
        <v>380</v>
      </c>
      <c r="G41" s="12">
        <v>0.4</v>
      </c>
      <c r="H41" s="1">
        <v>40</v>
      </c>
      <c r="I41" s="1" t="s">
        <v>38</v>
      </c>
      <c r="J41" s="1"/>
      <c r="K41" s="1">
        <v>394</v>
      </c>
      <c r="L41" s="1">
        <f t="shared" si="12"/>
        <v>-139</v>
      </c>
      <c r="M41" s="1">
        <f t="shared" si="4"/>
        <v>129</v>
      </c>
      <c r="N41" s="1">
        <v>126</v>
      </c>
      <c r="O41" s="1">
        <v>91</v>
      </c>
      <c r="P41" s="1">
        <v>0</v>
      </c>
      <c r="Q41" s="1"/>
      <c r="R41" s="1">
        <f t="shared" si="5"/>
        <v>25.8</v>
      </c>
      <c r="S41" s="5"/>
      <c r="T41" s="5"/>
      <c r="U41" s="1"/>
      <c r="V41" s="1"/>
      <c r="W41" s="1">
        <f t="shared" si="7"/>
        <v>14.728682170542635</v>
      </c>
      <c r="X41" s="1">
        <f t="shared" si="8"/>
        <v>14.728682170542635</v>
      </c>
      <c r="Y41" s="1">
        <v>42.2</v>
      </c>
      <c r="Z41" s="1">
        <v>42.4</v>
      </c>
      <c r="AA41" s="1">
        <v>28</v>
      </c>
      <c r="AB41" s="1">
        <v>36.4</v>
      </c>
      <c r="AC41" s="1">
        <v>34.6</v>
      </c>
      <c r="AD41" s="1">
        <v>28.4</v>
      </c>
      <c r="AE41" s="1">
        <v>31.8</v>
      </c>
      <c r="AF41" s="1">
        <v>35.200000000000003</v>
      </c>
      <c r="AG41" s="1"/>
      <c r="AH41" s="1">
        <f t="shared" si="11"/>
        <v>0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81</v>
      </c>
      <c r="B42" s="1" t="s">
        <v>42</v>
      </c>
      <c r="C42" s="1">
        <v>720</v>
      </c>
      <c r="D42" s="1">
        <v>291</v>
      </c>
      <c r="E42" s="1">
        <v>474</v>
      </c>
      <c r="F42" s="1">
        <v>581</v>
      </c>
      <c r="G42" s="12">
        <v>0.4</v>
      </c>
      <c r="H42" s="1">
        <v>45</v>
      </c>
      <c r="I42" s="1" t="s">
        <v>38</v>
      </c>
      <c r="J42" s="1"/>
      <c r="K42" s="1">
        <v>617</v>
      </c>
      <c r="L42" s="1">
        <f t="shared" si="12"/>
        <v>-143</v>
      </c>
      <c r="M42" s="1">
        <f t="shared" si="4"/>
        <v>336</v>
      </c>
      <c r="N42" s="1">
        <v>138</v>
      </c>
      <c r="O42" s="1">
        <v>91</v>
      </c>
      <c r="P42" s="1">
        <v>0</v>
      </c>
      <c r="Q42" s="1"/>
      <c r="R42" s="1">
        <f t="shared" si="5"/>
        <v>67.2</v>
      </c>
      <c r="S42" s="5">
        <f t="shared" si="10"/>
        <v>225.40000000000009</v>
      </c>
      <c r="T42" s="5"/>
      <c r="U42" s="1"/>
      <c r="V42" s="1"/>
      <c r="W42" s="1">
        <f t="shared" si="7"/>
        <v>12</v>
      </c>
      <c r="X42" s="1">
        <f t="shared" si="8"/>
        <v>8.6458333333333321</v>
      </c>
      <c r="Y42" s="1">
        <v>72</v>
      </c>
      <c r="Z42" s="1">
        <v>66</v>
      </c>
      <c r="AA42" s="1">
        <v>72.8</v>
      </c>
      <c r="AB42" s="1">
        <v>72.599999999999994</v>
      </c>
      <c r="AC42" s="1">
        <v>97.8</v>
      </c>
      <c r="AD42" s="1">
        <v>65.8</v>
      </c>
      <c r="AE42" s="1">
        <v>84.6</v>
      </c>
      <c r="AF42" s="1">
        <v>83.4</v>
      </c>
      <c r="AG42" s="1" t="s">
        <v>43</v>
      </c>
      <c r="AH42" s="1">
        <f t="shared" si="11"/>
        <v>90.160000000000039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82</v>
      </c>
      <c r="B43" s="1" t="s">
        <v>37</v>
      </c>
      <c r="C43" s="1">
        <v>-2.351</v>
      </c>
      <c r="D43" s="1">
        <v>186.34399999999999</v>
      </c>
      <c r="E43" s="1">
        <v>70.81</v>
      </c>
      <c r="F43" s="1">
        <v>124.79</v>
      </c>
      <c r="G43" s="12">
        <v>1</v>
      </c>
      <c r="H43" s="1">
        <v>40</v>
      </c>
      <c r="I43" s="1" t="s">
        <v>38</v>
      </c>
      <c r="J43" s="1"/>
      <c r="K43" s="1">
        <v>86.1</v>
      </c>
      <c r="L43" s="1">
        <f t="shared" si="12"/>
        <v>-15.289999999999992</v>
      </c>
      <c r="M43" s="1">
        <f t="shared" si="4"/>
        <v>27.489000000000004</v>
      </c>
      <c r="N43" s="1">
        <v>43.320999999999998</v>
      </c>
      <c r="O43" s="1">
        <v>0</v>
      </c>
      <c r="P43" s="1">
        <v>27.529800000000041</v>
      </c>
      <c r="Q43" s="1"/>
      <c r="R43" s="1">
        <f t="shared" si="5"/>
        <v>5.4978000000000007</v>
      </c>
      <c r="S43" s="5"/>
      <c r="T43" s="5"/>
      <c r="U43" s="1"/>
      <c r="V43" s="1"/>
      <c r="W43" s="1">
        <f t="shared" si="7"/>
        <v>27.705591327440072</v>
      </c>
      <c r="X43" s="1">
        <f t="shared" si="8"/>
        <v>27.705591327440072</v>
      </c>
      <c r="Y43" s="1">
        <v>18.39</v>
      </c>
      <c r="Z43" s="1">
        <v>23.522400000000001</v>
      </c>
      <c r="AA43" s="1">
        <v>12.7408</v>
      </c>
      <c r="AB43" s="1">
        <v>11.8408</v>
      </c>
      <c r="AC43" s="1">
        <v>19.4712</v>
      </c>
      <c r="AD43" s="1">
        <v>18.616</v>
      </c>
      <c r="AE43" s="1">
        <v>17.1266</v>
      </c>
      <c r="AF43" s="1">
        <v>18.4694</v>
      </c>
      <c r="AG43" s="1"/>
      <c r="AH43" s="1">
        <f t="shared" si="11"/>
        <v>0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83</v>
      </c>
      <c r="B44" s="1" t="s">
        <v>42</v>
      </c>
      <c r="C44" s="1">
        <v>834</v>
      </c>
      <c r="D44" s="1">
        <v>367</v>
      </c>
      <c r="E44" s="1">
        <v>608</v>
      </c>
      <c r="F44" s="1">
        <v>689</v>
      </c>
      <c r="G44" s="12">
        <v>0.35</v>
      </c>
      <c r="H44" s="1">
        <v>40</v>
      </c>
      <c r="I44" s="1" t="s">
        <v>38</v>
      </c>
      <c r="J44" s="1"/>
      <c r="K44" s="1">
        <v>626</v>
      </c>
      <c r="L44" s="1">
        <f t="shared" si="12"/>
        <v>-18</v>
      </c>
      <c r="M44" s="1">
        <f t="shared" si="4"/>
        <v>596</v>
      </c>
      <c r="N44" s="1">
        <v>12</v>
      </c>
      <c r="O44" s="1">
        <v>0</v>
      </c>
      <c r="P44" s="1">
        <v>361.2</v>
      </c>
      <c r="Q44" s="1"/>
      <c r="R44" s="1">
        <f t="shared" si="5"/>
        <v>119.2</v>
      </c>
      <c r="S44" s="5">
        <f t="shared" si="10"/>
        <v>380.20000000000005</v>
      </c>
      <c r="T44" s="5"/>
      <c r="U44" s="1"/>
      <c r="V44" s="1"/>
      <c r="W44" s="1">
        <f t="shared" si="7"/>
        <v>12</v>
      </c>
      <c r="X44" s="1">
        <f t="shared" si="8"/>
        <v>8.8104026845637584</v>
      </c>
      <c r="Y44" s="1">
        <v>117.2</v>
      </c>
      <c r="Z44" s="1">
        <v>97.4</v>
      </c>
      <c r="AA44" s="1">
        <v>102.6</v>
      </c>
      <c r="AB44" s="1">
        <v>122</v>
      </c>
      <c r="AC44" s="1">
        <v>112.2</v>
      </c>
      <c r="AD44" s="1">
        <v>101.6</v>
      </c>
      <c r="AE44" s="1">
        <v>104.2</v>
      </c>
      <c r="AF44" s="1">
        <v>94</v>
      </c>
      <c r="AG44" s="1" t="s">
        <v>49</v>
      </c>
      <c r="AH44" s="1">
        <f t="shared" si="11"/>
        <v>133.07000000000002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84</v>
      </c>
      <c r="B45" s="1" t="s">
        <v>42</v>
      </c>
      <c r="C45" s="1">
        <v>378</v>
      </c>
      <c r="D45" s="1">
        <v>587</v>
      </c>
      <c r="E45" s="1">
        <v>343</v>
      </c>
      <c r="F45" s="1">
        <v>644</v>
      </c>
      <c r="G45" s="12">
        <v>0.4</v>
      </c>
      <c r="H45" s="1">
        <v>40</v>
      </c>
      <c r="I45" s="1" t="s">
        <v>38</v>
      </c>
      <c r="J45" s="1"/>
      <c r="K45" s="1">
        <v>378</v>
      </c>
      <c r="L45" s="1">
        <f t="shared" si="12"/>
        <v>-35</v>
      </c>
      <c r="M45" s="1">
        <f t="shared" si="4"/>
        <v>325</v>
      </c>
      <c r="N45" s="1">
        <v>18</v>
      </c>
      <c r="O45" s="1">
        <v>0</v>
      </c>
      <c r="P45" s="1">
        <v>52.199999999999932</v>
      </c>
      <c r="Q45" s="1"/>
      <c r="R45" s="1">
        <f t="shared" si="5"/>
        <v>65</v>
      </c>
      <c r="S45" s="5">
        <f t="shared" si="10"/>
        <v>83.800000000000068</v>
      </c>
      <c r="T45" s="5"/>
      <c r="U45" s="1"/>
      <c r="V45" s="1"/>
      <c r="W45" s="1">
        <f t="shared" si="7"/>
        <v>12</v>
      </c>
      <c r="X45" s="1">
        <f t="shared" si="8"/>
        <v>10.71076923076923</v>
      </c>
      <c r="Y45" s="1">
        <v>86.2</v>
      </c>
      <c r="Z45" s="1">
        <v>82.2</v>
      </c>
      <c r="AA45" s="1">
        <v>63.2</v>
      </c>
      <c r="AB45" s="1">
        <v>63.8</v>
      </c>
      <c r="AC45" s="1">
        <v>59.6</v>
      </c>
      <c r="AD45" s="1">
        <v>71.8</v>
      </c>
      <c r="AE45" s="1">
        <v>79.400000000000006</v>
      </c>
      <c r="AF45" s="1">
        <v>71.8</v>
      </c>
      <c r="AG45" s="1" t="s">
        <v>43</v>
      </c>
      <c r="AH45" s="1">
        <f t="shared" si="11"/>
        <v>33.520000000000032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85</v>
      </c>
      <c r="B46" s="1" t="s">
        <v>37</v>
      </c>
      <c r="C46" s="1">
        <v>99.546999999999997</v>
      </c>
      <c r="D46" s="1">
        <v>119.226</v>
      </c>
      <c r="E46" s="1">
        <v>119.45099999999999</v>
      </c>
      <c r="F46" s="1">
        <v>62.67</v>
      </c>
      <c r="G46" s="12">
        <v>1</v>
      </c>
      <c r="H46" s="1">
        <v>50</v>
      </c>
      <c r="I46" s="1" t="s">
        <v>38</v>
      </c>
      <c r="J46" s="1"/>
      <c r="K46" s="1">
        <v>185.47900000000001</v>
      </c>
      <c r="L46" s="1">
        <f t="shared" si="12"/>
        <v>-66.02800000000002</v>
      </c>
      <c r="M46" s="1">
        <f t="shared" si="4"/>
        <v>84.411999999999992</v>
      </c>
      <c r="N46" s="1">
        <v>35.039000000000001</v>
      </c>
      <c r="O46" s="1">
        <v>0</v>
      </c>
      <c r="P46" s="1">
        <v>121.008</v>
      </c>
      <c r="Q46" s="1"/>
      <c r="R46" s="1">
        <f t="shared" si="5"/>
        <v>16.882399999999997</v>
      </c>
      <c r="S46" s="5">
        <f t="shared" si="10"/>
        <v>18.910799999999966</v>
      </c>
      <c r="T46" s="5"/>
      <c r="U46" s="1"/>
      <c r="V46" s="1"/>
      <c r="W46" s="1">
        <f t="shared" si="7"/>
        <v>12</v>
      </c>
      <c r="X46" s="1">
        <f t="shared" si="8"/>
        <v>10.879851205989672</v>
      </c>
      <c r="Y46" s="1">
        <v>21.015599999999999</v>
      </c>
      <c r="Z46" s="1">
        <v>17.166</v>
      </c>
      <c r="AA46" s="1">
        <v>13.372400000000001</v>
      </c>
      <c r="AB46" s="1">
        <v>16.836600000000001</v>
      </c>
      <c r="AC46" s="1">
        <v>15.747999999999999</v>
      </c>
      <c r="AD46" s="1">
        <v>14.630800000000001</v>
      </c>
      <c r="AE46" s="1">
        <v>17.389399999999998</v>
      </c>
      <c r="AF46" s="1">
        <v>14.558400000000001</v>
      </c>
      <c r="AG46" s="1"/>
      <c r="AH46" s="1">
        <f t="shared" si="11"/>
        <v>18.910799999999966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86</v>
      </c>
      <c r="B47" s="1" t="s">
        <v>37</v>
      </c>
      <c r="C47" s="1">
        <v>894.72799999999995</v>
      </c>
      <c r="D47" s="1">
        <v>411.39299999999997</v>
      </c>
      <c r="E47" s="1">
        <v>899.72400000000005</v>
      </c>
      <c r="F47" s="1">
        <v>318.36599999999999</v>
      </c>
      <c r="G47" s="12">
        <v>1</v>
      </c>
      <c r="H47" s="1">
        <v>50</v>
      </c>
      <c r="I47" s="1" t="s">
        <v>38</v>
      </c>
      <c r="J47" s="1"/>
      <c r="K47" s="1">
        <v>1065.527</v>
      </c>
      <c r="L47" s="1">
        <f t="shared" si="12"/>
        <v>-165.803</v>
      </c>
      <c r="M47" s="1">
        <f t="shared" si="4"/>
        <v>550.24600000000009</v>
      </c>
      <c r="N47" s="1">
        <v>349.47800000000001</v>
      </c>
      <c r="O47" s="1">
        <v>0</v>
      </c>
      <c r="P47" s="1">
        <v>675.3906999999997</v>
      </c>
      <c r="Q47" s="1">
        <v>154.43611000000001</v>
      </c>
      <c r="R47" s="1">
        <f t="shared" si="5"/>
        <v>110.04920000000001</v>
      </c>
      <c r="S47" s="5">
        <f t="shared" si="10"/>
        <v>172.39759000000026</v>
      </c>
      <c r="T47" s="5"/>
      <c r="U47" s="1"/>
      <c r="V47" s="1"/>
      <c r="W47" s="1">
        <f t="shared" si="7"/>
        <v>11.999999999999998</v>
      </c>
      <c r="X47" s="1">
        <f t="shared" si="8"/>
        <v>10.433449856973059</v>
      </c>
      <c r="Y47" s="1">
        <v>99.636199999999988</v>
      </c>
      <c r="Z47" s="1">
        <v>44.864999999999988</v>
      </c>
      <c r="AA47" s="1">
        <v>26.1844</v>
      </c>
      <c r="AB47" s="1">
        <v>110.61839999999999</v>
      </c>
      <c r="AC47" s="1">
        <v>105.82640000000001</v>
      </c>
      <c r="AD47" s="1">
        <v>53.627800000000001</v>
      </c>
      <c r="AE47" s="1">
        <v>76.497199999999992</v>
      </c>
      <c r="AF47" s="1">
        <v>104.42659999999999</v>
      </c>
      <c r="AG47" s="1"/>
      <c r="AH47" s="1">
        <f t="shared" si="11"/>
        <v>172.39759000000026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20" t="s">
        <v>87</v>
      </c>
      <c r="B48" s="20" t="s">
        <v>37</v>
      </c>
      <c r="C48" s="20"/>
      <c r="D48" s="20"/>
      <c r="E48" s="20"/>
      <c r="F48" s="20"/>
      <c r="G48" s="21">
        <v>0</v>
      </c>
      <c r="H48" s="20">
        <v>40</v>
      </c>
      <c r="I48" s="20" t="s">
        <v>38</v>
      </c>
      <c r="J48" s="20"/>
      <c r="K48" s="20"/>
      <c r="L48" s="20">
        <f t="shared" si="12"/>
        <v>0</v>
      </c>
      <c r="M48" s="20">
        <f t="shared" si="4"/>
        <v>0</v>
      </c>
      <c r="N48" s="20"/>
      <c r="O48" s="20">
        <v>0</v>
      </c>
      <c r="P48" s="20">
        <v>0</v>
      </c>
      <c r="Q48" s="20"/>
      <c r="R48" s="20">
        <f t="shared" si="5"/>
        <v>0</v>
      </c>
      <c r="S48" s="22"/>
      <c r="T48" s="22"/>
      <c r="U48" s="20"/>
      <c r="V48" s="20"/>
      <c r="W48" s="20" t="e">
        <f t="shared" si="7"/>
        <v>#DIV/0!</v>
      </c>
      <c r="X48" s="20" t="e">
        <f t="shared" si="8"/>
        <v>#DIV/0!</v>
      </c>
      <c r="Y48" s="20">
        <v>0</v>
      </c>
      <c r="Z48" s="20">
        <v>0</v>
      </c>
      <c r="AA48" s="20">
        <v>0</v>
      </c>
      <c r="AB48" s="20">
        <v>0</v>
      </c>
      <c r="AC48" s="20">
        <v>0</v>
      </c>
      <c r="AD48" s="20">
        <v>0</v>
      </c>
      <c r="AE48" s="20">
        <v>0</v>
      </c>
      <c r="AF48" s="20">
        <v>0</v>
      </c>
      <c r="AG48" s="20" t="s">
        <v>54</v>
      </c>
      <c r="AH48" s="20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88</v>
      </c>
      <c r="B49" s="1" t="s">
        <v>42</v>
      </c>
      <c r="C49" s="1">
        <v>236</v>
      </c>
      <c r="D49" s="1">
        <v>378</v>
      </c>
      <c r="E49" s="1">
        <v>234</v>
      </c>
      <c r="F49" s="1">
        <v>379</v>
      </c>
      <c r="G49" s="12">
        <v>0.45</v>
      </c>
      <c r="H49" s="1">
        <v>50</v>
      </c>
      <c r="I49" s="1" t="s">
        <v>38</v>
      </c>
      <c r="J49" s="1"/>
      <c r="K49" s="1">
        <v>276</v>
      </c>
      <c r="L49" s="1">
        <f t="shared" si="12"/>
        <v>-42</v>
      </c>
      <c r="M49" s="1">
        <f t="shared" si="4"/>
        <v>194</v>
      </c>
      <c r="N49" s="1">
        <v>40</v>
      </c>
      <c r="O49" s="1">
        <v>0</v>
      </c>
      <c r="P49" s="1">
        <v>0</v>
      </c>
      <c r="Q49" s="1">
        <v>54.87</v>
      </c>
      <c r="R49" s="1">
        <f t="shared" si="5"/>
        <v>38.799999999999997</v>
      </c>
      <c r="S49" s="5">
        <f t="shared" ref="S49:S66" si="13">12*R49-Q49-P49-F49</f>
        <v>31.729999999999961</v>
      </c>
      <c r="T49" s="5"/>
      <c r="U49" s="1"/>
      <c r="V49" s="1"/>
      <c r="W49" s="1">
        <f t="shared" si="7"/>
        <v>12</v>
      </c>
      <c r="X49" s="1">
        <f t="shared" si="8"/>
        <v>11.182216494845362</v>
      </c>
      <c r="Y49" s="1">
        <v>35.4</v>
      </c>
      <c r="Z49" s="1">
        <v>32.799999999999997</v>
      </c>
      <c r="AA49" s="1">
        <v>31.4</v>
      </c>
      <c r="AB49" s="1">
        <v>35</v>
      </c>
      <c r="AC49" s="1">
        <v>33.4</v>
      </c>
      <c r="AD49" s="1">
        <v>29.8</v>
      </c>
      <c r="AE49" s="1">
        <v>33</v>
      </c>
      <c r="AF49" s="1">
        <v>38.4</v>
      </c>
      <c r="AG49" s="1" t="s">
        <v>43</v>
      </c>
      <c r="AH49" s="1">
        <f t="shared" ref="AH49:AH66" si="14">G49*S49</f>
        <v>14.278499999999983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89</v>
      </c>
      <c r="B50" s="1" t="s">
        <v>42</v>
      </c>
      <c r="C50" s="1">
        <v>82</v>
      </c>
      <c r="D50" s="1">
        <v>63</v>
      </c>
      <c r="E50" s="1">
        <v>50</v>
      </c>
      <c r="F50" s="1">
        <v>95</v>
      </c>
      <c r="G50" s="12">
        <v>0.4</v>
      </c>
      <c r="H50" s="1">
        <v>40</v>
      </c>
      <c r="I50" s="1" t="s">
        <v>38</v>
      </c>
      <c r="J50" s="1"/>
      <c r="K50" s="1">
        <v>57</v>
      </c>
      <c r="L50" s="1">
        <f t="shared" si="12"/>
        <v>-7</v>
      </c>
      <c r="M50" s="1">
        <f t="shared" si="4"/>
        <v>50</v>
      </c>
      <c r="N50" s="1"/>
      <c r="O50" s="1">
        <v>0</v>
      </c>
      <c r="P50" s="1">
        <v>5.1999999999999886</v>
      </c>
      <c r="Q50" s="1"/>
      <c r="R50" s="1">
        <f t="shared" si="5"/>
        <v>10</v>
      </c>
      <c r="S50" s="5">
        <f t="shared" si="13"/>
        <v>19.800000000000011</v>
      </c>
      <c r="T50" s="5"/>
      <c r="U50" s="1"/>
      <c r="V50" s="1"/>
      <c r="W50" s="1">
        <f t="shared" si="7"/>
        <v>12</v>
      </c>
      <c r="X50" s="1">
        <f t="shared" si="8"/>
        <v>10.02</v>
      </c>
      <c r="Y50" s="1">
        <v>12.6</v>
      </c>
      <c r="Z50" s="1">
        <v>12.4</v>
      </c>
      <c r="AA50" s="1">
        <v>11</v>
      </c>
      <c r="AB50" s="1">
        <v>12.8</v>
      </c>
      <c r="AC50" s="1">
        <v>13</v>
      </c>
      <c r="AD50" s="1">
        <v>11.2</v>
      </c>
      <c r="AE50" s="1">
        <v>8.6</v>
      </c>
      <c r="AF50" s="1">
        <v>8.1999999999999993</v>
      </c>
      <c r="AG50" s="1"/>
      <c r="AH50" s="1">
        <f t="shared" si="14"/>
        <v>7.9200000000000053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90</v>
      </c>
      <c r="B51" s="1" t="s">
        <v>42</v>
      </c>
      <c r="C51" s="1">
        <v>87</v>
      </c>
      <c r="D51" s="1">
        <v>110</v>
      </c>
      <c r="E51" s="1">
        <v>79</v>
      </c>
      <c r="F51" s="1">
        <v>128</v>
      </c>
      <c r="G51" s="12">
        <v>0.4</v>
      </c>
      <c r="H51" s="1">
        <v>40</v>
      </c>
      <c r="I51" s="1" t="s">
        <v>38</v>
      </c>
      <c r="J51" s="1"/>
      <c r="K51" s="1">
        <v>86</v>
      </c>
      <c r="L51" s="1">
        <f t="shared" si="12"/>
        <v>-7</v>
      </c>
      <c r="M51" s="1">
        <f t="shared" si="4"/>
        <v>73</v>
      </c>
      <c r="N51" s="1">
        <v>6</v>
      </c>
      <c r="O51" s="1">
        <v>0</v>
      </c>
      <c r="P51" s="1">
        <v>6.2000000000000171</v>
      </c>
      <c r="Q51" s="1"/>
      <c r="R51" s="1">
        <f t="shared" si="5"/>
        <v>14.6</v>
      </c>
      <c r="S51" s="5">
        <f t="shared" si="13"/>
        <v>40.999999999999972</v>
      </c>
      <c r="T51" s="5"/>
      <c r="U51" s="1"/>
      <c r="V51" s="1"/>
      <c r="W51" s="1">
        <f t="shared" si="7"/>
        <v>12</v>
      </c>
      <c r="X51" s="1">
        <f t="shared" si="8"/>
        <v>9.1917808219178099</v>
      </c>
      <c r="Y51" s="1">
        <v>17</v>
      </c>
      <c r="Z51" s="1">
        <v>16.399999999999999</v>
      </c>
      <c r="AA51" s="1">
        <v>16.8</v>
      </c>
      <c r="AB51" s="1">
        <v>19</v>
      </c>
      <c r="AC51" s="1">
        <v>19</v>
      </c>
      <c r="AD51" s="1">
        <v>23.8</v>
      </c>
      <c r="AE51" s="1">
        <v>20.399999999999999</v>
      </c>
      <c r="AF51" s="1">
        <v>9.6</v>
      </c>
      <c r="AG51" s="1" t="s">
        <v>91</v>
      </c>
      <c r="AH51" s="1">
        <f t="shared" si="14"/>
        <v>16.399999999999988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92</v>
      </c>
      <c r="B52" s="1" t="s">
        <v>37</v>
      </c>
      <c r="C52" s="1">
        <v>209.697</v>
      </c>
      <c r="D52" s="1">
        <v>141.815</v>
      </c>
      <c r="E52" s="1">
        <v>213.06100000000001</v>
      </c>
      <c r="F52" s="1">
        <v>112.205</v>
      </c>
      <c r="G52" s="12">
        <v>1</v>
      </c>
      <c r="H52" s="1">
        <v>50</v>
      </c>
      <c r="I52" s="1" t="s">
        <v>38</v>
      </c>
      <c r="J52" s="1"/>
      <c r="K52" s="1">
        <v>227.14699999999999</v>
      </c>
      <c r="L52" s="1">
        <f t="shared" si="12"/>
        <v>-14.085999999999984</v>
      </c>
      <c r="M52" s="1">
        <f t="shared" si="4"/>
        <v>167.31400000000002</v>
      </c>
      <c r="N52" s="1">
        <v>45.747</v>
      </c>
      <c r="O52" s="1">
        <v>0</v>
      </c>
      <c r="P52" s="1">
        <v>5.9837999999999312</v>
      </c>
      <c r="Q52" s="1"/>
      <c r="R52" s="1">
        <f t="shared" si="5"/>
        <v>33.462800000000001</v>
      </c>
      <c r="S52" s="5">
        <f>11*R52-Q52-P52-F52</f>
        <v>249.9020000000001</v>
      </c>
      <c r="T52" s="5"/>
      <c r="U52" s="1"/>
      <c r="V52" s="1"/>
      <c r="W52" s="1">
        <f t="shared" si="7"/>
        <v>11.000000000000002</v>
      </c>
      <c r="X52" s="1">
        <f t="shared" si="8"/>
        <v>3.531945922038799</v>
      </c>
      <c r="Y52" s="1">
        <v>19.481000000000002</v>
      </c>
      <c r="Z52" s="1">
        <v>17.349799999999998</v>
      </c>
      <c r="AA52" s="1">
        <v>27.253599999999999</v>
      </c>
      <c r="AB52" s="1">
        <v>33.127000000000002</v>
      </c>
      <c r="AC52" s="1">
        <v>25.907599999999999</v>
      </c>
      <c r="AD52" s="1">
        <v>23.498799999999999</v>
      </c>
      <c r="AE52" s="1">
        <v>44.981200000000001</v>
      </c>
      <c r="AF52" s="1">
        <v>31.518799999999999</v>
      </c>
      <c r="AG52" s="1"/>
      <c r="AH52" s="1">
        <f t="shared" si="14"/>
        <v>249.9020000000001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93</v>
      </c>
      <c r="B53" s="1" t="s">
        <v>42</v>
      </c>
      <c r="C53" s="1">
        <v>68</v>
      </c>
      <c r="D53" s="1">
        <v>265</v>
      </c>
      <c r="E53" s="1">
        <v>105</v>
      </c>
      <c r="F53" s="1">
        <v>251</v>
      </c>
      <c r="G53" s="12">
        <v>0.1</v>
      </c>
      <c r="H53" s="1">
        <v>730</v>
      </c>
      <c r="I53" s="1" t="s">
        <v>38</v>
      </c>
      <c r="J53" s="1"/>
      <c r="K53" s="1">
        <v>105</v>
      </c>
      <c r="L53" s="1">
        <f t="shared" si="12"/>
        <v>0</v>
      </c>
      <c r="M53" s="1">
        <f t="shared" si="4"/>
        <v>105</v>
      </c>
      <c r="N53" s="1"/>
      <c r="O53" s="1">
        <v>0</v>
      </c>
      <c r="P53" s="1">
        <v>28.800000000000011</v>
      </c>
      <c r="Q53" s="1"/>
      <c r="R53" s="1">
        <f t="shared" si="5"/>
        <v>21</v>
      </c>
      <c r="S53" s="5"/>
      <c r="T53" s="5"/>
      <c r="U53" s="1"/>
      <c r="V53" s="1"/>
      <c r="W53" s="1">
        <f t="shared" si="7"/>
        <v>13.323809523809524</v>
      </c>
      <c r="X53" s="1">
        <f t="shared" si="8"/>
        <v>13.323809523809524</v>
      </c>
      <c r="Y53" s="1">
        <v>23.8</v>
      </c>
      <c r="Z53" s="1">
        <v>25</v>
      </c>
      <c r="AA53" s="1">
        <v>23</v>
      </c>
      <c r="AB53" s="1">
        <v>17.8</v>
      </c>
      <c r="AC53" s="1">
        <v>19.399999999999999</v>
      </c>
      <c r="AD53" s="1">
        <v>25.2</v>
      </c>
      <c r="AE53" s="1">
        <v>24</v>
      </c>
      <c r="AF53" s="1">
        <v>21.4</v>
      </c>
      <c r="AG53" s="1"/>
      <c r="AH53" s="1">
        <f t="shared" si="14"/>
        <v>0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94</v>
      </c>
      <c r="B54" s="1" t="s">
        <v>37</v>
      </c>
      <c r="C54" s="1">
        <v>433.46899999999999</v>
      </c>
      <c r="D54" s="1">
        <v>888.39099999999996</v>
      </c>
      <c r="E54" s="1">
        <v>544.78300000000002</v>
      </c>
      <c r="F54" s="1">
        <v>760.23900000000003</v>
      </c>
      <c r="G54" s="12">
        <v>1</v>
      </c>
      <c r="H54" s="1">
        <v>50</v>
      </c>
      <c r="I54" s="1" t="s">
        <v>38</v>
      </c>
      <c r="J54" s="1"/>
      <c r="K54" s="1">
        <v>585.94100000000003</v>
      </c>
      <c r="L54" s="1">
        <f t="shared" si="12"/>
        <v>-41.158000000000015</v>
      </c>
      <c r="M54" s="1">
        <f t="shared" si="4"/>
        <v>544.78300000000002</v>
      </c>
      <c r="N54" s="1"/>
      <c r="O54" s="1">
        <v>0</v>
      </c>
      <c r="P54" s="1">
        <v>532.54924799999958</v>
      </c>
      <c r="Q54" s="1">
        <v>177.91613000000001</v>
      </c>
      <c r="R54" s="1">
        <f t="shared" si="5"/>
        <v>108.95660000000001</v>
      </c>
      <c r="S54" s="5"/>
      <c r="T54" s="5"/>
      <c r="U54" s="1"/>
      <c r="V54" s="1"/>
      <c r="W54" s="1">
        <f t="shared" si="7"/>
        <v>13.498075178557329</v>
      </c>
      <c r="X54" s="1">
        <f t="shared" si="8"/>
        <v>13.498075178557329</v>
      </c>
      <c r="Y54" s="1">
        <v>114.7846</v>
      </c>
      <c r="Z54" s="1">
        <v>101.64019999999999</v>
      </c>
      <c r="AA54" s="1">
        <v>65.553399999999982</v>
      </c>
      <c r="AB54" s="1">
        <v>91.80019999999999</v>
      </c>
      <c r="AC54" s="1">
        <v>77.473200000000006</v>
      </c>
      <c r="AD54" s="1">
        <v>85.9816</v>
      </c>
      <c r="AE54" s="1">
        <v>88.577799999999996</v>
      </c>
      <c r="AF54" s="1">
        <v>77.871799999999993</v>
      </c>
      <c r="AG54" s="1"/>
      <c r="AH54" s="1">
        <f t="shared" si="14"/>
        <v>0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95</v>
      </c>
      <c r="B55" s="1" t="s">
        <v>37</v>
      </c>
      <c r="C55" s="1">
        <v>43.298000000000002</v>
      </c>
      <c r="D55" s="1">
        <v>67.613</v>
      </c>
      <c r="E55" s="1">
        <v>48.726999999999997</v>
      </c>
      <c r="F55" s="1">
        <v>49.95</v>
      </c>
      <c r="G55" s="12">
        <v>1</v>
      </c>
      <c r="H55" s="1">
        <v>50</v>
      </c>
      <c r="I55" s="1" t="s">
        <v>38</v>
      </c>
      <c r="J55" s="1"/>
      <c r="K55" s="1">
        <v>68.486999999999995</v>
      </c>
      <c r="L55" s="1">
        <f t="shared" si="12"/>
        <v>-19.759999999999998</v>
      </c>
      <c r="M55" s="1">
        <f t="shared" si="4"/>
        <v>35.14</v>
      </c>
      <c r="N55" s="1">
        <v>13.587</v>
      </c>
      <c r="O55" s="1">
        <v>0</v>
      </c>
      <c r="P55" s="1">
        <v>30.872600000000009</v>
      </c>
      <c r="Q55" s="1"/>
      <c r="R55" s="1">
        <f t="shared" si="5"/>
        <v>7.0280000000000005</v>
      </c>
      <c r="S55" s="5">
        <f t="shared" si="13"/>
        <v>3.5134000000000043</v>
      </c>
      <c r="T55" s="5"/>
      <c r="U55" s="1"/>
      <c r="V55" s="1"/>
      <c r="W55" s="1">
        <f t="shared" si="7"/>
        <v>12.000000000000002</v>
      </c>
      <c r="X55" s="1">
        <f t="shared" si="8"/>
        <v>11.500085372794537</v>
      </c>
      <c r="Y55" s="1">
        <v>7.0244</v>
      </c>
      <c r="Z55" s="1">
        <v>6.4551999999999996</v>
      </c>
      <c r="AA55" s="1">
        <v>7.2674000000000003</v>
      </c>
      <c r="AB55" s="1">
        <v>5.3938000000000006</v>
      </c>
      <c r="AC55" s="1">
        <v>4.0502000000000002</v>
      </c>
      <c r="AD55" s="1">
        <v>6.4906000000000006</v>
      </c>
      <c r="AE55" s="1">
        <v>6.5042</v>
      </c>
      <c r="AF55" s="1">
        <v>2.1112000000000002</v>
      </c>
      <c r="AG55" s="1" t="s">
        <v>96</v>
      </c>
      <c r="AH55" s="1">
        <f t="shared" si="14"/>
        <v>3.5134000000000043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97</v>
      </c>
      <c r="B56" s="1" t="s">
        <v>42</v>
      </c>
      <c r="C56" s="1">
        <v>129</v>
      </c>
      <c r="D56" s="1">
        <v>267</v>
      </c>
      <c r="E56" s="1">
        <v>110</v>
      </c>
      <c r="F56" s="1">
        <v>219</v>
      </c>
      <c r="G56" s="12">
        <v>0.1</v>
      </c>
      <c r="H56" s="1">
        <v>730</v>
      </c>
      <c r="I56" s="1" t="s">
        <v>38</v>
      </c>
      <c r="J56" s="1"/>
      <c r="K56" s="1">
        <v>110</v>
      </c>
      <c r="L56" s="1">
        <f t="shared" si="12"/>
        <v>0</v>
      </c>
      <c r="M56" s="1">
        <f t="shared" si="4"/>
        <v>110</v>
      </c>
      <c r="N56" s="1"/>
      <c r="O56" s="1">
        <v>0</v>
      </c>
      <c r="P56" s="1">
        <v>0</v>
      </c>
      <c r="Q56" s="1"/>
      <c r="R56" s="1">
        <f t="shared" si="5"/>
        <v>22</v>
      </c>
      <c r="S56" s="5">
        <f t="shared" si="13"/>
        <v>45</v>
      </c>
      <c r="T56" s="5"/>
      <c r="U56" s="1"/>
      <c r="V56" s="1"/>
      <c r="W56" s="1">
        <f t="shared" si="7"/>
        <v>12</v>
      </c>
      <c r="X56" s="1">
        <f t="shared" si="8"/>
        <v>9.954545454545455</v>
      </c>
      <c r="Y56" s="1">
        <v>23.6</v>
      </c>
      <c r="Z56" s="1">
        <v>26.2</v>
      </c>
      <c r="AA56" s="1">
        <v>27.6</v>
      </c>
      <c r="AB56" s="1">
        <v>22.6</v>
      </c>
      <c r="AC56" s="1">
        <v>22.2</v>
      </c>
      <c r="AD56" s="1">
        <v>23.6</v>
      </c>
      <c r="AE56" s="1">
        <v>22.6</v>
      </c>
      <c r="AF56" s="1">
        <v>24.8</v>
      </c>
      <c r="AG56" s="1"/>
      <c r="AH56" s="1">
        <f t="shared" si="14"/>
        <v>4.5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98</v>
      </c>
      <c r="B57" s="1" t="s">
        <v>42</v>
      </c>
      <c r="C57" s="1">
        <v>267</v>
      </c>
      <c r="D57" s="1">
        <v>50</v>
      </c>
      <c r="E57" s="1">
        <v>129</v>
      </c>
      <c r="F57" s="1">
        <v>181</v>
      </c>
      <c r="G57" s="12">
        <v>0.4</v>
      </c>
      <c r="H57" s="1">
        <v>50</v>
      </c>
      <c r="I57" s="1" t="s">
        <v>38</v>
      </c>
      <c r="J57" s="1"/>
      <c r="K57" s="1">
        <v>170</v>
      </c>
      <c r="L57" s="1">
        <f t="shared" si="12"/>
        <v>-41</v>
      </c>
      <c r="M57" s="1">
        <f t="shared" si="4"/>
        <v>119</v>
      </c>
      <c r="N57" s="1">
        <v>10</v>
      </c>
      <c r="O57" s="1">
        <v>0</v>
      </c>
      <c r="P57" s="1">
        <v>6.4000000000000341</v>
      </c>
      <c r="Q57" s="1"/>
      <c r="R57" s="1">
        <f t="shared" si="5"/>
        <v>23.8</v>
      </c>
      <c r="S57" s="5">
        <f t="shared" si="13"/>
        <v>98.199999999999989</v>
      </c>
      <c r="T57" s="5"/>
      <c r="U57" s="1"/>
      <c r="V57" s="1"/>
      <c r="W57" s="1">
        <f t="shared" si="7"/>
        <v>12</v>
      </c>
      <c r="X57" s="1">
        <f t="shared" si="8"/>
        <v>7.8739495798319341</v>
      </c>
      <c r="Y57" s="1">
        <v>22</v>
      </c>
      <c r="Z57" s="1">
        <v>25.4</v>
      </c>
      <c r="AA57" s="1">
        <v>27.4</v>
      </c>
      <c r="AB57" s="1">
        <v>33.6</v>
      </c>
      <c r="AC57" s="1">
        <v>26</v>
      </c>
      <c r="AD57" s="1">
        <v>33.799999999999997</v>
      </c>
      <c r="AE57" s="1">
        <v>30</v>
      </c>
      <c r="AF57" s="1">
        <v>18.8</v>
      </c>
      <c r="AG57" s="1"/>
      <c r="AH57" s="1">
        <f t="shared" si="14"/>
        <v>39.28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99</v>
      </c>
      <c r="B58" s="1" t="s">
        <v>37</v>
      </c>
      <c r="C58" s="1">
        <v>34.746000000000002</v>
      </c>
      <c r="D58" s="1">
        <v>65.287999999999997</v>
      </c>
      <c r="E58" s="1">
        <v>39.896999999999998</v>
      </c>
      <c r="F58" s="1">
        <v>62.643999999999998</v>
      </c>
      <c r="G58" s="12">
        <v>1</v>
      </c>
      <c r="H58" s="1">
        <v>40</v>
      </c>
      <c r="I58" s="1" t="s">
        <v>38</v>
      </c>
      <c r="J58" s="1"/>
      <c r="K58" s="1">
        <v>35.6</v>
      </c>
      <c r="L58" s="1">
        <f t="shared" si="12"/>
        <v>4.296999999999997</v>
      </c>
      <c r="M58" s="1">
        <f t="shared" si="4"/>
        <v>39.896999999999998</v>
      </c>
      <c r="N58" s="1"/>
      <c r="O58" s="1">
        <v>0</v>
      </c>
      <c r="P58" s="1">
        <v>0</v>
      </c>
      <c r="Q58" s="1"/>
      <c r="R58" s="1">
        <f t="shared" si="5"/>
        <v>7.9794</v>
      </c>
      <c r="S58" s="5">
        <f t="shared" si="13"/>
        <v>33.108800000000009</v>
      </c>
      <c r="T58" s="5"/>
      <c r="U58" s="1"/>
      <c r="V58" s="1"/>
      <c r="W58" s="1">
        <f t="shared" si="7"/>
        <v>12.000000000000002</v>
      </c>
      <c r="X58" s="1">
        <f t="shared" si="8"/>
        <v>7.8507155926510759</v>
      </c>
      <c r="Y58" s="1">
        <v>6.9054000000000002</v>
      </c>
      <c r="Z58" s="1">
        <v>6.2113999999999994</v>
      </c>
      <c r="AA58" s="1">
        <v>4.8975999999999997</v>
      </c>
      <c r="AB58" s="1">
        <v>6.1856000000000009</v>
      </c>
      <c r="AC58" s="1">
        <v>10.2956</v>
      </c>
      <c r="AD58" s="1">
        <v>1.349</v>
      </c>
      <c r="AE58" s="1">
        <v>6.6890000000000001</v>
      </c>
      <c r="AF58" s="1">
        <v>6.6890000000000001</v>
      </c>
      <c r="AG58" s="1" t="s">
        <v>75</v>
      </c>
      <c r="AH58" s="1">
        <f t="shared" si="14"/>
        <v>33.108800000000009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100</v>
      </c>
      <c r="B59" s="1" t="s">
        <v>37</v>
      </c>
      <c r="C59" s="1">
        <v>9.6839999999999993</v>
      </c>
      <c r="D59" s="1">
        <v>72.813999999999993</v>
      </c>
      <c r="E59" s="1">
        <v>9.6010000000000009</v>
      </c>
      <c r="F59" s="1">
        <v>75.602999999999994</v>
      </c>
      <c r="G59" s="12">
        <v>1</v>
      </c>
      <c r="H59" s="1">
        <v>40</v>
      </c>
      <c r="I59" s="1" t="s">
        <v>38</v>
      </c>
      <c r="J59" s="1"/>
      <c r="K59" s="1">
        <v>21.7</v>
      </c>
      <c r="L59" s="1">
        <f t="shared" si="12"/>
        <v>-12.098999999999998</v>
      </c>
      <c r="M59" s="1">
        <f t="shared" si="4"/>
        <v>9.6010000000000009</v>
      </c>
      <c r="N59" s="1"/>
      <c r="O59" s="1">
        <v>0</v>
      </c>
      <c r="P59" s="1">
        <v>0</v>
      </c>
      <c r="Q59" s="1"/>
      <c r="R59" s="1">
        <f t="shared" si="5"/>
        <v>1.9202000000000001</v>
      </c>
      <c r="S59" s="5"/>
      <c r="T59" s="5"/>
      <c r="U59" s="1"/>
      <c r="V59" s="1"/>
      <c r="W59" s="1">
        <f t="shared" si="7"/>
        <v>39.372461201958124</v>
      </c>
      <c r="X59" s="1">
        <f t="shared" si="8"/>
        <v>39.372461201958124</v>
      </c>
      <c r="Y59" s="1">
        <v>4.9551999999999996</v>
      </c>
      <c r="Z59" s="1">
        <v>5.2279999999999998</v>
      </c>
      <c r="AA59" s="1">
        <v>3.0215999999999998</v>
      </c>
      <c r="AB59" s="1">
        <v>1.9358</v>
      </c>
      <c r="AC59" s="1">
        <v>1.9308000000000001</v>
      </c>
      <c r="AD59" s="1">
        <v>1.0986</v>
      </c>
      <c r="AE59" s="1">
        <v>5.2514000000000003</v>
      </c>
      <c r="AF59" s="1">
        <v>4.9763999999999999</v>
      </c>
      <c r="AG59" s="24" t="s">
        <v>118</v>
      </c>
      <c r="AH59" s="1">
        <f t="shared" si="14"/>
        <v>0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101</v>
      </c>
      <c r="B60" s="1" t="s">
        <v>42</v>
      </c>
      <c r="C60" s="1">
        <v>309</v>
      </c>
      <c r="D60" s="1">
        <v>1368</v>
      </c>
      <c r="E60" s="1">
        <v>705</v>
      </c>
      <c r="F60" s="1">
        <v>876</v>
      </c>
      <c r="G60" s="12">
        <v>0.4</v>
      </c>
      <c r="H60" s="1">
        <v>40</v>
      </c>
      <c r="I60" s="1" t="s">
        <v>38</v>
      </c>
      <c r="J60" s="1"/>
      <c r="K60" s="1">
        <v>884</v>
      </c>
      <c r="L60" s="1">
        <f t="shared" si="12"/>
        <v>-179</v>
      </c>
      <c r="M60" s="1">
        <f t="shared" si="4"/>
        <v>705</v>
      </c>
      <c r="N60" s="1"/>
      <c r="O60" s="1">
        <v>0</v>
      </c>
      <c r="P60" s="1">
        <v>381.40000000000049</v>
      </c>
      <c r="Q60" s="1"/>
      <c r="R60" s="1">
        <f t="shared" si="5"/>
        <v>141</v>
      </c>
      <c r="S60" s="5">
        <f t="shared" si="13"/>
        <v>434.59999999999945</v>
      </c>
      <c r="T60" s="5"/>
      <c r="U60" s="1"/>
      <c r="V60" s="1"/>
      <c r="W60" s="1">
        <f t="shared" si="7"/>
        <v>12</v>
      </c>
      <c r="X60" s="1">
        <f t="shared" si="8"/>
        <v>8.9177304964539044</v>
      </c>
      <c r="Y60" s="1">
        <v>149.19999999999999</v>
      </c>
      <c r="Z60" s="1">
        <v>132.6</v>
      </c>
      <c r="AA60" s="1">
        <v>109.2</v>
      </c>
      <c r="AB60" s="1">
        <v>108.4</v>
      </c>
      <c r="AC60" s="1">
        <v>128.19999999999999</v>
      </c>
      <c r="AD60" s="1">
        <v>117.8</v>
      </c>
      <c r="AE60" s="1">
        <v>125.6</v>
      </c>
      <c r="AF60" s="1">
        <v>123</v>
      </c>
      <c r="AG60" s="1"/>
      <c r="AH60" s="1">
        <f t="shared" si="14"/>
        <v>173.8399999999998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102</v>
      </c>
      <c r="B61" s="1" t="s">
        <v>42</v>
      </c>
      <c r="C61" s="1">
        <v>327</v>
      </c>
      <c r="D61" s="1">
        <v>919</v>
      </c>
      <c r="E61" s="1">
        <v>582</v>
      </c>
      <c r="F61" s="1">
        <v>509</v>
      </c>
      <c r="G61" s="12">
        <v>0.4</v>
      </c>
      <c r="H61" s="1">
        <v>40</v>
      </c>
      <c r="I61" s="1" t="s">
        <v>38</v>
      </c>
      <c r="J61" s="1"/>
      <c r="K61" s="1">
        <v>640</v>
      </c>
      <c r="L61" s="1">
        <f t="shared" si="12"/>
        <v>-58</v>
      </c>
      <c r="M61" s="1">
        <f t="shared" si="4"/>
        <v>522</v>
      </c>
      <c r="N61" s="1">
        <v>60</v>
      </c>
      <c r="O61" s="1">
        <v>0</v>
      </c>
      <c r="P61" s="1">
        <v>356.40000000000009</v>
      </c>
      <c r="Q61" s="1"/>
      <c r="R61" s="1">
        <f t="shared" si="5"/>
        <v>104.4</v>
      </c>
      <c r="S61" s="5">
        <f t="shared" si="13"/>
        <v>387.40000000000009</v>
      </c>
      <c r="T61" s="5"/>
      <c r="U61" s="1"/>
      <c r="V61" s="1"/>
      <c r="W61" s="1">
        <f t="shared" si="7"/>
        <v>12.000000000000002</v>
      </c>
      <c r="X61" s="1">
        <f t="shared" si="8"/>
        <v>8.2892720306513414</v>
      </c>
      <c r="Y61" s="1">
        <v>112</v>
      </c>
      <c r="Z61" s="1">
        <v>91.2</v>
      </c>
      <c r="AA61" s="1">
        <v>82</v>
      </c>
      <c r="AB61" s="1">
        <v>82.2</v>
      </c>
      <c r="AC61" s="1">
        <v>90</v>
      </c>
      <c r="AD61" s="1">
        <v>89</v>
      </c>
      <c r="AE61" s="1">
        <v>104.6</v>
      </c>
      <c r="AF61" s="1">
        <v>96.2</v>
      </c>
      <c r="AG61" s="1"/>
      <c r="AH61" s="1">
        <f t="shared" si="14"/>
        <v>154.96000000000004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103</v>
      </c>
      <c r="B62" s="1" t="s">
        <v>37</v>
      </c>
      <c r="C62" s="1">
        <v>367.21300000000002</v>
      </c>
      <c r="D62" s="1">
        <v>1457.788</v>
      </c>
      <c r="E62" s="1">
        <v>835.178</v>
      </c>
      <c r="F62" s="1">
        <v>965.53300000000002</v>
      </c>
      <c r="G62" s="12">
        <v>1</v>
      </c>
      <c r="H62" s="1">
        <v>40</v>
      </c>
      <c r="I62" s="1" t="s">
        <v>38</v>
      </c>
      <c r="J62" s="1"/>
      <c r="K62" s="1">
        <v>1011.686</v>
      </c>
      <c r="L62" s="1">
        <f t="shared" si="12"/>
        <v>-176.50800000000004</v>
      </c>
      <c r="M62" s="1">
        <f t="shared" si="4"/>
        <v>770.28300000000002</v>
      </c>
      <c r="N62" s="1">
        <v>64.894999999999996</v>
      </c>
      <c r="O62" s="1">
        <v>0</v>
      </c>
      <c r="P62" s="1">
        <v>240.08920000000029</v>
      </c>
      <c r="Q62" s="1"/>
      <c r="R62" s="1">
        <f t="shared" si="5"/>
        <v>154.0566</v>
      </c>
      <c r="S62" s="5">
        <f t="shared" si="13"/>
        <v>643.05699999999968</v>
      </c>
      <c r="T62" s="5"/>
      <c r="U62" s="1"/>
      <c r="V62" s="1"/>
      <c r="W62" s="1">
        <f t="shared" si="7"/>
        <v>12</v>
      </c>
      <c r="X62" s="1">
        <f t="shared" si="8"/>
        <v>7.8258393343745105</v>
      </c>
      <c r="Y62" s="1">
        <v>143.7722</v>
      </c>
      <c r="Z62" s="1">
        <v>147.16999999999999</v>
      </c>
      <c r="AA62" s="1">
        <v>132.55840000000001</v>
      </c>
      <c r="AB62" s="1">
        <v>118.876</v>
      </c>
      <c r="AC62" s="1">
        <v>86.885599999999997</v>
      </c>
      <c r="AD62" s="1">
        <v>134.798</v>
      </c>
      <c r="AE62" s="1">
        <v>142.23079999999999</v>
      </c>
      <c r="AF62" s="1">
        <v>134.5926</v>
      </c>
      <c r="AG62" s="1"/>
      <c r="AH62" s="1">
        <f t="shared" si="14"/>
        <v>643.05699999999968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104</v>
      </c>
      <c r="B63" s="1" t="s">
        <v>37</v>
      </c>
      <c r="C63" s="1">
        <v>27.145</v>
      </c>
      <c r="D63" s="1">
        <v>458.68700000000001</v>
      </c>
      <c r="E63" s="1">
        <v>98.754000000000005</v>
      </c>
      <c r="F63" s="1">
        <v>383.46800000000002</v>
      </c>
      <c r="G63" s="12">
        <v>1</v>
      </c>
      <c r="H63" s="1">
        <v>40</v>
      </c>
      <c r="I63" s="1" t="s">
        <v>38</v>
      </c>
      <c r="J63" s="1"/>
      <c r="K63" s="1">
        <v>209.6</v>
      </c>
      <c r="L63" s="1">
        <f t="shared" si="12"/>
        <v>-110.84599999999999</v>
      </c>
      <c r="M63" s="1">
        <f t="shared" si="4"/>
        <v>55.416000000000004</v>
      </c>
      <c r="N63" s="1">
        <v>43.338000000000001</v>
      </c>
      <c r="O63" s="1">
        <v>0</v>
      </c>
      <c r="P63" s="1">
        <v>0</v>
      </c>
      <c r="Q63" s="1"/>
      <c r="R63" s="1">
        <f t="shared" si="5"/>
        <v>11.083200000000001</v>
      </c>
      <c r="S63" s="5"/>
      <c r="T63" s="5"/>
      <c r="U63" s="1"/>
      <c r="V63" s="1"/>
      <c r="W63" s="1">
        <f t="shared" si="7"/>
        <v>34.599032770319042</v>
      </c>
      <c r="X63" s="1">
        <f t="shared" si="8"/>
        <v>34.599032770319042</v>
      </c>
      <c r="Y63" s="1">
        <v>20.750800000000002</v>
      </c>
      <c r="Z63" s="1">
        <v>39.793799999999997</v>
      </c>
      <c r="AA63" s="1">
        <v>35.145799999999987</v>
      </c>
      <c r="AB63" s="1">
        <v>28.92</v>
      </c>
      <c r="AC63" s="1">
        <v>35.021999999999998</v>
      </c>
      <c r="AD63" s="1">
        <v>38.9268</v>
      </c>
      <c r="AE63" s="1">
        <v>41.825000000000003</v>
      </c>
      <c r="AF63" s="1">
        <v>31.602799999999998</v>
      </c>
      <c r="AG63" s="24" t="s">
        <v>118</v>
      </c>
      <c r="AH63" s="1">
        <f t="shared" si="14"/>
        <v>0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105</v>
      </c>
      <c r="B64" s="1" t="s">
        <v>37</v>
      </c>
      <c r="C64" s="1">
        <v>258.82400000000001</v>
      </c>
      <c r="D64" s="1">
        <v>325.22800000000001</v>
      </c>
      <c r="E64" s="1">
        <v>318.88299999999998</v>
      </c>
      <c r="F64" s="1">
        <v>93.518000000000001</v>
      </c>
      <c r="G64" s="12">
        <v>1</v>
      </c>
      <c r="H64" s="1">
        <v>40</v>
      </c>
      <c r="I64" s="1" t="s">
        <v>38</v>
      </c>
      <c r="J64" s="1"/>
      <c r="K64" s="1">
        <v>567.18700000000001</v>
      </c>
      <c r="L64" s="1">
        <f t="shared" si="12"/>
        <v>-248.30400000000003</v>
      </c>
      <c r="M64" s="1">
        <f t="shared" si="4"/>
        <v>151.79599999999999</v>
      </c>
      <c r="N64" s="1">
        <v>167.08699999999999</v>
      </c>
      <c r="O64" s="1">
        <v>0</v>
      </c>
      <c r="P64" s="1">
        <v>135.34560000000019</v>
      </c>
      <c r="Q64" s="1"/>
      <c r="R64" s="1">
        <f t="shared" si="5"/>
        <v>30.359199999999998</v>
      </c>
      <c r="S64" s="5">
        <f t="shared" si="13"/>
        <v>135.44679999999977</v>
      </c>
      <c r="T64" s="5"/>
      <c r="U64" s="1"/>
      <c r="V64" s="1"/>
      <c r="W64" s="1">
        <f t="shared" si="7"/>
        <v>12</v>
      </c>
      <c r="X64" s="1">
        <f t="shared" si="8"/>
        <v>7.5385253893383295</v>
      </c>
      <c r="Y64" s="1">
        <v>25.82180000000001</v>
      </c>
      <c r="Z64" s="1">
        <v>32.968800000000002</v>
      </c>
      <c r="AA64" s="1">
        <v>35.78860000000001</v>
      </c>
      <c r="AB64" s="1">
        <v>48.407200000000003</v>
      </c>
      <c r="AC64" s="1">
        <v>42.871199999999988</v>
      </c>
      <c r="AD64" s="1">
        <v>60.671799999999998</v>
      </c>
      <c r="AE64" s="1">
        <v>72.136400000000009</v>
      </c>
      <c r="AF64" s="1">
        <v>81.566000000000003</v>
      </c>
      <c r="AG64" s="1"/>
      <c r="AH64" s="1">
        <f t="shared" si="14"/>
        <v>135.44679999999977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106</v>
      </c>
      <c r="B65" s="1" t="s">
        <v>37</v>
      </c>
      <c r="C65" s="1">
        <v>64.984999999999999</v>
      </c>
      <c r="D65" s="1">
        <v>69.802000000000007</v>
      </c>
      <c r="E65" s="1">
        <v>74.275000000000006</v>
      </c>
      <c r="F65" s="1">
        <v>71.680999999999997</v>
      </c>
      <c r="G65" s="12">
        <v>1</v>
      </c>
      <c r="H65" s="1">
        <v>30</v>
      </c>
      <c r="I65" s="1" t="s">
        <v>38</v>
      </c>
      <c r="J65" s="1"/>
      <c r="K65" s="1">
        <v>84.775999999999996</v>
      </c>
      <c r="L65" s="1">
        <f t="shared" si="12"/>
        <v>-10.500999999999991</v>
      </c>
      <c r="M65" s="1">
        <f t="shared" si="4"/>
        <v>74.275000000000006</v>
      </c>
      <c r="N65" s="1"/>
      <c r="O65" s="1">
        <v>0</v>
      </c>
      <c r="P65" s="1">
        <v>69.231800000000007</v>
      </c>
      <c r="Q65" s="1"/>
      <c r="R65" s="1">
        <f t="shared" si="5"/>
        <v>14.855</v>
      </c>
      <c r="S65" s="5">
        <f t="shared" si="13"/>
        <v>37.347199999999987</v>
      </c>
      <c r="T65" s="5"/>
      <c r="U65" s="1"/>
      <c r="V65" s="1"/>
      <c r="W65" s="1">
        <f t="shared" si="7"/>
        <v>11.999999999999998</v>
      </c>
      <c r="X65" s="1">
        <f t="shared" si="8"/>
        <v>9.4858835408953208</v>
      </c>
      <c r="Y65" s="1">
        <v>16.055199999999999</v>
      </c>
      <c r="Z65" s="1">
        <v>11.606999999999999</v>
      </c>
      <c r="AA65" s="1">
        <v>9.7897999999999996</v>
      </c>
      <c r="AB65" s="1">
        <v>10.714600000000001</v>
      </c>
      <c r="AC65" s="1">
        <v>10.331799999999999</v>
      </c>
      <c r="AD65" s="1">
        <v>9.1194000000000006</v>
      </c>
      <c r="AE65" s="1">
        <v>10.2104</v>
      </c>
      <c r="AF65" s="1">
        <v>11.2958</v>
      </c>
      <c r="AG65" s="1"/>
      <c r="AH65" s="1">
        <f t="shared" si="14"/>
        <v>37.347199999999987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107</v>
      </c>
      <c r="B66" s="1" t="s">
        <v>42</v>
      </c>
      <c r="C66" s="1">
        <v>145</v>
      </c>
      <c r="D66" s="1">
        <v>242</v>
      </c>
      <c r="E66" s="1">
        <v>169</v>
      </c>
      <c r="F66" s="1">
        <v>179</v>
      </c>
      <c r="G66" s="12">
        <v>0.6</v>
      </c>
      <c r="H66" s="1">
        <v>60</v>
      </c>
      <c r="I66" s="15" t="s">
        <v>108</v>
      </c>
      <c r="J66" s="1"/>
      <c r="K66" s="1">
        <v>235</v>
      </c>
      <c r="L66" s="1">
        <f t="shared" si="12"/>
        <v>-66</v>
      </c>
      <c r="M66" s="1">
        <f t="shared" si="4"/>
        <v>169</v>
      </c>
      <c r="N66" s="1"/>
      <c r="O66" s="1">
        <v>0</v>
      </c>
      <c r="P66" s="1">
        <v>100</v>
      </c>
      <c r="Q66" s="1"/>
      <c r="R66" s="1">
        <f t="shared" si="5"/>
        <v>33.799999999999997</v>
      </c>
      <c r="S66" s="5">
        <f t="shared" si="13"/>
        <v>126.59999999999997</v>
      </c>
      <c r="T66" s="5"/>
      <c r="U66" s="1"/>
      <c r="V66" s="1"/>
      <c r="W66" s="1">
        <f t="shared" si="7"/>
        <v>12</v>
      </c>
      <c r="X66" s="1">
        <f t="shared" si="8"/>
        <v>8.2544378698224854</v>
      </c>
      <c r="Y66" s="1">
        <v>18.2</v>
      </c>
      <c r="Z66" s="1">
        <v>16.2</v>
      </c>
      <c r="AA66" s="1">
        <v>15.6</v>
      </c>
      <c r="AB66" s="1">
        <v>19.399999999999999</v>
      </c>
      <c r="AC66" s="1">
        <v>21.4</v>
      </c>
      <c r="AD66" s="1">
        <v>21.4</v>
      </c>
      <c r="AE66" s="1">
        <v>14.4</v>
      </c>
      <c r="AF66" s="1">
        <v>15.4</v>
      </c>
      <c r="AG66" s="1" t="s">
        <v>43</v>
      </c>
      <c r="AH66" s="1">
        <f t="shared" si="14"/>
        <v>75.95999999999998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20" t="s">
        <v>109</v>
      </c>
      <c r="B67" s="20" t="s">
        <v>42</v>
      </c>
      <c r="C67" s="20"/>
      <c r="D67" s="20"/>
      <c r="E67" s="20"/>
      <c r="F67" s="20"/>
      <c r="G67" s="21">
        <v>0</v>
      </c>
      <c r="H67" s="20">
        <v>50</v>
      </c>
      <c r="I67" s="20" t="s">
        <v>38</v>
      </c>
      <c r="J67" s="20"/>
      <c r="K67" s="20"/>
      <c r="L67" s="20">
        <f t="shared" si="12"/>
        <v>0</v>
      </c>
      <c r="M67" s="20">
        <f t="shared" si="4"/>
        <v>0</v>
      </c>
      <c r="N67" s="20"/>
      <c r="O67" s="20">
        <v>0</v>
      </c>
      <c r="P67" s="20">
        <v>0</v>
      </c>
      <c r="Q67" s="20"/>
      <c r="R67" s="20">
        <f t="shared" si="5"/>
        <v>0</v>
      </c>
      <c r="S67" s="22"/>
      <c r="T67" s="22"/>
      <c r="U67" s="20"/>
      <c r="V67" s="20"/>
      <c r="W67" s="20" t="e">
        <f t="shared" si="7"/>
        <v>#DIV/0!</v>
      </c>
      <c r="X67" s="20" t="e">
        <f t="shared" si="8"/>
        <v>#DIV/0!</v>
      </c>
      <c r="Y67" s="20">
        <v>0</v>
      </c>
      <c r="Z67" s="20">
        <v>0</v>
      </c>
      <c r="AA67" s="20">
        <v>0</v>
      </c>
      <c r="AB67" s="20">
        <v>0</v>
      </c>
      <c r="AC67" s="20">
        <v>0</v>
      </c>
      <c r="AD67" s="20">
        <v>0</v>
      </c>
      <c r="AE67" s="20">
        <v>0</v>
      </c>
      <c r="AF67" s="20">
        <v>0</v>
      </c>
      <c r="AG67" s="20" t="s">
        <v>54</v>
      </c>
      <c r="AH67" s="20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20" t="s">
        <v>110</v>
      </c>
      <c r="B68" s="20" t="s">
        <v>42</v>
      </c>
      <c r="C68" s="20"/>
      <c r="D68" s="20"/>
      <c r="E68" s="20"/>
      <c r="F68" s="20"/>
      <c r="G68" s="21">
        <v>0</v>
      </c>
      <c r="H68" s="20">
        <v>30</v>
      </c>
      <c r="I68" s="20" t="s">
        <v>38</v>
      </c>
      <c r="J68" s="20"/>
      <c r="K68" s="20"/>
      <c r="L68" s="20">
        <f t="shared" si="12"/>
        <v>0</v>
      </c>
      <c r="M68" s="20">
        <f t="shared" si="4"/>
        <v>0</v>
      </c>
      <c r="N68" s="20"/>
      <c r="O68" s="20">
        <v>0</v>
      </c>
      <c r="P68" s="20">
        <v>0</v>
      </c>
      <c r="Q68" s="20"/>
      <c r="R68" s="20">
        <f t="shared" si="5"/>
        <v>0</v>
      </c>
      <c r="S68" s="22"/>
      <c r="T68" s="22"/>
      <c r="U68" s="20"/>
      <c r="V68" s="20"/>
      <c r="W68" s="20" t="e">
        <f t="shared" si="7"/>
        <v>#DIV/0!</v>
      </c>
      <c r="X68" s="20" t="e">
        <f t="shared" si="8"/>
        <v>#DIV/0!</v>
      </c>
      <c r="Y68" s="20">
        <v>0</v>
      </c>
      <c r="Z68" s="20">
        <v>0</v>
      </c>
      <c r="AA68" s="20">
        <v>0</v>
      </c>
      <c r="AB68" s="20">
        <v>0</v>
      </c>
      <c r="AC68" s="20">
        <v>0</v>
      </c>
      <c r="AD68" s="20">
        <v>0</v>
      </c>
      <c r="AE68" s="20">
        <v>0</v>
      </c>
      <c r="AF68" s="20">
        <v>0</v>
      </c>
      <c r="AG68" s="20" t="s">
        <v>54</v>
      </c>
      <c r="AH68" s="20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111</v>
      </c>
      <c r="B69" s="1" t="s">
        <v>42</v>
      </c>
      <c r="C69" s="1">
        <v>71</v>
      </c>
      <c r="D69" s="1">
        <v>218</v>
      </c>
      <c r="E69" s="1">
        <v>155</v>
      </c>
      <c r="F69" s="1">
        <v>127</v>
      </c>
      <c r="G69" s="12">
        <v>0.6</v>
      </c>
      <c r="H69" s="1">
        <v>55</v>
      </c>
      <c r="I69" s="15" t="s">
        <v>108</v>
      </c>
      <c r="J69" s="1"/>
      <c r="K69" s="1">
        <v>157.4</v>
      </c>
      <c r="L69" s="1">
        <f t="shared" si="12"/>
        <v>-2.4000000000000057</v>
      </c>
      <c r="M69" s="1">
        <f t="shared" si="4"/>
        <v>155</v>
      </c>
      <c r="N69" s="1"/>
      <c r="O69" s="1">
        <v>0</v>
      </c>
      <c r="P69" s="1">
        <v>100</v>
      </c>
      <c r="Q69" s="1"/>
      <c r="R69" s="1">
        <f t="shared" si="5"/>
        <v>31</v>
      </c>
      <c r="S69" s="5">
        <f>12*R69-Q69-P69-F69</f>
        <v>145</v>
      </c>
      <c r="T69" s="5"/>
      <c r="U69" s="1"/>
      <c r="V69" s="1"/>
      <c r="W69" s="1">
        <f t="shared" si="7"/>
        <v>12</v>
      </c>
      <c r="X69" s="1">
        <f t="shared" si="8"/>
        <v>7.32258064516129</v>
      </c>
      <c r="Y69" s="1">
        <v>16</v>
      </c>
      <c r="Z69" s="1">
        <v>12.4</v>
      </c>
      <c r="AA69" s="1">
        <v>10</v>
      </c>
      <c r="AB69" s="1">
        <v>10.6</v>
      </c>
      <c r="AC69" s="1">
        <v>15.2</v>
      </c>
      <c r="AD69" s="1">
        <v>16.399999999999999</v>
      </c>
      <c r="AE69" s="1">
        <v>9.4</v>
      </c>
      <c r="AF69" s="1">
        <v>7.2</v>
      </c>
      <c r="AG69" s="1"/>
      <c r="AH69" s="1">
        <f>G69*S69</f>
        <v>87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20" t="s">
        <v>112</v>
      </c>
      <c r="B70" s="20" t="s">
        <v>42</v>
      </c>
      <c r="C70" s="20"/>
      <c r="D70" s="20"/>
      <c r="E70" s="20"/>
      <c r="F70" s="20"/>
      <c r="G70" s="21">
        <v>0</v>
      </c>
      <c r="H70" s="20">
        <v>40</v>
      </c>
      <c r="I70" s="20" t="s">
        <v>38</v>
      </c>
      <c r="J70" s="20"/>
      <c r="K70" s="20"/>
      <c r="L70" s="20">
        <f t="shared" ref="L70:L94" si="15">E70-K70</f>
        <v>0</v>
      </c>
      <c r="M70" s="20">
        <f t="shared" si="4"/>
        <v>0</v>
      </c>
      <c r="N70" s="20"/>
      <c r="O70" s="20">
        <v>0</v>
      </c>
      <c r="P70" s="20">
        <v>0</v>
      </c>
      <c r="Q70" s="20"/>
      <c r="R70" s="20">
        <f t="shared" si="5"/>
        <v>0</v>
      </c>
      <c r="S70" s="22"/>
      <c r="T70" s="22"/>
      <c r="U70" s="20"/>
      <c r="V70" s="20"/>
      <c r="W70" s="20" t="e">
        <f t="shared" si="7"/>
        <v>#DIV/0!</v>
      </c>
      <c r="X70" s="20" t="e">
        <f t="shared" si="8"/>
        <v>#DIV/0!</v>
      </c>
      <c r="Y70" s="20">
        <v>0</v>
      </c>
      <c r="Z70" s="20">
        <v>0</v>
      </c>
      <c r="AA70" s="20">
        <v>0</v>
      </c>
      <c r="AB70" s="20">
        <v>0</v>
      </c>
      <c r="AC70" s="20">
        <v>0</v>
      </c>
      <c r="AD70" s="20">
        <v>0</v>
      </c>
      <c r="AE70" s="20">
        <v>0</v>
      </c>
      <c r="AF70" s="20">
        <v>0</v>
      </c>
      <c r="AG70" s="20" t="s">
        <v>113</v>
      </c>
      <c r="AH70" s="20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114</v>
      </c>
      <c r="B71" s="1" t="s">
        <v>42</v>
      </c>
      <c r="C71" s="1">
        <v>100</v>
      </c>
      <c r="D71" s="1">
        <v>20</v>
      </c>
      <c r="E71" s="1">
        <v>49</v>
      </c>
      <c r="F71" s="1">
        <v>78</v>
      </c>
      <c r="G71" s="12">
        <v>0.4</v>
      </c>
      <c r="H71" s="1">
        <v>50</v>
      </c>
      <c r="I71" s="1" t="s">
        <v>38</v>
      </c>
      <c r="J71" s="1"/>
      <c r="K71" s="1">
        <v>51</v>
      </c>
      <c r="L71" s="1">
        <f t="shared" si="15"/>
        <v>-2</v>
      </c>
      <c r="M71" s="1">
        <f t="shared" ref="M71:M94" si="16">E71-N71</f>
        <v>49</v>
      </c>
      <c r="N71" s="1"/>
      <c r="O71" s="1">
        <v>0</v>
      </c>
      <c r="P71" s="1">
        <v>0</v>
      </c>
      <c r="Q71" s="1"/>
      <c r="R71" s="1">
        <f t="shared" ref="R71:R94" si="17">M71/5</f>
        <v>9.8000000000000007</v>
      </c>
      <c r="S71" s="5">
        <f>12*R71-Q71-P71-F71</f>
        <v>39.600000000000009</v>
      </c>
      <c r="T71" s="5"/>
      <c r="U71" s="1"/>
      <c r="V71" s="1"/>
      <c r="W71" s="1">
        <f t="shared" ref="W71:W94" si="18">(F71+P71+Q71+S71)/R71</f>
        <v>12</v>
      </c>
      <c r="X71" s="1">
        <f t="shared" ref="X71:X94" si="19">(F71+P71+Q71)/R71</f>
        <v>7.9591836734693873</v>
      </c>
      <c r="Y71" s="1">
        <v>8.4</v>
      </c>
      <c r="Z71" s="1">
        <v>7.4</v>
      </c>
      <c r="AA71" s="1">
        <v>12</v>
      </c>
      <c r="AB71" s="1">
        <v>12</v>
      </c>
      <c r="AC71" s="1">
        <v>9</v>
      </c>
      <c r="AD71" s="1">
        <v>13.4</v>
      </c>
      <c r="AE71" s="1">
        <v>11</v>
      </c>
      <c r="AF71" s="1">
        <v>6.2</v>
      </c>
      <c r="AG71" s="1" t="s">
        <v>43</v>
      </c>
      <c r="AH71" s="1">
        <f>G71*S71</f>
        <v>15.840000000000003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20" t="s">
        <v>115</v>
      </c>
      <c r="B72" s="20" t="s">
        <v>42</v>
      </c>
      <c r="C72" s="20"/>
      <c r="D72" s="20"/>
      <c r="E72" s="20"/>
      <c r="F72" s="20"/>
      <c r="G72" s="21">
        <v>0</v>
      </c>
      <c r="H72" s="20">
        <v>55</v>
      </c>
      <c r="I72" s="20" t="s">
        <v>38</v>
      </c>
      <c r="J72" s="20"/>
      <c r="K72" s="20"/>
      <c r="L72" s="20">
        <f t="shared" si="15"/>
        <v>0</v>
      </c>
      <c r="M72" s="20">
        <f t="shared" si="16"/>
        <v>0</v>
      </c>
      <c r="N72" s="20"/>
      <c r="O72" s="20">
        <v>0</v>
      </c>
      <c r="P72" s="20">
        <v>0</v>
      </c>
      <c r="Q72" s="20"/>
      <c r="R72" s="20">
        <f t="shared" si="17"/>
        <v>0</v>
      </c>
      <c r="S72" s="22"/>
      <c r="T72" s="22"/>
      <c r="U72" s="20"/>
      <c r="V72" s="20"/>
      <c r="W72" s="20" t="e">
        <f t="shared" si="18"/>
        <v>#DIV/0!</v>
      </c>
      <c r="X72" s="20" t="e">
        <f t="shared" si="19"/>
        <v>#DIV/0!</v>
      </c>
      <c r="Y72" s="20">
        <v>0</v>
      </c>
      <c r="Z72" s="20">
        <v>0</v>
      </c>
      <c r="AA72" s="20">
        <v>0</v>
      </c>
      <c r="AB72" s="20">
        <v>0</v>
      </c>
      <c r="AC72" s="20">
        <v>0</v>
      </c>
      <c r="AD72" s="20">
        <v>0</v>
      </c>
      <c r="AE72" s="20">
        <v>0</v>
      </c>
      <c r="AF72" s="20">
        <v>0</v>
      </c>
      <c r="AG72" s="20" t="s">
        <v>116</v>
      </c>
      <c r="AH72" s="20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117</v>
      </c>
      <c r="B73" s="1" t="s">
        <v>37</v>
      </c>
      <c r="C73" s="1">
        <v>25.782</v>
      </c>
      <c r="D73" s="1"/>
      <c r="E73" s="1">
        <v>8.6240000000000006</v>
      </c>
      <c r="F73" s="1">
        <v>21.468</v>
      </c>
      <c r="G73" s="12">
        <v>1</v>
      </c>
      <c r="H73" s="1">
        <v>55</v>
      </c>
      <c r="I73" s="1" t="s">
        <v>38</v>
      </c>
      <c r="J73" s="1"/>
      <c r="K73" s="1">
        <v>8.4</v>
      </c>
      <c r="L73" s="1">
        <f t="shared" si="15"/>
        <v>0.2240000000000002</v>
      </c>
      <c r="M73" s="1">
        <f t="shared" si="16"/>
        <v>8.6240000000000006</v>
      </c>
      <c r="N73" s="1"/>
      <c r="O73" s="1">
        <v>0</v>
      </c>
      <c r="P73" s="1">
        <v>0</v>
      </c>
      <c r="Q73" s="1"/>
      <c r="R73" s="1">
        <f t="shared" si="17"/>
        <v>1.7248000000000001</v>
      </c>
      <c r="S73" s="5"/>
      <c r="T73" s="5"/>
      <c r="U73" s="1"/>
      <c r="V73" s="1"/>
      <c r="W73" s="1">
        <f t="shared" si="18"/>
        <v>12.446660482374767</v>
      </c>
      <c r="X73" s="1">
        <f t="shared" si="19"/>
        <v>12.446660482374767</v>
      </c>
      <c r="Y73" s="1">
        <v>1.1499999999999999</v>
      </c>
      <c r="Z73" s="1">
        <v>0.28799999999999998</v>
      </c>
      <c r="AA73" s="1">
        <v>0.86720000000000008</v>
      </c>
      <c r="AB73" s="1">
        <v>2.3111999999999999</v>
      </c>
      <c r="AC73" s="1">
        <v>2.8879999999999999</v>
      </c>
      <c r="AD73" s="1">
        <v>2.5996000000000001</v>
      </c>
      <c r="AE73" s="1">
        <v>1.7298</v>
      </c>
      <c r="AF73" s="1">
        <v>2.2995999999999999</v>
      </c>
      <c r="AG73" s="26" t="s">
        <v>56</v>
      </c>
      <c r="AH73" s="1">
        <f t="shared" ref="AH73:AH85" si="20">G73*S73</f>
        <v>0</v>
      </c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119</v>
      </c>
      <c r="B74" s="1" t="s">
        <v>37</v>
      </c>
      <c r="C74" s="1">
        <v>3890.2130000000002</v>
      </c>
      <c r="D74" s="1">
        <v>857.81299999999999</v>
      </c>
      <c r="E74" s="1">
        <v>1991.6220000000001</v>
      </c>
      <c r="F74" s="1">
        <v>2971.924</v>
      </c>
      <c r="G74" s="12">
        <v>1</v>
      </c>
      <c r="H74" s="1">
        <v>60</v>
      </c>
      <c r="I74" s="1" t="s">
        <v>38</v>
      </c>
      <c r="J74" s="1"/>
      <c r="K74" s="1">
        <v>2068.0100000000002</v>
      </c>
      <c r="L74" s="1">
        <f t="shared" si="15"/>
        <v>-76.388000000000147</v>
      </c>
      <c r="M74" s="1">
        <f t="shared" si="16"/>
        <v>1756.0920000000001</v>
      </c>
      <c r="N74" s="1">
        <v>235.53</v>
      </c>
      <c r="O74" s="1">
        <v>0</v>
      </c>
      <c r="P74" s="1">
        <v>848.93799999999999</v>
      </c>
      <c r="Q74" s="1">
        <v>526.34155999999996</v>
      </c>
      <c r="R74" s="1">
        <f t="shared" si="17"/>
        <v>351.21840000000003</v>
      </c>
      <c r="S74" s="5"/>
      <c r="T74" s="5"/>
      <c r="U74" s="1"/>
      <c r="V74" s="1"/>
      <c r="W74" s="1">
        <f t="shared" si="18"/>
        <v>12.377493775952511</v>
      </c>
      <c r="X74" s="1">
        <f t="shared" si="19"/>
        <v>12.377493775952511</v>
      </c>
      <c r="Y74" s="1">
        <v>339.5752</v>
      </c>
      <c r="Z74" s="1">
        <v>281.68239999999997</v>
      </c>
      <c r="AA74" s="1">
        <v>292.14519999999999</v>
      </c>
      <c r="AB74" s="1">
        <v>426.10300000000001</v>
      </c>
      <c r="AC74" s="1">
        <v>356.89120000000003</v>
      </c>
      <c r="AD74" s="1">
        <v>449.74619999999999</v>
      </c>
      <c r="AE74" s="1">
        <v>438.57800000000009</v>
      </c>
      <c r="AF74" s="1">
        <v>343.56400000000002</v>
      </c>
      <c r="AG74" s="1" t="s">
        <v>49</v>
      </c>
      <c r="AH74" s="1">
        <f t="shared" si="20"/>
        <v>0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120</v>
      </c>
      <c r="B75" s="1" t="s">
        <v>37</v>
      </c>
      <c r="C75" s="1">
        <v>1465.45</v>
      </c>
      <c r="D75" s="1">
        <v>110.34099999999999</v>
      </c>
      <c r="E75" s="1">
        <v>516.55100000000004</v>
      </c>
      <c r="F75" s="1">
        <v>1086.4939999999999</v>
      </c>
      <c r="G75" s="12">
        <v>1</v>
      </c>
      <c r="H75" s="1">
        <v>60</v>
      </c>
      <c r="I75" s="1" t="s">
        <v>38</v>
      </c>
      <c r="J75" s="1"/>
      <c r="K75" s="1">
        <v>529.34100000000001</v>
      </c>
      <c r="L75" s="1">
        <f t="shared" si="15"/>
        <v>-12.789999999999964</v>
      </c>
      <c r="M75" s="1">
        <f t="shared" si="16"/>
        <v>486.01000000000005</v>
      </c>
      <c r="N75" s="1">
        <v>30.541</v>
      </c>
      <c r="O75" s="1">
        <v>0</v>
      </c>
      <c r="P75" s="1">
        <v>0</v>
      </c>
      <c r="Q75" s="1">
        <v>155.40796</v>
      </c>
      <c r="R75" s="1">
        <f t="shared" si="17"/>
        <v>97.202000000000012</v>
      </c>
      <c r="S75" s="5"/>
      <c r="T75" s="5"/>
      <c r="U75" s="1"/>
      <c r="V75" s="1"/>
      <c r="W75" s="1">
        <f t="shared" si="18"/>
        <v>12.776506244727472</v>
      </c>
      <c r="X75" s="1">
        <f t="shared" si="19"/>
        <v>12.776506244727472</v>
      </c>
      <c r="Y75" s="1">
        <v>100.2632</v>
      </c>
      <c r="Z75" s="1">
        <v>114.20740000000001</v>
      </c>
      <c r="AA75" s="1">
        <v>92.879800000000003</v>
      </c>
      <c r="AB75" s="1">
        <v>145.39879999999999</v>
      </c>
      <c r="AC75" s="1">
        <v>123.854</v>
      </c>
      <c r="AD75" s="1">
        <v>217.0934</v>
      </c>
      <c r="AE75" s="1">
        <v>212.60059999999999</v>
      </c>
      <c r="AF75" s="1">
        <v>128.0436</v>
      </c>
      <c r="AG75" s="1"/>
      <c r="AH75" s="1">
        <f t="shared" si="20"/>
        <v>0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121</v>
      </c>
      <c r="B76" s="1" t="s">
        <v>37</v>
      </c>
      <c r="C76" s="1">
        <v>478.90699999999998</v>
      </c>
      <c r="D76" s="1">
        <v>3320.944</v>
      </c>
      <c r="E76" s="1">
        <v>1025.779</v>
      </c>
      <c r="F76" s="1">
        <v>2907.8029999999999</v>
      </c>
      <c r="G76" s="12">
        <v>1</v>
      </c>
      <c r="H76" s="1">
        <v>60</v>
      </c>
      <c r="I76" s="1" t="s">
        <v>38</v>
      </c>
      <c r="J76" s="1"/>
      <c r="K76" s="1">
        <v>1132.5440000000001</v>
      </c>
      <c r="L76" s="1">
        <f t="shared" si="15"/>
        <v>-106.7650000000001</v>
      </c>
      <c r="M76" s="1">
        <f t="shared" si="16"/>
        <v>1025.779</v>
      </c>
      <c r="N76" s="1"/>
      <c r="O76" s="1">
        <v>0</v>
      </c>
      <c r="P76" s="1">
        <v>0</v>
      </c>
      <c r="Q76" s="1"/>
      <c r="R76" s="1">
        <f t="shared" si="17"/>
        <v>205.1558</v>
      </c>
      <c r="S76" s="5"/>
      <c r="T76" s="5"/>
      <c r="U76" s="1"/>
      <c r="V76" s="1"/>
      <c r="W76" s="1">
        <f t="shared" si="18"/>
        <v>14.173632917031835</v>
      </c>
      <c r="X76" s="1">
        <f t="shared" si="19"/>
        <v>14.173632917031835</v>
      </c>
      <c r="Y76" s="1">
        <v>218.61439999999999</v>
      </c>
      <c r="Z76" s="1">
        <v>337.26299999999998</v>
      </c>
      <c r="AA76" s="1">
        <v>184.1644</v>
      </c>
      <c r="AB76" s="1">
        <v>188.6756</v>
      </c>
      <c r="AC76" s="1">
        <v>191.93440000000001</v>
      </c>
      <c r="AD76" s="1">
        <v>222.18899999999999</v>
      </c>
      <c r="AE76" s="1">
        <v>257.75979999999998</v>
      </c>
      <c r="AF76" s="1">
        <v>241.37219999999999</v>
      </c>
      <c r="AG76" s="1" t="s">
        <v>122</v>
      </c>
      <c r="AH76" s="1">
        <f t="shared" si="20"/>
        <v>0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123</v>
      </c>
      <c r="B77" s="1" t="s">
        <v>37</v>
      </c>
      <c r="C77" s="1">
        <v>3724.5520000000001</v>
      </c>
      <c r="D77" s="1">
        <v>1113.242</v>
      </c>
      <c r="E77" s="1">
        <v>2228.0390000000002</v>
      </c>
      <c r="F77" s="1">
        <v>2686.768</v>
      </c>
      <c r="G77" s="12">
        <v>1</v>
      </c>
      <c r="H77" s="1">
        <v>60</v>
      </c>
      <c r="I77" s="1" t="s">
        <v>38</v>
      </c>
      <c r="J77" s="1"/>
      <c r="K77" s="1">
        <v>2586.3110000000001</v>
      </c>
      <c r="L77" s="1">
        <f t="shared" si="15"/>
        <v>-358.27199999999993</v>
      </c>
      <c r="M77" s="1">
        <f t="shared" si="16"/>
        <v>1575.6640000000002</v>
      </c>
      <c r="N77" s="1">
        <v>652.375</v>
      </c>
      <c r="O77" s="1">
        <v>127</v>
      </c>
      <c r="P77" s="1">
        <v>0</v>
      </c>
      <c r="Q77" s="1">
        <v>463.24540000000007</v>
      </c>
      <c r="R77" s="1">
        <f t="shared" si="17"/>
        <v>315.13280000000003</v>
      </c>
      <c r="S77" s="5">
        <f t="shared" ref="S77:S84" si="21">12*R77-Q77-P77-F77</f>
        <v>631.58019999999988</v>
      </c>
      <c r="T77" s="5"/>
      <c r="U77" s="1"/>
      <c r="V77" s="1"/>
      <c r="W77" s="1">
        <f t="shared" si="18"/>
        <v>12</v>
      </c>
      <c r="X77" s="1">
        <f t="shared" si="19"/>
        <v>9.9958284253495666</v>
      </c>
      <c r="Y77" s="1">
        <v>298.86800000000011</v>
      </c>
      <c r="Z77" s="1">
        <v>282.35520000000002</v>
      </c>
      <c r="AA77" s="1">
        <v>298.19860000000011</v>
      </c>
      <c r="AB77" s="1">
        <v>418.76859999999999</v>
      </c>
      <c r="AC77" s="1">
        <v>363.77280000000002</v>
      </c>
      <c r="AD77" s="1">
        <v>424.80040000000002</v>
      </c>
      <c r="AE77" s="1">
        <v>503.06060000000002</v>
      </c>
      <c r="AF77" s="1">
        <v>405.0668</v>
      </c>
      <c r="AG77" s="1" t="s">
        <v>49</v>
      </c>
      <c r="AH77" s="1">
        <f t="shared" si="20"/>
        <v>631.58019999999988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124</v>
      </c>
      <c r="B78" s="1" t="s">
        <v>37</v>
      </c>
      <c r="C78" s="1">
        <v>167.46600000000001</v>
      </c>
      <c r="D78" s="1">
        <v>12.148</v>
      </c>
      <c r="E78" s="1">
        <v>12.148</v>
      </c>
      <c r="F78" s="1">
        <v>145.703</v>
      </c>
      <c r="G78" s="12">
        <v>1</v>
      </c>
      <c r="H78" s="1">
        <v>60</v>
      </c>
      <c r="I78" s="1" t="s">
        <v>38</v>
      </c>
      <c r="J78" s="1"/>
      <c r="K78" s="1">
        <v>27.347999999999999</v>
      </c>
      <c r="L78" s="1">
        <f t="shared" si="15"/>
        <v>-15.2</v>
      </c>
      <c r="M78" s="1">
        <f t="shared" si="16"/>
        <v>0</v>
      </c>
      <c r="N78" s="1">
        <v>12.148</v>
      </c>
      <c r="O78" s="1">
        <v>0</v>
      </c>
      <c r="P78" s="1">
        <v>0</v>
      </c>
      <c r="Q78" s="1"/>
      <c r="R78" s="1">
        <f t="shared" si="17"/>
        <v>0</v>
      </c>
      <c r="S78" s="5"/>
      <c r="T78" s="5"/>
      <c r="U78" s="1"/>
      <c r="V78" s="1"/>
      <c r="W78" s="1" t="e">
        <f t="shared" si="18"/>
        <v>#DIV/0!</v>
      </c>
      <c r="X78" s="1" t="e">
        <f t="shared" si="19"/>
        <v>#DIV/0!</v>
      </c>
      <c r="Y78" s="1">
        <v>0</v>
      </c>
      <c r="Z78" s="1">
        <v>0</v>
      </c>
      <c r="AA78" s="1">
        <v>0</v>
      </c>
      <c r="AB78" s="1">
        <v>2.3967999999999998</v>
      </c>
      <c r="AC78" s="1">
        <v>0</v>
      </c>
      <c r="AD78" s="1">
        <v>2.4283999999999999</v>
      </c>
      <c r="AE78" s="1">
        <v>0</v>
      </c>
      <c r="AF78" s="1">
        <v>5.8215999999999992</v>
      </c>
      <c r="AG78" s="24" t="s">
        <v>118</v>
      </c>
      <c r="AH78" s="1">
        <f t="shared" si="20"/>
        <v>0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125</v>
      </c>
      <c r="B79" s="1" t="s">
        <v>42</v>
      </c>
      <c r="C79" s="1">
        <v>80</v>
      </c>
      <c r="D79" s="1">
        <v>206</v>
      </c>
      <c r="E79" s="1">
        <v>97</v>
      </c>
      <c r="F79" s="1">
        <v>156</v>
      </c>
      <c r="G79" s="12">
        <v>0.3</v>
      </c>
      <c r="H79" s="1">
        <v>40</v>
      </c>
      <c r="I79" s="1" t="s">
        <v>38</v>
      </c>
      <c r="J79" s="1"/>
      <c r="K79" s="1">
        <v>103</v>
      </c>
      <c r="L79" s="1">
        <f t="shared" si="15"/>
        <v>-6</v>
      </c>
      <c r="M79" s="1">
        <f t="shared" si="16"/>
        <v>97</v>
      </c>
      <c r="N79" s="1"/>
      <c r="O79" s="1">
        <v>0</v>
      </c>
      <c r="P79" s="1">
        <v>53.599999999999937</v>
      </c>
      <c r="Q79" s="1"/>
      <c r="R79" s="1">
        <f t="shared" si="17"/>
        <v>19.399999999999999</v>
      </c>
      <c r="S79" s="5">
        <f t="shared" si="21"/>
        <v>23.200000000000045</v>
      </c>
      <c r="T79" s="5"/>
      <c r="U79" s="1"/>
      <c r="V79" s="1"/>
      <c r="W79" s="1">
        <f t="shared" si="18"/>
        <v>12</v>
      </c>
      <c r="X79" s="1">
        <f t="shared" si="19"/>
        <v>10.804123711340203</v>
      </c>
      <c r="Y79" s="1">
        <v>22.6</v>
      </c>
      <c r="Z79" s="1">
        <v>20.6</v>
      </c>
      <c r="AA79" s="1">
        <v>17.600000000000001</v>
      </c>
      <c r="AB79" s="1">
        <v>16.2</v>
      </c>
      <c r="AC79" s="1">
        <v>16.600000000000001</v>
      </c>
      <c r="AD79" s="1">
        <v>18</v>
      </c>
      <c r="AE79" s="1">
        <v>18.600000000000001</v>
      </c>
      <c r="AF79" s="1">
        <v>16.2</v>
      </c>
      <c r="AG79" s="1"/>
      <c r="AH79" s="1">
        <f t="shared" si="20"/>
        <v>6.9600000000000133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126</v>
      </c>
      <c r="B80" s="1" t="s">
        <v>42</v>
      </c>
      <c r="C80" s="1">
        <v>130</v>
      </c>
      <c r="D80" s="1">
        <v>31</v>
      </c>
      <c r="E80" s="1">
        <v>59</v>
      </c>
      <c r="F80" s="1">
        <v>77</v>
      </c>
      <c r="G80" s="12">
        <v>7.0000000000000007E-2</v>
      </c>
      <c r="H80" s="1">
        <v>90</v>
      </c>
      <c r="I80" s="1" t="s">
        <v>38</v>
      </c>
      <c r="J80" s="1"/>
      <c r="K80" s="1">
        <v>60</v>
      </c>
      <c r="L80" s="1">
        <f t="shared" si="15"/>
        <v>-1</v>
      </c>
      <c r="M80" s="1">
        <f t="shared" si="16"/>
        <v>59</v>
      </c>
      <c r="N80" s="1"/>
      <c r="O80" s="1">
        <v>0</v>
      </c>
      <c r="P80" s="1">
        <v>23.199999999999989</v>
      </c>
      <c r="Q80" s="1"/>
      <c r="R80" s="1">
        <f t="shared" si="17"/>
        <v>11.8</v>
      </c>
      <c r="S80" s="5">
        <f t="shared" si="21"/>
        <v>41.400000000000034</v>
      </c>
      <c r="T80" s="5"/>
      <c r="U80" s="1"/>
      <c r="V80" s="1"/>
      <c r="W80" s="1">
        <f t="shared" si="18"/>
        <v>12.000000000000002</v>
      </c>
      <c r="X80" s="1">
        <f t="shared" si="19"/>
        <v>8.4915254237288114</v>
      </c>
      <c r="Y80" s="1">
        <v>11.2</v>
      </c>
      <c r="Z80" s="1">
        <v>8</v>
      </c>
      <c r="AA80" s="1">
        <v>9</v>
      </c>
      <c r="AB80" s="1">
        <v>12.6</v>
      </c>
      <c r="AC80" s="1">
        <v>10.8</v>
      </c>
      <c r="AD80" s="1">
        <v>12</v>
      </c>
      <c r="AE80" s="1">
        <v>13</v>
      </c>
      <c r="AF80" s="1">
        <v>12</v>
      </c>
      <c r="AG80" s="1"/>
      <c r="AH80" s="1">
        <f t="shared" si="20"/>
        <v>2.8980000000000028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127</v>
      </c>
      <c r="B81" s="1" t="s">
        <v>42</v>
      </c>
      <c r="C81" s="1">
        <v>129</v>
      </c>
      <c r="D81" s="1"/>
      <c r="E81" s="1">
        <v>55</v>
      </c>
      <c r="F81" s="1">
        <v>77</v>
      </c>
      <c r="G81" s="12">
        <v>7.0000000000000007E-2</v>
      </c>
      <c r="H81" s="1">
        <v>90</v>
      </c>
      <c r="I81" s="1" t="s">
        <v>38</v>
      </c>
      <c r="J81" s="1"/>
      <c r="K81" s="1">
        <v>55</v>
      </c>
      <c r="L81" s="1">
        <f t="shared" si="15"/>
        <v>0</v>
      </c>
      <c r="M81" s="1">
        <f t="shared" si="16"/>
        <v>55</v>
      </c>
      <c r="N81" s="1"/>
      <c r="O81" s="1">
        <v>0</v>
      </c>
      <c r="P81" s="1">
        <v>17.400000000000009</v>
      </c>
      <c r="Q81" s="1"/>
      <c r="R81" s="1">
        <f t="shared" si="17"/>
        <v>11</v>
      </c>
      <c r="S81" s="5">
        <f t="shared" si="21"/>
        <v>37.599999999999994</v>
      </c>
      <c r="T81" s="5"/>
      <c r="U81" s="1"/>
      <c r="V81" s="1"/>
      <c r="W81" s="1">
        <f t="shared" si="18"/>
        <v>12</v>
      </c>
      <c r="X81" s="1">
        <f t="shared" si="19"/>
        <v>8.581818181818182</v>
      </c>
      <c r="Y81" s="1">
        <v>10.4</v>
      </c>
      <c r="Z81" s="1">
        <v>8.4</v>
      </c>
      <c r="AA81" s="1">
        <v>10.8</v>
      </c>
      <c r="AB81" s="1">
        <v>13</v>
      </c>
      <c r="AC81" s="1">
        <v>12.2</v>
      </c>
      <c r="AD81" s="1">
        <v>18</v>
      </c>
      <c r="AE81" s="1">
        <v>19.600000000000001</v>
      </c>
      <c r="AF81" s="1">
        <v>14.4</v>
      </c>
      <c r="AG81" s="1"/>
      <c r="AH81" s="1">
        <f t="shared" si="20"/>
        <v>2.6319999999999997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128</v>
      </c>
      <c r="B82" s="1" t="s">
        <v>42</v>
      </c>
      <c r="C82" s="1">
        <v>70</v>
      </c>
      <c r="D82" s="1">
        <v>54</v>
      </c>
      <c r="E82" s="1">
        <v>49</v>
      </c>
      <c r="F82" s="1">
        <v>83</v>
      </c>
      <c r="G82" s="12">
        <v>7.0000000000000007E-2</v>
      </c>
      <c r="H82" s="1">
        <v>90</v>
      </c>
      <c r="I82" s="1" t="s">
        <v>38</v>
      </c>
      <c r="J82" s="1"/>
      <c r="K82" s="1">
        <v>49</v>
      </c>
      <c r="L82" s="1">
        <f t="shared" si="15"/>
        <v>0</v>
      </c>
      <c r="M82" s="1">
        <f t="shared" si="16"/>
        <v>49</v>
      </c>
      <c r="N82" s="1"/>
      <c r="O82" s="1">
        <v>0</v>
      </c>
      <c r="P82" s="1">
        <v>29.40000000000002</v>
      </c>
      <c r="Q82" s="1"/>
      <c r="R82" s="1">
        <f t="shared" si="17"/>
        <v>9.8000000000000007</v>
      </c>
      <c r="S82" s="5">
        <f t="shared" si="21"/>
        <v>5.1999999999999886</v>
      </c>
      <c r="T82" s="5"/>
      <c r="U82" s="1"/>
      <c r="V82" s="1"/>
      <c r="W82" s="1">
        <f t="shared" si="18"/>
        <v>12</v>
      </c>
      <c r="X82" s="1">
        <f t="shared" si="19"/>
        <v>11.469387755102042</v>
      </c>
      <c r="Y82" s="1">
        <v>10.8</v>
      </c>
      <c r="Z82" s="1">
        <v>10.199999999999999</v>
      </c>
      <c r="AA82" s="1">
        <v>10.4</v>
      </c>
      <c r="AB82" s="1">
        <v>9</v>
      </c>
      <c r="AC82" s="1">
        <v>8.8000000000000007</v>
      </c>
      <c r="AD82" s="1">
        <v>12</v>
      </c>
      <c r="AE82" s="1">
        <v>13.6</v>
      </c>
      <c r="AF82" s="1">
        <v>12.6</v>
      </c>
      <c r="AG82" s="1"/>
      <c r="AH82" s="1">
        <f t="shared" si="20"/>
        <v>0.36399999999999921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129</v>
      </c>
      <c r="B83" s="1" t="s">
        <v>42</v>
      </c>
      <c r="C83" s="1">
        <v>72</v>
      </c>
      <c r="D83" s="1">
        <v>36</v>
      </c>
      <c r="E83" s="1">
        <v>33</v>
      </c>
      <c r="F83" s="1">
        <v>78</v>
      </c>
      <c r="G83" s="12">
        <v>0.05</v>
      </c>
      <c r="H83" s="1">
        <v>90</v>
      </c>
      <c r="I83" s="1" t="s">
        <v>38</v>
      </c>
      <c r="J83" s="1"/>
      <c r="K83" s="1">
        <v>33</v>
      </c>
      <c r="L83" s="1">
        <f t="shared" si="15"/>
        <v>0</v>
      </c>
      <c r="M83" s="1">
        <f t="shared" si="16"/>
        <v>33</v>
      </c>
      <c r="N83" s="1"/>
      <c r="O83" s="1">
        <v>0</v>
      </c>
      <c r="P83" s="1">
        <v>20.8</v>
      </c>
      <c r="Q83" s="1"/>
      <c r="R83" s="1">
        <f t="shared" si="17"/>
        <v>6.6</v>
      </c>
      <c r="S83" s="5"/>
      <c r="T83" s="5"/>
      <c r="U83" s="1"/>
      <c r="V83" s="1"/>
      <c r="W83" s="1">
        <f t="shared" si="18"/>
        <v>14.969696969696971</v>
      </c>
      <c r="X83" s="1">
        <f t="shared" si="19"/>
        <v>14.969696969696971</v>
      </c>
      <c r="Y83" s="1">
        <v>7.8</v>
      </c>
      <c r="Z83" s="1">
        <v>7.8</v>
      </c>
      <c r="AA83" s="1">
        <v>9.4</v>
      </c>
      <c r="AB83" s="1">
        <v>10</v>
      </c>
      <c r="AC83" s="1">
        <v>9</v>
      </c>
      <c r="AD83" s="1">
        <v>10.199999999999999</v>
      </c>
      <c r="AE83" s="1">
        <v>11.4</v>
      </c>
      <c r="AF83" s="1">
        <v>13</v>
      </c>
      <c r="AG83" s="1"/>
      <c r="AH83" s="1">
        <f t="shared" si="20"/>
        <v>0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130</v>
      </c>
      <c r="B84" s="1" t="s">
        <v>42</v>
      </c>
      <c r="C84" s="1">
        <v>126</v>
      </c>
      <c r="D84" s="1"/>
      <c r="E84" s="1">
        <v>46</v>
      </c>
      <c r="F84" s="1">
        <v>80</v>
      </c>
      <c r="G84" s="12">
        <v>0.05</v>
      </c>
      <c r="H84" s="1">
        <v>90</v>
      </c>
      <c r="I84" s="1" t="s">
        <v>38</v>
      </c>
      <c r="J84" s="1"/>
      <c r="K84" s="1">
        <v>46</v>
      </c>
      <c r="L84" s="1">
        <f t="shared" si="15"/>
        <v>0</v>
      </c>
      <c r="M84" s="1">
        <f t="shared" si="16"/>
        <v>46</v>
      </c>
      <c r="N84" s="1"/>
      <c r="O84" s="1">
        <v>0</v>
      </c>
      <c r="P84" s="1">
        <v>0</v>
      </c>
      <c r="Q84" s="1"/>
      <c r="R84" s="1">
        <f t="shared" si="17"/>
        <v>9.1999999999999993</v>
      </c>
      <c r="S84" s="5">
        <f t="shared" si="21"/>
        <v>30.399999999999991</v>
      </c>
      <c r="T84" s="5"/>
      <c r="U84" s="1"/>
      <c r="V84" s="1"/>
      <c r="W84" s="1">
        <f t="shared" si="18"/>
        <v>12</v>
      </c>
      <c r="X84" s="1">
        <f t="shared" si="19"/>
        <v>8.6956521739130448</v>
      </c>
      <c r="Y84" s="1">
        <v>8.1999999999999993</v>
      </c>
      <c r="Z84" s="1">
        <v>6.6</v>
      </c>
      <c r="AA84" s="1">
        <v>8.4</v>
      </c>
      <c r="AB84" s="1">
        <v>11.8</v>
      </c>
      <c r="AC84" s="1">
        <v>11</v>
      </c>
      <c r="AD84" s="1">
        <v>11.8</v>
      </c>
      <c r="AE84" s="1">
        <v>12.6</v>
      </c>
      <c r="AF84" s="1">
        <v>12.8</v>
      </c>
      <c r="AG84" s="1"/>
      <c r="AH84" s="1">
        <f t="shared" si="20"/>
        <v>1.5199999999999996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 t="s">
        <v>131</v>
      </c>
      <c r="B85" s="1" t="s">
        <v>42</v>
      </c>
      <c r="C85" s="1">
        <v>98</v>
      </c>
      <c r="D85" s="1">
        <v>34</v>
      </c>
      <c r="E85" s="1">
        <v>23</v>
      </c>
      <c r="F85" s="1">
        <v>77</v>
      </c>
      <c r="G85" s="12">
        <v>5.5E-2</v>
      </c>
      <c r="H85" s="1">
        <v>90</v>
      </c>
      <c r="I85" s="1" t="s">
        <v>38</v>
      </c>
      <c r="J85" s="1"/>
      <c r="K85" s="1">
        <v>23</v>
      </c>
      <c r="L85" s="1">
        <f t="shared" si="15"/>
        <v>0</v>
      </c>
      <c r="M85" s="1">
        <f t="shared" si="16"/>
        <v>23</v>
      </c>
      <c r="N85" s="1"/>
      <c r="O85" s="1">
        <v>0</v>
      </c>
      <c r="P85" s="1">
        <v>0</v>
      </c>
      <c r="Q85" s="1"/>
      <c r="R85" s="1">
        <f t="shared" si="17"/>
        <v>4.5999999999999996</v>
      </c>
      <c r="S85" s="5"/>
      <c r="T85" s="5"/>
      <c r="U85" s="1"/>
      <c r="V85" s="1"/>
      <c r="W85" s="1">
        <f t="shared" si="18"/>
        <v>16.739130434782609</v>
      </c>
      <c r="X85" s="1">
        <f t="shared" si="19"/>
        <v>16.739130434782609</v>
      </c>
      <c r="Y85" s="1">
        <v>7</v>
      </c>
      <c r="Z85" s="1">
        <v>6.8</v>
      </c>
      <c r="AA85" s="1">
        <v>6.8</v>
      </c>
      <c r="AB85" s="1">
        <v>10.199999999999999</v>
      </c>
      <c r="AC85" s="1">
        <v>8.1999999999999993</v>
      </c>
      <c r="AD85" s="1">
        <v>6.6</v>
      </c>
      <c r="AE85" s="1">
        <v>7.8</v>
      </c>
      <c r="AF85" s="1">
        <v>10.6</v>
      </c>
      <c r="AG85" s="1"/>
      <c r="AH85" s="1">
        <f t="shared" si="20"/>
        <v>0</v>
      </c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6" t="s">
        <v>132</v>
      </c>
      <c r="B86" s="16" t="s">
        <v>42</v>
      </c>
      <c r="C86" s="16">
        <v>14</v>
      </c>
      <c r="D86" s="16"/>
      <c r="E86" s="16">
        <v>1</v>
      </c>
      <c r="F86" s="16">
        <v>11</v>
      </c>
      <c r="G86" s="17">
        <v>0</v>
      </c>
      <c r="H86" s="16">
        <v>120</v>
      </c>
      <c r="I86" s="16" t="s">
        <v>133</v>
      </c>
      <c r="J86" s="16"/>
      <c r="K86" s="16">
        <v>3</v>
      </c>
      <c r="L86" s="16">
        <f t="shared" si="15"/>
        <v>-2</v>
      </c>
      <c r="M86" s="16">
        <f t="shared" si="16"/>
        <v>1</v>
      </c>
      <c r="N86" s="16"/>
      <c r="O86" s="16">
        <v>0</v>
      </c>
      <c r="P86" s="16">
        <v>0</v>
      </c>
      <c r="Q86" s="16"/>
      <c r="R86" s="16">
        <f t="shared" si="17"/>
        <v>0.2</v>
      </c>
      <c r="S86" s="18"/>
      <c r="T86" s="18"/>
      <c r="U86" s="16"/>
      <c r="V86" s="16"/>
      <c r="W86" s="16">
        <f t="shared" si="18"/>
        <v>55</v>
      </c>
      <c r="X86" s="16">
        <f t="shared" si="19"/>
        <v>55</v>
      </c>
      <c r="Y86" s="16">
        <v>0.2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0.6</v>
      </c>
      <c r="AF86" s="16">
        <v>0.6</v>
      </c>
      <c r="AG86" s="16"/>
      <c r="AH86" s="16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 t="s">
        <v>134</v>
      </c>
      <c r="B87" s="1" t="s">
        <v>37</v>
      </c>
      <c r="C87" s="1">
        <v>5433.2910000000002</v>
      </c>
      <c r="D87" s="1">
        <v>3454.7</v>
      </c>
      <c r="E87" s="1">
        <v>4413.4589999999998</v>
      </c>
      <c r="F87" s="1">
        <v>5214.1869999999999</v>
      </c>
      <c r="G87" s="12">
        <v>1</v>
      </c>
      <c r="H87" s="1">
        <v>40</v>
      </c>
      <c r="I87" s="1" t="s">
        <v>38</v>
      </c>
      <c r="J87" s="1"/>
      <c r="K87" s="1">
        <v>4084.8339999999998</v>
      </c>
      <c r="L87" s="1">
        <f t="shared" si="15"/>
        <v>328.625</v>
      </c>
      <c r="M87" s="1">
        <f t="shared" si="16"/>
        <v>4258.8289999999997</v>
      </c>
      <c r="N87" s="1">
        <v>154.63</v>
      </c>
      <c r="O87" s="1">
        <v>0</v>
      </c>
      <c r="P87" s="1">
        <v>1629.6726000000031</v>
      </c>
      <c r="Q87" s="1"/>
      <c r="R87" s="1">
        <f t="shared" si="17"/>
        <v>851.7657999999999</v>
      </c>
      <c r="S87" s="5">
        <f t="shared" ref="S87:S90" si="22">12*R87-Q87-P87-F87</f>
        <v>3377.3299999999945</v>
      </c>
      <c r="T87" s="5"/>
      <c r="U87" s="1"/>
      <c r="V87" s="1"/>
      <c r="W87" s="1">
        <f t="shared" si="18"/>
        <v>11.999999999999998</v>
      </c>
      <c r="X87" s="1">
        <f t="shared" si="19"/>
        <v>8.0349077175909205</v>
      </c>
      <c r="Y87" s="1">
        <v>846.95600000000013</v>
      </c>
      <c r="Z87" s="1">
        <v>799.82920000000013</v>
      </c>
      <c r="AA87" s="1">
        <v>752.95440000000008</v>
      </c>
      <c r="AB87" s="1">
        <v>892.5472000000002</v>
      </c>
      <c r="AC87" s="1">
        <v>763.92160000000001</v>
      </c>
      <c r="AD87" s="1">
        <v>926.77520000000004</v>
      </c>
      <c r="AE87" s="1">
        <v>871.38319999999987</v>
      </c>
      <c r="AF87" s="1">
        <v>808.63199999999995</v>
      </c>
      <c r="AG87" s="1" t="s">
        <v>49</v>
      </c>
      <c r="AH87" s="1">
        <f t="shared" ref="AH87:AH94" si="23">G87*S87</f>
        <v>3377.3299999999945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5" t="s">
        <v>135</v>
      </c>
      <c r="B88" s="1" t="s">
        <v>37</v>
      </c>
      <c r="C88" s="1">
        <v>28.74</v>
      </c>
      <c r="D88" s="1">
        <v>1.6E-2</v>
      </c>
      <c r="E88" s="1"/>
      <c r="F88" s="1"/>
      <c r="G88" s="12">
        <v>1</v>
      </c>
      <c r="H88" s="1">
        <v>60</v>
      </c>
      <c r="I88" s="1" t="s">
        <v>38</v>
      </c>
      <c r="J88" s="1"/>
      <c r="K88" s="1">
        <v>2.5</v>
      </c>
      <c r="L88" s="1">
        <f t="shared" si="15"/>
        <v>-2.5</v>
      </c>
      <c r="M88" s="1">
        <f t="shared" si="16"/>
        <v>0</v>
      </c>
      <c r="N88" s="1"/>
      <c r="O88" s="1">
        <v>0</v>
      </c>
      <c r="P88" s="15"/>
      <c r="Q88" s="1"/>
      <c r="R88" s="1">
        <f t="shared" si="17"/>
        <v>0</v>
      </c>
      <c r="S88" s="23">
        <v>4</v>
      </c>
      <c r="T88" s="5"/>
      <c r="U88" s="1"/>
      <c r="V88" s="1"/>
      <c r="W88" s="1" t="e">
        <f t="shared" si="18"/>
        <v>#DIV/0!</v>
      </c>
      <c r="X88" s="1" t="e">
        <f t="shared" si="19"/>
        <v>#DIV/0!</v>
      </c>
      <c r="Y88" s="1">
        <v>0</v>
      </c>
      <c r="Z88" s="1">
        <v>0.72300000000000009</v>
      </c>
      <c r="AA88" s="1">
        <v>1.7996000000000001</v>
      </c>
      <c r="AB88" s="1">
        <v>1.4376</v>
      </c>
      <c r="AC88" s="1">
        <v>2.16</v>
      </c>
      <c r="AD88" s="1">
        <v>3.5950000000000002</v>
      </c>
      <c r="AE88" s="1">
        <v>2.875</v>
      </c>
      <c r="AF88" s="1">
        <v>1.7969999999999999</v>
      </c>
      <c r="AG88" s="15" t="s">
        <v>136</v>
      </c>
      <c r="AH88" s="1">
        <f t="shared" si="23"/>
        <v>4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 t="s">
        <v>137</v>
      </c>
      <c r="B89" s="1" t="s">
        <v>42</v>
      </c>
      <c r="C89" s="1">
        <v>269</v>
      </c>
      <c r="D89" s="1">
        <v>157</v>
      </c>
      <c r="E89" s="1">
        <v>196</v>
      </c>
      <c r="F89" s="1">
        <v>236</v>
      </c>
      <c r="G89" s="12">
        <v>0.3</v>
      </c>
      <c r="H89" s="1">
        <v>40</v>
      </c>
      <c r="I89" s="1" t="s">
        <v>38</v>
      </c>
      <c r="J89" s="1"/>
      <c r="K89" s="1">
        <v>202</v>
      </c>
      <c r="L89" s="1">
        <f t="shared" si="15"/>
        <v>-6</v>
      </c>
      <c r="M89" s="1">
        <f t="shared" si="16"/>
        <v>196</v>
      </c>
      <c r="N89" s="1"/>
      <c r="O89" s="1">
        <v>0</v>
      </c>
      <c r="P89" s="1">
        <v>76.600000000000023</v>
      </c>
      <c r="Q89" s="1"/>
      <c r="R89" s="1">
        <f t="shared" si="17"/>
        <v>39.200000000000003</v>
      </c>
      <c r="S89" s="5">
        <f t="shared" si="22"/>
        <v>157.80000000000001</v>
      </c>
      <c r="T89" s="5"/>
      <c r="U89" s="1"/>
      <c r="V89" s="1"/>
      <c r="W89" s="1">
        <f t="shared" si="18"/>
        <v>12</v>
      </c>
      <c r="X89" s="1">
        <f t="shared" si="19"/>
        <v>7.9744897959183669</v>
      </c>
      <c r="Y89" s="1">
        <v>37</v>
      </c>
      <c r="Z89" s="1">
        <v>36.799999999999997</v>
      </c>
      <c r="AA89" s="1">
        <v>38</v>
      </c>
      <c r="AB89" s="1">
        <v>39</v>
      </c>
      <c r="AC89" s="1">
        <v>38.6</v>
      </c>
      <c r="AD89" s="1">
        <v>36.6</v>
      </c>
      <c r="AE89" s="1">
        <v>34.4</v>
      </c>
      <c r="AF89" s="1">
        <v>33.6</v>
      </c>
      <c r="AG89" s="1"/>
      <c r="AH89" s="1">
        <f t="shared" si="23"/>
        <v>47.34</v>
      </c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 t="s">
        <v>138</v>
      </c>
      <c r="B90" s="1" t="s">
        <v>42</v>
      </c>
      <c r="C90" s="1">
        <v>106</v>
      </c>
      <c r="D90" s="1">
        <v>173</v>
      </c>
      <c r="E90" s="1">
        <v>91</v>
      </c>
      <c r="F90" s="1">
        <v>178</v>
      </c>
      <c r="G90" s="12">
        <v>0.3</v>
      </c>
      <c r="H90" s="1">
        <v>40</v>
      </c>
      <c r="I90" s="1" t="s">
        <v>38</v>
      </c>
      <c r="J90" s="1"/>
      <c r="K90" s="1">
        <v>107</v>
      </c>
      <c r="L90" s="1">
        <f t="shared" si="15"/>
        <v>-16</v>
      </c>
      <c r="M90" s="1">
        <f t="shared" si="16"/>
        <v>91</v>
      </c>
      <c r="N90" s="1"/>
      <c r="O90" s="1">
        <v>0</v>
      </c>
      <c r="P90" s="1">
        <v>25.2</v>
      </c>
      <c r="Q90" s="1"/>
      <c r="R90" s="1">
        <f t="shared" si="17"/>
        <v>18.2</v>
      </c>
      <c r="S90" s="5">
        <f t="shared" si="22"/>
        <v>15.199999999999989</v>
      </c>
      <c r="T90" s="5"/>
      <c r="U90" s="1"/>
      <c r="V90" s="1"/>
      <c r="W90" s="1">
        <f t="shared" si="18"/>
        <v>12</v>
      </c>
      <c r="X90" s="1">
        <f t="shared" si="19"/>
        <v>11.164835164835164</v>
      </c>
      <c r="Y90" s="1">
        <v>22.2</v>
      </c>
      <c r="Z90" s="1">
        <v>22.8</v>
      </c>
      <c r="AA90" s="1">
        <v>20.8</v>
      </c>
      <c r="AB90" s="1">
        <v>18.8</v>
      </c>
      <c r="AC90" s="1">
        <v>17.2</v>
      </c>
      <c r="AD90" s="1">
        <v>20</v>
      </c>
      <c r="AE90" s="1">
        <v>21.2</v>
      </c>
      <c r="AF90" s="1">
        <v>19.600000000000001</v>
      </c>
      <c r="AG90" s="1" t="s">
        <v>139</v>
      </c>
      <c r="AH90" s="1">
        <f t="shared" si="23"/>
        <v>4.5599999999999961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 t="s">
        <v>140</v>
      </c>
      <c r="B91" s="1" t="s">
        <v>37</v>
      </c>
      <c r="C91" s="1">
        <v>68.623000000000005</v>
      </c>
      <c r="D91" s="1">
        <v>57.094999999999999</v>
      </c>
      <c r="E91" s="1">
        <v>62.866999999999997</v>
      </c>
      <c r="F91" s="1">
        <v>62.585999999999999</v>
      </c>
      <c r="G91" s="12">
        <v>1</v>
      </c>
      <c r="H91" s="1">
        <v>50</v>
      </c>
      <c r="I91" s="1" t="s">
        <v>38</v>
      </c>
      <c r="J91" s="1"/>
      <c r="K91" s="1">
        <v>59.23</v>
      </c>
      <c r="L91" s="1">
        <f t="shared" si="15"/>
        <v>3.6370000000000005</v>
      </c>
      <c r="M91" s="1">
        <f t="shared" si="16"/>
        <v>60.137</v>
      </c>
      <c r="N91" s="1">
        <v>2.73</v>
      </c>
      <c r="O91" s="1">
        <v>0</v>
      </c>
      <c r="P91" s="1">
        <v>78.49140000000007</v>
      </c>
      <c r="Q91" s="1"/>
      <c r="R91" s="1">
        <f t="shared" si="17"/>
        <v>12.0274</v>
      </c>
      <c r="S91" s="5"/>
      <c r="T91" s="5"/>
      <c r="U91" s="1"/>
      <c r="V91" s="1"/>
      <c r="W91" s="1">
        <f t="shared" si="18"/>
        <v>11.729667259756894</v>
      </c>
      <c r="X91" s="1">
        <f t="shared" si="19"/>
        <v>11.729667259756894</v>
      </c>
      <c r="Y91" s="1">
        <v>14.679399999999999</v>
      </c>
      <c r="Z91" s="1">
        <v>10.170999999999999</v>
      </c>
      <c r="AA91" s="1">
        <v>7.35</v>
      </c>
      <c r="AB91" s="1">
        <v>9.4760000000000009</v>
      </c>
      <c r="AC91" s="1">
        <v>8.6053999999999995</v>
      </c>
      <c r="AD91" s="1">
        <v>5.0423999999999998</v>
      </c>
      <c r="AE91" s="1">
        <v>2.6920000000000002</v>
      </c>
      <c r="AF91" s="1">
        <v>4.3211999999999993</v>
      </c>
      <c r="AG91" s="1"/>
      <c r="AH91" s="1">
        <f t="shared" si="23"/>
        <v>0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 t="s">
        <v>141</v>
      </c>
      <c r="B92" s="1" t="s">
        <v>42</v>
      </c>
      <c r="C92" s="1">
        <v>25</v>
      </c>
      <c r="D92" s="1">
        <v>72</v>
      </c>
      <c r="E92" s="1">
        <v>23</v>
      </c>
      <c r="F92" s="1">
        <v>77</v>
      </c>
      <c r="G92" s="12">
        <v>0.3</v>
      </c>
      <c r="H92" s="1">
        <v>40</v>
      </c>
      <c r="I92" s="1" t="s">
        <v>38</v>
      </c>
      <c r="J92" s="1"/>
      <c r="K92" s="1">
        <v>23</v>
      </c>
      <c r="L92" s="1">
        <f t="shared" si="15"/>
        <v>0</v>
      </c>
      <c r="M92" s="1">
        <f t="shared" si="16"/>
        <v>23</v>
      </c>
      <c r="N92" s="1"/>
      <c r="O92" s="1">
        <v>0</v>
      </c>
      <c r="P92" s="1">
        <v>0</v>
      </c>
      <c r="Q92" s="1"/>
      <c r="R92" s="1">
        <f t="shared" si="17"/>
        <v>4.5999999999999996</v>
      </c>
      <c r="S92" s="5"/>
      <c r="T92" s="5"/>
      <c r="U92" s="1"/>
      <c r="V92" s="1"/>
      <c r="W92" s="1">
        <f t="shared" si="18"/>
        <v>16.739130434782609</v>
      </c>
      <c r="X92" s="1">
        <f t="shared" si="19"/>
        <v>16.739130434782609</v>
      </c>
      <c r="Y92" s="1">
        <v>5.6</v>
      </c>
      <c r="Z92" s="1">
        <v>7.6</v>
      </c>
      <c r="AA92" s="1">
        <v>5.8</v>
      </c>
      <c r="AB92" s="1">
        <v>3.8</v>
      </c>
      <c r="AC92" s="1">
        <v>3</v>
      </c>
      <c r="AD92" s="1">
        <v>3.4</v>
      </c>
      <c r="AE92" s="1">
        <v>5</v>
      </c>
      <c r="AF92" s="1">
        <v>4.4000000000000004</v>
      </c>
      <c r="AG92" s="1"/>
      <c r="AH92" s="1">
        <f t="shared" si="23"/>
        <v>0</v>
      </c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 t="s">
        <v>142</v>
      </c>
      <c r="B93" s="1" t="s">
        <v>42</v>
      </c>
      <c r="C93" s="1">
        <v>57</v>
      </c>
      <c r="D93" s="1"/>
      <c r="E93" s="1">
        <v>19</v>
      </c>
      <c r="F93" s="1">
        <v>34</v>
      </c>
      <c r="G93" s="12">
        <v>0.12</v>
      </c>
      <c r="H93" s="1">
        <v>45</v>
      </c>
      <c r="I93" s="1" t="s">
        <v>38</v>
      </c>
      <c r="J93" s="1"/>
      <c r="K93" s="1">
        <v>27</v>
      </c>
      <c r="L93" s="1">
        <f t="shared" si="15"/>
        <v>-8</v>
      </c>
      <c r="M93" s="1">
        <f t="shared" si="16"/>
        <v>19</v>
      </c>
      <c r="N93" s="1"/>
      <c r="O93" s="1">
        <v>0</v>
      </c>
      <c r="P93" s="1">
        <v>11</v>
      </c>
      <c r="Q93" s="1"/>
      <c r="R93" s="1">
        <f t="shared" si="17"/>
        <v>3.8</v>
      </c>
      <c r="S93" s="5"/>
      <c r="T93" s="5"/>
      <c r="U93" s="1"/>
      <c r="V93" s="1"/>
      <c r="W93" s="1">
        <f t="shared" si="18"/>
        <v>11.842105263157896</v>
      </c>
      <c r="X93" s="1">
        <f t="shared" si="19"/>
        <v>11.842105263157896</v>
      </c>
      <c r="Y93" s="1">
        <v>5</v>
      </c>
      <c r="Z93" s="1">
        <v>3.8</v>
      </c>
      <c r="AA93" s="1">
        <v>4.2</v>
      </c>
      <c r="AB93" s="1">
        <v>5.8</v>
      </c>
      <c r="AC93" s="1">
        <v>6.6</v>
      </c>
      <c r="AD93" s="1">
        <v>7.2</v>
      </c>
      <c r="AE93" s="1">
        <v>9.4</v>
      </c>
      <c r="AF93" s="1">
        <v>11.6</v>
      </c>
      <c r="AG93" s="1" t="s">
        <v>143</v>
      </c>
      <c r="AH93" s="1">
        <f t="shared" si="23"/>
        <v>0</v>
      </c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8" t="s">
        <v>144</v>
      </c>
      <c r="B94" s="9" t="s">
        <v>42</v>
      </c>
      <c r="C94" s="10"/>
      <c r="D94" s="10"/>
      <c r="E94" s="10"/>
      <c r="F94" s="10"/>
      <c r="G94" s="11">
        <v>0.6</v>
      </c>
      <c r="H94" s="10">
        <v>60</v>
      </c>
      <c r="I94" s="10" t="s">
        <v>38</v>
      </c>
      <c r="J94" s="10"/>
      <c r="K94" s="10"/>
      <c r="L94" s="10">
        <f t="shared" si="15"/>
        <v>0</v>
      </c>
      <c r="M94" s="10">
        <f t="shared" si="16"/>
        <v>0</v>
      </c>
      <c r="N94" s="10"/>
      <c r="O94" s="10">
        <v>0</v>
      </c>
      <c r="P94" s="10">
        <v>4</v>
      </c>
      <c r="Q94" s="10"/>
      <c r="R94" s="10">
        <f t="shared" si="17"/>
        <v>0</v>
      </c>
      <c r="S94" s="14">
        <v>180</v>
      </c>
      <c r="T94" s="14"/>
      <c r="U94" s="10"/>
      <c r="V94" s="10"/>
      <c r="W94" s="10" t="e">
        <f t="shared" si="18"/>
        <v>#DIV/0!</v>
      </c>
      <c r="X94" s="10" t="e">
        <f t="shared" si="19"/>
        <v>#DIV/0!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9" t="s">
        <v>75</v>
      </c>
      <c r="AH94" s="10">
        <f t="shared" si="23"/>
        <v>108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1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12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12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12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12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1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1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12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1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12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12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12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12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12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12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12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12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12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1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12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12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12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12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12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12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12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12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12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12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12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12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12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12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12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12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12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12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12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12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12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12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12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1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12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12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1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12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12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12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12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12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12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12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12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12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12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12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12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12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12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12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12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12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12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12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12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12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12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12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12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12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12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12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12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12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12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12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12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12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12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12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12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12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12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12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12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12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12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12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12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12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12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12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12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12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12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12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12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12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12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12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12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12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12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12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12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12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12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12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12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12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12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12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12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12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12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12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12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12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12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12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12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12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12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12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12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12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12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12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12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12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12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12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12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12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12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12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12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12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12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12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12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12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12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12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12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12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12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12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12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12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12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12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12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12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12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12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12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12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12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12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12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12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12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12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12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12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12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12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12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12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12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12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12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12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12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12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12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12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12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12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12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12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12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12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12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12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12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12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12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12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12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12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12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12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12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12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12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12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12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12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12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12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12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12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12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12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12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12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12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12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12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12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12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12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12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12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12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12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12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12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12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12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12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12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12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12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12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12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12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12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12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12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12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12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12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12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12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12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12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12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12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12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12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12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12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12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12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12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12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12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12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12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12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12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12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12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12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12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12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12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12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12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12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12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12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12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12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12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12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12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12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12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12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12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12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12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12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12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12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12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12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12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12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12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12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12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12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12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12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12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12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12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12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12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12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12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12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12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12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12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12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12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12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12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12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12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12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12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12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12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12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12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12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12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12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12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12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12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12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12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12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12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12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12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12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12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12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12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12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12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12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12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12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12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12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12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12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12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12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12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12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12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12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12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12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12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12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12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12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12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12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12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12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12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12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12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12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12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12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12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12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12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12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12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12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12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12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12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12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12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12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12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12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12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12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12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12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12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12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12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12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12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12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12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12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12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12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12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12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12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12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12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12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12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12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12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12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12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12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12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12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12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12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12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</sheetData>
  <autoFilter ref="A3:AH94" xr:uid="{008F49A9-E0F0-48FE-A2DB-962184793A9C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2025-12-11T11:16:46Z</dcterms:created>
  <dcterms:modified xsi:type="dcterms:W3CDTF">2025-12-11T11:31:08Z</dcterms:modified>
</cp:coreProperties>
</file>