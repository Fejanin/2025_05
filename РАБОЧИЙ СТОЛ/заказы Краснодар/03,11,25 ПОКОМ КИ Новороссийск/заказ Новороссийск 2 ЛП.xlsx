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och\"/>
    </mc:Choice>
  </mc:AlternateContent>
  <xr:revisionPtr revIDLastSave="0" documentId="13_ncr:1_{8498F76D-0DE1-4A73-86DA-E25A309AA8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Z424" i="1"/>
  <c r="Y424" i="1"/>
  <c r="P424" i="1"/>
  <c r="BO423" i="1"/>
  <c r="BM423" i="1"/>
  <c r="Y423" i="1"/>
  <c r="BP423" i="1" s="1"/>
  <c r="P423" i="1"/>
  <c r="BP422" i="1"/>
  <c r="BO422" i="1"/>
  <c r="BN422" i="1"/>
  <c r="BM422" i="1"/>
  <c r="Z422" i="1"/>
  <c r="Y422" i="1"/>
  <c r="Y434" i="1" s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Y413" i="1" s="1"/>
  <c r="P408" i="1"/>
  <c r="X406" i="1"/>
  <c r="X405" i="1"/>
  <c r="BO404" i="1"/>
  <c r="BM404" i="1"/>
  <c r="Y404" i="1"/>
  <c r="V500" i="1" s="1"/>
  <c r="P404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Y400" i="1" s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U500" i="1" s="1"/>
  <c r="P386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2" i="1" s="1"/>
  <c r="P379" i="1"/>
  <c r="X377" i="1"/>
  <c r="X376" i="1"/>
  <c r="BO375" i="1"/>
  <c r="BM375" i="1"/>
  <c r="Y375" i="1"/>
  <c r="BP375" i="1" s="1"/>
  <c r="P375" i="1"/>
  <c r="BP374" i="1"/>
  <c r="BO374" i="1"/>
  <c r="BN374" i="1"/>
  <c r="BM374" i="1"/>
  <c r="Z374" i="1"/>
  <c r="Y374" i="1"/>
  <c r="Y376" i="1" s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T500" i="1" s="1"/>
  <c r="P369" i="1"/>
  <c r="X366" i="1"/>
  <c r="X365" i="1"/>
  <c r="BO364" i="1"/>
  <c r="BM364" i="1"/>
  <c r="Y364" i="1"/>
  <c r="Y365" i="1" s="1"/>
  <c r="P364" i="1"/>
  <c r="X362" i="1"/>
  <c r="X361" i="1"/>
  <c r="BO360" i="1"/>
  <c r="BM360" i="1"/>
  <c r="Y360" i="1"/>
  <c r="BP360" i="1" s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Y357" i="1" s="1"/>
  <c r="P354" i="1"/>
  <c r="X352" i="1"/>
  <c r="X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Y351" i="1" s="1"/>
  <c r="P344" i="1"/>
  <c r="X340" i="1"/>
  <c r="X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R500" i="1" s="1"/>
  <c r="P336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Y332" i="1" s="1"/>
  <c r="P329" i="1"/>
  <c r="X327" i="1"/>
  <c r="X326" i="1"/>
  <c r="BO325" i="1"/>
  <c r="BM325" i="1"/>
  <c r="Y325" i="1"/>
  <c r="BP325" i="1" s="1"/>
  <c r="P325" i="1"/>
  <c r="BP324" i="1"/>
  <c r="BO324" i="1"/>
  <c r="BN324" i="1"/>
  <c r="BM324" i="1"/>
  <c r="Z324" i="1"/>
  <c r="Y324" i="1"/>
  <c r="P324" i="1"/>
  <c r="BO323" i="1"/>
  <c r="BM323" i="1"/>
  <c r="Y323" i="1"/>
  <c r="BP323" i="1" s="1"/>
  <c r="BO322" i="1"/>
  <c r="BM322" i="1"/>
  <c r="Y322" i="1"/>
  <c r="Y326" i="1" s="1"/>
  <c r="P322" i="1"/>
  <c r="X320" i="1"/>
  <c r="X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O316" i="1"/>
  <c r="BM316" i="1"/>
  <c r="Y316" i="1"/>
  <c r="Y319" i="1" s="1"/>
  <c r="P316" i="1"/>
  <c r="X314" i="1"/>
  <c r="X313" i="1"/>
  <c r="BO312" i="1"/>
  <c r="BM312" i="1"/>
  <c r="Y312" i="1"/>
  <c r="BP312" i="1" s="1"/>
  <c r="P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Y313" i="1" s="1"/>
  <c r="P308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Y305" i="1" s="1"/>
  <c r="P298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Y276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Y269" i="1" s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N256" i="1"/>
  <c r="BM256" i="1"/>
  <c r="Z256" i="1"/>
  <c r="Y256" i="1"/>
  <c r="BP256" i="1" s="1"/>
  <c r="P256" i="1"/>
  <c r="BO255" i="1"/>
  <c r="BM255" i="1"/>
  <c r="Y255" i="1"/>
  <c r="L500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1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Y222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6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Y173" i="1" s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H500" i="1" s="1"/>
  <c r="P141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8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0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500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8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00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3" i="1"/>
  <c r="Y69" i="1"/>
  <c r="Y77" i="1"/>
  <c r="Y83" i="1"/>
  <c r="Y90" i="1"/>
  <c r="Y96" i="1"/>
  <c r="Y105" i="1"/>
  <c r="Y111" i="1"/>
  <c r="Y117" i="1"/>
  <c r="Y128" i="1"/>
  <c r="Y132" i="1"/>
  <c r="Y138" i="1"/>
  <c r="Y145" i="1"/>
  <c r="Y151" i="1"/>
  <c r="Y172" i="1"/>
  <c r="Y178" i="1"/>
  <c r="Y189" i="1"/>
  <c r="Y193" i="1"/>
  <c r="Y205" i="1"/>
  <c r="Y217" i="1"/>
  <c r="Y221" i="1"/>
  <c r="Y236" i="1"/>
  <c r="Y240" i="1"/>
  <c r="Y244" i="1"/>
  <c r="Y252" i="1"/>
  <c r="Z258" i="1"/>
  <c r="BN258" i="1"/>
  <c r="Y261" i="1"/>
  <c r="M500" i="1"/>
  <c r="Z265" i="1"/>
  <c r="Z268" i="1" s="1"/>
  <c r="BN265" i="1"/>
  <c r="BP265" i="1"/>
  <c r="Z267" i="1"/>
  <c r="BN267" i="1"/>
  <c r="Y268" i="1"/>
  <c r="Z272" i="1"/>
  <c r="BN272" i="1"/>
  <c r="BP274" i="1"/>
  <c r="BN274" i="1"/>
  <c r="Z274" i="1"/>
  <c r="P500" i="1"/>
  <c r="Y282" i="1"/>
  <c r="BP279" i="1"/>
  <c r="BN279" i="1"/>
  <c r="Z279" i="1"/>
  <c r="Z281" i="1" s="1"/>
  <c r="Q500" i="1"/>
  <c r="BP292" i="1"/>
  <c r="BN292" i="1"/>
  <c r="Z292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7" i="1" s="1"/>
  <c r="BN73" i="1"/>
  <c r="Z75" i="1"/>
  <c r="BN75" i="1"/>
  <c r="Z81" i="1"/>
  <c r="Z82" i="1" s="1"/>
  <c r="BN81" i="1"/>
  <c r="Z86" i="1"/>
  <c r="Z89" i="1" s="1"/>
  <c r="BN86" i="1"/>
  <c r="BP86" i="1"/>
  <c r="Z88" i="1"/>
  <c r="BN88" i="1"/>
  <c r="Y89" i="1"/>
  <c r="Z92" i="1"/>
  <c r="Z96" i="1" s="1"/>
  <c r="BN92" i="1"/>
  <c r="BP92" i="1"/>
  <c r="Z94" i="1"/>
  <c r="BN94" i="1"/>
  <c r="F500" i="1"/>
  <c r="Z101" i="1"/>
  <c r="Z104" i="1" s="1"/>
  <c r="BN101" i="1"/>
  <c r="Z103" i="1"/>
  <c r="BN103" i="1"/>
  <c r="Y104" i="1"/>
  <c r="Z107" i="1"/>
  <c r="BN107" i="1"/>
  <c r="BP107" i="1"/>
  <c r="Z109" i="1"/>
  <c r="BN109" i="1"/>
  <c r="Z113" i="1"/>
  <c r="Z117" i="1" s="1"/>
  <c r="BN113" i="1"/>
  <c r="BP113" i="1"/>
  <c r="Z115" i="1"/>
  <c r="BN115" i="1"/>
  <c r="G500" i="1"/>
  <c r="Z126" i="1"/>
  <c r="Z127" i="1" s="1"/>
  <c r="BN126" i="1"/>
  <c r="Y127" i="1"/>
  <c r="Z130" i="1"/>
  <c r="Z132" i="1" s="1"/>
  <c r="BN130" i="1"/>
  <c r="BP130" i="1"/>
  <c r="Z136" i="1"/>
  <c r="Z137" i="1" s="1"/>
  <c r="BN136" i="1"/>
  <c r="Z141" i="1"/>
  <c r="Z144" i="1" s="1"/>
  <c r="BN141" i="1"/>
  <c r="BP141" i="1"/>
  <c r="Z143" i="1"/>
  <c r="BN143" i="1"/>
  <c r="Y144" i="1"/>
  <c r="Z147" i="1"/>
  <c r="Z150" i="1" s="1"/>
  <c r="BN147" i="1"/>
  <c r="BP147" i="1"/>
  <c r="Z149" i="1"/>
  <c r="BN149" i="1"/>
  <c r="I500" i="1"/>
  <c r="Y161" i="1"/>
  <c r="Z164" i="1"/>
  <c r="Z172" i="1" s="1"/>
  <c r="BN164" i="1"/>
  <c r="Z166" i="1"/>
  <c r="BN166" i="1"/>
  <c r="Z168" i="1"/>
  <c r="BN168" i="1"/>
  <c r="Z170" i="1"/>
  <c r="BN170" i="1"/>
  <c r="Z176" i="1"/>
  <c r="Z178" i="1" s="1"/>
  <c r="BN176" i="1"/>
  <c r="J500" i="1"/>
  <c r="Z187" i="1"/>
  <c r="Z188" i="1" s="1"/>
  <c r="BN187" i="1"/>
  <c r="Y188" i="1"/>
  <c r="Z191" i="1"/>
  <c r="Z193" i="1" s="1"/>
  <c r="BN191" i="1"/>
  <c r="BP191" i="1"/>
  <c r="Z197" i="1"/>
  <c r="Z204" i="1" s="1"/>
  <c r="BN197" i="1"/>
  <c r="Z199" i="1"/>
  <c r="BN199" i="1"/>
  <c r="Z201" i="1"/>
  <c r="BN201" i="1"/>
  <c r="Z203" i="1"/>
  <c r="BN203" i="1"/>
  <c r="Z207" i="1"/>
  <c r="Z216" i="1" s="1"/>
  <c r="BN207" i="1"/>
  <c r="BP207" i="1"/>
  <c r="Z209" i="1"/>
  <c r="BN209" i="1"/>
  <c r="Z211" i="1"/>
  <c r="BN211" i="1"/>
  <c r="Z213" i="1"/>
  <c r="BN213" i="1"/>
  <c r="Z215" i="1"/>
  <c r="BN215" i="1"/>
  <c r="Z219" i="1"/>
  <c r="Z221" i="1" s="1"/>
  <c r="BN219" i="1"/>
  <c r="BP219" i="1"/>
  <c r="K500" i="1"/>
  <c r="Z226" i="1"/>
  <c r="Z235" i="1" s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Z251" i="1" s="1"/>
  <c r="BN246" i="1"/>
  <c r="BP246" i="1"/>
  <c r="Z248" i="1"/>
  <c r="BN248" i="1"/>
  <c r="Z250" i="1"/>
  <c r="BN250" i="1"/>
  <c r="Z255" i="1"/>
  <c r="Z260" i="1" s="1"/>
  <c r="BN255" i="1"/>
  <c r="BP255" i="1"/>
  <c r="Y260" i="1"/>
  <c r="Y275" i="1"/>
  <c r="BP272" i="1"/>
  <c r="O500" i="1"/>
  <c r="BP290" i="1"/>
  <c r="BN290" i="1"/>
  <c r="Z290" i="1"/>
  <c r="Y296" i="1"/>
  <c r="Y306" i="1"/>
  <c r="Y314" i="1"/>
  <c r="Y320" i="1"/>
  <c r="Y327" i="1"/>
  <c r="Y333" i="1"/>
  <c r="Y340" i="1"/>
  <c r="Y352" i="1"/>
  <c r="Y356" i="1"/>
  <c r="Y362" i="1"/>
  <c r="Y366" i="1"/>
  <c r="Y371" i="1"/>
  <c r="Y377" i="1"/>
  <c r="Y381" i="1"/>
  <c r="Y395" i="1"/>
  <c r="Y401" i="1"/>
  <c r="Y406" i="1"/>
  <c r="Y412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Y448" i="1"/>
  <c r="Z454" i="1"/>
  <c r="BP452" i="1"/>
  <c r="BN452" i="1"/>
  <c r="Z452" i="1"/>
  <c r="BP462" i="1"/>
  <c r="BN462" i="1"/>
  <c r="Z462" i="1"/>
  <c r="Y464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S500" i="1"/>
  <c r="W500" i="1"/>
  <c r="Z294" i="1"/>
  <c r="Z295" i="1" s="1"/>
  <c r="BN294" i="1"/>
  <c r="Y295" i="1"/>
  <c r="Z298" i="1"/>
  <c r="BN298" i="1"/>
  <c r="BP298" i="1"/>
  <c r="Z300" i="1"/>
  <c r="BN300" i="1"/>
  <c r="Z302" i="1"/>
  <c r="BN302" i="1"/>
  <c r="Z304" i="1"/>
  <c r="BN304" i="1"/>
  <c r="Z308" i="1"/>
  <c r="Z313" i="1" s="1"/>
  <c r="BN308" i="1"/>
  <c r="BP308" i="1"/>
  <c r="Z310" i="1"/>
  <c r="BN310" i="1"/>
  <c r="Z312" i="1"/>
  <c r="BN312" i="1"/>
  <c r="Z316" i="1"/>
  <c r="BN316" i="1"/>
  <c r="BP316" i="1"/>
  <c r="Z318" i="1"/>
  <c r="BN318" i="1"/>
  <c r="Z322" i="1"/>
  <c r="Z326" i="1" s="1"/>
  <c r="BN322" i="1"/>
  <c r="BP322" i="1"/>
  <c r="Z323" i="1"/>
  <c r="BN323" i="1"/>
  <c r="Z325" i="1"/>
  <c r="BN325" i="1"/>
  <c r="Z329" i="1"/>
  <c r="BN329" i="1"/>
  <c r="BP329" i="1"/>
  <c r="Z331" i="1"/>
  <c r="BN331" i="1"/>
  <c r="Z336" i="1"/>
  <c r="Z339" i="1" s="1"/>
  <c r="BN336" i="1"/>
  <c r="BP336" i="1"/>
  <c r="Z338" i="1"/>
  <c r="BN338" i="1"/>
  <c r="Y339" i="1"/>
  <c r="Z344" i="1"/>
  <c r="Z351" i="1" s="1"/>
  <c r="BN344" i="1"/>
  <c r="BP344" i="1"/>
  <c r="Z346" i="1"/>
  <c r="BN346" i="1"/>
  <c r="Z348" i="1"/>
  <c r="BN348" i="1"/>
  <c r="Z350" i="1"/>
  <c r="BN350" i="1"/>
  <c r="Z354" i="1"/>
  <c r="Z356" i="1" s="1"/>
  <c r="BN354" i="1"/>
  <c r="BP354" i="1"/>
  <c r="Z360" i="1"/>
  <c r="Z361" i="1" s="1"/>
  <c r="BN360" i="1"/>
  <c r="Z364" i="1"/>
  <c r="Z365" i="1" s="1"/>
  <c r="BN364" i="1"/>
  <c r="BP364" i="1"/>
  <c r="Z369" i="1"/>
  <c r="Z371" i="1" s="1"/>
  <c r="BN369" i="1"/>
  <c r="BP369" i="1"/>
  <c r="Y372" i="1"/>
  <c r="Z375" i="1"/>
  <c r="Z376" i="1" s="1"/>
  <c r="BN375" i="1"/>
  <c r="Z379" i="1"/>
  <c r="Z381" i="1" s="1"/>
  <c r="BN379" i="1"/>
  <c r="BP379" i="1"/>
  <c r="Z387" i="1"/>
  <c r="Z395" i="1" s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X500" i="1"/>
  <c r="Y433" i="1"/>
  <c r="Z423" i="1"/>
  <c r="Z433" i="1" s="1"/>
  <c r="BN423" i="1"/>
  <c r="BP424" i="1"/>
  <c r="BN424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BP446" i="1"/>
  <c r="BN446" i="1"/>
  <c r="Z446" i="1"/>
  <c r="Y455" i="1"/>
  <c r="Y454" i="1"/>
  <c r="BP460" i="1"/>
  <c r="BN460" i="1"/>
  <c r="Z460" i="1"/>
  <c r="Z463" i="1" s="1"/>
  <c r="BP468" i="1"/>
  <c r="BN468" i="1"/>
  <c r="Z468" i="1"/>
  <c r="Y470" i="1"/>
  <c r="Y475" i="1"/>
  <c r="BP472" i="1"/>
  <c r="BN472" i="1"/>
  <c r="Z472" i="1"/>
  <c r="Z474" i="1" s="1"/>
  <c r="Y483" i="1"/>
  <c r="Y500" i="1"/>
  <c r="Z448" i="1" l="1"/>
  <c r="Z412" i="1"/>
  <c r="Z332" i="1"/>
  <c r="Z319" i="1"/>
  <c r="Z305" i="1"/>
  <c r="Z469" i="1"/>
  <c r="Z439" i="1"/>
  <c r="Z110" i="1"/>
  <c r="Z43" i="1"/>
  <c r="Z31" i="1"/>
  <c r="Y494" i="1"/>
  <c r="Y491" i="1"/>
  <c r="Y490" i="1"/>
  <c r="Y492" i="1"/>
  <c r="Z275" i="1"/>
  <c r="Z495" i="1" s="1"/>
  <c r="Y493" i="1" l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<sst xmlns="http://schemas.openxmlformats.org/spreadsheetml/2006/main" count="2355" uniqueCount="766">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</sst>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68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0" t="s">
        <v>8</v>
      </c>
      <c r="B5" s="643"/>
      <c r="C5" s="644"/>
      <c r="D5" s="627"/>
      <c r="E5" s="628"/>
      <c r="F5" s="837" t="s">
        <v>9</v>
      </c>
      <c r="G5" s="644"/>
      <c r="H5" s="627"/>
      <c r="I5" s="781"/>
      <c r="J5" s="781"/>
      <c r="K5" s="781"/>
      <c r="L5" s="781"/>
      <c r="M5" s="628"/>
      <c r="N5" s="58"/>
      <c r="P5" s="24" t="s">
        <v>10</v>
      </c>
      <c r="Q5" s="846">
        <v>45967</v>
      </c>
      <c r="R5" s="669"/>
      <c r="T5" s="708" t="s">
        <v>11</v>
      </c>
      <c r="U5" s="709"/>
      <c r="V5" s="711" t="s">
        <v>12</v>
      </c>
      <c r="W5" s="669"/>
      <c r="AB5" s="51"/>
      <c r="AC5" s="51"/>
      <c r="AD5" s="51"/>
      <c r="AE5" s="51"/>
    </row>
    <row r="6" spans="1:32" s="537" customFormat="1" ht="24" customHeight="1" x14ac:dyDescent="0.2">
      <c r="A6" s="670" t="s">
        <v>13</v>
      </c>
      <c r="B6" s="643"/>
      <c r="C6" s="644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9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8" t="s">
        <v>16</v>
      </c>
      <c r="U6" s="709"/>
      <c r="V6" s="767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4"/>
      <c r="U7" s="709"/>
      <c r="V7" s="768"/>
      <c r="W7" s="769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3"/>
      <c r="C8" s="564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6">
        <v>0.41666666666666669</v>
      </c>
      <c r="R8" s="606"/>
      <c r="T8" s="554"/>
      <c r="U8" s="709"/>
      <c r="V8" s="768"/>
      <c r="W8" s="769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6"/>
      <c r="E9" s="561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5"/>
      <c r="R9" s="666"/>
      <c r="T9" s="554"/>
      <c r="U9" s="709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6"/>
      <c r="E10" s="561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60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19"/>
      <c r="R10" s="720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5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3"/>
      <c r="C12" s="643"/>
      <c r="D12" s="643"/>
      <c r="E12" s="643"/>
      <c r="F12" s="643"/>
      <c r="G12" s="643"/>
      <c r="H12" s="643"/>
      <c r="I12" s="643"/>
      <c r="J12" s="643"/>
      <c r="K12" s="643"/>
      <c r="L12" s="643"/>
      <c r="M12" s="644"/>
      <c r="N12" s="62"/>
      <c r="P12" s="24" t="s">
        <v>30</v>
      </c>
      <c r="Q12" s="676"/>
      <c r="R12" s="606"/>
      <c r="S12" s="23"/>
      <c r="U12" s="24"/>
      <c r="V12" s="574"/>
      <c r="W12" s="554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3"/>
      <c r="C13" s="643"/>
      <c r="D13" s="643"/>
      <c r="E13" s="643"/>
      <c r="F13" s="643"/>
      <c r="G13" s="643"/>
      <c r="H13" s="643"/>
      <c r="I13" s="643"/>
      <c r="J13" s="643"/>
      <c r="K13" s="643"/>
      <c r="L13" s="643"/>
      <c r="M13" s="644"/>
      <c r="N13" s="62"/>
      <c r="O13" s="26"/>
      <c r="P13" s="26" t="s">
        <v>32</v>
      </c>
      <c r="Q13" s="805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3"/>
      <c r="C14" s="643"/>
      <c r="D14" s="643"/>
      <c r="E14" s="643"/>
      <c r="F14" s="643"/>
      <c r="G14" s="643"/>
      <c r="H14" s="643"/>
      <c r="I14" s="643"/>
      <c r="J14" s="643"/>
      <c r="K14" s="643"/>
      <c r="L14" s="643"/>
      <c r="M14" s="64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5" t="s">
        <v>34</v>
      </c>
      <c r="B15" s="643"/>
      <c r="C15" s="643"/>
      <c r="D15" s="643"/>
      <c r="E15" s="643"/>
      <c r="F15" s="643"/>
      <c r="G15" s="643"/>
      <c r="H15" s="643"/>
      <c r="I15" s="643"/>
      <c r="J15" s="643"/>
      <c r="K15" s="643"/>
      <c r="L15" s="643"/>
      <c r="M15" s="644"/>
      <c r="N15" s="63"/>
      <c r="P15" s="696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4" t="s">
        <v>36</v>
      </c>
      <c r="B17" s="584" t="s">
        <v>37</v>
      </c>
      <c r="C17" s="683" t="s">
        <v>38</v>
      </c>
      <c r="D17" s="584" t="s">
        <v>39</v>
      </c>
      <c r="E17" s="652"/>
      <c r="F17" s="584" t="s">
        <v>40</v>
      </c>
      <c r="G17" s="584" t="s">
        <v>41</v>
      </c>
      <c r="H17" s="584" t="s">
        <v>42</v>
      </c>
      <c r="I17" s="584" t="s">
        <v>43</v>
      </c>
      <c r="J17" s="584" t="s">
        <v>44</v>
      </c>
      <c r="K17" s="584" t="s">
        <v>45</v>
      </c>
      <c r="L17" s="584" t="s">
        <v>46</v>
      </c>
      <c r="M17" s="584" t="s">
        <v>47</v>
      </c>
      <c r="N17" s="584" t="s">
        <v>48</v>
      </c>
      <c r="O17" s="584" t="s">
        <v>49</v>
      </c>
      <c r="P17" s="584" t="s">
        <v>50</v>
      </c>
      <c r="Q17" s="651"/>
      <c r="R17" s="651"/>
      <c r="S17" s="651"/>
      <c r="T17" s="652"/>
      <c r="U17" s="865" t="s">
        <v>51</v>
      </c>
      <c r="V17" s="644"/>
      <c r="W17" s="584" t="s">
        <v>52</v>
      </c>
      <c r="X17" s="584" t="s">
        <v>53</v>
      </c>
      <c r="Y17" s="863" t="s">
        <v>54</v>
      </c>
      <c r="Z17" s="779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85"/>
      <c r="B18" s="585"/>
      <c r="C18" s="585"/>
      <c r="D18" s="653"/>
      <c r="E18" s="65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5"/>
      <c r="X18" s="585"/>
      <c r="Y18" s="864"/>
      <c r="Z18" s="780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customHeight="1" x14ac:dyDescent="0.25">
      <c r="A21" s="558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8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8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customHeight="1" x14ac:dyDescent="0.25">
      <c r="A39" s="558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58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customHeight="1" x14ac:dyDescent="0.25">
      <c r="A50" s="558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customHeight="1" x14ac:dyDescent="0.25">
      <c r="A59" s="558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300</v>
      </c>
      <c r="Y60" s="544">
        <f>IFERROR(IF(X60="",0,CEILING((X60/$H60),1)*$H60),"")</f>
        <v>302.40000000000003</v>
      </c>
      <c r="Z60" s="36">
        <f>IFERROR(IF(Y60=0,"",ROUNDUP(Y60/H60,0)*0.01898),"")</f>
        <v>0.53144000000000002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312.08333333333331</v>
      </c>
      <c r="BN60" s="64">
        <f>IFERROR(Y60*I60/H60,"0")</f>
        <v>314.58000000000004</v>
      </c>
      <c r="BO60" s="64">
        <f>IFERROR(1/J60*(X60/H60),"0")</f>
        <v>0.43402777777777773</v>
      </c>
      <c r="BP60" s="64">
        <f>IFERROR(1/J60*(Y60/H60),"0")</f>
        <v>0.4375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27.777777777777775</v>
      </c>
      <c r="Y63" s="545">
        <f>IFERROR(Y60/H60,"0")+IFERROR(Y61/H61,"0")+IFERROR(Y62/H62,"0")</f>
        <v>28</v>
      </c>
      <c r="Z63" s="545">
        <f>IFERROR(IF(Z60="",0,Z60),"0")+IFERROR(IF(Z61="",0,Z61),"0")+IFERROR(IF(Z62="",0,Z62),"0")</f>
        <v>0.53144000000000002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300</v>
      </c>
      <c r="Y64" s="545">
        <f>IFERROR(SUM(Y60:Y62),"0")</f>
        <v>302.40000000000003</v>
      </c>
      <c r="Z64" s="37"/>
      <c r="AA64" s="546"/>
      <c r="AB64" s="546"/>
      <c r="AC64" s="546"/>
    </row>
    <row r="65" spans="1:68" ht="14.25" customHeight="1" x14ac:dyDescent="0.25">
      <c r="A65" s="558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8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16.5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2" t="s">
        <v>71</v>
      </c>
      <c r="Q77" s="563"/>
      <c r="R77" s="563"/>
      <c r="S77" s="563"/>
      <c r="T77" s="563"/>
      <c r="U77" s="563"/>
      <c r="V77" s="56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2" t="s">
        <v>71</v>
      </c>
      <c r="Q78" s="563"/>
      <c r="R78" s="563"/>
      <c r="S78" s="563"/>
      <c r="T78" s="563"/>
      <c r="U78" s="563"/>
      <c r="V78" s="56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customHeight="1" x14ac:dyDescent="0.25">
      <c r="A79" s="558" t="s">
        <v>166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9"/>
      <c r="AB79" s="539"/>
      <c r="AC79" s="539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2" t="s">
        <v>71</v>
      </c>
      <c r="Q82" s="563"/>
      <c r="R82" s="563"/>
      <c r="S82" s="563"/>
      <c r="T82" s="563"/>
      <c r="U82" s="563"/>
      <c r="V82" s="56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2" t="s">
        <v>71</v>
      </c>
      <c r="Q83" s="563"/>
      <c r="R83" s="563"/>
      <c r="S83" s="563"/>
      <c r="T83" s="563"/>
      <c r="U83" s="563"/>
      <c r="V83" s="56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59" t="s">
        <v>173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8"/>
      <c r="AB84" s="538"/>
      <c r="AC84" s="538"/>
    </row>
    <row r="85" spans="1:68" ht="14.25" customHeight="1" x14ac:dyDescent="0.25">
      <c r="A85" s="558" t="s">
        <v>101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2" t="s">
        <v>71</v>
      </c>
      <c r="Q89" s="563"/>
      <c r="R89" s="563"/>
      <c r="S89" s="563"/>
      <c r="T89" s="563"/>
      <c r="U89" s="563"/>
      <c r="V89" s="564"/>
      <c r="W89" s="37" t="s">
        <v>72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2" t="s">
        <v>71</v>
      </c>
      <c r="Q90" s="563"/>
      <c r="R90" s="563"/>
      <c r="S90" s="563"/>
      <c r="T90" s="563"/>
      <c r="U90" s="563"/>
      <c r="V90" s="564"/>
      <c r="W90" s="37" t="s">
        <v>69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customHeight="1" x14ac:dyDescent="0.25">
      <c r="A91" s="558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2" t="s">
        <v>71</v>
      </c>
      <c r="Q96" s="563"/>
      <c r="R96" s="563"/>
      <c r="S96" s="563"/>
      <c r="T96" s="563"/>
      <c r="U96" s="563"/>
      <c r="V96" s="564"/>
      <c r="W96" s="37" t="s">
        <v>72</v>
      </c>
      <c r="X96" s="545">
        <f>IFERROR(X92/H92,"0")+IFERROR(X93/H93,"0")+IFERROR(X94/H94,"0")+IFERROR(X95/H95,"0")</f>
        <v>0</v>
      </c>
      <c r="Y96" s="545">
        <f>IFERROR(Y92/H92,"0")+IFERROR(Y93/H93,"0")+IFERROR(Y94/H94,"0")+IFERROR(Y95/H95,"0")</f>
        <v>0</v>
      </c>
      <c r="Z96" s="545">
        <f>IFERROR(IF(Z92="",0,Z92),"0")+IFERROR(IF(Z93="",0,Z93),"0")+IFERROR(IF(Z94="",0,Z94),"0")+IFERROR(IF(Z95="",0,Z95),"0")</f>
        <v>0</v>
      </c>
      <c r="AA96" s="546"/>
      <c r="AB96" s="546"/>
      <c r="AC96" s="546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2" t="s">
        <v>71</v>
      </c>
      <c r="Q97" s="563"/>
      <c r="R97" s="563"/>
      <c r="S97" s="563"/>
      <c r="T97" s="563"/>
      <c r="U97" s="563"/>
      <c r="V97" s="564"/>
      <c r="W97" s="37" t="s">
        <v>69</v>
      </c>
      <c r="X97" s="545">
        <f>IFERROR(SUM(X92:X95),"0")</f>
        <v>0</v>
      </c>
      <c r="Y97" s="545">
        <f>IFERROR(SUM(Y92:Y95),"0")</f>
        <v>0</v>
      </c>
      <c r="Z97" s="37"/>
      <c r="AA97" s="546"/>
      <c r="AB97" s="546"/>
      <c r="AC97" s="546"/>
    </row>
    <row r="98" spans="1:68" ht="16.5" customHeight="1" x14ac:dyDescent="0.25">
      <c r="A98" s="559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8"/>
      <c r="AB98" s="538"/>
      <c r="AC98" s="538"/>
    </row>
    <row r="99" spans="1:68" ht="14.25" customHeight="1" x14ac:dyDescent="0.25">
      <c r="A99" s="558" t="s">
        <v>101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2" t="s">
        <v>71</v>
      </c>
      <c r="Q104" s="563"/>
      <c r="R104" s="563"/>
      <c r="S104" s="563"/>
      <c r="T104" s="563"/>
      <c r="U104" s="563"/>
      <c r="V104" s="564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2" t="s">
        <v>71</v>
      </c>
      <c r="Q105" s="563"/>
      <c r="R105" s="563"/>
      <c r="S105" s="563"/>
      <c r="T105" s="563"/>
      <c r="U105" s="563"/>
      <c r="V105" s="564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customHeight="1" x14ac:dyDescent="0.25">
      <c r="A106" s="558" t="s">
        <v>136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9"/>
      <c r="AB106" s="539"/>
      <c r="AC106" s="539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6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2" t="s">
        <v>71</v>
      </c>
      <c r="Q110" s="563"/>
      <c r="R110" s="563"/>
      <c r="S110" s="563"/>
      <c r="T110" s="563"/>
      <c r="U110" s="563"/>
      <c r="V110" s="564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2" t="s">
        <v>71</v>
      </c>
      <c r="Q111" s="563"/>
      <c r="R111" s="563"/>
      <c r="S111" s="563"/>
      <c r="T111" s="563"/>
      <c r="U111" s="563"/>
      <c r="V111" s="564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8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2" t="s">
        <v>71</v>
      </c>
      <c r="Q117" s="563"/>
      <c r="R117" s="563"/>
      <c r="S117" s="563"/>
      <c r="T117" s="563"/>
      <c r="U117" s="563"/>
      <c r="V117" s="564"/>
      <c r="W117" s="37" t="s">
        <v>72</v>
      </c>
      <c r="X117" s="545">
        <f>IFERROR(X113/H113,"0")+IFERROR(X114/H114,"0")+IFERROR(X115/H115,"0")+IFERROR(X116/H116,"0")</f>
        <v>0</v>
      </c>
      <c r="Y117" s="545">
        <f>IFERROR(Y113/H113,"0")+IFERROR(Y114/H114,"0")+IFERROR(Y115/H115,"0")+IFERROR(Y116/H116,"0")</f>
        <v>0</v>
      </c>
      <c r="Z117" s="545">
        <f>IFERROR(IF(Z113="",0,Z113),"0")+IFERROR(IF(Z114="",0,Z114),"0")+IFERROR(IF(Z115="",0,Z115),"0")+IFERROR(IF(Z116="",0,Z116),"0")</f>
        <v>0</v>
      </c>
      <c r="AA117" s="546"/>
      <c r="AB117" s="546"/>
      <c r="AC117" s="546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2" t="s">
        <v>71</v>
      </c>
      <c r="Q118" s="563"/>
      <c r="R118" s="563"/>
      <c r="S118" s="563"/>
      <c r="T118" s="563"/>
      <c r="U118" s="563"/>
      <c r="V118" s="564"/>
      <c r="W118" s="37" t="s">
        <v>69</v>
      </c>
      <c r="X118" s="545">
        <f>IFERROR(SUM(X113:X116),"0")</f>
        <v>0</v>
      </c>
      <c r="Y118" s="545">
        <f>IFERROR(SUM(Y113:Y116),"0")</f>
        <v>0</v>
      </c>
      <c r="Z118" s="37"/>
      <c r="AA118" s="546"/>
      <c r="AB118" s="546"/>
      <c r="AC118" s="546"/>
    </row>
    <row r="119" spans="1:68" ht="14.25" customHeight="1" x14ac:dyDescent="0.25">
      <c r="A119" s="558" t="s">
        <v>166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9"/>
      <c r="AB119" s="539"/>
      <c r="AC119" s="539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2" t="s">
        <v>71</v>
      </c>
      <c r="Q121" s="563"/>
      <c r="R121" s="563"/>
      <c r="S121" s="563"/>
      <c r="T121" s="563"/>
      <c r="U121" s="563"/>
      <c r="V121" s="56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2" t="s">
        <v>71</v>
      </c>
      <c r="Q122" s="563"/>
      <c r="R122" s="563"/>
      <c r="S122" s="563"/>
      <c r="T122" s="563"/>
      <c r="U122" s="563"/>
      <c r="V122" s="56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9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8"/>
      <c r="AB123" s="538"/>
      <c r="AC123" s="538"/>
    </row>
    <row r="124" spans="1:68" ht="14.25" customHeight="1" x14ac:dyDescent="0.25">
      <c r="A124" s="558" t="s">
        <v>101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9"/>
      <c r="AB124" s="539"/>
      <c r="AC124" s="539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2" t="s">
        <v>71</v>
      </c>
      <c r="Q127" s="563"/>
      <c r="R127" s="563"/>
      <c r="S127" s="563"/>
      <c r="T127" s="563"/>
      <c r="U127" s="563"/>
      <c r="V127" s="564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2" t="s">
        <v>71</v>
      </c>
      <c r="Q128" s="563"/>
      <c r="R128" s="563"/>
      <c r="S128" s="563"/>
      <c r="T128" s="563"/>
      <c r="U128" s="563"/>
      <c r="V128" s="564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8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9"/>
      <c r="AB129" s="539"/>
      <c r="AC129" s="539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2" t="s">
        <v>71</v>
      </c>
      <c r="Q132" s="563"/>
      <c r="R132" s="563"/>
      <c r="S132" s="563"/>
      <c r="T132" s="563"/>
      <c r="U132" s="563"/>
      <c r="V132" s="564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2" t="s">
        <v>71</v>
      </c>
      <c r="Q133" s="563"/>
      <c r="R133" s="563"/>
      <c r="S133" s="563"/>
      <c r="T133" s="563"/>
      <c r="U133" s="563"/>
      <c r="V133" s="564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8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9"/>
      <c r="AB134" s="539"/>
      <c r="AC134" s="539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2" t="s">
        <v>71</v>
      </c>
      <c r="Q137" s="563"/>
      <c r="R137" s="563"/>
      <c r="S137" s="563"/>
      <c r="T137" s="563"/>
      <c r="U137" s="563"/>
      <c r="V137" s="564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2" t="s">
        <v>71</v>
      </c>
      <c r="Q138" s="563"/>
      <c r="R138" s="563"/>
      <c r="S138" s="563"/>
      <c r="T138" s="563"/>
      <c r="U138" s="563"/>
      <c r="V138" s="564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9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8"/>
      <c r="AB139" s="538"/>
      <c r="AC139" s="538"/>
    </row>
    <row r="140" spans="1:68" ht="14.25" customHeight="1" x14ac:dyDescent="0.25">
      <c r="A140" s="558" t="s">
        <v>101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9"/>
      <c r="AB140" s="539"/>
      <c r="AC140" s="539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4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2" t="s">
        <v>71</v>
      </c>
      <c r="Q144" s="563"/>
      <c r="R144" s="563"/>
      <c r="S144" s="563"/>
      <c r="T144" s="563"/>
      <c r="U144" s="563"/>
      <c r="V144" s="564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2" t="s">
        <v>71</v>
      </c>
      <c r="Q145" s="563"/>
      <c r="R145" s="563"/>
      <c r="S145" s="563"/>
      <c r="T145" s="563"/>
      <c r="U145" s="563"/>
      <c r="V145" s="564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customHeight="1" x14ac:dyDescent="0.25">
      <c r="A146" s="558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9"/>
      <c r="AB146" s="539"/>
      <c r="AC146" s="539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3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2" t="s">
        <v>71</v>
      </c>
      <c r="Q150" s="563"/>
      <c r="R150" s="563"/>
      <c r="S150" s="563"/>
      <c r="T150" s="563"/>
      <c r="U150" s="563"/>
      <c r="V150" s="564"/>
      <c r="W150" s="37" t="s">
        <v>72</v>
      </c>
      <c r="X150" s="545">
        <f>IFERROR(X147/H147,"0")+IFERROR(X148/H148,"0")+IFERROR(X149/H149,"0")</f>
        <v>0</v>
      </c>
      <c r="Y150" s="545">
        <f>IFERROR(Y147/H147,"0")+IFERROR(Y148/H148,"0")+IFERROR(Y149/H149,"0")</f>
        <v>0</v>
      </c>
      <c r="Z150" s="545">
        <f>IFERROR(IF(Z147="",0,Z147),"0")+IFERROR(IF(Z148="",0,Z148),"0")+IFERROR(IF(Z149="",0,Z149),"0")</f>
        <v>0</v>
      </c>
      <c r="AA150" s="546"/>
      <c r="AB150" s="546"/>
      <c r="AC150" s="546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2" t="s">
        <v>71</v>
      </c>
      <c r="Q151" s="563"/>
      <c r="R151" s="563"/>
      <c r="S151" s="563"/>
      <c r="T151" s="563"/>
      <c r="U151" s="563"/>
      <c r="V151" s="564"/>
      <c r="W151" s="37" t="s">
        <v>69</v>
      </c>
      <c r="X151" s="545">
        <f>IFERROR(SUM(X147:X149),"0")</f>
        <v>0</v>
      </c>
      <c r="Y151" s="545">
        <f>IFERROR(SUM(Y147:Y149),"0")</f>
        <v>0</v>
      </c>
      <c r="Z151" s="37"/>
      <c r="AA151" s="546"/>
      <c r="AB151" s="546"/>
      <c r="AC151" s="546"/>
    </row>
    <row r="152" spans="1:68" ht="14.25" customHeight="1" x14ac:dyDescent="0.25">
      <c r="A152" s="558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9"/>
      <c r="AB152" s="539"/>
      <c r="AC152" s="539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32" t="s">
        <v>255</v>
      </c>
      <c r="Q153" s="550"/>
      <c r="R153" s="550"/>
      <c r="S153" s="550"/>
      <c r="T153" s="551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2" t="s">
        <v>71</v>
      </c>
      <c r="Q154" s="563"/>
      <c r="R154" s="563"/>
      <c r="S154" s="563"/>
      <c r="T154" s="563"/>
      <c r="U154" s="563"/>
      <c r="V154" s="56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2" t="s">
        <v>71</v>
      </c>
      <c r="Q155" s="563"/>
      <c r="R155" s="563"/>
      <c r="S155" s="563"/>
      <c r="T155" s="563"/>
      <c r="U155" s="563"/>
      <c r="V155" s="56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customHeight="1" x14ac:dyDescent="0.2">
      <c r="A156" s="566" t="s">
        <v>257</v>
      </c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48"/>
      <c r="AB156" s="48"/>
      <c r="AC156" s="48"/>
    </row>
    <row r="157" spans="1:68" ht="16.5" customHeight="1" x14ac:dyDescent="0.25">
      <c r="A157" s="559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8"/>
      <c r="AB157" s="538"/>
      <c r="AC157" s="538"/>
    </row>
    <row r="158" spans="1:68" ht="14.25" customHeight="1" x14ac:dyDescent="0.25">
      <c r="A158" s="558" t="s">
        <v>136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9"/>
      <c r="AB158" s="539"/>
      <c r="AC158" s="539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0"/>
      <c r="R159" s="550"/>
      <c r="S159" s="550"/>
      <c r="T159" s="551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2" t="s">
        <v>71</v>
      </c>
      <c r="Q160" s="563"/>
      <c r="R160" s="563"/>
      <c r="S160" s="563"/>
      <c r="T160" s="563"/>
      <c r="U160" s="563"/>
      <c r="V160" s="56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2" t="s">
        <v>71</v>
      </c>
      <c r="Q161" s="563"/>
      <c r="R161" s="563"/>
      <c r="S161" s="563"/>
      <c r="T161" s="563"/>
      <c r="U161" s="563"/>
      <c r="V161" s="56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customHeight="1" x14ac:dyDescent="0.25">
      <c r="A162" s="558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9"/>
      <c r="AB162" s="539"/>
      <c r="AC162" s="539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customHeight="1" x14ac:dyDescent="0.25">
      <c r="A174" s="558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8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customHeight="1" x14ac:dyDescent="0.25">
      <c r="A185" s="558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8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8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58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58" t="s">
        <v>166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customHeight="1" x14ac:dyDescent="0.25">
      <c r="A224" s="558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8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8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8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customHeight="1" x14ac:dyDescent="0.25">
      <c r="A254" s="558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customHeight="1" x14ac:dyDescent="0.25">
      <c r="A263" s="558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customHeight="1" x14ac:dyDescent="0.25">
      <c r="A271" s="558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customHeight="1" x14ac:dyDescent="0.25">
      <c r="A278" s="558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8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8"/>
      <c r="AB287" s="538"/>
      <c r="AC287" s="538"/>
    </row>
    <row r="288" spans="1:68" ht="14.25" customHeight="1" x14ac:dyDescent="0.25">
      <c r="A288" s="558" t="s">
        <v>101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9"/>
      <c r="AB288" s="539"/>
      <c r="AC288" s="539"/>
    </row>
    <row r="289" spans="1:68" ht="27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3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4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customHeight="1" x14ac:dyDescent="0.25">
      <c r="A297" s="558" t="s">
        <v>64</v>
      </c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9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3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0</v>
      </c>
      <c r="Y305" s="545">
        <f>IFERROR(Y298/H298,"0")+IFERROR(Y299/H299,"0")+IFERROR(Y300/H300,"0")+IFERROR(Y301/H301,"0")+IFERROR(Y302/H302,"0")+IFERROR(Y303/H303,"0")+IFERROR(Y304/H304,"0")</f>
        <v>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6"/>
      <c r="AB305" s="546"/>
      <c r="AC305" s="546"/>
    </row>
    <row r="306" spans="1:68" x14ac:dyDescent="0.2">
      <c r="A306" s="554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0</v>
      </c>
      <c r="Y306" s="545">
        <f>IFERROR(SUM(Y298:Y304),"0")</f>
        <v>0</v>
      </c>
      <c r="Z306" s="37"/>
      <c r="AA306" s="546"/>
      <c r="AB306" s="546"/>
      <c r="AC306" s="546"/>
    </row>
    <row r="307" spans="1:68" ht="14.25" customHeight="1" x14ac:dyDescent="0.25">
      <c r="A307" s="558" t="s">
        <v>73</v>
      </c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0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1000</v>
      </c>
      <c r="Y308" s="544">
        <f>IFERROR(IF(X308="",0,CEILING((X308/$H308),1)*$H308),"")</f>
        <v>1006.1999999999999</v>
      </c>
      <c r="Z308" s="36">
        <f>IFERROR(IF(Y308=0,"",ROUNDUP(Y308/H308,0)*0.01898),"")</f>
        <v>2.44842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1065.7692307692307</v>
      </c>
      <c r="BN308" s="64">
        <f>IFERROR(Y308*I308/H308,"0")</f>
        <v>1072.377</v>
      </c>
      <c r="BO308" s="64">
        <f>IFERROR(1/J308*(X308/H308),"0")</f>
        <v>2.0032051282051282</v>
      </c>
      <c r="BP308" s="64">
        <f>IFERROR(1/J308*(Y308/H308),"0")</f>
        <v>2.015625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2" t="s">
        <v>71</v>
      </c>
      <c r="Q313" s="563"/>
      <c r="R313" s="563"/>
      <c r="S313" s="563"/>
      <c r="T313" s="563"/>
      <c r="U313" s="563"/>
      <c r="V313" s="564"/>
      <c r="W313" s="37" t="s">
        <v>72</v>
      </c>
      <c r="X313" s="545">
        <f>IFERROR(X308/H308,"0")+IFERROR(X309/H309,"0")+IFERROR(X310/H310,"0")+IFERROR(X311/H311,"0")+IFERROR(X312/H312,"0")</f>
        <v>128.2051282051282</v>
      </c>
      <c r="Y313" s="545">
        <f>IFERROR(Y308/H308,"0")+IFERROR(Y309/H309,"0")+IFERROR(Y310/H310,"0")+IFERROR(Y311/H311,"0")+IFERROR(Y312/H312,"0")</f>
        <v>129</v>
      </c>
      <c r="Z313" s="545">
        <f>IFERROR(IF(Z308="",0,Z308),"0")+IFERROR(IF(Z309="",0,Z309),"0")+IFERROR(IF(Z310="",0,Z310),"0")+IFERROR(IF(Z311="",0,Z311),"0")+IFERROR(IF(Z312="",0,Z312),"0")</f>
        <v>2.44842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2" t="s">
        <v>71</v>
      </c>
      <c r="Q314" s="563"/>
      <c r="R314" s="563"/>
      <c r="S314" s="563"/>
      <c r="T314" s="563"/>
      <c r="U314" s="563"/>
      <c r="V314" s="564"/>
      <c r="W314" s="37" t="s">
        <v>69</v>
      </c>
      <c r="X314" s="545">
        <f>IFERROR(SUM(X308:X312),"0")</f>
        <v>1000</v>
      </c>
      <c r="Y314" s="545">
        <f>IFERROR(SUM(Y308:Y312),"0")</f>
        <v>1006.1999999999999</v>
      </c>
      <c r="Z314" s="37"/>
      <c r="AA314" s="546"/>
      <c r="AB314" s="546"/>
      <c r="AC314" s="546"/>
    </row>
    <row r="315" spans="1:68" ht="14.25" customHeight="1" x14ac:dyDescent="0.25">
      <c r="A315" s="558" t="s">
        <v>166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2" t="s">
        <v>71</v>
      </c>
      <c r="Q319" s="563"/>
      <c r="R319" s="563"/>
      <c r="S319" s="563"/>
      <c r="T319" s="563"/>
      <c r="U319" s="563"/>
      <c r="V319" s="564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2" t="s">
        <v>71</v>
      </c>
      <c r="Q320" s="563"/>
      <c r="R320" s="563"/>
      <c r="S320" s="563"/>
      <c r="T320" s="563"/>
      <c r="U320" s="563"/>
      <c r="V320" s="564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58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4" t="s">
        <v>513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2" t="s">
        <v>71</v>
      </c>
      <c r="Q326" s="563"/>
      <c r="R326" s="563"/>
      <c r="S326" s="563"/>
      <c r="T326" s="563"/>
      <c r="U326" s="563"/>
      <c r="V326" s="564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2" t="s">
        <v>71</v>
      </c>
      <c r="Q327" s="563"/>
      <c r="R327" s="563"/>
      <c r="S327" s="563"/>
      <c r="T327" s="563"/>
      <c r="U327" s="563"/>
      <c r="V327" s="564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58" t="s">
        <v>519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2" t="s">
        <v>71</v>
      </c>
      <c r="Q332" s="563"/>
      <c r="R332" s="563"/>
      <c r="S332" s="563"/>
      <c r="T332" s="563"/>
      <c r="U332" s="563"/>
      <c r="V332" s="56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2" t="s">
        <v>71</v>
      </c>
      <c r="Q333" s="563"/>
      <c r="R333" s="563"/>
      <c r="S333" s="563"/>
      <c r="T333" s="563"/>
      <c r="U333" s="563"/>
      <c r="V333" s="56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528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customHeight="1" x14ac:dyDescent="0.25">
      <c r="A335" s="558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2" t="s">
        <v>71</v>
      </c>
      <c r="Q339" s="563"/>
      <c r="R339" s="563"/>
      <c r="S339" s="563"/>
      <c r="T339" s="563"/>
      <c r="U339" s="563"/>
      <c r="V339" s="564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2" t="s">
        <v>71</v>
      </c>
      <c r="Q340" s="563"/>
      <c r="R340" s="563"/>
      <c r="S340" s="563"/>
      <c r="T340" s="563"/>
      <c r="U340" s="563"/>
      <c r="V340" s="564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customHeight="1" x14ac:dyDescent="0.2">
      <c r="A341" s="566" t="s">
        <v>538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48"/>
      <c r="AB341" s="48"/>
      <c r="AC341" s="48"/>
    </row>
    <row r="342" spans="1:68" ht="16.5" customHeight="1" x14ac:dyDescent="0.25">
      <c r="A342" s="559" t="s">
        <v>539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customHeight="1" x14ac:dyDescent="0.25">
      <c r="A343" s="558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80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500</v>
      </c>
      <c r="Y346" s="544">
        <f t="shared" si="36"/>
        <v>510</v>
      </c>
      <c r="Z346" s="36">
        <f>IFERROR(IF(Y346=0,"",ROUNDUP(Y346/H346,0)*0.02175),"")</f>
        <v>0.73949999999999994</v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516</v>
      </c>
      <c r="BN346" s="64">
        <f t="shared" si="38"/>
        <v>526.32000000000005</v>
      </c>
      <c r="BO346" s="64">
        <f t="shared" si="39"/>
        <v>0.69444444444444442</v>
      </c>
      <c r="BP346" s="64">
        <f t="shared" si="40"/>
        <v>0.70833333333333326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2" t="s">
        <v>71</v>
      </c>
      <c r="Q351" s="563"/>
      <c r="R351" s="563"/>
      <c r="S351" s="563"/>
      <c r="T351" s="563"/>
      <c r="U351" s="563"/>
      <c r="V351" s="56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33.333333333333336</v>
      </c>
      <c r="Y351" s="545">
        <f>IFERROR(Y344/H344,"0")+IFERROR(Y345/H345,"0")+IFERROR(Y346/H346,"0")+IFERROR(Y347/H347,"0")+IFERROR(Y348/H348,"0")+IFERROR(Y349/H349,"0")+IFERROR(Y350/H350,"0")</f>
        <v>34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0.73949999999999994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2" t="s">
        <v>71</v>
      </c>
      <c r="Q352" s="563"/>
      <c r="R352" s="563"/>
      <c r="S352" s="563"/>
      <c r="T352" s="563"/>
      <c r="U352" s="563"/>
      <c r="V352" s="564"/>
      <c r="W352" s="37" t="s">
        <v>69</v>
      </c>
      <c r="X352" s="545">
        <f>IFERROR(SUM(X344:X350),"0")</f>
        <v>500</v>
      </c>
      <c r="Y352" s="545">
        <f>IFERROR(SUM(Y344:Y350),"0")</f>
        <v>510</v>
      </c>
      <c r="Z352" s="37"/>
      <c r="AA352" s="546"/>
      <c r="AB352" s="546"/>
      <c r="AC352" s="546"/>
    </row>
    <row r="353" spans="1:68" ht="14.25" customHeight="1" x14ac:dyDescent="0.25">
      <c r="A353" s="558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700</v>
      </c>
      <c r="Y354" s="544">
        <f>IFERROR(IF(X354="",0,CEILING((X354/$H354),1)*$H354),"")</f>
        <v>705</v>
      </c>
      <c r="Z354" s="36">
        <f>IFERROR(IF(Y354=0,"",ROUNDUP(Y354/H354,0)*0.02175),"")</f>
        <v>1.0222499999999999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722.4</v>
      </c>
      <c r="BN354" s="64">
        <f>IFERROR(Y354*I354/H354,"0")</f>
        <v>727.56</v>
      </c>
      <c r="BO354" s="64">
        <f>IFERROR(1/J354*(X354/H354),"0")</f>
        <v>0.9722222222222221</v>
      </c>
      <c r="BP354" s="64">
        <f>IFERROR(1/J354*(Y354/H354),"0")</f>
        <v>0.97916666666666663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2" t="s">
        <v>71</v>
      </c>
      <c r="Q356" s="563"/>
      <c r="R356" s="563"/>
      <c r="S356" s="563"/>
      <c r="T356" s="563"/>
      <c r="U356" s="563"/>
      <c r="V356" s="564"/>
      <c r="W356" s="37" t="s">
        <v>72</v>
      </c>
      <c r="X356" s="545">
        <f>IFERROR(X354/H354,"0")+IFERROR(X355/H355,"0")</f>
        <v>46.666666666666664</v>
      </c>
      <c r="Y356" s="545">
        <f>IFERROR(Y354/H354,"0")+IFERROR(Y355/H355,"0")</f>
        <v>47</v>
      </c>
      <c r="Z356" s="545">
        <f>IFERROR(IF(Z354="",0,Z354),"0")+IFERROR(IF(Z355="",0,Z355),"0")</f>
        <v>1.0222499999999999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2" t="s">
        <v>71</v>
      </c>
      <c r="Q357" s="563"/>
      <c r="R357" s="563"/>
      <c r="S357" s="563"/>
      <c r="T357" s="563"/>
      <c r="U357" s="563"/>
      <c r="V357" s="564"/>
      <c r="W357" s="37" t="s">
        <v>69</v>
      </c>
      <c r="X357" s="545">
        <f>IFERROR(SUM(X354:X355),"0")</f>
        <v>700</v>
      </c>
      <c r="Y357" s="545">
        <f>IFERROR(SUM(Y354:Y355),"0")</f>
        <v>705</v>
      </c>
      <c r="Z357" s="37"/>
      <c r="AA357" s="546"/>
      <c r="AB357" s="546"/>
      <c r="AC357" s="546"/>
    </row>
    <row r="358" spans="1:68" ht="14.25" customHeight="1" x14ac:dyDescent="0.25">
      <c r="A358" s="558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2" t="s">
        <v>71</v>
      </c>
      <c r="Q361" s="563"/>
      <c r="R361" s="563"/>
      <c r="S361" s="563"/>
      <c r="T361" s="563"/>
      <c r="U361" s="563"/>
      <c r="V361" s="56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2" t="s">
        <v>71</v>
      </c>
      <c r="Q362" s="563"/>
      <c r="R362" s="563"/>
      <c r="S362" s="563"/>
      <c r="T362" s="563"/>
      <c r="U362" s="563"/>
      <c r="V362" s="56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58" t="s">
        <v>166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2" t="s">
        <v>71</v>
      </c>
      <c r="Q365" s="563"/>
      <c r="R365" s="563"/>
      <c r="S365" s="563"/>
      <c r="T365" s="563"/>
      <c r="U365" s="563"/>
      <c r="V365" s="56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2" t="s">
        <v>71</v>
      </c>
      <c r="Q366" s="563"/>
      <c r="R366" s="563"/>
      <c r="S366" s="563"/>
      <c r="T366" s="563"/>
      <c r="U366" s="563"/>
      <c r="V366" s="56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573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customHeight="1" x14ac:dyDescent="0.25">
      <c r="A368" s="558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2" t="s">
        <v>71</v>
      </c>
      <c r="Q371" s="563"/>
      <c r="R371" s="563"/>
      <c r="S371" s="563"/>
      <c r="T371" s="563"/>
      <c r="U371" s="563"/>
      <c r="V371" s="56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2" t="s">
        <v>71</v>
      </c>
      <c r="Q372" s="563"/>
      <c r="R372" s="563"/>
      <c r="S372" s="563"/>
      <c r="T372" s="563"/>
      <c r="U372" s="563"/>
      <c r="V372" s="56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58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2" t="s">
        <v>71</v>
      </c>
      <c r="Q376" s="563"/>
      <c r="R376" s="563"/>
      <c r="S376" s="563"/>
      <c r="T376" s="563"/>
      <c r="U376" s="563"/>
      <c r="V376" s="56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2" t="s">
        <v>71</v>
      </c>
      <c r="Q377" s="563"/>
      <c r="R377" s="563"/>
      <c r="S377" s="563"/>
      <c r="T377" s="563"/>
      <c r="U377" s="563"/>
      <c r="V377" s="56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58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566" t="s">
        <v>589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590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customHeight="1" x14ac:dyDescent="0.25">
      <c r="A385" s="558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58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customHeight="1" x14ac:dyDescent="0.25">
      <c r="A403" s="558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8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customHeight="1" x14ac:dyDescent="0.25">
      <c r="A415" s="558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640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640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customHeight="1" x14ac:dyDescent="0.25">
      <c r="A421" s="558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customHeight="1" x14ac:dyDescent="0.25">
      <c r="A435" s="558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58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58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700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700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customHeight="1" x14ac:dyDescent="0.25">
      <c r="A458" s="558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8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8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8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8" t="s">
        <v>166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customHeight="1" x14ac:dyDescent="0.25">
      <c r="A486" s="558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9"/>
      <c r="P490" s="642" t="s">
        <v>740</v>
      </c>
      <c r="Q490" s="643"/>
      <c r="R490" s="643"/>
      <c r="S490" s="643"/>
      <c r="T490" s="643"/>
      <c r="U490" s="643"/>
      <c r="V490" s="644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2500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2523.6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9"/>
      <c r="P491" s="642" t="s">
        <v>741</v>
      </c>
      <c r="Q491" s="643"/>
      <c r="R491" s="643"/>
      <c r="S491" s="643"/>
      <c r="T491" s="643"/>
      <c r="U491" s="643"/>
      <c r="V491" s="644"/>
      <c r="W491" s="37" t="s">
        <v>69</v>
      </c>
      <c r="X491" s="545">
        <f>IFERROR(SUM(BM22:BM487),"0")</f>
        <v>2616.2525641025641</v>
      </c>
      <c r="Y491" s="545">
        <f>IFERROR(SUM(BN22:BN487),"0")</f>
        <v>2640.837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9"/>
      <c r="P492" s="642" t="s">
        <v>742</v>
      </c>
      <c r="Q492" s="643"/>
      <c r="R492" s="643"/>
      <c r="S492" s="643"/>
      <c r="T492" s="643"/>
      <c r="U492" s="643"/>
      <c r="V492" s="644"/>
      <c r="W492" s="37" t="s">
        <v>743</v>
      </c>
      <c r="X492" s="38">
        <f>ROUNDUP(SUM(BO22:BO487),0)</f>
        <v>5</v>
      </c>
      <c r="Y492" s="38">
        <f>ROUNDUP(SUM(BP22:BP487),0)</f>
        <v>5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9"/>
      <c r="P493" s="642" t="s">
        <v>744</v>
      </c>
      <c r="Q493" s="643"/>
      <c r="R493" s="643"/>
      <c r="S493" s="643"/>
      <c r="T493" s="643"/>
      <c r="U493" s="643"/>
      <c r="V493" s="644"/>
      <c r="W493" s="37" t="s">
        <v>69</v>
      </c>
      <c r="X493" s="545">
        <f>GrossWeightTotal+PalletQtyTotal*25</f>
        <v>2741.2525641025641</v>
      </c>
      <c r="Y493" s="545">
        <f>GrossWeightTotalR+PalletQtyTotalR*25</f>
        <v>2765.837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9"/>
      <c r="P494" s="642" t="s">
        <v>745</v>
      </c>
      <c r="Q494" s="643"/>
      <c r="R494" s="643"/>
      <c r="S494" s="643"/>
      <c r="T494" s="643"/>
      <c r="U494" s="643"/>
      <c r="V494" s="644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235.98290598290598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238</v>
      </c>
      <c r="Z494" s="37"/>
      <c r="AA494" s="546"/>
      <c r="AB494" s="546"/>
      <c r="AC494" s="546"/>
    </row>
    <row r="495" spans="1:68" ht="14.25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09"/>
      <c r="P495" s="642" t="s">
        <v>746</v>
      </c>
      <c r="Q495" s="643"/>
      <c r="R495" s="643"/>
      <c r="S495" s="643"/>
      <c r="T495" s="643"/>
      <c r="U495" s="643"/>
      <c r="V495" s="644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4.7416099999999997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95" t="s">
        <v>99</v>
      </c>
      <c r="D497" s="598"/>
      <c r="E497" s="598"/>
      <c r="F497" s="598"/>
      <c r="G497" s="598"/>
      <c r="H497" s="599"/>
      <c r="I497" s="595" t="s">
        <v>257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538</v>
      </c>
      <c r="T497" s="599"/>
      <c r="U497" s="595" t="s">
        <v>589</v>
      </c>
      <c r="V497" s="598"/>
      <c r="W497" s="599"/>
      <c r="X497" s="540" t="s">
        <v>640</v>
      </c>
      <c r="Y497" s="595" t="s">
        <v>700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749</v>
      </c>
      <c r="B498" s="595" t="s">
        <v>63</v>
      </c>
      <c r="C498" s="595" t="s">
        <v>100</v>
      </c>
      <c r="D498" s="595" t="s">
        <v>117</v>
      </c>
      <c r="E498" s="595" t="s">
        <v>173</v>
      </c>
      <c r="F498" s="595" t="s">
        <v>192</v>
      </c>
      <c r="G498" s="595" t="s">
        <v>222</v>
      </c>
      <c r="H498" s="595" t="s">
        <v>99</v>
      </c>
      <c r="I498" s="595" t="s">
        <v>258</v>
      </c>
      <c r="J498" s="595" t="s">
        <v>299</v>
      </c>
      <c r="K498" s="595" t="s">
        <v>359</v>
      </c>
      <c r="L498" s="595" t="s">
        <v>401</v>
      </c>
      <c r="M498" s="595" t="s">
        <v>417</v>
      </c>
      <c r="N498" s="541"/>
      <c r="O498" s="595" t="s">
        <v>428</v>
      </c>
      <c r="P498" s="595" t="s">
        <v>437</v>
      </c>
      <c r="Q498" s="595" t="s">
        <v>447</v>
      </c>
      <c r="R498" s="595" t="s">
        <v>528</v>
      </c>
      <c r="S498" s="595" t="s">
        <v>539</v>
      </c>
      <c r="T498" s="595" t="s">
        <v>573</v>
      </c>
      <c r="U498" s="595" t="s">
        <v>590</v>
      </c>
      <c r="V498" s="595" t="s">
        <v>621</v>
      </c>
      <c r="W498" s="595" t="s">
        <v>636</v>
      </c>
      <c r="X498" s="595" t="s">
        <v>640</v>
      </c>
      <c r="Y498" s="595" t="s">
        <v>700</v>
      </c>
      <c r="Z498" s="595" t="s">
        <v>736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302.40000000000003</v>
      </c>
      <c r="E500" s="46">
        <f>IFERROR(Y86*1,"0")+IFERROR(Y87*1,"0")+IFERROR(Y88*1,"0")+IFERROR(Y92*1,"0")+IFERROR(Y93*1,"0")+IFERROR(Y94*1,"0")+IFERROR(Y95*1,"0")</f>
        <v>0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0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1006.1999999999999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1215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A251:O252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A415:Z415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A106:Z106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9:C9"/>
    <mergeCell ref="P125:T125"/>
    <mergeCell ref="D202:E202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D215:E215"/>
    <mergeCell ref="P194:V194"/>
    <mergeCell ref="P317:T317"/>
    <mergeCell ref="D323:E323"/>
    <mergeCell ref="D394:E394"/>
    <mergeCell ref="D279:E279"/>
    <mergeCell ref="A254:Z25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483:O484"/>
    <mergeCell ref="D169:E169"/>
    <mergeCell ref="P204:V204"/>
    <mergeCell ref="P82:V82"/>
    <mergeCell ref="A134:Z134"/>
    <mergeCell ref="P440:V440"/>
    <mergeCell ref="P303:T303"/>
    <mergeCell ref="D108:E108"/>
    <mergeCell ref="D330:E330"/>
    <mergeCell ref="A421:Z421"/>
    <mergeCell ref="A98:Z98"/>
    <mergeCell ref="P306:V306"/>
    <mergeCell ref="D350:E350"/>
    <mergeCell ref="P110:V110"/>
    <mergeCell ref="A162:Z162"/>
    <mergeCell ref="D325:E325"/>
    <mergeCell ref="P208:T208"/>
    <mergeCell ref="P484:V484"/>
    <mergeCell ref="P324:T324"/>
    <mergeCell ref="P153:T153"/>
    <mergeCell ref="P221:V221"/>
    <mergeCell ref="P326:V326"/>
    <mergeCell ref="P393:T393"/>
    <mergeCell ref="D374:E374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396:V396"/>
    <mergeCell ref="A395:O396"/>
    <mergeCell ref="P259:T259"/>
    <mergeCell ref="P148:T148"/>
    <mergeCell ref="A47:O48"/>
    <mergeCell ref="A96:O97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P68:T68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A50:Z50"/>
    <mergeCell ref="P96:V96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126:E12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A124:Z124"/>
    <mergeCell ref="D431:E431"/>
    <mergeCell ref="P170:T170"/>
    <mergeCell ref="P468:T4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2025-11-04T10:57:14Z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