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тародворье  лагистический центр\"/>
    </mc:Choice>
  </mc:AlternateContent>
  <bookViews>
    <workbookView xWindow="0" yWindow="0" windowWidth="2370" windowHeight="0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Z487" i="2"/>
  <c r="Z488" i="2" s="1"/>
  <c r="Y487" i="2"/>
  <c r="Z500" i="2" s="1"/>
  <c r="P487" i="2"/>
  <c r="X484" i="2"/>
  <c r="X483" i="2"/>
  <c r="BO482" i="2"/>
  <c r="BM482" i="2"/>
  <c r="Y482" i="2"/>
  <c r="P482" i="2"/>
  <c r="BO481" i="2"/>
  <c r="BM481" i="2"/>
  <c r="Y481" i="2"/>
  <c r="BP481" i="2" s="1"/>
  <c r="P481" i="2"/>
  <c r="Y479" i="2"/>
  <c r="X479" i="2"/>
  <c r="Y478" i="2"/>
  <c r="X478" i="2"/>
  <c r="BP477" i="2"/>
  <c r="BO477" i="2"/>
  <c r="BM477" i="2"/>
  <c r="Y477" i="2"/>
  <c r="BN477" i="2" s="1"/>
  <c r="P477" i="2"/>
  <c r="X475" i="2"/>
  <c r="Y474" i="2"/>
  <c r="X474" i="2"/>
  <c r="BP473" i="2"/>
  <c r="BO473" i="2"/>
  <c r="BM473" i="2"/>
  <c r="Y473" i="2"/>
  <c r="P473" i="2"/>
  <c r="BO472" i="2"/>
  <c r="BM472" i="2"/>
  <c r="Y472" i="2"/>
  <c r="BP472" i="2" s="1"/>
  <c r="P472" i="2"/>
  <c r="X470" i="2"/>
  <c r="X469" i="2"/>
  <c r="BO468" i="2"/>
  <c r="BM468" i="2"/>
  <c r="Y468" i="2"/>
  <c r="P468" i="2"/>
  <c r="BO467" i="2"/>
  <c r="BM467" i="2"/>
  <c r="Z467" i="2"/>
  <c r="Y467" i="2"/>
  <c r="BP467" i="2" s="1"/>
  <c r="P467" i="2"/>
  <c r="BO466" i="2"/>
  <c r="BM466" i="2"/>
  <c r="Z466" i="2"/>
  <c r="Y466" i="2"/>
  <c r="P466" i="2"/>
  <c r="X464" i="2"/>
  <c r="X463" i="2"/>
  <c r="BO462" i="2"/>
  <c r="BM462" i="2"/>
  <c r="Y462" i="2"/>
  <c r="P462" i="2"/>
  <c r="BO461" i="2"/>
  <c r="BM461" i="2"/>
  <c r="Y461" i="2"/>
  <c r="Z461" i="2" s="1"/>
  <c r="P461" i="2"/>
  <c r="BP460" i="2"/>
  <c r="BO460" i="2"/>
  <c r="BM460" i="2"/>
  <c r="Y460" i="2"/>
  <c r="BN460" i="2" s="1"/>
  <c r="P460" i="2"/>
  <c r="BO459" i="2"/>
  <c r="BM459" i="2"/>
  <c r="Y459" i="2"/>
  <c r="P459" i="2"/>
  <c r="Y455" i="2"/>
  <c r="X455" i="2"/>
  <c r="Y454" i="2"/>
  <c r="X454" i="2"/>
  <c r="BP453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P451" i="2"/>
  <c r="X449" i="2"/>
  <c r="X448" i="2"/>
  <c r="BO447" i="2"/>
  <c r="BM447" i="2"/>
  <c r="Y447" i="2"/>
  <c r="BP447" i="2" s="1"/>
  <c r="P447" i="2"/>
  <c r="BO446" i="2"/>
  <c r="BM446" i="2"/>
  <c r="Y446" i="2"/>
  <c r="Z446" i="2" s="1"/>
  <c r="P446" i="2"/>
  <c r="BO445" i="2"/>
  <c r="BM445" i="2"/>
  <c r="Y445" i="2"/>
  <c r="BP445" i="2" s="1"/>
  <c r="P445" i="2"/>
  <c r="BO444" i="2"/>
  <c r="BM444" i="2"/>
  <c r="Y444" i="2"/>
  <c r="BP444" i="2" s="1"/>
  <c r="P444" i="2"/>
  <c r="BP443" i="2"/>
  <c r="BO443" i="2"/>
  <c r="BM443" i="2"/>
  <c r="Y443" i="2"/>
  <c r="BN443" i="2" s="1"/>
  <c r="P443" i="2"/>
  <c r="BO442" i="2"/>
  <c r="BM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BN437" i="2" s="1"/>
  <c r="P437" i="2"/>
  <c r="BO436" i="2"/>
  <c r="BM436" i="2"/>
  <c r="Y436" i="2"/>
  <c r="Z436" i="2" s="1"/>
  <c r="P436" i="2"/>
  <c r="X434" i="2"/>
  <c r="X433" i="2"/>
  <c r="BO432" i="2"/>
  <c r="BM432" i="2"/>
  <c r="Y432" i="2"/>
  <c r="P432" i="2"/>
  <c r="BO431" i="2"/>
  <c r="BM431" i="2"/>
  <c r="Y431" i="2"/>
  <c r="P431" i="2"/>
  <c r="BO430" i="2"/>
  <c r="BM430" i="2"/>
  <c r="Y430" i="2"/>
  <c r="P430" i="2"/>
  <c r="BP429" i="2"/>
  <c r="BO429" i="2"/>
  <c r="BN429" i="2"/>
  <c r="BM429" i="2"/>
  <c r="Z429" i="2"/>
  <c r="Y429" i="2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Z423" i="2" s="1"/>
  <c r="P423" i="2"/>
  <c r="BO422" i="2"/>
  <c r="BM422" i="2"/>
  <c r="Y422" i="2"/>
  <c r="P422" i="2"/>
  <c r="Y418" i="2"/>
  <c r="X418" i="2"/>
  <c r="X417" i="2"/>
  <c r="BO416" i="2"/>
  <c r="BM416" i="2"/>
  <c r="Y416" i="2"/>
  <c r="BP416" i="2" s="1"/>
  <c r="P416" i="2"/>
  <c r="X413" i="2"/>
  <c r="X412" i="2"/>
  <c r="BO411" i="2"/>
  <c r="BM411" i="2"/>
  <c r="Y411" i="2"/>
  <c r="Z411" i="2" s="1"/>
  <c r="P411" i="2"/>
  <c r="BO410" i="2"/>
  <c r="BM410" i="2"/>
  <c r="Y410" i="2"/>
  <c r="P410" i="2"/>
  <c r="BO409" i="2"/>
  <c r="BM409" i="2"/>
  <c r="Z409" i="2"/>
  <c r="Y409" i="2"/>
  <c r="P409" i="2"/>
  <c r="BO408" i="2"/>
  <c r="BM408" i="2"/>
  <c r="Y408" i="2"/>
  <c r="P408" i="2"/>
  <c r="X406" i="2"/>
  <c r="X405" i="2"/>
  <c r="BP404" i="2"/>
  <c r="BO404" i="2"/>
  <c r="BM404" i="2"/>
  <c r="Y404" i="2"/>
  <c r="P404" i="2"/>
  <c r="X401" i="2"/>
  <c r="Y400" i="2"/>
  <c r="X400" i="2"/>
  <c r="BO399" i="2"/>
  <c r="BM399" i="2"/>
  <c r="Y399" i="2"/>
  <c r="BP399" i="2" s="1"/>
  <c r="P399" i="2"/>
  <c r="BO398" i="2"/>
  <c r="BM398" i="2"/>
  <c r="Y398" i="2"/>
  <c r="BN398" i="2" s="1"/>
  <c r="P398" i="2"/>
  <c r="X396" i="2"/>
  <c r="X395" i="2"/>
  <c r="BO394" i="2"/>
  <c r="BM394" i="2"/>
  <c r="Y394" i="2"/>
  <c r="P394" i="2"/>
  <c r="BO393" i="2"/>
  <c r="BM393" i="2"/>
  <c r="Y393" i="2"/>
  <c r="P393" i="2"/>
  <c r="BO392" i="2"/>
  <c r="BM392" i="2"/>
  <c r="Y392" i="2"/>
  <c r="BP392" i="2" s="1"/>
  <c r="P392" i="2"/>
  <c r="BO391" i="2"/>
  <c r="BM391" i="2"/>
  <c r="Y391" i="2"/>
  <c r="BP391" i="2" s="1"/>
  <c r="P391" i="2"/>
  <c r="BO390" i="2"/>
  <c r="BM390" i="2"/>
  <c r="Y390" i="2"/>
  <c r="P390" i="2"/>
  <c r="BO389" i="2"/>
  <c r="BM389" i="2"/>
  <c r="Y389" i="2"/>
  <c r="BP389" i="2" s="1"/>
  <c r="P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P386" i="2"/>
  <c r="X382" i="2"/>
  <c r="X381" i="2"/>
  <c r="BO380" i="2"/>
  <c r="BM380" i="2"/>
  <c r="Y380" i="2"/>
  <c r="BP380" i="2" s="1"/>
  <c r="P380" i="2"/>
  <c r="BO379" i="2"/>
  <c r="BM379" i="2"/>
  <c r="Y379" i="2"/>
  <c r="Y382" i="2" s="1"/>
  <c r="P379" i="2"/>
  <c r="Y377" i="2"/>
  <c r="X377" i="2"/>
  <c r="Y376" i="2"/>
  <c r="X376" i="2"/>
  <c r="BP375" i="2"/>
  <c r="BO375" i="2"/>
  <c r="BM375" i="2"/>
  <c r="Y375" i="2"/>
  <c r="BN375" i="2" s="1"/>
  <c r="P375" i="2"/>
  <c r="BO374" i="2"/>
  <c r="BM374" i="2"/>
  <c r="Y374" i="2"/>
  <c r="P374" i="2"/>
  <c r="X372" i="2"/>
  <c r="X371" i="2"/>
  <c r="BO370" i="2"/>
  <c r="BM370" i="2"/>
  <c r="Y370" i="2"/>
  <c r="P370" i="2"/>
  <c r="BO369" i="2"/>
  <c r="BM369" i="2"/>
  <c r="Z369" i="2"/>
  <c r="Y369" i="2"/>
  <c r="P369" i="2"/>
  <c r="X366" i="2"/>
  <c r="X365" i="2"/>
  <c r="BO364" i="2"/>
  <c r="BM364" i="2"/>
  <c r="Y364" i="2"/>
  <c r="P364" i="2"/>
  <c r="X362" i="2"/>
  <c r="X361" i="2"/>
  <c r="BP360" i="2"/>
  <c r="BO360" i="2"/>
  <c r="BN360" i="2"/>
  <c r="BM360" i="2"/>
  <c r="Z360" i="2"/>
  <c r="Y360" i="2"/>
  <c r="P360" i="2"/>
  <c r="BO359" i="2"/>
  <c r="BM359" i="2"/>
  <c r="Y359" i="2"/>
  <c r="Y361" i="2" s="1"/>
  <c r="P359" i="2"/>
  <c r="X357" i="2"/>
  <c r="X356" i="2"/>
  <c r="BO355" i="2"/>
  <c r="BM355" i="2"/>
  <c r="Y355" i="2"/>
  <c r="P355" i="2"/>
  <c r="BO354" i="2"/>
  <c r="BM354" i="2"/>
  <c r="Y354" i="2"/>
  <c r="Y357" i="2" s="1"/>
  <c r="P354" i="2"/>
  <c r="X352" i="2"/>
  <c r="X351" i="2"/>
  <c r="BO350" i="2"/>
  <c r="BM350" i="2"/>
  <c r="Y350" i="2"/>
  <c r="Z350" i="2" s="1"/>
  <c r="P350" i="2"/>
  <c r="BO349" i="2"/>
  <c r="BM349" i="2"/>
  <c r="Y349" i="2"/>
  <c r="P349" i="2"/>
  <c r="BO348" i="2"/>
  <c r="BM348" i="2"/>
  <c r="Y348" i="2"/>
  <c r="P348" i="2"/>
  <c r="BO347" i="2"/>
  <c r="BM347" i="2"/>
  <c r="Y347" i="2"/>
  <c r="P347" i="2"/>
  <c r="BO346" i="2"/>
  <c r="BM346" i="2"/>
  <c r="Y346" i="2"/>
  <c r="BN346" i="2" s="1"/>
  <c r="P346" i="2"/>
  <c r="BO345" i="2"/>
  <c r="BM345" i="2"/>
  <c r="Y345" i="2"/>
  <c r="P345" i="2"/>
  <c r="BP344" i="2"/>
  <c r="BO344" i="2"/>
  <c r="BM344" i="2"/>
  <c r="Y344" i="2"/>
  <c r="P344" i="2"/>
  <c r="X340" i="2"/>
  <c r="X339" i="2"/>
  <c r="BO338" i="2"/>
  <c r="BM338" i="2"/>
  <c r="Y338" i="2"/>
  <c r="Z338" i="2" s="1"/>
  <c r="P338" i="2"/>
  <c r="BO337" i="2"/>
  <c r="BM337" i="2"/>
  <c r="Y337" i="2"/>
  <c r="P337" i="2"/>
  <c r="BO336" i="2"/>
  <c r="BM336" i="2"/>
  <c r="Y336" i="2"/>
  <c r="P336" i="2"/>
  <c r="X333" i="2"/>
  <c r="X332" i="2"/>
  <c r="BO331" i="2"/>
  <c r="BM331" i="2"/>
  <c r="Y331" i="2"/>
  <c r="P331" i="2"/>
  <c r="BO330" i="2"/>
  <c r="BM330" i="2"/>
  <c r="Y330" i="2"/>
  <c r="P330" i="2"/>
  <c r="BO329" i="2"/>
  <c r="BM329" i="2"/>
  <c r="Y329" i="2"/>
  <c r="P329" i="2"/>
  <c r="X327" i="2"/>
  <c r="X326" i="2"/>
  <c r="BO325" i="2"/>
  <c r="BM325" i="2"/>
  <c r="Y325" i="2"/>
  <c r="P325" i="2"/>
  <c r="BO324" i="2"/>
  <c r="BM324" i="2"/>
  <c r="Y324" i="2"/>
  <c r="Z324" i="2" s="1"/>
  <c r="P324" i="2"/>
  <c r="BO323" i="2"/>
  <c r="BM323" i="2"/>
  <c r="Y323" i="2"/>
  <c r="BO322" i="2"/>
  <c r="BM322" i="2"/>
  <c r="Y322" i="2"/>
  <c r="Z322" i="2" s="1"/>
  <c r="P322" i="2"/>
  <c r="X320" i="2"/>
  <c r="Y319" i="2"/>
  <c r="X319" i="2"/>
  <c r="BP318" i="2"/>
  <c r="BO318" i="2"/>
  <c r="BN318" i="2"/>
  <c r="BM318" i="2"/>
  <c r="Z318" i="2"/>
  <c r="Y318" i="2"/>
  <c r="P318" i="2"/>
  <c r="BO317" i="2"/>
  <c r="BM317" i="2"/>
  <c r="Y317" i="2"/>
  <c r="BP317" i="2" s="1"/>
  <c r="P317" i="2"/>
  <c r="BO316" i="2"/>
  <c r="BM316" i="2"/>
  <c r="Y316" i="2"/>
  <c r="P316" i="2"/>
  <c r="X314" i="2"/>
  <c r="X313" i="2"/>
  <c r="BO312" i="2"/>
  <c r="BM312" i="2"/>
  <c r="Y312" i="2"/>
  <c r="P312" i="2"/>
  <c r="BO311" i="2"/>
  <c r="BM311" i="2"/>
  <c r="Z311" i="2"/>
  <c r="Y311" i="2"/>
  <c r="BN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6" i="2"/>
  <c r="X305" i="2"/>
  <c r="BO304" i="2"/>
  <c r="BM304" i="2"/>
  <c r="Y304" i="2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BN301" i="2" s="1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P298" i="2"/>
  <c r="X296" i="2"/>
  <c r="X295" i="2"/>
  <c r="BO294" i="2"/>
  <c r="BM294" i="2"/>
  <c r="Y294" i="2"/>
  <c r="BP294" i="2" s="1"/>
  <c r="P294" i="2"/>
  <c r="BP293" i="2"/>
  <c r="BO293" i="2"/>
  <c r="BM293" i="2"/>
  <c r="Y293" i="2"/>
  <c r="Z293" i="2" s="1"/>
  <c r="P293" i="2"/>
  <c r="BO292" i="2"/>
  <c r="BM292" i="2"/>
  <c r="Y292" i="2"/>
  <c r="P292" i="2"/>
  <c r="BO291" i="2"/>
  <c r="BM291" i="2"/>
  <c r="Y291" i="2"/>
  <c r="BN291" i="2" s="1"/>
  <c r="P291" i="2"/>
  <c r="BO290" i="2"/>
  <c r="BM290" i="2"/>
  <c r="Y290" i="2"/>
  <c r="BN290" i="2" s="1"/>
  <c r="P290" i="2"/>
  <c r="BO289" i="2"/>
  <c r="BM289" i="2"/>
  <c r="Y289" i="2"/>
  <c r="BN289" i="2" s="1"/>
  <c r="P289" i="2"/>
  <c r="X286" i="2"/>
  <c r="X285" i="2"/>
  <c r="BO284" i="2"/>
  <c r="BM284" i="2"/>
  <c r="Y284" i="2"/>
  <c r="P284" i="2"/>
  <c r="X282" i="2"/>
  <c r="X281" i="2"/>
  <c r="BO280" i="2"/>
  <c r="BM280" i="2"/>
  <c r="Y280" i="2"/>
  <c r="BN280" i="2" s="1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X269" i="2"/>
  <c r="Y268" i="2"/>
  <c r="X268" i="2"/>
  <c r="BP267" i="2"/>
  <c r="BO267" i="2"/>
  <c r="BM267" i="2"/>
  <c r="Y267" i="2"/>
  <c r="P267" i="2"/>
  <c r="BO266" i="2"/>
  <c r="BM266" i="2"/>
  <c r="Y266" i="2"/>
  <c r="BN266" i="2" s="1"/>
  <c r="P266" i="2"/>
  <c r="BO265" i="2"/>
  <c r="BM265" i="2"/>
  <c r="Y265" i="2"/>
  <c r="P265" i="2"/>
  <c r="BO264" i="2"/>
  <c r="BM264" i="2"/>
  <c r="Y264" i="2"/>
  <c r="P264" i="2"/>
  <c r="X261" i="2"/>
  <c r="X260" i="2"/>
  <c r="BP259" i="2"/>
  <c r="BO259" i="2"/>
  <c r="BM259" i="2"/>
  <c r="Y259" i="2"/>
  <c r="BN259" i="2" s="1"/>
  <c r="P259" i="2"/>
  <c r="BO258" i="2"/>
  <c r="BM258" i="2"/>
  <c r="Y258" i="2"/>
  <c r="P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P255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N248" i="2" s="1"/>
  <c r="P248" i="2"/>
  <c r="BO247" i="2"/>
  <c r="BM247" i="2"/>
  <c r="Y247" i="2"/>
  <c r="P247" i="2"/>
  <c r="BO246" i="2"/>
  <c r="BM246" i="2"/>
  <c r="Y246" i="2"/>
  <c r="BN246" i="2" s="1"/>
  <c r="P246" i="2"/>
  <c r="X244" i="2"/>
  <c r="X243" i="2"/>
  <c r="BO242" i="2"/>
  <c r="BM242" i="2"/>
  <c r="Y242" i="2"/>
  <c r="Y244" i="2" s="1"/>
  <c r="P242" i="2"/>
  <c r="X240" i="2"/>
  <c r="X239" i="2"/>
  <c r="BO238" i="2"/>
  <c r="BM238" i="2"/>
  <c r="Y238" i="2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P231" i="2"/>
  <c r="BO231" i="2"/>
  <c r="BN231" i="2"/>
  <c r="BM231" i="2"/>
  <c r="Z231" i="2"/>
  <c r="Y231" i="2"/>
  <c r="P231" i="2"/>
  <c r="BO230" i="2"/>
  <c r="BM230" i="2"/>
  <c r="Y230" i="2"/>
  <c r="BP230" i="2" s="1"/>
  <c r="P230" i="2"/>
  <c r="BO229" i="2"/>
  <c r="BM229" i="2"/>
  <c r="Y229" i="2"/>
  <c r="P229" i="2"/>
  <c r="BP228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Z226" i="2"/>
  <c r="Y226" i="2"/>
  <c r="BN226" i="2" s="1"/>
  <c r="P226" i="2"/>
  <c r="BO225" i="2"/>
  <c r="BM225" i="2"/>
  <c r="Y225" i="2"/>
  <c r="Z225" i="2" s="1"/>
  <c r="P225" i="2"/>
  <c r="X222" i="2"/>
  <c r="Y221" i="2"/>
  <c r="X221" i="2"/>
  <c r="BP220" i="2"/>
  <c r="BO220" i="2"/>
  <c r="BN220" i="2"/>
  <c r="BM220" i="2"/>
  <c r="Z220" i="2"/>
  <c r="Y220" i="2"/>
  <c r="P220" i="2"/>
  <c r="BO219" i="2"/>
  <c r="BM219" i="2"/>
  <c r="Y219" i="2"/>
  <c r="P219" i="2"/>
  <c r="X217" i="2"/>
  <c r="X216" i="2"/>
  <c r="BO215" i="2"/>
  <c r="BM215" i="2"/>
  <c r="Y215" i="2"/>
  <c r="Z215" i="2" s="1"/>
  <c r="P215" i="2"/>
  <c r="BO214" i="2"/>
  <c r="BM214" i="2"/>
  <c r="Y214" i="2"/>
  <c r="P214" i="2"/>
  <c r="BO213" i="2"/>
  <c r="BM213" i="2"/>
  <c r="Y213" i="2"/>
  <c r="Z213" i="2" s="1"/>
  <c r="P213" i="2"/>
  <c r="BP212" i="2"/>
  <c r="BO212" i="2"/>
  <c r="BM212" i="2"/>
  <c r="Y212" i="2"/>
  <c r="P212" i="2"/>
  <c r="BO211" i="2"/>
  <c r="BM211" i="2"/>
  <c r="Y211" i="2"/>
  <c r="P211" i="2"/>
  <c r="BP210" i="2"/>
  <c r="BO210" i="2"/>
  <c r="BN210" i="2"/>
  <c r="BM210" i="2"/>
  <c r="Z210" i="2"/>
  <c r="Y210" i="2"/>
  <c r="P210" i="2"/>
  <c r="BO209" i="2"/>
  <c r="BM209" i="2"/>
  <c r="Y209" i="2"/>
  <c r="BP209" i="2" s="1"/>
  <c r="P209" i="2"/>
  <c r="BP208" i="2"/>
  <c r="BO208" i="2"/>
  <c r="BM208" i="2"/>
  <c r="Y208" i="2"/>
  <c r="BN208" i="2" s="1"/>
  <c r="P208" i="2"/>
  <c r="BO207" i="2"/>
  <c r="BM207" i="2"/>
  <c r="Y207" i="2"/>
  <c r="P207" i="2"/>
  <c r="X205" i="2"/>
  <c r="X204" i="2"/>
  <c r="BP203" i="2"/>
  <c r="BO203" i="2"/>
  <c r="BM203" i="2"/>
  <c r="Y203" i="2"/>
  <c r="Z203" i="2" s="1"/>
  <c r="P203" i="2"/>
  <c r="BO202" i="2"/>
  <c r="BM202" i="2"/>
  <c r="Y202" i="2"/>
  <c r="P202" i="2"/>
  <c r="BO201" i="2"/>
  <c r="BM201" i="2"/>
  <c r="Y201" i="2"/>
  <c r="BN201" i="2" s="1"/>
  <c r="P201" i="2"/>
  <c r="BO200" i="2"/>
  <c r="BM200" i="2"/>
  <c r="Y200" i="2"/>
  <c r="P200" i="2"/>
  <c r="BO199" i="2"/>
  <c r="BM199" i="2"/>
  <c r="Y199" i="2"/>
  <c r="BP199" i="2" s="1"/>
  <c r="P199" i="2"/>
  <c r="BO198" i="2"/>
  <c r="BM198" i="2"/>
  <c r="Y198" i="2"/>
  <c r="P198" i="2"/>
  <c r="BP197" i="2"/>
  <c r="BO197" i="2"/>
  <c r="BM197" i="2"/>
  <c r="Y197" i="2"/>
  <c r="BN197" i="2" s="1"/>
  <c r="P197" i="2"/>
  <c r="BO196" i="2"/>
  <c r="BM196" i="2"/>
  <c r="Y196" i="2"/>
  <c r="Z196" i="2" s="1"/>
  <c r="P196" i="2"/>
  <c r="X194" i="2"/>
  <c r="X193" i="2"/>
  <c r="BP192" i="2"/>
  <c r="BO192" i="2"/>
  <c r="BM192" i="2"/>
  <c r="Y192" i="2"/>
  <c r="P192" i="2"/>
  <c r="BO191" i="2"/>
  <c r="BM191" i="2"/>
  <c r="Y191" i="2"/>
  <c r="Y194" i="2" s="1"/>
  <c r="P191" i="2"/>
  <c r="X189" i="2"/>
  <c r="X188" i="2"/>
  <c r="BO187" i="2"/>
  <c r="BM187" i="2"/>
  <c r="Y187" i="2"/>
  <c r="P187" i="2"/>
  <c r="BO186" i="2"/>
  <c r="BM186" i="2"/>
  <c r="Y186" i="2"/>
  <c r="Z186" i="2" s="1"/>
  <c r="P186" i="2"/>
  <c r="X183" i="2"/>
  <c r="X182" i="2"/>
  <c r="BO181" i="2"/>
  <c r="BM181" i="2"/>
  <c r="Y181" i="2"/>
  <c r="Z181" i="2" s="1"/>
  <c r="Z182" i="2" s="1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Z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P169" i="2"/>
  <c r="BO168" i="2"/>
  <c r="BM168" i="2"/>
  <c r="Y168" i="2"/>
  <c r="BP168" i="2" s="1"/>
  <c r="P168" i="2"/>
  <c r="BP167" i="2"/>
  <c r="BO167" i="2"/>
  <c r="BN167" i="2"/>
  <c r="BM167" i="2"/>
  <c r="Z167" i="2"/>
  <c r="Y167" i="2"/>
  <c r="P167" i="2"/>
  <c r="BO166" i="2"/>
  <c r="BM166" i="2"/>
  <c r="Y166" i="2"/>
  <c r="P166" i="2"/>
  <c r="BP165" i="2"/>
  <c r="BO165" i="2"/>
  <c r="BN165" i="2"/>
  <c r="BM165" i="2"/>
  <c r="Z165" i="2"/>
  <c r="Y165" i="2"/>
  <c r="P165" i="2"/>
  <c r="BO164" i="2"/>
  <c r="BM164" i="2"/>
  <c r="Y164" i="2"/>
  <c r="P164" i="2"/>
  <c r="BO163" i="2"/>
  <c r="BM163" i="2"/>
  <c r="Y163" i="2"/>
  <c r="P163" i="2"/>
  <c r="X161" i="2"/>
  <c r="X160" i="2"/>
  <c r="BO159" i="2"/>
  <c r="BM159" i="2"/>
  <c r="Y159" i="2"/>
  <c r="P159" i="2"/>
  <c r="X155" i="2"/>
  <c r="X154" i="2"/>
  <c r="BP153" i="2"/>
  <c r="BO153" i="2"/>
  <c r="BM153" i="2"/>
  <c r="Y153" i="2"/>
  <c r="Y155" i="2" s="1"/>
  <c r="X151" i="2"/>
  <c r="X150" i="2"/>
  <c r="BP149" i="2"/>
  <c r="BO149" i="2"/>
  <c r="BN149" i="2"/>
  <c r="BM149" i="2"/>
  <c r="Z149" i="2"/>
  <c r="Y149" i="2"/>
  <c r="P149" i="2"/>
  <c r="BO148" i="2"/>
  <c r="BM148" i="2"/>
  <c r="Y148" i="2"/>
  <c r="BP148" i="2" s="1"/>
  <c r="P148" i="2"/>
  <c r="BO147" i="2"/>
  <c r="BM147" i="2"/>
  <c r="Y147" i="2"/>
  <c r="P147" i="2"/>
  <c r="X145" i="2"/>
  <c r="X144" i="2"/>
  <c r="BO143" i="2"/>
  <c r="BM143" i="2"/>
  <c r="Y143" i="2"/>
  <c r="Y145" i="2" s="1"/>
  <c r="P143" i="2"/>
  <c r="BO142" i="2"/>
  <c r="BM142" i="2"/>
  <c r="Y142" i="2"/>
  <c r="P142" i="2"/>
  <c r="BP141" i="2"/>
  <c r="BO141" i="2"/>
  <c r="BM141" i="2"/>
  <c r="Y141" i="2"/>
  <c r="BN141" i="2" s="1"/>
  <c r="P141" i="2"/>
  <c r="X138" i="2"/>
  <c r="X137" i="2"/>
  <c r="BO136" i="2"/>
  <c r="BM136" i="2"/>
  <c r="Y136" i="2"/>
  <c r="BP136" i="2" s="1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P130" i="2"/>
  <c r="X128" i="2"/>
  <c r="X127" i="2"/>
  <c r="BO126" i="2"/>
  <c r="BM126" i="2"/>
  <c r="Z126" i="2"/>
  <c r="Y126" i="2"/>
  <c r="BP126" i="2" s="1"/>
  <c r="P126" i="2"/>
  <c r="BO125" i="2"/>
  <c r="BM125" i="2"/>
  <c r="Y125" i="2"/>
  <c r="BP125" i="2" s="1"/>
  <c r="P125" i="2"/>
  <c r="X122" i="2"/>
  <c r="X121" i="2"/>
  <c r="BO120" i="2"/>
  <c r="BM120" i="2"/>
  <c r="Y120" i="2"/>
  <c r="BP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P114" i="2"/>
  <c r="BO114" i="2"/>
  <c r="BN114" i="2"/>
  <c r="BM114" i="2"/>
  <c r="Z114" i="2"/>
  <c r="Y114" i="2"/>
  <c r="P114" i="2"/>
  <c r="BO113" i="2"/>
  <c r="BM113" i="2"/>
  <c r="Y113" i="2"/>
  <c r="P113" i="2"/>
  <c r="X111" i="2"/>
  <c r="X110" i="2"/>
  <c r="BO109" i="2"/>
  <c r="BM109" i="2"/>
  <c r="Y109" i="2"/>
  <c r="Z109" i="2" s="1"/>
  <c r="P109" i="2"/>
  <c r="BO108" i="2"/>
  <c r="BM108" i="2"/>
  <c r="Z108" i="2"/>
  <c r="Y108" i="2"/>
  <c r="BP108" i="2" s="1"/>
  <c r="P108" i="2"/>
  <c r="BO107" i="2"/>
  <c r="BM107" i="2"/>
  <c r="Y107" i="2"/>
  <c r="P107" i="2"/>
  <c r="X105" i="2"/>
  <c r="X104" i="2"/>
  <c r="BO103" i="2"/>
  <c r="BM103" i="2"/>
  <c r="Y103" i="2"/>
  <c r="BP103" i="2" s="1"/>
  <c r="P103" i="2"/>
  <c r="BP102" i="2"/>
  <c r="BO102" i="2"/>
  <c r="BN102" i="2"/>
  <c r="BM102" i="2"/>
  <c r="Z102" i="2"/>
  <c r="Y102" i="2"/>
  <c r="P102" i="2"/>
  <c r="BO101" i="2"/>
  <c r="BM101" i="2"/>
  <c r="Y101" i="2"/>
  <c r="Z101" i="2" s="1"/>
  <c r="P101" i="2"/>
  <c r="BO100" i="2"/>
  <c r="BM100" i="2"/>
  <c r="Y100" i="2"/>
  <c r="Z100" i="2" s="1"/>
  <c r="P100" i="2"/>
  <c r="X97" i="2"/>
  <c r="X96" i="2"/>
  <c r="BO95" i="2"/>
  <c r="BM95" i="2"/>
  <c r="Y95" i="2"/>
  <c r="P95" i="2"/>
  <c r="BO94" i="2"/>
  <c r="BM94" i="2"/>
  <c r="Y94" i="2"/>
  <c r="BP94" i="2" s="1"/>
  <c r="P94" i="2"/>
  <c r="BO93" i="2"/>
  <c r="BM93" i="2"/>
  <c r="Y93" i="2"/>
  <c r="Z93" i="2" s="1"/>
  <c r="P93" i="2"/>
  <c r="BO92" i="2"/>
  <c r="BM92" i="2"/>
  <c r="Y92" i="2"/>
  <c r="P92" i="2"/>
  <c r="X90" i="2"/>
  <c r="X89" i="2"/>
  <c r="BP88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X83" i="2"/>
  <c r="X82" i="2"/>
  <c r="BO81" i="2"/>
  <c r="BM81" i="2"/>
  <c r="Y81" i="2"/>
  <c r="Y83" i="2" s="1"/>
  <c r="P81" i="2"/>
  <c r="BP80" i="2"/>
  <c r="BO80" i="2"/>
  <c r="BM80" i="2"/>
  <c r="Y80" i="2"/>
  <c r="Y82" i="2" s="1"/>
  <c r="P80" i="2"/>
  <c r="X78" i="2"/>
  <c r="X77" i="2"/>
  <c r="BO76" i="2"/>
  <c r="BM76" i="2"/>
  <c r="Y76" i="2"/>
  <c r="Z76" i="2" s="1"/>
  <c r="P76" i="2"/>
  <c r="BO75" i="2"/>
  <c r="BM75" i="2"/>
  <c r="Y75" i="2"/>
  <c r="Z75" i="2" s="1"/>
  <c r="P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O66" i="2"/>
  <c r="BM66" i="2"/>
  <c r="Y66" i="2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Z60" i="2" s="1"/>
  <c r="P60" i="2"/>
  <c r="X58" i="2"/>
  <c r="X57" i="2"/>
  <c r="BO56" i="2"/>
  <c r="BM56" i="2"/>
  <c r="Y56" i="2"/>
  <c r="BP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N53" i="2" s="1"/>
  <c r="P53" i="2"/>
  <c r="BO52" i="2"/>
  <c r="BM52" i="2"/>
  <c r="Y52" i="2"/>
  <c r="P52" i="2"/>
  <c r="BO51" i="2"/>
  <c r="BM51" i="2"/>
  <c r="Y51" i="2"/>
  <c r="P51" i="2"/>
  <c r="X48" i="2"/>
  <c r="X47" i="2"/>
  <c r="BO46" i="2"/>
  <c r="BM46" i="2"/>
  <c r="Y46" i="2"/>
  <c r="Z46" i="2" s="1"/>
  <c r="Z47" i="2" s="1"/>
  <c r="P46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X36" i="2"/>
  <c r="X35" i="2"/>
  <c r="BO34" i="2"/>
  <c r="BM34" i="2"/>
  <c r="Y34" i="2"/>
  <c r="Y35" i="2" s="1"/>
  <c r="P34" i="2"/>
  <c r="X32" i="2"/>
  <c r="X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P27" i="2"/>
  <c r="BO26" i="2"/>
  <c r="BM26" i="2"/>
  <c r="Y26" i="2"/>
  <c r="Z26" i="2" s="1"/>
  <c r="P26" i="2"/>
  <c r="X24" i="2"/>
  <c r="X23" i="2"/>
  <c r="BO22" i="2"/>
  <c r="BM22" i="2"/>
  <c r="Y22" i="2"/>
  <c r="Y24" i="2" s="1"/>
  <c r="P22" i="2"/>
  <c r="H10" i="2"/>
  <c r="A9" i="2"/>
  <c r="F9" i="2" s="1"/>
  <c r="D7" i="2"/>
  <c r="Q6" i="2"/>
  <c r="P2" i="2"/>
  <c r="Z398" i="2" l="1"/>
  <c r="Z354" i="2"/>
  <c r="BN354" i="2"/>
  <c r="BP354" i="2"/>
  <c r="BP346" i="2"/>
  <c r="Y352" i="2"/>
  <c r="Z344" i="2"/>
  <c r="BN344" i="2"/>
  <c r="Z308" i="2"/>
  <c r="BP308" i="2"/>
  <c r="Z300" i="2"/>
  <c r="BN300" i="2"/>
  <c r="BP290" i="2"/>
  <c r="Z290" i="2"/>
  <c r="Z289" i="2"/>
  <c r="BP248" i="2"/>
  <c r="Z208" i="2"/>
  <c r="BN175" i="2"/>
  <c r="BP175" i="2"/>
  <c r="Z141" i="2"/>
  <c r="Z80" i="2"/>
  <c r="BN80" i="2"/>
  <c r="BN68" i="2"/>
  <c r="BP68" i="2"/>
  <c r="Y69" i="2"/>
  <c r="X490" i="2"/>
  <c r="Y57" i="2"/>
  <c r="F10" i="2"/>
  <c r="BP26" i="2"/>
  <c r="BP30" i="2"/>
  <c r="Z56" i="2"/>
  <c r="BN56" i="2"/>
  <c r="BN60" i="2"/>
  <c r="BP60" i="2"/>
  <c r="Y64" i="2"/>
  <c r="BN81" i="2"/>
  <c r="BP81" i="2"/>
  <c r="BN87" i="2"/>
  <c r="BP87" i="2"/>
  <c r="Z107" i="2"/>
  <c r="Z110" i="2" s="1"/>
  <c r="BP107" i="2"/>
  <c r="BN115" i="2"/>
  <c r="BP115" i="2"/>
  <c r="BN143" i="2"/>
  <c r="Z143" i="2"/>
  <c r="BP166" i="2"/>
  <c r="Z166" i="2"/>
  <c r="BP177" i="2"/>
  <c r="BN177" i="2"/>
  <c r="Z177" i="2"/>
  <c r="Y193" i="2"/>
  <c r="BN207" i="2"/>
  <c r="BP207" i="2"/>
  <c r="BP214" i="2"/>
  <c r="BN214" i="2"/>
  <c r="Z214" i="2"/>
  <c r="BP229" i="2"/>
  <c r="BN229" i="2"/>
  <c r="Z229" i="2"/>
  <c r="BP249" i="2"/>
  <c r="BN249" i="2"/>
  <c r="Z249" i="2"/>
  <c r="BP250" i="2"/>
  <c r="BN250" i="2"/>
  <c r="Z250" i="2"/>
  <c r="BP258" i="2"/>
  <c r="BN258" i="2"/>
  <c r="Z258" i="2"/>
  <c r="BN22" i="2"/>
  <c r="X492" i="2"/>
  <c r="BP29" i="2"/>
  <c r="BN42" i="2"/>
  <c r="BP42" i="2"/>
  <c r="BP55" i="2"/>
  <c r="Y63" i="2"/>
  <c r="BP73" i="2"/>
  <c r="BN75" i="2"/>
  <c r="BP75" i="2"/>
  <c r="BN76" i="2"/>
  <c r="BP76" i="2"/>
  <c r="Y96" i="2"/>
  <c r="Z92" i="2"/>
  <c r="BN109" i="2"/>
  <c r="BP109" i="2"/>
  <c r="BP113" i="2"/>
  <c r="Z113" i="2"/>
  <c r="Y137" i="2"/>
  <c r="BP135" i="2"/>
  <c r="BN135" i="2"/>
  <c r="Z135" i="2"/>
  <c r="BN148" i="2"/>
  <c r="BN164" i="2"/>
  <c r="BP164" i="2"/>
  <c r="Z170" i="2"/>
  <c r="BP170" i="2"/>
  <c r="BN191" i="2"/>
  <c r="Z191" i="2"/>
  <c r="BP198" i="2"/>
  <c r="BN198" i="2"/>
  <c r="Z198" i="2"/>
  <c r="BP200" i="2"/>
  <c r="BN200" i="2"/>
  <c r="Z200" i="2"/>
  <c r="BN209" i="2"/>
  <c r="BN211" i="2"/>
  <c r="BP211" i="2"/>
  <c r="BP238" i="2"/>
  <c r="Y240" i="2"/>
  <c r="BP247" i="2"/>
  <c r="BN247" i="2"/>
  <c r="Z247" i="2"/>
  <c r="BN264" i="2"/>
  <c r="Z264" i="2"/>
  <c r="BP265" i="2"/>
  <c r="BN265" i="2"/>
  <c r="Z265" i="2"/>
  <c r="Z268" i="2" s="1"/>
  <c r="BP274" i="2"/>
  <c r="BN274" i="2"/>
  <c r="Z274" i="2"/>
  <c r="BN284" i="2"/>
  <c r="Y286" i="2"/>
  <c r="Y285" i="2"/>
  <c r="BP284" i="2"/>
  <c r="BN93" i="2"/>
  <c r="BP93" i="2"/>
  <c r="Y128" i="2"/>
  <c r="BN131" i="2"/>
  <c r="BN199" i="2"/>
  <c r="BN215" i="2"/>
  <c r="BP215" i="2"/>
  <c r="BP226" i="2"/>
  <c r="BN242" i="2"/>
  <c r="Y275" i="2"/>
  <c r="BN272" i="2"/>
  <c r="BN279" i="2"/>
  <c r="BP279" i="2"/>
  <c r="BP291" i="2"/>
  <c r="Z294" i="2"/>
  <c r="BN294" i="2"/>
  <c r="Y306" i="2"/>
  <c r="BP298" i="2"/>
  <c r="BN298" i="2"/>
  <c r="Z298" i="2"/>
  <c r="BP310" i="2"/>
  <c r="BN310" i="2"/>
  <c r="Z310" i="2"/>
  <c r="BP323" i="2"/>
  <c r="BN323" i="2"/>
  <c r="Z323" i="2"/>
  <c r="BN345" i="2"/>
  <c r="BP345" i="2"/>
  <c r="BN355" i="2"/>
  <c r="BP355" i="2"/>
  <c r="Y372" i="2"/>
  <c r="BP393" i="2"/>
  <c r="BN393" i="2"/>
  <c r="Z393" i="2"/>
  <c r="BP408" i="2"/>
  <c r="BN408" i="2"/>
  <c r="Z408" i="2"/>
  <c r="BN423" i="2"/>
  <c r="BP423" i="2"/>
  <c r="BN425" i="2"/>
  <c r="BP431" i="2"/>
  <c r="BN431" i="2"/>
  <c r="Z431" i="2"/>
  <c r="BP451" i="2"/>
  <c r="BN451" i="2"/>
  <c r="Z451" i="2"/>
  <c r="BP462" i="2"/>
  <c r="BN462" i="2"/>
  <c r="Z462" i="2"/>
  <c r="Z468" i="2"/>
  <c r="BP468" i="2"/>
  <c r="BN473" i="2"/>
  <c r="Z473" i="2"/>
  <c r="BN482" i="2"/>
  <c r="BP482" i="2"/>
  <c r="BN303" i="2"/>
  <c r="BP303" i="2"/>
  <c r="BP304" i="2"/>
  <c r="BN304" i="2"/>
  <c r="Z304" i="2"/>
  <c r="BP325" i="2"/>
  <c r="BN325" i="2"/>
  <c r="Z325" i="2"/>
  <c r="BP331" i="2"/>
  <c r="BN331" i="2"/>
  <c r="Z331" i="2"/>
  <c r="Y340" i="2"/>
  <c r="Y339" i="2"/>
  <c r="BP336" i="2"/>
  <c r="BN336" i="2"/>
  <c r="Z336" i="2"/>
  <c r="BP347" i="2"/>
  <c r="BN347" i="2"/>
  <c r="Z347" i="2"/>
  <c r="BP348" i="2"/>
  <c r="BN348" i="2"/>
  <c r="Z348" i="2"/>
  <c r="BP370" i="2"/>
  <c r="BN370" i="2"/>
  <c r="Z370" i="2"/>
  <c r="Z371" i="2" s="1"/>
  <c r="BN410" i="2"/>
  <c r="BP410" i="2"/>
  <c r="BN445" i="2"/>
  <c r="Y464" i="2"/>
  <c r="BP459" i="2"/>
  <c r="BN459" i="2"/>
  <c r="Z459" i="2"/>
  <c r="Z469" i="2"/>
  <c r="BN481" i="2"/>
  <c r="Y484" i="2"/>
  <c r="Y483" i="2"/>
  <c r="Z481" i="2"/>
  <c r="BP311" i="2"/>
  <c r="BN322" i="2"/>
  <c r="BP322" i="2"/>
  <c r="Y326" i="2"/>
  <c r="BN338" i="2"/>
  <c r="BP338" i="2"/>
  <c r="BN350" i="2"/>
  <c r="BP350" i="2"/>
  <c r="Y351" i="2"/>
  <c r="Y356" i="2"/>
  <c r="BN387" i="2"/>
  <c r="BP387" i="2"/>
  <c r="BN389" i="2"/>
  <c r="BN399" i="2"/>
  <c r="BN436" i="2"/>
  <c r="BP436" i="2"/>
  <c r="Y440" i="2"/>
  <c r="BN446" i="2"/>
  <c r="BP446" i="2"/>
  <c r="BN447" i="2"/>
  <c r="Y470" i="2"/>
  <c r="BP466" i="2"/>
  <c r="Y489" i="2"/>
  <c r="Y32" i="2"/>
  <c r="Y44" i="2"/>
  <c r="Y111" i="2"/>
  <c r="BN267" i="2"/>
  <c r="Z267" i="2"/>
  <c r="BN52" i="2"/>
  <c r="BP52" i="2"/>
  <c r="BN159" i="2"/>
  <c r="Z159" i="2"/>
  <c r="Z160" i="2" s="1"/>
  <c r="I500" i="2"/>
  <c r="BP187" i="2"/>
  <c r="BN187" i="2"/>
  <c r="BN255" i="2"/>
  <c r="L500" i="2"/>
  <c r="Y282" i="2"/>
  <c r="BP280" i="2"/>
  <c r="X494" i="2"/>
  <c r="Z28" i="2"/>
  <c r="Y47" i="2"/>
  <c r="BP46" i="2"/>
  <c r="Z52" i="2"/>
  <c r="BN170" i="2"/>
  <c r="Z187" i="2"/>
  <c r="Z188" i="2" s="1"/>
  <c r="Z209" i="2"/>
  <c r="BN212" i="2"/>
  <c r="Z212" i="2"/>
  <c r="Z232" i="2"/>
  <c r="Y251" i="2"/>
  <c r="Z246" i="2"/>
  <c r="Z255" i="2"/>
  <c r="Z280" i="2"/>
  <c r="Z281" i="2" s="1"/>
  <c r="Y296" i="2"/>
  <c r="Y295" i="2"/>
  <c r="BP289" i="2"/>
  <c r="Q500" i="2"/>
  <c r="Y395" i="2"/>
  <c r="BP386" i="2"/>
  <c r="U500" i="2"/>
  <c r="BN386" i="2"/>
  <c r="Z386" i="2"/>
  <c r="X500" i="2"/>
  <c r="Y434" i="2"/>
  <c r="Y433" i="2"/>
  <c r="BP422" i="2"/>
  <c r="BN422" i="2"/>
  <c r="Z422" i="2"/>
  <c r="BP432" i="2"/>
  <c r="BN432" i="2"/>
  <c r="Z447" i="2"/>
  <c r="Y132" i="2"/>
  <c r="Z130" i="2"/>
  <c r="BN181" i="2"/>
  <c r="BP181" i="2"/>
  <c r="Y183" i="2"/>
  <c r="BN292" i="2"/>
  <c r="Z292" i="2"/>
  <c r="Z432" i="2"/>
  <c r="Z444" i="2"/>
  <c r="BP364" i="2"/>
  <c r="BN364" i="2"/>
  <c r="Z364" i="2"/>
  <c r="Z365" i="2" s="1"/>
  <c r="Y366" i="2"/>
  <c r="Y77" i="2"/>
  <c r="BP147" i="2"/>
  <c r="Y150" i="2"/>
  <c r="BN147" i="2"/>
  <c r="BN113" i="2"/>
  <c r="BN130" i="2"/>
  <c r="Z201" i="2"/>
  <c r="Y205" i="2"/>
  <c r="BP232" i="2"/>
  <c r="BP255" i="2"/>
  <c r="Z309" i="2"/>
  <c r="Z312" i="2"/>
  <c r="BN312" i="2"/>
  <c r="Z390" i="2"/>
  <c r="BN390" i="2"/>
  <c r="BN411" i="2"/>
  <c r="Z426" i="2"/>
  <c r="BN426" i="2"/>
  <c r="BN444" i="2"/>
  <c r="Z74" i="2"/>
  <c r="BN46" i="2"/>
  <c r="Z34" i="2"/>
  <c r="Z35" i="2" s="1"/>
  <c r="BN41" i="2"/>
  <c r="Z103" i="2"/>
  <c r="Z104" i="2" s="1"/>
  <c r="BN108" i="2"/>
  <c r="BN142" i="2"/>
  <c r="BP142" i="2"/>
  <c r="Y151" i="2"/>
  <c r="Y160" i="2"/>
  <c r="Y188" i="2"/>
  <c r="Z227" i="2"/>
  <c r="BP246" i="2"/>
  <c r="BP292" i="2"/>
  <c r="BN359" i="2"/>
  <c r="BP359" i="2"/>
  <c r="Y362" i="2"/>
  <c r="BP379" i="2"/>
  <c r="Y381" i="2"/>
  <c r="Z125" i="2"/>
  <c r="Z127" i="2" s="1"/>
  <c r="Z53" i="2"/>
  <c r="Z61" i="2"/>
  <c r="Z63" i="2" s="1"/>
  <c r="BN66" i="2"/>
  <c r="E500" i="2"/>
  <c r="Y89" i="2"/>
  <c r="BN86" i="2"/>
  <c r="Z94" i="2"/>
  <c r="BN100" i="2"/>
  <c r="BN125" i="2"/>
  <c r="BP130" i="2"/>
  <c r="Z142" i="2"/>
  <c r="Z144" i="2" s="1"/>
  <c r="Z168" i="2"/>
  <c r="Z171" i="2"/>
  <c r="BN176" i="2"/>
  <c r="Z230" i="2"/>
  <c r="BN233" i="2"/>
  <c r="Z233" i="2"/>
  <c r="BN256" i="2"/>
  <c r="Z256" i="2"/>
  <c r="Y269" i="2"/>
  <c r="Y281" i="2"/>
  <c r="BN309" i="2"/>
  <c r="Z359" i="2"/>
  <c r="Z361" i="2" s="1"/>
  <c r="Z379" i="2"/>
  <c r="BP411" i="2"/>
  <c r="BN116" i="2"/>
  <c r="Z116" i="2"/>
  <c r="Z117" i="2" s="1"/>
  <c r="Z29" i="2"/>
  <c r="BN34" i="2"/>
  <c r="Y70" i="2"/>
  <c r="Z86" i="2"/>
  <c r="BN103" i="2"/>
  <c r="Z136" i="2"/>
  <c r="Z153" i="2"/>
  <c r="Z154" i="2" s="1"/>
  <c r="Y161" i="2"/>
  <c r="Y182" i="2"/>
  <c r="Y204" i="2"/>
  <c r="BP201" i="2"/>
  <c r="Y216" i="2"/>
  <c r="BN227" i="2"/>
  <c r="Z301" i="2"/>
  <c r="BP312" i="2"/>
  <c r="Z346" i="2"/>
  <c r="Y365" i="2"/>
  <c r="BP390" i="2"/>
  <c r="BP426" i="2"/>
  <c r="BN461" i="2"/>
  <c r="Y31" i="2"/>
  <c r="H9" i="2"/>
  <c r="BN61" i="2"/>
  <c r="BP66" i="2"/>
  <c r="Y90" i="2"/>
  <c r="BN94" i="2"/>
  <c r="BP100" i="2"/>
  <c r="Y117" i="2"/>
  <c r="BN168" i="2"/>
  <c r="BN171" i="2"/>
  <c r="Y189" i="2"/>
  <c r="BN213" i="2"/>
  <c r="BN230" i="2"/>
  <c r="BP272" i="2"/>
  <c r="O500" i="2"/>
  <c r="Y333" i="2"/>
  <c r="BP329" i="2"/>
  <c r="Y332" i="2"/>
  <c r="BN329" i="2"/>
  <c r="Z329" i="2"/>
  <c r="BP349" i="2"/>
  <c r="Z349" i="2"/>
  <c r="BN379" i="2"/>
  <c r="BN394" i="2"/>
  <c r="BP394" i="2"/>
  <c r="Z394" i="2"/>
  <c r="BP430" i="2"/>
  <c r="BN430" i="2"/>
  <c r="Z430" i="2"/>
  <c r="G500" i="2"/>
  <c r="Y127" i="2"/>
  <c r="BP28" i="2"/>
  <c r="Z66" i="2"/>
  <c r="Z69" i="2" s="1"/>
  <c r="Z176" i="2"/>
  <c r="BN74" i="2"/>
  <c r="J9" i="2"/>
  <c r="BP34" i="2"/>
  <c r="Y48" i="2"/>
  <c r="BP53" i="2"/>
  <c r="Z72" i="2"/>
  <c r="Z77" i="2" s="1"/>
  <c r="BN72" i="2"/>
  <c r="Y78" i="2"/>
  <c r="Z131" i="2"/>
  <c r="BN136" i="2"/>
  <c r="Z148" i="2"/>
  <c r="BN153" i="2"/>
  <c r="Y172" i="2"/>
  <c r="Z199" i="2"/>
  <c r="BN202" i="2"/>
  <c r="Z202" i="2"/>
  <c r="BP233" i="2"/>
  <c r="BP256" i="2"/>
  <c r="Z272" i="2"/>
  <c r="BN293" i="2"/>
  <c r="Y313" i="2"/>
  <c r="BP374" i="2"/>
  <c r="BN374" i="2"/>
  <c r="BP461" i="2"/>
  <c r="BN26" i="2"/>
  <c r="A10" i="2"/>
  <c r="BP61" i="2"/>
  <c r="BP67" i="2"/>
  <c r="BN67" i="2"/>
  <c r="BP86" i="2"/>
  <c r="Y97" i="2"/>
  <c r="BP101" i="2"/>
  <c r="BN101" i="2"/>
  <c r="Y118" i="2"/>
  <c r="Z163" i="2"/>
  <c r="BN196" i="2"/>
  <c r="BP213" i="2"/>
  <c r="Y217" i="2"/>
  <c r="Y243" i="2"/>
  <c r="Z242" i="2"/>
  <c r="Z243" i="2" s="1"/>
  <c r="Y276" i="2"/>
  <c r="BP301" i="2"/>
  <c r="BN324" i="2"/>
  <c r="BP324" i="2"/>
  <c r="BN349" i="2"/>
  <c r="Y371" i="2"/>
  <c r="T500" i="2"/>
  <c r="Z374" i="2"/>
  <c r="Z391" i="2"/>
  <c r="Y413" i="2"/>
  <c r="BP409" i="2"/>
  <c r="Y412" i="2"/>
  <c r="BN409" i="2"/>
  <c r="Z427" i="2"/>
  <c r="Y449" i="2"/>
  <c r="Y448" i="2"/>
  <c r="BP442" i="2"/>
  <c r="BN442" i="2"/>
  <c r="Z442" i="2"/>
  <c r="Y314" i="2"/>
  <c r="Y463" i="2"/>
  <c r="Y36" i="2"/>
  <c r="Z51" i="2"/>
  <c r="Z54" i="2"/>
  <c r="BN62" i="2"/>
  <c r="BP62" i="2"/>
  <c r="BP72" i="2"/>
  <c r="BN95" i="2"/>
  <c r="BP95" i="2"/>
  <c r="Y105" i="2"/>
  <c r="Y122" i="2"/>
  <c r="Y121" i="2"/>
  <c r="BN163" i="2"/>
  <c r="BN169" i="2"/>
  <c r="Z169" i="2"/>
  <c r="Y173" i="2"/>
  <c r="BP196" i="2"/>
  <c r="BP202" i="2"/>
  <c r="BP219" i="2"/>
  <c r="Y222" i="2"/>
  <c r="Z266" i="2"/>
  <c r="Z299" i="2"/>
  <c r="BN302" i="2"/>
  <c r="Z302" i="2"/>
  <c r="Z330" i="2"/>
  <c r="BN330" i="2"/>
  <c r="S500" i="2"/>
  <c r="Z388" i="2"/>
  <c r="BN391" i="2"/>
  <c r="V500" i="2"/>
  <c r="Y406" i="2"/>
  <c r="Y405" i="2"/>
  <c r="Z424" i="2"/>
  <c r="BN427" i="2"/>
  <c r="BP159" i="2"/>
  <c r="Z147" i="2"/>
  <c r="D500" i="2"/>
  <c r="Y260" i="2"/>
  <c r="BP27" i="2"/>
  <c r="BN27" i="2"/>
  <c r="Z87" i="2"/>
  <c r="BN92" i="2"/>
  <c r="Z95" i="2"/>
  <c r="Z120" i="2"/>
  <c r="Z121" i="2" s="1"/>
  <c r="BN126" i="2"/>
  <c r="Y154" i="2"/>
  <c r="BN166" i="2"/>
  <c r="Z219" i="2"/>
  <c r="Z221" i="2" s="1"/>
  <c r="BN234" i="2"/>
  <c r="BN257" i="2"/>
  <c r="Y320" i="2"/>
  <c r="BP316" i="2"/>
  <c r="BN369" i="2"/>
  <c r="Z404" i="2"/>
  <c r="Z405" i="2" s="1"/>
  <c r="Z41" i="2"/>
  <c r="J500" i="2"/>
  <c r="BN51" i="2"/>
  <c r="Y138" i="2"/>
  <c r="BP143" i="2"/>
  <c r="BP163" i="2"/>
  <c r="Y179" i="2"/>
  <c r="BN186" i="2"/>
  <c r="BP191" i="2"/>
  <c r="Z211" i="2"/>
  <c r="BP242" i="2"/>
  <c r="Y261" i="2"/>
  <c r="BN299" i="2"/>
  <c r="Z316" i="2"/>
  <c r="BP337" i="2"/>
  <c r="R500" i="2"/>
  <c r="Z337" i="2"/>
  <c r="BN388" i="2"/>
  <c r="Y396" i="2"/>
  <c r="BN424" i="2"/>
  <c r="BP437" i="2"/>
  <c r="Y439" i="2"/>
  <c r="BP225" i="2"/>
  <c r="BN225" i="2"/>
  <c r="Y236" i="2"/>
  <c r="Y235" i="2"/>
  <c r="K500" i="2"/>
  <c r="Y23" i="2"/>
  <c r="B500" i="2"/>
  <c r="BP22" i="2"/>
  <c r="C500" i="2"/>
  <c r="Z40" i="2"/>
  <c r="Y43" i="2"/>
  <c r="BN54" i="2"/>
  <c r="Y110" i="2"/>
  <c r="Z22" i="2"/>
  <c r="Z23" i="2" s="1"/>
  <c r="Y58" i="2"/>
  <c r="Z81" i="2"/>
  <c r="BP92" i="2"/>
  <c r="BN120" i="2"/>
  <c r="Y133" i="2"/>
  <c r="BP169" i="2"/>
  <c r="BN219" i="2"/>
  <c r="BP234" i="2"/>
  <c r="BP257" i="2"/>
  <c r="BP266" i="2"/>
  <c r="Z291" i="2"/>
  <c r="Z295" i="2" s="1"/>
  <c r="BP302" i="2"/>
  <c r="BP330" i="2"/>
  <c r="BP369" i="2"/>
  <c r="BN404" i="2"/>
  <c r="Z437" i="2"/>
  <c r="BP452" i="2"/>
  <c r="BN452" i="2"/>
  <c r="Z452" i="2"/>
  <c r="F500" i="2"/>
  <c r="Y104" i="2"/>
  <c r="Z27" i="2"/>
  <c r="X491" i="2"/>
  <c r="BN40" i="2"/>
  <c r="BP51" i="2"/>
  <c r="BN73" i="2"/>
  <c r="BN107" i="2"/>
  <c r="H500" i="2"/>
  <c r="Y144" i="2"/>
  <c r="Y178" i="2"/>
  <c r="BP186" i="2"/>
  <c r="BN192" i="2"/>
  <c r="Z192" i="2"/>
  <c r="Z193" i="2" s="1"/>
  <c r="BN203" i="2"/>
  <c r="Y252" i="2"/>
  <c r="BP264" i="2"/>
  <c r="M500" i="2"/>
  <c r="BN316" i="2"/>
  <c r="BN337" i="2"/>
  <c r="BP398" i="2"/>
  <c r="Y401" i="2"/>
  <c r="BN468" i="2"/>
  <c r="Y239" i="2"/>
  <c r="Y417" i="2"/>
  <c r="Y327" i="2"/>
  <c r="BN466" i="2"/>
  <c r="Y469" i="2"/>
  <c r="P500" i="2"/>
  <c r="Z389" i="2"/>
  <c r="Z399" i="2"/>
  <c r="Z400" i="2" s="1"/>
  <c r="Z425" i="2"/>
  <c r="Z445" i="2"/>
  <c r="Y475" i="2"/>
  <c r="BN487" i="2"/>
  <c r="Z410" i="2"/>
  <c r="Z412" i="2" s="1"/>
  <c r="Z30" i="2"/>
  <c r="Z88" i="2"/>
  <c r="Z164" i="2"/>
  <c r="Z197" i="2"/>
  <c r="Z204" i="2" s="1"/>
  <c r="Z207" i="2"/>
  <c r="Z216" i="2" s="1"/>
  <c r="Z228" i="2"/>
  <c r="Z238" i="2"/>
  <c r="Z239" i="2" s="1"/>
  <c r="Z273" i="2"/>
  <c r="Z317" i="2"/>
  <c r="Z380" i="2"/>
  <c r="Z392" i="2"/>
  <c r="Z416" i="2"/>
  <c r="Z417" i="2" s="1"/>
  <c r="Z428" i="2"/>
  <c r="Z438" i="2"/>
  <c r="Z472" i="2"/>
  <c r="Z474" i="2" s="1"/>
  <c r="BP487" i="2"/>
  <c r="Z375" i="2"/>
  <c r="Z55" i="2"/>
  <c r="Y305" i="2"/>
  <c r="Z443" i="2"/>
  <c r="Z453" i="2"/>
  <c r="BN467" i="2"/>
  <c r="Z477" i="2"/>
  <c r="Z478" i="2" s="1"/>
  <c r="W500" i="2"/>
  <c r="BN238" i="2"/>
  <c r="Z248" i="2"/>
  <c r="Z259" i="2"/>
  <c r="BN273" i="2"/>
  <c r="Z284" i="2"/>
  <c r="Z285" i="2" s="1"/>
  <c r="BN317" i="2"/>
  <c r="Z345" i="2"/>
  <c r="Z355" i="2"/>
  <c r="Z356" i="2" s="1"/>
  <c r="BN380" i="2"/>
  <c r="BN392" i="2"/>
  <c r="BN416" i="2"/>
  <c r="BN428" i="2"/>
  <c r="BN438" i="2"/>
  <c r="Z460" i="2"/>
  <c r="Z463" i="2" s="1"/>
  <c r="BN472" i="2"/>
  <c r="Z482" i="2"/>
  <c r="Y488" i="2"/>
  <c r="Y500" i="2"/>
  <c r="Z483" i="2" l="1"/>
  <c r="Z351" i="2"/>
  <c r="Z339" i="2"/>
  <c r="Z313" i="2"/>
  <c r="Z178" i="2"/>
  <c r="Z137" i="2"/>
  <c r="Z82" i="2"/>
  <c r="X493" i="2"/>
  <c r="Z31" i="2"/>
  <c r="Z439" i="2"/>
  <c r="Z319" i="2"/>
  <c r="Z305" i="2"/>
  <c r="Z326" i="2"/>
  <c r="Y491" i="2"/>
  <c r="Z381" i="2"/>
  <c r="Z235" i="2"/>
  <c r="Z260" i="2"/>
  <c r="Y490" i="2"/>
  <c r="Z172" i="2"/>
  <c r="Z395" i="2"/>
  <c r="Z96" i="2"/>
  <c r="Z376" i="2"/>
  <c r="Z454" i="2"/>
  <c r="Z132" i="2"/>
  <c r="Z150" i="2"/>
  <c r="Z57" i="2"/>
  <c r="Z43" i="2"/>
  <c r="Z448" i="2"/>
  <c r="Z251" i="2"/>
  <c r="Z332" i="2"/>
  <c r="Z433" i="2"/>
  <c r="Y492" i="2"/>
  <c r="Z89" i="2"/>
  <c r="Y494" i="2"/>
  <c r="Z275" i="2"/>
  <c r="Y493" i="2" l="1"/>
  <c r="Z495" i="2"/>
</calcChain>
</file>

<file path=xl/sharedStrings.xml><?xml version="1.0" encoding="utf-8"?>
<sst xmlns="http://schemas.openxmlformats.org/spreadsheetml/2006/main" count="3596" uniqueCount="767">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</sst>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57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00"/>
  <sheetViews>
    <sheetView showGridLines="0" tabSelected="1" topLeftCell="A470" zoomScaleNormal="100" zoomScaleSheetLayoutView="100" workbookViewId="0">
      <selection activeCell="X482" sqref="X4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61" t="s">
        <v>26</v>
      </c>
      <c r="E1" s="861"/>
      <c r="F1" s="861"/>
      <c r="G1" s="14" t="s">
        <v>66</v>
      </c>
      <c r="H1" s="861" t="s">
        <v>46</v>
      </c>
      <c r="I1" s="861"/>
      <c r="J1" s="861"/>
      <c r="K1" s="861"/>
      <c r="L1" s="861"/>
      <c r="M1" s="861"/>
      <c r="N1" s="861"/>
      <c r="O1" s="861"/>
      <c r="P1" s="861"/>
      <c r="Q1" s="861"/>
      <c r="R1" s="862" t="s">
        <v>67</v>
      </c>
      <c r="S1" s="863"/>
      <c r="T1" s="86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4"/>
      <c r="R2" s="864"/>
      <c r="S2" s="864"/>
      <c r="T2" s="864"/>
      <c r="U2" s="864"/>
      <c r="V2" s="864"/>
      <c r="W2" s="86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4"/>
      <c r="Q3" s="864"/>
      <c r="R3" s="864"/>
      <c r="S3" s="864"/>
      <c r="T3" s="864"/>
      <c r="U3" s="864"/>
      <c r="V3" s="864"/>
      <c r="W3" s="86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43" t="s">
        <v>8</v>
      </c>
      <c r="B5" s="843"/>
      <c r="C5" s="843"/>
      <c r="D5" s="865"/>
      <c r="E5" s="865"/>
      <c r="F5" s="866" t="s">
        <v>14</v>
      </c>
      <c r="G5" s="866"/>
      <c r="H5" s="865"/>
      <c r="I5" s="865"/>
      <c r="J5" s="865"/>
      <c r="K5" s="865"/>
      <c r="L5" s="865"/>
      <c r="M5" s="865"/>
      <c r="N5" s="72"/>
      <c r="P5" s="27" t="s">
        <v>4</v>
      </c>
      <c r="Q5" s="867">
        <v>45967</v>
      </c>
      <c r="R5" s="867"/>
      <c r="T5" s="868" t="s">
        <v>3</v>
      </c>
      <c r="U5" s="869"/>
      <c r="V5" s="870" t="s">
        <v>753</v>
      </c>
      <c r="W5" s="871"/>
      <c r="AB5" s="59"/>
      <c r="AC5" s="59"/>
      <c r="AD5" s="59"/>
      <c r="AE5" s="59"/>
    </row>
    <row r="6" spans="1:32" s="17" customFormat="1" ht="24" customHeight="1" x14ac:dyDescent="0.2">
      <c r="A6" s="843" t="s">
        <v>1</v>
      </c>
      <c r="B6" s="843"/>
      <c r="C6" s="843"/>
      <c r="D6" s="844" t="s">
        <v>75</v>
      </c>
      <c r="E6" s="844"/>
      <c r="F6" s="844"/>
      <c r="G6" s="844"/>
      <c r="H6" s="844"/>
      <c r="I6" s="844"/>
      <c r="J6" s="844"/>
      <c r="K6" s="844"/>
      <c r="L6" s="844"/>
      <c r="M6" s="844"/>
      <c r="N6" s="73"/>
      <c r="P6" s="27" t="s">
        <v>27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845"/>
      <c r="T6" s="846" t="s">
        <v>5</v>
      </c>
      <c r="U6" s="847"/>
      <c r="V6" s="848" t="s">
        <v>69</v>
      </c>
      <c r="W6" s="84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54" t="str">
        <f>IFERROR(VLOOKUP(DeliveryAddress,Table,3,0),1)</f>
        <v>1</v>
      </c>
      <c r="E7" s="855"/>
      <c r="F7" s="855"/>
      <c r="G7" s="855"/>
      <c r="H7" s="855"/>
      <c r="I7" s="855"/>
      <c r="J7" s="855"/>
      <c r="K7" s="855"/>
      <c r="L7" s="855"/>
      <c r="M7" s="856"/>
      <c r="N7" s="74"/>
      <c r="P7" s="29"/>
      <c r="Q7" s="48"/>
      <c r="R7" s="48"/>
      <c r="T7" s="846"/>
      <c r="U7" s="847"/>
      <c r="V7" s="850"/>
      <c r="W7" s="851"/>
      <c r="AB7" s="59"/>
      <c r="AC7" s="59"/>
      <c r="AD7" s="59"/>
      <c r="AE7" s="59"/>
    </row>
    <row r="8" spans="1:32" s="17" customFormat="1" ht="25.5" customHeight="1" x14ac:dyDescent="0.2">
      <c r="A8" s="857" t="s">
        <v>57</v>
      </c>
      <c r="B8" s="857"/>
      <c r="C8" s="857"/>
      <c r="D8" s="858" t="s">
        <v>76</v>
      </c>
      <c r="E8" s="858"/>
      <c r="F8" s="858"/>
      <c r="G8" s="858"/>
      <c r="H8" s="858"/>
      <c r="I8" s="858"/>
      <c r="J8" s="858"/>
      <c r="K8" s="858"/>
      <c r="L8" s="858"/>
      <c r="M8" s="858"/>
      <c r="N8" s="75"/>
      <c r="P8" s="27" t="s">
        <v>11</v>
      </c>
      <c r="Q8" s="841">
        <v>0.41666666666666669</v>
      </c>
      <c r="R8" s="841"/>
      <c r="T8" s="846"/>
      <c r="U8" s="847"/>
      <c r="V8" s="850"/>
      <c r="W8" s="851"/>
      <c r="AB8" s="59"/>
      <c r="AC8" s="59"/>
      <c r="AD8" s="59"/>
      <c r="AE8" s="59"/>
    </row>
    <row r="9" spans="1:32" s="17" customFormat="1" ht="39.950000000000003" customHeight="1" x14ac:dyDescent="0.2">
      <c r="A9" s="83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3"/>
      <c r="C9" s="833"/>
      <c r="D9" s="834" t="s">
        <v>45</v>
      </c>
      <c r="E9" s="835"/>
      <c r="F9" s="83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3"/>
      <c r="H9" s="859" t="str">
        <f>IF(AND($A$9="Тип доверенности/получателя при получении в адресе перегруза:",$D$9="Разовая доверенность"),"Введите ФИО","")</f>
        <v/>
      </c>
      <c r="I9" s="859"/>
      <c r="J9" s="8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9"/>
      <c r="L9" s="859"/>
      <c r="M9" s="859"/>
      <c r="N9" s="70"/>
      <c r="P9" s="31" t="s">
        <v>15</v>
      </c>
      <c r="Q9" s="860"/>
      <c r="R9" s="860"/>
      <c r="T9" s="846"/>
      <c r="U9" s="847"/>
      <c r="V9" s="852"/>
      <c r="W9" s="85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3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3"/>
      <c r="C10" s="833"/>
      <c r="D10" s="834"/>
      <c r="E10" s="835"/>
      <c r="F10" s="83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3"/>
      <c r="H10" s="836" t="str">
        <f>IFERROR(VLOOKUP($D$10,Proxy,2,FALSE),"")</f>
        <v/>
      </c>
      <c r="I10" s="836"/>
      <c r="J10" s="836"/>
      <c r="K10" s="836"/>
      <c r="L10" s="836"/>
      <c r="M10" s="836"/>
      <c r="N10" s="71"/>
      <c r="P10" s="31" t="s">
        <v>32</v>
      </c>
      <c r="Q10" s="837"/>
      <c r="R10" s="837"/>
      <c r="U10" s="29" t="s">
        <v>12</v>
      </c>
      <c r="V10" s="838" t="s">
        <v>70</v>
      </c>
      <c r="W10" s="83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40"/>
      <c r="R11" s="840"/>
      <c r="U11" s="29" t="s">
        <v>28</v>
      </c>
      <c r="V11" s="819" t="s">
        <v>54</v>
      </c>
      <c r="W11" s="81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18" t="s">
        <v>71</v>
      </c>
      <c r="B12" s="818"/>
      <c r="C12" s="818"/>
      <c r="D12" s="818"/>
      <c r="E12" s="818"/>
      <c r="F12" s="818"/>
      <c r="G12" s="818"/>
      <c r="H12" s="818"/>
      <c r="I12" s="818"/>
      <c r="J12" s="818"/>
      <c r="K12" s="818"/>
      <c r="L12" s="818"/>
      <c r="M12" s="818"/>
      <c r="N12" s="76"/>
      <c r="P12" s="27" t="s">
        <v>30</v>
      </c>
      <c r="Q12" s="841"/>
      <c r="R12" s="841"/>
      <c r="S12" s="28"/>
      <c r="T12"/>
      <c r="U12" s="29" t="s">
        <v>45</v>
      </c>
      <c r="V12" s="842"/>
      <c r="W12" s="842"/>
      <c r="X12"/>
      <c r="AB12" s="59"/>
      <c r="AC12" s="59"/>
      <c r="AD12" s="59"/>
      <c r="AE12" s="59"/>
    </row>
    <row r="13" spans="1:32" s="17" customFormat="1" ht="23.25" customHeight="1" x14ac:dyDescent="0.2">
      <c r="A13" s="818" t="s">
        <v>72</v>
      </c>
      <c r="B13" s="818"/>
      <c r="C13" s="818"/>
      <c r="D13" s="818"/>
      <c r="E13" s="818"/>
      <c r="F13" s="818"/>
      <c r="G13" s="818"/>
      <c r="H13" s="818"/>
      <c r="I13" s="818"/>
      <c r="J13" s="818"/>
      <c r="K13" s="818"/>
      <c r="L13" s="818"/>
      <c r="M13" s="818"/>
      <c r="N13" s="76"/>
      <c r="O13" s="31"/>
      <c r="P13" s="31" t="s">
        <v>31</v>
      </c>
      <c r="Q13" s="819"/>
      <c r="R13" s="81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18" t="s">
        <v>73</v>
      </c>
      <c r="B14" s="818"/>
      <c r="C14" s="818"/>
      <c r="D14" s="818"/>
      <c r="E14" s="818"/>
      <c r="F14" s="818"/>
      <c r="G14" s="818"/>
      <c r="H14" s="818"/>
      <c r="I14" s="818"/>
      <c r="J14" s="818"/>
      <c r="K14" s="818"/>
      <c r="L14" s="818"/>
      <c r="M14" s="81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20" t="s">
        <v>74</v>
      </c>
      <c r="B15" s="820"/>
      <c r="C15" s="820"/>
      <c r="D15" s="820"/>
      <c r="E15" s="820"/>
      <c r="F15" s="820"/>
      <c r="G15" s="820"/>
      <c r="H15" s="820"/>
      <c r="I15" s="820"/>
      <c r="J15" s="820"/>
      <c r="K15" s="820"/>
      <c r="L15" s="820"/>
      <c r="M15" s="820"/>
      <c r="N15" s="77"/>
      <c r="O15"/>
      <c r="P15" s="821" t="s">
        <v>60</v>
      </c>
      <c r="Q15" s="821"/>
      <c r="R15" s="821"/>
      <c r="S15" s="821"/>
      <c r="T15" s="82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2"/>
      <c r="Q16" s="822"/>
      <c r="R16" s="822"/>
      <c r="S16" s="822"/>
      <c r="T16" s="82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4" t="s">
        <v>58</v>
      </c>
      <c r="B17" s="804" t="s">
        <v>48</v>
      </c>
      <c r="C17" s="825" t="s">
        <v>47</v>
      </c>
      <c r="D17" s="827" t="s">
        <v>49</v>
      </c>
      <c r="E17" s="828"/>
      <c r="F17" s="804" t="s">
        <v>21</v>
      </c>
      <c r="G17" s="804" t="s">
        <v>24</v>
      </c>
      <c r="H17" s="804" t="s">
        <v>22</v>
      </c>
      <c r="I17" s="804" t="s">
        <v>23</v>
      </c>
      <c r="J17" s="804" t="s">
        <v>16</v>
      </c>
      <c r="K17" s="804" t="s">
        <v>65</v>
      </c>
      <c r="L17" s="804" t="s">
        <v>63</v>
      </c>
      <c r="M17" s="804" t="s">
        <v>2</v>
      </c>
      <c r="N17" s="804" t="s">
        <v>62</v>
      </c>
      <c r="O17" s="804" t="s">
        <v>25</v>
      </c>
      <c r="P17" s="827" t="s">
        <v>17</v>
      </c>
      <c r="Q17" s="831"/>
      <c r="R17" s="831"/>
      <c r="S17" s="831"/>
      <c r="T17" s="828"/>
      <c r="U17" s="823" t="s">
        <v>55</v>
      </c>
      <c r="V17" s="824"/>
      <c r="W17" s="804" t="s">
        <v>6</v>
      </c>
      <c r="X17" s="804" t="s">
        <v>41</v>
      </c>
      <c r="Y17" s="806" t="s">
        <v>53</v>
      </c>
      <c r="Z17" s="808" t="s">
        <v>18</v>
      </c>
      <c r="AA17" s="810" t="s">
        <v>59</v>
      </c>
      <c r="AB17" s="810" t="s">
        <v>19</v>
      </c>
      <c r="AC17" s="810" t="s">
        <v>64</v>
      </c>
      <c r="AD17" s="812" t="s">
        <v>56</v>
      </c>
      <c r="AE17" s="813"/>
      <c r="AF17" s="814"/>
      <c r="AG17" s="82"/>
      <c r="BD17" s="81" t="s">
        <v>61</v>
      </c>
    </row>
    <row r="18" spans="1:68" ht="14.25" customHeight="1" x14ac:dyDescent="0.2">
      <c r="A18" s="805"/>
      <c r="B18" s="805"/>
      <c r="C18" s="826"/>
      <c r="D18" s="829"/>
      <c r="E18" s="830"/>
      <c r="F18" s="805"/>
      <c r="G18" s="805"/>
      <c r="H18" s="805"/>
      <c r="I18" s="805"/>
      <c r="J18" s="805"/>
      <c r="K18" s="805"/>
      <c r="L18" s="805"/>
      <c r="M18" s="805"/>
      <c r="N18" s="805"/>
      <c r="O18" s="805"/>
      <c r="P18" s="829"/>
      <c r="Q18" s="832"/>
      <c r="R18" s="832"/>
      <c r="S18" s="832"/>
      <c r="T18" s="830"/>
      <c r="U18" s="83" t="s">
        <v>44</v>
      </c>
      <c r="V18" s="83" t="s">
        <v>43</v>
      </c>
      <c r="W18" s="805"/>
      <c r="X18" s="805"/>
      <c r="Y18" s="807"/>
      <c r="Z18" s="809"/>
      <c r="AA18" s="811"/>
      <c r="AB18" s="811"/>
      <c r="AC18" s="811"/>
      <c r="AD18" s="815"/>
      <c r="AE18" s="816"/>
      <c r="AF18" s="817"/>
      <c r="AG18" s="82"/>
      <c r="BD18" s="81"/>
    </row>
    <row r="19" spans="1:68" ht="27.75" customHeight="1" x14ac:dyDescent="0.2">
      <c r="A19" s="581" t="s">
        <v>77</v>
      </c>
      <c r="B19" s="581"/>
      <c r="C19" s="581"/>
      <c r="D19" s="581"/>
      <c r="E19" s="581"/>
      <c r="F19" s="581"/>
      <c r="G19" s="581"/>
      <c r="H19" s="581"/>
      <c r="I19" s="581"/>
      <c r="J19" s="581"/>
      <c r="K19" s="581"/>
      <c r="L19" s="581"/>
      <c r="M19" s="581"/>
      <c r="N19" s="581"/>
      <c r="O19" s="581"/>
      <c r="P19" s="581"/>
      <c r="Q19" s="581"/>
      <c r="R19" s="581"/>
      <c r="S19" s="581"/>
      <c r="T19" s="581"/>
      <c r="U19" s="581"/>
      <c r="V19" s="581"/>
      <c r="W19" s="581"/>
      <c r="X19" s="581"/>
      <c r="Y19" s="581"/>
      <c r="Z19" s="581"/>
      <c r="AA19" s="54"/>
      <c r="AB19" s="54"/>
      <c r="AC19" s="54"/>
    </row>
    <row r="20" spans="1:68" ht="16.5" customHeight="1" x14ac:dyDescent="0.25">
      <c r="A20" s="572" t="s">
        <v>77</v>
      </c>
      <c r="B20" s="572"/>
      <c r="C20" s="572"/>
      <c r="D20" s="572"/>
      <c r="E20" s="572"/>
      <c r="F20" s="572"/>
      <c r="G20" s="572"/>
      <c r="H20" s="572"/>
      <c r="I20" s="572"/>
      <c r="J20" s="572"/>
      <c r="K20" s="572"/>
      <c r="L20" s="572"/>
      <c r="M20" s="572"/>
      <c r="N20" s="572"/>
      <c r="O20" s="572"/>
      <c r="P20" s="572"/>
      <c r="Q20" s="572"/>
      <c r="R20" s="572"/>
      <c r="S20" s="572"/>
      <c r="T20" s="572"/>
      <c r="U20" s="572"/>
      <c r="V20" s="572"/>
      <c r="W20" s="572"/>
      <c r="X20" s="572"/>
      <c r="Y20" s="572"/>
      <c r="Z20" s="572"/>
      <c r="AA20" s="65"/>
      <c r="AB20" s="65"/>
      <c r="AC20" s="79"/>
    </row>
    <row r="21" spans="1:68" ht="14.25" customHeight="1" x14ac:dyDescent="0.25">
      <c r="A21" s="556" t="s">
        <v>78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557">
        <v>4680115886643</v>
      </c>
      <c r="E22" s="5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80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9"/>
      <c r="R22" s="559"/>
      <c r="S22" s="559"/>
      <c r="T22" s="56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564"/>
      <c r="B23" s="564"/>
      <c r="C23" s="564"/>
      <c r="D23" s="564"/>
      <c r="E23" s="564"/>
      <c r="F23" s="564"/>
      <c r="G23" s="564"/>
      <c r="H23" s="564"/>
      <c r="I23" s="564"/>
      <c r="J23" s="564"/>
      <c r="K23" s="564"/>
      <c r="L23" s="564"/>
      <c r="M23" s="564"/>
      <c r="N23" s="564"/>
      <c r="O23" s="565"/>
      <c r="P23" s="561" t="s">
        <v>40</v>
      </c>
      <c r="Q23" s="562"/>
      <c r="R23" s="562"/>
      <c r="S23" s="562"/>
      <c r="T23" s="562"/>
      <c r="U23" s="562"/>
      <c r="V23" s="56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564"/>
      <c r="B24" s="564"/>
      <c r="C24" s="564"/>
      <c r="D24" s="564"/>
      <c r="E24" s="564"/>
      <c r="F24" s="564"/>
      <c r="G24" s="564"/>
      <c r="H24" s="564"/>
      <c r="I24" s="564"/>
      <c r="J24" s="564"/>
      <c r="K24" s="564"/>
      <c r="L24" s="564"/>
      <c r="M24" s="564"/>
      <c r="N24" s="564"/>
      <c r="O24" s="565"/>
      <c r="P24" s="561" t="s">
        <v>40</v>
      </c>
      <c r="Q24" s="562"/>
      <c r="R24" s="562"/>
      <c r="S24" s="562"/>
      <c r="T24" s="562"/>
      <c r="U24" s="562"/>
      <c r="V24" s="56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556" t="s">
        <v>84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557">
        <v>4680115885912</v>
      </c>
      <c r="E26" s="55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8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9"/>
      <c r="R26" s="559"/>
      <c r="S26" s="559"/>
      <c r="T26" s="560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557">
        <v>4607091388237</v>
      </c>
      <c r="E27" s="55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7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9"/>
      <c r="R27" s="559"/>
      <c r="S27" s="559"/>
      <c r="T27" s="560"/>
      <c r="U27" s="39" t="s">
        <v>45</v>
      </c>
      <c r="V27" s="39" t="s">
        <v>45</v>
      </c>
      <c r="W27" s="40" t="s">
        <v>0</v>
      </c>
      <c r="X27" s="58">
        <v>2.52</v>
      </c>
      <c r="Y27" s="55">
        <f>IFERROR(IF(X27="",0,CEILING((X27/$H27),1)*$H27),"")</f>
        <v>2.52</v>
      </c>
      <c r="Z27" s="41">
        <f>IFERROR(IF(Y27=0,"",ROUNDUP(Y27/H27,0)*0.00651),"")</f>
        <v>6.5100000000000002E-3</v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2.766</v>
      </c>
      <c r="BN27" s="78">
        <f>IFERROR(Y27*I27/H27,"0")</f>
        <v>2.766</v>
      </c>
      <c r="BO27" s="78">
        <f>IFERROR(1/J27*(X27/H27),"0")</f>
        <v>5.4945054945054949E-3</v>
      </c>
      <c r="BP27" s="78">
        <f>IFERROR(1/J27*(Y27/H27),"0")</f>
        <v>5.4945054945054949E-3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557">
        <v>4680115887350</v>
      </c>
      <c r="E28" s="55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7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9"/>
      <c r="R28" s="559"/>
      <c r="S28" s="559"/>
      <c r="T28" s="560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557">
        <v>4680115885905</v>
      </c>
      <c r="E29" s="5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100</v>
      </c>
      <c r="M29" s="38" t="s">
        <v>96</v>
      </c>
      <c r="N29" s="38"/>
      <c r="O29" s="37">
        <v>40</v>
      </c>
      <c r="P29" s="8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9"/>
      <c r="R29" s="559"/>
      <c r="S29" s="559"/>
      <c r="T29" s="560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101</v>
      </c>
      <c r="AK29" s="84">
        <v>25.2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102</v>
      </c>
      <c r="B30" s="63" t="s">
        <v>103</v>
      </c>
      <c r="C30" s="36">
        <v>4301051851</v>
      </c>
      <c r="D30" s="557">
        <v>4607091388244</v>
      </c>
      <c r="E30" s="557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100</v>
      </c>
      <c r="M30" s="38" t="s">
        <v>96</v>
      </c>
      <c r="N30" s="38"/>
      <c r="O30" s="37">
        <v>40</v>
      </c>
      <c r="P30" s="80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9"/>
      <c r="R30" s="559"/>
      <c r="S30" s="559"/>
      <c r="T30" s="560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101</v>
      </c>
      <c r="AK30" s="84">
        <v>35.28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564"/>
      <c r="B31" s="564"/>
      <c r="C31" s="564"/>
      <c r="D31" s="564"/>
      <c r="E31" s="564"/>
      <c r="F31" s="564"/>
      <c r="G31" s="564"/>
      <c r="H31" s="564"/>
      <c r="I31" s="564"/>
      <c r="J31" s="564"/>
      <c r="K31" s="564"/>
      <c r="L31" s="564"/>
      <c r="M31" s="564"/>
      <c r="N31" s="564"/>
      <c r="O31" s="565"/>
      <c r="P31" s="561" t="s">
        <v>40</v>
      </c>
      <c r="Q31" s="562"/>
      <c r="R31" s="562"/>
      <c r="S31" s="562"/>
      <c r="T31" s="562"/>
      <c r="U31" s="562"/>
      <c r="V31" s="563"/>
      <c r="W31" s="42" t="s">
        <v>39</v>
      </c>
      <c r="X31" s="43">
        <f>IFERROR(X26/H26,"0")+IFERROR(X27/H27,"0")+IFERROR(X28/H28,"0")+IFERROR(X29/H29,"0")+IFERROR(X30/H30,"0")</f>
        <v>1</v>
      </c>
      <c r="Y31" s="43">
        <f>IFERROR(Y26/H26,"0")+IFERROR(Y27/H27,"0")+IFERROR(Y28/H28,"0")+IFERROR(Y29/H29,"0")+IFERROR(Y30/H30,"0")</f>
        <v>1</v>
      </c>
      <c r="Z31" s="43">
        <f>IFERROR(IF(Z26="",0,Z26),"0")+IFERROR(IF(Z27="",0,Z27),"0")+IFERROR(IF(Z28="",0,Z28),"0")+IFERROR(IF(Z29="",0,Z29),"0")+IFERROR(IF(Z30="",0,Z30),"0")</f>
        <v>6.5100000000000002E-3</v>
      </c>
      <c r="AA31" s="67"/>
      <c r="AB31" s="67"/>
      <c r="AC31" s="67"/>
    </row>
    <row r="32" spans="1:68" x14ac:dyDescent="0.2">
      <c r="A32" s="564"/>
      <c r="B32" s="564"/>
      <c r="C32" s="564"/>
      <c r="D32" s="564"/>
      <c r="E32" s="564"/>
      <c r="F32" s="564"/>
      <c r="G32" s="564"/>
      <c r="H32" s="564"/>
      <c r="I32" s="564"/>
      <c r="J32" s="564"/>
      <c r="K32" s="564"/>
      <c r="L32" s="564"/>
      <c r="M32" s="564"/>
      <c r="N32" s="564"/>
      <c r="O32" s="565"/>
      <c r="P32" s="561" t="s">
        <v>40</v>
      </c>
      <c r="Q32" s="562"/>
      <c r="R32" s="562"/>
      <c r="S32" s="562"/>
      <c r="T32" s="562"/>
      <c r="U32" s="562"/>
      <c r="V32" s="563"/>
      <c r="W32" s="42" t="s">
        <v>0</v>
      </c>
      <c r="X32" s="43">
        <f>IFERROR(SUM(X26:X30),"0")</f>
        <v>2.52</v>
      </c>
      <c r="Y32" s="43">
        <f>IFERROR(SUM(Y26:Y30),"0")</f>
        <v>2.52</v>
      </c>
      <c r="Z32" s="42"/>
      <c r="AA32" s="67"/>
      <c r="AB32" s="67"/>
      <c r="AC32" s="67"/>
    </row>
    <row r="33" spans="1:68" ht="14.25" customHeight="1" x14ac:dyDescent="0.25">
      <c r="A33" s="556" t="s">
        <v>104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557">
        <v>4607091388503</v>
      </c>
      <c r="E34" s="557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109</v>
      </c>
      <c r="N34" s="38"/>
      <c r="O34" s="37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9"/>
      <c r="R34" s="559"/>
      <c r="S34" s="559"/>
      <c r="T34" s="560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564"/>
      <c r="B35" s="564"/>
      <c r="C35" s="564"/>
      <c r="D35" s="564"/>
      <c r="E35" s="564"/>
      <c r="F35" s="564"/>
      <c r="G35" s="564"/>
      <c r="H35" s="564"/>
      <c r="I35" s="564"/>
      <c r="J35" s="564"/>
      <c r="K35" s="564"/>
      <c r="L35" s="564"/>
      <c r="M35" s="564"/>
      <c r="N35" s="564"/>
      <c r="O35" s="565"/>
      <c r="P35" s="561" t="s">
        <v>40</v>
      </c>
      <c r="Q35" s="562"/>
      <c r="R35" s="562"/>
      <c r="S35" s="562"/>
      <c r="T35" s="562"/>
      <c r="U35" s="562"/>
      <c r="V35" s="563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564"/>
      <c r="B36" s="564"/>
      <c r="C36" s="564"/>
      <c r="D36" s="564"/>
      <c r="E36" s="564"/>
      <c r="F36" s="564"/>
      <c r="G36" s="564"/>
      <c r="H36" s="564"/>
      <c r="I36" s="564"/>
      <c r="J36" s="564"/>
      <c r="K36" s="564"/>
      <c r="L36" s="564"/>
      <c r="M36" s="564"/>
      <c r="N36" s="564"/>
      <c r="O36" s="565"/>
      <c r="P36" s="561" t="s">
        <v>40</v>
      </c>
      <c r="Q36" s="562"/>
      <c r="R36" s="562"/>
      <c r="S36" s="562"/>
      <c r="T36" s="562"/>
      <c r="U36" s="562"/>
      <c r="V36" s="563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581" t="s">
        <v>110</v>
      </c>
      <c r="B37" s="581"/>
      <c r="C37" s="581"/>
      <c r="D37" s="581"/>
      <c r="E37" s="581"/>
      <c r="F37" s="581"/>
      <c r="G37" s="581"/>
      <c r="H37" s="581"/>
      <c r="I37" s="581"/>
      <c r="J37" s="581"/>
      <c r="K37" s="581"/>
      <c r="L37" s="581"/>
      <c r="M37" s="581"/>
      <c r="N37" s="581"/>
      <c r="O37" s="581"/>
      <c r="P37" s="581"/>
      <c r="Q37" s="581"/>
      <c r="R37" s="581"/>
      <c r="S37" s="581"/>
      <c r="T37" s="581"/>
      <c r="U37" s="581"/>
      <c r="V37" s="581"/>
      <c r="W37" s="581"/>
      <c r="X37" s="581"/>
      <c r="Y37" s="581"/>
      <c r="Z37" s="581"/>
      <c r="AA37" s="54"/>
      <c r="AB37" s="54"/>
      <c r="AC37" s="54"/>
    </row>
    <row r="38" spans="1:68" ht="16.5" customHeight="1" x14ac:dyDescent="0.25">
      <c r="A38" s="572" t="s">
        <v>111</v>
      </c>
      <c r="B38" s="572"/>
      <c r="C38" s="572"/>
      <c r="D38" s="572"/>
      <c r="E38" s="572"/>
      <c r="F38" s="572"/>
      <c r="G38" s="572"/>
      <c r="H38" s="572"/>
      <c r="I38" s="572"/>
      <c r="J38" s="572"/>
      <c r="K38" s="572"/>
      <c r="L38" s="572"/>
      <c r="M38" s="572"/>
      <c r="N38" s="572"/>
      <c r="O38" s="572"/>
      <c r="P38" s="572"/>
      <c r="Q38" s="572"/>
      <c r="R38" s="572"/>
      <c r="S38" s="572"/>
      <c r="T38" s="572"/>
      <c r="U38" s="572"/>
      <c r="V38" s="572"/>
      <c r="W38" s="572"/>
      <c r="X38" s="572"/>
      <c r="Y38" s="572"/>
      <c r="Z38" s="572"/>
      <c r="AA38" s="65"/>
      <c r="AB38" s="65"/>
      <c r="AC38" s="79"/>
    </row>
    <row r="39" spans="1:68" ht="14.25" customHeight="1" x14ac:dyDescent="0.25">
      <c r="A39" s="556" t="s">
        <v>112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557">
        <v>4607091385670</v>
      </c>
      <c r="E40" s="557"/>
      <c r="F40" s="62">
        <v>1.35</v>
      </c>
      <c r="G40" s="37">
        <v>8</v>
      </c>
      <c r="H40" s="62">
        <v>10.8</v>
      </c>
      <c r="I40" s="62">
        <v>11.234999999999999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9"/>
      <c r="R40" s="559"/>
      <c r="S40" s="559"/>
      <c r="T40" s="560"/>
      <c r="U40" s="39" t="s">
        <v>45</v>
      </c>
      <c r="V40" s="39" t="s">
        <v>45</v>
      </c>
      <c r="W40" s="40" t="s">
        <v>0</v>
      </c>
      <c r="X40" s="58">
        <v>162</v>
      </c>
      <c r="Y40" s="55">
        <f>IFERROR(IF(X40="",0,CEILING((X40/$H40),1)*$H40),"")</f>
        <v>162</v>
      </c>
      <c r="Z40" s="41">
        <f>IFERROR(IF(Y40=0,"",ROUNDUP(Y40/H40,0)*0.01898),"")</f>
        <v>0.28470000000000001</v>
      </c>
      <c r="AA40" s="68" t="s">
        <v>45</v>
      </c>
      <c r="AB40" s="69" t="s">
        <v>45</v>
      </c>
      <c r="AC40" s="100" t="s">
        <v>115</v>
      </c>
      <c r="AG40" s="78"/>
      <c r="AJ40" s="84" t="s">
        <v>101</v>
      </c>
      <c r="AK40" s="84">
        <v>86.4</v>
      </c>
      <c r="BB40" s="101" t="s">
        <v>66</v>
      </c>
      <c r="BM40" s="78">
        <f>IFERROR(X40*I40/H40,"0")</f>
        <v>168.52499999999998</v>
      </c>
      <c r="BN40" s="78">
        <f>IFERROR(Y40*I40/H40,"0")</f>
        <v>168.52499999999998</v>
      </c>
      <c r="BO40" s="78">
        <f>IFERROR(1/J40*(X40/H40),"0")</f>
        <v>0.23437499999999997</v>
      </c>
      <c r="BP40" s="78">
        <f>IFERROR(1/J40*(Y40/H40),"0")</f>
        <v>0.23437499999999997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557">
        <v>4607091385687</v>
      </c>
      <c r="E41" s="557"/>
      <c r="F41" s="62">
        <v>0.4</v>
      </c>
      <c r="G41" s="37">
        <v>10</v>
      </c>
      <c r="H41" s="62">
        <v>4</v>
      </c>
      <c r="I41" s="62">
        <v>4.21</v>
      </c>
      <c r="J41" s="37">
        <v>132</v>
      </c>
      <c r="K41" s="37" t="s">
        <v>121</v>
      </c>
      <c r="L41" s="37" t="s">
        <v>122</v>
      </c>
      <c r="M41" s="38" t="s">
        <v>88</v>
      </c>
      <c r="N41" s="38"/>
      <c r="O41" s="37">
        <v>50</v>
      </c>
      <c r="P41" s="7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9"/>
      <c r="R41" s="559"/>
      <c r="S41" s="559"/>
      <c r="T41" s="560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101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557">
        <v>4680115882539</v>
      </c>
      <c r="E42" s="557"/>
      <c r="F42" s="62">
        <v>0.37</v>
      </c>
      <c r="G42" s="37">
        <v>10</v>
      </c>
      <c r="H42" s="62">
        <v>3.7</v>
      </c>
      <c r="I42" s="62">
        <v>3.91</v>
      </c>
      <c r="J42" s="37">
        <v>132</v>
      </c>
      <c r="K42" s="37" t="s">
        <v>121</v>
      </c>
      <c r="L42" s="37" t="s">
        <v>45</v>
      </c>
      <c r="M42" s="38" t="s">
        <v>88</v>
      </c>
      <c r="N42" s="38"/>
      <c r="O42" s="37">
        <v>50</v>
      </c>
      <c r="P42" s="79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9"/>
      <c r="R42" s="559"/>
      <c r="S42" s="559"/>
      <c r="T42" s="56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564"/>
      <c r="B43" s="564"/>
      <c r="C43" s="564"/>
      <c r="D43" s="564"/>
      <c r="E43" s="564"/>
      <c r="F43" s="564"/>
      <c r="G43" s="564"/>
      <c r="H43" s="564"/>
      <c r="I43" s="564"/>
      <c r="J43" s="564"/>
      <c r="K43" s="564"/>
      <c r="L43" s="564"/>
      <c r="M43" s="564"/>
      <c r="N43" s="564"/>
      <c r="O43" s="565"/>
      <c r="P43" s="561" t="s">
        <v>40</v>
      </c>
      <c r="Q43" s="562"/>
      <c r="R43" s="562"/>
      <c r="S43" s="562"/>
      <c r="T43" s="562"/>
      <c r="U43" s="562"/>
      <c r="V43" s="563"/>
      <c r="W43" s="42" t="s">
        <v>39</v>
      </c>
      <c r="X43" s="43">
        <f>IFERROR(X40/H40,"0")+IFERROR(X41/H41,"0")+IFERROR(X42/H42,"0")</f>
        <v>14.999999999999998</v>
      </c>
      <c r="Y43" s="43">
        <f>IFERROR(Y40/H40,"0")+IFERROR(Y41/H41,"0")+IFERROR(Y42/H42,"0")</f>
        <v>14.999999999999998</v>
      </c>
      <c r="Z43" s="43">
        <f>IFERROR(IF(Z40="",0,Z40),"0")+IFERROR(IF(Z41="",0,Z41),"0")+IFERROR(IF(Z42="",0,Z42),"0")</f>
        <v>0.28470000000000001</v>
      </c>
      <c r="AA43" s="67"/>
      <c r="AB43" s="67"/>
      <c r="AC43" s="67"/>
    </row>
    <row r="44" spans="1:68" x14ac:dyDescent="0.2">
      <c r="A44" s="564"/>
      <c r="B44" s="564"/>
      <c r="C44" s="564"/>
      <c r="D44" s="564"/>
      <c r="E44" s="564"/>
      <c r="F44" s="564"/>
      <c r="G44" s="564"/>
      <c r="H44" s="564"/>
      <c r="I44" s="564"/>
      <c r="J44" s="564"/>
      <c r="K44" s="564"/>
      <c r="L44" s="564"/>
      <c r="M44" s="564"/>
      <c r="N44" s="564"/>
      <c r="O44" s="565"/>
      <c r="P44" s="561" t="s">
        <v>40</v>
      </c>
      <c r="Q44" s="562"/>
      <c r="R44" s="562"/>
      <c r="S44" s="562"/>
      <c r="T44" s="562"/>
      <c r="U44" s="562"/>
      <c r="V44" s="563"/>
      <c r="W44" s="42" t="s">
        <v>0</v>
      </c>
      <c r="X44" s="43">
        <f>IFERROR(SUM(X40:X42),"0")</f>
        <v>162</v>
      </c>
      <c r="Y44" s="43">
        <f>IFERROR(SUM(Y40:Y42),"0")</f>
        <v>162</v>
      </c>
      <c r="Z44" s="42"/>
      <c r="AA44" s="67"/>
      <c r="AB44" s="67"/>
      <c r="AC44" s="67"/>
    </row>
    <row r="45" spans="1:68" ht="14.25" customHeight="1" x14ac:dyDescent="0.25">
      <c r="A45" s="556" t="s">
        <v>84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557">
        <v>4680115884915</v>
      </c>
      <c r="E46" s="557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100</v>
      </c>
      <c r="M46" s="38" t="s">
        <v>88</v>
      </c>
      <c r="N46" s="38"/>
      <c r="O46" s="37">
        <v>40</v>
      </c>
      <c r="P46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9"/>
      <c r="R46" s="559"/>
      <c r="S46" s="559"/>
      <c r="T46" s="560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101</v>
      </c>
      <c r="AK46" s="84">
        <v>25.2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564"/>
      <c r="B47" s="564"/>
      <c r="C47" s="564"/>
      <c r="D47" s="564"/>
      <c r="E47" s="564"/>
      <c r="F47" s="564"/>
      <c r="G47" s="564"/>
      <c r="H47" s="564"/>
      <c r="I47" s="564"/>
      <c r="J47" s="564"/>
      <c r="K47" s="564"/>
      <c r="L47" s="564"/>
      <c r="M47" s="564"/>
      <c r="N47" s="564"/>
      <c r="O47" s="565"/>
      <c r="P47" s="561" t="s">
        <v>40</v>
      </c>
      <c r="Q47" s="562"/>
      <c r="R47" s="562"/>
      <c r="S47" s="562"/>
      <c r="T47" s="562"/>
      <c r="U47" s="562"/>
      <c r="V47" s="563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564"/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5"/>
      <c r="P48" s="561" t="s">
        <v>40</v>
      </c>
      <c r="Q48" s="562"/>
      <c r="R48" s="562"/>
      <c r="S48" s="562"/>
      <c r="T48" s="562"/>
      <c r="U48" s="562"/>
      <c r="V48" s="563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572" t="s">
        <v>128</v>
      </c>
      <c r="B49" s="572"/>
      <c r="C49" s="572"/>
      <c r="D49" s="572"/>
      <c r="E49" s="572"/>
      <c r="F49" s="572"/>
      <c r="G49" s="572"/>
      <c r="H49" s="572"/>
      <c r="I49" s="572"/>
      <c r="J49" s="572"/>
      <c r="K49" s="572"/>
      <c r="L49" s="572"/>
      <c r="M49" s="572"/>
      <c r="N49" s="572"/>
      <c r="O49" s="572"/>
      <c r="P49" s="572"/>
      <c r="Q49" s="572"/>
      <c r="R49" s="572"/>
      <c r="S49" s="572"/>
      <c r="T49" s="572"/>
      <c r="U49" s="572"/>
      <c r="V49" s="572"/>
      <c r="W49" s="572"/>
      <c r="X49" s="572"/>
      <c r="Y49" s="572"/>
      <c r="Z49" s="572"/>
      <c r="AA49" s="65"/>
      <c r="AB49" s="65"/>
      <c r="AC49" s="79"/>
    </row>
    <row r="50" spans="1:68" ht="14.25" customHeight="1" x14ac:dyDescent="0.25">
      <c r="A50" s="556" t="s">
        <v>112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557">
        <v>4680115885882</v>
      </c>
      <c r="E51" s="557"/>
      <c r="F51" s="62">
        <v>1.4</v>
      </c>
      <c r="G51" s="37">
        <v>8</v>
      </c>
      <c r="H51" s="62">
        <v>11.2</v>
      </c>
      <c r="I51" s="62">
        <v>11.635</v>
      </c>
      <c r="J51" s="37">
        <v>64</v>
      </c>
      <c r="K51" s="37" t="s">
        <v>117</v>
      </c>
      <c r="L51" s="37" t="s">
        <v>118</v>
      </c>
      <c r="M51" s="38" t="s">
        <v>88</v>
      </c>
      <c r="N51" s="38"/>
      <c r="O51" s="37">
        <v>50</v>
      </c>
      <c r="P51" s="7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9"/>
      <c r="R51" s="559"/>
      <c r="S51" s="559"/>
      <c r="T51" s="560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101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557">
        <v>4680115881426</v>
      </c>
      <c r="E52" s="557"/>
      <c r="F52" s="62">
        <v>1.35</v>
      </c>
      <c r="G52" s="37">
        <v>8</v>
      </c>
      <c r="H52" s="62">
        <v>10.8</v>
      </c>
      <c r="I52" s="62">
        <v>11.234999999999999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78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9"/>
      <c r="R52" s="559"/>
      <c r="S52" s="559"/>
      <c r="T52" s="560"/>
      <c r="U52" s="39" t="s">
        <v>45</v>
      </c>
      <c r="V52" s="39" t="s">
        <v>45</v>
      </c>
      <c r="W52" s="40" t="s">
        <v>0</v>
      </c>
      <c r="X52" s="58">
        <v>108</v>
      </c>
      <c r="Y52" s="55">
        <f t="shared" si="0"/>
        <v>108</v>
      </c>
      <c r="Z52" s="41">
        <f>IFERROR(IF(Y52=0,"",ROUNDUP(Y52/H52,0)*0.01898),"")</f>
        <v>0.1898</v>
      </c>
      <c r="AA52" s="68" t="s">
        <v>45</v>
      </c>
      <c r="AB52" s="69" t="s">
        <v>45</v>
      </c>
      <c r="AC52" s="110" t="s">
        <v>134</v>
      </c>
      <c r="AG52" s="78"/>
      <c r="AJ52" s="84" t="s">
        <v>101</v>
      </c>
      <c r="AK52" s="84">
        <v>10.8</v>
      </c>
      <c r="BB52" s="111" t="s">
        <v>66</v>
      </c>
      <c r="BM52" s="78">
        <f t="shared" si="1"/>
        <v>112.34999999999998</v>
      </c>
      <c r="BN52" s="78">
        <f t="shared" si="2"/>
        <v>112.34999999999998</v>
      </c>
      <c r="BO52" s="78">
        <f t="shared" si="3"/>
        <v>0.15625</v>
      </c>
      <c r="BP52" s="78">
        <f t="shared" si="4"/>
        <v>0.15625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557">
        <v>4680115880283</v>
      </c>
      <c r="E53" s="557"/>
      <c r="F53" s="62">
        <v>0.6</v>
      </c>
      <c r="G53" s="37">
        <v>8</v>
      </c>
      <c r="H53" s="62">
        <v>4.8</v>
      </c>
      <c r="I53" s="62">
        <v>5.01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78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9"/>
      <c r="R53" s="559"/>
      <c r="S53" s="559"/>
      <c r="T53" s="560"/>
      <c r="U53" s="39" t="s">
        <v>45</v>
      </c>
      <c r="V53" s="39" t="s">
        <v>45</v>
      </c>
      <c r="W53" s="40" t="s">
        <v>0</v>
      </c>
      <c r="X53" s="58">
        <v>9.6</v>
      </c>
      <c r="Y53" s="55">
        <f t="shared" si="0"/>
        <v>9.6</v>
      </c>
      <c r="Z53" s="41">
        <f>IFERROR(IF(Y53=0,"",ROUNDUP(Y53/H53,0)*0.00902),"")</f>
        <v>1.804E-2</v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10.02</v>
      </c>
      <c r="BN53" s="78">
        <f t="shared" si="2"/>
        <v>10.02</v>
      </c>
      <c r="BO53" s="78">
        <f t="shared" si="3"/>
        <v>1.5151515151515152E-2</v>
      </c>
      <c r="BP53" s="78">
        <f t="shared" si="4"/>
        <v>1.5151515151515152E-2</v>
      </c>
    </row>
    <row r="54" spans="1:68" ht="16.5" customHeight="1" x14ac:dyDescent="0.25">
      <c r="A54" s="63" t="s">
        <v>138</v>
      </c>
      <c r="B54" s="63" t="s">
        <v>139</v>
      </c>
      <c r="C54" s="36">
        <v>4301011806</v>
      </c>
      <c r="D54" s="557">
        <v>4680115881525</v>
      </c>
      <c r="E54" s="557"/>
      <c r="F54" s="62">
        <v>0.4</v>
      </c>
      <c r="G54" s="37">
        <v>10</v>
      </c>
      <c r="H54" s="62">
        <v>4</v>
      </c>
      <c r="I54" s="62">
        <v>4.21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78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9"/>
      <c r="R54" s="559"/>
      <c r="S54" s="559"/>
      <c r="T54" s="560"/>
      <c r="U54" s="39" t="s">
        <v>45</v>
      </c>
      <c r="V54" s="39" t="s">
        <v>45</v>
      </c>
      <c r="W54" s="40" t="s">
        <v>0</v>
      </c>
      <c r="X54" s="58">
        <v>12</v>
      </c>
      <c r="Y54" s="55">
        <f t="shared" si="0"/>
        <v>12</v>
      </c>
      <c r="Z54" s="41">
        <f>IFERROR(IF(Y54=0,"",ROUNDUP(Y54/H54,0)*0.00902),"")</f>
        <v>2.7060000000000001E-2</v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12.629999999999999</v>
      </c>
      <c r="BN54" s="78">
        <f t="shared" si="2"/>
        <v>12.629999999999999</v>
      </c>
      <c r="BO54" s="78">
        <f t="shared" si="3"/>
        <v>2.2727272727272728E-2</v>
      </c>
      <c r="BP54" s="78">
        <f t="shared" si="4"/>
        <v>2.2727272727272728E-2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557">
        <v>4680115885899</v>
      </c>
      <c r="E55" s="557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100</v>
      </c>
      <c r="M55" s="38" t="s">
        <v>96</v>
      </c>
      <c r="N55" s="38"/>
      <c r="O55" s="37">
        <v>50</v>
      </c>
      <c r="P55" s="79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9"/>
      <c r="R55" s="559"/>
      <c r="S55" s="559"/>
      <c r="T55" s="56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101</v>
      </c>
      <c r="AK55" s="84">
        <v>29.4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4301011801</v>
      </c>
      <c r="D56" s="557">
        <v>4680115881419</v>
      </c>
      <c r="E56" s="557"/>
      <c r="F56" s="62">
        <v>0.45</v>
      </c>
      <c r="G56" s="37">
        <v>10</v>
      </c>
      <c r="H56" s="62">
        <v>4.5</v>
      </c>
      <c r="I56" s="62">
        <v>4.71</v>
      </c>
      <c r="J56" s="37">
        <v>132</v>
      </c>
      <c r="K56" s="37" t="s">
        <v>121</v>
      </c>
      <c r="L56" s="37" t="s">
        <v>45</v>
      </c>
      <c r="M56" s="38" t="s">
        <v>116</v>
      </c>
      <c r="N56" s="38"/>
      <c r="O56" s="37">
        <v>50</v>
      </c>
      <c r="P56" s="79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9"/>
      <c r="R56" s="559"/>
      <c r="S56" s="559"/>
      <c r="T56" s="560"/>
      <c r="U56" s="39" t="s">
        <v>45</v>
      </c>
      <c r="V56" s="39" t="s">
        <v>45</v>
      </c>
      <c r="W56" s="40" t="s">
        <v>0</v>
      </c>
      <c r="X56" s="58">
        <v>13.5</v>
      </c>
      <c r="Y56" s="55">
        <f t="shared" si="0"/>
        <v>13.5</v>
      </c>
      <c r="Z56" s="41">
        <f>IFERROR(IF(Y56=0,"",ROUNDUP(Y56/H56,0)*0.00902),"")</f>
        <v>2.7060000000000001E-2</v>
      </c>
      <c r="AA56" s="68" t="s">
        <v>45</v>
      </c>
      <c r="AB56" s="69" t="s">
        <v>45</v>
      </c>
      <c r="AC56" s="118" t="s">
        <v>146</v>
      </c>
      <c r="AG56" s="78"/>
      <c r="AJ56" s="84" t="s">
        <v>101</v>
      </c>
      <c r="AK56" s="84">
        <v>4.5</v>
      </c>
      <c r="BB56" s="119" t="s">
        <v>66</v>
      </c>
      <c r="BM56" s="78">
        <f t="shared" si="1"/>
        <v>14.13</v>
      </c>
      <c r="BN56" s="78">
        <f t="shared" si="2"/>
        <v>14.13</v>
      </c>
      <c r="BO56" s="78">
        <f t="shared" si="3"/>
        <v>2.2727272727272728E-2</v>
      </c>
      <c r="BP56" s="78">
        <f t="shared" si="4"/>
        <v>2.2727272727272728E-2</v>
      </c>
    </row>
    <row r="57" spans="1:68" x14ac:dyDescent="0.2">
      <c r="A57" s="564"/>
      <c r="B57" s="564"/>
      <c r="C57" s="564"/>
      <c r="D57" s="564"/>
      <c r="E57" s="564"/>
      <c r="F57" s="564"/>
      <c r="G57" s="564"/>
      <c r="H57" s="564"/>
      <c r="I57" s="564"/>
      <c r="J57" s="564"/>
      <c r="K57" s="564"/>
      <c r="L57" s="564"/>
      <c r="M57" s="564"/>
      <c r="N57" s="564"/>
      <c r="O57" s="565"/>
      <c r="P57" s="561" t="s">
        <v>40</v>
      </c>
      <c r="Q57" s="562"/>
      <c r="R57" s="562"/>
      <c r="S57" s="562"/>
      <c r="T57" s="562"/>
      <c r="U57" s="562"/>
      <c r="V57" s="563"/>
      <c r="W57" s="42" t="s">
        <v>39</v>
      </c>
      <c r="X57" s="43">
        <f>IFERROR(X51/H51,"0")+IFERROR(X52/H52,"0")+IFERROR(X53/H53,"0")+IFERROR(X54/H54,"0")+IFERROR(X55/H55,"0")+IFERROR(X56/H56,"0")</f>
        <v>18</v>
      </c>
      <c r="Y57" s="43">
        <f>IFERROR(Y51/H51,"0")+IFERROR(Y52/H52,"0")+IFERROR(Y53/H53,"0")+IFERROR(Y54/H54,"0")+IFERROR(Y55/H55,"0")+IFERROR(Y56/H56,"0")</f>
        <v>18</v>
      </c>
      <c r="Z57" s="43">
        <f>IFERROR(IF(Z51="",0,Z51),"0")+IFERROR(IF(Z52="",0,Z52),"0")+IFERROR(IF(Z53="",0,Z53),"0")+IFERROR(IF(Z54="",0,Z54),"0")+IFERROR(IF(Z55="",0,Z55),"0")+IFERROR(IF(Z56="",0,Z56),"0")</f>
        <v>0.26195999999999997</v>
      </c>
      <c r="AA57" s="67"/>
      <c r="AB57" s="67"/>
      <c r="AC57" s="67"/>
    </row>
    <row r="58" spans="1:68" x14ac:dyDescent="0.2">
      <c r="A58" s="564"/>
      <c r="B58" s="564"/>
      <c r="C58" s="564"/>
      <c r="D58" s="564"/>
      <c r="E58" s="564"/>
      <c r="F58" s="564"/>
      <c r="G58" s="564"/>
      <c r="H58" s="564"/>
      <c r="I58" s="564"/>
      <c r="J58" s="564"/>
      <c r="K58" s="564"/>
      <c r="L58" s="564"/>
      <c r="M58" s="564"/>
      <c r="N58" s="564"/>
      <c r="O58" s="565"/>
      <c r="P58" s="561" t="s">
        <v>40</v>
      </c>
      <c r="Q58" s="562"/>
      <c r="R58" s="562"/>
      <c r="S58" s="562"/>
      <c r="T58" s="562"/>
      <c r="U58" s="562"/>
      <c r="V58" s="563"/>
      <c r="W58" s="42" t="s">
        <v>0</v>
      </c>
      <c r="X58" s="43">
        <f>IFERROR(SUM(X51:X56),"0")</f>
        <v>143.1</v>
      </c>
      <c r="Y58" s="43">
        <f>IFERROR(SUM(Y51:Y56),"0")</f>
        <v>143.1</v>
      </c>
      <c r="Z58" s="42"/>
      <c r="AA58" s="67"/>
      <c r="AB58" s="67"/>
      <c r="AC58" s="67"/>
    </row>
    <row r="59" spans="1:68" ht="14.25" customHeight="1" x14ac:dyDescent="0.25">
      <c r="A59" s="556" t="s">
        <v>147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557">
        <v>4680115881440</v>
      </c>
      <c r="E60" s="557"/>
      <c r="F60" s="62">
        <v>1.35</v>
      </c>
      <c r="G60" s="37">
        <v>8</v>
      </c>
      <c r="H60" s="62">
        <v>10.8</v>
      </c>
      <c r="I60" s="62">
        <v>11.234999999999999</v>
      </c>
      <c r="J60" s="37">
        <v>64</v>
      </c>
      <c r="K60" s="37" t="s">
        <v>117</v>
      </c>
      <c r="L60" s="37" t="s">
        <v>118</v>
      </c>
      <c r="M60" s="38" t="s">
        <v>116</v>
      </c>
      <c r="N60" s="38"/>
      <c r="O60" s="37">
        <v>50</v>
      </c>
      <c r="P60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9"/>
      <c r="R60" s="559"/>
      <c r="S60" s="559"/>
      <c r="T60" s="560"/>
      <c r="U60" s="39" t="s">
        <v>45</v>
      </c>
      <c r="V60" s="39" t="s">
        <v>45</v>
      </c>
      <c r="W60" s="40" t="s">
        <v>0</v>
      </c>
      <c r="X60" s="58">
        <v>162</v>
      </c>
      <c r="Y60" s="55">
        <f>IFERROR(IF(X60="",0,CEILING((X60/$H60),1)*$H60),"")</f>
        <v>162</v>
      </c>
      <c r="Z60" s="41">
        <f>IFERROR(IF(Y60=0,"",ROUNDUP(Y60/H60,0)*0.01898),"")</f>
        <v>0.28470000000000001</v>
      </c>
      <c r="AA60" s="68" t="s">
        <v>45</v>
      </c>
      <c r="AB60" s="69" t="s">
        <v>45</v>
      </c>
      <c r="AC60" s="120" t="s">
        <v>150</v>
      </c>
      <c r="AG60" s="78"/>
      <c r="AJ60" s="84" t="s">
        <v>101</v>
      </c>
      <c r="AK60" s="84">
        <v>86.4</v>
      </c>
      <c r="BB60" s="121" t="s">
        <v>66</v>
      </c>
      <c r="BM60" s="78">
        <f>IFERROR(X60*I60/H60,"0")</f>
        <v>168.52499999999998</v>
      </c>
      <c r="BN60" s="78">
        <f>IFERROR(Y60*I60/H60,"0")</f>
        <v>168.52499999999998</v>
      </c>
      <c r="BO60" s="78">
        <f>IFERROR(1/J60*(X60/H60),"0")</f>
        <v>0.23437499999999997</v>
      </c>
      <c r="BP60" s="78">
        <f>IFERROR(1/J60*(Y60/H60),"0")</f>
        <v>0.23437499999999997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557">
        <v>4680115885950</v>
      </c>
      <c r="E61" s="557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78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9"/>
      <c r="R61" s="559"/>
      <c r="S61" s="559"/>
      <c r="T61" s="560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557">
        <v>4680115881433</v>
      </c>
      <c r="E62" s="557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116</v>
      </c>
      <c r="N62" s="38"/>
      <c r="O62" s="37">
        <v>50</v>
      </c>
      <c r="P62" s="7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9"/>
      <c r="R62" s="559"/>
      <c r="S62" s="559"/>
      <c r="T62" s="560"/>
      <c r="U62" s="39" t="s">
        <v>45</v>
      </c>
      <c r="V62" s="39" t="s">
        <v>45</v>
      </c>
      <c r="W62" s="40" t="s">
        <v>0</v>
      </c>
      <c r="X62" s="58">
        <v>13.5</v>
      </c>
      <c r="Y62" s="55">
        <f>IFERROR(IF(X62="",0,CEILING((X62/$H62),1)*$H62),"")</f>
        <v>13.5</v>
      </c>
      <c r="Z62" s="41">
        <f>IFERROR(IF(Y62=0,"",ROUNDUP(Y62/H62,0)*0.00651),"")</f>
        <v>3.2550000000000003E-2</v>
      </c>
      <c r="AA62" s="68" t="s">
        <v>45</v>
      </c>
      <c r="AB62" s="69" t="s">
        <v>45</v>
      </c>
      <c r="AC62" s="124" t="s">
        <v>150</v>
      </c>
      <c r="AG62" s="78"/>
      <c r="AJ62" s="84" t="s">
        <v>101</v>
      </c>
      <c r="AK62" s="84">
        <v>2.7</v>
      </c>
      <c r="BB62" s="125" t="s">
        <v>66</v>
      </c>
      <c r="BM62" s="78">
        <f>IFERROR(X62*I62/H62,"0")</f>
        <v>14.399999999999997</v>
      </c>
      <c r="BN62" s="78">
        <f>IFERROR(Y62*I62/H62,"0")</f>
        <v>14.399999999999997</v>
      </c>
      <c r="BO62" s="78">
        <f>IFERROR(1/J62*(X62/H62),"0")</f>
        <v>2.7472527472527476E-2</v>
      </c>
      <c r="BP62" s="78">
        <f>IFERROR(1/J62*(Y62/H62),"0")</f>
        <v>2.7472527472527476E-2</v>
      </c>
    </row>
    <row r="63" spans="1:68" x14ac:dyDescent="0.2">
      <c r="A63" s="564"/>
      <c r="B63" s="564"/>
      <c r="C63" s="564"/>
      <c r="D63" s="564"/>
      <c r="E63" s="564"/>
      <c r="F63" s="564"/>
      <c r="G63" s="564"/>
      <c r="H63" s="564"/>
      <c r="I63" s="564"/>
      <c r="J63" s="564"/>
      <c r="K63" s="564"/>
      <c r="L63" s="564"/>
      <c r="M63" s="564"/>
      <c r="N63" s="564"/>
      <c r="O63" s="565"/>
      <c r="P63" s="561" t="s">
        <v>40</v>
      </c>
      <c r="Q63" s="562"/>
      <c r="R63" s="562"/>
      <c r="S63" s="562"/>
      <c r="T63" s="562"/>
      <c r="U63" s="562"/>
      <c r="V63" s="563"/>
      <c r="W63" s="42" t="s">
        <v>39</v>
      </c>
      <c r="X63" s="43">
        <f>IFERROR(X60/H60,"0")+IFERROR(X61/H61,"0")+IFERROR(X62/H62,"0")</f>
        <v>20</v>
      </c>
      <c r="Y63" s="43">
        <f>IFERROR(Y60/H60,"0")+IFERROR(Y61/H61,"0")+IFERROR(Y62/H62,"0")</f>
        <v>20</v>
      </c>
      <c r="Z63" s="43">
        <f>IFERROR(IF(Z60="",0,Z60),"0")+IFERROR(IF(Z61="",0,Z61),"0")+IFERROR(IF(Z62="",0,Z62),"0")</f>
        <v>0.31725000000000003</v>
      </c>
      <c r="AA63" s="67"/>
      <c r="AB63" s="67"/>
      <c r="AC63" s="67"/>
    </row>
    <row r="64" spans="1:68" x14ac:dyDescent="0.2">
      <c r="A64" s="564"/>
      <c r="B64" s="564"/>
      <c r="C64" s="564"/>
      <c r="D64" s="564"/>
      <c r="E64" s="564"/>
      <c r="F64" s="564"/>
      <c r="G64" s="564"/>
      <c r="H64" s="564"/>
      <c r="I64" s="564"/>
      <c r="J64" s="564"/>
      <c r="K64" s="564"/>
      <c r="L64" s="564"/>
      <c r="M64" s="564"/>
      <c r="N64" s="564"/>
      <c r="O64" s="565"/>
      <c r="P64" s="561" t="s">
        <v>40</v>
      </c>
      <c r="Q64" s="562"/>
      <c r="R64" s="562"/>
      <c r="S64" s="562"/>
      <c r="T64" s="562"/>
      <c r="U64" s="562"/>
      <c r="V64" s="563"/>
      <c r="W64" s="42" t="s">
        <v>0</v>
      </c>
      <c r="X64" s="43">
        <f>IFERROR(SUM(X60:X62),"0")</f>
        <v>175.5</v>
      </c>
      <c r="Y64" s="43">
        <f>IFERROR(SUM(Y60:Y62),"0")</f>
        <v>175.5</v>
      </c>
      <c r="Z64" s="42"/>
      <c r="AA64" s="67"/>
      <c r="AB64" s="67"/>
      <c r="AC64" s="67"/>
    </row>
    <row r="65" spans="1:68" ht="14.25" customHeight="1" x14ac:dyDescent="0.25">
      <c r="A65" s="556" t="s">
        <v>78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557">
        <v>4680115885073</v>
      </c>
      <c r="E66" s="557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78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9"/>
      <c r="R66" s="559"/>
      <c r="S66" s="559"/>
      <c r="T66" s="560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4301031241</v>
      </c>
      <c r="D67" s="557">
        <v>4680115885059</v>
      </c>
      <c r="E67" s="557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78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9"/>
      <c r="R67" s="559"/>
      <c r="S67" s="559"/>
      <c r="T67" s="560"/>
      <c r="U67" s="39" t="s">
        <v>45</v>
      </c>
      <c r="V67" s="39" t="s">
        <v>45</v>
      </c>
      <c r="W67" s="40" t="s">
        <v>0</v>
      </c>
      <c r="X67" s="58">
        <v>5.4</v>
      </c>
      <c r="Y67" s="55">
        <f>IFERROR(IF(X67="",0,CEILING((X67/$H67),1)*$H67),"")</f>
        <v>5.4</v>
      </c>
      <c r="Z67" s="41">
        <f>IFERROR(IF(Y67=0,"",ROUNDUP(Y67/H67,0)*0.00502),"")</f>
        <v>1.506E-2</v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5.7</v>
      </c>
      <c r="BN67" s="78">
        <f>IFERROR(Y67*I67/H67,"0")</f>
        <v>5.7</v>
      </c>
      <c r="BO67" s="78">
        <f>IFERROR(1/J67*(X67/H67),"0")</f>
        <v>1.2820512820512822E-2</v>
      </c>
      <c r="BP67" s="78">
        <f>IFERROR(1/J67*(Y67/H67),"0")</f>
        <v>1.2820512820512822E-2</v>
      </c>
    </row>
    <row r="68" spans="1:68" ht="27" customHeight="1" x14ac:dyDescent="0.25">
      <c r="A68" s="63" t="s">
        <v>161</v>
      </c>
      <c r="B68" s="63" t="s">
        <v>162</v>
      </c>
      <c r="C68" s="36">
        <v>4301031316</v>
      </c>
      <c r="D68" s="557">
        <v>4680115885097</v>
      </c>
      <c r="E68" s="557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7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9"/>
      <c r="R68" s="559"/>
      <c r="S68" s="559"/>
      <c r="T68" s="560"/>
      <c r="U68" s="39" t="s">
        <v>45</v>
      </c>
      <c r="V68" s="39" t="s">
        <v>45</v>
      </c>
      <c r="W68" s="40" t="s">
        <v>0</v>
      </c>
      <c r="X68" s="58">
        <v>5.4</v>
      </c>
      <c r="Y68" s="55">
        <f>IFERROR(IF(X68="",0,CEILING((X68/$H68),1)*$H68),"")</f>
        <v>5.4</v>
      </c>
      <c r="Z68" s="41">
        <f>IFERROR(IF(Y68=0,"",ROUNDUP(Y68/H68,0)*0.00502),"")</f>
        <v>1.506E-2</v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5.7</v>
      </c>
      <c r="BN68" s="78">
        <f>IFERROR(Y68*I68/H68,"0")</f>
        <v>5.7</v>
      </c>
      <c r="BO68" s="78">
        <f>IFERROR(1/J68*(X68/H68),"0")</f>
        <v>1.2820512820512822E-2</v>
      </c>
      <c r="BP68" s="78">
        <f>IFERROR(1/J68*(Y68/H68),"0")</f>
        <v>1.2820512820512822E-2</v>
      </c>
    </row>
    <row r="69" spans="1:68" x14ac:dyDescent="0.2">
      <c r="A69" s="564"/>
      <c r="B69" s="564"/>
      <c r="C69" s="564"/>
      <c r="D69" s="564"/>
      <c r="E69" s="564"/>
      <c r="F69" s="564"/>
      <c r="G69" s="564"/>
      <c r="H69" s="564"/>
      <c r="I69" s="564"/>
      <c r="J69" s="564"/>
      <c r="K69" s="564"/>
      <c r="L69" s="564"/>
      <c r="M69" s="564"/>
      <c r="N69" s="564"/>
      <c r="O69" s="565"/>
      <c r="P69" s="561" t="s">
        <v>40</v>
      </c>
      <c r="Q69" s="562"/>
      <c r="R69" s="562"/>
      <c r="S69" s="562"/>
      <c r="T69" s="562"/>
      <c r="U69" s="562"/>
      <c r="V69" s="563"/>
      <c r="W69" s="42" t="s">
        <v>39</v>
      </c>
      <c r="X69" s="43">
        <f>IFERROR(X66/H66,"0")+IFERROR(X67/H67,"0")+IFERROR(X68/H68,"0")</f>
        <v>6</v>
      </c>
      <c r="Y69" s="43">
        <f>IFERROR(Y66/H66,"0")+IFERROR(Y67/H67,"0")+IFERROR(Y68/H68,"0")</f>
        <v>6</v>
      </c>
      <c r="Z69" s="43">
        <f>IFERROR(IF(Z66="",0,Z66),"0")+IFERROR(IF(Z67="",0,Z67),"0")+IFERROR(IF(Z68="",0,Z68),"0")</f>
        <v>3.0120000000000001E-2</v>
      </c>
      <c r="AA69" s="67"/>
      <c r="AB69" s="67"/>
      <c r="AC69" s="67"/>
    </row>
    <row r="70" spans="1:68" x14ac:dyDescent="0.2">
      <c r="A70" s="564"/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5"/>
      <c r="P70" s="561" t="s">
        <v>40</v>
      </c>
      <c r="Q70" s="562"/>
      <c r="R70" s="562"/>
      <c r="S70" s="562"/>
      <c r="T70" s="562"/>
      <c r="U70" s="562"/>
      <c r="V70" s="563"/>
      <c r="W70" s="42" t="s">
        <v>0</v>
      </c>
      <c r="X70" s="43">
        <f>IFERROR(SUM(X66:X68),"0")</f>
        <v>10.8</v>
      </c>
      <c r="Y70" s="43">
        <f>IFERROR(SUM(Y66:Y68),"0")</f>
        <v>10.8</v>
      </c>
      <c r="Z70" s="42"/>
      <c r="AA70" s="67"/>
      <c r="AB70" s="67"/>
      <c r="AC70" s="67"/>
    </row>
    <row r="71" spans="1:68" ht="14.25" customHeight="1" x14ac:dyDescent="0.25">
      <c r="A71" s="556" t="s">
        <v>84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66"/>
      <c r="AB71" s="66"/>
      <c r="AC71" s="80"/>
    </row>
    <row r="72" spans="1:68" ht="16.5" customHeight="1" x14ac:dyDescent="0.25">
      <c r="A72" s="63" t="s">
        <v>164</v>
      </c>
      <c r="B72" s="63" t="s">
        <v>165</v>
      </c>
      <c r="C72" s="36">
        <v>4301051838</v>
      </c>
      <c r="D72" s="557">
        <v>4680115881891</v>
      </c>
      <c r="E72" s="557"/>
      <c r="F72" s="62">
        <v>1.4</v>
      </c>
      <c r="G72" s="37">
        <v>6</v>
      </c>
      <c r="H72" s="62">
        <v>8.4</v>
      </c>
      <c r="I72" s="62">
        <v>8.9190000000000005</v>
      </c>
      <c r="J72" s="37">
        <v>64</v>
      </c>
      <c r="K72" s="37" t="s">
        <v>117</v>
      </c>
      <c r="L72" s="37" t="s">
        <v>45</v>
      </c>
      <c r="M72" s="38" t="s">
        <v>88</v>
      </c>
      <c r="N72" s="38"/>
      <c r="O72" s="37">
        <v>40</v>
      </c>
      <c r="P72" s="77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9"/>
      <c r="R72" s="559"/>
      <c r="S72" s="559"/>
      <c r="T72" s="560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167</v>
      </c>
      <c r="B73" s="63" t="s">
        <v>168</v>
      </c>
      <c r="C73" s="36">
        <v>4301051846</v>
      </c>
      <c r="D73" s="557">
        <v>4680115885769</v>
      </c>
      <c r="E73" s="557"/>
      <c r="F73" s="62">
        <v>1.4</v>
      </c>
      <c r="G73" s="37">
        <v>6</v>
      </c>
      <c r="H73" s="62">
        <v>8.4</v>
      </c>
      <c r="I73" s="62">
        <v>8.8350000000000009</v>
      </c>
      <c r="J73" s="37">
        <v>64</v>
      </c>
      <c r="K73" s="37" t="s">
        <v>117</v>
      </c>
      <c r="L73" s="37" t="s">
        <v>45</v>
      </c>
      <c r="M73" s="38" t="s">
        <v>88</v>
      </c>
      <c r="N73" s="38"/>
      <c r="O73" s="37">
        <v>45</v>
      </c>
      <c r="P73" s="77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9"/>
      <c r="R73" s="559"/>
      <c r="S73" s="559"/>
      <c r="T73" s="560"/>
      <c r="U73" s="39" t="s">
        <v>45</v>
      </c>
      <c r="V73" s="39" t="s">
        <v>45</v>
      </c>
      <c r="W73" s="40" t="s">
        <v>0</v>
      </c>
      <c r="X73" s="58">
        <v>8.4</v>
      </c>
      <c r="Y73" s="55">
        <f>IFERROR(IF(X73="",0,CEILING((X73/$H73),1)*$H73),"")</f>
        <v>8.4</v>
      </c>
      <c r="Z73" s="41">
        <f>IFERROR(IF(Y73=0,"",ROUNDUP(Y73/H73,0)*0.01898),"")</f>
        <v>1.898E-2</v>
      </c>
      <c r="AA73" s="68" t="s">
        <v>45</v>
      </c>
      <c r="AB73" s="69" t="s">
        <v>45</v>
      </c>
      <c r="AC73" s="134" t="s">
        <v>169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8.8350000000000009</v>
      </c>
      <c r="BN73" s="78">
        <f>IFERROR(Y73*I73/H73,"0")</f>
        <v>8.8350000000000009</v>
      </c>
      <c r="BO73" s="78">
        <f>IFERROR(1/J73*(X73/H73),"0")</f>
        <v>1.5625E-2</v>
      </c>
      <c r="BP73" s="78">
        <f>IFERROR(1/J73*(Y73/H73),"0")</f>
        <v>1.5625E-2</v>
      </c>
    </row>
    <row r="74" spans="1:68" ht="16.5" customHeight="1" x14ac:dyDescent="0.25">
      <c r="A74" s="63" t="s">
        <v>170</v>
      </c>
      <c r="B74" s="63" t="s">
        <v>171</v>
      </c>
      <c r="C74" s="36">
        <v>4301051837</v>
      </c>
      <c r="D74" s="557">
        <v>4680115884311</v>
      </c>
      <c r="E74" s="557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89</v>
      </c>
      <c r="L74" s="37" t="s">
        <v>100</v>
      </c>
      <c r="M74" s="38" t="s">
        <v>88</v>
      </c>
      <c r="N74" s="38"/>
      <c r="O74" s="37">
        <v>40</v>
      </c>
      <c r="P74" s="78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9"/>
      <c r="R74" s="559"/>
      <c r="S74" s="559"/>
      <c r="T74" s="56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166</v>
      </c>
      <c r="AG74" s="78"/>
      <c r="AJ74" s="84" t="s">
        <v>101</v>
      </c>
      <c r="AK74" s="84">
        <v>25.2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4301051844</v>
      </c>
      <c r="D75" s="557">
        <v>4680115885929</v>
      </c>
      <c r="E75" s="557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9"/>
      <c r="R75" s="559"/>
      <c r="S75" s="559"/>
      <c r="T75" s="560"/>
      <c r="U75" s="39" t="s">
        <v>45</v>
      </c>
      <c r="V75" s="39" t="s">
        <v>45</v>
      </c>
      <c r="W75" s="40" t="s">
        <v>0</v>
      </c>
      <c r="X75" s="58">
        <v>5.04</v>
      </c>
      <c r="Y75" s="55">
        <f>IFERROR(IF(X75="",0,CEILING((X75/$H75),1)*$H75),"")</f>
        <v>5.04</v>
      </c>
      <c r="Z75" s="41">
        <f>IFERROR(IF(Y75=0,"",ROUNDUP(Y75/H75,0)*0.00651),"")</f>
        <v>1.302E-2</v>
      </c>
      <c r="AA75" s="68" t="s">
        <v>45</v>
      </c>
      <c r="AB75" s="69" t="s">
        <v>45</v>
      </c>
      <c r="AC75" s="138" t="s">
        <v>169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5.4</v>
      </c>
      <c r="BN75" s="78">
        <f>IFERROR(Y75*I75/H75,"0")</f>
        <v>5.4</v>
      </c>
      <c r="BO75" s="78">
        <f>IFERROR(1/J75*(X75/H75),"0")</f>
        <v>1.098901098901099E-2</v>
      </c>
      <c r="BP75" s="78">
        <f>IFERROR(1/J75*(Y75/H75),"0")</f>
        <v>1.098901098901099E-2</v>
      </c>
    </row>
    <row r="76" spans="1:68" ht="27" customHeight="1" x14ac:dyDescent="0.25">
      <c r="A76" s="63" t="s">
        <v>174</v>
      </c>
      <c r="B76" s="63" t="s">
        <v>175</v>
      </c>
      <c r="C76" s="36">
        <v>4301051929</v>
      </c>
      <c r="D76" s="557">
        <v>4680115884403</v>
      </c>
      <c r="E76" s="55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89</v>
      </c>
      <c r="L76" s="37" t="s">
        <v>100</v>
      </c>
      <c r="M76" s="38" t="s">
        <v>88</v>
      </c>
      <c r="N76" s="38"/>
      <c r="O76" s="37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9"/>
      <c r="R76" s="559"/>
      <c r="S76" s="559"/>
      <c r="T76" s="560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176</v>
      </c>
      <c r="AG76" s="78"/>
      <c r="AJ76" s="84" t="s">
        <v>101</v>
      </c>
      <c r="AK76" s="84">
        <v>25.2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564"/>
      <c r="B77" s="564"/>
      <c r="C77" s="564"/>
      <c r="D77" s="564"/>
      <c r="E77" s="564"/>
      <c r="F77" s="564"/>
      <c r="G77" s="564"/>
      <c r="H77" s="564"/>
      <c r="I77" s="564"/>
      <c r="J77" s="564"/>
      <c r="K77" s="564"/>
      <c r="L77" s="564"/>
      <c r="M77" s="564"/>
      <c r="N77" s="564"/>
      <c r="O77" s="565"/>
      <c r="P77" s="561" t="s">
        <v>40</v>
      </c>
      <c r="Q77" s="562"/>
      <c r="R77" s="562"/>
      <c r="S77" s="562"/>
      <c r="T77" s="562"/>
      <c r="U77" s="562"/>
      <c r="V77" s="563"/>
      <c r="W77" s="42" t="s">
        <v>39</v>
      </c>
      <c r="X77" s="43">
        <f>IFERROR(X72/H72,"0")+IFERROR(X73/H73,"0")+IFERROR(X74/H74,"0")+IFERROR(X75/H75,"0")+IFERROR(X76/H76,"0")</f>
        <v>3</v>
      </c>
      <c r="Y77" s="43">
        <f>IFERROR(Y72/H72,"0")+IFERROR(Y73/H73,"0")+IFERROR(Y74/H74,"0")+IFERROR(Y75/H75,"0")+IFERROR(Y76/H76,"0")</f>
        <v>3</v>
      </c>
      <c r="Z77" s="43">
        <f>IFERROR(IF(Z72="",0,Z72),"0")+IFERROR(IF(Z73="",0,Z73),"0")+IFERROR(IF(Z74="",0,Z74),"0")+IFERROR(IF(Z75="",0,Z75),"0")+IFERROR(IF(Z76="",0,Z76),"0")</f>
        <v>3.2000000000000001E-2</v>
      </c>
      <c r="AA77" s="67"/>
      <c r="AB77" s="67"/>
      <c r="AC77" s="67"/>
    </row>
    <row r="78" spans="1:68" x14ac:dyDescent="0.2">
      <c r="A78" s="564"/>
      <c r="B78" s="564"/>
      <c r="C78" s="564"/>
      <c r="D78" s="564"/>
      <c r="E78" s="564"/>
      <c r="F78" s="564"/>
      <c r="G78" s="564"/>
      <c r="H78" s="564"/>
      <c r="I78" s="564"/>
      <c r="J78" s="564"/>
      <c r="K78" s="564"/>
      <c r="L78" s="564"/>
      <c r="M78" s="564"/>
      <c r="N78" s="564"/>
      <c r="O78" s="565"/>
      <c r="P78" s="561" t="s">
        <v>40</v>
      </c>
      <c r="Q78" s="562"/>
      <c r="R78" s="562"/>
      <c r="S78" s="562"/>
      <c r="T78" s="562"/>
      <c r="U78" s="562"/>
      <c r="V78" s="563"/>
      <c r="W78" s="42" t="s">
        <v>0</v>
      </c>
      <c r="X78" s="43">
        <f>IFERROR(SUM(X72:X76),"0")</f>
        <v>13.440000000000001</v>
      </c>
      <c r="Y78" s="43">
        <f>IFERROR(SUM(Y72:Y76),"0")</f>
        <v>13.440000000000001</v>
      </c>
      <c r="Z78" s="42"/>
      <c r="AA78" s="67"/>
      <c r="AB78" s="67"/>
      <c r="AC78" s="67"/>
    </row>
    <row r="79" spans="1:68" ht="14.25" customHeight="1" x14ac:dyDescent="0.25">
      <c r="A79" s="556" t="s">
        <v>177</v>
      </c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66"/>
      <c r="AB79" s="66"/>
      <c r="AC79" s="80"/>
    </row>
    <row r="80" spans="1:68" ht="27" customHeight="1" x14ac:dyDescent="0.25">
      <c r="A80" s="63" t="s">
        <v>178</v>
      </c>
      <c r="B80" s="63" t="s">
        <v>179</v>
      </c>
      <c r="C80" s="36">
        <v>4301060455</v>
      </c>
      <c r="D80" s="557">
        <v>4680115881532</v>
      </c>
      <c r="E80" s="557"/>
      <c r="F80" s="62">
        <v>1.3</v>
      </c>
      <c r="G80" s="37">
        <v>6</v>
      </c>
      <c r="H80" s="62">
        <v>7.8</v>
      </c>
      <c r="I80" s="62">
        <v>8.2349999999999994</v>
      </c>
      <c r="J80" s="37">
        <v>64</v>
      </c>
      <c r="K80" s="37" t="s">
        <v>117</v>
      </c>
      <c r="L80" s="37" t="s">
        <v>118</v>
      </c>
      <c r="M80" s="38" t="s">
        <v>96</v>
      </c>
      <c r="N80" s="38"/>
      <c r="O80" s="37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9"/>
      <c r="R80" s="559"/>
      <c r="S80" s="559"/>
      <c r="T80" s="560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101</v>
      </c>
      <c r="AK80" s="84">
        <v>62.4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181</v>
      </c>
      <c r="B81" s="63" t="s">
        <v>182</v>
      </c>
      <c r="C81" s="36">
        <v>4301060351</v>
      </c>
      <c r="D81" s="557">
        <v>4680115881464</v>
      </c>
      <c r="E81" s="557"/>
      <c r="F81" s="62">
        <v>0.4</v>
      </c>
      <c r="G81" s="37">
        <v>6</v>
      </c>
      <c r="H81" s="62">
        <v>2.4</v>
      </c>
      <c r="I81" s="62">
        <v>2.61</v>
      </c>
      <c r="J81" s="37">
        <v>132</v>
      </c>
      <c r="K81" s="37" t="s">
        <v>121</v>
      </c>
      <c r="L81" s="37" t="s">
        <v>122</v>
      </c>
      <c r="M81" s="38" t="s">
        <v>88</v>
      </c>
      <c r="N81" s="38"/>
      <c r="O81" s="37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9"/>
      <c r="R81" s="559"/>
      <c r="S81" s="559"/>
      <c r="T81" s="560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183</v>
      </c>
      <c r="AG81" s="78"/>
      <c r="AJ81" s="84" t="s">
        <v>101</v>
      </c>
      <c r="AK81" s="84">
        <v>28.8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564"/>
      <c r="B82" s="564"/>
      <c r="C82" s="564"/>
      <c r="D82" s="564"/>
      <c r="E82" s="564"/>
      <c r="F82" s="564"/>
      <c r="G82" s="564"/>
      <c r="H82" s="564"/>
      <c r="I82" s="564"/>
      <c r="J82" s="564"/>
      <c r="K82" s="564"/>
      <c r="L82" s="564"/>
      <c r="M82" s="564"/>
      <c r="N82" s="564"/>
      <c r="O82" s="565"/>
      <c r="P82" s="561" t="s">
        <v>40</v>
      </c>
      <c r="Q82" s="562"/>
      <c r="R82" s="562"/>
      <c r="S82" s="562"/>
      <c r="T82" s="562"/>
      <c r="U82" s="562"/>
      <c r="V82" s="563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564"/>
      <c r="B83" s="564"/>
      <c r="C83" s="564"/>
      <c r="D83" s="564"/>
      <c r="E83" s="564"/>
      <c r="F83" s="564"/>
      <c r="G83" s="564"/>
      <c r="H83" s="564"/>
      <c r="I83" s="564"/>
      <c r="J83" s="564"/>
      <c r="K83" s="564"/>
      <c r="L83" s="564"/>
      <c r="M83" s="564"/>
      <c r="N83" s="564"/>
      <c r="O83" s="565"/>
      <c r="P83" s="561" t="s">
        <v>40</v>
      </c>
      <c r="Q83" s="562"/>
      <c r="R83" s="562"/>
      <c r="S83" s="562"/>
      <c r="T83" s="562"/>
      <c r="U83" s="562"/>
      <c r="V83" s="563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572" t="s">
        <v>184</v>
      </c>
      <c r="B84" s="572"/>
      <c r="C84" s="572"/>
      <c r="D84" s="572"/>
      <c r="E84" s="572"/>
      <c r="F84" s="572"/>
      <c r="G84" s="572"/>
      <c r="H84" s="572"/>
      <c r="I84" s="572"/>
      <c r="J84" s="572"/>
      <c r="K84" s="572"/>
      <c r="L84" s="572"/>
      <c r="M84" s="572"/>
      <c r="N84" s="572"/>
      <c r="O84" s="572"/>
      <c r="P84" s="572"/>
      <c r="Q84" s="572"/>
      <c r="R84" s="572"/>
      <c r="S84" s="572"/>
      <c r="T84" s="572"/>
      <c r="U84" s="572"/>
      <c r="V84" s="572"/>
      <c r="W84" s="572"/>
      <c r="X84" s="572"/>
      <c r="Y84" s="572"/>
      <c r="Z84" s="572"/>
      <c r="AA84" s="65"/>
      <c r="AB84" s="65"/>
      <c r="AC84" s="79"/>
    </row>
    <row r="85" spans="1:68" ht="14.25" customHeight="1" x14ac:dyDescent="0.25">
      <c r="A85" s="556" t="s">
        <v>112</v>
      </c>
      <c r="B85" s="556"/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66"/>
      <c r="AB85" s="66"/>
      <c r="AC85" s="80"/>
    </row>
    <row r="86" spans="1:68" ht="27" customHeight="1" x14ac:dyDescent="0.25">
      <c r="A86" s="63" t="s">
        <v>185</v>
      </c>
      <c r="B86" s="63" t="s">
        <v>186</v>
      </c>
      <c r="C86" s="36">
        <v>4301011468</v>
      </c>
      <c r="D86" s="557">
        <v>4680115881327</v>
      </c>
      <c r="E86" s="557"/>
      <c r="F86" s="62">
        <v>1.35</v>
      </c>
      <c r="G86" s="37">
        <v>8</v>
      </c>
      <c r="H86" s="62">
        <v>10.8</v>
      </c>
      <c r="I86" s="62">
        <v>11.234999999999999</v>
      </c>
      <c r="J86" s="37">
        <v>64</v>
      </c>
      <c r="K86" s="37" t="s">
        <v>117</v>
      </c>
      <c r="L86" s="37" t="s">
        <v>118</v>
      </c>
      <c r="M86" s="38" t="s">
        <v>96</v>
      </c>
      <c r="N86" s="38"/>
      <c r="O86" s="37">
        <v>50</v>
      </c>
      <c r="P86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9"/>
      <c r="R86" s="559"/>
      <c r="S86" s="559"/>
      <c r="T86" s="560"/>
      <c r="U86" s="39" t="s">
        <v>45</v>
      </c>
      <c r="V86" s="39" t="s">
        <v>45</v>
      </c>
      <c r="W86" s="40" t="s">
        <v>0</v>
      </c>
      <c r="X86" s="58">
        <v>108</v>
      </c>
      <c r="Y86" s="55">
        <f>IFERROR(IF(X86="",0,CEILING((X86/$H86),1)*$H86),"")</f>
        <v>108</v>
      </c>
      <c r="Z86" s="41">
        <f>IFERROR(IF(Y86=0,"",ROUNDUP(Y86/H86,0)*0.01898),"")</f>
        <v>0.1898</v>
      </c>
      <c r="AA86" s="68" t="s">
        <v>45</v>
      </c>
      <c r="AB86" s="69" t="s">
        <v>45</v>
      </c>
      <c r="AC86" s="146" t="s">
        <v>187</v>
      </c>
      <c r="AG86" s="78"/>
      <c r="AJ86" s="84" t="s">
        <v>101</v>
      </c>
      <c r="AK86" s="84">
        <v>86.4</v>
      </c>
      <c r="BB86" s="147" t="s">
        <v>66</v>
      </c>
      <c r="BM86" s="78">
        <f>IFERROR(X86*I86/H86,"0")</f>
        <v>112.34999999999998</v>
      </c>
      <c r="BN86" s="78">
        <f>IFERROR(Y86*I86/H86,"0")</f>
        <v>112.34999999999998</v>
      </c>
      <c r="BO86" s="78">
        <f>IFERROR(1/J86*(X86/H86),"0")</f>
        <v>0.15625</v>
      </c>
      <c r="BP86" s="78">
        <f>IFERROR(1/J86*(Y86/H86),"0")</f>
        <v>0.15625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557">
        <v>4680115881518</v>
      </c>
      <c r="E87" s="557"/>
      <c r="F87" s="62">
        <v>0.4</v>
      </c>
      <c r="G87" s="37">
        <v>10</v>
      </c>
      <c r="H87" s="62">
        <v>4</v>
      </c>
      <c r="I87" s="62">
        <v>4.21</v>
      </c>
      <c r="J87" s="37">
        <v>132</v>
      </c>
      <c r="K87" s="37" t="s">
        <v>121</v>
      </c>
      <c r="L87" s="37" t="s">
        <v>45</v>
      </c>
      <c r="M87" s="38" t="s">
        <v>88</v>
      </c>
      <c r="N87" s="38"/>
      <c r="O87" s="37">
        <v>50</v>
      </c>
      <c r="P87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9"/>
      <c r="R87" s="559"/>
      <c r="S87" s="559"/>
      <c r="T87" s="56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187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557">
        <v>4680115881303</v>
      </c>
      <c r="E88" s="557"/>
      <c r="F88" s="62">
        <v>0.45</v>
      </c>
      <c r="G88" s="37">
        <v>10</v>
      </c>
      <c r="H88" s="62">
        <v>4.5</v>
      </c>
      <c r="I88" s="62">
        <v>4.71</v>
      </c>
      <c r="J88" s="37">
        <v>132</v>
      </c>
      <c r="K88" s="37" t="s">
        <v>121</v>
      </c>
      <c r="L88" s="37" t="s">
        <v>122</v>
      </c>
      <c r="M88" s="38" t="s">
        <v>96</v>
      </c>
      <c r="N88" s="38"/>
      <c r="O88" s="37">
        <v>50</v>
      </c>
      <c r="P88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9"/>
      <c r="R88" s="559"/>
      <c r="S88" s="559"/>
      <c r="T88" s="56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187</v>
      </c>
      <c r="AG88" s="78"/>
      <c r="AJ88" s="84" t="s">
        <v>101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564"/>
      <c r="B89" s="564"/>
      <c r="C89" s="564"/>
      <c r="D89" s="564"/>
      <c r="E89" s="564"/>
      <c r="F89" s="564"/>
      <c r="G89" s="564"/>
      <c r="H89" s="564"/>
      <c r="I89" s="564"/>
      <c r="J89" s="564"/>
      <c r="K89" s="564"/>
      <c r="L89" s="564"/>
      <c r="M89" s="564"/>
      <c r="N89" s="564"/>
      <c r="O89" s="565"/>
      <c r="P89" s="561" t="s">
        <v>40</v>
      </c>
      <c r="Q89" s="562"/>
      <c r="R89" s="562"/>
      <c r="S89" s="562"/>
      <c r="T89" s="562"/>
      <c r="U89" s="562"/>
      <c r="V89" s="563"/>
      <c r="W89" s="42" t="s">
        <v>39</v>
      </c>
      <c r="X89" s="43">
        <f>IFERROR(X86/H86,"0")+IFERROR(X87/H87,"0")+IFERROR(X88/H88,"0")</f>
        <v>10</v>
      </c>
      <c r="Y89" s="43">
        <f>IFERROR(Y86/H86,"0")+IFERROR(Y87/H87,"0")+IFERROR(Y88/H88,"0")</f>
        <v>10</v>
      </c>
      <c r="Z89" s="43">
        <f>IFERROR(IF(Z86="",0,Z86),"0")+IFERROR(IF(Z87="",0,Z87),"0")+IFERROR(IF(Z88="",0,Z88),"0")</f>
        <v>0.1898</v>
      </c>
      <c r="AA89" s="67"/>
      <c r="AB89" s="67"/>
      <c r="AC89" s="67"/>
    </row>
    <row r="90" spans="1:68" x14ac:dyDescent="0.2">
      <c r="A90" s="564"/>
      <c r="B90" s="564"/>
      <c r="C90" s="564"/>
      <c r="D90" s="564"/>
      <c r="E90" s="564"/>
      <c r="F90" s="564"/>
      <c r="G90" s="564"/>
      <c r="H90" s="564"/>
      <c r="I90" s="564"/>
      <c r="J90" s="564"/>
      <c r="K90" s="564"/>
      <c r="L90" s="564"/>
      <c r="M90" s="564"/>
      <c r="N90" s="564"/>
      <c r="O90" s="565"/>
      <c r="P90" s="561" t="s">
        <v>40</v>
      </c>
      <c r="Q90" s="562"/>
      <c r="R90" s="562"/>
      <c r="S90" s="562"/>
      <c r="T90" s="562"/>
      <c r="U90" s="562"/>
      <c r="V90" s="563"/>
      <c r="W90" s="42" t="s">
        <v>0</v>
      </c>
      <c r="X90" s="43">
        <f>IFERROR(SUM(X86:X88),"0")</f>
        <v>108</v>
      </c>
      <c r="Y90" s="43">
        <f>IFERROR(SUM(Y86:Y88),"0")</f>
        <v>108</v>
      </c>
      <c r="Z90" s="42"/>
      <c r="AA90" s="67"/>
      <c r="AB90" s="67"/>
      <c r="AC90" s="67"/>
    </row>
    <row r="91" spans="1:68" ht="14.25" customHeight="1" x14ac:dyDescent="0.25">
      <c r="A91" s="556" t="s">
        <v>84</v>
      </c>
      <c r="B91" s="556"/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66"/>
      <c r="AB91" s="66"/>
      <c r="AC91" s="80"/>
    </row>
    <row r="92" spans="1:68" ht="16.5" customHeight="1" x14ac:dyDescent="0.25">
      <c r="A92" s="63" t="s">
        <v>192</v>
      </c>
      <c r="B92" s="63" t="s">
        <v>193</v>
      </c>
      <c r="C92" s="36">
        <v>4301051712</v>
      </c>
      <c r="D92" s="557">
        <v>4607091386967</v>
      </c>
      <c r="E92" s="557"/>
      <c r="F92" s="62">
        <v>1.35</v>
      </c>
      <c r="G92" s="37">
        <v>6</v>
      </c>
      <c r="H92" s="62">
        <v>8.1</v>
      </c>
      <c r="I92" s="62">
        <v>8.6189999999999998</v>
      </c>
      <c r="J92" s="37">
        <v>64</v>
      </c>
      <c r="K92" s="37" t="s">
        <v>117</v>
      </c>
      <c r="L92" s="37" t="s">
        <v>118</v>
      </c>
      <c r="M92" s="38" t="s">
        <v>96</v>
      </c>
      <c r="N92" s="38"/>
      <c r="O92" s="37">
        <v>45</v>
      </c>
      <c r="P92" s="77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9"/>
      <c r="R92" s="559"/>
      <c r="S92" s="559"/>
      <c r="T92" s="560"/>
      <c r="U92" s="39" t="s">
        <v>45</v>
      </c>
      <c r="V92" s="39" t="s">
        <v>45</v>
      </c>
      <c r="W92" s="40" t="s">
        <v>0</v>
      </c>
      <c r="X92" s="58">
        <v>64.8</v>
      </c>
      <c r="Y92" s="55">
        <f>IFERROR(IF(X92="",0,CEILING((X92/$H92),1)*$H92),"")</f>
        <v>64.8</v>
      </c>
      <c r="Z92" s="41">
        <f>IFERROR(IF(Y92=0,"",ROUNDUP(Y92/H92,0)*0.01898),"")</f>
        <v>0.15184</v>
      </c>
      <c r="AA92" s="68" t="s">
        <v>45</v>
      </c>
      <c r="AB92" s="69" t="s">
        <v>45</v>
      </c>
      <c r="AC92" s="152" t="s">
        <v>194</v>
      </c>
      <c r="AG92" s="78"/>
      <c r="AJ92" s="84" t="s">
        <v>101</v>
      </c>
      <c r="AK92" s="84">
        <v>64.8</v>
      </c>
      <c r="BB92" s="153" t="s">
        <v>66</v>
      </c>
      <c r="BM92" s="78">
        <f>IFERROR(X92*I92/H92,"0")</f>
        <v>68.951999999999998</v>
      </c>
      <c r="BN92" s="78">
        <f>IFERROR(Y92*I92/H92,"0")</f>
        <v>68.951999999999998</v>
      </c>
      <c r="BO92" s="78">
        <f>IFERROR(1/J92*(X92/H92),"0")</f>
        <v>0.125</v>
      </c>
      <c r="BP92" s="78">
        <f>IFERROR(1/J92*(Y92/H92),"0")</f>
        <v>0.125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557">
        <v>4680115884953</v>
      </c>
      <c r="E93" s="557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89</v>
      </c>
      <c r="L93" s="37" t="s">
        <v>45</v>
      </c>
      <c r="M93" s="38" t="s">
        <v>88</v>
      </c>
      <c r="N93" s="38"/>
      <c r="O93" s="37">
        <v>45</v>
      </c>
      <c r="P93" s="7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9"/>
      <c r="R93" s="559"/>
      <c r="S93" s="559"/>
      <c r="T93" s="56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197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198</v>
      </c>
      <c r="B94" s="63" t="s">
        <v>199</v>
      </c>
      <c r="C94" s="36">
        <v>4301051718</v>
      </c>
      <c r="D94" s="557">
        <v>4607091385731</v>
      </c>
      <c r="E94" s="557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89</v>
      </c>
      <c r="L94" s="37" t="s">
        <v>45</v>
      </c>
      <c r="M94" s="38" t="s">
        <v>96</v>
      </c>
      <c r="N94" s="38"/>
      <c r="O94" s="37">
        <v>45</v>
      </c>
      <c r="P94" s="76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9"/>
      <c r="R94" s="559"/>
      <c r="S94" s="559"/>
      <c r="T94" s="560"/>
      <c r="U94" s="39" t="s">
        <v>45</v>
      </c>
      <c r="V94" s="39" t="s">
        <v>45</v>
      </c>
      <c r="W94" s="40" t="s">
        <v>0</v>
      </c>
      <c r="X94" s="58">
        <v>2.7</v>
      </c>
      <c r="Y94" s="55">
        <f>IFERROR(IF(X94="",0,CEILING((X94/$H94),1)*$H94),"")</f>
        <v>2.7</v>
      </c>
      <c r="Z94" s="41">
        <f>IFERROR(IF(Y94=0,"",ROUNDUP(Y94/H94,0)*0.00651),"")</f>
        <v>6.5100000000000002E-3</v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2.952</v>
      </c>
      <c r="BN94" s="78">
        <f>IFERROR(Y94*I94/H94,"0")</f>
        <v>2.952</v>
      </c>
      <c r="BO94" s="78">
        <f>IFERROR(1/J94*(X94/H94),"0")</f>
        <v>5.4945054945054949E-3</v>
      </c>
      <c r="BP94" s="78">
        <f>IFERROR(1/J94*(Y94/H94),"0")</f>
        <v>5.4945054945054949E-3</v>
      </c>
    </row>
    <row r="95" spans="1:68" ht="16.5" customHeight="1" x14ac:dyDescent="0.25">
      <c r="A95" s="63" t="s">
        <v>200</v>
      </c>
      <c r="B95" s="63" t="s">
        <v>201</v>
      </c>
      <c r="C95" s="36">
        <v>4301051438</v>
      </c>
      <c r="D95" s="557">
        <v>4680115880894</v>
      </c>
      <c r="E95" s="557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89</v>
      </c>
      <c r="L95" s="37" t="s">
        <v>100</v>
      </c>
      <c r="M95" s="38" t="s">
        <v>88</v>
      </c>
      <c r="N95" s="38"/>
      <c r="O95" s="37">
        <v>45</v>
      </c>
      <c r="P95" s="76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9"/>
      <c r="R95" s="559"/>
      <c r="S95" s="559"/>
      <c r="T95" s="56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202</v>
      </c>
      <c r="AG95" s="78"/>
      <c r="AJ95" s="84" t="s">
        <v>101</v>
      </c>
      <c r="AK95" s="84">
        <v>27.72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564"/>
      <c r="B96" s="564"/>
      <c r="C96" s="564"/>
      <c r="D96" s="564"/>
      <c r="E96" s="564"/>
      <c r="F96" s="564"/>
      <c r="G96" s="564"/>
      <c r="H96" s="564"/>
      <c r="I96" s="564"/>
      <c r="J96" s="564"/>
      <c r="K96" s="564"/>
      <c r="L96" s="564"/>
      <c r="M96" s="564"/>
      <c r="N96" s="564"/>
      <c r="O96" s="565"/>
      <c r="P96" s="561" t="s">
        <v>40</v>
      </c>
      <c r="Q96" s="562"/>
      <c r="R96" s="562"/>
      <c r="S96" s="562"/>
      <c r="T96" s="562"/>
      <c r="U96" s="562"/>
      <c r="V96" s="563"/>
      <c r="W96" s="42" t="s">
        <v>39</v>
      </c>
      <c r="X96" s="43">
        <f>IFERROR(X92/H92,"0")+IFERROR(X93/H93,"0")+IFERROR(X94/H94,"0")+IFERROR(X95/H95,"0")</f>
        <v>9</v>
      </c>
      <c r="Y96" s="43">
        <f>IFERROR(Y92/H92,"0")+IFERROR(Y93/H93,"0")+IFERROR(Y94/H94,"0")+IFERROR(Y95/H95,"0")</f>
        <v>9</v>
      </c>
      <c r="Z96" s="43">
        <f>IFERROR(IF(Z92="",0,Z92),"0")+IFERROR(IF(Z93="",0,Z93),"0")+IFERROR(IF(Z94="",0,Z94),"0")+IFERROR(IF(Z95="",0,Z95),"0")</f>
        <v>0.15834999999999999</v>
      </c>
      <c r="AA96" s="67"/>
      <c r="AB96" s="67"/>
      <c r="AC96" s="67"/>
    </row>
    <row r="97" spans="1:68" x14ac:dyDescent="0.2">
      <c r="A97" s="564"/>
      <c r="B97" s="564"/>
      <c r="C97" s="564"/>
      <c r="D97" s="564"/>
      <c r="E97" s="564"/>
      <c r="F97" s="564"/>
      <c r="G97" s="564"/>
      <c r="H97" s="564"/>
      <c r="I97" s="564"/>
      <c r="J97" s="564"/>
      <c r="K97" s="564"/>
      <c r="L97" s="564"/>
      <c r="M97" s="564"/>
      <c r="N97" s="564"/>
      <c r="O97" s="565"/>
      <c r="P97" s="561" t="s">
        <v>40</v>
      </c>
      <c r="Q97" s="562"/>
      <c r="R97" s="562"/>
      <c r="S97" s="562"/>
      <c r="T97" s="562"/>
      <c r="U97" s="562"/>
      <c r="V97" s="563"/>
      <c r="W97" s="42" t="s">
        <v>0</v>
      </c>
      <c r="X97" s="43">
        <f>IFERROR(SUM(X92:X95),"0")</f>
        <v>67.5</v>
      </c>
      <c r="Y97" s="43">
        <f>IFERROR(SUM(Y92:Y95),"0")</f>
        <v>67.5</v>
      </c>
      <c r="Z97" s="42"/>
      <c r="AA97" s="67"/>
      <c r="AB97" s="67"/>
      <c r="AC97" s="67"/>
    </row>
    <row r="98" spans="1:68" ht="16.5" customHeight="1" x14ac:dyDescent="0.25">
      <c r="A98" s="572" t="s">
        <v>203</v>
      </c>
      <c r="B98" s="572"/>
      <c r="C98" s="572"/>
      <c r="D98" s="572"/>
      <c r="E98" s="572"/>
      <c r="F98" s="572"/>
      <c r="G98" s="572"/>
      <c r="H98" s="572"/>
      <c r="I98" s="572"/>
      <c r="J98" s="572"/>
      <c r="K98" s="572"/>
      <c r="L98" s="572"/>
      <c r="M98" s="572"/>
      <c r="N98" s="572"/>
      <c r="O98" s="572"/>
      <c r="P98" s="572"/>
      <c r="Q98" s="572"/>
      <c r="R98" s="572"/>
      <c r="S98" s="572"/>
      <c r="T98" s="572"/>
      <c r="U98" s="572"/>
      <c r="V98" s="572"/>
      <c r="W98" s="572"/>
      <c r="X98" s="572"/>
      <c r="Y98" s="572"/>
      <c r="Z98" s="572"/>
      <c r="AA98" s="65"/>
      <c r="AB98" s="65"/>
      <c r="AC98" s="79"/>
    </row>
    <row r="99" spans="1:68" ht="14.25" customHeight="1" x14ac:dyDescent="0.25">
      <c r="A99" s="556" t="s">
        <v>112</v>
      </c>
      <c r="B99" s="556"/>
      <c r="C99" s="556"/>
      <c r="D99" s="556"/>
      <c r="E99" s="556"/>
      <c r="F99" s="556"/>
      <c r="G99" s="556"/>
      <c r="H99" s="556"/>
      <c r="I99" s="556"/>
      <c r="J99" s="556"/>
      <c r="K99" s="556"/>
      <c r="L99" s="556"/>
      <c r="M99" s="556"/>
      <c r="N99" s="556"/>
      <c r="O99" s="556"/>
      <c r="P99" s="556"/>
      <c r="Q99" s="556"/>
      <c r="R99" s="556"/>
      <c r="S99" s="556"/>
      <c r="T99" s="556"/>
      <c r="U99" s="556"/>
      <c r="V99" s="556"/>
      <c r="W99" s="556"/>
      <c r="X99" s="556"/>
      <c r="Y99" s="556"/>
      <c r="Z99" s="556"/>
      <c r="AA99" s="66"/>
      <c r="AB99" s="66"/>
      <c r="AC99" s="80"/>
    </row>
    <row r="100" spans="1:68" ht="37.5" customHeight="1" x14ac:dyDescent="0.25">
      <c r="A100" s="63" t="s">
        <v>204</v>
      </c>
      <c r="B100" s="63" t="s">
        <v>205</v>
      </c>
      <c r="C100" s="36">
        <v>4301011514</v>
      </c>
      <c r="D100" s="557">
        <v>4680115882133</v>
      </c>
      <c r="E100" s="557"/>
      <c r="F100" s="62">
        <v>1.35</v>
      </c>
      <c r="G100" s="37">
        <v>8</v>
      </c>
      <c r="H100" s="62">
        <v>10.8</v>
      </c>
      <c r="I100" s="62">
        <v>11.234999999999999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9"/>
      <c r="R100" s="559"/>
      <c r="S100" s="559"/>
      <c r="T100" s="560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101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4301011417</v>
      </c>
      <c r="D101" s="557">
        <v>4680115880269</v>
      </c>
      <c r="E101" s="557"/>
      <c r="F101" s="62">
        <v>0.375</v>
      </c>
      <c r="G101" s="37">
        <v>10</v>
      </c>
      <c r="H101" s="62">
        <v>3.75</v>
      </c>
      <c r="I101" s="62">
        <v>3.96</v>
      </c>
      <c r="J101" s="37">
        <v>132</v>
      </c>
      <c r="K101" s="37" t="s">
        <v>121</v>
      </c>
      <c r="L101" s="37" t="s">
        <v>122</v>
      </c>
      <c r="M101" s="38" t="s">
        <v>88</v>
      </c>
      <c r="N101" s="38"/>
      <c r="O101" s="37">
        <v>50</v>
      </c>
      <c r="P101" s="7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9"/>
      <c r="R101" s="559"/>
      <c r="S101" s="559"/>
      <c r="T101" s="560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206</v>
      </c>
      <c r="AG101" s="78"/>
      <c r="AJ101" s="84" t="s">
        <v>101</v>
      </c>
      <c r="AK101" s="84">
        <v>45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4301011415</v>
      </c>
      <c r="D102" s="557">
        <v>4680115880429</v>
      </c>
      <c r="E102" s="557"/>
      <c r="F102" s="62">
        <v>0.45</v>
      </c>
      <c r="G102" s="37">
        <v>10</v>
      </c>
      <c r="H102" s="62">
        <v>4.5</v>
      </c>
      <c r="I102" s="62">
        <v>4.71</v>
      </c>
      <c r="J102" s="37">
        <v>132</v>
      </c>
      <c r="K102" s="37" t="s">
        <v>121</v>
      </c>
      <c r="L102" s="37" t="s">
        <v>122</v>
      </c>
      <c r="M102" s="38" t="s">
        <v>88</v>
      </c>
      <c r="N102" s="38"/>
      <c r="O102" s="37">
        <v>50</v>
      </c>
      <c r="P102" s="7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9"/>
      <c r="R102" s="559"/>
      <c r="S102" s="559"/>
      <c r="T102" s="56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206</v>
      </c>
      <c r="AG102" s="78"/>
      <c r="AJ102" s="84" t="s">
        <v>101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211</v>
      </c>
      <c r="B103" s="63" t="s">
        <v>212</v>
      </c>
      <c r="C103" s="36">
        <v>4301011462</v>
      </c>
      <c r="D103" s="557">
        <v>4680115881457</v>
      </c>
      <c r="E103" s="557"/>
      <c r="F103" s="62">
        <v>0.75</v>
      </c>
      <c r="G103" s="37">
        <v>6</v>
      </c>
      <c r="H103" s="62">
        <v>4.5</v>
      </c>
      <c r="I103" s="62">
        <v>4.71</v>
      </c>
      <c r="J103" s="37">
        <v>132</v>
      </c>
      <c r="K103" s="37" t="s">
        <v>121</v>
      </c>
      <c r="L103" s="37" t="s">
        <v>45</v>
      </c>
      <c r="M103" s="38" t="s">
        <v>88</v>
      </c>
      <c r="N103" s="38"/>
      <c r="O103" s="37">
        <v>50</v>
      </c>
      <c r="P103" s="7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9"/>
      <c r="R103" s="559"/>
      <c r="S103" s="559"/>
      <c r="T103" s="560"/>
      <c r="U103" s="39" t="s">
        <v>45</v>
      </c>
      <c r="V103" s="39" t="s">
        <v>45</v>
      </c>
      <c r="W103" s="40" t="s">
        <v>0</v>
      </c>
      <c r="X103" s="58">
        <v>9</v>
      </c>
      <c r="Y103" s="55">
        <f>IFERROR(IF(X103="",0,CEILING((X103/$H103),1)*$H103),"")</f>
        <v>9</v>
      </c>
      <c r="Z103" s="41">
        <f>IFERROR(IF(Y103=0,"",ROUNDUP(Y103/H103,0)*0.00902),"")</f>
        <v>1.804E-2</v>
      </c>
      <c r="AA103" s="68" t="s">
        <v>45</v>
      </c>
      <c r="AB103" s="69" t="s">
        <v>45</v>
      </c>
      <c r="AC103" s="166" t="s">
        <v>206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9.42</v>
      </c>
      <c r="BN103" s="78">
        <f>IFERROR(Y103*I103/H103,"0")</f>
        <v>9.42</v>
      </c>
      <c r="BO103" s="78">
        <f>IFERROR(1/J103*(X103/H103),"0")</f>
        <v>1.5151515151515152E-2</v>
      </c>
      <c r="BP103" s="78">
        <f>IFERROR(1/J103*(Y103/H103),"0")</f>
        <v>1.5151515151515152E-2</v>
      </c>
    </row>
    <row r="104" spans="1:68" x14ac:dyDescent="0.2">
      <c r="A104" s="564"/>
      <c r="B104" s="564"/>
      <c r="C104" s="564"/>
      <c r="D104" s="564"/>
      <c r="E104" s="564"/>
      <c r="F104" s="564"/>
      <c r="G104" s="564"/>
      <c r="H104" s="564"/>
      <c r="I104" s="564"/>
      <c r="J104" s="564"/>
      <c r="K104" s="564"/>
      <c r="L104" s="564"/>
      <c r="M104" s="564"/>
      <c r="N104" s="564"/>
      <c r="O104" s="565"/>
      <c r="P104" s="561" t="s">
        <v>40</v>
      </c>
      <c r="Q104" s="562"/>
      <c r="R104" s="562"/>
      <c r="S104" s="562"/>
      <c r="T104" s="562"/>
      <c r="U104" s="562"/>
      <c r="V104" s="563"/>
      <c r="W104" s="42" t="s">
        <v>39</v>
      </c>
      <c r="X104" s="43">
        <f>IFERROR(X100/H100,"0")+IFERROR(X101/H101,"0")+IFERROR(X102/H102,"0")+IFERROR(X103/H103,"0")</f>
        <v>2</v>
      </c>
      <c r="Y104" s="43">
        <f>IFERROR(Y100/H100,"0")+IFERROR(Y101/H101,"0")+IFERROR(Y102/H102,"0")+IFERROR(Y103/H103,"0")</f>
        <v>2</v>
      </c>
      <c r="Z104" s="43">
        <f>IFERROR(IF(Z100="",0,Z100),"0")+IFERROR(IF(Z101="",0,Z101),"0")+IFERROR(IF(Z102="",0,Z102),"0")+IFERROR(IF(Z103="",0,Z103),"0")</f>
        <v>1.804E-2</v>
      </c>
      <c r="AA104" s="67"/>
      <c r="AB104" s="67"/>
      <c r="AC104" s="67"/>
    </row>
    <row r="105" spans="1:68" x14ac:dyDescent="0.2">
      <c r="A105" s="564"/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5"/>
      <c r="P105" s="561" t="s">
        <v>40</v>
      </c>
      <c r="Q105" s="562"/>
      <c r="R105" s="562"/>
      <c r="S105" s="562"/>
      <c r="T105" s="562"/>
      <c r="U105" s="562"/>
      <c r="V105" s="563"/>
      <c r="W105" s="42" t="s">
        <v>0</v>
      </c>
      <c r="X105" s="43">
        <f>IFERROR(SUM(X100:X103),"0")</f>
        <v>9</v>
      </c>
      <c r="Y105" s="43">
        <f>IFERROR(SUM(Y100:Y103),"0")</f>
        <v>9</v>
      </c>
      <c r="Z105" s="42"/>
      <c r="AA105" s="67"/>
      <c r="AB105" s="67"/>
      <c r="AC105" s="67"/>
    </row>
    <row r="106" spans="1:68" ht="14.25" customHeight="1" x14ac:dyDescent="0.25">
      <c r="A106" s="556" t="s">
        <v>147</v>
      </c>
      <c r="B106" s="556"/>
      <c r="C106" s="556"/>
      <c r="D106" s="556"/>
      <c r="E106" s="556"/>
      <c r="F106" s="556"/>
      <c r="G106" s="556"/>
      <c r="H106" s="556"/>
      <c r="I106" s="556"/>
      <c r="J106" s="556"/>
      <c r="K106" s="556"/>
      <c r="L106" s="556"/>
      <c r="M106" s="556"/>
      <c r="N106" s="556"/>
      <c r="O106" s="556"/>
      <c r="P106" s="556"/>
      <c r="Q106" s="556"/>
      <c r="R106" s="556"/>
      <c r="S106" s="556"/>
      <c r="T106" s="556"/>
      <c r="U106" s="556"/>
      <c r="V106" s="556"/>
      <c r="W106" s="556"/>
      <c r="X106" s="556"/>
      <c r="Y106" s="556"/>
      <c r="Z106" s="556"/>
      <c r="AA106" s="66"/>
      <c r="AB106" s="66"/>
      <c r="AC106" s="80"/>
    </row>
    <row r="107" spans="1:68" ht="16.5" customHeight="1" x14ac:dyDescent="0.25">
      <c r="A107" s="63" t="s">
        <v>213</v>
      </c>
      <c r="B107" s="63" t="s">
        <v>214</v>
      </c>
      <c r="C107" s="36">
        <v>4301020345</v>
      </c>
      <c r="D107" s="557">
        <v>4680115881488</v>
      </c>
      <c r="E107" s="557"/>
      <c r="F107" s="62">
        <v>1.35</v>
      </c>
      <c r="G107" s="37">
        <v>8</v>
      </c>
      <c r="H107" s="62">
        <v>10.8</v>
      </c>
      <c r="I107" s="62">
        <v>11.234999999999999</v>
      </c>
      <c r="J107" s="37">
        <v>64</v>
      </c>
      <c r="K107" s="37" t="s">
        <v>117</v>
      </c>
      <c r="L107" s="37" t="s">
        <v>45</v>
      </c>
      <c r="M107" s="38" t="s">
        <v>116</v>
      </c>
      <c r="N107" s="38"/>
      <c r="O107" s="37">
        <v>55</v>
      </c>
      <c r="P107" s="76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9"/>
      <c r="R107" s="559"/>
      <c r="S107" s="559"/>
      <c r="T107" s="560"/>
      <c r="U107" s="39" t="s">
        <v>45</v>
      </c>
      <c r="V107" s="39" t="s">
        <v>45</v>
      </c>
      <c r="W107" s="40" t="s">
        <v>0</v>
      </c>
      <c r="X107" s="58">
        <v>21.6</v>
      </c>
      <c r="Y107" s="55">
        <f>IFERROR(IF(X107="",0,CEILING((X107/$H107),1)*$H107),"")</f>
        <v>21.6</v>
      </c>
      <c r="Z107" s="41">
        <f>IFERROR(IF(Y107=0,"",ROUNDUP(Y107/H107,0)*0.01898),"")</f>
        <v>3.7960000000000001E-2</v>
      </c>
      <c r="AA107" s="68" t="s">
        <v>45</v>
      </c>
      <c r="AB107" s="69" t="s">
        <v>45</v>
      </c>
      <c r="AC107" s="168" t="s">
        <v>215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22.47</v>
      </c>
      <c r="BN107" s="78">
        <f>IFERROR(Y107*I107/H107,"0")</f>
        <v>22.47</v>
      </c>
      <c r="BO107" s="78">
        <f>IFERROR(1/J107*(X107/H107),"0")</f>
        <v>3.125E-2</v>
      </c>
      <c r="BP107" s="78">
        <f>IFERROR(1/J107*(Y107/H107),"0")</f>
        <v>3.125E-2</v>
      </c>
    </row>
    <row r="108" spans="1:68" ht="16.5" customHeight="1" x14ac:dyDescent="0.25">
      <c r="A108" s="63" t="s">
        <v>216</v>
      </c>
      <c r="B108" s="63" t="s">
        <v>217</v>
      </c>
      <c r="C108" s="36">
        <v>4301020346</v>
      </c>
      <c r="D108" s="557">
        <v>4680115882775</v>
      </c>
      <c r="E108" s="557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83</v>
      </c>
      <c r="L108" s="37" t="s">
        <v>45</v>
      </c>
      <c r="M108" s="38" t="s">
        <v>116</v>
      </c>
      <c r="N108" s="38"/>
      <c r="O108" s="37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9"/>
      <c r="R108" s="559"/>
      <c r="S108" s="559"/>
      <c r="T108" s="560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215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218</v>
      </c>
      <c r="B109" s="63" t="s">
        <v>219</v>
      </c>
      <c r="C109" s="36">
        <v>4301020344</v>
      </c>
      <c r="D109" s="557">
        <v>4680115880658</v>
      </c>
      <c r="E109" s="557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89</v>
      </c>
      <c r="L109" s="37" t="s">
        <v>45</v>
      </c>
      <c r="M109" s="38" t="s">
        <v>116</v>
      </c>
      <c r="N109" s="38"/>
      <c r="O109" s="37">
        <v>55</v>
      </c>
      <c r="P109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9"/>
      <c r="R109" s="559"/>
      <c r="S109" s="559"/>
      <c r="T109" s="560"/>
      <c r="U109" s="39" t="s">
        <v>45</v>
      </c>
      <c r="V109" s="39" t="s">
        <v>45</v>
      </c>
      <c r="W109" s="40" t="s">
        <v>0</v>
      </c>
      <c r="X109" s="58">
        <v>7.2</v>
      </c>
      <c r="Y109" s="55">
        <f>IFERROR(IF(X109="",0,CEILING((X109/$H109),1)*$H109),"")</f>
        <v>7.1999999999999993</v>
      </c>
      <c r="Z109" s="41">
        <f>IFERROR(IF(Y109=0,"",ROUNDUP(Y109/H109,0)*0.00651),"")</f>
        <v>1.9529999999999999E-2</v>
      </c>
      <c r="AA109" s="68" t="s">
        <v>45</v>
      </c>
      <c r="AB109" s="69" t="s">
        <v>45</v>
      </c>
      <c r="AC109" s="172" t="s">
        <v>215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7.74</v>
      </c>
      <c r="BN109" s="78">
        <f>IFERROR(Y109*I109/H109,"0")</f>
        <v>7.7399999999999993</v>
      </c>
      <c r="BO109" s="78">
        <f>IFERROR(1/J109*(X109/H109),"0")</f>
        <v>1.6483516483516484E-2</v>
      </c>
      <c r="BP109" s="78">
        <f>IFERROR(1/J109*(Y109/H109),"0")</f>
        <v>1.6483516483516484E-2</v>
      </c>
    </row>
    <row r="110" spans="1:68" x14ac:dyDescent="0.2">
      <c r="A110" s="564"/>
      <c r="B110" s="564"/>
      <c r="C110" s="564"/>
      <c r="D110" s="564"/>
      <c r="E110" s="564"/>
      <c r="F110" s="564"/>
      <c r="G110" s="564"/>
      <c r="H110" s="564"/>
      <c r="I110" s="564"/>
      <c r="J110" s="564"/>
      <c r="K110" s="564"/>
      <c r="L110" s="564"/>
      <c r="M110" s="564"/>
      <c r="N110" s="564"/>
      <c r="O110" s="565"/>
      <c r="P110" s="561" t="s">
        <v>40</v>
      </c>
      <c r="Q110" s="562"/>
      <c r="R110" s="562"/>
      <c r="S110" s="562"/>
      <c r="T110" s="562"/>
      <c r="U110" s="562"/>
      <c r="V110" s="563"/>
      <c r="W110" s="42" t="s">
        <v>39</v>
      </c>
      <c r="X110" s="43">
        <f>IFERROR(X107/H107,"0")+IFERROR(X108/H108,"0")+IFERROR(X109/H109,"0")</f>
        <v>5</v>
      </c>
      <c r="Y110" s="43">
        <f>IFERROR(Y107/H107,"0")+IFERROR(Y108/H108,"0")+IFERROR(Y109/H109,"0")</f>
        <v>5</v>
      </c>
      <c r="Z110" s="43">
        <f>IFERROR(IF(Z107="",0,Z107),"0")+IFERROR(IF(Z108="",0,Z108),"0")+IFERROR(IF(Z109="",0,Z109),"0")</f>
        <v>5.7489999999999999E-2</v>
      </c>
      <c r="AA110" s="67"/>
      <c r="AB110" s="67"/>
      <c r="AC110" s="67"/>
    </row>
    <row r="111" spans="1:68" x14ac:dyDescent="0.2">
      <c r="A111" s="564"/>
      <c r="B111" s="564"/>
      <c r="C111" s="564"/>
      <c r="D111" s="564"/>
      <c r="E111" s="564"/>
      <c r="F111" s="564"/>
      <c r="G111" s="564"/>
      <c r="H111" s="564"/>
      <c r="I111" s="564"/>
      <c r="J111" s="564"/>
      <c r="K111" s="564"/>
      <c r="L111" s="564"/>
      <c r="M111" s="564"/>
      <c r="N111" s="564"/>
      <c r="O111" s="565"/>
      <c r="P111" s="561" t="s">
        <v>40</v>
      </c>
      <c r="Q111" s="562"/>
      <c r="R111" s="562"/>
      <c r="S111" s="562"/>
      <c r="T111" s="562"/>
      <c r="U111" s="562"/>
      <c r="V111" s="563"/>
      <c r="W111" s="42" t="s">
        <v>0</v>
      </c>
      <c r="X111" s="43">
        <f>IFERROR(SUM(X107:X109),"0")</f>
        <v>28.8</v>
      </c>
      <c r="Y111" s="43">
        <f>IFERROR(SUM(Y107:Y109),"0")</f>
        <v>28.8</v>
      </c>
      <c r="Z111" s="42"/>
      <c r="AA111" s="67"/>
      <c r="AB111" s="67"/>
      <c r="AC111" s="67"/>
    </row>
    <row r="112" spans="1:68" ht="14.25" customHeight="1" x14ac:dyDescent="0.25">
      <c r="A112" s="556" t="s">
        <v>84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66"/>
      <c r="AB112" s="66"/>
      <c r="AC112" s="80"/>
    </row>
    <row r="113" spans="1:68" ht="16.5" customHeight="1" x14ac:dyDescent="0.25">
      <c r="A113" s="63" t="s">
        <v>220</v>
      </c>
      <c r="B113" s="63" t="s">
        <v>221</v>
      </c>
      <c r="C113" s="36">
        <v>4301051724</v>
      </c>
      <c r="D113" s="557">
        <v>4607091385168</v>
      </c>
      <c r="E113" s="557"/>
      <c r="F113" s="62">
        <v>1.35</v>
      </c>
      <c r="G113" s="37">
        <v>6</v>
      </c>
      <c r="H113" s="62">
        <v>8.1</v>
      </c>
      <c r="I113" s="62">
        <v>8.6129999999999995</v>
      </c>
      <c r="J113" s="37">
        <v>64</v>
      </c>
      <c r="K113" s="37" t="s">
        <v>117</v>
      </c>
      <c r="L113" s="37" t="s">
        <v>118</v>
      </c>
      <c r="M113" s="38" t="s">
        <v>96</v>
      </c>
      <c r="N113" s="38"/>
      <c r="O113" s="37">
        <v>45</v>
      </c>
      <c r="P113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9"/>
      <c r="R113" s="559"/>
      <c r="S113" s="559"/>
      <c r="T113" s="560"/>
      <c r="U113" s="39" t="s">
        <v>45</v>
      </c>
      <c r="V113" s="39" t="s">
        <v>45</v>
      </c>
      <c r="W113" s="40" t="s">
        <v>0</v>
      </c>
      <c r="X113" s="58">
        <v>81</v>
      </c>
      <c r="Y113" s="55">
        <f>IFERROR(IF(X113="",0,CEILING((X113/$H113),1)*$H113),"")</f>
        <v>81</v>
      </c>
      <c r="Z113" s="41">
        <f>IFERROR(IF(Y113=0,"",ROUNDUP(Y113/H113,0)*0.01898),"")</f>
        <v>0.1898</v>
      </c>
      <c r="AA113" s="68" t="s">
        <v>45</v>
      </c>
      <c r="AB113" s="69" t="s">
        <v>45</v>
      </c>
      <c r="AC113" s="174" t="s">
        <v>222</v>
      </c>
      <c r="AG113" s="78"/>
      <c r="AJ113" s="84" t="s">
        <v>101</v>
      </c>
      <c r="AK113" s="84">
        <v>64.8</v>
      </c>
      <c r="BB113" s="175" t="s">
        <v>66</v>
      </c>
      <c r="BM113" s="78">
        <f>IFERROR(X113*I113/H113,"0")</f>
        <v>86.13000000000001</v>
      </c>
      <c r="BN113" s="78">
        <f>IFERROR(Y113*I113/H113,"0")</f>
        <v>86.13000000000001</v>
      </c>
      <c r="BO113" s="78">
        <f>IFERROR(1/J113*(X113/H113),"0")</f>
        <v>0.15625</v>
      </c>
      <c r="BP113" s="78">
        <f>IFERROR(1/J113*(Y113/H113),"0")</f>
        <v>0.15625</v>
      </c>
    </row>
    <row r="114" spans="1:68" ht="27" customHeight="1" x14ac:dyDescent="0.25">
      <c r="A114" s="63" t="s">
        <v>223</v>
      </c>
      <c r="B114" s="63" t="s">
        <v>224</v>
      </c>
      <c r="C114" s="36">
        <v>4301051730</v>
      </c>
      <c r="D114" s="557">
        <v>4607091383256</v>
      </c>
      <c r="E114" s="557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89</v>
      </c>
      <c r="L114" s="37" t="s">
        <v>100</v>
      </c>
      <c r="M114" s="38" t="s">
        <v>96</v>
      </c>
      <c r="N114" s="38"/>
      <c r="O114" s="37">
        <v>45</v>
      </c>
      <c r="P114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9"/>
      <c r="R114" s="559"/>
      <c r="S114" s="559"/>
      <c r="T114" s="560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222</v>
      </c>
      <c r="AG114" s="78"/>
      <c r="AJ114" s="84" t="s">
        <v>101</v>
      </c>
      <c r="AK114" s="84">
        <v>27.72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225</v>
      </c>
      <c r="B115" s="63" t="s">
        <v>226</v>
      </c>
      <c r="C115" s="36">
        <v>4301051721</v>
      </c>
      <c r="D115" s="557">
        <v>4607091385748</v>
      </c>
      <c r="E115" s="557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89</v>
      </c>
      <c r="L115" s="37" t="s">
        <v>100</v>
      </c>
      <c r="M115" s="38" t="s">
        <v>96</v>
      </c>
      <c r="N115" s="38"/>
      <c r="O115" s="37">
        <v>45</v>
      </c>
      <c r="P115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9"/>
      <c r="R115" s="559"/>
      <c r="S115" s="559"/>
      <c r="T115" s="560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222</v>
      </c>
      <c r="AG115" s="78"/>
      <c r="AJ115" s="84" t="s">
        <v>101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227</v>
      </c>
      <c r="B116" s="63" t="s">
        <v>228</v>
      </c>
      <c r="C116" s="36">
        <v>4301051740</v>
      </c>
      <c r="D116" s="557">
        <v>4680115884533</v>
      </c>
      <c r="E116" s="557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89</v>
      </c>
      <c r="L116" s="37" t="s">
        <v>100</v>
      </c>
      <c r="M116" s="38" t="s">
        <v>88</v>
      </c>
      <c r="N116" s="38"/>
      <c r="O116" s="37">
        <v>45</v>
      </c>
      <c r="P116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9"/>
      <c r="R116" s="559"/>
      <c r="S116" s="559"/>
      <c r="T116" s="56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229</v>
      </c>
      <c r="AG116" s="78"/>
      <c r="AJ116" s="84" t="s">
        <v>101</v>
      </c>
      <c r="AK116" s="84">
        <v>25.2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564"/>
      <c r="B117" s="564"/>
      <c r="C117" s="564"/>
      <c r="D117" s="564"/>
      <c r="E117" s="564"/>
      <c r="F117" s="564"/>
      <c r="G117" s="564"/>
      <c r="H117" s="564"/>
      <c r="I117" s="564"/>
      <c r="J117" s="564"/>
      <c r="K117" s="564"/>
      <c r="L117" s="564"/>
      <c r="M117" s="564"/>
      <c r="N117" s="564"/>
      <c r="O117" s="565"/>
      <c r="P117" s="561" t="s">
        <v>40</v>
      </c>
      <c r="Q117" s="562"/>
      <c r="R117" s="562"/>
      <c r="S117" s="562"/>
      <c r="T117" s="562"/>
      <c r="U117" s="562"/>
      <c r="V117" s="563"/>
      <c r="W117" s="42" t="s">
        <v>39</v>
      </c>
      <c r="X117" s="43">
        <f>IFERROR(X113/H113,"0")+IFERROR(X114/H114,"0")+IFERROR(X115/H115,"0")+IFERROR(X116/H116,"0")</f>
        <v>10</v>
      </c>
      <c r="Y117" s="43">
        <f>IFERROR(Y113/H113,"0")+IFERROR(Y114/H114,"0")+IFERROR(Y115/H115,"0")+IFERROR(Y116/H116,"0")</f>
        <v>10</v>
      </c>
      <c r="Z117" s="43">
        <f>IFERROR(IF(Z113="",0,Z113),"0")+IFERROR(IF(Z114="",0,Z114),"0")+IFERROR(IF(Z115="",0,Z115),"0")+IFERROR(IF(Z116="",0,Z116),"0")</f>
        <v>0.1898</v>
      </c>
      <c r="AA117" s="67"/>
      <c r="AB117" s="67"/>
      <c r="AC117" s="67"/>
    </row>
    <row r="118" spans="1:68" x14ac:dyDescent="0.2">
      <c r="A118" s="564"/>
      <c r="B118" s="564"/>
      <c r="C118" s="564"/>
      <c r="D118" s="564"/>
      <c r="E118" s="564"/>
      <c r="F118" s="564"/>
      <c r="G118" s="564"/>
      <c r="H118" s="564"/>
      <c r="I118" s="564"/>
      <c r="J118" s="564"/>
      <c r="K118" s="564"/>
      <c r="L118" s="564"/>
      <c r="M118" s="564"/>
      <c r="N118" s="564"/>
      <c r="O118" s="565"/>
      <c r="P118" s="561" t="s">
        <v>40</v>
      </c>
      <c r="Q118" s="562"/>
      <c r="R118" s="562"/>
      <c r="S118" s="562"/>
      <c r="T118" s="562"/>
      <c r="U118" s="562"/>
      <c r="V118" s="563"/>
      <c r="W118" s="42" t="s">
        <v>0</v>
      </c>
      <c r="X118" s="43">
        <f>IFERROR(SUM(X113:X116),"0")</f>
        <v>81</v>
      </c>
      <c r="Y118" s="43">
        <f>IFERROR(SUM(Y113:Y116),"0")</f>
        <v>81</v>
      </c>
      <c r="Z118" s="42"/>
      <c r="AA118" s="67"/>
      <c r="AB118" s="67"/>
      <c r="AC118" s="67"/>
    </row>
    <row r="119" spans="1:68" ht="14.25" customHeight="1" x14ac:dyDescent="0.25">
      <c r="A119" s="556" t="s">
        <v>177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66"/>
      <c r="AB119" s="66"/>
      <c r="AC119" s="80"/>
    </row>
    <row r="120" spans="1:68" ht="16.5" customHeight="1" x14ac:dyDescent="0.25">
      <c r="A120" s="63" t="s">
        <v>230</v>
      </c>
      <c r="B120" s="63" t="s">
        <v>231</v>
      </c>
      <c r="C120" s="36">
        <v>4301060317</v>
      </c>
      <c r="D120" s="557">
        <v>4680115880238</v>
      </c>
      <c r="E120" s="557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89</v>
      </c>
      <c r="L120" s="37" t="s">
        <v>100</v>
      </c>
      <c r="M120" s="38" t="s">
        <v>88</v>
      </c>
      <c r="N120" s="38"/>
      <c r="O120" s="37">
        <v>40</v>
      </c>
      <c r="P120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9"/>
      <c r="R120" s="559"/>
      <c r="S120" s="559"/>
      <c r="T120" s="560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232</v>
      </c>
      <c r="AG120" s="78"/>
      <c r="AJ120" s="84" t="s">
        <v>101</v>
      </c>
      <c r="AK120" s="84">
        <v>27.72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564"/>
      <c r="B121" s="564"/>
      <c r="C121" s="564"/>
      <c r="D121" s="564"/>
      <c r="E121" s="564"/>
      <c r="F121" s="564"/>
      <c r="G121" s="564"/>
      <c r="H121" s="564"/>
      <c r="I121" s="564"/>
      <c r="J121" s="564"/>
      <c r="K121" s="564"/>
      <c r="L121" s="564"/>
      <c r="M121" s="564"/>
      <c r="N121" s="564"/>
      <c r="O121" s="565"/>
      <c r="P121" s="561" t="s">
        <v>40</v>
      </c>
      <c r="Q121" s="562"/>
      <c r="R121" s="562"/>
      <c r="S121" s="562"/>
      <c r="T121" s="562"/>
      <c r="U121" s="562"/>
      <c r="V121" s="563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564"/>
      <c r="B122" s="564"/>
      <c r="C122" s="564"/>
      <c r="D122" s="564"/>
      <c r="E122" s="564"/>
      <c r="F122" s="564"/>
      <c r="G122" s="564"/>
      <c r="H122" s="564"/>
      <c r="I122" s="564"/>
      <c r="J122" s="564"/>
      <c r="K122" s="564"/>
      <c r="L122" s="564"/>
      <c r="M122" s="564"/>
      <c r="N122" s="564"/>
      <c r="O122" s="565"/>
      <c r="P122" s="561" t="s">
        <v>40</v>
      </c>
      <c r="Q122" s="562"/>
      <c r="R122" s="562"/>
      <c r="S122" s="562"/>
      <c r="T122" s="562"/>
      <c r="U122" s="562"/>
      <c r="V122" s="563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572" t="s">
        <v>233</v>
      </c>
      <c r="B123" s="572"/>
      <c r="C123" s="572"/>
      <c r="D123" s="572"/>
      <c r="E123" s="572"/>
      <c r="F123" s="572"/>
      <c r="G123" s="572"/>
      <c r="H123" s="572"/>
      <c r="I123" s="572"/>
      <c r="J123" s="572"/>
      <c r="K123" s="572"/>
      <c r="L123" s="572"/>
      <c r="M123" s="572"/>
      <c r="N123" s="572"/>
      <c r="O123" s="572"/>
      <c r="P123" s="572"/>
      <c r="Q123" s="572"/>
      <c r="R123" s="572"/>
      <c r="S123" s="572"/>
      <c r="T123" s="572"/>
      <c r="U123" s="572"/>
      <c r="V123" s="572"/>
      <c r="W123" s="572"/>
      <c r="X123" s="572"/>
      <c r="Y123" s="572"/>
      <c r="Z123" s="572"/>
      <c r="AA123" s="65"/>
      <c r="AB123" s="65"/>
      <c r="AC123" s="79"/>
    </row>
    <row r="124" spans="1:68" ht="14.25" customHeight="1" x14ac:dyDescent="0.25">
      <c r="A124" s="556" t="s">
        <v>112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66"/>
      <c r="AB124" s="66"/>
      <c r="AC124" s="80"/>
    </row>
    <row r="125" spans="1:68" ht="27" customHeight="1" x14ac:dyDescent="0.25">
      <c r="A125" s="63" t="s">
        <v>234</v>
      </c>
      <c r="B125" s="63" t="s">
        <v>235</v>
      </c>
      <c r="C125" s="36">
        <v>4301011562</v>
      </c>
      <c r="D125" s="557">
        <v>4680115882577</v>
      </c>
      <c r="E125" s="557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100</v>
      </c>
      <c r="M125" s="38" t="s">
        <v>109</v>
      </c>
      <c r="N125" s="38"/>
      <c r="O125" s="37">
        <v>90</v>
      </c>
      <c r="P125" s="7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9"/>
      <c r="R125" s="559"/>
      <c r="S125" s="559"/>
      <c r="T125" s="560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236</v>
      </c>
      <c r="AG125" s="78"/>
      <c r="AJ125" s="84" t="s">
        <v>101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234</v>
      </c>
      <c r="B126" s="63" t="s">
        <v>237</v>
      </c>
      <c r="C126" s="36">
        <v>4301011564</v>
      </c>
      <c r="D126" s="557">
        <v>4680115882577</v>
      </c>
      <c r="E126" s="557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89</v>
      </c>
      <c r="L126" s="37" t="s">
        <v>100</v>
      </c>
      <c r="M126" s="38" t="s">
        <v>109</v>
      </c>
      <c r="N126" s="38"/>
      <c r="O126" s="37">
        <v>90</v>
      </c>
      <c r="P126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9"/>
      <c r="R126" s="559"/>
      <c r="S126" s="559"/>
      <c r="T126" s="560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236</v>
      </c>
      <c r="AG126" s="78"/>
      <c r="AJ126" s="84" t="s">
        <v>101</v>
      </c>
      <c r="AK126" s="84">
        <v>44.8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564"/>
      <c r="B127" s="564"/>
      <c r="C127" s="564"/>
      <c r="D127" s="564"/>
      <c r="E127" s="564"/>
      <c r="F127" s="564"/>
      <c r="G127" s="564"/>
      <c r="H127" s="564"/>
      <c r="I127" s="564"/>
      <c r="J127" s="564"/>
      <c r="K127" s="564"/>
      <c r="L127" s="564"/>
      <c r="M127" s="564"/>
      <c r="N127" s="564"/>
      <c r="O127" s="565"/>
      <c r="P127" s="561" t="s">
        <v>40</v>
      </c>
      <c r="Q127" s="562"/>
      <c r="R127" s="562"/>
      <c r="S127" s="562"/>
      <c r="T127" s="562"/>
      <c r="U127" s="562"/>
      <c r="V127" s="563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564"/>
      <c r="B128" s="564"/>
      <c r="C128" s="564"/>
      <c r="D128" s="564"/>
      <c r="E128" s="564"/>
      <c r="F128" s="564"/>
      <c r="G128" s="564"/>
      <c r="H128" s="564"/>
      <c r="I128" s="564"/>
      <c r="J128" s="564"/>
      <c r="K128" s="564"/>
      <c r="L128" s="564"/>
      <c r="M128" s="564"/>
      <c r="N128" s="564"/>
      <c r="O128" s="565"/>
      <c r="P128" s="561" t="s">
        <v>40</v>
      </c>
      <c r="Q128" s="562"/>
      <c r="R128" s="562"/>
      <c r="S128" s="562"/>
      <c r="T128" s="562"/>
      <c r="U128" s="562"/>
      <c r="V128" s="563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556" t="s">
        <v>78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66"/>
      <c r="AB129" s="66"/>
      <c r="AC129" s="80"/>
    </row>
    <row r="130" spans="1:68" ht="27" customHeight="1" x14ac:dyDescent="0.25">
      <c r="A130" s="63" t="s">
        <v>238</v>
      </c>
      <c r="B130" s="63" t="s">
        <v>239</v>
      </c>
      <c r="C130" s="36">
        <v>4301031235</v>
      </c>
      <c r="D130" s="557">
        <v>4680115883444</v>
      </c>
      <c r="E130" s="557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100</v>
      </c>
      <c r="M130" s="38" t="s">
        <v>109</v>
      </c>
      <c r="N130" s="38"/>
      <c r="O130" s="37">
        <v>90</v>
      </c>
      <c r="P130" s="75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9"/>
      <c r="R130" s="559"/>
      <c r="S130" s="559"/>
      <c r="T130" s="560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240</v>
      </c>
      <c r="AG130" s="78"/>
      <c r="AJ130" s="84" t="s">
        <v>101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238</v>
      </c>
      <c r="B131" s="63" t="s">
        <v>241</v>
      </c>
      <c r="C131" s="36">
        <v>4301031234</v>
      </c>
      <c r="D131" s="557">
        <v>4680115883444</v>
      </c>
      <c r="E131" s="557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89</v>
      </c>
      <c r="L131" s="37" t="s">
        <v>100</v>
      </c>
      <c r="M131" s="38" t="s">
        <v>109</v>
      </c>
      <c r="N131" s="38"/>
      <c r="O131" s="37">
        <v>90</v>
      </c>
      <c r="P131" s="7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9"/>
      <c r="R131" s="559"/>
      <c r="S131" s="559"/>
      <c r="T131" s="560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240</v>
      </c>
      <c r="AG131" s="78"/>
      <c r="AJ131" s="84" t="s">
        <v>101</v>
      </c>
      <c r="AK131" s="84">
        <v>39.200000000000003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564"/>
      <c r="B132" s="564"/>
      <c r="C132" s="564"/>
      <c r="D132" s="564"/>
      <c r="E132" s="564"/>
      <c r="F132" s="564"/>
      <c r="G132" s="564"/>
      <c r="H132" s="564"/>
      <c r="I132" s="564"/>
      <c r="J132" s="564"/>
      <c r="K132" s="564"/>
      <c r="L132" s="564"/>
      <c r="M132" s="564"/>
      <c r="N132" s="564"/>
      <c r="O132" s="565"/>
      <c r="P132" s="561" t="s">
        <v>40</v>
      </c>
      <c r="Q132" s="562"/>
      <c r="R132" s="562"/>
      <c r="S132" s="562"/>
      <c r="T132" s="562"/>
      <c r="U132" s="562"/>
      <c r="V132" s="563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564"/>
      <c r="B133" s="564"/>
      <c r="C133" s="564"/>
      <c r="D133" s="564"/>
      <c r="E133" s="564"/>
      <c r="F133" s="564"/>
      <c r="G133" s="564"/>
      <c r="H133" s="564"/>
      <c r="I133" s="564"/>
      <c r="J133" s="564"/>
      <c r="K133" s="564"/>
      <c r="L133" s="564"/>
      <c r="M133" s="564"/>
      <c r="N133" s="564"/>
      <c r="O133" s="565"/>
      <c r="P133" s="561" t="s">
        <v>40</v>
      </c>
      <c r="Q133" s="562"/>
      <c r="R133" s="562"/>
      <c r="S133" s="562"/>
      <c r="T133" s="562"/>
      <c r="U133" s="562"/>
      <c r="V133" s="563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556" t="s">
        <v>84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66"/>
      <c r="AB134" s="66"/>
      <c r="AC134" s="80"/>
    </row>
    <row r="135" spans="1:68" ht="16.5" customHeight="1" x14ac:dyDescent="0.25">
      <c r="A135" s="63" t="s">
        <v>242</v>
      </c>
      <c r="B135" s="63" t="s">
        <v>243</v>
      </c>
      <c r="C135" s="36">
        <v>4301051477</v>
      </c>
      <c r="D135" s="557">
        <v>4680115882584</v>
      </c>
      <c r="E135" s="557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109</v>
      </c>
      <c r="N135" s="38"/>
      <c r="O135" s="37">
        <v>60</v>
      </c>
      <c r="P135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9"/>
      <c r="R135" s="559"/>
      <c r="S135" s="559"/>
      <c r="T135" s="560"/>
      <c r="U135" s="39" t="s">
        <v>45</v>
      </c>
      <c r="V135" s="39" t="s">
        <v>45</v>
      </c>
      <c r="W135" s="40" t="s">
        <v>0</v>
      </c>
      <c r="X135" s="58">
        <v>5.28</v>
      </c>
      <c r="Y135" s="55">
        <f>IFERROR(IF(X135="",0,CEILING((X135/$H135),1)*$H135),"")</f>
        <v>5.28</v>
      </c>
      <c r="Z135" s="41">
        <f>IFERROR(IF(Y135=0,"",ROUNDUP(Y135/H135,0)*0.00651),"")</f>
        <v>1.302E-2</v>
      </c>
      <c r="AA135" s="68" t="s">
        <v>45</v>
      </c>
      <c r="AB135" s="69" t="s">
        <v>45</v>
      </c>
      <c r="AC135" s="192" t="s">
        <v>236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5.8159999999999998</v>
      </c>
      <c r="BN135" s="78">
        <f>IFERROR(Y135*I135/H135,"0")</f>
        <v>5.8159999999999998</v>
      </c>
      <c r="BO135" s="78">
        <f>IFERROR(1/J135*(X135/H135),"0")</f>
        <v>1.098901098901099E-2</v>
      </c>
      <c r="BP135" s="78">
        <f>IFERROR(1/J135*(Y135/H135),"0")</f>
        <v>1.098901098901099E-2</v>
      </c>
    </row>
    <row r="136" spans="1:68" ht="16.5" customHeight="1" x14ac:dyDescent="0.25">
      <c r="A136" s="63" t="s">
        <v>242</v>
      </c>
      <c r="B136" s="63" t="s">
        <v>244</v>
      </c>
      <c r="C136" s="36">
        <v>4301051476</v>
      </c>
      <c r="D136" s="557">
        <v>4680115882584</v>
      </c>
      <c r="E136" s="557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89</v>
      </c>
      <c r="L136" s="37" t="s">
        <v>100</v>
      </c>
      <c r="M136" s="38" t="s">
        <v>109</v>
      </c>
      <c r="N136" s="38"/>
      <c r="O136" s="37">
        <v>60</v>
      </c>
      <c r="P136" s="7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9"/>
      <c r="R136" s="559"/>
      <c r="S136" s="559"/>
      <c r="T136" s="560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236</v>
      </c>
      <c r="AG136" s="78"/>
      <c r="AJ136" s="84" t="s">
        <v>101</v>
      </c>
      <c r="AK136" s="84">
        <v>36.96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564"/>
      <c r="B137" s="564"/>
      <c r="C137" s="564"/>
      <c r="D137" s="564"/>
      <c r="E137" s="564"/>
      <c r="F137" s="564"/>
      <c r="G137" s="564"/>
      <c r="H137" s="564"/>
      <c r="I137" s="564"/>
      <c r="J137" s="564"/>
      <c r="K137" s="564"/>
      <c r="L137" s="564"/>
      <c r="M137" s="564"/>
      <c r="N137" s="564"/>
      <c r="O137" s="565"/>
      <c r="P137" s="561" t="s">
        <v>40</v>
      </c>
      <c r="Q137" s="562"/>
      <c r="R137" s="562"/>
      <c r="S137" s="562"/>
      <c r="T137" s="562"/>
      <c r="U137" s="562"/>
      <c r="V137" s="563"/>
      <c r="W137" s="42" t="s">
        <v>39</v>
      </c>
      <c r="X137" s="43">
        <f>IFERROR(X135/H135,"0")+IFERROR(X136/H136,"0")</f>
        <v>2</v>
      </c>
      <c r="Y137" s="43">
        <f>IFERROR(Y135/H135,"0")+IFERROR(Y136/H136,"0")</f>
        <v>2</v>
      </c>
      <c r="Z137" s="43">
        <f>IFERROR(IF(Z135="",0,Z135),"0")+IFERROR(IF(Z136="",0,Z136),"0")</f>
        <v>1.302E-2</v>
      </c>
      <c r="AA137" s="67"/>
      <c r="AB137" s="67"/>
      <c r="AC137" s="67"/>
    </row>
    <row r="138" spans="1:68" x14ac:dyDescent="0.2">
      <c r="A138" s="564"/>
      <c r="B138" s="564"/>
      <c r="C138" s="564"/>
      <c r="D138" s="564"/>
      <c r="E138" s="564"/>
      <c r="F138" s="564"/>
      <c r="G138" s="564"/>
      <c r="H138" s="564"/>
      <c r="I138" s="564"/>
      <c r="J138" s="564"/>
      <c r="K138" s="564"/>
      <c r="L138" s="564"/>
      <c r="M138" s="564"/>
      <c r="N138" s="564"/>
      <c r="O138" s="565"/>
      <c r="P138" s="561" t="s">
        <v>40</v>
      </c>
      <c r="Q138" s="562"/>
      <c r="R138" s="562"/>
      <c r="S138" s="562"/>
      <c r="T138" s="562"/>
      <c r="U138" s="562"/>
      <c r="V138" s="563"/>
      <c r="W138" s="42" t="s">
        <v>0</v>
      </c>
      <c r="X138" s="43">
        <f>IFERROR(SUM(X135:X136),"0")</f>
        <v>5.28</v>
      </c>
      <c r="Y138" s="43">
        <f>IFERROR(SUM(Y135:Y136),"0")</f>
        <v>5.28</v>
      </c>
      <c r="Z138" s="42"/>
      <c r="AA138" s="67"/>
      <c r="AB138" s="67"/>
      <c r="AC138" s="67"/>
    </row>
    <row r="139" spans="1:68" ht="16.5" customHeight="1" x14ac:dyDescent="0.25">
      <c r="A139" s="572" t="s">
        <v>110</v>
      </c>
      <c r="B139" s="572"/>
      <c r="C139" s="572"/>
      <c r="D139" s="572"/>
      <c r="E139" s="572"/>
      <c r="F139" s="572"/>
      <c r="G139" s="572"/>
      <c r="H139" s="572"/>
      <c r="I139" s="572"/>
      <c r="J139" s="572"/>
      <c r="K139" s="572"/>
      <c r="L139" s="572"/>
      <c r="M139" s="572"/>
      <c r="N139" s="572"/>
      <c r="O139" s="572"/>
      <c r="P139" s="572"/>
      <c r="Q139" s="572"/>
      <c r="R139" s="572"/>
      <c r="S139" s="572"/>
      <c r="T139" s="572"/>
      <c r="U139" s="572"/>
      <c r="V139" s="572"/>
      <c r="W139" s="572"/>
      <c r="X139" s="572"/>
      <c r="Y139" s="572"/>
      <c r="Z139" s="572"/>
      <c r="AA139" s="65"/>
      <c r="AB139" s="65"/>
      <c r="AC139" s="79"/>
    </row>
    <row r="140" spans="1:68" ht="14.25" customHeight="1" x14ac:dyDescent="0.25">
      <c r="A140" s="556" t="s">
        <v>112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66"/>
      <c r="AB140" s="66"/>
      <c r="AC140" s="80"/>
    </row>
    <row r="141" spans="1:68" ht="27" customHeight="1" x14ac:dyDescent="0.25">
      <c r="A141" s="63" t="s">
        <v>245</v>
      </c>
      <c r="B141" s="63" t="s">
        <v>246</v>
      </c>
      <c r="C141" s="36">
        <v>4301012244</v>
      </c>
      <c r="D141" s="557">
        <v>4680115887374</v>
      </c>
      <c r="E141" s="557"/>
      <c r="F141" s="62">
        <v>1.6</v>
      </c>
      <c r="G141" s="37">
        <v>8</v>
      </c>
      <c r="H141" s="62">
        <v>12.8</v>
      </c>
      <c r="I141" s="62">
        <v>13.234999999999999</v>
      </c>
      <c r="J141" s="37">
        <v>64</v>
      </c>
      <c r="K141" s="37" t="s">
        <v>117</v>
      </c>
      <c r="L141" s="37" t="s">
        <v>45</v>
      </c>
      <c r="M141" s="38" t="s">
        <v>116</v>
      </c>
      <c r="N141" s="38"/>
      <c r="O141" s="37">
        <v>55</v>
      </c>
      <c r="P141" s="7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9"/>
      <c r="R141" s="559"/>
      <c r="S141" s="559"/>
      <c r="T141" s="560"/>
      <c r="U141" s="39" t="s">
        <v>45</v>
      </c>
      <c r="V141" s="39" t="s">
        <v>45</v>
      </c>
      <c r="W141" s="40" t="s">
        <v>0</v>
      </c>
      <c r="X141" s="58">
        <v>38.4</v>
      </c>
      <c r="Y141" s="55">
        <f>IFERROR(IF(X141="",0,CEILING((X141/$H141),1)*$H141),"")</f>
        <v>38.400000000000006</v>
      </c>
      <c r="Z141" s="41">
        <f>IFERROR(IF(Y141=0,"",ROUNDUP(Y141/H141,0)*0.01898),"")</f>
        <v>5.6940000000000004E-2</v>
      </c>
      <c r="AA141" s="68" t="s">
        <v>45</v>
      </c>
      <c r="AB141" s="69" t="s">
        <v>248</v>
      </c>
      <c r="AC141" s="196" t="s">
        <v>247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39.704999999999991</v>
      </c>
      <c r="BN141" s="78">
        <f>IFERROR(Y141*I141/H141,"0")</f>
        <v>39.704999999999998</v>
      </c>
      <c r="BO141" s="78">
        <f>IFERROR(1/J141*(X141/H141),"0")</f>
        <v>4.6874999999999993E-2</v>
      </c>
      <c r="BP141" s="78">
        <f>IFERROR(1/J141*(Y141/H141),"0")</f>
        <v>4.6875000000000007E-2</v>
      </c>
    </row>
    <row r="142" spans="1:68" ht="27" customHeight="1" x14ac:dyDescent="0.25">
      <c r="A142" s="63" t="s">
        <v>249</v>
      </c>
      <c r="B142" s="63" t="s">
        <v>250</v>
      </c>
      <c r="C142" s="36">
        <v>4301011705</v>
      </c>
      <c r="D142" s="557">
        <v>4607091384604</v>
      </c>
      <c r="E142" s="557"/>
      <c r="F142" s="62">
        <v>0.4</v>
      </c>
      <c r="G142" s="37">
        <v>10</v>
      </c>
      <c r="H142" s="62">
        <v>4</v>
      </c>
      <c r="I142" s="62">
        <v>4.21</v>
      </c>
      <c r="J142" s="37">
        <v>132</v>
      </c>
      <c r="K142" s="37" t="s">
        <v>121</v>
      </c>
      <c r="L142" s="37" t="s">
        <v>122</v>
      </c>
      <c r="M142" s="38" t="s">
        <v>116</v>
      </c>
      <c r="N142" s="38"/>
      <c r="O142" s="37">
        <v>50</v>
      </c>
      <c r="P142" s="7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9"/>
      <c r="R142" s="559"/>
      <c r="S142" s="559"/>
      <c r="T142" s="560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251</v>
      </c>
      <c r="AG142" s="78"/>
      <c r="AJ142" s="84" t="s">
        <v>101</v>
      </c>
      <c r="AK142" s="84">
        <v>48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252</v>
      </c>
      <c r="B143" s="63" t="s">
        <v>253</v>
      </c>
      <c r="C143" s="36">
        <v>4301012179</v>
      </c>
      <c r="D143" s="557">
        <v>4680115886810</v>
      </c>
      <c r="E143" s="557"/>
      <c r="F143" s="62">
        <v>0.3</v>
      </c>
      <c r="G143" s="37">
        <v>10</v>
      </c>
      <c r="H143" s="62">
        <v>3</v>
      </c>
      <c r="I143" s="62">
        <v>3.18</v>
      </c>
      <c r="J143" s="37">
        <v>182</v>
      </c>
      <c r="K143" s="37" t="s">
        <v>89</v>
      </c>
      <c r="L143" s="37" t="s">
        <v>45</v>
      </c>
      <c r="M143" s="38" t="s">
        <v>116</v>
      </c>
      <c r="N143" s="38"/>
      <c r="O143" s="37">
        <v>55</v>
      </c>
      <c r="P143" s="74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9"/>
      <c r="R143" s="559"/>
      <c r="S143" s="559"/>
      <c r="T143" s="560"/>
      <c r="U143" s="39" t="s">
        <v>45</v>
      </c>
      <c r="V143" s="39" t="s">
        <v>45</v>
      </c>
      <c r="W143" s="40" t="s">
        <v>0</v>
      </c>
      <c r="X143" s="58">
        <v>9</v>
      </c>
      <c r="Y143" s="55">
        <f>IFERROR(IF(X143="",0,CEILING((X143/$H143),1)*$H143),"")</f>
        <v>9</v>
      </c>
      <c r="Z143" s="41">
        <f>IFERROR(IF(Y143=0,"",ROUNDUP(Y143/H143,0)*0.00651),"")</f>
        <v>1.9529999999999999E-2</v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9.5400000000000009</v>
      </c>
      <c r="BN143" s="78">
        <f>IFERROR(Y143*I143/H143,"0")</f>
        <v>9.5400000000000009</v>
      </c>
      <c r="BO143" s="78">
        <f>IFERROR(1/J143*(X143/H143),"0")</f>
        <v>1.6483516483516484E-2</v>
      </c>
      <c r="BP143" s="78">
        <f>IFERROR(1/J143*(Y143/H143),"0")</f>
        <v>1.6483516483516484E-2</v>
      </c>
    </row>
    <row r="144" spans="1:68" x14ac:dyDescent="0.2">
      <c r="A144" s="564"/>
      <c r="B144" s="564"/>
      <c r="C144" s="564"/>
      <c r="D144" s="564"/>
      <c r="E144" s="564"/>
      <c r="F144" s="564"/>
      <c r="G144" s="564"/>
      <c r="H144" s="564"/>
      <c r="I144" s="564"/>
      <c r="J144" s="564"/>
      <c r="K144" s="564"/>
      <c r="L144" s="564"/>
      <c r="M144" s="564"/>
      <c r="N144" s="564"/>
      <c r="O144" s="565"/>
      <c r="P144" s="561" t="s">
        <v>40</v>
      </c>
      <c r="Q144" s="562"/>
      <c r="R144" s="562"/>
      <c r="S144" s="562"/>
      <c r="T144" s="562"/>
      <c r="U144" s="562"/>
      <c r="V144" s="563"/>
      <c r="W144" s="42" t="s">
        <v>39</v>
      </c>
      <c r="X144" s="43">
        <f>IFERROR(X141/H141,"0")+IFERROR(X142/H142,"0")+IFERROR(X143/H143,"0")</f>
        <v>6</v>
      </c>
      <c r="Y144" s="43">
        <f>IFERROR(Y141/H141,"0")+IFERROR(Y142/H142,"0")+IFERROR(Y143/H143,"0")</f>
        <v>6</v>
      </c>
      <c r="Z144" s="43">
        <f>IFERROR(IF(Z141="",0,Z141),"0")+IFERROR(IF(Z142="",0,Z142),"0")+IFERROR(IF(Z143="",0,Z143),"0")</f>
        <v>7.647000000000001E-2</v>
      </c>
      <c r="AA144" s="67"/>
      <c r="AB144" s="67"/>
      <c r="AC144" s="67"/>
    </row>
    <row r="145" spans="1:68" x14ac:dyDescent="0.2">
      <c r="A145" s="564"/>
      <c r="B145" s="564"/>
      <c r="C145" s="564"/>
      <c r="D145" s="564"/>
      <c r="E145" s="564"/>
      <c r="F145" s="564"/>
      <c r="G145" s="564"/>
      <c r="H145" s="564"/>
      <c r="I145" s="564"/>
      <c r="J145" s="564"/>
      <c r="K145" s="564"/>
      <c r="L145" s="564"/>
      <c r="M145" s="564"/>
      <c r="N145" s="564"/>
      <c r="O145" s="565"/>
      <c r="P145" s="561" t="s">
        <v>40</v>
      </c>
      <c r="Q145" s="562"/>
      <c r="R145" s="562"/>
      <c r="S145" s="562"/>
      <c r="T145" s="562"/>
      <c r="U145" s="562"/>
      <c r="V145" s="563"/>
      <c r="W145" s="42" t="s">
        <v>0</v>
      </c>
      <c r="X145" s="43">
        <f>IFERROR(SUM(X141:X143),"0")</f>
        <v>47.4</v>
      </c>
      <c r="Y145" s="43">
        <f>IFERROR(SUM(Y141:Y143),"0")</f>
        <v>47.400000000000006</v>
      </c>
      <c r="Z145" s="42"/>
      <c r="AA145" s="67"/>
      <c r="AB145" s="67"/>
      <c r="AC145" s="67"/>
    </row>
    <row r="146" spans="1:68" ht="14.25" customHeight="1" x14ac:dyDescent="0.25">
      <c r="A146" s="556" t="s">
        <v>78</v>
      </c>
      <c r="B146" s="556"/>
      <c r="C146" s="556"/>
      <c r="D146" s="556"/>
      <c r="E146" s="556"/>
      <c r="F146" s="556"/>
      <c r="G146" s="556"/>
      <c r="H146" s="556"/>
      <c r="I146" s="556"/>
      <c r="J146" s="556"/>
      <c r="K146" s="556"/>
      <c r="L146" s="556"/>
      <c r="M146" s="556"/>
      <c r="N146" s="556"/>
      <c r="O146" s="556"/>
      <c r="P146" s="556"/>
      <c r="Q146" s="556"/>
      <c r="R146" s="556"/>
      <c r="S146" s="556"/>
      <c r="T146" s="556"/>
      <c r="U146" s="556"/>
      <c r="V146" s="556"/>
      <c r="W146" s="556"/>
      <c r="X146" s="556"/>
      <c r="Y146" s="556"/>
      <c r="Z146" s="556"/>
      <c r="AA146" s="66"/>
      <c r="AB146" s="66"/>
      <c r="AC146" s="80"/>
    </row>
    <row r="147" spans="1:68" ht="16.5" customHeight="1" x14ac:dyDescent="0.25">
      <c r="A147" s="63" t="s">
        <v>255</v>
      </c>
      <c r="B147" s="63" t="s">
        <v>256</v>
      </c>
      <c r="C147" s="36">
        <v>4301030895</v>
      </c>
      <c r="D147" s="557">
        <v>4607091387667</v>
      </c>
      <c r="E147" s="557"/>
      <c r="F147" s="62">
        <v>0.9</v>
      </c>
      <c r="G147" s="37">
        <v>10</v>
      </c>
      <c r="H147" s="62">
        <v>9</v>
      </c>
      <c r="I147" s="62">
        <v>9.5850000000000009</v>
      </c>
      <c r="J147" s="37">
        <v>64</v>
      </c>
      <c r="K147" s="37" t="s">
        <v>117</v>
      </c>
      <c r="L147" s="37" t="s">
        <v>118</v>
      </c>
      <c r="M147" s="38" t="s">
        <v>116</v>
      </c>
      <c r="N147" s="38"/>
      <c r="O147" s="37">
        <v>40</v>
      </c>
      <c r="P147" s="74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9"/>
      <c r="R147" s="559"/>
      <c r="S147" s="559"/>
      <c r="T147" s="560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101</v>
      </c>
      <c r="AK147" s="84">
        <v>72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258</v>
      </c>
      <c r="B148" s="63" t="s">
        <v>259</v>
      </c>
      <c r="C148" s="36">
        <v>4301030961</v>
      </c>
      <c r="D148" s="557">
        <v>4607091387636</v>
      </c>
      <c r="E148" s="557"/>
      <c r="F148" s="62">
        <v>0.7</v>
      </c>
      <c r="G148" s="37">
        <v>6</v>
      </c>
      <c r="H148" s="62">
        <v>4.2</v>
      </c>
      <c r="I148" s="62">
        <v>4.47</v>
      </c>
      <c r="J148" s="37">
        <v>182</v>
      </c>
      <c r="K148" s="37" t="s">
        <v>89</v>
      </c>
      <c r="L148" s="37" t="s">
        <v>45</v>
      </c>
      <c r="M148" s="38" t="s">
        <v>82</v>
      </c>
      <c r="N148" s="38"/>
      <c r="O148" s="37">
        <v>40</v>
      </c>
      <c r="P148" s="74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9"/>
      <c r="R148" s="559"/>
      <c r="S148" s="559"/>
      <c r="T148" s="560"/>
      <c r="U148" s="39" t="s">
        <v>45</v>
      </c>
      <c r="V148" s="39" t="s">
        <v>45</v>
      </c>
      <c r="W148" s="40" t="s">
        <v>0</v>
      </c>
      <c r="X148" s="58">
        <v>8.4</v>
      </c>
      <c r="Y148" s="55">
        <f>IFERROR(IF(X148="",0,CEILING((X148/$H148),1)*$H148),"")</f>
        <v>8.4</v>
      </c>
      <c r="Z148" s="41">
        <f>IFERROR(IF(Y148=0,"",ROUNDUP(Y148/H148,0)*0.00651),"")</f>
        <v>1.302E-2</v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8.94</v>
      </c>
      <c r="BN148" s="78">
        <f>IFERROR(Y148*I148/H148,"0")</f>
        <v>8.94</v>
      </c>
      <c r="BO148" s="78">
        <f>IFERROR(1/J148*(X148/H148),"0")</f>
        <v>1.098901098901099E-2</v>
      </c>
      <c r="BP148" s="78">
        <f>IFERROR(1/J148*(Y148/H148),"0")</f>
        <v>1.098901098901099E-2</v>
      </c>
    </row>
    <row r="149" spans="1:68" ht="27" customHeight="1" x14ac:dyDescent="0.25">
      <c r="A149" s="63" t="s">
        <v>261</v>
      </c>
      <c r="B149" s="63" t="s">
        <v>262</v>
      </c>
      <c r="C149" s="36">
        <v>4301030963</v>
      </c>
      <c r="D149" s="557">
        <v>4607091382426</v>
      </c>
      <c r="E149" s="557"/>
      <c r="F149" s="62">
        <v>0.9</v>
      </c>
      <c r="G149" s="37">
        <v>10</v>
      </c>
      <c r="H149" s="62">
        <v>9</v>
      </c>
      <c r="I149" s="62">
        <v>9.5850000000000009</v>
      </c>
      <c r="J149" s="37">
        <v>64</v>
      </c>
      <c r="K149" s="37" t="s">
        <v>117</v>
      </c>
      <c r="L149" s="37" t="s">
        <v>118</v>
      </c>
      <c r="M149" s="38" t="s">
        <v>82</v>
      </c>
      <c r="N149" s="38"/>
      <c r="O149" s="37">
        <v>40</v>
      </c>
      <c r="P149" s="74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9"/>
      <c r="R149" s="559"/>
      <c r="S149" s="559"/>
      <c r="T149" s="560"/>
      <c r="U149" s="39" t="s">
        <v>45</v>
      </c>
      <c r="V149" s="39" t="s">
        <v>45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IFERROR(IF(Y149=0,"",ROUNDUP(Y149/H149,0)*0.01898),"")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101</v>
      </c>
      <c r="AK149" s="84">
        <v>72</v>
      </c>
      <c r="BB149" s="207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564"/>
      <c r="B150" s="564"/>
      <c r="C150" s="564"/>
      <c r="D150" s="564"/>
      <c r="E150" s="564"/>
      <c r="F150" s="564"/>
      <c r="G150" s="564"/>
      <c r="H150" s="564"/>
      <c r="I150" s="564"/>
      <c r="J150" s="564"/>
      <c r="K150" s="564"/>
      <c r="L150" s="564"/>
      <c r="M150" s="564"/>
      <c r="N150" s="564"/>
      <c r="O150" s="565"/>
      <c r="P150" s="561" t="s">
        <v>40</v>
      </c>
      <c r="Q150" s="562"/>
      <c r="R150" s="562"/>
      <c r="S150" s="562"/>
      <c r="T150" s="562"/>
      <c r="U150" s="562"/>
      <c r="V150" s="563"/>
      <c r="W150" s="42" t="s">
        <v>39</v>
      </c>
      <c r="X150" s="43">
        <f>IFERROR(X147/H147,"0")+IFERROR(X148/H148,"0")+IFERROR(X149/H149,"0")</f>
        <v>2</v>
      </c>
      <c r="Y150" s="43">
        <f>IFERROR(Y147/H147,"0")+IFERROR(Y148/H148,"0")+IFERROR(Y149/H149,"0")</f>
        <v>2</v>
      </c>
      <c r="Z150" s="43">
        <f>IFERROR(IF(Z147="",0,Z147),"0")+IFERROR(IF(Z148="",0,Z148),"0")+IFERROR(IF(Z149="",0,Z149),"0")</f>
        <v>1.302E-2</v>
      </c>
      <c r="AA150" s="67"/>
      <c r="AB150" s="67"/>
      <c r="AC150" s="67"/>
    </row>
    <row r="151" spans="1:68" x14ac:dyDescent="0.2">
      <c r="A151" s="564"/>
      <c r="B151" s="564"/>
      <c r="C151" s="564"/>
      <c r="D151" s="564"/>
      <c r="E151" s="564"/>
      <c r="F151" s="564"/>
      <c r="G151" s="564"/>
      <c r="H151" s="564"/>
      <c r="I151" s="564"/>
      <c r="J151" s="564"/>
      <c r="K151" s="564"/>
      <c r="L151" s="564"/>
      <c r="M151" s="564"/>
      <c r="N151" s="564"/>
      <c r="O151" s="565"/>
      <c r="P151" s="561" t="s">
        <v>40</v>
      </c>
      <c r="Q151" s="562"/>
      <c r="R151" s="562"/>
      <c r="S151" s="562"/>
      <c r="T151" s="562"/>
      <c r="U151" s="562"/>
      <c r="V151" s="563"/>
      <c r="W151" s="42" t="s">
        <v>0</v>
      </c>
      <c r="X151" s="43">
        <f>IFERROR(SUM(X147:X149),"0")</f>
        <v>8.4</v>
      </c>
      <c r="Y151" s="43">
        <f>IFERROR(SUM(Y147:Y149),"0")</f>
        <v>8.4</v>
      </c>
      <c r="Z151" s="42"/>
      <c r="AA151" s="67"/>
      <c r="AB151" s="67"/>
      <c r="AC151" s="67"/>
    </row>
    <row r="152" spans="1:68" ht="14.25" customHeight="1" x14ac:dyDescent="0.25">
      <c r="A152" s="556" t="s">
        <v>84</v>
      </c>
      <c r="B152" s="556"/>
      <c r="C152" s="556"/>
      <c r="D152" s="556"/>
      <c r="E152" s="556"/>
      <c r="F152" s="556"/>
      <c r="G152" s="556"/>
      <c r="H152" s="556"/>
      <c r="I152" s="556"/>
      <c r="J152" s="556"/>
      <c r="K152" s="556"/>
      <c r="L152" s="556"/>
      <c r="M152" s="556"/>
      <c r="N152" s="556"/>
      <c r="O152" s="556"/>
      <c r="P152" s="556"/>
      <c r="Q152" s="556"/>
      <c r="R152" s="556"/>
      <c r="S152" s="556"/>
      <c r="T152" s="556"/>
      <c r="U152" s="556"/>
      <c r="V152" s="556"/>
      <c r="W152" s="556"/>
      <c r="X152" s="556"/>
      <c r="Y152" s="556"/>
      <c r="Z152" s="556"/>
      <c r="AA152" s="66"/>
      <c r="AB152" s="66"/>
      <c r="AC152" s="80"/>
    </row>
    <row r="153" spans="1:68" ht="27" customHeight="1" x14ac:dyDescent="0.25">
      <c r="A153" s="63" t="s">
        <v>264</v>
      </c>
      <c r="B153" s="63" t="s">
        <v>265</v>
      </c>
      <c r="C153" s="36">
        <v>4301052064</v>
      </c>
      <c r="D153" s="557">
        <v>4680115887459</v>
      </c>
      <c r="E153" s="557"/>
      <c r="F153" s="62">
        <v>0.3</v>
      </c>
      <c r="G153" s="37">
        <v>6</v>
      </c>
      <c r="H153" s="62">
        <v>1.8</v>
      </c>
      <c r="I153" s="62">
        <v>2.0579999999999998</v>
      </c>
      <c r="J153" s="37">
        <v>182</v>
      </c>
      <c r="K153" s="37" t="s">
        <v>89</v>
      </c>
      <c r="L153" s="37" t="s">
        <v>45</v>
      </c>
      <c r="M153" s="38" t="s">
        <v>88</v>
      </c>
      <c r="N153" s="38"/>
      <c r="O153" s="37">
        <v>45</v>
      </c>
      <c r="P153" s="742" t="s">
        <v>266</v>
      </c>
      <c r="Q153" s="559"/>
      <c r="R153" s="559"/>
      <c r="S153" s="559"/>
      <c r="T153" s="560"/>
      <c r="U153" s="39" t="s">
        <v>45</v>
      </c>
      <c r="V153" s="39" t="s">
        <v>45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45</v>
      </c>
      <c r="AB153" s="69" t="s">
        <v>248</v>
      </c>
      <c r="AC153" s="208" t="s">
        <v>267</v>
      </c>
      <c r="AG153" s="78"/>
      <c r="AJ153" s="84" t="s">
        <v>45</v>
      </c>
      <c r="AK153" s="84">
        <v>0</v>
      </c>
      <c r="BB153" s="209" t="s">
        <v>66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564"/>
      <c r="B154" s="564"/>
      <c r="C154" s="564"/>
      <c r="D154" s="564"/>
      <c r="E154" s="564"/>
      <c r="F154" s="564"/>
      <c r="G154" s="564"/>
      <c r="H154" s="564"/>
      <c r="I154" s="564"/>
      <c r="J154" s="564"/>
      <c r="K154" s="564"/>
      <c r="L154" s="564"/>
      <c r="M154" s="564"/>
      <c r="N154" s="564"/>
      <c r="O154" s="565"/>
      <c r="P154" s="561" t="s">
        <v>40</v>
      </c>
      <c r="Q154" s="562"/>
      <c r="R154" s="562"/>
      <c r="S154" s="562"/>
      <c r="T154" s="562"/>
      <c r="U154" s="562"/>
      <c r="V154" s="563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x14ac:dyDescent="0.2">
      <c r="A155" s="564"/>
      <c r="B155" s="564"/>
      <c r="C155" s="564"/>
      <c r="D155" s="564"/>
      <c r="E155" s="564"/>
      <c r="F155" s="564"/>
      <c r="G155" s="564"/>
      <c r="H155" s="564"/>
      <c r="I155" s="564"/>
      <c r="J155" s="564"/>
      <c r="K155" s="564"/>
      <c r="L155" s="564"/>
      <c r="M155" s="564"/>
      <c r="N155" s="564"/>
      <c r="O155" s="565"/>
      <c r="P155" s="561" t="s">
        <v>40</v>
      </c>
      <c r="Q155" s="562"/>
      <c r="R155" s="562"/>
      <c r="S155" s="562"/>
      <c r="T155" s="562"/>
      <c r="U155" s="562"/>
      <c r="V155" s="563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27.75" customHeight="1" x14ac:dyDescent="0.2">
      <c r="A156" s="581" t="s">
        <v>268</v>
      </c>
      <c r="B156" s="581"/>
      <c r="C156" s="581"/>
      <c r="D156" s="581"/>
      <c r="E156" s="581"/>
      <c r="F156" s="581"/>
      <c r="G156" s="581"/>
      <c r="H156" s="581"/>
      <c r="I156" s="581"/>
      <c r="J156" s="581"/>
      <c r="K156" s="581"/>
      <c r="L156" s="581"/>
      <c r="M156" s="581"/>
      <c r="N156" s="581"/>
      <c r="O156" s="581"/>
      <c r="P156" s="581"/>
      <c r="Q156" s="581"/>
      <c r="R156" s="581"/>
      <c r="S156" s="581"/>
      <c r="T156" s="581"/>
      <c r="U156" s="581"/>
      <c r="V156" s="581"/>
      <c r="W156" s="581"/>
      <c r="X156" s="581"/>
      <c r="Y156" s="581"/>
      <c r="Z156" s="581"/>
      <c r="AA156" s="54"/>
      <c r="AB156" s="54"/>
      <c r="AC156" s="54"/>
    </row>
    <row r="157" spans="1:68" ht="16.5" customHeight="1" x14ac:dyDescent="0.25">
      <c r="A157" s="572" t="s">
        <v>269</v>
      </c>
      <c r="B157" s="572"/>
      <c r="C157" s="572"/>
      <c r="D157" s="572"/>
      <c r="E157" s="572"/>
      <c r="F157" s="572"/>
      <c r="G157" s="572"/>
      <c r="H157" s="572"/>
      <c r="I157" s="572"/>
      <c r="J157" s="572"/>
      <c r="K157" s="572"/>
      <c r="L157" s="572"/>
      <c r="M157" s="572"/>
      <c r="N157" s="572"/>
      <c r="O157" s="572"/>
      <c r="P157" s="572"/>
      <c r="Q157" s="572"/>
      <c r="R157" s="572"/>
      <c r="S157" s="572"/>
      <c r="T157" s="572"/>
      <c r="U157" s="572"/>
      <c r="V157" s="572"/>
      <c r="W157" s="572"/>
      <c r="X157" s="572"/>
      <c r="Y157" s="572"/>
      <c r="Z157" s="572"/>
      <c r="AA157" s="65"/>
      <c r="AB157" s="65"/>
      <c r="AC157" s="79"/>
    </row>
    <row r="158" spans="1:68" ht="14.25" customHeight="1" x14ac:dyDescent="0.25">
      <c r="A158" s="556" t="s">
        <v>147</v>
      </c>
      <c r="B158" s="556"/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6"/>
      <c r="P158" s="556"/>
      <c r="Q158" s="556"/>
      <c r="R158" s="556"/>
      <c r="S158" s="556"/>
      <c r="T158" s="556"/>
      <c r="U158" s="556"/>
      <c r="V158" s="556"/>
      <c r="W158" s="556"/>
      <c r="X158" s="556"/>
      <c r="Y158" s="556"/>
      <c r="Z158" s="556"/>
      <c r="AA158" s="66"/>
      <c r="AB158" s="66"/>
      <c r="AC158" s="80"/>
    </row>
    <row r="159" spans="1:68" ht="27" customHeight="1" x14ac:dyDescent="0.25">
      <c r="A159" s="63" t="s">
        <v>270</v>
      </c>
      <c r="B159" s="63" t="s">
        <v>271</v>
      </c>
      <c r="C159" s="36">
        <v>4301020323</v>
      </c>
      <c r="D159" s="557">
        <v>4680115886223</v>
      </c>
      <c r="E159" s="557"/>
      <c r="F159" s="62">
        <v>0.33</v>
      </c>
      <c r="G159" s="37">
        <v>6</v>
      </c>
      <c r="H159" s="62">
        <v>1.98</v>
      </c>
      <c r="I159" s="62">
        <v>2.08</v>
      </c>
      <c r="J159" s="37">
        <v>234</v>
      </c>
      <c r="K159" s="37" t="s">
        <v>83</v>
      </c>
      <c r="L159" s="37" t="s">
        <v>45</v>
      </c>
      <c r="M159" s="38" t="s">
        <v>82</v>
      </c>
      <c r="N159" s="38"/>
      <c r="O159" s="37">
        <v>40</v>
      </c>
      <c r="P159" s="7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9"/>
      <c r="R159" s="559"/>
      <c r="S159" s="559"/>
      <c r="T159" s="560"/>
      <c r="U159" s="39" t="s">
        <v>45</v>
      </c>
      <c r="V159" s="39" t="s">
        <v>45</v>
      </c>
      <c r="W159" s="40" t="s">
        <v>0</v>
      </c>
      <c r="X159" s="58">
        <v>5.94</v>
      </c>
      <c r="Y159" s="55">
        <f>IFERROR(IF(X159="",0,CEILING((X159/$H159),1)*$H159),"")</f>
        <v>5.9399999999999995</v>
      </c>
      <c r="Z159" s="41">
        <f>IFERROR(IF(Y159=0,"",ROUNDUP(Y159/H159,0)*0.00502),"")</f>
        <v>1.506E-2</v>
      </c>
      <c r="AA159" s="68" t="s">
        <v>45</v>
      </c>
      <c r="AB159" s="69" t="s">
        <v>45</v>
      </c>
      <c r="AC159" s="210" t="s">
        <v>272</v>
      </c>
      <c r="AG159" s="78"/>
      <c r="AJ159" s="84" t="s">
        <v>45</v>
      </c>
      <c r="AK159" s="84">
        <v>0</v>
      </c>
      <c r="BB159" s="211" t="s">
        <v>66</v>
      </c>
      <c r="BM159" s="78">
        <f>IFERROR(X159*I159/H159,"0")</f>
        <v>6.2400000000000011</v>
      </c>
      <c r="BN159" s="78">
        <f>IFERROR(Y159*I159/H159,"0")</f>
        <v>6.24</v>
      </c>
      <c r="BO159" s="78">
        <f>IFERROR(1/J159*(X159/H159),"0")</f>
        <v>1.2820512820512824E-2</v>
      </c>
      <c r="BP159" s="78">
        <f>IFERROR(1/J159*(Y159/H159),"0")</f>
        <v>1.282051282051282E-2</v>
      </c>
    </row>
    <row r="160" spans="1:68" x14ac:dyDescent="0.2">
      <c r="A160" s="564"/>
      <c r="B160" s="564"/>
      <c r="C160" s="564"/>
      <c r="D160" s="564"/>
      <c r="E160" s="564"/>
      <c r="F160" s="564"/>
      <c r="G160" s="564"/>
      <c r="H160" s="564"/>
      <c r="I160" s="564"/>
      <c r="J160" s="564"/>
      <c r="K160" s="564"/>
      <c r="L160" s="564"/>
      <c r="M160" s="564"/>
      <c r="N160" s="564"/>
      <c r="O160" s="565"/>
      <c r="P160" s="561" t="s">
        <v>40</v>
      </c>
      <c r="Q160" s="562"/>
      <c r="R160" s="562"/>
      <c r="S160" s="562"/>
      <c r="T160" s="562"/>
      <c r="U160" s="562"/>
      <c r="V160" s="563"/>
      <c r="W160" s="42" t="s">
        <v>39</v>
      </c>
      <c r="X160" s="43">
        <f>IFERROR(X159/H159,"0")</f>
        <v>3.0000000000000004</v>
      </c>
      <c r="Y160" s="43">
        <f>IFERROR(Y159/H159,"0")</f>
        <v>2.9999999999999996</v>
      </c>
      <c r="Z160" s="43">
        <f>IFERROR(IF(Z159="",0,Z159),"0")</f>
        <v>1.506E-2</v>
      </c>
      <c r="AA160" s="67"/>
      <c r="AB160" s="67"/>
      <c r="AC160" s="67"/>
    </row>
    <row r="161" spans="1:68" x14ac:dyDescent="0.2">
      <c r="A161" s="564"/>
      <c r="B161" s="564"/>
      <c r="C161" s="564"/>
      <c r="D161" s="564"/>
      <c r="E161" s="564"/>
      <c r="F161" s="564"/>
      <c r="G161" s="564"/>
      <c r="H161" s="564"/>
      <c r="I161" s="564"/>
      <c r="J161" s="564"/>
      <c r="K161" s="564"/>
      <c r="L161" s="564"/>
      <c r="M161" s="564"/>
      <c r="N161" s="564"/>
      <c r="O161" s="565"/>
      <c r="P161" s="561" t="s">
        <v>40</v>
      </c>
      <c r="Q161" s="562"/>
      <c r="R161" s="562"/>
      <c r="S161" s="562"/>
      <c r="T161" s="562"/>
      <c r="U161" s="562"/>
      <c r="V161" s="563"/>
      <c r="W161" s="42" t="s">
        <v>0</v>
      </c>
      <c r="X161" s="43">
        <f>IFERROR(SUM(X159:X159),"0")</f>
        <v>5.94</v>
      </c>
      <c r="Y161" s="43">
        <f>IFERROR(SUM(Y159:Y159),"0")</f>
        <v>5.9399999999999995</v>
      </c>
      <c r="Z161" s="42"/>
      <c r="AA161" s="67"/>
      <c r="AB161" s="67"/>
      <c r="AC161" s="67"/>
    </row>
    <row r="162" spans="1:68" ht="14.25" customHeight="1" x14ac:dyDescent="0.25">
      <c r="A162" s="556" t="s">
        <v>78</v>
      </c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56"/>
      <c r="P162" s="556"/>
      <c r="Q162" s="556"/>
      <c r="R162" s="556"/>
      <c r="S162" s="556"/>
      <c r="T162" s="556"/>
      <c r="U162" s="556"/>
      <c r="V162" s="556"/>
      <c r="W162" s="556"/>
      <c r="X162" s="556"/>
      <c r="Y162" s="556"/>
      <c r="Z162" s="556"/>
      <c r="AA162" s="66"/>
      <c r="AB162" s="66"/>
      <c r="AC162" s="80"/>
    </row>
    <row r="163" spans="1:68" ht="27" customHeight="1" x14ac:dyDescent="0.25">
      <c r="A163" s="63" t="s">
        <v>273</v>
      </c>
      <c r="B163" s="63" t="s">
        <v>274</v>
      </c>
      <c r="C163" s="36">
        <v>4301031191</v>
      </c>
      <c r="D163" s="557">
        <v>4680115880993</v>
      </c>
      <c r="E163" s="557"/>
      <c r="F163" s="62">
        <v>0.7</v>
      </c>
      <c r="G163" s="37">
        <v>6</v>
      </c>
      <c r="H163" s="62">
        <v>4.2</v>
      </c>
      <c r="I163" s="62">
        <v>4.47</v>
      </c>
      <c r="J163" s="37">
        <v>132</v>
      </c>
      <c r="K163" s="37" t="s">
        <v>121</v>
      </c>
      <c r="L163" s="37" t="s">
        <v>122</v>
      </c>
      <c r="M163" s="38" t="s">
        <v>82</v>
      </c>
      <c r="N163" s="38"/>
      <c r="O163" s="37">
        <v>40</v>
      </c>
      <c r="P163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9"/>
      <c r="R163" s="559"/>
      <c r="S163" s="559"/>
      <c r="T163" s="560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ref="Y163:Y171" si="5">IFERROR(IF(X163="",0,CEILING((X163/$H163),1)*$H163),"")</f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101</v>
      </c>
      <c r="AK163" s="84">
        <v>50.4</v>
      </c>
      <c r="BB163" s="213" t="s">
        <v>66</v>
      </c>
      <c r="BM163" s="78">
        <f t="shared" ref="BM163:BM171" si="6">IFERROR(X163*I163/H163,"0")</f>
        <v>0</v>
      </c>
      <c r="BN163" s="78">
        <f t="shared" ref="BN163:BN171" si="7">IFERROR(Y163*I163/H163,"0")</f>
        <v>0</v>
      </c>
      <c r="BO163" s="78">
        <f t="shared" ref="BO163:BO171" si="8">IFERROR(1/J163*(X163/H163),"0")</f>
        <v>0</v>
      </c>
      <c r="BP163" s="78">
        <f t="shared" ref="BP163:BP171" si="9">IFERROR(1/J163*(Y163/H163),"0")</f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4301031204</v>
      </c>
      <c r="D164" s="557">
        <v>4680115881761</v>
      </c>
      <c r="E164" s="557"/>
      <c r="F164" s="62">
        <v>0.7</v>
      </c>
      <c r="G164" s="37">
        <v>6</v>
      </c>
      <c r="H164" s="62">
        <v>4.2</v>
      </c>
      <c r="I164" s="62">
        <v>4.47</v>
      </c>
      <c r="J164" s="37">
        <v>132</v>
      </c>
      <c r="K164" s="37" t="s">
        <v>121</v>
      </c>
      <c r="L164" s="37" t="s">
        <v>45</v>
      </c>
      <c r="M164" s="38" t="s">
        <v>82</v>
      </c>
      <c r="N164" s="38"/>
      <c r="O164" s="37">
        <v>40</v>
      </c>
      <c r="P164" s="7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9"/>
      <c r="R164" s="559"/>
      <c r="S164" s="559"/>
      <c r="T164" s="560"/>
      <c r="U164" s="39" t="s">
        <v>45</v>
      </c>
      <c r="V164" s="39" t="s">
        <v>45</v>
      </c>
      <c r="W164" s="40" t="s">
        <v>0</v>
      </c>
      <c r="X164" s="58">
        <v>12.6</v>
      </c>
      <c r="Y164" s="55">
        <f t="shared" si="5"/>
        <v>12.600000000000001</v>
      </c>
      <c r="Z164" s="41">
        <f>IFERROR(IF(Y164=0,"",ROUNDUP(Y164/H164,0)*0.00902),"")</f>
        <v>2.7060000000000001E-2</v>
      </c>
      <c r="AA164" s="68" t="s">
        <v>45</v>
      </c>
      <c r="AB164" s="69" t="s">
        <v>45</v>
      </c>
      <c r="AC164" s="214" t="s">
        <v>278</v>
      </c>
      <c r="AG164" s="78"/>
      <c r="AJ164" s="84" t="s">
        <v>45</v>
      </c>
      <c r="AK164" s="84">
        <v>0</v>
      </c>
      <c r="BB164" s="215" t="s">
        <v>66</v>
      </c>
      <c r="BM164" s="78">
        <f t="shared" si="6"/>
        <v>13.409999999999998</v>
      </c>
      <c r="BN164" s="78">
        <f t="shared" si="7"/>
        <v>13.41</v>
      </c>
      <c r="BO164" s="78">
        <f t="shared" si="8"/>
        <v>2.2727272727272728E-2</v>
      </c>
      <c r="BP164" s="78">
        <f t="shared" si="9"/>
        <v>2.2727272727272728E-2</v>
      </c>
    </row>
    <row r="165" spans="1:68" ht="27" customHeight="1" x14ac:dyDescent="0.25">
      <c r="A165" s="63" t="s">
        <v>279</v>
      </c>
      <c r="B165" s="63" t="s">
        <v>280</v>
      </c>
      <c r="C165" s="36">
        <v>4301031201</v>
      </c>
      <c r="D165" s="557">
        <v>4680115881563</v>
      </c>
      <c r="E165" s="557"/>
      <c r="F165" s="62">
        <v>0.7</v>
      </c>
      <c r="G165" s="37">
        <v>6</v>
      </c>
      <c r="H165" s="62">
        <v>4.2</v>
      </c>
      <c r="I165" s="62">
        <v>4.41</v>
      </c>
      <c r="J165" s="37">
        <v>132</v>
      </c>
      <c r="K165" s="37" t="s">
        <v>121</v>
      </c>
      <c r="L165" s="37" t="s">
        <v>122</v>
      </c>
      <c r="M165" s="38" t="s">
        <v>82</v>
      </c>
      <c r="N165" s="38"/>
      <c r="O165" s="37">
        <v>40</v>
      </c>
      <c r="P165" s="7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9"/>
      <c r="R165" s="559"/>
      <c r="S165" s="559"/>
      <c r="T165" s="560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101</v>
      </c>
      <c r="AK165" s="84">
        <v>50.4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4301031199</v>
      </c>
      <c r="D166" s="557">
        <v>4680115880986</v>
      </c>
      <c r="E166" s="557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284</v>
      </c>
      <c r="M166" s="38" t="s">
        <v>82</v>
      </c>
      <c r="N166" s="38"/>
      <c r="O166" s="37">
        <v>40</v>
      </c>
      <c r="P166" s="7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9"/>
      <c r="R166" s="559"/>
      <c r="S166" s="559"/>
      <c r="T166" s="560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275</v>
      </c>
      <c r="AG166" s="78"/>
      <c r="AJ166" s="84" t="s">
        <v>101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4301031205</v>
      </c>
      <c r="D167" s="557">
        <v>4680115881785</v>
      </c>
      <c r="E167" s="557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83</v>
      </c>
      <c r="L167" s="37" t="s">
        <v>284</v>
      </c>
      <c r="M167" s="38" t="s">
        <v>82</v>
      </c>
      <c r="N167" s="38"/>
      <c r="O167" s="37">
        <v>40</v>
      </c>
      <c r="P167" s="7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9"/>
      <c r="R167" s="559"/>
      <c r="S167" s="559"/>
      <c r="T167" s="560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278</v>
      </c>
      <c r="AG167" s="78"/>
      <c r="AJ167" s="84" t="s">
        <v>101</v>
      </c>
      <c r="AK167" s="84">
        <v>37.799999999999997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4301031399</v>
      </c>
      <c r="D168" s="557">
        <v>4680115886537</v>
      </c>
      <c r="E168" s="557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83</v>
      </c>
      <c r="L168" s="37" t="s">
        <v>45</v>
      </c>
      <c r="M168" s="38" t="s">
        <v>82</v>
      </c>
      <c r="N168" s="38"/>
      <c r="O168" s="37">
        <v>40</v>
      </c>
      <c r="P168" s="7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9"/>
      <c r="R168" s="559"/>
      <c r="S168" s="559"/>
      <c r="T168" s="560"/>
      <c r="U168" s="39" t="s">
        <v>45</v>
      </c>
      <c r="V168" s="39" t="s">
        <v>45</v>
      </c>
      <c r="W168" s="40" t="s">
        <v>0</v>
      </c>
      <c r="X168" s="58">
        <v>9</v>
      </c>
      <c r="Y168" s="55">
        <f t="shared" si="5"/>
        <v>9</v>
      </c>
      <c r="Z168" s="41">
        <f>IFERROR(IF(Y168=0,"",ROUNDUP(Y168/H168,0)*0.00502),"")</f>
        <v>2.5100000000000001E-2</v>
      </c>
      <c r="AA168" s="68" t="s">
        <v>45</v>
      </c>
      <c r="AB168" s="69" t="s">
        <v>45</v>
      </c>
      <c r="AC168" s="222" t="s">
        <v>289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9.65</v>
      </c>
      <c r="BN168" s="78">
        <f t="shared" si="7"/>
        <v>9.65</v>
      </c>
      <c r="BO168" s="78">
        <f t="shared" si="8"/>
        <v>2.1367521367521368E-2</v>
      </c>
      <c r="BP168" s="78">
        <f t="shared" si="9"/>
        <v>2.1367521367521368E-2</v>
      </c>
    </row>
    <row r="169" spans="1:68" ht="37.5" customHeight="1" x14ac:dyDescent="0.25">
      <c r="A169" s="63" t="s">
        <v>290</v>
      </c>
      <c r="B169" s="63" t="s">
        <v>291</v>
      </c>
      <c r="C169" s="36">
        <v>4301031202</v>
      </c>
      <c r="D169" s="557">
        <v>4680115881679</v>
      </c>
      <c r="E169" s="557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83</v>
      </c>
      <c r="L169" s="37" t="s">
        <v>284</v>
      </c>
      <c r="M169" s="38" t="s">
        <v>82</v>
      </c>
      <c r="N169" s="38"/>
      <c r="O169" s="37">
        <v>40</v>
      </c>
      <c r="P169" s="73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9"/>
      <c r="R169" s="559"/>
      <c r="S169" s="559"/>
      <c r="T169" s="560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281</v>
      </c>
      <c r="AG169" s="78"/>
      <c r="AJ169" s="84" t="s">
        <v>101</v>
      </c>
      <c r="AK169" s="84">
        <v>37.799999999999997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4301031158</v>
      </c>
      <c r="D170" s="557">
        <v>4680115880191</v>
      </c>
      <c r="E170" s="557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89</v>
      </c>
      <c r="L170" s="37" t="s">
        <v>45</v>
      </c>
      <c r="M170" s="38" t="s">
        <v>82</v>
      </c>
      <c r="N170" s="38"/>
      <c r="O170" s="37">
        <v>40</v>
      </c>
      <c r="P170" s="7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9"/>
      <c r="R170" s="559"/>
      <c r="S170" s="559"/>
      <c r="T170" s="560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281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294</v>
      </c>
      <c r="B171" s="63" t="s">
        <v>295</v>
      </c>
      <c r="C171" s="36">
        <v>4301031245</v>
      </c>
      <c r="D171" s="557">
        <v>4680115883963</v>
      </c>
      <c r="E171" s="557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83</v>
      </c>
      <c r="L171" s="37" t="s">
        <v>45</v>
      </c>
      <c r="M171" s="38" t="s">
        <v>82</v>
      </c>
      <c r="N171" s="38"/>
      <c r="O171" s="37">
        <v>40</v>
      </c>
      <c r="P171" s="7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9"/>
      <c r="R171" s="559"/>
      <c r="S171" s="559"/>
      <c r="T171" s="560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296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564"/>
      <c r="B172" s="564"/>
      <c r="C172" s="564"/>
      <c r="D172" s="564"/>
      <c r="E172" s="564"/>
      <c r="F172" s="564"/>
      <c r="G172" s="564"/>
      <c r="H172" s="564"/>
      <c r="I172" s="564"/>
      <c r="J172" s="564"/>
      <c r="K172" s="564"/>
      <c r="L172" s="564"/>
      <c r="M172" s="564"/>
      <c r="N172" s="564"/>
      <c r="O172" s="565"/>
      <c r="P172" s="561" t="s">
        <v>40</v>
      </c>
      <c r="Q172" s="562"/>
      <c r="R172" s="562"/>
      <c r="S172" s="562"/>
      <c r="T172" s="562"/>
      <c r="U172" s="562"/>
      <c r="V172" s="563"/>
      <c r="W172" s="42" t="s">
        <v>39</v>
      </c>
      <c r="X172" s="43">
        <f>IFERROR(X163/H163,"0")+IFERROR(X164/H164,"0")+IFERROR(X165/H165,"0")+IFERROR(X166/H166,"0")+IFERROR(X167/H167,"0")+IFERROR(X168/H168,"0")+IFERROR(X169/H169,"0")+IFERROR(X170/H170,"0")+IFERROR(X171/H171,"0")</f>
        <v>8</v>
      </c>
      <c r="Y172" s="43">
        <f>IFERROR(Y163/H163,"0")+IFERROR(Y164/H164,"0")+IFERROR(Y165/H165,"0")+IFERROR(Y166/H166,"0")+IFERROR(Y167/H167,"0")+IFERROR(Y168/H168,"0")+IFERROR(Y169/H169,"0")+IFERROR(Y170/H170,"0")+IFERROR(Y171/H171,"0")</f>
        <v>8</v>
      </c>
      <c r="Z172" s="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5.2159999999999998E-2</v>
      </c>
      <c r="AA172" s="67"/>
      <c r="AB172" s="67"/>
      <c r="AC172" s="67"/>
    </row>
    <row r="173" spans="1:68" x14ac:dyDescent="0.2">
      <c r="A173" s="564"/>
      <c r="B173" s="564"/>
      <c r="C173" s="564"/>
      <c r="D173" s="564"/>
      <c r="E173" s="564"/>
      <c r="F173" s="564"/>
      <c r="G173" s="564"/>
      <c r="H173" s="564"/>
      <c r="I173" s="564"/>
      <c r="J173" s="564"/>
      <c r="K173" s="564"/>
      <c r="L173" s="564"/>
      <c r="M173" s="564"/>
      <c r="N173" s="564"/>
      <c r="O173" s="565"/>
      <c r="P173" s="561" t="s">
        <v>40</v>
      </c>
      <c r="Q173" s="562"/>
      <c r="R173" s="562"/>
      <c r="S173" s="562"/>
      <c r="T173" s="562"/>
      <c r="U173" s="562"/>
      <c r="V173" s="563"/>
      <c r="W173" s="42" t="s">
        <v>0</v>
      </c>
      <c r="X173" s="43">
        <f>IFERROR(SUM(X163:X171),"0")</f>
        <v>21.6</v>
      </c>
      <c r="Y173" s="43">
        <f>IFERROR(SUM(Y163:Y171),"0")</f>
        <v>21.6</v>
      </c>
      <c r="Z173" s="42"/>
      <c r="AA173" s="67"/>
      <c r="AB173" s="67"/>
      <c r="AC173" s="67"/>
    </row>
    <row r="174" spans="1:68" ht="14.25" customHeight="1" x14ac:dyDescent="0.25">
      <c r="A174" s="556" t="s">
        <v>104</v>
      </c>
      <c r="B174" s="556"/>
      <c r="C174" s="556"/>
      <c r="D174" s="556"/>
      <c r="E174" s="556"/>
      <c r="F174" s="556"/>
      <c r="G174" s="556"/>
      <c r="H174" s="556"/>
      <c r="I174" s="556"/>
      <c r="J174" s="556"/>
      <c r="K174" s="556"/>
      <c r="L174" s="556"/>
      <c r="M174" s="556"/>
      <c r="N174" s="556"/>
      <c r="O174" s="556"/>
      <c r="P174" s="556"/>
      <c r="Q174" s="556"/>
      <c r="R174" s="556"/>
      <c r="S174" s="556"/>
      <c r="T174" s="556"/>
      <c r="U174" s="556"/>
      <c r="V174" s="556"/>
      <c r="W174" s="556"/>
      <c r="X174" s="556"/>
      <c r="Y174" s="556"/>
      <c r="Z174" s="556"/>
      <c r="AA174" s="66"/>
      <c r="AB174" s="66"/>
      <c r="AC174" s="80"/>
    </row>
    <row r="175" spans="1:68" ht="27" customHeight="1" x14ac:dyDescent="0.25">
      <c r="A175" s="63" t="s">
        <v>297</v>
      </c>
      <c r="B175" s="63" t="s">
        <v>298</v>
      </c>
      <c r="C175" s="36">
        <v>4301032053</v>
      </c>
      <c r="D175" s="557">
        <v>4680115886780</v>
      </c>
      <c r="E175" s="557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301</v>
      </c>
      <c r="L175" s="37" t="s">
        <v>45</v>
      </c>
      <c r="M175" s="38" t="s">
        <v>300</v>
      </c>
      <c r="N175" s="38"/>
      <c r="O175" s="37">
        <v>60</v>
      </c>
      <c r="P175" s="7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9"/>
      <c r="R175" s="559"/>
      <c r="S175" s="559"/>
      <c r="T175" s="560"/>
      <c r="U175" s="39" t="s">
        <v>45</v>
      </c>
      <c r="V175" s="39" t="s">
        <v>45</v>
      </c>
      <c r="W175" s="40" t="s">
        <v>0</v>
      </c>
      <c r="X175" s="58">
        <v>1.26</v>
      </c>
      <c r="Y175" s="55">
        <f>IFERROR(IF(X175="",0,CEILING((X175/$H175),1)*$H175),"")</f>
        <v>1.26</v>
      </c>
      <c r="Z175" s="41">
        <f>IFERROR(IF(Y175=0,"",ROUNDUP(Y175/H175,0)*0.0059),"")</f>
        <v>5.8999999999999999E-3</v>
      </c>
      <c r="AA175" s="68" t="s">
        <v>45</v>
      </c>
      <c r="AB175" s="69" t="s">
        <v>45</v>
      </c>
      <c r="AC175" s="230" t="s">
        <v>299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1.45</v>
      </c>
      <c r="BN175" s="78">
        <f>IFERROR(Y175*I175/H175,"0")</f>
        <v>1.45</v>
      </c>
      <c r="BO175" s="78">
        <f>IFERROR(1/J175*(X175/H175),"0")</f>
        <v>4.6296296296296294E-3</v>
      </c>
      <c r="BP175" s="78">
        <f>IFERROR(1/J175*(Y175/H175),"0")</f>
        <v>4.6296296296296294E-3</v>
      </c>
    </row>
    <row r="176" spans="1:68" ht="27" customHeight="1" x14ac:dyDescent="0.25">
      <c r="A176" s="63" t="s">
        <v>302</v>
      </c>
      <c r="B176" s="63" t="s">
        <v>303</v>
      </c>
      <c r="C176" s="36">
        <v>4301032051</v>
      </c>
      <c r="D176" s="557">
        <v>4680115886742</v>
      </c>
      <c r="E176" s="557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301</v>
      </c>
      <c r="L176" s="37" t="s">
        <v>45</v>
      </c>
      <c r="M176" s="38" t="s">
        <v>300</v>
      </c>
      <c r="N176" s="38"/>
      <c r="O176" s="37">
        <v>90</v>
      </c>
      <c r="P176" s="7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9"/>
      <c r="R176" s="559"/>
      <c r="S176" s="559"/>
      <c r="T176" s="560"/>
      <c r="U176" s="39" t="s">
        <v>45</v>
      </c>
      <c r="V176" s="39" t="s">
        <v>45</v>
      </c>
      <c r="W176" s="40" t="s">
        <v>0</v>
      </c>
      <c r="X176" s="58">
        <v>1.26</v>
      </c>
      <c r="Y176" s="55">
        <f>IFERROR(IF(X176="",0,CEILING((X176/$H176),1)*$H176),"")</f>
        <v>1.26</v>
      </c>
      <c r="Z176" s="41">
        <f>IFERROR(IF(Y176=0,"",ROUNDUP(Y176/H176,0)*0.0059),"")</f>
        <v>5.8999999999999999E-3</v>
      </c>
      <c r="AA176" s="68" t="s">
        <v>45</v>
      </c>
      <c r="AB176" s="69" t="s">
        <v>45</v>
      </c>
      <c r="AC176" s="232" t="s">
        <v>304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1.45</v>
      </c>
      <c r="BN176" s="78">
        <f>IFERROR(Y176*I176/H176,"0")</f>
        <v>1.45</v>
      </c>
      <c r="BO176" s="78">
        <f>IFERROR(1/J176*(X176/H176),"0")</f>
        <v>4.6296296296296294E-3</v>
      </c>
      <c r="BP176" s="78">
        <f>IFERROR(1/J176*(Y176/H176),"0")</f>
        <v>4.6296296296296294E-3</v>
      </c>
    </row>
    <row r="177" spans="1:68" ht="27" customHeight="1" x14ac:dyDescent="0.25">
      <c r="A177" s="63" t="s">
        <v>305</v>
      </c>
      <c r="B177" s="63" t="s">
        <v>306</v>
      </c>
      <c r="C177" s="36">
        <v>4301032052</v>
      </c>
      <c r="D177" s="557">
        <v>4680115886766</v>
      </c>
      <c r="E177" s="557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301</v>
      </c>
      <c r="L177" s="37" t="s">
        <v>45</v>
      </c>
      <c r="M177" s="38" t="s">
        <v>300</v>
      </c>
      <c r="N177" s="38"/>
      <c r="O177" s="37">
        <v>90</v>
      </c>
      <c r="P177" s="7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9"/>
      <c r="R177" s="559"/>
      <c r="S177" s="559"/>
      <c r="T177" s="560"/>
      <c r="U177" s="39" t="s">
        <v>45</v>
      </c>
      <c r="V177" s="39" t="s">
        <v>45</v>
      </c>
      <c r="W177" s="40" t="s">
        <v>0</v>
      </c>
      <c r="X177" s="58">
        <v>1.26</v>
      </c>
      <c r="Y177" s="55">
        <f>IFERROR(IF(X177="",0,CEILING((X177/$H177),1)*$H177),"")</f>
        <v>1.26</v>
      </c>
      <c r="Z177" s="41">
        <f>IFERROR(IF(Y177=0,"",ROUNDUP(Y177/H177,0)*0.0059),"")</f>
        <v>5.8999999999999999E-3</v>
      </c>
      <c r="AA177" s="68" t="s">
        <v>45</v>
      </c>
      <c r="AB177" s="69" t="s">
        <v>45</v>
      </c>
      <c r="AC177" s="234" t="s">
        <v>304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1.45</v>
      </c>
      <c r="BN177" s="78">
        <f>IFERROR(Y177*I177/H177,"0")</f>
        <v>1.45</v>
      </c>
      <c r="BO177" s="78">
        <f>IFERROR(1/J177*(X177/H177),"0")</f>
        <v>4.6296296296296294E-3</v>
      </c>
      <c r="BP177" s="78">
        <f>IFERROR(1/J177*(Y177/H177),"0")</f>
        <v>4.6296296296296294E-3</v>
      </c>
    </row>
    <row r="178" spans="1:68" x14ac:dyDescent="0.2">
      <c r="A178" s="564"/>
      <c r="B178" s="564"/>
      <c r="C178" s="564"/>
      <c r="D178" s="564"/>
      <c r="E178" s="564"/>
      <c r="F178" s="564"/>
      <c r="G178" s="564"/>
      <c r="H178" s="564"/>
      <c r="I178" s="564"/>
      <c r="J178" s="564"/>
      <c r="K178" s="564"/>
      <c r="L178" s="564"/>
      <c r="M178" s="564"/>
      <c r="N178" s="564"/>
      <c r="O178" s="565"/>
      <c r="P178" s="561" t="s">
        <v>40</v>
      </c>
      <c r="Q178" s="562"/>
      <c r="R178" s="562"/>
      <c r="S178" s="562"/>
      <c r="T178" s="562"/>
      <c r="U178" s="562"/>
      <c r="V178" s="563"/>
      <c r="W178" s="42" t="s">
        <v>39</v>
      </c>
      <c r="X178" s="43">
        <f>IFERROR(X175/H175,"0")+IFERROR(X176/H176,"0")+IFERROR(X177/H177,"0")</f>
        <v>3</v>
      </c>
      <c r="Y178" s="43">
        <f>IFERROR(Y175/H175,"0")+IFERROR(Y176/H176,"0")+IFERROR(Y177/H177,"0")</f>
        <v>3</v>
      </c>
      <c r="Z178" s="43">
        <f>IFERROR(IF(Z175="",0,Z175),"0")+IFERROR(IF(Z176="",0,Z176),"0")+IFERROR(IF(Z177="",0,Z177),"0")</f>
        <v>1.77E-2</v>
      </c>
      <c r="AA178" s="67"/>
      <c r="AB178" s="67"/>
      <c r="AC178" s="67"/>
    </row>
    <row r="179" spans="1:68" x14ac:dyDescent="0.2">
      <c r="A179" s="564"/>
      <c r="B179" s="564"/>
      <c r="C179" s="564"/>
      <c r="D179" s="564"/>
      <c r="E179" s="564"/>
      <c r="F179" s="564"/>
      <c r="G179" s="564"/>
      <c r="H179" s="564"/>
      <c r="I179" s="564"/>
      <c r="J179" s="564"/>
      <c r="K179" s="564"/>
      <c r="L179" s="564"/>
      <c r="M179" s="564"/>
      <c r="N179" s="564"/>
      <c r="O179" s="565"/>
      <c r="P179" s="561" t="s">
        <v>40</v>
      </c>
      <c r="Q179" s="562"/>
      <c r="R179" s="562"/>
      <c r="S179" s="562"/>
      <c r="T179" s="562"/>
      <c r="U179" s="562"/>
      <c r="V179" s="563"/>
      <c r="W179" s="42" t="s">
        <v>0</v>
      </c>
      <c r="X179" s="43">
        <f>IFERROR(SUM(X175:X177),"0")</f>
        <v>3.7800000000000002</v>
      </c>
      <c r="Y179" s="43">
        <f>IFERROR(SUM(Y175:Y177),"0")</f>
        <v>3.7800000000000002</v>
      </c>
      <c r="Z179" s="42"/>
      <c r="AA179" s="67"/>
      <c r="AB179" s="67"/>
      <c r="AC179" s="67"/>
    </row>
    <row r="180" spans="1:68" ht="14.25" customHeight="1" x14ac:dyDescent="0.25">
      <c r="A180" s="556" t="s">
        <v>307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66"/>
      <c r="AB180" s="66"/>
      <c r="AC180" s="80"/>
    </row>
    <row r="181" spans="1:68" ht="27" customHeight="1" x14ac:dyDescent="0.25">
      <c r="A181" s="63" t="s">
        <v>308</v>
      </c>
      <c r="B181" s="63" t="s">
        <v>309</v>
      </c>
      <c r="C181" s="36">
        <v>4301170013</v>
      </c>
      <c r="D181" s="557">
        <v>4680115886797</v>
      </c>
      <c r="E181" s="557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301</v>
      </c>
      <c r="L181" s="37" t="s">
        <v>45</v>
      </c>
      <c r="M181" s="38" t="s">
        <v>300</v>
      </c>
      <c r="N181" s="38"/>
      <c r="O181" s="37">
        <v>90</v>
      </c>
      <c r="P181" s="73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9"/>
      <c r="R181" s="559"/>
      <c r="S181" s="559"/>
      <c r="T181" s="560"/>
      <c r="U181" s="39" t="s">
        <v>45</v>
      </c>
      <c r="V181" s="39" t="s">
        <v>45</v>
      </c>
      <c r="W181" s="40" t="s">
        <v>0</v>
      </c>
      <c r="X181" s="58">
        <v>1.26</v>
      </c>
      <c r="Y181" s="55">
        <f>IFERROR(IF(X181="",0,CEILING((X181/$H181),1)*$H181),"")</f>
        <v>1.26</v>
      </c>
      <c r="Z181" s="41">
        <f>IFERROR(IF(Y181=0,"",ROUNDUP(Y181/H181,0)*0.0059),"")</f>
        <v>5.8999999999999999E-3</v>
      </c>
      <c r="AA181" s="68" t="s">
        <v>45</v>
      </c>
      <c r="AB181" s="69" t="s">
        <v>45</v>
      </c>
      <c r="AC181" s="236" t="s">
        <v>304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1.45</v>
      </c>
      <c r="BN181" s="78">
        <f>IFERROR(Y181*I181/H181,"0")</f>
        <v>1.45</v>
      </c>
      <c r="BO181" s="78">
        <f>IFERROR(1/J181*(X181/H181),"0")</f>
        <v>4.6296296296296294E-3</v>
      </c>
      <c r="BP181" s="78">
        <f>IFERROR(1/J181*(Y181/H181),"0")</f>
        <v>4.6296296296296294E-3</v>
      </c>
    </row>
    <row r="182" spans="1:68" x14ac:dyDescent="0.2">
      <c r="A182" s="564"/>
      <c r="B182" s="564"/>
      <c r="C182" s="564"/>
      <c r="D182" s="564"/>
      <c r="E182" s="564"/>
      <c r="F182" s="564"/>
      <c r="G182" s="564"/>
      <c r="H182" s="564"/>
      <c r="I182" s="564"/>
      <c r="J182" s="564"/>
      <c r="K182" s="564"/>
      <c r="L182" s="564"/>
      <c r="M182" s="564"/>
      <c r="N182" s="564"/>
      <c r="O182" s="565"/>
      <c r="P182" s="561" t="s">
        <v>40</v>
      </c>
      <c r="Q182" s="562"/>
      <c r="R182" s="562"/>
      <c r="S182" s="562"/>
      <c r="T182" s="562"/>
      <c r="U182" s="562"/>
      <c r="V182" s="563"/>
      <c r="W182" s="42" t="s">
        <v>39</v>
      </c>
      <c r="X182" s="43">
        <f>IFERROR(X181/H181,"0")</f>
        <v>1</v>
      </c>
      <c r="Y182" s="43">
        <f>IFERROR(Y181/H181,"0")</f>
        <v>1</v>
      </c>
      <c r="Z182" s="43">
        <f>IFERROR(IF(Z181="",0,Z181),"0")</f>
        <v>5.8999999999999999E-3</v>
      </c>
      <c r="AA182" s="67"/>
      <c r="AB182" s="67"/>
      <c r="AC182" s="67"/>
    </row>
    <row r="183" spans="1:68" x14ac:dyDescent="0.2">
      <c r="A183" s="564"/>
      <c r="B183" s="564"/>
      <c r="C183" s="564"/>
      <c r="D183" s="564"/>
      <c r="E183" s="564"/>
      <c r="F183" s="564"/>
      <c r="G183" s="564"/>
      <c r="H183" s="564"/>
      <c r="I183" s="564"/>
      <c r="J183" s="564"/>
      <c r="K183" s="564"/>
      <c r="L183" s="564"/>
      <c r="M183" s="564"/>
      <c r="N183" s="564"/>
      <c r="O183" s="565"/>
      <c r="P183" s="561" t="s">
        <v>40</v>
      </c>
      <c r="Q183" s="562"/>
      <c r="R183" s="562"/>
      <c r="S183" s="562"/>
      <c r="T183" s="562"/>
      <c r="U183" s="562"/>
      <c r="V183" s="563"/>
      <c r="W183" s="42" t="s">
        <v>0</v>
      </c>
      <c r="X183" s="43">
        <f>IFERROR(SUM(X181:X181),"0")</f>
        <v>1.26</v>
      </c>
      <c r="Y183" s="43">
        <f>IFERROR(SUM(Y181:Y181),"0")</f>
        <v>1.26</v>
      </c>
      <c r="Z183" s="42"/>
      <c r="AA183" s="67"/>
      <c r="AB183" s="67"/>
      <c r="AC183" s="67"/>
    </row>
    <row r="184" spans="1:68" ht="16.5" customHeight="1" x14ac:dyDescent="0.25">
      <c r="A184" s="572" t="s">
        <v>310</v>
      </c>
      <c r="B184" s="572"/>
      <c r="C184" s="572"/>
      <c r="D184" s="572"/>
      <c r="E184" s="572"/>
      <c r="F184" s="572"/>
      <c r="G184" s="572"/>
      <c r="H184" s="572"/>
      <c r="I184" s="572"/>
      <c r="J184" s="572"/>
      <c r="K184" s="572"/>
      <c r="L184" s="572"/>
      <c r="M184" s="572"/>
      <c r="N184" s="572"/>
      <c r="O184" s="572"/>
      <c r="P184" s="572"/>
      <c r="Q184" s="572"/>
      <c r="R184" s="572"/>
      <c r="S184" s="572"/>
      <c r="T184" s="572"/>
      <c r="U184" s="572"/>
      <c r="V184" s="572"/>
      <c r="W184" s="572"/>
      <c r="X184" s="572"/>
      <c r="Y184" s="572"/>
      <c r="Z184" s="572"/>
      <c r="AA184" s="65"/>
      <c r="AB184" s="65"/>
      <c r="AC184" s="79"/>
    </row>
    <row r="185" spans="1:68" ht="14.25" customHeight="1" x14ac:dyDescent="0.25">
      <c r="A185" s="556" t="s">
        <v>112</v>
      </c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56"/>
      <c r="P185" s="556"/>
      <c r="Q185" s="556"/>
      <c r="R185" s="556"/>
      <c r="S185" s="556"/>
      <c r="T185" s="556"/>
      <c r="U185" s="556"/>
      <c r="V185" s="556"/>
      <c r="W185" s="556"/>
      <c r="X185" s="556"/>
      <c r="Y185" s="556"/>
      <c r="Z185" s="556"/>
      <c r="AA185" s="66"/>
      <c r="AB185" s="66"/>
      <c r="AC185" s="80"/>
    </row>
    <row r="186" spans="1:68" ht="16.5" customHeight="1" x14ac:dyDescent="0.25">
      <c r="A186" s="63" t="s">
        <v>311</v>
      </c>
      <c r="B186" s="63" t="s">
        <v>312</v>
      </c>
      <c r="C186" s="36">
        <v>4301011450</v>
      </c>
      <c r="D186" s="557">
        <v>4680115881402</v>
      </c>
      <c r="E186" s="557"/>
      <c r="F186" s="62">
        <v>1.35</v>
      </c>
      <c r="G186" s="37">
        <v>8</v>
      </c>
      <c r="H186" s="62">
        <v>10.8</v>
      </c>
      <c r="I186" s="62">
        <v>11.234999999999999</v>
      </c>
      <c r="J186" s="37">
        <v>64</v>
      </c>
      <c r="K186" s="37" t="s">
        <v>117</v>
      </c>
      <c r="L186" s="37" t="s">
        <v>45</v>
      </c>
      <c r="M186" s="38" t="s">
        <v>116</v>
      </c>
      <c r="N186" s="38"/>
      <c r="O186" s="37">
        <v>55</v>
      </c>
      <c r="P186" s="7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9"/>
      <c r="R186" s="559"/>
      <c r="S186" s="559"/>
      <c r="T186" s="560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313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314</v>
      </c>
      <c r="B187" s="63" t="s">
        <v>315</v>
      </c>
      <c r="C187" s="36">
        <v>4301011768</v>
      </c>
      <c r="D187" s="557">
        <v>4680115881396</v>
      </c>
      <c r="E187" s="557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89</v>
      </c>
      <c r="L187" s="37" t="s">
        <v>100</v>
      </c>
      <c r="M187" s="38" t="s">
        <v>116</v>
      </c>
      <c r="N187" s="38"/>
      <c r="O187" s="37">
        <v>55</v>
      </c>
      <c r="P187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9"/>
      <c r="R187" s="559"/>
      <c r="S187" s="559"/>
      <c r="T187" s="560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313</v>
      </c>
      <c r="AG187" s="78"/>
      <c r="AJ187" s="84" t="s">
        <v>101</v>
      </c>
      <c r="AK187" s="84">
        <v>37.799999999999997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564"/>
      <c r="B188" s="564"/>
      <c r="C188" s="564"/>
      <c r="D188" s="564"/>
      <c r="E188" s="564"/>
      <c r="F188" s="564"/>
      <c r="G188" s="564"/>
      <c r="H188" s="564"/>
      <c r="I188" s="564"/>
      <c r="J188" s="564"/>
      <c r="K188" s="564"/>
      <c r="L188" s="564"/>
      <c r="M188" s="564"/>
      <c r="N188" s="564"/>
      <c r="O188" s="565"/>
      <c r="P188" s="561" t="s">
        <v>40</v>
      </c>
      <c r="Q188" s="562"/>
      <c r="R188" s="562"/>
      <c r="S188" s="562"/>
      <c r="T188" s="562"/>
      <c r="U188" s="562"/>
      <c r="V188" s="563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564"/>
      <c r="B189" s="564"/>
      <c r="C189" s="564"/>
      <c r="D189" s="564"/>
      <c r="E189" s="564"/>
      <c r="F189" s="564"/>
      <c r="G189" s="564"/>
      <c r="H189" s="564"/>
      <c r="I189" s="564"/>
      <c r="J189" s="564"/>
      <c r="K189" s="564"/>
      <c r="L189" s="564"/>
      <c r="M189" s="564"/>
      <c r="N189" s="564"/>
      <c r="O189" s="565"/>
      <c r="P189" s="561" t="s">
        <v>40</v>
      </c>
      <c r="Q189" s="562"/>
      <c r="R189" s="562"/>
      <c r="S189" s="562"/>
      <c r="T189" s="562"/>
      <c r="U189" s="562"/>
      <c r="V189" s="563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556" t="s">
        <v>147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66"/>
      <c r="AB190" s="66"/>
      <c r="AC190" s="80"/>
    </row>
    <row r="191" spans="1:68" ht="16.5" customHeight="1" x14ac:dyDescent="0.25">
      <c r="A191" s="63" t="s">
        <v>316</v>
      </c>
      <c r="B191" s="63" t="s">
        <v>317</v>
      </c>
      <c r="C191" s="36">
        <v>4301020261</v>
      </c>
      <c r="D191" s="557">
        <v>4680115882935</v>
      </c>
      <c r="E191" s="557"/>
      <c r="F191" s="62">
        <v>1.35</v>
      </c>
      <c r="G191" s="37">
        <v>8</v>
      </c>
      <c r="H191" s="62">
        <v>10.8</v>
      </c>
      <c r="I191" s="62">
        <v>11.234999999999999</v>
      </c>
      <c r="J191" s="37">
        <v>64</v>
      </c>
      <c r="K191" s="37" t="s">
        <v>117</v>
      </c>
      <c r="L191" s="37" t="s">
        <v>45</v>
      </c>
      <c r="M191" s="38" t="s">
        <v>116</v>
      </c>
      <c r="N191" s="38"/>
      <c r="O191" s="37">
        <v>50</v>
      </c>
      <c r="P191" s="7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9"/>
      <c r="R191" s="559"/>
      <c r="S191" s="559"/>
      <c r="T191" s="560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318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319</v>
      </c>
      <c r="B192" s="63" t="s">
        <v>320</v>
      </c>
      <c r="C192" s="36">
        <v>4301020220</v>
      </c>
      <c r="D192" s="557">
        <v>4680115880764</v>
      </c>
      <c r="E192" s="557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89</v>
      </c>
      <c r="L192" s="37" t="s">
        <v>45</v>
      </c>
      <c r="M192" s="38" t="s">
        <v>116</v>
      </c>
      <c r="N192" s="38"/>
      <c r="O192" s="37">
        <v>50</v>
      </c>
      <c r="P192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9"/>
      <c r="R192" s="559"/>
      <c r="S192" s="559"/>
      <c r="T192" s="560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318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564"/>
      <c r="B193" s="564"/>
      <c r="C193" s="564"/>
      <c r="D193" s="564"/>
      <c r="E193" s="564"/>
      <c r="F193" s="564"/>
      <c r="G193" s="564"/>
      <c r="H193" s="564"/>
      <c r="I193" s="564"/>
      <c r="J193" s="564"/>
      <c r="K193" s="564"/>
      <c r="L193" s="564"/>
      <c r="M193" s="564"/>
      <c r="N193" s="564"/>
      <c r="O193" s="565"/>
      <c r="P193" s="561" t="s">
        <v>40</v>
      </c>
      <c r="Q193" s="562"/>
      <c r="R193" s="562"/>
      <c r="S193" s="562"/>
      <c r="T193" s="562"/>
      <c r="U193" s="562"/>
      <c r="V193" s="563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564"/>
      <c r="B194" s="564"/>
      <c r="C194" s="564"/>
      <c r="D194" s="564"/>
      <c r="E194" s="564"/>
      <c r="F194" s="564"/>
      <c r="G194" s="564"/>
      <c r="H194" s="564"/>
      <c r="I194" s="564"/>
      <c r="J194" s="564"/>
      <c r="K194" s="564"/>
      <c r="L194" s="564"/>
      <c r="M194" s="564"/>
      <c r="N194" s="564"/>
      <c r="O194" s="565"/>
      <c r="P194" s="561" t="s">
        <v>40</v>
      </c>
      <c r="Q194" s="562"/>
      <c r="R194" s="562"/>
      <c r="S194" s="562"/>
      <c r="T194" s="562"/>
      <c r="U194" s="562"/>
      <c r="V194" s="563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556" t="s">
        <v>78</v>
      </c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56"/>
      <c r="P195" s="556"/>
      <c r="Q195" s="556"/>
      <c r="R195" s="556"/>
      <c r="S195" s="556"/>
      <c r="T195" s="556"/>
      <c r="U195" s="556"/>
      <c r="V195" s="556"/>
      <c r="W195" s="556"/>
      <c r="X195" s="556"/>
      <c r="Y195" s="556"/>
      <c r="Z195" s="556"/>
      <c r="AA195" s="66"/>
      <c r="AB195" s="66"/>
      <c r="AC195" s="80"/>
    </row>
    <row r="196" spans="1:68" ht="27" customHeight="1" x14ac:dyDescent="0.25">
      <c r="A196" s="63" t="s">
        <v>321</v>
      </c>
      <c r="B196" s="63" t="s">
        <v>322</v>
      </c>
      <c r="C196" s="36">
        <v>4301031224</v>
      </c>
      <c r="D196" s="557">
        <v>4680115882683</v>
      </c>
      <c r="E196" s="557"/>
      <c r="F196" s="62">
        <v>0.9</v>
      </c>
      <c r="G196" s="37">
        <v>6</v>
      </c>
      <c r="H196" s="62">
        <v>5.4</v>
      </c>
      <c r="I196" s="62">
        <v>5.61</v>
      </c>
      <c r="J196" s="37">
        <v>132</v>
      </c>
      <c r="K196" s="37" t="s">
        <v>121</v>
      </c>
      <c r="L196" s="37" t="s">
        <v>122</v>
      </c>
      <c r="M196" s="38" t="s">
        <v>82</v>
      </c>
      <c r="N196" s="38"/>
      <c r="O196" s="37">
        <v>40</v>
      </c>
      <c r="P196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9"/>
      <c r="R196" s="559"/>
      <c r="S196" s="559"/>
      <c r="T196" s="560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101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4301031230</v>
      </c>
      <c r="D197" s="557">
        <v>4680115882690</v>
      </c>
      <c r="E197" s="557"/>
      <c r="F197" s="62">
        <v>0.9</v>
      </c>
      <c r="G197" s="37">
        <v>6</v>
      </c>
      <c r="H197" s="62">
        <v>5.4</v>
      </c>
      <c r="I197" s="62">
        <v>5.61</v>
      </c>
      <c r="J197" s="37">
        <v>132</v>
      </c>
      <c r="K197" s="37" t="s">
        <v>121</v>
      </c>
      <c r="L197" s="37" t="s">
        <v>122</v>
      </c>
      <c r="M197" s="38" t="s">
        <v>82</v>
      </c>
      <c r="N197" s="38"/>
      <c r="O197" s="37">
        <v>40</v>
      </c>
      <c r="P197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9"/>
      <c r="R197" s="559"/>
      <c r="S197" s="559"/>
      <c r="T197" s="560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101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4301031220</v>
      </c>
      <c r="D198" s="557">
        <v>4680115882669</v>
      </c>
      <c r="E198" s="557"/>
      <c r="F198" s="62">
        <v>0.9</v>
      </c>
      <c r="G198" s="37">
        <v>6</v>
      </c>
      <c r="H198" s="62">
        <v>5.4</v>
      </c>
      <c r="I198" s="62">
        <v>5.61</v>
      </c>
      <c r="J198" s="37">
        <v>132</v>
      </c>
      <c r="K198" s="37" t="s">
        <v>121</v>
      </c>
      <c r="L198" s="37" t="s">
        <v>122</v>
      </c>
      <c r="M198" s="38" t="s">
        <v>82</v>
      </c>
      <c r="N198" s="38"/>
      <c r="O198" s="37">
        <v>40</v>
      </c>
      <c r="P198" s="7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9"/>
      <c r="R198" s="559"/>
      <c r="S198" s="559"/>
      <c r="T198" s="560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101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4301031221</v>
      </c>
      <c r="D199" s="557">
        <v>4680115882676</v>
      </c>
      <c r="E199" s="557"/>
      <c r="F199" s="62">
        <v>0.9</v>
      </c>
      <c r="G199" s="37">
        <v>6</v>
      </c>
      <c r="H199" s="62">
        <v>5.4</v>
      </c>
      <c r="I199" s="62">
        <v>5.61</v>
      </c>
      <c r="J199" s="37">
        <v>132</v>
      </c>
      <c r="K199" s="37" t="s">
        <v>121</v>
      </c>
      <c r="L199" s="37" t="s">
        <v>122</v>
      </c>
      <c r="M199" s="38" t="s">
        <v>82</v>
      </c>
      <c r="N199" s="38"/>
      <c r="O199" s="37">
        <v>40</v>
      </c>
      <c r="P199" s="7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9"/>
      <c r="R199" s="559"/>
      <c r="S199" s="559"/>
      <c r="T199" s="560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332</v>
      </c>
      <c r="AG199" s="78"/>
      <c r="AJ199" s="84" t="s">
        <v>101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4301031223</v>
      </c>
      <c r="D200" s="557">
        <v>4680115884014</v>
      </c>
      <c r="E200" s="557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83</v>
      </c>
      <c r="L200" s="37" t="s">
        <v>284</v>
      </c>
      <c r="M200" s="38" t="s">
        <v>82</v>
      </c>
      <c r="N200" s="38"/>
      <c r="O200" s="37">
        <v>40</v>
      </c>
      <c r="P200" s="71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9"/>
      <c r="R200" s="559"/>
      <c r="S200" s="559"/>
      <c r="T200" s="560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101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4301031222</v>
      </c>
      <c r="D201" s="557">
        <v>4680115884007</v>
      </c>
      <c r="E201" s="557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284</v>
      </c>
      <c r="M201" s="38" t="s">
        <v>82</v>
      </c>
      <c r="N201" s="38"/>
      <c r="O201" s="37">
        <v>40</v>
      </c>
      <c r="P201" s="71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9"/>
      <c r="R201" s="559"/>
      <c r="S201" s="559"/>
      <c r="T201" s="560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101</v>
      </c>
      <c r="AK201" s="84">
        <v>32.4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4301031229</v>
      </c>
      <c r="D202" s="557">
        <v>4680115884038</v>
      </c>
      <c r="E202" s="557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45</v>
      </c>
      <c r="M202" s="38" t="s">
        <v>82</v>
      </c>
      <c r="N202" s="38"/>
      <c r="O202" s="37">
        <v>40</v>
      </c>
      <c r="P202" s="71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9"/>
      <c r="R202" s="559"/>
      <c r="S202" s="559"/>
      <c r="T202" s="560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339</v>
      </c>
      <c r="B203" s="63" t="s">
        <v>340</v>
      </c>
      <c r="C203" s="36">
        <v>4301031225</v>
      </c>
      <c r="D203" s="557">
        <v>4680115884021</v>
      </c>
      <c r="E203" s="557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83</v>
      </c>
      <c r="L203" s="37" t="s">
        <v>284</v>
      </c>
      <c r="M203" s="38" t="s">
        <v>82</v>
      </c>
      <c r="N203" s="38"/>
      <c r="O203" s="37">
        <v>40</v>
      </c>
      <c r="P203" s="71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9"/>
      <c r="R203" s="559"/>
      <c r="S203" s="559"/>
      <c r="T203" s="560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332</v>
      </c>
      <c r="AG203" s="78"/>
      <c r="AJ203" s="84" t="s">
        <v>101</v>
      </c>
      <c r="AK203" s="84">
        <v>32.4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564"/>
      <c r="B204" s="564"/>
      <c r="C204" s="564"/>
      <c r="D204" s="564"/>
      <c r="E204" s="564"/>
      <c r="F204" s="564"/>
      <c r="G204" s="564"/>
      <c r="H204" s="564"/>
      <c r="I204" s="564"/>
      <c r="J204" s="564"/>
      <c r="K204" s="564"/>
      <c r="L204" s="564"/>
      <c r="M204" s="564"/>
      <c r="N204" s="564"/>
      <c r="O204" s="565"/>
      <c r="P204" s="561" t="s">
        <v>40</v>
      </c>
      <c r="Q204" s="562"/>
      <c r="R204" s="562"/>
      <c r="S204" s="562"/>
      <c r="T204" s="562"/>
      <c r="U204" s="562"/>
      <c r="V204" s="563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564"/>
      <c r="B205" s="564"/>
      <c r="C205" s="564"/>
      <c r="D205" s="564"/>
      <c r="E205" s="564"/>
      <c r="F205" s="564"/>
      <c r="G205" s="564"/>
      <c r="H205" s="564"/>
      <c r="I205" s="564"/>
      <c r="J205" s="564"/>
      <c r="K205" s="564"/>
      <c r="L205" s="564"/>
      <c r="M205" s="564"/>
      <c r="N205" s="564"/>
      <c r="O205" s="565"/>
      <c r="P205" s="561" t="s">
        <v>40</v>
      </c>
      <c r="Q205" s="562"/>
      <c r="R205" s="562"/>
      <c r="S205" s="562"/>
      <c r="T205" s="562"/>
      <c r="U205" s="562"/>
      <c r="V205" s="563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556" t="s">
        <v>84</v>
      </c>
      <c r="B206" s="556"/>
      <c r="C206" s="556"/>
      <c r="D206" s="556"/>
      <c r="E206" s="556"/>
      <c r="F206" s="556"/>
      <c r="G206" s="556"/>
      <c r="H206" s="556"/>
      <c r="I206" s="556"/>
      <c r="J206" s="556"/>
      <c r="K206" s="556"/>
      <c r="L206" s="556"/>
      <c r="M206" s="556"/>
      <c r="N206" s="556"/>
      <c r="O206" s="556"/>
      <c r="P206" s="556"/>
      <c r="Q206" s="556"/>
      <c r="R206" s="556"/>
      <c r="S206" s="556"/>
      <c r="T206" s="556"/>
      <c r="U206" s="556"/>
      <c r="V206" s="556"/>
      <c r="W206" s="556"/>
      <c r="X206" s="556"/>
      <c r="Y206" s="556"/>
      <c r="Z206" s="556"/>
      <c r="AA206" s="66"/>
      <c r="AB206" s="66"/>
      <c r="AC206" s="80"/>
    </row>
    <row r="207" spans="1:68" ht="27" customHeight="1" x14ac:dyDescent="0.25">
      <c r="A207" s="63" t="s">
        <v>341</v>
      </c>
      <c r="B207" s="63" t="s">
        <v>342</v>
      </c>
      <c r="C207" s="36">
        <v>4301051408</v>
      </c>
      <c r="D207" s="557">
        <v>4680115881594</v>
      </c>
      <c r="E207" s="557"/>
      <c r="F207" s="62">
        <v>1.35</v>
      </c>
      <c r="G207" s="37">
        <v>6</v>
      </c>
      <c r="H207" s="62">
        <v>8.1</v>
      </c>
      <c r="I207" s="62">
        <v>8.6189999999999998</v>
      </c>
      <c r="J207" s="37">
        <v>64</v>
      </c>
      <c r="K207" s="37" t="s">
        <v>117</v>
      </c>
      <c r="L207" s="37" t="s">
        <v>45</v>
      </c>
      <c r="M207" s="38" t="s">
        <v>88</v>
      </c>
      <c r="N207" s="38"/>
      <c r="O207" s="37">
        <v>40</v>
      </c>
      <c r="P207" s="7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9"/>
      <c r="R207" s="559"/>
      <c r="S207" s="559"/>
      <c r="T207" s="560"/>
      <c r="U207" s="39" t="s">
        <v>45</v>
      </c>
      <c r="V207" s="39" t="s">
        <v>45</v>
      </c>
      <c r="W207" s="40" t="s">
        <v>0</v>
      </c>
      <c r="X207" s="58">
        <v>16.2</v>
      </c>
      <c r="Y207" s="55">
        <f t="shared" ref="Y207:Y215" si="15">IFERROR(IF(X207="",0,CEILING((X207/$H207),1)*$H207),"")</f>
        <v>16.2</v>
      </c>
      <c r="Z207" s="41">
        <f>IFERROR(IF(Y207=0,"",ROUNDUP(Y207/H207,0)*0.01898),"")</f>
        <v>3.7960000000000001E-2</v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17.238</v>
      </c>
      <c r="BN207" s="78">
        <f t="shared" ref="BN207:BN215" si="17">IFERROR(Y207*I207/H207,"0")</f>
        <v>17.238</v>
      </c>
      <c r="BO207" s="78">
        <f t="shared" ref="BO207:BO215" si="18">IFERROR(1/J207*(X207/H207),"0")</f>
        <v>3.125E-2</v>
      </c>
      <c r="BP207" s="78">
        <f t="shared" ref="BP207:BP215" si="19">IFERROR(1/J207*(Y207/H207),"0")</f>
        <v>3.125E-2</v>
      </c>
    </row>
    <row r="208" spans="1:68" ht="27" customHeight="1" x14ac:dyDescent="0.25">
      <c r="A208" s="63" t="s">
        <v>344</v>
      </c>
      <c r="B208" s="63" t="s">
        <v>345</v>
      </c>
      <c r="C208" s="36">
        <v>4301051411</v>
      </c>
      <c r="D208" s="557">
        <v>4680115881617</v>
      </c>
      <c r="E208" s="557"/>
      <c r="F208" s="62">
        <v>1.35</v>
      </c>
      <c r="G208" s="37">
        <v>6</v>
      </c>
      <c r="H208" s="62">
        <v>8.1</v>
      </c>
      <c r="I208" s="62">
        <v>8.6010000000000009</v>
      </c>
      <c r="J208" s="37">
        <v>64</v>
      </c>
      <c r="K208" s="37" t="s">
        <v>117</v>
      </c>
      <c r="L208" s="37" t="s">
        <v>45</v>
      </c>
      <c r="M208" s="38" t="s">
        <v>88</v>
      </c>
      <c r="N208" s="38"/>
      <c r="O208" s="37">
        <v>40</v>
      </c>
      <c r="P208" s="7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9"/>
      <c r="R208" s="559"/>
      <c r="S208" s="559"/>
      <c r="T208" s="560"/>
      <c r="U208" s="39" t="s">
        <v>45</v>
      </c>
      <c r="V208" s="39" t="s">
        <v>45</v>
      </c>
      <c r="W208" s="40" t="s">
        <v>0</v>
      </c>
      <c r="X208" s="58">
        <v>16.2</v>
      </c>
      <c r="Y208" s="55">
        <f t="shared" si="15"/>
        <v>16.2</v>
      </c>
      <c r="Z208" s="41">
        <f>IFERROR(IF(Y208=0,"",ROUNDUP(Y208/H208,0)*0.01898),"")</f>
        <v>3.7960000000000001E-2</v>
      </c>
      <c r="AA208" s="68" t="s">
        <v>45</v>
      </c>
      <c r="AB208" s="69" t="s">
        <v>45</v>
      </c>
      <c r="AC208" s="264" t="s">
        <v>346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17.202000000000002</v>
      </c>
      <c r="BN208" s="78">
        <f t="shared" si="17"/>
        <v>17.202000000000002</v>
      </c>
      <c r="BO208" s="78">
        <f t="shared" si="18"/>
        <v>3.125E-2</v>
      </c>
      <c r="BP208" s="78">
        <f t="shared" si="19"/>
        <v>3.125E-2</v>
      </c>
    </row>
    <row r="209" spans="1:68" ht="27" customHeight="1" x14ac:dyDescent="0.25">
      <c r="A209" s="63" t="s">
        <v>347</v>
      </c>
      <c r="B209" s="63" t="s">
        <v>348</v>
      </c>
      <c r="C209" s="36">
        <v>4301051656</v>
      </c>
      <c r="D209" s="557">
        <v>4680115880573</v>
      </c>
      <c r="E209" s="557"/>
      <c r="F209" s="62">
        <v>1.45</v>
      </c>
      <c r="G209" s="37">
        <v>6</v>
      </c>
      <c r="H209" s="62">
        <v>8.6999999999999993</v>
      </c>
      <c r="I209" s="62">
        <v>9.2189999999999994</v>
      </c>
      <c r="J209" s="37">
        <v>64</v>
      </c>
      <c r="K209" s="37" t="s">
        <v>117</v>
      </c>
      <c r="L209" s="37" t="s">
        <v>118</v>
      </c>
      <c r="M209" s="38" t="s">
        <v>88</v>
      </c>
      <c r="N209" s="38"/>
      <c r="O209" s="37">
        <v>45</v>
      </c>
      <c r="P209" s="7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9"/>
      <c r="R209" s="559"/>
      <c r="S209" s="559"/>
      <c r="T209" s="560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349</v>
      </c>
      <c r="AG209" s="78"/>
      <c r="AJ209" s="84" t="s">
        <v>101</v>
      </c>
      <c r="AK209" s="84">
        <v>69.599999999999994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4301051407</v>
      </c>
      <c r="D210" s="557">
        <v>4680115882195</v>
      </c>
      <c r="E210" s="557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89</v>
      </c>
      <c r="L210" s="37" t="s">
        <v>100</v>
      </c>
      <c r="M210" s="38" t="s">
        <v>88</v>
      </c>
      <c r="N210" s="38"/>
      <c r="O210" s="37">
        <v>40</v>
      </c>
      <c r="P210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9"/>
      <c r="R210" s="559"/>
      <c r="S210" s="559"/>
      <c r="T210" s="560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343</v>
      </c>
      <c r="AG210" s="78"/>
      <c r="AJ210" s="84" t="s">
        <v>101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4301051752</v>
      </c>
      <c r="D211" s="557">
        <v>4680115882607</v>
      </c>
      <c r="E211" s="557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89</v>
      </c>
      <c r="L211" s="37" t="s">
        <v>100</v>
      </c>
      <c r="M211" s="38" t="s">
        <v>96</v>
      </c>
      <c r="N211" s="38"/>
      <c r="O211" s="37">
        <v>45</v>
      </c>
      <c r="P211" s="7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9"/>
      <c r="R211" s="559"/>
      <c r="S211" s="559"/>
      <c r="T211" s="560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354</v>
      </c>
      <c r="AG211" s="78"/>
      <c r="AJ211" s="84" t="s">
        <v>101</v>
      </c>
      <c r="AK211" s="84">
        <v>25.2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355</v>
      </c>
      <c r="B212" s="63" t="s">
        <v>356</v>
      </c>
      <c r="C212" s="36">
        <v>4301051666</v>
      </c>
      <c r="D212" s="557">
        <v>4680115880092</v>
      </c>
      <c r="E212" s="557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100</v>
      </c>
      <c r="M212" s="38" t="s">
        <v>88</v>
      </c>
      <c r="N212" s="38"/>
      <c r="O212" s="37">
        <v>45</v>
      </c>
      <c r="P212" s="7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9"/>
      <c r="R212" s="559"/>
      <c r="S212" s="559"/>
      <c r="T212" s="560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349</v>
      </c>
      <c r="AG212" s="78"/>
      <c r="AJ212" s="84" t="s">
        <v>101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357</v>
      </c>
      <c r="B213" s="63" t="s">
        <v>358</v>
      </c>
      <c r="C213" s="36">
        <v>4301051668</v>
      </c>
      <c r="D213" s="557">
        <v>4680115880221</v>
      </c>
      <c r="E213" s="557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100</v>
      </c>
      <c r="M213" s="38" t="s">
        <v>88</v>
      </c>
      <c r="N213" s="38"/>
      <c r="O213" s="37">
        <v>45</v>
      </c>
      <c r="P213" s="7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9"/>
      <c r="R213" s="559"/>
      <c r="S213" s="559"/>
      <c r="T213" s="560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349</v>
      </c>
      <c r="AG213" s="78"/>
      <c r="AJ213" s="84" t="s">
        <v>101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359</v>
      </c>
      <c r="B214" s="63" t="s">
        <v>360</v>
      </c>
      <c r="C214" s="36">
        <v>4301051945</v>
      </c>
      <c r="D214" s="557">
        <v>4680115880504</v>
      </c>
      <c r="E214" s="557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89</v>
      </c>
      <c r="L214" s="37" t="s">
        <v>100</v>
      </c>
      <c r="M214" s="38" t="s">
        <v>96</v>
      </c>
      <c r="N214" s="38"/>
      <c r="O214" s="37">
        <v>40</v>
      </c>
      <c r="P214" s="71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9"/>
      <c r="R214" s="559"/>
      <c r="S214" s="559"/>
      <c r="T214" s="560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361</v>
      </c>
      <c r="AG214" s="78"/>
      <c r="AJ214" s="84" t="s">
        <v>101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362</v>
      </c>
      <c r="B215" s="63" t="s">
        <v>363</v>
      </c>
      <c r="C215" s="36">
        <v>4301051410</v>
      </c>
      <c r="D215" s="557">
        <v>4680115882164</v>
      </c>
      <c r="E215" s="557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89</v>
      </c>
      <c r="L215" s="37" t="s">
        <v>100</v>
      </c>
      <c r="M215" s="38" t="s">
        <v>88</v>
      </c>
      <c r="N215" s="38"/>
      <c r="O215" s="37">
        <v>40</v>
      </c>
      <c r="P215" s="71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9"/>
      <c r="R215" s="559"/>
      <c r="S215" s="559"/>
      <c r="T215" s="560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346</v>
      </c>
      <c r="AG215" s="78"/>
      <c r="AJ215" s="84" t="s">
        <v>101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564"/>
      <c r="B216" s="564"/>
      <c r="C216" s="564"/>
      <c r="D216" s="564"/>
      <c r="E216" s="564"/>
      <c r="F216" s="564"/>
      <c r="G216" s="564"/>
      <c r="H216" s="564"/>
      <c r="I216" s="564"/>
      <c r="J216" s="564"/>
      <c r="K216" s="564"/>
      <c r="L216" s="564"/>
      <c r="M216" s="564"/>
      <c r="N216" s="564"/>
      <c r="O216" s="565"/>
      <c r="P216" s="561" t="s">
        <v>40</v>
      </c>
      <c r="Q216" s="562"/>
      <c r="R216" s="562"/>
      <c r="S216" s="562"/>
      <c r="T216" s="562"/>
      <c r="U216" s="562"/>
      <c r="V216" s="563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4</v>
      </c>
      <c r="Y216" s="43">
        <f>IFERROR(Y207/H207,"0")+IFERROR(Y208/H208,"0")+IFERROR(Y209/H209,"0")+IFERROR(Y210/H210,"0")+IFERROR(Y211/H211,"0")+IFERROR(Y212/H212,"0")+IFERROR(Y213/H213,"0")+IFERROR(Y214/H214,"0")+IFERROR(Y215/H215,"0")</f>
        <v>4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7.5920000000000001E-2</v>
      </c>
      <c r="AA216" s="67"/>
      <c r="AB216" s="67"/>
      <c r="AC216" s="67"/>
    </row>
    <row r="217" spans="1:68" x14ac:dyDescent="0.2">
      <c r="A217" s="564"/>
      <c r="B217" s="564"/>
      <c r="C217" s="564"/>
      <c r="D217" s="564"/>
      <c r="E217" s="564"/>
      <c r="F217" s="564"/>
      <c r="G217" s="564"/>
      <c r="H217" s="564"/>
      <c r="I217" s="564"/>
      <c r="J217" s="564"/>
      <c r="K217" s="564"/>
      <c r="L217" s="564"/>
      <c r="M217" s="564"/>
      <c r="N217" s="564"/>
      <c r="O217" s="565"/>
      <c r="P217" s="561" t="s">
        <v>40</v>
      </c>
      <c r="Q217" s="562"/>
      <c r="R217" s="562"/>
      <c r="S217" s="562"/>
      <c r="T217" s="562"/>
      <c r="U217" s="562"/>
      <c r="V217" s="563"/>
      <c r="W217" s="42" t="s">
        <v>0</v>
      </c>
      <c r="X217" s="43">
        <f>IFERROR(SUM(X207:X215),"0")</f>
        <v>32.4</v>
      </c>
      <c r="Y217" s="43">
        <f>IFERROR(SUM(Y207:Y215),"0")</f>
        <v>32.4</v>
      </c>
      <c r="Z217" s="42"/>
      <c r="AA217" s="67"/>
      <c r="AB217" s="67"/>
      <c r="AC217" s="67"/>
    </row>
    <row r="218" spans="1:68" ht="14.25" customHeight="1" x14ac:dyDescent="0.25">
      <c r="A218" s="556" t="s">
        <v>177</v>
      </c>
      <c r="B218" s="556"/>
      <c r="C218" s="556"/>
      <c r="D218" s="556"/>
      <c r="E218" s="556"/>
      <c r="F218" s="556"/>
      <c r="G218" s="556"/>
      <c r="H218" s="556"/>
      <c r="I218" s="556"/>
      <c r="J218" s="556"/>
      <c r="K218" s="556"/>
      <c r="L218" s="556"/>
      <c r="M218" s="556"/>
      <c r="N218" s="556"/>
      <c r="O218" s="556"/>
      <c r="P218" s="556"/>
      <c r="Q218" s="556"/>
      <c r="R218" s="556"/>
      <c r="S218" s="556"/>
      <c r="T218" s="556"/>
      <c r="U218" s="556"/>
      <c r="V218" s="556"/>
      <c r="W218" s="556"/>
      <c r="X218" s="556"/>
      <c r="Y218" s="556"/>
      <c r="Z218" s="556"/>
      <c r="AA218" s="66"/>
      <c r="AB218" s="66"/>
      <c r="AC218" s="80"/>
    </row>
    <row r="219" spans="1:68" ht="27" customHeight="1" x14ac:dyDescent="0.25">
      <c r="A219" s="63" t="s">
        <v>364</v>
      </c>
      <c r="B219" s="63" t="s">
        <v>365</v>
      </c>
      <c r="C219" s="36">
        <v>4301060463</v>
      </c>
      <c r="D219" s="557">
        <v>4680115880818</v>
      </c>
      <c r="E219" s="557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100</v>
      </c>
      <c r="M219" s="38" t="s">
        <v>96</v>
      </c>
      <c r="N219" s="38"/>
      <c r="O219" s="37">
        <v>40</v>
      </c>
      <c r="P219" s="70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9"/>
      <c r="R219" s="559"/>
      <c r="S219" s="559"/>
      <c r="T219" s="560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366</v>
      </c>
      <c r="AG219" s="78"/>
      <c r="AJ219" s="84" t="s">
        <v>101</v>
      </c>
      <c r="AK219" s="84">
        <v>33.6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367</v>
      </c>
      <c r="B220" s="63" t="s">
        <v>368</v>
      </c>
      <c r="C220" s="36">
        <v>4301060389</v>
      </c>
      <c r="D220" s="557">
        <v>4680115880801</v>
      </c>
      <c r="E220" s="557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89</v>
      </c>
      <c r="L220" s="37" t="s">
        <v>45</v>
      </c>
      <c r="M220" s="38" t="s">
        <v>88</v>
      </c>
      <c r="N220" s="38"/>
      <c r="O220" s="37">
        <v>40</v>
      </c>
      <c r="P220" s="70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9"/>
      <c r="R220" s="559"/>
      <c r="S220" s="559"/>
      <c r="T220" s="560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369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564"/>
      <c r="B221" s="564"/>
      <c r="C221" s="564"/>
      <c r="D221" s="564"/>
      <c r="E221" s="564"/>
      <c r="F221" s="564"/>
      <c r="G221" s="564"/>
      <c r="H221" s="564"/>
      <c r="I221" s="564"/>
      <c r="J221" s="564"/>
      <c r="K221" s="564"/>
      <c r="L221" s="564"/>
      <c r="M221" s="564"/>
      <c r="N221" s="564"/>
      <c r="O221" s="565"/>
      <c r="P221" s="561" t="s">
        <v>40</v>
      </c>
      <c r="Q221" s="562"/>
      <c r="R221" s="562"/>
      <c r="S221" s="562"/>
      <c r="T221" s="562"/>
      <c r="U221" s="562"/>
      <c r="V221" s="563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564"/>
      <c r="B222" s="564"/>
      <c r="C222" s="564"/>
      <c r="D222" s="564"/>
      <c r="E222" s="564"/>
      <c r="F222" s="564"/>
      <c r="G222" s="564"/>
      <c r="H222" s="564"/>
      <c r="I222" s="564"/>
      <c r="J222" s="564"/>
      <c r="K222" s="564"/>
      <c r="L222" s="564"/>
      <c r="M222" s="564"/>
      <c r="N222" s="564"/>
      <c r="O222" s="565"/>
      <c r="P222" s="561" t="s">
        <v>40</v>
      </c>
      <c r="Q222" s="562"/>
      <c r="R222" s="562"/>
      <c r="S222" s="562"/>
      <c r="T222" s="562"/>
      <c r="U222" s="562"/>
      <c r="V222" s="563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572" t="s">
        <v>370</v>
      </c>
      <c r="B223" s="572"/>
      <c r="C223" s="572"/>
      <c r="D223" s="572"/>
      <c r="E223" s="572"/>
      <c r="F223" s="572"/>
      <c r="G223" s="572"/>
      <c r="H223" s="572"/>
      <c r="I223" s="572"/>
      <c r="J223" s="572"/>
      <c r="K223" s="572"/>
      <c r="L223" s="572"/>
      <c r="M223" s="572"/>
      <c r="N223" s="572"/>
      <c r="O223" s="572"/>
      <c r="P223" s="572"/>
      <c r="Q223" s="572"/>
      <c r="R223" s="572"/>
      <c r="S223" s="572"/>
      <c r="T223" s="572"/>
      <c r="U223" s="572"/>
      <c r="V223" s="572"/>
      <c r="W223" s="572"/>
      <c r="X223" s="572"/>
      <c r="Y223" s="572"/>
      <c r="Z223" s="572"/>
      <c r="AA223" s="65"/>
      <c r="AB223" s="65"/>
      <c r="AC223" s="79"/>
    </row>
    <row r="224" spans="1:68" ht="14.25" customHeight="1" x14ac:dyDescent="0.25">
      <c r="A224" s="556" t="s">
        <v>112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66"/>
      <c r="AB224" s="66"/>
      <c r="AC224" s="80"/>
    </row>
    <row r="225" spans="1:68" ht="27" customHeight="1" x14ac:dyDescent="0.25">
      <c r="A225" s="63" t="s">
        <v>371</v>
      </c>
      <c r="B225" s="63" t="s">
        <v>372</v>
      </c>
      <c r="C225" s="36">
        <v>4301011826</v>
      </c>
      <c r="D225" s="557">
        <v>4680115884137</v>
      </c>
      <c r="E225" s="557"/>
      <c r="F225" s="62">
        <v>1.45</v>
      </c>
      <c r="G225" s="37">
        <v>8</v>
      </c>
      <c r="H225" s="62">
        <v>11.6</v>
      </c>
      <c r="I225" s="62">
        <v>12.035</v>
      </c>
      <c r="J225" s="37">
        <v>64</v>
      </c>
      <c r="K225" s="37" t="s">
        <v>117</v>
      </c>
      <c r="L225" s="37" t="s">
        <v>45</v>
      </c>
      <c r="M225" s="38" t="s">
        <v>116</v>
      </c>
      <c r="N225" s="38"/>
      <c r="O225" s="37">
        <v>55</v>
      </c>
      <c r="P225" s="70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9"/>
      <c r="R225" s="559"/>
      <c r="S225" s="559"/>
      <c r="T225" s="560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373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374</v>
      </c>
      <c r="B226" s="63" t="s">
        <v>375</v>
      </c>
      <c r="C226" s="36">
        <v>4301011724</v>
      </c>
      <c r="D226" s="557">
        <v>4680115884236</v>
      </c>
      <c r="E226" s="557"/>
      <c r="F226" s="62">
        <v>1.45</v>
      </c>
      <c r="G226" s="37">
        <v>8</v>
      </c>
      <c r="H226" s="62">
        <v>11.6</v>
      </c>
      <c r="I226" s="62">
        <v>12.035</v>
      </c>
      <c r="J226" s="37">
        <v>64</v>
      </c>
      <c r="K226" s="37" t="s">
        <v>117</v>
      </c>
      <c r="L226" s="37" t="s">
        <v>45</v>
      </c>
      <c r="M226" s="38" t="s">
        <v>116</v>
      </c>
      <c r="N226" s="38"/>
      <c r="O226" s="37">
        <v>55</v>
      </c>
      <c r="P226" s="70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9"/>
      <c r="R226" s="559"/>
      <c r="S226" s="559"/>
      <c r="T226" s="560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376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377</v>
      </c>
      <c r="B227" s="63" t="s">
        <v>378</v>
      </c>
      <c r="C227" s="36">
        <v>4301011721</v>
      </c>
      <c r="D227" s="557">
        <v>4680115884175</v>
      </c>
      <c r="E227" s="557"/>
      <c r="F227" s="62">
        <v>1.45</v>
      </c>
      <c r="G227" s="37">
        <v>8</v>
      </c>
      <c r="H227" s="62">
        <v>11.6</v>
      </c>
      <c r="I227" s="62">
        <v>12.035</v>
      </c>
      <c r="J227" s="37">
        <v>64</v>
      </c>
      <c r="K227" s="37" t="s">
        <v>117</v>
      </c>
      <c r="L227" s="37" t="s">
        <v>45</v>
      </c>
      <c r="M227" s="38" t="s">
        <v>116</v>
      </c>
      <c r="N227" s="38"/>
      <c r="O227" s="37">
        <v>55</v>
      </c>
      <c r="P227" s="70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9"/>
      <c r="R227" s="559"/>
      <c r="S227" s="559"/>
      <c r="T227" s="560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380</v>
      </c>
      <c r="B228" s="63" t="s">
        <v>381</v>
      </c>
      <c r="C228" s="36">
        <v>4301011824</v>
      </c>
      <c r="D228" s="557">
        <v>4680115884144</v>
      </c>
      <c r="E228" s="557"/>
      <c r="F228" s="62">
        <v>0.4</v>
      </c>
      <c r="G228" s="37">
        <v>10</v>
      </c>
      <c r="H228" s="62">
        <v>4</v>
      </c>
      <c r="I228" s="62">
        <v>4.21</v>
      </c>
      <c r="J228" s="37">
        <v>132</v>
      </c>
      <c r="K228" s="37" t="s">
        <v>121</v>
      </c>
      <c r="L228" s="37" t="s">
        <v>122</v>
      </c>
      <c r="M228" s="38" t="s">
        <v>116</v>
      </c>
      <c r="N228" s="38"/>
      <c r="O228" s="37">
        <v>55</v>
      </c>
      <c r="P228" s="70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9"/>
      <c r="R228" s="559"/>
      <c r="S228" s="559"/>
      <c r="T228" s="560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373</v>
      </c>
      <c r="AG228" s="78"/>
      <c r="AJ228" s="84" t="s">
        <v>101</v>
      </c>
      <c r="AK228" s="84">
        <v>48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380</v>
      </c>
      <c r="B229" s="63" t="s">
        <v>382</v>
      </c>
      <c r="C229" s="36">
        <v>4301012196</v>
      </c>
      <c r="D229" s="557">
        <v>4680115884144</v>
      </c>
      <c r="E229" s="557"/>
      <c r="F229" s="62">
        <v>0.4</v>
      </c>
      <c r="G229" s="37">
        <v>10</v>
      </c>
      <c r="H229" s="62">
        <v>4</v>
      </c>
      <c r="I229" s="62">
        <v>4.21</v>
      </c>
      <c r="J229" s="37">
        <v>132</v>
      </c>
      <c r="K229" s="37" t="s">
        <v>121</v>
      </c>
      <c r="L229" s="37" t="s">
        <v>45</v>
      </c>
      <c r="M229" s="38" t="s">
        <v>116</v>
      </c>
      <c r="N229" s="38"/>
      <c r="O229" s="37">
        <v>55</v>
      </c>
      <c r="P229" s="69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9"/>
      <c r="R229" s="559"/>
      <c r="S229" s="559"/>
      <c r="T229" s="560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373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383</v>
      </c>
      <c r="B230" s="63" t="s">
        <v>384</v>
      </c>
      <c r="C230" s="36">
        <v>4301012149</v>
      </c>
      <c r="D230" s="557">
        <v>4680115886551</v>
      </c>
      <c r="E230" s="557"/>
      <c r="F230" s="62">
        <v>0.4</v>
      </c>
      <c r="G230" s="37">
        <v>10</v>
      </c>
      <c r="H230" s="62">
        <v>4</v>
      </c>
      <c r="I230" s="62">
        <v>4.21</v>
      </c>
      <c r="J230" s="37">
        <v>132</v>
      </c>
      <c r="K230" s="37" t="s">
        <v>121</v>
      </c>
      <c r="L230" s="37" t="s">
        <v>45</v>
      </c>
      <c r="M230" s="38" t="s">
        <v>116</v>
      </c>
      <c r="N230" s="38"/>
      <c r="O230" s="37">
        <v>55</v>
      </c>
      <c r="P230" s="69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9"/>
      <c r="R230" s="559"/>
      <c r="S230" s="559"/>
      <c r="T230" s="560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385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386</v>
      </c>
      <c r="B231" s="63" t="s">
        <v>387</v>
      </c>
      <c r="C231" s="36">
        <v>4301011726</v>
      </c>
      <c r="D231" s="557">
        <v>4680115884182</v>
      </c>
      <c r="E231" s="557"/>
      <c r="F231" s="62">
        <v>0.37</v>
      </c>
      <c r="G231" s="37">
        <v>10</v>
      </c>
      <c r="H231" s="62">
        <v>3.7</v>
      </c>
      <c r="I231" s="62">
        <v>3.91</v>
      </c>
      <c r="J231" s="37">
        <v>132</v>
      </c>
      <c r="K231" s="37" t="s">
        <v>121</v>
      </c>
      <c r="L231" s="37" t="s">
        <v>45</v>
      </c>
      <c r="M231" s="38" t="s">
        <v>116</v>
      </c>
      <c r="N231" s="38"/>
      <c r="O231" s="37">
        <v>55</v>
      </c>
      <c r="P231" s="69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9"/>
      <c r="R231" s="559"/>
      <c r="S231" s="559"/>
      <c r="T231" s="560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376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388</v>
      </c>
      <c r="B232" s="63" t="s">
        <v>389</v>
      </c>
      <c r="C232" s="36">
        <v>4301012228</v>
      </c>
      <c r="D232" s="557">
        <v>4680115887282</v>
      </c>
      <c r="E232" s="557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89</v>
      </c>
      <c r="L232" s="37" t="s">
        <v>45</v>
      </c>
      <c r="M232" s="38" t="s">
        <v>116</v>
      </c>
      <c r="N232" s="38"/>
      <c r="O232" s="37">
        <v>55</v>
      </c>
      <c r="P232" s="6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9"/>
      <c r="R232" s="559"/>
      <c r="S232" s="559"/>
      <c r="T232" s="560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376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390</v>
      </c>
      <c r="B233" s="63" t="s">
        <v>391</v>
      </c>
      <c r="C233" s="36">
        <v>4301011722</v>
      </c>
      <c r="D233" s="557">
        <v>4680115884205</v>
      </c>
      <c r="E233" s="557"/>
      <c r="F233" s="62">
        <v>0.4</v>
      </c>
      <c r="G233" s="37">
        <v>10</v>
      </c>
      <c r="H233" s="62">
        <v>4</v>
      </c>
      <c r="I233" s="62">
        <v>4.21</v>
      </c>
      <c r="J233" s="37">
        <v>132</v>
      </c>
      <c r="K233" s="37" t="s">
        <v>121</v>
      </c>
      <c r="L233" s="37" t="s">
        <v>122</v>
      </c>
      <c r="M233" s="38" t="s">
        <v>116</v>
      </c>
      <c r="N233" s="38"/>
      <c r="O233" s="37">
        <v>55</v>
      </c>
      <c r="P233" s="7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9"/>
      <c r="R233" s="559"/>
      <c r="S233" s="559"/>
      <c r="T233" s="560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379</v>
      </c>
      <c r="AG233" s="78"/>
      <c r="AJ233" s="84" t="s">
        <v>101</v>
      </c>
      <c r="AK233" s="84">
        <v>48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390</v>
      </c>
      <c r="B234" s="63" t="s">
        <v>392</v>
      </c>
      <c r="C234" s="36">
        <v>4301012195</v>
      </c>
      <c r="D234" s="557">
        <v>4680115884205</v>
      </c>
      <c r="E234" s="557"/>
      <c r="F234" s="62">
        <v>0.4</v>
      </c>
      <c r="G234" s="37">
        <v>10</v>
      </c>
      <c r="H234" s="62">
        <v>4</v>
      </c>
      <c r="I234" s="62">
        <v>4.21</v>
      </c>
      <c r="J234" s="37">
        <v>132</v>
      </c>
      <c r="K234" s="37" t="s">
        <v>121</v>
      </c>
      <c r="L234" s="37" t="s">
        <v>45</v>
      </c>
      <c r="M234" s="38" t="s">
        <v>116</v>
      </c>
      <c r="N234" s="38"/>
      <c r="O234" s="37">
        <v>55</v>
      </c>
      <c r="P234" s="69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9"/>
      <c r="R234" s="559"/>
      <c r="S234" s="559"/>
      <c r="T234" s="560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379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564"/>
      <c r="B235" s="564"/>
      <c r="C235" s="564"/>
      <c r="D235" s="564"/>
      <c r="E235" s="564"/>
      <c r="F235" s="564"/>
      <c r="G235" s="564"/>
      <c r="H235" s="564"/>
      <c r="I235" s="564"/>
      <c r="J235" s="564"/>
      <c r="K235" s="564"/>
      <c r="L235" s="564"/>
      <c r="M235" s="564"/>
      <c r="N235" s="564"/>
      <c r="O235" s="565"/>
      <c r="P235" s="561" t="s">
        <v>40</v>
      </c>
      <c r="Q235" s="562"/>
      <c r="R235" s="562"/>
      <c r="S235" s="562"/>
      <c r="T235" s="562"/>
      <c r="U235" s="562"/>
      <c r="V235" s="563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564"/>
      <c r="B236" s="564"/>
      <c r="C236" s="564"/>
      <c r="D236" s="564"/>
      <c r="E236" s="564"/>
      <c r="F236" s="564"/>
      <c r="G236" s="564"/>
      <c r="H236" s="564"/>
      <c r="I236" s="564"/>
      <c r="J236" s="564"/>
      <c r="K236" s="564"/>
      <c r="L236" s="564"/>
      <c r="M236" s="564"/>
      <c r="N236" s="564"/>
      <c r="O236" s="565"/>
      <c r="P236" s="561" t="s">
        <v>40</v>
      </c>
      <c r="Q236" s="562"/>
      <c r="R236" s="562"/>
      <c r="S236" s="562"/>
      <c r="T236" s="562"/>
      <c r="U236" s="562"/>
      <c r="V236" s="563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556" t="s">
        <v>147</v>
      </c>
      <c r="B237" s="556"/>
      <c r="C237" s="556"/>
      <c r="D237" s="556"/>
      <c r="E237" s="556"/>
      <c r="F237" s="556"/>
      <c r="G237" s="556"/>
      <c r="H237" s="556"/>
      <c r="I237" s="556"/>
      <c r="J237" s="556"/>
      <c r="K237" s="556"/>
      <c r="L237" s="556"/>
      <c r="M237" s="556"/>
      <c r="N237" s="556"/>
      <c r="O237" s="556"/>
      <c r="P237" s="556"/>
      <c r="Q237" s="556"/>
      <c r="R237" s="556"/>
      <c r="S237" s="556"/>
      <c r="T237" s="556"/>
      <c r="U237" s="556"/>
      <c r="V237" s="556"/>
      <c r="W237" s="556"/>
      <c r="X237" s="556"/>
      <c r="Y237" s="556"/>
      <c r="Z237" s="556"/>
      <c r="AA237" s="66"/>
      <c r="AB237" s="66"/>
      <c r="AC237" s="80"/>
    </row>
    <row r="238" spans="1:68" ht="27" customHeight="1" x14ac:dyDescent="0.25">
      <c r="A238" s="63" t="s">
        <v>393</v>
      </c>
      <c r="B238" s="63" t="s">
        <v>394</v>
      </c>
      <c r="C238" s="36">
        <v>4301020377</v>
      </c>
      <c r="D238" s="557">
        <v>4680115885981</v>
      </c>
      <c r="E238" s="557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83</v>
      </c>
      <c r="L238" s="37" t="s">
        <v>45</v>
      </c>
      <c r="M238" s="38" t="s">
        <v>88</v>
      </c>
      <c r="N238" s="38"/>
      <c r="O238" s="37">
        <v>50</v>
      </c>
      <c r="P238" s="6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9"/>
      <c r="R238" s="559"/>
      <c r="S238" s="559"/>
      <c r="T238" s="560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395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564"/>
      <c r="B239" s="564"/>
      <c r="C239" s="564"/>
      <c r="D239" s="564"/>
      <c r="E239" s="564"/>
      <c r="F239" s="564"/>
      <c r="G239" s="564"/>
      <c r="H239" s="564"/>
      <c r="I239" s="564"/>
      <c r="J239" s="564"/>
      <c r="K239" s="564"/>
      <c r="L239" s="564"/>
      <c r="M239" s="564"/>
      <c r="N239" s="564"/>
      <c r="O239" s="565"/>
      <c r="P239" s="561" t="s">
        <v>40</v>
      </c>
      <c r="Q239" s="562"/>
      <c r="R239" s="562"/>
      <c r="S239" s="562"/>
      <c r="T239" s="562"/>
      <c r="U239" s="562"/>
      <c r="V239" s="563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564"/>
      <c r="B240" s="564"/>
      <c r="C240" s="564"/>
      <c r="D240" s="564"/>
      <c r="E240" s="564"/>
      <c r="F240" s="564"/>
      <c r="G240" s="564"/>
      <c r="H240" s="564"/>
      <c r="I240" s="564"/>
      <c r="J240" s="564"/>
      <c r="K240" s="564"/>
      <c r="L240" s="564"/>
      <c r="M240" s="564"/>
      <c r="N240" s="564"/>
      <c r="O240" s="565"/>
      <c r="P240" s="561" t="s">
        <v>40</v>
      </c>
      <c r="Q240" s="562"/>
      <c r="R240" s="562"/>
      <c r="S240" s="562"/>
      <c r="T240" s="562"/>
      <c r="U240" s="562"/>
      <c r="V240" s="563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556" t="s">
        <v>396</v>
      </c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56"/>
      <c r="P241" s="556"/>
      <c r="Q241" s="556"/>
      <c r="R241" s="556"/>
      <c r="S241" s="556"/>
      <c r="T241" s="556"/>
      <c r="U241" s="556"/>
      <c r="V241" s="556"/>
      <c r="W241" s="556"/>
      <c r="X241" s="556"/>
      <c r="Y241" s="556"/>
      <c r="Z241" s="556"/>
      <c r="AA241" s="66"/>
      <c r="AB241" s="66"/>
      <c r="AC241" s="80"/>
    </row>
    <row r="242" spans="1:68" ht="27" customHeight="1" x14ac:dyDescent="0.25">
      <c r="A242" s="63" t="s">
        <v>397</v>
      </c>
      <c r="B242" s="63" t="s">
        <v>398</v>
      </c>
      <c r="C242" s="36">
        <v>4301040362</v>
      </c>
      <c r="D242" s="557">
        <v>4680115886803</v>
      </c>
      <c r="E242" s="557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301</v>
      </c>
      <c r="L242" s="37" t="s">
        <v>45</v>
      </c>
      <c r="M242" s="38" t="s">
        <v>300</v>
      </c>
      <c r="N242" s="38"/>
      <c r="O242" s="37">
        <v>45</v>
      </c>
      <c r="P242" s="6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9"/>
      <c r="R242" s="559"/>
      <c r="S242" s="559"/>
      <c r="T242" s="560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399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564"/>
      <c r="B243" s="564"/>
      <c r="C243" s="564"/>
      <c r="D243" s="564"/>
      <c r="E243" s="564"/>
      <c r="F243" s="564"/>
      <c r="G243" s="564"/>
      <c r="H243" s="564"/>
      <c r="I243" s="564"/>
      <c r="J243" s="564"/>
      <c r="K243" s="564"/>
      <c r="L243" s="564"/>
      <c r="M243" s="564"/>
      <c r="N243" s="564"/>
      <c r="O243" s="565"/>
      <c r="P243" s="561" t="s">
        <v>40</v>
      </c>
      <c r="Q243" s="562"/>
      <c r="R243" s="562"/>
      <c r="S243" s="562"/>
      <c r="T243" s="562"/>
      <c r="U243" s="562"/>
      <c r="V243" s="563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564"/>
      <c r="B244" s="564"/>
      <c r="C244" s="564"/>
      <c r="D244" s="564"/>
      <c r="E244" s="564"/>
      <c r="F244" s="564"/>
      <c r="G244" s="564"/>
      <c r="H244" s="564"/>
      <c r="I244" s="564"/>
      <c r="J244" s="564"/>
      <c r="K244" s="564"/>
      <c r="L244" s="564"/>
      <c r="M244" s="564"/>
      <c r="N244" s="564"/>
      <c r="O244" s="565"/>
      <c r="P244" s="561" t="s">
        <v>40</v>
      </c>
      <c r="Q244" s="562"/>
      <c r="R244" s="562"/>
      <c r="S244" s="562"/>
      <c r="T244" s="562"/>
      <c r="U244" s="562"/>
      <c r="V244" s="563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556" t="s">
        <v>400</v>
      </c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56"/>
      <c r="P245" s="556"/>
      <c r="Q245" s="556"/>
      <c r="R245" s="556"/>
      <c r="S245" s="556"/>
      <c r="T245" s="556"/>
      <c r="U245" s="556"/>
      <c r="V245" s="556"/>
      <c r="W245" s="556"/>
      <c r="X245" s="556"/>
      <c r="Y245" s="556"/>
      <c r="Z245" s="556"/>
      <c r="AA245" s="66"/>
      <c r="AB245" s="66"/>
      <c r="AC245" s="80"/>
    </row>
    <row r="246" spans="1:68" ht="27" customHeight="1" x14ac:dyDescent="0.25">
      <c r="A246" s="63" t="s">
        <v>401</v>
      </c>
      <c r="B246" s="63" t="s">
        <v>402</v>
      </c>
      <c r="C246" s="36">
        <v>4301041004</v>
      </c>
      <c r="D246" s="557">
        <v>4680115886704</v>
      </c>
      <c r="E246" s="557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301</v>
      </c>
      <c r="L246" s="37" t="s">
        <v>45</v>
      </c>
      <c r="M246" s="38" t="s">
        <v>300</v>
      </c>
      <c r="N246" s="38"/>
      <c r="O246" s="37">
        <v>90</v>
      </c>
      <c r="P246" s="6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9"/>
      <c r="R246" s="559"/>
      <c r="S246" s="559"/>
      <c r="T246" s="560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403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404</v>
      </c>
      <c r="B247" s="63" t="s">
        <v>405</v>
      </c>
      <c r="C247" s="36">
        <v>4301041008</v>
      </c>
      <c r="D247" s="557">
        <v>4680115886681</v>
      </c>
      <c r="E247" s="557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301</v>
      </c>
      <c r="L247" s="37" t="s">
        <v>45</v>
      </c>
      <c r="M247" s="38" t="s">
        <v>300</v>
      </c>
      <c r="N247" s="38"/>
      <c r="O247" s="37">
        <v>90</v>
      </c>
      <c r="P247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9"/>
      <c r="R247" s="559"/>
      <c r="S247" s="559"/>
      <c r="T247" s="560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403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406</v>
      </c>
      <c r="B248" s="63" t="s">
        <v>407</v>
      </c>
      <c r="C248" s="36">
        <v>4301041007</v>
      </c>
      <c r="D248" s="557">
        <v>4680115886735</v>
      </c>
      <c r="E248" s="557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301</v>
      </c>
      <c r="L248" s="37" t="s">
        <v>45</v>
      </c>
      <c r="M248" s="38" t="s">
        <v>300</v>
      </c>
      <c r="N248" s="38"/>
      <c r="O248" s="37">
        <v>90</v>
      </c>
      <c r="P248" s="6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9"/>
      <c r="R248" s="559"/>
      <c r="S248" s="559"/>
      <c r="T248" s="560"/>
      <c r="U248" s="39" t="s">
        <v>45</v>
      </c>
      <c r="V248" s="39" t="s">
        <v>45</v>
      </c>
      <c r="W248" s="40" t="s">
        <v>0</v>
      </c>
      <c r="X248" s="58">
        <v>0.9</v>
      </c>
      <c r="Y248" s="55">
        <f>IFERROR(IF(X248="",0,CEILING((X248/$H248),1)*$H248),"")</f>
        <v>0.9</v>
      </c>
      <c r="Z248" s="41">
        <f>IFERROR(IF(Y248=0,"",ROUNDUP(Y248/H248,0)*0.0059),"")</f>
        <v>5.8999999999999999E-3</v>
      </c>
      <c r="AA248" s="68" t="s">
        <v>45</v>
      </c>
      <c r="AB248" s="69" t="s">
        <v>45</v>
      </c>
      <c r="AC248" s="312" t="s">
        <v>403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1.0900000000000001</v>
      </c>
      <c r="BN248" s="78">
        <f>IFERROR(Y248*I248/H248,"0")</f>
        <v>1.0900000000000001</v>
      </c>
      <c r="BO248" s="78">
        <f>IFERROR(1/J248*(X248/H248),"0")</f>
        <v>4.6296296296296294E-3</v>
      </c>
      <c r="BP248" s="78">
        <f>IFERROR(1/J248*(Y248/H248),"0")</f>
        <v>4.6296296296296294E-3</v>
      </c>
    </row>
    <row r="249" spans="1:68" ht="27" customHeight="1" x14ac:dyDescent="0.25">
      <c r="A249" s="63" t="s">
        <v>408</v>
      </c>
      <c r="B249" s="63" t="s">
        <v>409</v>
      </c>
      <c r="C249" s="36">
        <v>4301041006</v>
      </c>
      <c r="D249" s="557">
        <v>4680115886728</v>
      </c>
      <c r="E249" s="557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301</v>
      </c>
      <c r="L249" s="37" t="s">
        <v>45</v>
      </c>
      <c r="M249" s="38" t="s">
        <v>300</v>
      </c>
      <c r="N249" s="38"/>
      <c r="O249" s="37">
        <v>90</v>
      </c>
      <c r="P249" s="69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9"/>
      <c r="R249" s="559"/>
      <c r="S249" s="559"/>
      <c r="T249" s="560"/>
      <c r="U249" s="39" t="s">
        <v>45</v>
      </c>
      <c r="V249" s="39" t="s">
        <v>45</v>
      </c>
      <c r="W249" s="40" t="s">
        <v>0</v>
      </c>
      <c r="X249" s="58">
        <v>0.99</v>
      </c>
      <c r="Y249" s="55">
        <f>IFERROR(IF(X249="",0,CEILING((X249/$H249),1)*$H249),"")</f>
        <v>0.99</v>
      </c>
      <c r="Z249" s="41">
        <f>IFERROR(IF(Y249=0,"",ROUNDUP(Y249/H249,0)*0.0059),"")</f>
        <v>5.8999999999999999E-3</v>
      </c>
      <c r="AA249" s="68" t="s">
        <v>45</v>
      </c>
      <c r="AB249" s="69" t="s">
        <v>45</v>
      </c>
      <c r="AC249" s="314" t="s">
        <v>403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1.18</v>
      </c>
      <c r="BN249" s="78">
        <f>IFERROR(Y249*I249/H249,"0")</f>
        <v>1.18</v>
      </c>
      <c r="BO249" s="78">
        <f>IFERROR(1/J249*(X249/H249),"0")</f>
        <v>4.6296296296296294E-3</v>
      </c>
      <c r="BP249" s="78">
        <f>IFERROR(1/J249*(Y249/H249),"0")</f>
        <v>4.6296296296296294E-3</v>
      </c>
    </row>
    <row r="250" spans="1:68" ht="27" customHeight="1" x14ac:dyDescent="0.25">
      <c r="A250" s="63" t="s">
        <v>410</v>
      </c>
      <c r="B250" s="63" t="s">
        <v>411</v>
      </c>
      <c r="C250" s="36">
        <v>4301041005</v>
      </c>
      <c r="D250" s="557">
        <v>4680115886711</v>
      </c>
      <c r="E250" s="557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301</v>
      </c>
      <c r="L250" s="37" t="s">
        <v>45</v>
      </c>
      <c r="M250" s="38" t="s">
        <v>300</v>
      </c>
      <c r="N250" s="38"/>
      <c r="O250" s="37">
        <v>90</v>
      </c>
      <c r="P250" s="69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9"/>
      <c r="R250" s="559"/>
      <c r="S250" s="559"/>
      <c r="T250" s="560"/>
      <c r="U250" s="39" t="s">
        <v>45</v>
      </c>
      <c r="V250" s="39" t="s">
        <v>45</v>
      </c>
      <c r="W250" s="40" t="s">
        <v>0</v>
      </c>
      <c r="X250" s="58">
        <v>0.99</v>
      </c>
      <c r="Y250" s="55">
        <f>IFERROR(IF(X250="",0,CEILING((X250/$H250),1)*$H250),"")</f>
        <v>0.99</v>
      </c>
      <c r="Z250" s="41">
        <f>IFERROR(IF(Y250=0,"",ROUNDUP(Y250/H250,0)*0.0059),"")</f>
        <v>5.8999999999999999E-3</v>
      </c>
      <c r="AA250" s="68" t="s">
        <v>45</v>
      </c>
      <c r="AB250" s="69" t="s">
        <v>45</v>
      </c>
      <c r="AC250" s="316" t="s">
        <v>403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1.18</v>
      </c>
      <c r="BN250" s="78">
        <f>IFERROR(Y250*I250/H250,"0")</f>
        <v>1.18</v>
      </c>
      <c r="BO250" s="78">
        <f>IFERROR(1/J250*(X250/H250),"0")</f>
        <v>4.6296296296296294E-3</v>
      </c>
      <c r="BP250" s="78">
        <f>IFERROR(1/J250*(Y250/H250),"0")</f>
        <v>4.6296296296296294E-3</v>
      </c>
    </row>
    <row r="251" spans="1:68" x14ac:dyDescent="0.2">
      <c r="A251" s="564"/>
      <c r="B251" s="564"/>
      <c r="C251" s="564"/>
      <c r="D251" s="564"/>
      <c r="E251" s="564"/>
      <c r="F251" s="564"/>
      <c r="G251" s="564"/>
      <c r="H251" s="564"/>
      <c r="I251" s="564"/>
      <c r="J251" s="564"/>
      <c r="K251" s="564"/>
      <c r="L251" s="564"/>
      <c r="M251" s="564"/>
      <c r="N251" s="564"/>
      <c r="O251" s="565"/>
      <c r="P251" s="561" t="s">
        <v>40</v>
      </c>
      <c r="Q251" s="562"/>
      <c r="R251" s="562"/>
      <c r="S251" s="562"/>
      <c r="T251" s="562"/>
      <c r="U251" s="562"/>
      <c r="V251" s="563"/>
      <c r="W251" s="42" t="s">
        <v>39</v>
      </c>
      <c r="X251" s="43">
        <f>IFERROR(X246/H246,"0")+IFERROR(X247/H247,"0")+IFERROR(X248/H248,"0")+IFERROR(X249/H249,"0")+IFERROR(X250/H250,"0")</f>
        <v>3</v>
      </c>
      <c r="Y251" s="43">
        <f>IFERROR(Y246/H246,"0")+IFERROR(Y247/H247,"0")+IFERROR(Y248/H248,"0")+IFERROR(Y249/H249,"0")+IFERROR(Y250/H250,"0")</f>
        <v>3</v>
      </c>
      <c r="Z251" s="43">
        <f>IFERROR(IF(Z246="",0,Z246),"0")+IFERROR(IF(Z247="",0,Z247),"0")+IFERROR(IF(Z248="",0,Z248),"0")+IFERROR(IF(Z249="",0,Z249),"0")+IFERROR(IF(Z250="",0,Z250),"0")</f>
        <v>1.77E-2</v>
      </c>
      <c r="AA251" s="67"/>
      <c r="AB251" s="67"/>
      <c r="AC251" s="67"/>
    </row>
    <row r="252" spans="1:68" x14ac:dyDescent="0.2">
      <c r="A252" s="564"/>
      <c r="B252" s="564"/>
      <c r="C252" s="564"/>
      <c r="D252" s="564"/>
      <c r="E252" s="564"/>
      <c r="F252" s="564"/>
      <c r="G252" s="564"/>
      <c r="H252" s="564"/>
      <c r="I252" s="564"/>
      <c r="J252" s="564"/>
      <c r="K252" s="564"/>
      <c r="L252" s="564"/>
      <c r="M252" s="564"/>
      <c r="N252" s="564"/>
      <c r="O252" s="565"/>
      <c r="P252" s="561" t="s">
        <v>40</v>
      </c>
      <c r="Q252" s="562"/>
      <c r="R252" s="562"/>
      <c r="S252" s="562"/>
      <c r="T252" s="562"/>
      <c r="U252" s="562"/>
      <c r="V252" s="563"/>
      <c r="W252" s="42" t="s">
        <v>0</v>
      </c>
      <c r="X252" s="43">
        <f>IFERROR(SUM(X246:X250),"0")</f>
        <v>2.88</v>
      </c>
      <c r="Y252" s="43">
        <f>IFERROR(SUM(Y246:Y250),"0")</f>
        <v>2.88</v>
      </c>
      <c r="Z252" s="42"/>
      <c r="AA252" s="67"/>
      <c r="AB252" s="67"/>
      <c r="AC252" s="67"/>
    </row>
    <row r="253" spans="1:68" ht="16.5" customHeight="1" x14ac:dyDescent="0.25">
      <c r="A253" s="572" t="s">
        <v>412</v>
      </c>
      <c r="B253" s="572"/>
      <c r="C253" s="572"/>
      <c r="D253" s="572"/>
      <c r="E253" s="572"/>
      <c r="F253" s="572"/>
      <c r="G253" s="572"/>
      <c r="H253" s="572"/>
      <c r="I253" s="572"/>
      <c r="J253" s="572"/>
      <c r="K253" s="572"/>
      <c r="L253" s="572"/>
      <c r="M253" s="572"/>
      <c r="N253" s="572"/>
      <c r="O253" s="572"/>
      <c r="P253" s="572"/>
      <c r="Q253" s="572"/>
      <c r="R253" s="572"/>
      <c r="S253" s="572"/>
      <c r="T253" s="572"/>
      <c r="U253" s="572"/>
      <c r="V253" s="572"/>
      <c r="W253" s="572"/>
      <c r="X253" s="572"/>
      <c r="Y253" s="572"/>
      <c r="Z253" s="572"/>
      <c r="AA253" s="65"/>
      <c r="AB253" s="65"/>
      <c r="AC253" s="79"/>
    </row>
    <row r="254" spans="1:68" ht="14.25" customHeight="1" x14ac:dyDescent="0.25">
      <c r="A254" s="556" t="s">
        <v>112</v>
      </c>
      <c r="B254" s="556"/>
      <c r="C254" s="556"/>
      <c r="D254" s="556"/>
      <c r="E254" s="556"/>
      <c r="F254" s="556"/>
      <c r="G254" s="556"/>
      <c r="H254" s="556"/>
      <c r="I254" s="556"/>
      <c r="J254" s="556"/>
      <c r="K254" s="556"/>
      <c r="L254" s="556"/>
      <c r="M254" s="556"/>
      <c r="N254" s="556"/>
      <c r="O254" s="556"/>
      <c r="P254" s="556"/>
      <c r="Q254" s="556"/>
      <c r="R254" s="556"/>
      <c r="S254" s="556"/>
      <c r="T254" s="556"/>
      <c r="U254" s="556"/>
      <c r="V254" s="556"/>
      <c r="W254" s="556"/>
      <c r="X254" s="556"/>
      <c r="Y254" s="556"/>
      <c r="Z254" s="556"/>
      <c r="AA254" s="66"/>
      <c r="AB254" s="66"/>
      <c r="AC254" s="80"/>
    </row>
    <row r="255" spans="1:68" ht="27" customHeight="1" x14ac:dyDescent="0.25">
      <c r="A255" s="63" t="s">
        <v>413</v>
      </c>
      <c r="B255" s="63" t="s">
        <v>414</v>
      </c>
      <c r="C255" s="36">
        <v>4301011855</v>
      </c>
      <c r="D255" s="557">
        <v>4680115885837</v>
      </c>
      <c r="E255" s="557"/>
      <c r="F255" s="62">
        <v>1.35</v>
      </c>
      <c r="G255" s="37">
        <v>8</v>
      </c>
      <c r="H255" s="62">
        <v>10.8</v>
      </c>
      <c r="I255" s="62">
        <v>11.234999999999999</v>
      </c>
      <c r="J255" s="37">
        <v>64</v>
      </c>
      <c r="K255" s="37" t="s">
        <v>117</v>
      </c>
      <c r="L255" s="37" t="s">
        <v>118</v>
      </c>
      <c r="M255" s="38" t="s">
        <v>116</v>
      </c>
      <c r="N255" s="38"/>
      <c r="O255" s="37">
        <v>55</v>
      </c>
      <c r="P255" s="6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9"/>
      <c r="R255" s="559"/>
      <c r="S255" s="559"/>
      <c r="T255" s="560"/>
      <c r="U255" s="39" t="s">
        <v>45</v>
      </c>
      <c r="V255" s="39" t="s">
        <v>45</v>
      </c>
      <c r="W255" s="40" t="s">
        <v>0</v>
      </c>
      <c r="X255" s="58">
        <v>108</v>
      </c>
      <c r="Y255" s="55">
        <f>IFERROR(IF(X255="",0,CEILING((X255/$H255),1)*$H255),"")</f>
        <v>108</v>
      </c>
      <c r="Z255" s="41">
        <f>IFERROR(IF(Y255=0,"",ROUNDUP(Y255/H255,0)*0.01898),"")</f>
        <v>0.1898</v>
      </c>
      <c r="AA255" s="68" t="s">
        <v>45</v>
      </c>
      <c r="AB255" s="69" t="s">
        <v>45</v>
      </c>
      <c r="AC255" s="318" t="s">
        <v>415</v>
      </c>
      <c r="AG255" s="78"/>
      <c r="AJ255" s="84" t="s">
        <v>101</v>
      </c>
      <c r="AK255" s="84">
        <v>86.4</v>
      </c>
      <c r="BB255" s="319" t="s">
        <v>66</v>
      </c>
      <c r="BM255" s="78">
        <f>IFERROR(X255*I255/H255,"0")</f>
        <v>112.34999999999998</v>
      </c>
      <c r="BN255" s="78">
        <f>IFERROR(Y255*I255/H255,"0")</f>
        <v>112.34999999999998</v>
      </c>
      <c r="BO255" s="78">
        <f>IFERROR(1/J255*(X255/H255),"0")</f>
        <v>0.15625</v>
      </c>
      <c r="BP255" s="78">
        <f>IFERROR(1/J255*(Y255/H255),"0")</f>
        <v>0.15625</v>
      </c>
    </row>
    <row r="256" spans="1:68" ht="37.5" customHeight="1" x14ac:dyDescent="0.25">
      <c r="A256" s="63" t="s">
        <v>416</v>
      </c>
      <c r="B256" s="63" t="s">
        <v>417</v>
      </c>
      <c r="C256" s="36">
        <v>4301011853</v>
      </c>
      <c r="D256" s="557">
        <v>4680115885851</v>
      </c>
      <c r="E256" s="557"/>
      <c r="F256" s="62">
        <v>1.35</v>
      </c>
      <c r="G256" s="37">
        <v>8</v>
      </c>
      <c r="H256" s="62">
        <v>10.8</v>
      </c>
      <c r="I256" s="62">
        <v>11.234999999999999</v>
      </c>
      <c r="J256" s="37">
        <v>64</v>
      </c>
      <c r="K256" s="37" t="s">
        <v>117</v>
      </c>
      <c r="L256" s="37" t="s">
        <v>45</v>
      </c>
      <c r="M256" s="38" t="s">
        <v>116</v>
      </c>
      <c r="N256" s="38"/>
      <c r="O256" s="37">
        <v>55</v>
      </c>
      <c r="P256" s="68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9"/>
      <c r="R256" s="559"/>
      <c r="S256" s="559"/>
      <c r="T256" s="560"/>
      <c r="U256" s="39" t="s">
        <v>45</v>
      </c>
      <c r="V256" s="39" t="s">
        <v>45</v>
      </c>
      <c r="W256" s="40" t="s">
        <v>0</v>
      </c>
      <c r="X256" s="58">
        <v>54</v>
      </c>
      <c r="Y256" s="55">
        <f>IFERROR(IF(X256="",0,CEILING((X256/$H256),1)*$H256),"")</f>
        <v>54</v>
      </c>
      <c r="Z256" s="41">
        <f>IFERROR(IF(Y256=0,"",ROUNDUP(Y256/H256,0)*0.01898),"")</f>
        <v>9.4899999999999998E-2</v>
      </c>
      <c r="AA256" s="68" t="s">
        <v>45</v>
      </c>
      <c r="AB256" s="69" t="s">
        <v>45</v>
      </c>
      <c r="AC256" s="320" t="s">
        <v>418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56.17499999999999</v>
      </c>
      <c r="BN256" s="78">
        <f>IFERROR(Y256*I256/H256,"0")</f>
        <v>56.17499999999999</v>
      </c>
      <c r="BO256" s="78">
        <f>IFERROR(1/J256*(X256/H256),"0")</f>
        <v>7.8125E-2</v>
      </c>
      <c r="BP256" s="78">
        <f>IFERROR(1/J256*(Y256/H256),"0")</f>
        <v>7.8125E-2</v>
      </c>
    </row>
    <row r="257" spans="1:68" ht="27" customHeight="1" x14ac:dyDescent="0.25">
      <c r="A257" s="63" t="s">
        <v>419</v>
      </c>
      <c r="B257" s="63" t="s">
        <v>420</v>
      </c>
      <c r="C257" s="36">
        <v>4301011850</v>
      </c>
      <c r="D257" s="557">
        <v>4680115885806</v>
      </c>
      <c r="E257" s="557"/>
      <c r="F257" s="62">
        <v>1.35</v>
      </c>
      <c r="G257" s="37">
        <v>8</v>
      </c>
      <c r="H257" s="62">
        <v>10.8</v>
      </c>
      <c r="I257" s="62">
        <v>11.234999999999999</v>
      </c>
      <c r="J257" s="37">
        <v>64</v>
      </c>
      <c r="K257" s="37" t="s">
        <v>117</v>
      </c>
      <c r="L257" s="37" t="s">
        <v>118</v>
      </c>
      <c r="M257" s="38" t="s">
        <v>116</v>
      </c>
      <c r="N257" s="38"/>
      <c r="O257" s="37">
        <v>55</v>
      </c>
      <c r="P257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9"/>
      <c r="R257" s="559"/>
      <c r="S257" s="559"/>
      <c r="T257" s="560"/>
      <c r="U257" s="39" t="s">
        <v>45</v>
      </c>
      <c r="V257" s="39" t="s">
        <v>45</v>
      </c>
      <c r="W257" s="40" t="s">
        <v>0</v>
      </c>
      <c r="X257" s="58">
        <v>162</v>
      </c>
      <c r="Y257" s="55">
        <f>IFERROR(IF(X257="",0,CEILING((X257/$H257),1)*$H257),"")</f>
        <v>162</v>
      </c>
      <c r="Z257" s="41">
        <f>IFERROR(IF(Y257=0,"",ROUNDUP(Y257/H257,0)*0.01898),"")</f>
        <v>0.28470000000000001</v>
      </c>
      <c r="AA257" s="68" t="s">
        <v>45</v>
      </c>
      <c r="AB257" s="69" t="s">
        <v>45</v>
      </c>
      <c r="AC257" s="322" t="s">
        <v>421</v>
      </c>
      <c r="AG257" s="78"/>
      <c r="AJ257" s="84" t="s">
        <v>101</v>
      </c>
      <c r="AK257" s="84">
        <v>86.4</v>
      </c>
      <c r="BB257" s="323" t="s">
        <v>66</v>
      </c>
      <c r="BM257" s="78">
        <f>IFERROR(X257*I257/H257,"0")</f>
        <v>168.52499999999998</v>
      </c>
      <c r="BN257" s="78">
        <f>IFERROR(Y257*I257/H257,"0")</f>
        <v>168.52499999999998</v>
      </c>
      <c r="BO257" s="78">
        <f>IFERROR(1/J257*(X257/H257),"0")</f>
        <v>0.23437499999999997</v>
      </c>
      <c r="BP257" s="78">
        <f>IFERROR(1/J257*(Y257/H257),"0")</f>
        <v>0.23437499999999997</v>
      </c>
    </row>
    <row r="258" spans="1:68" ht="27" customHeight="1" x14ac:dyDescent="0.25">
      <c r="A258" s="63" t="s">
        <v>422</v>
      </c>
      <c r="B258" s="63" t="s">
        <v>423</v>
      </c>
      <c r="C258" s="36">
        <v>4301011852</v>
      </c>
      <c r="D258" s="557">
        <v>4680115885844</v>
      </c>
      <c r="E258" s="557"/>
      <c r="F258" s="62">
        <v>0.4</v>
      </c>
      <c r="G258" s="37">
        <v>10</v>
      </c>
      <c r="H258" s="62">
        <v>4</v>
      </c>
      <c r="I258" s="62">
        <v>4.21</v>
      </c>
      <c r="J258" s="37">
        <v>132</v>
      </c>
      <c r="K258" s="37" t="s">
        <v>121</v>
      </c>
      <c r="L258" s="37" t="s">
        <v>45</v>
      </c>
      <c r="M258" s="38" t="s">
        <v>116</v>
      </c>
      <c r="N258" s="38"/>
      <c r="O258" s="37">
        <v>55</v>
      </c>
      <c r="P258" s="68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9"/>
      <c r="R258" s="559"/>
      <c r="S258" s="559"/>
      <c r="T258" s="560"/>
      <c r="U258" s="39" t="s">
        <v>45</v>
      </c>
      <c r="V258" s="39" t="s">
        <v>45</v>
      </c>
      <c r="W258" s="40" t="s">
        <v>0</v>
      </c>
      <c r="X258" s="58">
        <v>12</v>
      </c>
      <c r="Y258" s="55">
        <f>IFERROR(IF(X258="",0,CEILING((X258/$H258),1)*$H258),"")</f>
        <v>12</v>
      </c>
      <c r="Z258" s="41">
        <f>IFERROR(IF(Y258=0,"",ROUNDUP(Y258/H258,0)*0.00902),"")</f>
        <v>2.7060000000000001E-2</v>
      </c>
      <c r="AA258" s="68" t="s">
        <v>45</v>
      </c>
      <c r="AB258" s="69" t="s">
        <v>45</v>
      </c>
      <c r="AC258" s="324" t="s">
        <v>424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12.629999999999999</v>
      </c>
      <c r="BN258" s="78">
        <f>IFERROR(Y258*I258/H258,"0")</f>
        <v>12.629999999999999</v>
      </c>
      <c r="BO258" s="78">
        <f>IFERROR(1/J258*(X258/H258),"0")</f>
        <v>2.2727272727272728E-2</v>
      </c>
      <c r="BP258" s="78">
        <f>IFERROR(1/J258*(Y258/H258),"0")</f>
        <v>2.2727272727272728E-2</v>
      </c>
    </row>
    <row r="259" spans="1:68" ht="37.5" customHeight="1" x14ac:dyDescent="0.25">
      <c r="A259" s="63" t="s">
        <v>425</v>
      </c>
      <c r="B259" s="63" t="s">
        <v>426</v>
      </c>
      <c r="C259" s="36">
        <v>4301011851</v>
      </c>
      <c r="D259" s="557">
        <v>4680115885820</v>
      </c>
      <c r="E259" s="557"/>
      <c r="F259" s="62">
        <v>0.4</v>
      </c>
      <c r="G259" s="37">
        <v>10</v>
      </c>
      <c r="H259" s="62">
        <v>4</v>
      </c>
      <c r="I259" s="62">
        <v>4.21</v>
      </c>
      <c r="J259" s="37">
        <v>132</v>
      </c>
      <c r="K259" s="37" t="s">
        <v>121</v>
      </c>
      <c r="L259" s="37" t="s">
        <v>122</v>
      </c>
      <c r="M259" s="38" t="s">
        <v>116</v>
      </c>
      <c r="N259" s="38"/>
      <c r="O259" s="37">
        <v>55</v>
      </c>
      <c r="P259" s="6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9"/>
      <c r="R259" s="559"/>
      <c r="S259" s="559"/>
      <c r="T259" s="560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427</v>
      </c>
      <c r="AG259" s="78"/>
      <c r="AJ259" s="84" t="s">
        <v>101</v>
      </c>
      <c r="AK259" s="84">
        <v>48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564"/>
      <c r="B260" s="564"/>
      <c r="C260" s="564"/>
      <c r="D260" s="564"/>
      <c r="E260" s="564"/>
      <c r="F260" s="564"/>
      <c r="G260" s="564"/>
      <c r="H260" s="564"/>
      <c r="I260" s="564"/>
      <c r="J260" s="564"/>
      <c r="K260" s="564"/>
      <c r="L260" s="564"/>
      <c r="M260" s="564"/>
      <c r="N260" s="564"/>
      <c r="O260" s="565"/>
      <c r="P260" s="561" t="s">
        <v>40</v>
      </c>
      <c r="Q260" s="562"/>
      <c r="R260" s="562"/>
      <c r="S260" s="562"/>
      <c r="T260" s="562"/>
      <c r="U260" s="562"/>
      <c r="V260" s="563"/>
      <c r="W260" s="42" t="s">
        <v>39</v>
      </c>
      <c r="X260" s="43">
        <f>IFERROR(X255/H255,"0")+IFERROR(X256/H256,"0")+IFERROR(X257/H257,"0")+IFERROR(X258/H258,"0")+IFERROR(X259/H259,"0")</f>
        <v>33</v>
      </c>
      <c r="Y260" s="43">
        <f>IFERROR(Y255/H255,"0")+IFERROR(Y256/H256,"0")+IFERROR(Y257/H257,"0")+IFERROR(Y258/H258,"0")+IFERROR(Y259/H259,"0")</f>
        <v>33</v>
      </c>
      <c r="Z260" s="43">
        <f>IFERROR(IF(Z255="",0,Z255),"0")+IFERROR(IF(Z256="",0,Z256),"0")+IFERROR(IF(Z257="",0,Z257),"0")+IFERROR(IF(Z258="",0,Z258),"0")+IFERROR(IF(Z259="",0,Z259),"0")</f>
        <v>0.59645999999999999</v>
      </c>
      <c r="AA260" s="67"/>
      <c r="AB260" s="67"/>
      <c r="AC260" s="67"/>
    </row>
    <row r="261" spans="1:68" x14ac:dyDescent="0.2">
      <c r="A261" s="564"/>
      <c r="B261" s="564"/>
      <c r="C261" s="564"/>
      <c r="D261" s="564"/>
      <c r="E261" s="564"/>
      <c r="F261" s="564"/>
      <c r="G261" s="564"/>
      <c r="H261" s="564"/>
      <c r="I261" s="564"/>
      <c r="J261" s="564"/>
      <c r="K261" s="564"/>
      <c r="L261" s="564"/>
      <c r="M261" s="564"/>
      <c r="N261" s="564"/>
      <c r="O261" s="565"/>
      <c r="P261" s="561" t="s">
        <v>40</v>
      </c>
      <c r="Q261" s="562"/>
      <c r="R261" s="562"/>
      <c r="S261" s="562"/>
      <c r="T261" s="562"/>
      <c r="U261" s="562"/>
      <c r="V261" s="563"/>
      <c r="W261" s="42" t="s">
        <v>0</v>
      </c>
      <c r="X261" s="43">
        <f>IFERROR(SUM(X255:X259),"0")</f>
        <v>336</v>
      </c>
      <c r="Y261" s="43">
        <f>IFERROR(SUM(Y255:Y259),"0")</f>
        <v>336</v>
      </c>
      <c r="Z261" s="42"/>
      <c r="AA261" s="67"/>
      <c r="AB261" s="67"/>
      <c r="AC261" s="67"/>
    </row>
    <row r="262" spans="1:68" ht="16.5" customHeight="1" x14ac:dyDescent="0.25">
      <c r="A262" s="572" t="s">
        <v>428</v>
      </c>
      <c r="B262" s="572"/>
      <c r="C262" s="572"/>
      <c r="D262" s="572"/>
      <c r="E262" s="572"/>
      <c r="F262" s="572"/>
      <c r="G262" s="572"/>
      <c r="H262" s="572"/>
      <c r="I262" s="572"/>
      <c r="J262" s="572"/>
      <c r="K262" s="572"/>
      <c r="L262" s="572"/>
      <c r="M262" s="572"/>
      <c r="N262" s="572"/>
      <c r="O262" s="572"/>
      <c r="P262" s="572"/>
      <c r="Q262" s="572"/>
      <c r="R262" s="572"/>
      <c r="S262" s="572"/>
      <c r="T262" s="572"/>
      <c r="U262" s="572"/>
      <c r="V262" s="572"/>
      <c r="W262" s="572"/>
      <c r="X262" s="572"/>
      <c r="Y262" s="572"/>
      <c r="Z262" s="572"/>
      <c r="AA262" s="65"/>
      <c r="AB262" s="65"/>
      <c r="AC262" s="79"/>
    </row>
    <row r="263" spans="1:68" ht="14.25" customHeight="1" x14ac:dyDescent="0.25">
      <c r="A263" s="556" t="s">
        <v>112</v>
      </c>
      <c r="B263" s="556"/>
      <c r="C263" s="556"/>
      <c r="D263" s="556"/>
      <c r="E263" s="556"/>
      <c r="F263" s="556"/>
      <c r="G263" s="556"/>
      <c r="H263" s="556"/>
      <c r="I263" s="556"/>
      <c r="J263" s="556"/>
      <c r="K263" s="556"/>
      <c r="L263" s="556"/>
      <c r="M263" s="556"/>
      <c r="N263" s="556"/>
      <c r="O263" s="556"/>
      <c r="P263" s="556"/>
      <c r="Q263" s="556"/>
      <c r="R263" s="556"/>
      <c r="S263" s="556"/>
      <c r="T263" s="556"/>
      <c r="U263" s="556"/>
      <c r="V263" s="556"/>
      <c r="W263" s="556"/>
      <c r="X263" s="556"/>
      <c r="Y263" s="556"/>
      <c r="Z263" s="556"/>
      <c r="AA263" s="66"/>
      <c r="AB263" s="66"/>
      <c r="AC263" s="80"/>
    </row>
    <row r="264" spans="1:68" ht="27" customHeight="1" x14ac:dyDescent="0.25">
      <c r="A264" s="63" t="s">
        <v>429</v>
      </c>
      <c r="B264" s="63" t="s">
        <v>430</v>
      </c>
      <c r="C264" s="36">
        <v>4301011223</v>
      </c>
      <c r="D264" s="557">
        <v>4607091383423</v>
      </c>
      <c r="E264" s="557"/>
      <c r="F264" s="62">
        <v>1.35</v>
      </c>
      <c r="G264" s="37">
        <v>8</v>
      </c>
      <c r="H264" s="62">
        <v>10.8</v>
      </c>
      <c r="I264" s="62">
        <v>11.331</v>
      </c>
      <c r="J264" s="37">
        <v>64</v>
      </c>
      <c r="K264" s="37" t="s">
        <v>117</v>
      </c>
      <c r="L264" s="37" t="s">
        <v>45</v>
      </c>
      <c r="M264" s="38" t="s">
        <v>88</v>
      </c>
      <c r="N264" s="38"/>
      <c r="O264" s="37">
        <v>35</v>
      </c>
      <c r="P264" s="68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9"/>
      <c r="R264" s="559"/>
      <c r="S264" s="559"/>
      <c r="T264" s="560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115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431</v>
      </c>
      <c r="B265" s="63" t="s">
        <v>432</v>
      </c>
      <c r="C265" s="36">
        <v>4301012199</v>
      </c>
      <c r="D265" s="557">
        <v>4680115886957</v>
      </c>
      <c r="E265" s="557"/>
      <c r="F265" s="62">
        <v>1.35</v>
      </c>
      <c r="G265" s="37">
        <v>8</v>
      </c>
      <c r="H265" s="62">
        <v>10.8</v>
      </c>
      <c r="I265" s="62">
        <v>11.234999999999999</v>
      </c>
      <c r="J265" s="37">
        <v>64</v>
      </c>
      <c r="K265" s="37" t="s">
        <v>117</v>
      </c>
      <c r="L265" s="37" t="s">
        <v>45</v>
      </c>
      <c r="M265" s="38" t="s">
        <v>88</v>
      </c>
      <c r="N265" s="38"/>
      <c r="O265" s="37">
        <v>30</v>
      </c>
      <c r="P265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9"/>
      <c r="R265" s="559"/>
      <c r="S265" s="559"/>
      <c r="T265" s="560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433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434</v>
      </c>
      <c r="B266" s="63" t="s">
        <v>435</v>
      </c>
      <c r="C266" s="36">
        <v>4301012098</v>
      </c>
      <c r="D266" s="557">
        <v>4680115885660</v>
      </c>
      <c r="E266" s="557"/>
      <c r="F266" s="62">
        <v>1.35</v>
      </c>
      <c r="G266" s="37">
        <v>8</v>
      </c>
      <c r="H266" s="62">
        <v>10.8</v>
      </c>
      <c r="I266" s="62">
        <v>11.234999999999999</v>
      </c>
      <c r="J266" s="37">
        <v>64</v>
      </c>
      <c r="K266" s="37" t="s">
        <v>117</v>
      </c>
      <c r="L266" s="37" t="s">
        <v>45</v>
      </c>
      <c r="M266" s="38" t="s">
        <v>88</v>
      </c>
      <c r="N266" s="38"/>
      <c r="O266" s="37">
        <v>35</v>
      </c>
      <c r="P266" s="68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9"/>
      <c r="R266" s="559"/>
      <c r="S266" s="559"/>
      <c r="T266" s="560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379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436</v>
      </c>
      <c r="B267" s="63" t="s">
        <v>437</v>
      </c>
      <c r="C267" s="36">
        <v>4301012176</v>
      </c>
      <c r="D267" s="557">
        <v>4680115886773</v>
      </c>
      <c r="E267" s="557"/>
      <c r="F267" s="62">
        <v>0.9</v>
      </c>
      <c r="G267" s="37">
        <v>10</v>
      </c>
      <c r="H267" s="62">
        <v>9</v>
      </c>
      <c r="I267" s="62">
        <v>9.4350000000000005</v>
      </c>
      <c r="J267" s="37">
        <v>64</v>
      </c>
      <c r="K267" s="37" t="s">
        <v>117</v>
      </c>
      <c r="L267" s="37" t="s">
        <v>45</v>
      </c>
      <c r="M267" s="38" t="s">
        <v>116</v>
      </c>
      <c r="N267" s="38"/>
      <c r="O267" s="37">
        <v>31</v>
      </c>
      <c r="P267" s="68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9"/>
      <c r="R267" s="559"/>
      <c r="S267" s="559"/>
      <c r="T267" s="560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438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564"/>
      <c r="B268" s="564"/>
      <c r="C268" s="564"/>
      <c r="D268" s="564"/>
      <c r="E268" s="564"/>
      <c r="F268" s="564"/>
      <c r="G268" s="564"/>
      <c r="H268" s="564"/>
      <c r="I268" s="564"/>
      <c r="J268" s="564"/>
      <c r="K268" s="564"/>
      <c r="L268" s="564"/>
      <c r="M268" s="564"/>
      <c r="N268" s="564"/>
      <c r="O268" s="565"/>
      <c r="P268" s="561" t="s">
        <v>40</v>
      </c>
      <c r="Q268" s="562"/>
      <c r="R268" s="562"/>
      <c r="S268" s="562"/>
      <c r="T268" s="562"/>
      <c r="U268" s="562"/>
      <c r="V268" s="563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564"/>
      <c r="B269" s="564"/>
      <c r="C269" s="564"/>
      <c r="D269" s="564"/>
      <c r="E269" s="564"/>
      <c r="F269" s="564"/>
      <c r="G269" s="564"/>
      <c r="H269" s="564"/>
      <c r="I269" s="564"/>
      <c r="J269" s="564"/>
      <c r="K269" s="564"/>
      <c r="L269" s="564"/>
      <c r="M269" s="564"/>
      <c r="N269" s="564"/>
      <c r="O269" s="565"/>
      <c r="P269" s="561" t="s">
        <v>40</v>
      </c>
      <c r="Q269" s="562"/>
      <c r="R269" s="562"/>
      <c r="S269" s="562"/>
      <c r="T269" s="562"/>
      <c r="U269" s="562"/>
      <c r="V269" s="563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572" t="s">
        <v>439</v>
      </c>
      <c r="B270" s="572"/>
      <c r="C270" s="572"/>
      <c r="D270" s="572"/>
      <c r="E270" s="572"/>
      <c r="F270" s="572"/>
      <c r="G270" s="572"/>
      <c r="H270" s="572"/>
      <c r="I270" s="572"/>
      <c r="J270" s="572"/>
      <c r="K270" s="572"/>
      <c r="L270" s="572"/>
      <c r="M270" s="572"/>
      <c r="N270" s="572"/>
      <c r="O270" s="572"/>
      <c r="P270" s="572"/>
      <c r="Q270" s="572"/>
      <c r="R270" s="572"/>
      <c r="S270" s="572"/>
      <c r="T270" s="572"/>
      <c r="U270" s="572"/>
      <c r="V270" s="572"/>
      <c r="W270" s="572"/>
      <c r="X270" s="572"/>
      <c r="Y270" s="572"/>
      <c r="Z270" s="572"/>
      <c r="AA270" s="65"/>
      <c r="AB270" s="65"/>
      <c r="AC270" s="79"/>
    </row>
    <row r="271" spans="1:68" ht="14.25" customHeight="1" x14ac:dyDescent="0.25">
      <c r="A271" s="556" t="s">
        <v>84</v>
      </c>
      <c r="B271" s="556"/>
      <c r="C271" s="556"/>
      <c r="D271" s="556"/>
      <c r="E271" s="556"/>
      <c r="F271" s="556"/>
      <c r="G271" s="556"/>
      <c r="H271" s="556"/>
      <c r="I271" s="556"/>
      <c r="J271" s="556"/>
      <c r="K271" s="556"/>
      <c r="L271" s="556"/>
      <c r="M271" s="556"/>
      <c r="N271" s="556"/>
      <c r="O271" s="556"/>
      <c r="P271" s="556"/>
      <c r="Q271" s="556"/>
      <c r="R271" s="556"/>
      <c r="S271" s="556"/>
      <c r="T271" s="556"/>
      <c r="U271" s="556"/>
      <c r="V271" s="556"/>
      <c r="W271" s="556"/>
      <c r="X271" s="556"/>
      <c r="Y271" s="556"/>
      <c r="Z271" s="556"/>
      <c r="AA271" s="66"/>
      <c r="AB271" s="66"/>
      <c r="AC271" s="80"/>
    </row>
    <row r="272" spans="1:68" ht="27" customHeight="1" x14ac:dyDescent="0.25">
      <c r="A272" s="63" t="s">
        <v>440</v>
      </c>
      <c r="B272" s="63" t="s">
        <v>441</v>
      </c>
      <c r="C272" s="36">
        <v>4301051893</v>
      </c>
      <c r="D272" s="557">
        <v>4680115886186</v>
      </c>
      <c r="E272" s="557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89</v>
      </c>
      <c r="L272" s="37" t="s">
        <v>45</v>
      </c>
      <c r="M272" s="38" t="s">
        <v>88</v>
      </c>
      <c r="N272" s="38"/>
      <c r="O272" s="37">
        <v>45</v>
      </c>
      <c r="P272" s="67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9"/>
      <c r="R272" s="559"/>
      <c r="S272" s="559"/>
      <c r="T272" s="560"/>
      <c r="U272" s="39" t="s">
        <v>45</v>
      </c>
      <c r="V272" s="39" t="s">
        <v>45</v>
      </c>
      <c r="W272" s="40" t="s">
        <v>0</v>
      </c>
      <c r="X272" s="58"/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442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443</v>
      </c>
      <c r="B273" s="63" t="s">
        <v>444</v>
      </c>
      <c r="C273" s="36">
        <v>4301051795</v>
      </c>
      <c r="D273" s="557">
        <v>4680115881228</v>
      </c>
      <c r="E273" s="557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89</v>
      </c>
      <c r="L273" s="37" t="s">
        <v>45</v>
      </c>
      <c r="M273" s="38" t="s">
        <v>96</v>
      </c>
      <c r="N273" s="38"/>
      <c r="O273" s="37">
        <v>40</v>
      </c>
      <c r="P273" s="67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9"/>
      <c r="R273" s="559"/>
      <c r="S273" s="559"/>
      <c r="T273" s="560"/>
      <c r="U273" s="39" t="s">
        <v>45</v>
      </c>
      <c r="V273" s="39" t="s">
        <v>45</v>
      </c>
      <c r="W273" s="40" t="s">
        <v>0</v>
      </c>
      <c r="X273" s="58">
        <v>9.6</v>
      </c>
      <c r="Y273" s="55">
        <f>IFERROR(IF(X273="",0,CEILING((X273/$H273),1)*$H273),"")</f>
        <v>9.6</v>
      </c>
      <c r="Z273" s="41">
        <f>IFERROR(IF(Y273=0,"",ROUNDUP(Y273/H273,0)*0.00651),"")</f>
        <v>2.6040000000000001E-2</v>
      </c>
      <c r="AA273" s="68" t="s">
        <v>45</v>
      </c>
      <c r="AB273" s="69" t="s">
        <v>45</v>
      </c>
      <c r="AC273" s="338" t="s">
        <v>445</v>
      </c>
      <c r="AG273" s="78"/>
      <c r="AJ273" s="84" t="s">
        <v>45</v>
      </c>
      <c r="AK273" s="84">
        <v>0</v>
      </c>
      <c r="BB273" s="339" t="s">
        <v>66</v>
      </c>
      <c r="BM273" s="78">
        <f>IFERROR(X273*I273/H273,"0")</f>
        <v>10.608000000000001</v>
      </c>
      <c r="BN273" s="78">
        <f>IFERROR(Y273*I273/H273,"0")</f>
        <v>10.608000000000001</v>
      </c>
      <c r="BO273" s="78">
        <f>IFERROR(1/J273*(X273/H273),"0")</f>
        <v>2.197802197802198E-2</v>
      </c>
      <c r="BP273" s="78">
        <f>IFERROR(1/J273*(Y273/H273),"0")</f>
        <v>2.197802197802198E-2</v>
      </c>
    </row>
    <row r="274" spans="1:68" ht="27" customHeight="1" x14ac:dyDescent="0.25">
      <c r="A274" s="63" t="s">
        <v>446</v>
      </c>
      <c r="B274" s="63" t="s">
        <v>447</v>
      </c>
      <c r="C274" s="36">
        <v>4301051388</v>
      </c>
      <c r="D274" s="557">
        <v>4680115881211</v>
      </c>
      <c r="E274" s="557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89</v>
      </c>
      <c r="L274" s="37" t="s">
        <v>100</v>
      </c>
      <c r="M274" s="38" t="s">
        <v>88</v>
      </c>
      <c r="N274" s="38"/>
      <c r="O274" s="37">
        <v>45</v>
      </c>
      <c r="P274" s="67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9"/>
      <c r="R274" s="559"/>
      <c r="S274" s="559"/>
      <c r="T274" s="560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442</v>
      </c>
      <c r="AG274" s="78"/>
      <c r="AJ274" s="84" t="s">
        <v>101</v>
      </c>
      <c r="AK274" s="84">
        <v>33.6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564"/>
      <c r="B275" s="564"/>
      <c r="C275" s="564"/>
      <c r="D275" s="564"/>
      <c r="E275" s="564"/>
      <c r="F275" s="564"/>
      <c r="G275" s="564"/>
      <c r="H275" s="564"/>
      <c r="I275" s="564"/>
      <c r="J275" s="564"/>
      <c r="K275" s="564"/>
      <c r="L275" s="564"/>
      <c r="M275" s="564"/>
      <c r="N275" s="564"/>
      <c r="O275" s="565"/>
      <c r="P275" s="561" t="s">
        <v>40</v>
      </c>
      <c r="Q275" s="562"/>
      <c r="R275" s="562"/>
      <c r="S275" s="562"/>
      <c r="T275" s="562"/>
      <c r="U275" s="562"/>
      <c r="V275" s="563"/>
      <c r="W275" s="42" t="s">
        <v>39</v>
      </c>
      <c r="X275" s="43">
        <f>IFERROR(X272/H272,"0")+IFERROR(X273/H273,"0")+IFERROR(X274/H274,"0")</f>
        <v>4</v>
      </c>
      <c r="Y275" s="43">
        <f>IFERROR(Y272/H272,"0")+IFERROR(Y273/H273,"0")+IFERROR(Y274/H274,"0")</f>
        <v>4</v>
      </c>
      <c r="Z275" s="43">
        <f>IFERROR(IF(Z272="",0,Z272),"0")+IFERROR(IF(Z273="",0,Z273),"0")+IFERROR(IF(Z274="",0,Z274),"0")</f>
        <v>2.6040000000000001E-2</v>
      </c>
      <c r="AA275" s="67"/>
      <c r="AB275" s="67"/>
      <c r="AC275" s="67"/>
    </row>
    <row r="276" spans="1:68" x14ac:dyDescent="0.2">
      <c r="A276" s="564"/>
      <c r="B276" s="564"/>
      <c r="C276" s="564"/>
      <c r="D276" s="564"/>
      <c r="E276" s="564"/>
      <c r="F276" s="564"/>
      <c r="G276" s="564"/>
      <c r="H276" s="564"/>
      <c r="I276" s="564"/>
      <c r="J276" s="564"/>
      <c r="K276" s="564"/>
      <c r="L276" s="564"/>
      <c r="M276" s="564"/>
      <c r="N276" s="564"/>
      <c r="O276" s="565"/>
      <c r="P276" s="561" t="s">
        <v>40</v>
      </c>
      <c r="Q276" s="562"/>
      <c r="R276" s="562"/>
      <c r="S276" s="562"/>
      <c r="T276" s="562"/>
      <c r="U276" s="562"/>
      <c r="V276" s="563"/>
      <c r="W276" s="42" t="s">
        <v>0</v>
      </c>
      <c r="X276" s="43">
        <f>IFERROR(SUM(X272:X274),"0")</f>
        <v>9.6</v>
      </c>
      <c r="Y276" s="43">
        <f>IFERROR(SUM(Y272:Y274),"0")</f>
        <v>9.6</v>
      </c>
      <c r="Z276" s="42"/>
      <c r="AA276" s="67"/>
      <c r="AB276" s="67"/>
      <c r="AC276" s="67"/>
    </row>
    <row r="277" spans="1:68" ht="16.5" customHeight="1" x14ac:dyDescent="0.25">
      <c r="A277" s="572" t="s">
        <v>448</v>
      </c>
      <c r="B277" s="572"/>
      <c r="C277" s="572"/>
      <c r="D277" s="572"/>
      <c r="E277" s="572"/>
      <c r="F277" s="572"/>
      <c r="G277" s="572"/>
      <c r="H277" s="572"/>
      <c r="I277" s="572"/>
      <c r="J277" s="572"/>
      <c r="K277" s="572"/>
      <c r="L277" s="572"/>
      <c r="M277" s="572"/>
      <c r="N277" s="572"/>
      <c r="O277" s="572"/>
      <c r="P277" s="572"/>
      <c r="Q277" s="572"/>
      <c r="R277" s="572"/>
      <c r="S277" s="572"/>
      <c r="T277" s="572"/>
      <c r="U277" s="572"/>
      <c r="V277" s="572"/>
      <c r="W277" s="572"/>
      <c r="X277" s="572"/>
      <c r="Y277" s="572"/>
      <c r="Z277" s="572"/>
      <c r="AA277" s="65"/>
      <c r="AB277" s="65"/>
      <c r="AC277" s="79"/>
    </row>
    <row r="278" spans="1:68" ht="14.25" customHeight="1" x14ac:dyDescent="0.25">
      <c r="A278" s="556" t="s">
        <v>78</v>
      </c>
      <c r="B278" s="556"/>
      <c r="C278" s="556"/>
      <c r="D278" s="556"/>
      <c r="E278" s="556"/>
      <c r="F278" s="556"/>
      <c r="G278" s="556"/>
      <c r="H278" s="556"/>
      <c r="I278" s="556"/>
      <c r="J278" s="556"/>
      <c r="K278" s="556"/>
      <c r="L278" s="556"/>
      <c r="M278" s="556"/>
      <c r="N278" s="556"/>
      <c r="O278" s="556"/>
      <c r="P278" s="556"/>
      <c r="Q278" s="556"/>
      <c r="R278" s="556"/>
      <c r="S278" s="556"/>
      <c r="T278" s="556"/>
      <c r="U278" s="556"/>
      <c r="V278" s="556"/>
      <c r="W278" s="556"/>
      <c r="X278" s="556"/>
      <c r="Y278" s="556"/>
      <c r="Z278" s="556"/>
      <c r="AA278" s="66"/>
      <c r="AB278" s="66"/>
      <c r="AC278" s="80"/>
    </row>
    <row r="279" spans="1:68" ht="27" customHeight="1" x14ac:dyDescent="0.25">
      <c r="A279" s="63" t="s">
        <v>449</v>
      </c>
      <c r="B279" s="63" t="s">
        <v>450</v>
      </c>
      <c r="C279" s="36">
        <v>4301031307</v>
      </c>
      <c r="D279" s="557">
        <v>4680115880344</v>
      </c>
      <c r="E279" s="557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83</v>
      </c>
      <c r="L279" s="37" t="s">
        <v>45</v>
      </c>
      <c r="M279" s="38" t="s">
        <v>82</v>
      </c>
      <c r="N279" s="38"/>
      <c r="O279" s="37">
        <v>40</v>
      </c>
      <c r="P279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9"/>
      <c r="R279" s="559"/>
      <c r="S279" s="559"/>
      <c r="T279" s="560"/>
      <c r="U279" s="39" t="s">
        <v>45</v>
      </c>
      <c r="V279" s="39" t="s">
        <v>45</v>
      </c>
      <c r="W279" s="40" t="s">
        <v>0</v>
      </c>
      <c r="X279" s="58">
        <v>8.4</v>
      </c>
      <c r="Y279" s="55">
        <f>IFERROR(IF(X279="",0,CEILING((X279/$H279),1)*$H279),"")</f>
        <v>8.4</v>
      </c>
      <c r="Z279" s="41">
        <f>IFERROR(IF(Y279=0,"",ROUNDUP(Y279/H279,0)*0.00502),"")</f>
        <v>2.5100000000000001E-2</v>
      </c>
      <c r="AA279" s="68" t="s">
        <v>45</v>
      </c>
      <c r="AB279" s="69" t="s">
        <v>45</v>
      </c>
      <c r="AC279" s="342" t="s">
        <v>451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8.9000000000000021</v>
      </c>
      <c r="BN279" s="78">
        <f>IFERROR(Y279*I279/H279,"0")</f>
        <v>8.9000000000000021</v>
      </c>
      <c r="BO279" s="78">
        <f>IFERROR(1/J279*(X279/H279),"0")</f>
        <v>2.1367521367521368E-2</v>
      </c>
      <c r="BP279" s="78">
        <f>IFERROR(1/J279*(Y279/H279),"0")</f>
        <v>2.1367521367521368E-2</v>
      </c>
    </row>
    <row r="280" spans="1:68" ht="27" customHeight="1" x14ac:dyDescent="0.25">
      <c r="A280" s="63" t="s">
        <v>452</v>
      </c>
      <c r="B280" s="63" t="s">
        <v>453</v>
      </c>
      <c r="C280" s="36">
        <v>4301031429</v>
      </c>
      <c r="D280" s="557">
        <v>4680115886919</v>
      </c>
      <c r="E280" s="557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89</v>
      </c>
      <c r="L280" s="37" t="s">
        <v>45</v>
      </c>
      <c r="M280" s="38" t="s">
        <v>82</v>
      </c>
      <c r="N280" s="38"/>
      <c r="O280" s="37">
        <v>40</v>
      </c>
      <c r="P280" s="6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9"/>
      <c r="R280" s="559"/>
      <c r="S280" s="559"/>
      <c r="T280" s="560"/>
      <c r="U280" s="39" t="s">
        <v>45</v>
      </c>
      <c r="V280" s="39" t="s">
        <v>45</v>
      </c>
      <c r="W280" s="40" t="s">
        <v>0</v>
      </c>
      <c r="X280" s="58">
        <v>12</v>
      </c>
      <c r="Y280" s="55">
        <f>IFERROR(IF(X280="",0,CEILING((X280/$H280),1)*$H280),"")</f>
        <v>12</v>
      </c>
      <c r="Z280" s="41">
        <f>IFERROR(IF(Y280=0,"",ROUNDUP(Y280/H280,0)*0.00651),"")</f>
        <v>3.2550000000000003E-2</v>
      </c>
      <c r="AA280" s="68" t="s">
        <v>45</v>
      </c>
      <c r="AB280" s="69" t="s">
        <v>45</v>
      </c>
      <c r="AC280" s="344" t="s">
        <v>454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12.9</v>
      </c>
      <c r="BN280" s="78">
        <f>IFERROR(Y280*I280/H280,"0")</f>
        <v>12.9</v>
      </c>
      <c r="BO280" s="78">
        <f>IFERROR(1/J280*(X280/H280),"0")</f>
        <v>2.7472527472527476E-2</v>
      </c>
      <c r="BP280" s="78">
        <f>IFERROR(1/J280*(Y280/H280),"0")</f>
        <v>2.7472527472527476E-2</v>
      </c>
    </row>
    <row r="281" spans="1:68" x14ac:dyDescent="0.2">
      <c r="A281" s="564"/>
      <c r="B281" s="564"/>
      <c r="C281" s="564"/>
      <c r="D281" s="564"/>
      <c r="E281" s="564"/>
      <c r="F281" s="564"/>
      <c r="G281" s="564"/>
      <c r="H281" s="564"/>
      <c r="I281" s="564"/>
      <c r="J281" s="564"/>
      <c r="K281" s="564"/>
      <c r="L281" s="564"/>
      <c r="M281" s="564"/>
      <c r="N281" s="564"/>
      <c r="O281" s="565"/>
      <c r="P281" s="561" t="s">
        <v>40</v>
      </c>
      <c r="Q281" s="562"/>
      <c r="R281" s="562"/>
      <c r="S281" s="562"/>
      <c r="T281" s="562"/>
      <c r="U281" s="562"/>
      <c r="V281" s="563"/>
      <c r="W281" s="42" t="s">
        <v>39</v>
      </c>
      <c r="X281" s="43">
        <f>IFERROR(X279/H279,"0")+IFERROR(X280/H280,"0")</f>
        <v>10</v>
      </c>
      <c r="Y281" s="43">
        <f>IFERROR(Y279/H279,"0")+IFERROR(Y280/H280,"0")</f>
        <v>10</v>
      </c>
      <c r="Z281" s="43">
        <f>IFERROR(IF(Z279="",0,Z279),"0")+IFERROR(IF(Z280="",0,Z280),"0")</f>
        <v>5.7650000000000007E-2</v>
      </c>
      <c r="AA281" s="67"/>
      <c r="AB281" s="67"/>
      <c r="AC281" s="67"/>
    </row>
    <row r="282" spans="1:68" x14ac:dyDescent="0.2">
      <c r="A282" s="564"/>
      <c r="B282" s="564"/>
      <c r="C282" s="564"/>
      <c r="D282" s="564"/>
      <c r="E282" s="564"/>
      <c r="F282" s="564"/>
      <c r="G282" s="564"/>
      <c r="H282" s="564"/>
      <c r="I282" s="564"/>
      <c r="J282" s="564"/>
      <c r="K282" s="564"/>
      <c r="L282" s="564"/>
      <c r="M282" s="564"/>
      <c r="N282" s="564"/>
      <c r="O282" s="565"/>
      <c r="P282" s="561" t="s">
        <v>40</v>
      </c>
      <c r="Q282" s="562"/>
      <c r="R282" s="562"/>
      <c r="S282" s="562"/>
      <c r="T282" s="562"/>
      <c r="U282" s="562"/>
      <c r="V282" s="563"/>
      <c r="W282" s="42" t="s">
        <v>0</v>
      </c>
      <c r="X282" s="43">
        <f>IFERROR(SUM(X279:X280),"0")</f>
        <v>20.399999999999999</v>
      </c>
      <c r="Y282" s="43">
        <f>IFERROR(SUM(Y279:Y280),"0")</f>
        <v>20.399999999999999</v>
      </c>
      <c r="Z282" s="42"/>
      <c r="AA282" s="67"/>
      <c r="AB282" s="67"/>
      <c r="AC282" s="67"/>
    </row>
    <row r="283" spans="1:68" ht="14.25" customHeight="1" x14ac:dyDescent="0.25">
      <c r="A283" s="556" t="s">
        <v>84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66"/>
      <c r="AB283" s="66"/>
      <c r="AC283" s="80"/>
    </row>
    <row r="284" spans="1:68" ht="37.5" customHeight="1" x14ac:dyDescent="0.25">
      <c r="A284" s="63" t="s">
        <v>455</v>
      </c>
      <c r="B284" s="63" t="s">
        <v>456</v>
      </c>
      <c r="C284" s="36">
        <v>4301051782</v>
      </c>
      <c r="D284" s="557">
        <v>4680115884618</v>
      </c>
      <c r="E284" s="557"/>
      <c r="F284" s="62">
        <v>0.6</v>
      </c>
      <c r="G284" s="37">
        <v>6</v>
      </c>
      <c r="H284" s="62">
        <v>3.6</v>
      </c>
      <c r="I284" s="62">
        <v>3.81</v>
      </c>
      <c r="J284" s="37">
        <v>132</v>
      </c>
      <c r="K284" s="37" t="s">
        <v>121</v>
      </c>
      <c r="L284" s="37" t="s">
        <v>122</v>
      </c>
      <c r="M284" s="38" t="s">
        <v>88</v>
      </c>
      <c r="N284" s="38"/>
      <c r="O284" s="37">
        <v>45</v>
      </c>
      <c r="P284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9"/>
      <c r="R284" s="559"/>
      <c r="S284" s="559"/>
      <c r="T284" s="560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457</v>
      </c>
      <c r="AG284" s="78"/>
      <c r="AJ284" s="84" t="s">
        <v>101</v>
      </c>
      <c r="AK284" s="84">
        <v>43.2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564"/>
      <c r="B285" s="564"/>
      <c r="C285" s="564"/>
      <c r="D285" s="564"/>
      <c r="E285" s="564"/>
      <c r="F285" s="564"/>
      <c r="G285" s="564"/>
      <c r="H285" s="564"/>
      <c r="I285" s="564"/>
      <c r="J285" s="564"/>
      <c r="K285" s="564"/>
      <c r="L285" s="564"/>
      <c r="M285" s="564"/>
      <c r="N285" s="564"/>
      <c r="O285" s="565"/>
      <c r="P285" s="561" t="s">
        <v>40</v>
      </c>
      <c r="Q285" s="562"/>
      <c r="R285" s="562"/>
      <c r="S285" s="562"/>
      <c r="T285" s="562"/>
      <c r="U285" s="562"/>
      <c r="V285" s="563"/>
      <c r="W285" s="42" t="s">
        <v>39</v>
      </c>
      <c r="X285" s="43">
        <f>IFERROR(X284/H284,"0")</f>
        <v>0</v>
      </c>
      <c r="Y285" s="43">
        <f>IFERROR(Y284/H284,"0")</f>
        <v>0</v>
      </c>
      <c r="Z285" s="43">
        <f>IFERROR(IF(Z284="",0,Z284),"0")</f>
        <v>0</v>
      </c>
      <c r="AA285" s="67"/>
      <c r="AB285" s="67"/>
      <c r="AC285" s="67"/>
    </row>
    <row r="286" spans="1:68" x14ac:dyDescent="0.2">
      <c r="A286" s="564"/>
      <c r="B286" s="564"/>
      <c r="C286" s="564"/>
      <c r="D286" s="564"/>
      <c r="E286" s="564"/>
      <c r="F286" s="564"/>
      <c r="G286" s="564"/>
      <c r="H286" s="564"/>
      <c r="I286" s="564"/>
      <c r="J286" s="564"/>
      <c r="K286" s="564"/>
      <c r="L286" s="564"/>
      <c r="M286" s="564"/>
      <c r="N286" s="564"/>
      <c r="O286" s="565"/>
      <c r="P286" s="561" t="s">
        <v>40</v>
      </c>
      <c r="Q286" s="562"/>
      <c r="R286" s="562"/>
      <c r="S286" s="562"/>
      <c r="T286" s="562"/>
      <c r="U286" s="562"/>
      <c r="V286" s="563"/>
      <c r="W286" s="42" t="s">
        <v>0</v>
      </c>
      <c r="X286" s="43">
        <f>IFERROR(SUM(X284:X284),"0")</f>
        <v>0</v>
      </c>
      <c r="Y286" s="43">
        <f>IFERROR(SUM(Y284:Y284),"0")</f>
        <v>0</v>
      </c>
      <c r="Z286" s="42"/>
      <c r="AA286" s="67"/>
      <c r="AB286" s="67"/>
      <c r="AC286" s="67"/>
    </row>
    <row r="287" spans="1:68" ht="16.5" customHeight="1" x14ac:dyDescent="0.25">
      <c r="A287" s="572" t="s">
        <v>458</v>
      </c>
      <c r="B287" s="572"/>
      <c r="C287" s="572"/>
      <c r="D287" s="572"/>
      <c r="E287" s="572"/>
      <c r="F287" s="572"/>
      <c r="G287" s="572"/>
      <c r="H287" s="572"/>
      <c r="I287" s="572"/>
      <c r="J287" s="572"/>
      <c r="K287" s="572"/>
      <c r="L287" s="572"/>
      <c r="M287" s="572"/>
      <c r="N287" s="572"/>
      <c r="O287" s="572"/>
      <c r="P287" s="572"/>
      <c r="Q287" s="572"/>
      <c r="R287" s="572"/>
      <c r="S287" s="572"/>
      <c r="T287" s="572"/>
      <c r="U287" s="572"/>
      <c r="V287" s="572"/>
      <c r="W287" s="572"/>
      <c r="X287" s="572"/>
      <c r="Y287" s="572"/>
      <c r="Z287" s="572"/>
      <c r="AA287" s="65"/>
      <c r="AB287" s="65"/>
      <c r="AC287" s="79"/>
    </row>
    <row r="288" spans="1:68" ht="14.25" customHeight="1" x14ac:dyDescent="0.25">
      <c r="A288" s="556" t="s">
        <v>112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66"/>
      <c r="AB288" s="66"/>
      <c r="AC288" s="80"/>
    </row>
    <row r="289" spans="1:68" ht="27" customHeight="1" x14ac:dyDescent="0.25">
      <c r="A289" s="63" t="s">
        <v>459</v>
      </c>
      <c r="B289" s="63" t="s">
        <v>460</v>
      </c>
      <c r="C289" s="36">
        <v>4301012126</v>
      </c>
      <c r="D289" s="557">
        <v>4607091386004</v>
      </c>
      <c r="E289" s="557"/>
      <c r="F289" s="62">
        <v>1.35</v>
      </c>
      <c r="G289" s="37">
        <v>8</v>
      </c>
      <c r="H289" s="62">
        <v>10.8</v>
      </c>
      <c r="I289" s="62">
        <v>11.234999999999999</v>
      </c>
      <c r="J289" s="37">
        <v>64</v>
      </c>
      <c r="K289" s="37" t="s">
        <v>117</v>
      </c>
      <c r="L289" s="37" t="s">
        <v>45</v>
      </c>
      <c r="M289" s="38" t="s">
        <v>116</v>
      </c>
      <c r="N289" s="38"/>
      <c r="O289" s="37">
        <v>55</v>
      </c>
      <c r="P289" s="67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9"/>
      <c r="R289" s="559"/>
      <c r="S289" s="559"/>
      <c r="T289" s="560"/>
      <c r="U289" s="39" t="s">
        <v>45</v>
      </c>
      <c r="V289" s="39" t="s">
        <v>45</v>
      </c>
      <c r="W289" s="40" t="s">
        <v>0</v>
      </c>
      <c r="X289" s="58">
        <v>324</v>
      </c>
      <c r="Y289" s="55">
        <f t="shared" ref="Y289:Y294" si="26">IFERROR(IF(X289="",0,CEILING((X289/$H289),1)*$H289),"")</f>
        <v>324</v>
      </c>
      <c r="Z289" s="41">
        <f>IFERROR(IF(Y289=0,"",ROUNDUP(Y289/H289,0)*0.01898),"")</f>
        <v>0.56940000000000002</v>
      </c>
      <c r="AA289" s="68" t="s">
        <v>45</v>
      </c>
      <c r="AB289" s="69" t="s">
        <v>45</v>
      </c>
      <c r="AC289" s="348" t="s">
        <v>461</v>
      </c>
      <c r="AG289" s="78"/>
      <c r="AJ289" s="84" t="s">
        <v>45</v>
      </c>
      <c r="AK289" s="84">
        <v>0</v>
      </c>
      <c r="BB289" s="349" t="s">
        <v>66</v>
      </c>
      <c r="BM289" s="78">
        <f t="shared" ref="BM289:BM294" si="27">IFERROR(X289*I289/H289,"0")</f>
        <v>337.04999999999995</v>
      </c>
      <c r="BN289" s="78">
        <f t="shared" ref="BN289:BN294" si="28">IFERROR(Y289*I289/H289,"0")</f>
        <v>337.04999999999995</v>
      </c>
      <c r="BO289" s="78">
        <f t="shared" ref="BO289:BO294" si="29">IFERROR(1/J289*(X289/H289),"0")</f>
        <v>0.46874999999999994</v>
      </c>
      <c r="BP289" s="78">
        <f t="shared" ref="BP289:BP294" si="30">IFERROR(1/J289*(Y289/H289),"0")</f>
        <v>0.46874999999999994</v>
      </c>
    </row>
    <row r="290" spans="1:68" ht="27" customHeight="1" x14ac:dyDescent="0.25">
      <c r="A290" s="63" t="s">
        <v>462</v>
      </c>
      <c r="B290" s="63" t="s">
        <v>463</v>
      </c>
      <c r="C290" s="36">
        <v>4301012024</v>
      </c>
      <c r="D290" s="557">
        <v>4680115885615</v>
      </c>
      <c r="E290" s="557"/>
      <c r="F290" s="62">
        <v>1.35</v>
      </c>
      <c r="G290" s="37">
        <v>8</v>
      </c>
      <c r="H290" s="62">
        <v>10.8</v>
      </c>
      <c r="I290" s="62">
        <v>11.234999999999999</v>
      </c>
      <c r="J290" s="37">
        <v>64</v>
      </c>
      <c r="K290" s="37" t="s">
        <v>117</v>
      </c>
      <c r="L290" s="37" t="s">
        <v>118</v>
      </c>
      <c r="M290" s="38" t="s">
        <v>88</v>
      </c>
      <c r="N290" s="38"/>
      <c r="O290" s="37">
        <v>55</v>
      </c>
      <c r="P290" s="6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9"/>
      <c r="R290" s="559"/>
      <c r="S290" s="559"/>
      <c r="T290" s="560"/>
      <c r="U290" s="39" t="s">
        <v>45</v>
      </c>
      <c r="V290" s="39" t="s">
        <v>45</v>
      </c>
      <c r="W290" s="40" t="s">
        <v>0</v>
      </c>
      <c r="X290" s="58">
        <v>162</v>
      </c>
      <c r="Y290" s="55">
        <f t="shared" si="26"/>
        <v>162</v>
      </c>
      <c r="Z290" s="41">
        <f>IFERROR(IF(Y290=0,"",ROUNDUP(Y290/H290,0)*0.01898),"")</f>
        <v>0.28470000000000001</v>
      </c>
      <c r="AA290" s="68" t="s">
        <v>45</v>
      </c>
      <c r="AB290" s="69" t="s">
        <v>45</v>
      </c>
      <c r="AC290" s="350" t="s">
        <v>464</v>
      </c>
      <c r="AG290" s="78"/>
      <c r="AJ290" s="84" t="s">
        <v>101</v>
      </c>
      <c r="AK290" s="84">
        <v>86.4</v>
      </c>
      <c r="BB290" s="351" t="s">
        <v>66</v>
      </c>
      <c r="BM290" s="78">
        <f t="shared" si="27"/>
        <v>168.52499999999998</v>
      </c>
      <c r="BN290" s="78">
        <f t="shared" si="28"/>
        <v>168.52499999999998</v>
      </c>
      <c r="BO290" s="78">
        <f t="shared" si="29"/>
        <v>0.23437499999999997</v>
      </c>
      <c r="BP290" s="78">
        <f t="shared" si="30"/>
        <v>0.23437499999999997</v>
      </c>
    </row>
    <row r="291" spans="1:68" ht="37.5" customHeight="1" x14ac:dyDescent="0.25">
      <c r="A291" s="63" t="s">
        <v>465</v>
      </c>
      <c r="B291" s="63" t="s">
        <v>466</v>
      </c>
      <c r="C291" s="36">
        <v>4301011858</v>
      </c>
      <c r="D291" s="557">
        <v>4680115885646</v>
      </c>
      <c r="E291" s="557"/>
      <c r="F291" s="62">
        <v>1.35</v>
      </c>
      <c r="G291" s="37">
        <v>8</v>
      </c>
      <c r="H291" s="62">
        <v>10.8</v>
      </c>
      <c r="I291" s="62">
        <v>11.234999999999999</v>
      </c>
      <c r="J291" s="37">
        <v>64</v>
      </c>
      <c r="K291" s="37" t="s">
        <v>117</v>
      </c>
      <c r="L291" s="37" t="s">
        <v>118</v>
      </c>
      <c r="M291" s="38" t="s">
        <v>116</v>
      </c>
      <c r="N291" s="38"/>
      <c r="O291" s="37">
        <v>55</v>
      </c>
      <c r="P291" s="6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9"/>
      <c r="R291" s="559"/>
      <c r="S291" s="559"/>
      <c r="T291" s="560"/>
      <c r="U291" s="39" t="s">
        <v>45</v>
      </c>
      <c r="V291" s="39" t="s">
        <v>45</v>
      </c>
      <c r="W291" s="40" t="s">
        <v>0</v>
      </c>
      <c r="X291" s="58">
        <v>86.4</v>
      </c>
      <c r="Y291" s="55">
        <f t="shared" si="26"/>
        <v>86.4</v>
      </c>
      <c r="Z291" s="41">
        <f>IFERROR(IF(Y291=0,"",ROUNDUP(Y291/H291,0)*0.01898),"")</f>
        <v>0.15184</v>
      </c>
      <c r="AA291" s="68" t="s">
        <v>45</v>
      </c>
      <c r="AB291" s="69" t="s">
        <v>45</v>
      </c>
      <c r="AC291" s="352" t="s">
        <v>467</v>
      </c>
      <c r="AG291" s="78"/>
      <c r="AJ291" s="84" t="s">
        <v>101</v>
      </c>
      <c r="AK291" s="84">
        <v>86.4</v>
      </c>
      <c r="BB291" s="353" t="s">
        <v>66</v>
      </c>
      <c r="BM291" s="78">
        <f t="shared" si="27"/>
        <v>89.88</v>
      </c>
      <c r="BN291" s="78">
        <f t="shared" si="28"/>
        <v>89.88</v>
      </c>
      <c r="BO291" s="78">
        <f t="shared" si="29"/>
        <v>0.125</v>
      </c>
      <c r="BP291" s="78">
        <f t="shared" si="30"/>
        <v>0.125</v>
      </c>
    </row>
    <row r="292" spans="1:68" ht="27" customHeight="1" x14ac:dyDescent="0.25">
      <c r="A292" s="63" t="s">
        <v>468</v>
      </c>
      <c r="B292" s="63" t="s">
        <v>469</v>
      </c>
      <c r="C292" s="36">
        <v>4301012016</v>
      </c>
      <c r="D292" s="557">
        <v>4680115885554</v>
      </c>
      <c r="E292" s="557"/>
      <c r="F292" s="62">
        <v>1.35</v>
      </c>
      <c r="G292" s="37">
        <v>8</v>
      </c>
      <c r="H292" s="62">
        <v>10.8</v>
      </c>
      <c r="I292" s="62">
        <v>11.234999999999999</v>
      </c>
      <c r="J292" s="37">
        <v>64</v>
      </c>
      <c r="K292" s="37" t="s">
        <v>117</v>
      </c>
      <c r="L292" s="37" t="s">
        <v>45</v>
      </c>
      <c r="M292" s="38" t="s">
        <v>88</v>
      </c>
      <c r="N292" s="38"/>
      <c r="O292" s="37">
        <v>55</v>
      </c>
      <c r="P292" s="6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9"/>
      <c r="R292" s="559"/>
      <c r="S292" s="559"/>
      <c r="T292" s="560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470</v>
      </c>
      <c r="AG292" s="78"/>
      <c r="AJ292" s="84" t="s">
        <v>101</v>
      </c>
      <c r="AK292" s="84">
        <v>10.8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471</v>
      </c>
      <c r="B293" s="63" t="s">
        <v>472</v>
      </c>
      <c r="C293" s="36">
        <v>4301011857</v>
      </c>
      <c r="D293" s="557">
        <v>4680115885622</v>
      </c>
      <c r="E293" s="557"/>
      <c r="F293" s="62">
        <v>0.4</v>
      </c>
      <c r="G293" s="37">
        <v>10</v>
      </c>
      <c r="H293" s="62">
        <v>4</v>
      </c>
      <c r="I293" s="62">
        <v>4.21</v>
      </c>
      <c r="J293" s="37">
        <v>132</v>
      </c>
      <c r="K293" s="37" t="s">
        <v>121</v>
      </c>
      <c r="L293" s="37" t="s">
        <v>122</v>
      </c>
      <c r="M293" s="38" t="s">
        <v>116</v>
      </c>
      <c r="N293" s="38"/>
      <c r="O293" s="37">
        <v>55</v>
      </c>
      <c r="P293" s="6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9"/>
      <c r="R293" s="559"/>
      <c r="S293" s="559"/>
      <c r="T293" s="560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464</v>
      </c>
      <c r="AG293" s="78"/>
      <c r="AJ293" s="84" t="s">
        <v>101</v>
      </c>
      <c r="AK293" s="84">
        <v>48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473</v>
      </c>
      <c r="B294" s="63" t="s">
        <v>474</v>
      </c>
      <c r="C294" s="36">
        <v>4301011859</v>
      </c>
      <c r="D294" s="557">
        <v>4680115885608</v>
      </c>
      <c r="E294" s="557"/>
      <c r="F294" s="62">
        <v>0.4</v>
      </c>
      <c r="G294" s="37">
        <v>10</v>
      </c>
      <c r="H294" s="62">
        <v>4</v>
      </c>
      <c r="I294" s="62">
        <v>4.21</v>
      </c>
      <c r="J294" s="37">
        <v>132</v>
      </c>
      <c r="K294" s="37" t="s">
        <v>121</v>
      </c>
      <c r="L294" s="37" t="s">
        <v>122</v>
      </c>
      <c r="M294" s="38" t="s">
        <v>116</v>
      </c>
      <c r="N294" s="38"/>
      <c r="O294" s="37">
        <v>55</v>
      </c>
      <c r="P294" s="6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9"/>
      <c r="R294" s="559"/>
      <c r="S294" s="559"/>
      <c r="T294" s="560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475</v>
      </c>
      <c r="AG294" s="78"/>
      <c r="AJ294" s="84" t="s">
        <v>101</v>
      </c>
      <c r="AK294" s="84">
        <v>48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x14ac:dyDescent="0.2">
      <c r="A295" s="564"/>
      <c r="B295" s="564"/>
      <c r="C295" s="564"/>
      <c r="D295" s="564"/>
      <c r="E295" s="564"/>
      <c r="F295" s="564"/>
      <c r="G295" s="564"/>
      <c r="H295" s="564"/>
      <c r="I295" s="564"/>
      <c r="J295" s="564"/>
      <c r="K295" s="564"/>
      <c r="L295" s="564"/>
      <c r="M295" s="564"/>
      <c r="N295" s="564"/>
      <c r="O295" s="565"/>
      <c r="P295" s="561" t="s">
        <v>40</v>
      </c>
      <c r="Q295" s="562"/>
      <c r="R295" s="562"/>
      <c r="S295" s="562"/>
      <c r="T295" s="562"/>
      <c r="U295" s="562"/>
      <c r="V295" s="563"/>
      <c r="W295" s="42" t="s">
        <v>39</v>
      </c>
      <c r="X295" s="43">
        <f>IFERROR(X289/H289,"0")+IFERROR(X290/H290,"0")+IFERROR(X291/H291,"0")+IFERROR(X292/H292,"0")+IFERROR(X293/H293,"0")+IFERROR(X294/H294,"0")</f>
        <v>52.999999999999993</v>
      </c>
      <c r="Y295" s="43">
        <f>IFERROR(Y289/H289,"0")+IFERROR(Y290/H290,"0")+IFERROR(Y291/H291,"0")+IFERROR(Y292/H292,"0")+IFERROR(Y293/H293,"0")+IFERROR(Y294/H294,"0")</f>
        <v>52.999999999999993</v>
      </c>
      <c r="Z295" s="43">
        <f>IFERROR(IF(Z289="",0,Z289),"0")+IFERROR(IF(Z290="",0,Z290),"0")+IFERROR(IF(Z291="",0,Z291),"0")+IFERROR(IF(Z292="",0,Z292),"0")+IFERROR(IF(Z293="",0,Z293),"0")+IFERROR(IF(Z294="",0,Z294),"0")</f>
        <v>1.0059400000000001</v>
      </c>
      <c r="AA295" s="67"/>
      <c r="AB295" s="67"/>
      <c r="AC295" s="67"/>
    </row>
    <row r="296" spans="1:68" x14ac:dyDescent="0.2">
      <c r="A296" s="564"/>
      <c r="B296" s="564"/>
      <c r="C296" s="564"/>
      <c r="D296" s="564"/>
      <c r="E296" s="564"/>
      <c r="F296" s="564"/>
      <c r="G296" s="564"/>
      <c r="H296" s="564"/>
      <c r="I296" s="564"/>
      <c r="J296" s="564"/>
      <c r="K296" s="564"/>
      <c r="L296" s="564"/>
      <c r="M296" s="564"/>
      <c r="N296" s="564"/>
      <c r="O296" s="565"/>
      <c r="P296" s="561" t="s">
        <v>40</v>
      </c>
      <c r="Q296" s="562"/>
      <c r="R296" s="562"/>
      <c r="S296" s="562"/>
      <c r="T296" s="562"/>
      <c r="U296" s="562"/>
      <c r="V296" s="563"/>
      <c r="W296" s="42" t="s">
        <v>0</v>
      </c>
      <c r="X296" s="43">
        <f>IFERROR(SUM(X289:X294),"0")</f>
        <v>572.4</v>
      </c>
      <c r="Y296" s="43">
        <f>IFERROR(SUM(Y289:Y294),"0")</f>
        <v>572.4</v>
      </c>
      <c r="Z296" s="42"/>
      <c r="AA296" s="67"/>
      <c r="AB296" s="67"/>
      <c r="AC296" s="67"/>
    </row>
    <row r="297" spans="1:68" ht="14.25" customHeight="1" x14ac:dyDescent="0.25">
      <c r="A297" s="556" t="s">
        <v>78</v>
      </c>
      <c r="B297" s="556"/>
      <c r="C297" s="556"/>
      <c r="D297" s="556"/>
      <c r="E297" s="556"/>
      <c r="F297" s="556"/>
      <c r="G297" s="556"/>
      <c r="H297" s="556"/>
      <c r="I297" s="556"/>
      <c r="J297" s="556"/>
      <c r="K297" s="556"/>
      <c r="L297" s="556"/>
      <c r="M297" s="556"/>
      <c r="N297" s="556"/>
      <c r="O297" s="556"/>
      <c r="P297" s="556"/>
      <c r="Q297" s="556"/>
      <c r="R297" s="556"/>
      <c r="S297" s="556"/>
      <c r="T297" s="556"/>
      <c r="U297" s="556"/>
      <c r="V297" s="556"/>
      <c r="W297" s="556"/>
      <c r="X297" s="556"/>
      <c r="Y297" s="556"/>
      <c r="Z297" s="556"/>
      <c r="AA297" s="66"/>
      <c r="AB297" s="66"/>
      <c r="AC297" s="80"/>
    </row>
    <row r="298" spans="1:68" ht="27" customHeight="1" x14ac:dyDescent="0.25">
      <c r="A298" s="63" t="s">
        <v>476</v>
      </c>
      <c r="B298" s="63" t="s">
        <v>477</v>
      </c>
      <c r="C298" s="36">
        <v>4301030878</v>
      </c>
      <c r="D298" s="557">
        <v>4607091387193</v>
      </c>
      <c r="E298" s="557"/>
      <c r="F298" s="62">
        <v>0.7</v>
      </c>
      <c r="G298" s="37">
        <v>6</v>
      </c>
      <c r="H298" s="62">
        <v>4.2</v>
      </c>
      <c r="I298" s="62">
        <v>4.47</v>
      </c>
      <c r="J298" s="37">
        <v>132</v>
      </c>
      <c r="K298" s="37" t="s">
        <v>121</v>
      </c>
      <c r="L298" s="37" t="s">
        <v>122</v>
      </c>
      <c r="M298" s="38" t="s">
        <v>82</v>
      </c>
      <c r="N298" s="38"/>
      <c r="O298" s="37">
        <v>35</v>
      </c>
      <c r="P298" s="66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9"/>
      <c r="R298" s="559"/>
      <c r="S298" s="559"/>
      <c r="T298" s="560"/>
      <c r="U298" s="39" t="s">
        <v>45</v>
      </c>
      <c r="V298" s="39" t="s">
        <v>45</v>
      </c>
      <c r="W298" s="40" t="s">
        <v>0</v>
      </c>
      <c r="X298" s="58">
        <v>126</v>
      </c>
      <c r="Y298" s="55">
        <f t="shared" ref="Y298:Y304" si="31">IFERROR(IF(X298="",0,CEILING((X298/$H298),1)*$H298),"")</f>
        <v>126</v>
      </c>
      <c r="Z298" s="41">
        <f>IFERROR(IF(Y298=0,"",ROUNDUP(Y298/H298,0)*0.00902),"")</f>
        <v>0.27060000000000001</v>
      </c>
      <c r="AA298" s="68" t="s">
        <v>45</v>
      </c>
      <c r="AB298" s="69" t="s">
        <v>45</v>
      </c>
      <c r="AC298" s="360" t="s">
        <v>478</v>
      </c>
      <c r="AG298" s="78"/>
      <c r="AJ298" s="84" t="s">
        <v>101</v>
      </c>
      <c r="AK298" s="84">
        <v>50.4</v>
      </c>
      <c r="BB298" s="361" t="s">
        <v>66</v>
      </c>
      <c r="BM298" s="78">
        <f t="shared" ref="BM298:BM304" si="32">IFERROR(X298*I298/H298,"0")</f>
        <v>134.09999999999997</v>
      </c>
      <c r="BN298" s="78">
        <f t="shared" ref="BN298:BN304" si="33">IFERROR(Y298*I298/H298,"0")</f>
        <v>134.09999999999997</v>
      </c>
      <c r="BO298" s="78">
        <f t="shared" ref="BO298:BO304" si="34">IFERROR(1/J298*(X298/H298),"0")</f>
        <v>0.22727272727272729</v>
      </c>
      <c r="BP298" s="78">
        <f t="shared" ref="BP298:BP304" si="35">IFERROR(1/J298*(Y298/H298),"0")</f>
        <v>0.22727272727272729</v>
      </c>
    </row>
    <row r="299" spans="1:68" ht="27" customHeight="1" x14ac:dyDescent="0.25">
      <c r="A299" s="63" t="s">
        <v>479</v>
      </c>
      <c r="B299" s="63" t="s">
        <v>480</v>
      </c>
      <c r="C299" s="36">
        <v>4301031153</v>
      </c>
      <c r="D299" s="557">
        <v>4607091387230</v>
      </c>
      <c r="E299" s="557"/>
      <c r="F299" s="62">
        <v>0.7</v>
      </c>
      <c r="G299" s="37">
        <v>6</v>
      </c>
      <c r="H299" s="62">
        <v>4.2</v>
      </c>
      <c r="I299" s="62">
        <v>4.47</v>
      </c>
      <c r="J299" s="37">
        <v>132</v>
      </c>
      <c r="K299" s="37" t="s">
        <v>121</v>
      </c>
      <c r="L299" s="37" t="s">
        <v>122</v>
      </c>
      <c r="M299" s="38" t="s">
        <v>82</v>
      </c>
      <c r="N299" s="38"/>
      <c r="O299" s="37">
        <v>40</v>
      </c>
      <c r="P299" s="6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9"/>
      <c r="R299" s="559"/>
      <c r="S299" s="559"/>
      <c r="T299" s="560"/>
      <c r="U299" s="39" t="s">
        <v>45</v>
      </c>
      <c r="V299" s="39" t="s">
        <v>45</v>
      </c>
      <c r="W299" s="40" t="s">
        <v>0</v>
      </c>
      <c r="X299" s="58">
        <v>84</v>
      </c>
      <c r="Y299" s="55">
        <f t="shared" si="31"/>
        <v>84</v>
      </c>
      <c r="Z299" s="41">
        <f>IFERROR(IF(Y299=0,"",ROUNDUP(Y299/H299,0)*0.00902),"")</f>
        <v>0.1804</v>
      </c>
      <c r="AA299" s="68" t="s">
        <v>45</v>
      </c>
      <c r="AB299" s="69" t="s">
        <v>45</v>
      </c>
      <c r="AC299" s="362" t="s">
        <v>481</v>
      </c>
      <c r="AG299" s="78"/>
      <c r="AJ299" s="84" t="s">
        <v>101</v>
      </c>
      <c r="AK299" s="84">
        <v>50.4</v>
      </c>
      <c r="BB299" s="363" t="s">
        <v>66</v>
      </c>
      <c r="BM299" s="78">
        <f t="shared" si="32"/>
        <v>89.399999999999991</v>
      </c>
      <c r="BN299" s="78">
        <f t="shared" si="33"/>
        <v>89.399999999999991</v>
      </c>
      <c r="BO299" s="78">
        <f t="shared" si="34"/>
        <v>0.15151515151515152</v>
      </c>
      <c r="BP299" s="78">
        <f t="shared" si="35"/>
        <v>0.15151515151515152</v>
      </c>
    </row>
    <row r="300" spans="1:68" ht="27" customHeight="1" x14ac:dyDescent="0.25">
      <c r="A300" s="63" t="s">
        <v>482</v>
      </c>
      <c r="B300" s="63" t="s">
        <v>483</v>
      </c>
      <c r="C300" s="36">
        <v>4301031154</v>
      </c>
      <c r="D300" s="557">
        <v>4607091387292</v>
      </c>
      <c r="E300" s="557"/>
      <c r="F300" s="62">
        <v>0.73</v>
      </c>
      <c r="G300" s="37">
        <v>6</v>
      </c>
      <c r="H300" s="62">
        <v>4.38</v>
      </c>
      <c r="I300" s="62">
        <v>4.6500000000000004</v>
      </c>
      <c r="J300" s="37">
        <v>132</v>
      </c>
      <c r="K300" s="37" t="s">
        <v>121</v>
      </c>
      <c r="L300" s="37" t="s">
        <v>45</v>
      </c>
      <c r="M300" s="38" t="s">
        <v>82</v>
      </c>
      <c r="N300" s="38"/>
      <c r="O300" s="37">
        <v>45</v>
      </c>
      <c r="P300" s="66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9"/>
      <c r="R300" s="559"/>
      <c r="S300" s="559"/>
      <c r="T300" s="560"/>
      <c r="U300" s="39" t="s">
        <v>45</v>
      </c>
      <c r="V300" s="39" t="s">
        <v>45</v>
      </c>
      <c r="W300" s="40" t="s">
        <v>0</v>
      </c>
      <c r="X300" s="58">
        <v>21.9</v>
      </c>
      <c r="Y300" s="55">
        <f t="shared" si="31"/>
        <v>21.9</v>
      </c>
      <c r="Z300" s="41">
        <f>IFERROR(IF(Y300=0,"",ROUNDUP(Y300/H300,0)*0.00902),"")</f>
        <v>4.5100000000000001E-2</v>
      </c>
      <c r="AA300" s="68" t="s">
        <v>45</v>
      </c>
      <c r="AB300" s="69" t="s">
        <v>45</v>
      </c>
      <c r="AC300" s="364" t="s">
        <v>484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23.250000000000004</v>
      </c>
      <c r="BN300" s="78">
        <f t="shared" si="33"/>
        <v>23.250000000000004</v>
      </c>
      <c r="BO300" s="78">
        <f t="shared" si="34"/>
        <v>3.787878787878788E-2</v>
      </c>
      <c r="BP300" s="78">
        <f t="shared" si="35"/>
        <v>3.787878787878788E-2</v>
      </c>
    </row>
    <row r="301" spans="1:68" ht="27" customHeight="1" x14ac:dyDescent="0.25">
      <c r="A301" s="63" t="s">
        <v>485</v>
      </c>
      <c r="B301" s="63" t="s">
        <v>486</v>
      </c>
      <c r="C301" s="36">
        <v>4301031152</v>
      </c>
      <c r="D301" s="557">
        <v>4607091387285</v>
      </c>
      <c r="E301" s="557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83</v>
      </c>
      <c r="L301" s="37" t="s">
        <v>284</v>
      </c>
      <c r="M301" s="38" t="s">
        <v>82</v>
      </c>
      <c r="N301" s="38"/>
      <c r="O301" s="37">
        <v>40</v>
      </c>
      <c r="P301" s="6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9"/>
      <c r="R301" s="559"/>
      <c r="S301" s="559"/>
      <c r="T301" s="560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481</v>
      </c>
      <c r="AG301" s="78"/>
      <c r="AJ301" s="84" t="s">
        <v>101</v>
      </c>
      <c r="AK301" s="84">
        <v>37.799999999999997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487</v>
      </c>
      <c r="B302" s="63" t="s">
        <v>488</v>
      </c>
      <c r="C302" s="36">
        <v>4301031305</v>
      </c>
      <c r="D302" s="557">
        <v>4607091389845</v>
      </c>
      <c r="E302" s="557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83</v>
      </c>
      <c r="L302" s="37" t="s">
        <v>284</v>
      </c>
      <c r="M302" s="38" t="s">
        <v>82</v>
      </c>
      <c r="N302" s="38"/>
      <c r="O302" s="37">
        <v>40</v>
      </c>
      <c r="P302" s="6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9"/>
      <c r="R302" s="559"/>
      <c r="S302" s="559"/>
      <c r="T302" s="560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489</v>
      </c>
      <c r="AG302" s="78"/>
      <c r="AJ302" s="84" t="s">
        <v>101</v>
      </c>
      <c r="AK302" s="84">
        <v>37.799999999999997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490</v>
      </c>
      <c r="B303" s="63" t="s">
        <v>491</v>
      </c>
      <c r="C303" s="36">
        <v>4301031306</v>
      </c>
      <c r="D303" s="557">
        <v>4680115882881</v>
      </c>
      <c r="E303" s="557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83</v>
      </c>
      <c r="L303" s="37" t="s">
        <v>45</v>
      </c>
      <c r="M303" s="38" t="s">
        <v>82</v>
      </c>
      <c r="N303" s="38"/>
      <c r="O303" s="37">
        <v>40</v>
      </c>
      <c r="P303" s="66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9"/>
      <c r="R303" s="559"/>
      <c r="S303" s="559"/>
      <c r="T303" s="560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489</v>
      </c>
      <c r="AG303" s="78"/>
      <c r="AJ303" s="84" t="s">
        <v>45</v>
      </c>
      <c r="AK303" s="84">
        <v>0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492</v>
      </c>
      <c r="B304" s="63" t="s">
        <v>493</v>
      </c>
      <c r="C304" s="36">
        <v>4301031066</v>
      </c>
      <c r="D304" s="557">
        <v>4607091383836</v>
      </c>
      <c r="E304" s="557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89</v>
      </c>
      <c r="L304" s="37" t="s">
        <v>100</v>
      </c>
      <c r="M304" s="38" t="s">
        <v>82</v>
      </c>
      <c r="N304" s="38"/>
      <c r="O304" s="37">
        <v>40</v>
      </c>
      <c r="P304" s="6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9"/>
      <c r="R304" s="559"/>
      <c r="S304" s="559"/>
      <c r="T304" s="560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494</v>
      </c>
      <c r="AG304" s="78"/>
      <c r="AJ304" s="84" t="s">
        <v>101</v>
      </c>
      <c r="AK304" s="84">
        <v>25.2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x14ac:dyDescent="0.2">
      <c r="A305" s="564"/>
      <c r="B305" s="564"/>
      <c r="C305" s="564"/>
      <c r="D305" s="564"/>
      <c r="E305" s="564"/>
      <c r="F305" s="564"/>
      <c r="G305" s="564"/>
      <c r="H305" s="564"/>
      <c r="I305" s="564"/>
      <c r="J305" s="564"/>
      <c r="K305" s="564"/>
      <c r="L305" s="564"/>
      <c r="M305" s="564"/>
      <c r="N305" s="564"/>
      <c r="O305" s="565"/>
      <c r="P305" s="561" t="s">
        <v>40</v>
      </c>
      <c r="Q305" s="562"/>
      <c r="R305" s="562"/>
      <c r="S305" s="562"/>
      <c r="T305" s="562"/>
      <c r="U305" s="562"/>
      <c r="V305" s="563"/>
      <c r="W305" s="42" t="s">
        <v>39</v>
      </c>
      <c r="X305" s="43">
        <f>IFERROR(X298/H298,"0")+IFERROR(X299/H299,"0")+IFERROR(X300/H300,"0")+IFERROR(X301/H301,"0")+IFERROR(X302/H302,"0")+IFERROR(X303/H303,"0")+IFERROR(X304/H304,"0")</f>
        <v>55</v>
      </c>
      <c r="Y305" s="43">
        <f>IFERROR(Y298/H298,"0")+IFERROR(Y299/H299,"0")+IFERROR(Y300/H300,"0")+IFERROR(Y301/H301,"0")+IFERROR(Y302/H302,"0")+IFERROR(Y303/H303,"0")+IFERROR(Y304/H304,"0")</f>
        <v>55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0.49609999999999999</v>
      </c>
      <c r="AA305" s="67"/>
      <c r="AB305" s="67"/>
      <c r="AC305" s="67"/>
    </row>
    <row r="306" spans="1:68" x14ac:dyDescent="0.2">
      <c r="A306" s="564"/>
      <c r="B306" s="564"/>
      <c r="C306" s="564"/>
      <c r="D306" s="564"/>
      <c r="E306" s="564"/>
      <c r="F306" s="564"/>
      <c r="G306" s="564"/>
      <c r="H306" s="564"/>
      <c r="I306" s="564"/>
      <c r="J306" s="564"/>
      <c r="K306" s="564"/>
      <c r="L306" s="564"/>
      <c r="M306" s="564"/>
      <c r="N306" s="564"/>
      <c r="O306" s="565"/>
      <c r="P306" s="561" t="s">
        <v>40</v>
      </c>
      <c r="Q306" s="562"/>
      <c r="R306" s="562"/>
      <c r="S306" s="562"/>
      <c r="T306" s="562"/>
      <c r="U306" s="562"/>
      <c r="V306" s="563"/>
      <c r="W306" s="42" t="s">
        <v>0</v>
      </c>
      <c r="X306" s="43">
        <f>IFERROR(SUM(X298:X304),"0")</f>
        <v>231.9</v>
      </c>
      <c r="Y306" s="43">
        <f>IFERROR(SUM(Y298:Y304),"0")</f>
        <v>231.9</v>
      </c>
      <c r="Z306" s="42"/>
      <c r="AA306" s="67"/>
      <c r="AB306" s="67"/>
      <c r="AC306" s="67"/>
    </row>
    <row r="307" spans="1:68" ht="14.25" customHeight="1" x14ac:dyDescent="0.25">
      <c r="A307" s="556" t="s">
        <v>84</v>
      </c>
      <c r="B307" s="556"/>
      <c r="C307" s="556"/>
      <c r="D307" s="556"/>
      <c r="E307" s="556"/>
      <c r="F307" s="556"/>
      <c r="G307" s="556"/>
      <c r="H307" s="556"/>
      <c r="I307" s="556"/>
      <c r="J307" s="556"/>
      <c r="K307" s="556"/>
      <c r="L307" s="556"/>
      <c r="M307" s="556"/>
      <c r="N307" s="556"/>
      <c r="O307" s="556"/>
      <c r="P307" s="556"/>
      <c r="Q307" s="556"/>
      <c r="R307" s="556"/>
      <c r="S307" s="556"/>
      <c r="T307" s="556"/>
      <c r="U307" s="556"/>
      <c r="V307" s="556"/>
      <c r="W307" s="556"/>
      <c r="X307" s="556"/>
      <c r="Y307" s="556"/>
      <c r="Z307" s="556"/>
      <c r="AA307" s="66"/>
      <c r="AB307" s="66"/>
      <c r="AC307" s="80"/>
    </row>
    <row r="308" spans="1:68" ht="27" customHeight="1" x14ac:dyDescent="0.25">
      <c r="A308" s="63" t="s">
        <v>495</v>
      </c>
      <c r="B308" s="63" t="s">
        <v>496</v>
      </c>
      <c r="C308" s="36">
        <v>4301051100</v>
      </c>
      <c r="D308" s="557">
        <v>4607091387766</v>
      </c>
      <c r="E308" s="557"/>
      <c r="F308" s="62">
        <v>1.3</v>
      </c>
      <c r="G308" s="37">
        <v>6</v>
      </c>
      <c r="H308" s="62">
        <v>7.8</v>
      </c>
      <c r="I308" s="62">
        <v>8.3130000000000006</v>
      </c>
      <c r="J308" s="37">
        <v>64</v>
      </c>
      <c r="K308" s="37" t="s">
        <v>117</v>
      </c>
      <c r="L308" s="37" t="s">
        <v>118</v>
      </c>
      <c r="M308" s="38" t="s">
        <v>88</v>
      </c>
      <c r="N308" s="38"/>
      <c r="O308" s="37">
        <v>40</v>
      </c>
      <c r="P308" s="65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9"/>
      <c r="R308" s="559"/>
      <c r="S308" s="559"/>
      <c r="T308" s="560"/>
      <c r="U308" s="39" t="s">
        <v>45</v>
      </c>
      <c r="V308" s="39" t="s">
        <v>45</v>
      </c>
      <c r="W308" s="40" t="s">
        <v>0</v>
      </c>
      <c r="X308" s="58">
        <v>998.4</v>
      </c>
      <c r="Y308" s="55">
        <f>IFERROR(IF(X308="",0,CEILING((X308/$H308),1)*$H308),"")</f>
        <v>998.4</v>
      </c>
      <c r="Z308" s="41">
        <f>IFERROR(IF(Y308=0,"",ROUNDUP(Y308/H308,0)*0.01898),"")</f>
        <v>2.42944</v>
      </c>
      <c r="AA308" s="68" t="s">
        <v>45</v>
      </c>
      <c r="AB308" s="69" t="s">
        <v>45</v>
      </c>
      <c r="AC308" s="374" t="s">
        <v>497</v>
      </c>
      <c r="AG308" s="78"/>
      <c r="AJ308" s="84" t="s">
        <v>101</v>
      </c>
      <c r="AK308" s="84">
        <v>62.4</v>
      </c>
      <c r="BB308" s="375" t="s">
        <v>66</v>
      </c>
      <c r="BM308" s="78">
        <f>IFERROR(X308*I308/H308,"0")</f>
        <v>1064.0640000000001</v>
      </c>
      <c r="BN308" s="78">
        <f>IFERROR(Y308*I308/H308,"0")</f>
        <v>1064.0640000000001</v>
      </c>
      <c r="BO308" s="78">
        <f>IFERROR(1/J308*(X308/H308),"0")</f>
        <v>2</v>
      </c>
      <c r="BP308" s="78">
        <f>IFERROR(1/J308*(Y308/H308),"0")</f>
        <v>2</v>
      </c>
    </row>
    <row r="309" spans="1:68" ht="27" customHeight="1" x14ac:dyDescent="0.25">
      <c r="A309" s="63" t="s">
        <v>498</v>
      </c>
      <c r="B309" s="63" t="s">
        <v>499</v>
      </c>
      <c r="C309" s="36">
        <v>4301051818</v>
      </c>
      <c r="D309" s="557">
        <v>4607091387957</v>
      </c>
      <c r="E309" s="557"/>
      <c r="F309" s="62">
        <v>1.3</v>
      </c>
      <c r="G309" s="37">
        <v>6</v>
      </c>
      <c r="H309" s="62">
        <v>7.8</v>
      </c>
      <c r="I309" s="62">
        <v>8.3190000000000008</v>
      </c>
      <c r="J309" s="37">
        <v>64</v>
      </c>
      <c r="K309" s="37" t="s">
        <v>117</v>
      </c>
      <c r="L309" s="37" t="s">
        <v>45</v>
      </c>
      <c r="M309" s="38" t="s">
        <v>88</v>
      </c>
      <c r="N309" s="38"/>
      <c r="O309" s="37">
        <v>40</v>
      </c>
      <c r="P309" s="65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9"/>
      <c r="R309" s="559"/>
      <c r="S309" s="559"/>
      <c r="T309" s="560"/>
      <c r="U309" s="39" t="s">
        <v>45</v>
      </c>
      <c r="V309" s="39" t="s">
        <v>45</v>
      </c>
      <c r="W309" s="40" t="s">
        <v>0</v>
      </c>
      <c r="X309" s="58">
        <v>15.6</v>
      </c>
      <c r="Y309" s="55">
        <f>IFERROR(IF(X309="",0,CEILING((X309/$H309),1)*$H309),"")</f>
        <v>15.6</v>
      </c>
      <c r="Z309" s="41">
        <f>IFERROR(IF(Y309=0,"",ROUNDUP(Y309/H309,0)*0.01898),"")</f>
        <v>3.7960000000000001E-2</v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16.638000000000002</v>
      </c>
      <c r="BN309" s="78">
        <f>IFERROR(Y309*I309/H309,"0")</f>
        <v>16.638000000000002</v>
      </c>
      <c r="BO309" s="78">
        <f>IFERROR(1/J309*(X309/H309),"0")</f>
        <v>3.125E-2</v>
      </c>
      <c r="BP309" s="78">
        <f>IFERROR(1/J309*(Y309/H309),"0")</f>
        <v>3.125E-2</v>
      </c>
    </row>
    <row r="310" spans="1:68" ht="27" customHeight="1" x14ac:dyDescent="0.25">
      <c r="A310" s="63" t="s">
        <v>501</v>
      </c>
      <c r="B310" s="63" t="s">
        <v>502</v>
      </c>
      <c r="C310" s="36">
        <v>4301051819</v>
      </c>
      <c r="D310" s="557">
        <v>4607091387964</v>
      </c>
      <c r="E310" s="557"/>
      <c r="F310" s="62">
        <v>1.35</v>
      </c>
      <c r="G310" s="37">
        <v>6</v>
      </c>
      <c r="H310" s="62">
        <v>8.1</v>
      </c>
      <c r="I310" s="62">
        <v>8.6010000000000009</v>
      </c>
      <c r="J310" s="37">
        <v>64</v>
      </c>
      <c r="K310" s="37" t="s">
        <v>117</v>
      </c>
      <c r="L310" s="37" t="s">
        <v>45</v>
      </c>
      <c r="M310" s="38" t="s">
        <v>88</v>
      </c>
      <c r="N310" s="38"/>
      <c r="O310" s="37">
        <v>40</v>
      </c>
      <c r="P310" s="6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9"/>
      <c r="R310" s="559"/>
      <c r="S310" s="559"/>
      <c r="T310" s="560"/>
      <c r="U310" s="39" t="s">
        <v>45</v>
      </c>
      <c r="V310" s="39" t="s">
        <v>45</v>
      </c>
      <c r="W310" s="40" t="s">
        <v>0</v>
      </c>
      <c r="X310" s="58">
        <v>16.2</v>
      </c>
      <c r="Y310" s="55">
        <f>IFERROR(IF(X310="",0,CEILING((X310/$H310),1)*$H310),"")</f>
        <v>16.2</v>
      </c>
      <c r="Z310" s="41">
        <f>IFERROR(IF(Y310=0,"",ROUNDUP(Y310/H310,0)*0.01898),"")</f>
        <v>3.7960000000000001E-2</v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17.202000000000002</v>
      </c>
      <c r="BN310" s="78">
        <f>IFERROR(Y310*I310/H310,"0")</f>
        <v>17.202000000000002</v>
      </c>
      <c r="BO310" s="78">
        <f>IFERROR(1/J310*(X310/H310),"0")</f>
        <v>3.125E-2</v>
      </c>
      <c r="BP310" s="78">
        <f>IFERROR(1/J310*(Y310/H310),"0")</f>
        <v>3.125E-2</v>
      </c>
    </row>
    <row r="311" spans="1:68" ht="27" customHeight="1" x14ac:dyDescent="0.25">
      <c r="A311" s="63" t="s">
        <v>504</v>
      </c>
      <c r="B311" s="63" t="s">
        <v>505</v>
      </c>
      <c r="C311" s="36">
        <v>4301051734</v>
      </c>
      <c r="D311" s="557">
        <v>4680115884588</v>
      </c>
      <c r="E311" s="557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89</v>
      </c>
      <c r="L311" s="37" t="s">
        <v>100</v>
      </c>
      <c r="M311" s="38" t="s">
        <v>88</v>
      </c>
      <c r="N311" s="38"/>
      <c r="O311" s="37">
        <v>40</v>
      </c>
      <c r="P311" s="65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9"/>
      <c r="R311" s="559"/>
      <c r="S311" s="559"/>
      <c r="T311" s="560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506</v>
      </c>
      <c r="AG311" s="78"/>
      <c r="AJ311" s="84" t="s">
        <v>101</v>
      </c>
      <c r="AK311" s="84">
        <v>42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507</v>
      </c>
      <c r="B312" s="63" t="s">
        <v>508</v>
      </c>
      <c r="C312" s="36">
        <v>4301051578</v>
      </c>
      <c r="D312" s="557">
        <v>4607091387513</v>
      </c>
      <c r="E312" s="557"/>
      <c r="F312" s="62">
        <v>0.45</v>
      </c>
      <c r="G312" s="37">
        <v>6</v>
      </c>
      <c r="H312" s="62">
        <v>2.7</v>
      </c>
      <c r="I312" s="62">
        <v>2.9580000000000002</v>
      </c>
      <c r="J312" s="37">
        <v>182</v>
      </c>
      <c r="K312" s="37" t="s">
        <v>89</v>
      </c>
      <c r="L312" s="37" t="s">
        <v>45</v>
      </c>
      <c r="M312" s="38" t="s">
        <v>96</v>
      </c>
      <c r="N312" s="38"/>
      <c r="O312" s="37">
        <v>40</v>
      </c>
      <c r="P312" s="653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9"/>
      <c r="R312" s="559"/>
      <c r="S312" s="559"/>
      <c r="T312" s="560"/>
      <c r="U312" s="39" t="s">
        <v>45</v>
      </c>
      <c r="V312" s="39" t="s">
        <v>45</v>
      </c>
      <c r="W312" s="40" t="s">
        <v>0</v>
      </c>
      <c r="X312" s="58">
        <v>2.7</v>
      </c>
      <c r="Y312" s="55">
        <f>IFERROR(IF(X312="",0,CEILING((X312/$H312),1)*$H312),"")</f>
        <v>2.7</v>
      </c>
      <c r="Z312" s="41">
        <f>IFERROR(IF(Y312=0,"",ROUNDUP(Y312/H312,0)*0.00651),"")</f>
        <v>6.5100000000000002E-3</v>
      </c>
      <c r="AA312" s="68" t="s">
        <v>45</v>
      </c>
      <c r="AB312" s="69" t="s">
        <v>45</v>
      </c>
      <c r="AC312" s="382" t="s">
        <v>509</v>
      </c>
      <c r="AG312" s="78"/>
      <c r="AJ312" s="84" t="s">
        <v>45</v>
      </c>
      <c r="AK312" s="84">
        <v>0</v>
      </c>
      <c r="BB312" s="383" t="s">
        <v>66</v>
      </c>
      <c r="BM312" s="78">
        <f>IFERROR(X312*I312/H312,"0")</f>
        <v>2.9580000000000002</v>
      </c>
      <c r="BN312" s="78">
        <f>IFERROR(Y312*I312/H312,"0")</f>
        <v>2.9580000000000002</v>
      </c>
      <c r="BO312" s="78">
        <f>IFERROR(1/J312*(X312/H312),"0")</f>
        <v>5.4945054945054949E-3</v>
      </c>
      <c r="BP312" s="78">
        <f>IFERROR(1/J312*(Y312/H312),"0")</f>
        <v>5.4945054945054949E-3</v>
      </c>
    </row>
    <row r="313" spans="1:68" x14ac:dyDescent="0.2">
      <c r="A313" s="564"/>
      <c r="B313" s="564"/>
      <c r="C313" s="564"/>
      <c r="D313" s="564"/>
      <c r="E313" s="564"/>
      <c r="F313" s="564"/>
      <c r="G313" s="564"/>
      <c r="H313" s="564"/>
      <c r="I313" s="564"/>
      <c r="J313" s="564"/>
      <c r="K313" s="564"/>
      <c r="L313" s="564"/>
      <c r="M313" s="564"/>
      <c r="N313" s="564"/>
      <c r="O313" s="565"/>
      <c r="P313" s="561" t="s">
        <v>40</v>
      </c>
      <c r="Q313" s="562"/>
      <c r="R313" s="562"/>
      <c r="S313" s="562"/>
      <c r="T313" s="562"/>
      <c r="U313" s="562"/>
      <c r="V313" s="563"/>
      <c r="W313" s="42" t="s">
        <v>39</v>
      </c>
      <c r="X313" s="43">
        <f>IFERROR(X308/H308,"0")+IFERROR(X309/H309,"0")+IFERROR(X310/H310,"0")+IFERROR(X311/H311,"0")+IFERROR(X312/H312,"0")</f>
        <v>133</v>
      </c>
      <c r="Y313" s="43">
        <f>IFERROR(Y308/H308,"0")+IFERROR(Y309/H309,"0")+IFERROR(Y310/H310,"0")+IFERROR(Y311/H311,"0")+IFERROR(Y312/H312,"0")</f>
        <v>133</v>
      </c>
      <c r="Z313" s="43">
        <f>IFERROR(IF(Z308="",0,Z308),"0")+IFERROR(IF(Z309="",0,Z309),"0")+IFERROR(IF(Z310="",0,Z310),"0")+IFERROR(IF(Z311="",0,Z311),"0")+IFERROR(IF(Z312="",0,Z312),"0")</f>
        <v>2.51187</v>
      </c>
      <c r="AA313" s="67"/>
      <c r="AB313" s="67"/>
      <c r="AC313" s="67"/>
    </row>
    <row r="314" spans="1:68" x14ac:dyDescent="0.2">
      <c r="A314" s="564"/>
      <c r="B314" s="564"/>
      <c r="C314" s="564"/>
      <c r="D314" s="564"/>
      <c r="E314" s="564"/>
      <c r="F314" s="564"/>
      <c r="G314" s="564"/>
      <c r="H314" s="564"/>
      <c r="I314" s="564"/>
      <c r="J314" s="564"/>
      <c r="K314" s="564"/>
      <c r="L314" s="564"/>
      <c r="M314" s="564"/>
      <c r="N314" s="564"/>
      <c r="O314" s="565"/>
      <c r="P314" s="561" t="s">
        <v>40</v>
      </c>
      <c r="Q314" s="562"/>
      <c r="R314" s="562"/>
      <c r="S314" s="562"/>
      <c r="T314" s="562"/>
      <c r="U314" s="562"/>
      <c r="V314" s="563"/>
      <c r="W314" s="42" t="s">
        <v>0</v>
      </c>
      <c r="X314" s="43">
        <f>IFERROR(SUM(X308:X312),"0")</f>
        <v>1032.9000000000001</v>
      </c>
      <c r="Y314" s="43">
        <f>IFERROR(SUM(Y308:Y312),"0")</f>
        <v>1032.9000000000001</v>
      </c>
      <c r="Z314" s="42"/>
      <c r="AA314" s="67"/>
      <c r="AB314" s="67"/>
      <c r="AC314" s="67"/>
    </row>
    <row r="315" spans="1:68" ht="14.25" customHeight="1" x14ac:dyDescent="0.25">
      <c r="A315" s="556" t="s">
        <v>177</v>
      </c>
      <c r="B315" s="556"/>
      <c r="C315" s="556"/>
      <c r="D315" s="556"/>
      <c r="E315" s="556"/>
      <c r="F315" s="556"/>
      <c r="G315" s="556"/>
      <c r="H315" s="556"/>
      <c r="I315" s="556"/>
      <c r="J315" s="556"/>
      <c r="K315" s="556"/>
      <c r="L315" s="556"/>
      <c r="M315" s="556"/>
      <c r="N315" s="556"/>
      <c r="O315" s="556"/>
      <c r="P315" s="556"/>
      <c r="Q315" s="556"/>
      <c r="R315" s="556"/>
      <c r="S315" s="556"/>
      <c r="T315" s="556"/>
      <c r="U315" s="556"/>
      <c r="V315" s="556"/>
      <c r="W315" s="556"/>
      <c r="X315" s="556"/>
      <c r="Y315" s="556"/>
      <c r="Z315" s="556"/>
      <c r="AA315" s="66"/>
      <c r="AB315" s="66"/>
      <c r="AC315" s="80"/>
    </row>
    <row r="316" spans="1:68" ht="27" customHeight="1" x14ac:dyDescent="0.25">
      <c r="A316" s="63" t="s">
        <v>510</v>
      </c>
      <c r="B316" s="63" t="s">
        <v>511</v>
      </c>
      <c r="C316" s="36">
        <v>4301060387</v>
      </c>
      <c r="D316" s="557">
        <v>4607091380880</v>
      </c>
      <c r="E316" s="557"/>
      <c r="F316" s="62">
        <v>1.4</v>
      </c>
      <c r="G316" s="37">
        <v>6</v>
      </c>
      <c r="H316" s="62">
        <v>8.4</v>
      </c>
      <c r="I316" s="62">
        <v>8.9190000000000005</v>
      </c>
      <c r="J316" s="37">
        <v>64</v>
      </c>
      <c r="K316" s="37" t="s">
        <v>117</v>
      </c>
      <c r="L316" s="37" t="s">
        <v>118</v>
      </c>
      <c r="M316" s="38" t="s">
        <v>88</v>
      </c>
      <c r="N316" s="38"/>
      <c r="O316" s="37">
        <v>30</v>
      </c>
      <c r="P316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9"/>
      <c r="R316" s="559"/>
      <c r="S316" s="559"/>
      <c r="T316" s="560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101</v>
      </c>
      <c r="AK316" s="84">
        <v>67.2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513</v>
      </c>
      <c r="B317" s="63" t="s">
        <v>514</v>
      </c>
      <c r="C317" s="36">
        <v>4301060406</v>
      </c>
      <c r="D317" s="557">
        <v>4607091384482</v>
      </c>
      <c r="E317" s="557"/>
      <c r="F317" s="62">
        <v>1.3</v>
      </c>
      <c r="G317" s="37">
        <v>6</v>
      </c>
      <c r="H317" s="62">
        <v>7.8</v>
      </c>
      <c r="I317" s="62">
        <v>8.3190000000000008</v>
      </c>
      <c r="J317" s="37">
        <v>64</v>
      </c>
      <c r="K317" s="37" t="s">
        <v>117</v>
      </c>
      <c r="L317" s="37" t="s">
        <v>118</v>
      </c>
      <c r="M317" s="38" t="s">
        <v>88</v>
      </c>
      <c r="N317" s="38"/>
      <c r="O317" s="37">
        <v>30</v>
      </c>
      <c r="P317" s="65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9"/>
      <c r="R317" s="559"/>
      <c r="S317" s="559"/>
      <c r="T317" s="560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515</v>
      </c>
      <c r="AG317" s="78"/>
      <c r="AJ317" s="84" t="s">
        <v>101</v>
      </c>
      <c r="AK317" s="84">
        <v>62.4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16.5" customHeight="1" x14ac:dyDescent="0.25">
      <c r="A318" s="63" t="s">
        <v>516</v>
      </c>
      <c r="B318" s="63" t="s">
        <v>517</v>
      </c>
      <c r="C318" s="36">
        <v>4301060484</v>
      </c>
      <c r="D318" s="557">
        <v>4607091380897</v>
      </c>
      <c r="E318" s="557"/>
      <c r="F318" s="62">
        <v>1.4</v>
      </c>
      <c r="G318" s="37">
        <v>6</v>
      </c>
      <c r="H318" s="62">
        <v>8.4</v>
      </c>
      <c r="I318" s="62">
        <v>8.9190000000000005</v>
      </c>
      <c r="J318" s="37">
        <v>64</v>
      </c>
      <c r="K318" s="37" t="s">
        <v>117</v>
      </c>
      <c r="L318" s="37" t="s">
        <v>118</v>
      </c>
      <c r="M318" s="38" t="s">
        <v>96</v>
      </c>
      <c r="N318" s="38"/>
      <c r="O318" s="37">
        <v>30</v>
      </c>
      <c r="P318" s="65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9"/>
      <c r="R318" s="559"/>
      <c r="S318" s="559"/>
      <c r="T318" s="560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45</v>
      </c>
      <c r="AB318" s="69" t="s">
        <v>45</v>
      </c>
      <c r="AC318" s="388" t="s">
        <v>518</v>
      </c>
      <c r="AG318" s="78"/>
      <c r="AJ318" s="84" t="s">
        <v>101</v>
      </c>
      <c r="AK318" s="84">
        <v>67.2</v>
      </c>
      <c r="BB318" s="389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564"/>
      <c r="B319" s="564"/>
      <c r="C319" s="564"/>
      <c r="D319" s="564"/>
      <c r="E319" s="564"/>
      <c r="F319" s="564"/>
      <c r="G319" s="564"/>
      <c r="H319" s="564"/>
      <c r="I319" s="564"/>
      <c r="J319" s="564"/>
      <c r="K319" s="564"/>
      <c r="L319" s="564"/>
      <c r="M319" s="564"/>
      <c r="N319" s="564"/>
      <c r="O319" s="565"/>
      <c r="P319" s="561" t="s">
        <v>40</v>
      </c>
      <c r="Q319" s="562"/>
      <c r="R319" s="562"/>
      <c r="S319" s="562"/>
      <c r="T319" s="562"/>
      <c r="U319" s="562"/>
      <c r="V319" s="563"/>
      <c r="W319" s="42" t="s">
        <v>39</v>
      </c>
      <c r="X319" s="43">
        <f>IFERROR(X316/H316,"0")+IFERROR(X317/H317,"0")+IFERROR(X318/H318,"0")</f>
        <v>0</v>
      </c>
      <c r="Y319" s="43">
        <f>IFERROR(Y316/H316,"0")+IFERROR(Y317/H317,"0")+IFERROR(Y318/H318,"0")</f>
        <v>0</v>
      </c>
      <c r="Z319" s="43">
        <f>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564"/>
      <c r="B320" s="564"/>
      <c r="C320" s="564"/>
      <c r="D320" s="564"/>
      <c r="E320" s="564"/>
      <c r="F320" s="564"/>
      <c r="G320" s="564"/>
      <c r="H320" s="564"/>
      <c r="I320" s="564"/>
      <c r="J320" s="564"/>
      <c r="K320" s="564"/>
      <c r="L320" s="564"/>
      <c r="M320" s="564"/>
      <c r="N320" s="564"/>
      <c r="O320" s="565"/>
      <c r="P320" s="561" t="s">
        <v>40</v>
      </c>
      <c r="Q320" s="562"/>
      <c r="R320" s="562"/>
      <c r="S320" s="562"/>
      <c r="T320" s="562"/>
      <c r="U320" s="562"/>
      <c r="V320" s="563"/>
      <c r="W320" s="42" t="s">
        <v>0</v>
      </c>
      <c r="X320" s="43">
        <f>IFERROR(SUM(X316:X318),"0")</f>
        <v>0</v>
      </c>
      <c r="Y320" s="43">
        <f>IFERROR(SUM(Y316:Y318),"0")</f>
        <v>0</v>
      </c>
      <c r="Z320" s="42"/>
      <c r="AA320" s="67"/>
      <c r="AB320" s="67"/>
      <c r="AC320" s="67"/>
    </row>
    <row r="321" spans="1:68" ht="14.25" customHeight="1" x14ac:dyDescent="0.25">
      <c r="A321" s="556" t="s">
        <v>104</v>
      </c>
      <c r="B321" s="556"/>
      <c r="C321" s="556"/>
      <c r="D321" s="556"/>
      <c r="E321" s="556"/>
      <c r="F321" s="556"/>
      <c r="G321" s="556"/>
      <c r="H321" s="556"/>
      <c r="I321" s="556"/>
      <c r="J321" s="556"/>
      <c r="K321" s="556"/>
      <c r="L321" s="556"/>
      <c r="M321" s="556"/>
      <c r="N321" s="556"/>
      <c r="O321" s="556"/>
      <c r="P321" s="556"/>
      <c r="Q321" s="556"/>
      <c r="R321" s="556"/>
      <c r="S321" s="556"/>
      <c r="T321" s="556"/>
      <c r="U321" s="556"/>
      <c r="V321" s="556"/>
      <c r="W321" s="556"/>
      <c r="X321" s="556"/>
      <c r="Y321" s="556"/>
      <c r="Z321" s="556"/>
      <c r="AA321" s="66"/>
      <c r="AB321" s="66"/>
      <c r="AC321" s="80"/>
    </row>
    <row r="322" spans="1:68" ht="27" customHeight="1" x14ac:dyDescent="0.25">
      <c r="A322" s="63" t="s">
        <v>519</v>
      </c>
      <c r="B322" s="63" t="s">
        <v>520</v>
      </c>
      <c r="C322" s="36">
        <v>4301030235</v>
      </c>
      <c r="D322" s="557">
        <v>4607091388381</v>
      </c>
      <c r="E322" s="557"/>
      <c r="F322" s="62">
        <v>0.38</v>
      </c>
      <c r="G322" s="37">
        <v>8</v>
      </c>
      <c r="H322" s="62">
        <v>3.04</v>
      </c>
      <c r="I322" s="62">
        <v>3.33</v>
      </c>
      <c r="J322" s="37">
        <v>132</v>
      </c>
      <c r="K322" s="37" t="s">
        <v>121</v>
      </c>
      <c r="L322" s="37" t="s">
        <v>45</v>
      </c>
      <c r="M322" s="38" t="s">
        <v>109</v>
      </c>
      <c r="N322" s="38"/>
      <c r="O322" s="37">
        <v>180</v>
      </c>
      <c r="P322" s="6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9"/>
      <c r="R322" s="559"/>
      <c r="S322" s="559"/>
      <c r="T322" s="560"/>
      <c r="U322" s="39" t="s">
        <v>45</v>
      </c>
      <c r="V322" s="39" t="s">
        <v>45</v>
      </c>
      <c r="W322" s="40" t="s">
        <v>0</v>
      </c>
      <c r="X322" s="58">
        <v>3.04</v>
      </c>
      <c r="Y322" s="55">
        <f>IFERROR(IF(X322="",0,CEILING((X322/$H322),1)*$H322),"")</f>
        <v>3.04</v>
      </c>
      <c r="Z322" s="41">
        <f>IFERROR(IF(Y322=0,"",ROUNDUP(Y322/H322,0)*0.00902),"")</f>
        <v>9.0200000000000002E-3</v>
      </c>
      <c r="AA322" s="68" t="s">
        <v>45</v>
      </c>
      <c r="AB322" s="69" t="s">
        <v>45</v>
      </c>
      <c r="AC322" s="390" t="s">
        <v>521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3.33</v>
      </c>
      <c r="BN322" s="78">
        <f>IFERROR(Y322*I322/H322,"0")</f>
        <v>3.33</v>
      </c>
      <c r="BO322" s="78">
        <f>IFERROR(1/J322*(X322/H322),"0")</f>
        <v>7.575757575757576E-3</v>
      </c>
      <c r="BP322" s="78">
        <f>IFERROR(1/J322*(Y322/H322),"0")</f>
        <v>7.575757575757576E-3</v>
      </c>
    </row>
    <row r="323" spans="1:68" ht="27" customHeight="1" x14ac:dyDescent="0.25">
      <c r="A323" s="63" t="s">
        <v>522</v>
      </c>
      <c r="B323" s="63" t="s">
        <v>523</v>
      </c>
      <c r="C323" s="36">
        <v>4301030232</v>
      </c>
      <c r="D323" s="557">
        <v>4607091388374</v>
      </c>
      <c r="E323" s="557"/>
      <c r="F323" s="62">
        <v>0.38</v>
      </c>
      <c r="G323" s="37">
        <v>8</v>
      </c>
      <c r="H323" s="62">
        <v>3.04</v>
      </c>
      <c r="I323" s="62">
        <v>3.29</v>
      </c>
      <c r="J323" s="37">
        <v>132</v>
      </c>
      <c r="K323" s="37" t="s">
        <v>121</v>
      </c>
      <c r="L323" s="37" t="s">
        <v>45</v>
      </c>
      <c r="M323" s="38" t="s">
        <v>109</v>
      </c>
      <c r="N323" s="38"/>
      <c r="O323" s="37">
        <v>180</v>
      </c>
      <c r="P323" s="652" t="s">
        <v>524</v>
      </c>
      <c r="Q323" s="559"/>
      <c r="R323" s="559"/>
      <c r="S323" s="559"/>
      <c r="T323" s="560"/>
      <c r="U323" s="39" t="s">
        <v>45</v>
      </c>
      <c r="V323" s="39" t="s">
        <v>45</v>
      </c>
      <c r="W323" s="40" t="s">
        <v>0</v>
      </c>
      <c r="X323" s="58">
        <v>6.08</v>
      </c>
      <c r="Y323" s="55">
        <f>IFERROR(IF(X323="",0,CEILING((X323/$H323),1)*$H323),"")</f>
        <v>6.08</v>
      </c>
      <c r="Z323" s="41">
        <f>IFERROR(IF(Y323=0,"",ROUNDUP(Y323/H323,0)*0.00902),"")</f>
        <v>1.804E-2</v>
      </c>
      <c r="AA323" s="68" t="s">
        <v>45</v>
      </c>
      <c r="AB323" s="69" t="s">
        <v>45</v>
      </c>
      <c r="AC323" s="392" t="s">
        <v>521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6.58</v>
      </c>
      <c r="BN323" s="78">
        <f>IFERROR(Y323*I323/H323,"0")</f>
        <v>6.58</v>
      </c>
      <c r="BO323" s="78">
        <f>IFERROR(1/J323*(X323/H323),"0")</f>
        <v>1.5151515151515152E-2</v>
      </c>
      <c r="BP323" s="78">
        <f>IFERROR(1/J323*(Y323/H323),"0")</f>
        <v>1.5151515151515152E-2</v>
      </c>
    </row>
    <row r="324" spans="1:68" ht="27" customHeight="1" x14ac:dyDescent="0.25">
      <c r="A324" s="63" t="s">
        <v>525</v>
      </c>
      <c r="B324" s="63" t="s">
        <v>526</v>
      </c>
      <c r="C324" s="36">
        <v>4301032015</v>
      </c>
      <c r="D324" s="557">
        <v>4607091383102</v>
      </c>
      <c r="E324" s="557"/>
      <c r="F324" s="62">
        <v>0.17</v>
      </c>
      <c r="G324" s="37">
        <v>15</v>
      </c>
      <c r="H324" s="62">
        <v>2.5499999999999998</v>
      </c>
      <c r="I324" s="62">
        <v>2.9550000000000001</v>
      </c>
      <c r="J324" s="37">
        <v>182</v>
      </c>
      <c r="K324" s="37" t="s">
        <v>89</v>
      </c>
      <c r="L324" s="37" t="s">
        <v>45</v>
      </c>
      <c r="M324" s="38" t="s">
        <v>109</v>
      </c>
      <c r="N324" s="38"/>
      <c r="O324" s="37">
        <v>180</v>
      </c>
      <c r="P324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9"/>
      <c r="R324" s="559"/>
      <c r="S324" s="559"/>
      <c r="T324" s="560"/>
      <c r="U324" s="39" t="s">
        <v>45</v>
      </c>
      <c r="V324" s="39" t="s">
        <v>45</v>
      </c>
      <c r="W324" s="40" t="s">
        <v>0</v>
      </c>
      <c r="X324" s="58">
        <v>2.5499999999999998</v>
      </c>
      <c r="Y324" s="55">
        <f>IFERROR(IF(X324="",0,CEILING((X324/$H324),1)*$H324),"")</f>
        <v>2.5499999999999998</v>
      </c>
      <c r="Z324" s="41">
        <f>IFERROR(IF(Y324=0,"",ROUNDUP(Y324/H324,0)*0.00651),"")</f>
        <v>6.5100000000000002E-3</v>
      </c>
      <c r="AA324" s="68" t="s">
        <v>45</v>
      </c>
      <c r="AB324" s="69" t="s">
        <v>45</v>
      </c>
      <c r="AC324" s="394" t="s">
        <v>527</v>
      </c>
      <c r="AG324" s="78"/>
      <c r="AJ324" s="84" t="s">
        <v>45</v>
      </c>
      <c r="AK324" s="84">
        <v>0</v>
      </c>
      <c r="BB324" s="395" t="s">
        <v>66</v>
      </c>
      <c r="BM324" s="78">
        <f>IFERROR(X324*I324/H324,"0")</f>
        <v>2.9550000000000001</v>
      </c>
      <c r="BN324" s="78">
        <f>IFERROR(Y324*I324/H324,"0")</f>
        <v>2.9550000000000001</v>
      </c>
      <c r="BO324" s="78">
        <f>IFERROR(1/J324*(X324/H324),"0")</f>
        <v>5.4945054945054949E-3</v>
      </c>
      <c r="BP324" s="78">
        <f>IFERROR(1/J324*(Y324/H324),"0")</f>
        <v>5.4945054945054949E-3</v>
      </c>
    </row>
    <row r="325" spans="1:68" ht="27" customHeight="1" x14ac:dyDescent="0.25">
      <c r="A325" s="63" t="s">
        <v>528</v>
      </c>
      <c r="B325" s="63" t="s">
        <v>529</v>
      </c>
      <c r="C325" s="36">
        <v>4301030233</v>
      </c>
      <c r="D325" s="557">
        <v>4607091388404</v>
      </c>
      <c r="E325" s="557"/>
      <c r="F325" s="62">
        <v>0.17</v>
      </c>
      <c r="G325" s="37">
        <v>15</v>
      </c>
      <c r="H325" s="62">
        <v>2.5499999999999998</v>
      </c>
      <c r="I325" s="62">
        <v>2.88</v>
      </c>
      <c r="J325" s="37">
        <v>182</v>
      </c>
      <c r="K325" s="37" t="s">
        <v>89</v>
      </c>
      <c r="L325" s="37" t="s">
        <v>100</v>
      </c>
      <c r="M325" s="38" t="s">
        <v>109</v>
      </c>
      <c r="N325" s="38"/>
      <c r="O325" s="37">
        <v>180</v>
      </c>
      <c r="P325" s="6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9"/>
      <c r="R325" s="559"/>
      <c r="S325" s="559"/>
      <c r="T325" s="560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45</v>
      </c>
      <c r="AB325" s="69" t="s">
        <v>45</v>
      </c>
      <c r="AC325" s="396" t="s">
        <v>521</v>
      </c>
      <c r="AG325" s="78"/>
      <c r="AJ325" s="84" t="s">
        <v>101</v>
      </c>
      <c r="AK325" s="84">
        <v>35.700000000000003</v>
      </c>
      <c r="BB325" s="397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x14ac:dyDescent="0.2">
      <c r="A326" s="564"/>
      <c r="B326" s="564"/>
      <c r="C326" s="564"/>
      <c r="D326" s="564"/>
      <c r="E326" s="564"/>
      <c r="F326" s="564"/>
      <c r="G326" s="564"/>
      <c r="H326" s="564"/>
      <c r="I326" s="564"/>
      <c r="J326" s="564"/>
      <c r="K326" s="564"/>
      <c r="L326" s="564"/>
      <c r="M326" s="564"/>
      <c r="N326" s="564"/>
      <c r="O326" s="565"/>
      <c r="P326" s="561" t="s">
        <v>40</v>
      </c>
      <c r="Q326" s="562"/>
      <c r="R326" s="562"/>
      <c r="S326" s="562"/>
      <c r="T326" s="562"/>
      <c r="U326" s="562"/>
      <c r="V326" s="563"/>
      <c r="W326" s="42" t="s">
        <v>39</v>
      </c>
      <c r="X326" s="43">
        <f>IFERROR(X322/H322,"0")+IFERROR(X323/H323,"0")+IFERROR(X324/H324,"0")+IFERROR(X325/H325,"0")</f>
        <v>4</v>
      </c>
      <c r="Y326" s="43">
        <f>IFERROR(Y322/H322,"0")+IFERROR(Y323/H323,"0")+IFERROR(Y324/H324,"0")+IFERROR(Y325/H325,"0")</f>
        <v>4</v>
      </c>
      <c r="Z326" s="43">
        <f>IFERROR(IF(Z322="",0,Z322),"0")+IFERROR(IF(Z323="",0,Z323),"0")+IFERROR(IF(Z324="",0,Z324),"0")+IFERROR(IF(Z325="",0,Z325),"0")</f>
        <v>3.3570000000000003E-2</v>
      </c>
      <c r="AA326" s="67"/>
      <c r="AB326" s="67"/>
      <c r="AC326" s="67"/>
    </row>
    <row r="327" spans="1:68" x14ac:dyDescent="0.2">
      <c r="A327" s="564"/>
      <c r="B327" s="564"/>
      <c r="C327" s="564"/>
      <c r="D327" s="564"/>
      <c r="E327" s="564"/>
      <c r="F327" s="564"/>
      <c r="G327" s="564"/>
      <c r="H327" s="564"/>
      <c r="I327" s="564"/>
      <c r="J327" s="564"/>
      <c r="K327" s="564"/>
      <c r="L327" s="564"/>
      <c r="M327" s="564"/>
      <c r="N327" s="564"/>
      <c r="O327" s="565"/>
      <c r="P327" s="561" t="s">
        <v>40</v>
      </c>
      <c r="Q327" s="562"/>
      <c r="R327" s="562"/>
      <c r="S327" s="562"/>
      <c r="T327" s="562"/>
      <c r="U327" s="562"/>
      <c r="V327" s="563"/>
      <c r="W327" s="42" t="s">
        <v>0</v>
      </c>
      <c r="X327" s="43">
        <f>IFERROR(SUM(X322:X325),"0")</f>
        <v>11.670000000000002</v>
      </c>
      <c r="Y327" s="43">
        <f>IFERROR(SUM(Y322:Y325),"0")</f>
        <v>11.670000000000002</v>
      </c>
      <c r="Z327" s="42"/>
      <c r="AA327" s="67"/>
      <c r="AB327" s="67"/>
      <c r="AC327" s="67"/>
    </row>
    <row r="328" spans="1:68" ht="14.25" customHeight="1" x14ac:dyDescent="0.25">
      <c r="A328" s="556" t="s">
        <v>530</v>
      </c>
      <c r="B328" s="556"/>
      <c r="C328" s="556"/>
      <c r="D328" s="556"/>
      <c r="E328" s="556"/>
      <c r="F328" s="556"/>
      <c r="G328" s="556"/>
      <c r="H328" s="556"/>
      <c r="I328" s="556"/>
      <c r="J328" s="556"/>
      <c r="K328" s="556"/>
      <c r="L328" s="556"/>
      <c r="M328" s="556"/>
      <c r="N328" s="556"/>
      <c r="O328" s="556"/>
      <c r="P328" s="556"/>
      <c r="Q328" s="556"/>
      <c r="R328" s="556"/>
      <c r="S328" s="556"/>
      <c r="T328" s="556"/>
      <c r="U328" s="556"/>
      <c r="V328" s="556"/>
      <c r="W328" s="556"/>
      <c r="X328" s="556"/>
      <c r="Y328" s="556"/>
      <c r="Z328" s="556"/>
      <c r="AA328" s="66"/>
      <c r="AB328" s="66"/>
      <c r="AC328" s="80"/>
    </row>
    <row r="329" spans="1:68" ht="16.5" customHeight="1" x14ac:dyDescent="0.25">
      <c r="A329" s="63" t="s">
        <v>531</v>
      </c>
      <c r="B329" s="63" t="s">
        <v>532</v>
      </c>
      <c r="C329" s="36">
        <v>4301180007</v>
      </c>
      <c r="D329" s="557">
        <v>4680115881808</v>
      </c>
      <c r="E329" s="557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534</v>
      </c>
      <c r="N329" s="38"/>
      <c r="O329" s="37">
        <v>730</v>
      </c>
      <c r="P329" s="6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9"/>
      <c r="R329" s="559"/>
      <c r="S329" s="559"/>
      <c r="T329" s="560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533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535</v>
      </c>
      <c r="B330" s="63" t="s">
        <v>536</v>
      </c>
      <c r="C330" s="36">
        <v>4301180006</v>
      </c>
      <c r="D330" s="557">
        <v>4680115881822</v>
      </c>
      <c r="E330" s="557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534</v>
      </c>
      <c r="N330" s="38"/>
      <c r="O330" s="37">
        <v>730</v>
      </c>
      <c r="P33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9"/>
      <c r="R330" s="559"/>
      <c r="S330" s="559"/>
      <c r="T330" s="560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533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537</v>
      </c>
      <c r="B331" s="63" t="s">
        <v>538</v>
      </c>
      <c r="C331" s="36">
        <v>4301180001</v>
      </c>
      <c r="D331" s="557">
        <v>4680115880016</v>
      </c>
      <c r="E331" s="557"/>
      <c r="F331" s="62">
        <v>0.1</v>
      </c>
      <c r="G331" s="37">
        <v>20</v>
      </c>
      <c r="H331" s="62">
        <v>2</v>
      </c>
      <c r="I331" s="62">
        <v>2.2400000000000002</v>
      </c>
      <c r="J331" s="37">
        <v>238</v>
      </c>
      <c r="K331" s="37" t="s">
        <v>89</v>
      </c>
      <c r="L331" s="37" t="s">
        <v>45</v>
      </c>
      <c r="M331" s="38" t="s">
        <v>534</v>
      </c>
      <c r="N331" s="38"/>
      <c r="O331" s="37">
        <v>730</v>
      </c>
      <c r="P331" s="6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9"/>
      <c r="R331" s="559"/>
      <c r="S331" s="559"/>
      <c r="T331" s="560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IFERROR(IF(Y331=0,"",ROUNDUP(Y331/H331,0)*0.00474),"")</f>
        <v/>
      </c>
      <c r="AA331" s="68" t="s">
        <v>45</v>
      </c>
      <c r="AB331" s="69" t="s">
        <v>45</v>
      </c>
      <c r="AC331" s="402" t="s">
        <v>533</v>
      </c>
      <c r="AG331" s="78"/>
      <c r="AJ331" s="84" t="s">
        <v>45</v>
      </c>
      <c r="AK331" s="84">
        <v>0</v>
      </c>
      <c r="BB331" s="40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564"/>
      <c r="B332" s="564"/>
      <c r="C332" s="564"/>
      <c r="D332" s="564"/>
      <c r="E332" s="564"/>
      <c r="F332" s="564"/>
      <c r="G332" s="564"/>
      <c r="H332" s="564"/>
      <c r="I332" s="564"/>
      <c r="J332" s="564"/>
      <c r="K332" s="564"/>
      <c r="L332" s="564"/>
      <c r="M332" s="564"/>
      <c r="N332" s="564"/>
      <c r="O332" s="565"/>
      <c r="P332" s="561" t="s">
        <v>40</v>
      </c>
      <c r="Q332" s="562"/>
      <c r="R332" s="562"/>
      <c r="S332" s="562"/>
      <c r="T332" s="562"/>
      <c r="U332" s="562"/>
      <c r="V332" s="563"/>
      <c r="W332" s="42" t="s">
        <v>39</v>
      </c>
      <c r="X332" s="43">
        <f>IFERROR(X329/H329,"0")+IFERROR(X330/H330,"0")+IFERROR(X331/H331,"0")</f>
        <v>0</v>
      </c>
      <c r="Y332" s="43">
        <f>IFERROR(Y329/H329,"0")+IFERROR(Y330/H330,"0")+IFERROR(Y331/H331,"0")</f>
        <v>0</v>
      </c>
      <c r="Z332" s="43">
        <f>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564"/>
      <c r="B333" s="564"/>
      <c r="C333" s="564"/>
      <c r="D333" s="564"/>
      <c r="E333" s="564"/>
      <c r="F333" s="564"/>
      <c r="G333" s="564"/>
      <c r="H333" s="564"/>
      <c r="I333" s="564"/>
      <c r="J333" s="564"/>
      <c r="K333" s="564"/>
      <c r="L333" s="564"/>
      <c r="M333" s="564"/>
      <c r="N333" s="564"/>
      <c r="O333" s="565"/>
      <c r="P333" s="561" t="s">
        <v>40</v>
      </c>
      <c r="Q333" s="562"/>
      <c r="R333" s="562"/>
      <c r="S333" s="562"/>
      <c r="T333" s="562"/>
      <c r="U333" s="562"/>
      <c r="V333" s="563"/>
      <c r="W333" s="42" t="s">
        <v>0</v>
      </c>
      <c r="X333" s="43">
        <f>IFERROR(SUM(X329:X331),"0")</f>
        <v>0</v>
      </c>
      <c r="Y333" s="43">
        <f>IFERROR(SUM(Y329:Y331),"0")</f>
        <v>0</v>
      </c>
      <c r="Z333" s="42"/>
      <c r="AA333" s="67"/>
      <c r="AB333" s="67"/>
      <c r="AC333" s="67"/>
    </row>
    <row r="334" spans="1:68" ht="16.5" customHeight="1" x14ac:dyDescent="0.25">
      <c r="A334" s="572" t="s">
        <v>539</v>
      </c>
      <c r="B334" s="572"/>
      <c r="C334" s="572"/>
      <c r="D334" s="572"/>
      <c r="E334" s="572"/>
      <c r="F334" s="572"/>
      <c r="G334" s="572"/>
      <c r="H334" s="572"/>
      <c r="I334" s="572"/>
      <c r="J334" s="572"/>
      <c r="K334" s="572"/>
      <c r="L334" s="572"/>
      <c r="M334" s="572"/>
      <c r="N334" s="572"/>
      <c r="O334" s="572"/>
      <c r="P334" s="572"/>
      <c r="Q334" s="572"/>
      <c r="R334" s="572"/>
      <c r="S334" s="572"/>
      <c r="T334" s="572"/>
      <c r="U334" s="572"/>
      <c r="V334" s="572"/>
      <c r="W334" s="572"/>
      <c r="X334" s="572"/>
      <c r="Y334" s="572"/>
      <c r="Z334" s="572"/>
      <c r="AA334" s="65"/>
      <c r="AB334" s="65"/>
      <c r="AC334" s="79"/>
    </row>
    <row r="335" spans="1:68" ht="14.25" customHeight="1" x14ac:dyDescent="0.25">
      <c r="A335" s="556" t="s">
        <v>84</v>
      </c>
      <c r="B335" s="556"/>
      <c r="C335" s="556"/>
      <c r="D335" s="556"/>
      <c r="E335" s="556"/>
      <c r="F335" s="556"/>
      <c r="G335" s="556"/>
      <c r="H335" s="556"/>
      <c r="I335" s="556"/>
      <c r="J335" s="556"/>
      <c r="K335" s="556"/>
      <c r="L335" s="556"/>
      <c r="M335" s="556"/>
      <c r="N335" s="556"/>
      <c r="O335" s="556"/>
      <c r="P335" s="556"/>
      <c r="Q335" s="556"/>
      <c r="R335" s="556"/>
      <c r="S335" s="556"/>
      <c r="T335" s="556"/>
      <c r="U335" s="556"/>
      <c r="V335" s="556"/>
      <c r="W335" s="556"/>
      <c r="X335" s="556"/>
      <c r="Y335" s="556"/>
      <c r="Z335" s="556"/>
      <c r="AA335" s="66"/>
      <c r="AB335" s="66"/>
      <c r="AC335" s="80"/>
    </row>
    <row r="336" spans="1:68" ht="27" customHeight="1" x14ac:dyDescent="0.25">
      <c r="A336" s="63" t="s">
        <v>540</v>
      </c>
      <c r="B336" s="63" t="s">
        <v>541</v>
      </c>
      <c r="C336" s="36">
        <v>4301051489</v>
      </c>
      <c r="D336" s="557">
        <v>4607091387919</v>
      </c>
      <c r="E336" s="557"/>
      <c r="F336" s="62">
        <v>1.35</v>
      </c>
      <c r="G336" s="37">
        <v>6</v>
      </c>
      <c r="H336" s="62">
        <v>8.1</v>
      </c>
      <c r="I336" s="62">
        <v>8.6189999999999998</v>
      </c>
      <c r="J336" s="37">
        <v>64</v>
      </c>
      <c r="K336" s="37" t="s">
        <v>117</v>
      </c>
      <c r="L336" s="37" t="s">
        <v>118</v>
      </c>
      <c r="M336" s="38" t="s">
        <v>96</v>
      </c>
      <c r="N336" s="38"/>
      <c r="O336" s="37">
        <v>45</v>
      </c>
      <c r="P336" s="6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9"/>
      <c r="R336" s="559"/>
      <c r="S336" s="559"/>
      <c r="T336" s="560"/>
      <c r="U336" s="39" t="s">
        <v>45</v>
      </c>
      <c r="V336" s="39" t="s">
        <v>45</v>
      </c>
      <c r="W336" s="40" t="s">
        <v>0</v>
      </c>
      <c r="X336" s="58">
        <v>64.8</v>
      </c>
      <c r="Y336" s="55">
        <f>IFERROR(IF(X336="",0,CEILING((X336/$H336),1)*$H336),"")</f>
        <v>64.8</v>
      </c>
      <c r="Z336" s="41">
        <f>IFERROR(IF(Y336=0,"",ROUNDUP(Y336/H336,0)*0.01898),"")</f>
        <v>0.15184</v>
      </c>
      <c r="AA336" s="68" t="s">
        <v>45</v>
      </c>
      <c r="AB336" s="69" t="s">
        <v>45</v>
      </c>
      <c r="AC336" s="404" t="s">
        <v>542</v>
      </c>
      <c r="AG336" s="78"/>
      <c r="AJ336" s="84" t="s">
        <v>101</v>
      </c>
      <c r="AK336" s="84">
        <v>64.8</v>
      </c>
      <c r="BB336" s="405" t="s">
        <v>66</v>
      </c>
      <c r="BM336" s="78">
        <f>IFERROR(X336*I336/H336,"0")</f>
        <v>68.951999999999998</v>
      </c>
      <c r="BN336" s="78">
        <f>IFERROR(Y336*I336/H336,"0")</f>
        <v>68.951999999999998</v>
      </c>
      <c r="BO336" s="78">
        <f>IFERROR(1/J336*(X336/H336),"0")</f>
        <v>0.125</v>
      </c>
      <c r="BP336" s="78">
        <f>IFERROR(1/J336*(Y336/H336),"0")</f>
        <v>0.125</v>
      </c>
    </row>
    <row r="337" spans="1:68" ht="27" customHeight="1" x14ac:dyDescent="0.25">
      <c r="A337" s="63" t="s">
        <v>543</v>
      </c>
      <c r="B337" s="63" t="s">
        <v>544</v>
      </c>
      <c r="C337" s="36">
        <v>4301051461</v>
      </c>
      <c r="D337" s="557">
        <v>4680115883604</v>
      </c>
      <c r="E337" s="557"/>
      <c r="F337" s="62">
        <v>0.35</v>
      </c>
      <c r="G337" s="37">
        <v>6</v>
      </c>
      <c r="H337" s="62">
        <v>2.1</v>
      </c>
      <c r="I337" s="62">
        <v>2.3519999999999999</v>
      </c>
      <c r="J337" s="37">
        <v>182</v>
      </c>
      <c r="K337" s="37" t="s">
        <v>89</v>
      </c>
      <c r="L337" s="37" t="s">
        <v>100</v>
      </c>
      <c r="M337" s="38" t="s">
        <v>88</v>
      </c>
      <c r="N337" s="38"/>
      <c r="O337" s="37">
        <v>45</v>
      </c>
      <c r="P337" s="6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9"/>
      <c r="R337" s="559"/>
      <c r="S337" s="559"/>
      <c r="T337" s="560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545</v>
      </c>
      <c r="AG337" s="78"/>
      <c r="AJ337" s="84" t="s">
        <v>101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546</v>
      </c>
      <c r="B338" s="63" t="s">
        <v>547</v>
      </c>
      <c r="C338" s="36">
        <v>4301051864</v>
      </c>
      <c r="D338" s="557">
        <v>4680115883567</v>
      </c>
      <c r="E338" s="557"/>
      <c r="F338" s="62">
        <v>0.35</v>
      </c>
      <c r="G338" s="37">
        <v>6</v>
      </c>
      <c r="H338" s="62">
        <v>2.1</v>
      </c>
      <c r="I338" s="62">
        <v>2.34</v>
      </c>
      <c r="J338" s="37">
        <v>182</v>
      </c>
      <c r="K338" s="37" t="s">
        <v>89</v>
      </c>
      <c r="L338" s="37" t="s">
        <v>100</v>
      </c>
      <c r="M338" s="38" t="s">
        <v>96</v>
      </c>
      <c r="N338" s="38"/>
      <c r="O338" s="37">
        <v>40</v>
      </c>
      <c r="P338" s="64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9"/>
      <c r="R338" s="559"/>
      <c r="S338" s="559"/>
      <c r="T338" s="560"/>
      <c r="U338" s="39" t="s">
        <v>45</v>
      </c>
      <c r="V338" s="39" t="s">
        <v>45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45</v>
      </c>
      <c r="AB338" s="69" t="s">
        <v>45</v>
      </c>
      <c r="AC338" s="408" t="s">
        <v>548</v>
      </c>
      <c r="AG338" s="78"/>
      <c r="AJ338" s="84" t="s">
        <v>101</v>
      </c>
      <c r="AK338" s="84">
        <v>29.4</v>
      </c>
      <c r="BB338" s="40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x14ac:dyDescent="0.2">
      <c r="A339" s="564"/>
      <c r="B339" s="564"/>
      <c r="C339" s="564"/>
      <c r="D339" s="564"/>
      <c r="E339" s="564"/>
      <c r="F339" s="564"/>
      <c r="G339" s="564"/>
      <c r="H339" s="564"/>
      <c r="I339" s="564"/>
      <c r="J339" s="564"/>
      <c r="K339" s="564"/>
      <c r="L339" s="564"/>
      <c r="M339" s="564"/>
      <c r="N339" s="564"/>
      <c r="O339" s="565"/>
      <c r="P339" s="561" t="s">
        <v>40</v>
      </c>
      <c r="Q339" s="562"/>
      <c r="R339" s="562"/>
      <c r="S339" s="562"/>
      <c r="T339" s="562"/>
      <c r="U339" s="562"/>
      <c r="V339" s="563"/>
      <c r="W339" s="42" t="s">
        <v>39</v>
      </c>
      <c r="X339" s="43">
        <f>IFERROR(X336/H336,"0")+IFERROR(X337/H337,"0")+IFERROR(X338/H338,"0")</f>
        <v>8</v>
      </c>
      <c r="Y339" s="43">
        <f>IFERROR(Y336/H336,"0")+IFERROR(Y337/H337,"0")+IFERROR(Y338/H338,"0")</f>
        <v>8</v>
      </c>
      <c r="Z339" s="43">
        <f>IFERROR(IF(Z336="",0,Z336),"0")+IFERROR(IF(Z337="",0,Z337),"0")+IFERROR(IF(Z338="",0,Z338),"0")</f>
        <v>0.15184</v>
      </c>
      <c r="AA339" s="67"/>
      <c r="AB339" s="67"/>
      <c r="AC339" s="67"/>
    </row>
    <row r="340" spans="1:68" x14ac:dyDescent="0.2">
      <c r="A340" s="564"/>
      <c r="B340" s="564"/>
      <c r="C340" s="564"/>
      <c r="D340" s="564"/>
      <c r="E340" s="564"/>
      <c r="F340" s="564"/>
      <c r="G340" s="564"/>
      <c r="H340" s="564"/>
      <c r="I340" s="564"/>
      <c r="J340" s="564"/>
      <c r="K340" s="564"/>
      <c r="L340" s="564"/>
      <c r="M340" s="564"/>
      <c r="N340" s="564"/>
      <c r="O340" s="565"/>
      <c r="P340" s="561" t="s">
        <v>40</v>
      </c>
      <c r="Q340" s="562"/>
      <c r="R340" s="562"/>
      <c r="S340" s="562"/>
      <c r="T340" s="562"/>
      <c r="U340" s="562"/>
      <c r="V340" s="563"/>
      <c r="W340" s="42" t="s">
        <v>0</v>
      </c>
      <c r="X340" s="43">
        <f>IFERROR(SUM(X336:X338),"0")</f>
        <v>64.8</v>
      </c>
      <c r="Y340" s="43">
        <f>IFERROR(SUM(Y336:Y338),"0")</f>
        <v>64.8</v>
      </c>
      <c r="Z340" s="42"/>
      <c r="AA340" s="67"/>
      <c r="AB340" s="67"/>
      <c r="AC340" s="67"/>
    </row>
    <row r="341" spans="1:68" ht="27.75" customHeight="1" x14ac:dyDescent="0.2">
      <c r="A341" s="581" t="s">
        <v>549</v>
      </c>
      <c r="B341" s="581"/>
      <c r="C341" s="581"/>
      <c r="D341" s="581"/>
      <c r="E341" s="581"/>
      <c r="F341" s="581"/>
      <c r="G341" s="581"/>
      <c r="H341" s="581"/>
      <c r="I341" s="581"/>
      <c r="J341" s="581"/>
      <c r="K341" s="581"/>
      <c r="L341" s="581"/>
      <c r="M341" s="581"/>
      <c r="N341" s="581"/>
      <c r="O341" s="581"/>
      <c r="P341" s="581"/>
      <c r="Q341" s="581"/>
      <c r="R341" s="581"/>
      <c r="S341" s="581"/>
      <c r="T341" s="581"/>
      <c r="U341" s="581"/>
      <c r="V341" s="581"/>
      <c r="W341" s="581"/>
      <c r="X341" s="581"/>
      <c r="Y341" s="581"/>
      <c r="Z341" s="581"/>
      <c r="AA341" s="54"/>
      <c r="AB341" s="54"/>
      <c r="AC341" s="54"/>
    </row>
    <row r="342" spans="1:68" ht="16.5" customHeight="1" x14ac:dyDescent="0.25">
      <c r="A342" s="572" t="s">
        <v>550</v>
      </c>
      <c r="B342" s="572"/>
      <c r="C342" s="572"/>
      <c r="D342" s="572"/>
      <c r="E342" s="572"/>
      <c r="F342" s="572"/>
      <c r="G342" s="572"/>
      <c r="H342" s="572"/>
      <c r="I342" s="572"/>
      <c r="J342" s="572"/>
      <c r="K342" s="572"/>
      <c r="L342" s="572"/>
      <c r="M342" s="572"/>
      <c r="N342" s="572"/>
      <c r="O342" s="572"/>
      <c r="P342" s="572"/>
      <c r="Q342" s="572"/>
      <c r="R342" s="572"/>
      <c r="S342" s="572"/>
      <c r="T342" s="572"/>
      <c r="U342" s="572"/>
      <c r="V342" s="572"/>
      <c r="W342" s="572"/>
      <c r="X342" s="572"/>
      <c r="Y342" s="572"/>
      <c r="Z342" s="572"/>
      <c r="AA342" s="65"/>
      <c r="AB342" s="65"/>
      <c r="AC342" s="79"/>
    </row>
    <row r="343" spans="1:68" ht="14.25" customHeight="1" x14ac:dyDescent="0.25">
      <c r="A343" s="556" t="s">
        <v>112</v>
      </c>
      <c r="B343" s="556"/>
      <c r="C343" s="556"/>
      <c r="D343" s="556"/>
      <c r="E343" s="556"/>
      <c r="F343" s="556"/>
      <c r="G343" s="556"/>
      <c r="H343" s="556"/>
      <c r="I343" s="556"/>
      <c r="J343" s="556"/>
      <c r="K343" s="556"/>
      <c r="L343" s="556"/>
      <c r="M343" s="556"/>
      <c r="N343" s="556"/>
      <c r="O343" s="556"/>
      <c r="P343" s="556"/>
      <c r="Q343" s="556"/>
      <c r="R343" s="556"/>
      <c r="S343" s="556"/>
      <c r="T343" s="556"/>
      <c r="U343" s="556"/>
      <c r="V343" s="556"/>
      <c r="W343" s="556"/>
      <c r="X343" s="556"/>
      <c r="Y343" s="556"/>
      <c r="Z343" s="556"/>
      <c r="AA343" s="66"/>
      <c r="AB343" s="66"/>
      <c r="AC343" s="80"/>
    </row>
    <row r="344" spans="1:68" ht="37.5" customHeight="1" x14ac:dyDescent="0.25">
      <c r="A344" s="63" t="s">
        <v>551</v>
      </c>
      <c r="B344" s="63" t="s">
        <v>552</v>
      </c>
      <c r="C344" s="36">
        <v>4301011869</v>
      </c>
      <c r="D344" s="557">
        <v>4680115884847</v>
      </c>
      <c r="E344" s="557"/>
      <c r="F344" s="62">
        <v>2.5</v>
      </c>
      <c r="G344" s="37">
        <v>6</v>
      </c>
      <c r="H344" s="62">
        <v>15</v>
      </c>
      <c r="I344" s="62">
        <v>15.48</v>
      </c>
      <c r="J344" s="37">
        <v>48</v>
      </c>
      <c r="K344" s="37" t="s">
        <v>117</v>
      </c>
      <c r="L344" s="37" t="s">
        <v>45</v>
      </c>
      <c r="M344" s="38" t="s">
        <v>82</v>
      </c>
      <c r="N344" s="38"/>
      <c r="O344" s="37">
        <v>60</v>
      </c>
      <c r="P344" s="6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9"/>
      <c r="R344" s="559"/>
      <c r="S344" s="559"/>
      <c r="T344" s="560"/>
      <c r="U344" s="39" t="s">
        <v>45</v>
      </c>
      <c r="V344" s="39" t="s">
        <v>45</v>
      </c>
      <c r="W344" s="40" t="s">
        <v>0</v>
      </c>
      <c r="X344" s="58">
        <v>720</v>
      </c>
      <c r="Y344" s="55">
        <f t="shared" ref="Y344:Y350" si="36">IFERROR(IF(X344="",0,CEILING((X344/$H344),1)*$H344),"")</f>
        <v>720</v>
      </c>
      <c r="Z344" s="41">
        <f>IFERROR(IF(Y344=0,"",ROUNDUP(Y344/H344,0)*0.02175),"")</f>
        <v>1.044</v>
      </c>
      <c r="AA344" s="68" t="s">
        <v>45</v>
      </c>
      <c r="AB344" s="69" t="s">
        <v>45</v>
      </c>
      <c r="AC344" s="410" t="s">
        <v>553</v>
      </c>
      <c r="AG344" s="78"/>
      <c r="AJ344" s="84" t="s">
        <v>101</v>
      </c>
      <c r="AK344" s="84">
        <v>15</v>
      </c>
      <c r="BB344" s="411" t="s">
        <v>66</v>
      </c>
      <c r="BM344" s="78">
        <f t="shared" ref="BM344:BM350" si="37">IFERROR(X344*I344/H344,"0")</f>
        <v>743.04000000000008</v>
      </c>
      <c r="BN344" s="78">
        <f t="shared" ref="BN344:BN350" si="38">IFERROR(Y344*I344/H344,"0")</f>
        <v>743.04000000000008</v>
      </c>
      <c r="BO344" s="78">
        <f t="shared" ref="BO344:BO350" si="39">IFERROR(1/J344*(X344/H344),"0")</f>
        <v>1</v>
      </c>
      <c r="BP344" s="78">
        <f t="shared" ref="BP344:BP350" si="40">IFERROR(1/J344*(Y344/H344),"0")</f>
        <v>1</v>
      </c>
    </row>
    <row r="345" spans="1:68" ht="27" customHeight="1" x14ac:dyDescent="0.25">
      <c r="A345" s="63" t="s">
        <v>554</v>
      </c>
      <c r="B345" s="63" t="s">
        <v>555</v>
      </c>
      <c r="C345" s="36">
        <v>4301011870</v>
      </c>
      <c r="D345" s="557">
        <v>4680115884854</v>
      </c>
      <c r="E345" s="557"/>
      <c r="F345" s="62">
        <v>2.5</v>
      </c>
      <c r="G345" s="37">
        <v>6</v>
      </c>
      <c r="H345" s="62">
        <v>15</v>
      </c>
      <c r="I345" s="62">
        <v>15.48</v>
      </c>
      <c r="J345" s="37">
        <v>48</v>
      </c>
      <c r="K345" s="37" t="s">
        <v>117</v>
      </c>
      <c r="L345" s="37" t="s">
        <v>45</v>
      </c>
      <c r="M345" s="38" t="s">
        <v>82</v>
      </c>
      <c r="N345" s="38"/>
      <c r="O345" s="37">
        <v>60</v>
      </c>
      <c r="P345" s="64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9"/>
      <c r="R345" s="559"/>
      <c r="S345" s="559"/>
      <c r="T345" s="560"/>
      <c r="U345" s="39" t="s">
        <v>45</v>
      </c>
      <c r="V345" s="39" t="s">
        <v>45</v>
      </c>
      <c r="W345" s="40" t="s">
        <v>0</v>
      </c>
      <c r="X345" s="58">
        <v>450</v>
      </c>
      <c r="Y345" s="55">
        <f t="shared" si="36"/>
        <v>450</v>
      </c>
      <c r="Z345" s="41">
        <f>IFERROR(IF(Y345=0,"",ROUNDUP(Y345/H345,0)*0.02175),"")</f>
        <v>0.65249999999999997</v>
      </c>
      <c r="AA345" s="68" t="s">
        <v>45</v>
      </c>
      <c r="AB345" s="69" t="s">
        <v>45</v>
      </c>
      <c r="AC345" s="412" t="s">
        <v>556</v>
      </c>
      <c r="AG345" s="78"/>
      <c r="AJ345" s="84" t="s">
        <v>101</v>
      </c>
      <c r="AK345" s="84">
        <v>15</v>
      </c>
      <c r="BB345" s="413" t="s">
        <v>66</v>
      </c>
      <c r="BM345" s="78">
        <f t="shared" si="37"/>
        <v>464.4</v>
      </c>
      <c r="BN345" s="78">
        <f t="shared" si="38"/>
        <v>464.4</v>
      </c>
      <c r="BO345" s="78">
        <f t="shared" si="39"/>
        <v>0.625</v>
      </c>
      <c r="BP345" s="78">
        <f t="shared" si="40"/>
        <v>0.625</v>
      </c>
    </row>
    <row r="346" spans="1:68" ht="27" customHeight="1" x14ac:dyDescent="0.25">
      <c r="A346" s="63" t="s">
        <v>557</v>
      </c>
      <c r="B346" s="63" t="s">
        <v>558</v>
      </c>
      <c r="C346" s="36">
        <v>4301011832</v>
      </c>
      <c r="D346" s="557">
        <v>4607091383997</v>
      </c>
      <c r="E346" s="557"/>
      <c r="F346" s="62">
        <v>2.5</v>
      </c>
      <c r="G346" s="37">
        <v>6</v>
      </c>
      <c r="H346" s="62">
        <v>15</v>
      </c>
      <c r="I346" s="62">
        <v>15.48</v>
      </c>
      <c r="J346" s="37">
        <v>48</v>
      </c>
      <c r="K346" s="37" t="s">
        <v>117</v>
      </c>
      <c r="L346" s="37" t="s">
        <v>118</v>
      </c>
      <c r="M346" s="38" t="s">
        <v>96</v>
      </c>
      <c r="N346" s="38"/>
      <c r="O346" s="37">
        <v>60</v>
      </c>
      <c r="P346" s="64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9"/>
      <c r="R346" s="559"/>
      <c r="S346" s="559"/>
      <c r="T346" s="560"/>
      <c r="U346" s="39" t="s">
        <v>45</v>
      </c>
      <c r="V346" s="39" t="s">
        <v>45</v>
      </c>
      <c r="W346" s="40" t="s">
        <v>0</v>
      </c>
      <c r="X346" s="58">
        <v>720</v>
      </c>
      <c r="Y346" s="55">
        <f t="shared" si="36"/>
        <v>720</v>
      </c>
      <c r="Z346" s="41">
        <f>IFERROR(IF(Y346=0,"",ROUNDUP(Y346/H346,0)*0.02175),"")</f>
        <v>1.044</v>
      </c>
      <c r="AA346" s="68" t="s">
        <v>45</v>
      </c>
      <c r="AB346" s="69" t="s">
        <v>45</v>
      </c>
      <c r="AC346" s="414" t="s">
        <v>559</v>
      </c>
      <c r="AG346" s="78"/>
      <c r="AJ346" s="84" t="s">
        <v>101</v>
      </c>
      <c r="AK346" s="84">
        <v>120</v>
      </c>
      <c r="BB346" s="415" t="s">
        <v>66</v>
      </c>
      <c r="BM346" s="78">
        <f t="shared" si="37"/>
        <v>743.04000000000008</v>
      </c>
      <c r="BN346" s="78">
        <f t="shared" si="38"/>
        <v>743.04000000000008</v>
      </c>
      <c r="BO346" s="78">
        <f t="shared" si="39"/>
        <v>1</v>
      </c>
      <c r="BP346" s="78">
        <f t="shared" si="40"/>
        <v>1</v>
      </c>
    </row>
    <row r="347" spans="1:68" ht="37.5" customHeight="1" x14ac:dyDescent="0.25">
      <c r="A347" s="63" t="s">
        <v>560</v>
      </c>
      <c r="B347" s="63" t="s">
        <v>561</v>
      </c>
      <c r="C347" s="36">
        <v>4301011867</v>
      </c>
      <c r="D347" s="557">
        <v>4680115884830</v>
      </c>
      <c r="E347" s="557"/>
      <c r="F347" s="62">
        <v>2.5</v>
      </c>
      <c r="G347" s="37">
        <v>6</v>
      </c>
      <c r="H347" s="62">
        <v>15</v>
      </c>
      <c r="I347" s="62">
        <v>15.48</v>
      </c>
      <c r="J347" s="37">
        <v>48</v>
      </c>
      <c r="K347" s="37" t="s">
        <v>117</v>
      </c>
      <c r="L347" s="37" t="s">
        <v>45</v>
      </c>
      <c r="M347" s="38" t="s">
        <v>82</v>
      </c>
      <c r="N347" s="38"/>
      <c r="O347" s="37">
        <v>60</v>
      </c>
      <c r="P347" s="6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9"/>
      <c r="R347" s="559"/>
      <c r="S347" s="559"/>
      <c r="T347" s="560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IFERROR(IF(Y347=0,"",ROUNDUP(Y347/H347,0)*0.02175),"")</f>
        <v/>
      </c>
      <c r="AA347" s="68" t="s">
        <v>45</v>
      </c>
      <c r="AB347" s="69" t="s">
        <v>45</v>
      </c>
      <c r="AC347" s="416" t="s">
        <v>562</v>
      </c>
      <c r="AG347" s="78"/>
      <c r="AJ347" s="84" t="s">
        <v>101</v>
      </c>
      <c r="AK347" s="84">
        <v>15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563</v>
      </c>
      <c r="B348" s="63" t="s">
        <v>564</v>
      </c>
      <c r="C348" s="36">
        <v>4301011433</v>
      </c>
      <c r="D348" s="557">
        <v>4680115882638</v>
      </c>
      <c r="E348" s="557"/>
      <c r="F348" s="62">
        <v>0.4</v>
      </c>
      <c r="G348" s="37">
        <v>10</v>
      </c>
      <c r="H348" s="62">
        <v>4</v>
      </c>
      <c r="I348" s="62">
        <v>4.21</v>
      </c>
      <c r="J348" s="37">
        <v>132</v>
      </c>
      <c r="K348" s="37" t="s">
        <v>121</v>
      </c>
      <c r="L348" s="37" t="s">
        <v>45</v>
      </c>
      <c r="M348" s="38" t="s">
        <v>116</v>
      </c>
      <c r="N348" s="38"/>
      <c r="O348" s="37">
        <v>90</v>
      </c>
      <c r="P348" s="63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9"/>
      <c r="R348" s="559"/>
      <c r="S348" s="559"/>
      <c r="T348" s="560"/>
      <c r="U348" s="39" t="s">
        <v>45</v>
      </c>
      <c r="V348" s="39" t="s">
        <v>45</v>
      </c>
      <c r="W348" s="40" t="s">
        <v>0</v>
      </c>
      <c r="X348" s="58">
        <v>8</v>
      </c>
      <c r="Y348" s="55">
        <f t="shared" si="36"/>
        <v>8</v>
      </c>
      <c r="Z348" s="41">
        <f>IFERROR(IF(Y348=0,"",ROUNDUP(Y348/H348,0)*0.00902),"")</f>
        <v>1.804E-2</v>
      </c>
      <c r="AA348" s="68" t="s">
        <v>45</v>
      </c>
      <c r="AB348" s="69" t="s">
        <v>45</v>
      </c>
      <c r="AC348" s="418" t="s">
        <v>565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8.42</v>
      </c>
      <c r="BN348" s="78">
        <f t="shared" si="38"/>
        <v>8.42</v>
      </c>
      <c r="BO348" s="78">
        <f t="shared" si="39"/>
        <v>1.5151515151515152E-2</v>
      </c>
      <c r="BP348" s="78">
        <f t="shared" si="40"/>
        <v>1.5151515151515152E-2</v>
      </c>
    </row>
    <row r="349" spans="1:68" ht="27" customHeight="1" x14ac:dyDescent="0.25">
      <c r="A349" s="63" t="s">
        <v>566</v>
      </c>
      <c r="B349" s="63" t="s">
        <v>567</v>
      </c>
      <c r="C349" s="36">
        <v>4301011952</v>
      </c>
      <c r="D349" s="557">
        <v>4680115884922</v>
      </c>
      <c r="E349" s="557"/>
      <c r="F349" s="62">
        <v>0.5</v>
      </c>
      <c r="G349" s="37">
        <v>10</v>
      </c>
      <c r="H349" s="62">
        <v>5</v>
      </c>
      <c r="I349" s="62">
        <v>5.21</v>
      </c>
      <c r="J349" s="37">
        <v>132</v>
      </c>
      <c r="K349" s="37" t="s">
        <v>121</v>
      </c>
      <c r="L349" s="37" t="s">
        <v>45</v>
      </c>
      <c r="M349" s="38" t="s">
        <v>82</v>
      </c>
      <c r="N349" s="38"/>
      <c r="O349" s="37">
        <v>60</v>
      </c>
      <c r="P349" s="6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9"/>
      <c r="R349" s="559"/>
      <c r="S349" s="559"/>
      <c r="T349" s="560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556</v>
      </c>
      <c r="AG349" s="78"/>
      <c r="AJ349" s="84" t="s">
        <v>45</v>
      </c>
      <c r="AK349" s="84">
        <v>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ht="37.5" customHeight="1" x14ac:dyDescent="0.25">
      <c r="A350" s="63" t="s">
        <v>568</v>
      </c>
      <c r="B350" s="63" t="s">
        <v>569</v>
      </c>
      <c r="C350" s="36">
        <v>4301011868</v>
      </c>
      <c r="D350" s="557">
        <v>4680115884861</v>
      </c>
      <c r="E350" s="557"/>
      <c r="F350" s="62">
        <v>0.5</v>
      </c>
      <c r="G350" s="37">
        <v>10</v>
      </c>
      <c r="H350" s="62">
        <v>5</v>
      </c>
      <c r="I350" s="62">
        <v>5.21</v>
      </c>
      <c r="J350" s="37">
        <v>132</v>
      </c>
      <c r="K350" s="37" t="s">
        <v>121</v>
      </c>
      <c r="L350" s="37" t="s">
        <v>122</v>
      </c>
      <c r="M350" s="38" t="s">
        <v>82</v>
      </c>
      <c r="N350" s="38"/>
      <c r="O350" s="37">
        <v>60</v>
      </c>
      <c r="P350" s="63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9"/>
      <c r="R350" s="559"/>
      <c r="S350" s="559"/>
      <c r="T350" s="560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si="36"/>
        <v>0</v>
      </c>
      <c r="Z350" s="41" t="str">
        <f>IFERROR(IF(Y350=0,"",ROUNDUP(Y350/H350,0)*0.00902),"")</f>
        <v/>
      </c>
      <c r="AA350" s="68" t="s">
        <v>45</v>
      </c>
      <c r="AB350" s="69" t="s">
        <v>45</v>
      </c>
      <c r="AC350" s="422" t="s">
        <v>562</v>
      </c>
      <c r="AG350" s="78"/>
      <c r="AJ350" s="84" t="s">
        <v>101</v>
      </c>
      <c r="AK350" s="84">
        <v>60</v>
      </c>
      <c r="BB350" s="423" t="s">
        <v>66</v>
      </c>
      <c r="BM350" s="78">
        <f t="shared" si="37"/>
        <v>0</v>
      </c>
      <c r="BN350" s="78">
        <f t="shared" si="38"/>
        <v>0</v>
      </c>
      <c r="BO350" s="78">
        <f t="shared" si="39"/>
        <v>0</v>
      </c>
      <c r="BP350" s="78">
        <f t="shared" si="40"/>
        <v>0</v>
      </c>
    </row>
    <row r="351" spans="1:68" x14ac:dyDescent="0.2">
      <c r="A351" s="564"/>
      <c r="B351" s="564"/>
      <c r="C351" s="564"/>
      <c r="D351" s="564"/>
      <c r="E351" s="564"/>
      <c r="F351" s="564"/>
      <c r="G351" s="564"/>
      <c r="H351" s="564"/>
      <c r="I351" s="564"/>
      <c r="J351" s="564"/>
      <c r="K351" s="564"/>
      <c r="L351" s="564"/>
      <c r="M351" s="564"/>
      <c r="N351" s="564"/>
      <c r="O351" s="565"/>
      <c r="P351" s="561" t="s">
        <v>40</v>
      </c>
      <c r="Q351" s="562"/>
      <c r="R351" s="562"/>
      <c r="S351" s="562"/>
      <c r="T351" s="562"/>
      <c r="U351" s="562"/>
      <c r="V351" s="563"/>
      <c r="W351" s="42" t="s">
        <v>39</v>
      </c>
      <c r="X351" s="43">
        <f>IFERROR(X344/H344,"0")+IFERROR(X345/H345,"0")+IFERROR(X346/H346,"0")+IFERROR(X347/H347,"0")+IFERROR(X348/H348,"0")+IFERROR(X349/H349,"0")+IFERROR(X350/H350,"0")</f>
        <v>128</v>
      </c>
      <c r="Y351" s="43">
        <f>IFERROR(Y344/H344,"0")+IFERROR(Y345/H345,"0")+IFERROR(Y346/H346,"0")+IFERROR(Y347/H347,"0")+IFERROR(Y348/H348,"0")+IFERROR(Y349/H349,"0")+IFERROR(Y350/H350,"0")</f>
        <v>128</v>
      </c>
      <c r="Z351" s="43">
        <f>IFERROR(IF(Z344="",0,Z344),"0")+IFERROR(IF(Z345="",0,Z345),"0")+IFERROR(IF(Z346="",0,Z346),"0")+IFERROR(IF(Z347="",0,Z347),"0")+IFERROR(IF(Z348="",0,Z348),"0")+IFERROR(IF(Z349="",0,Z349),"0")+IFERROR(IF(Z350="",0,Z350),"0")</f>
        <v>2.75854</v>
      </c>
      <c r="AA351" s="67"/>
      <c r="AB351" s="67"/>
      <c r="AC351" s="67"/>
    </row>
    <row r="352" spans="1:68" x14ac:dyDescent="0.2">
      <c r="A352" s="564"/>
      <c r="B352" s="564"/>
      <c r="C352" s="564"/>
      <c r="D352" s="564"/>
      <c r="E352" s="564"/>
      <c r="F352" s="564"/>
      <c r="G352" s="564"/>
      <c r="H352" s="564"/>
      <c r="I352" s="564"/>
      <c r="J352" s="564"/>
      <c r="K352" s="564"/>
      <c r="L352" s="564"/>
      <c r="M352" s="564"/>
      <c r="N352" s="564"/>
      <c r="O352" s="565"/>
      <c r="P352" s="561" t="s">
        <v>40</v>
      </c>
      <c r="Q352" s="562"/>
      <c r="R352" s="562"/>
      <c r="S352" s="562"/>
      <c r="T352" s="562"/>
      <c r="U352" s="562"/>
      <c r="V352" s="563"/>
      <c r="W352" s="42" t="s">
        <v>0</v>
      </c>
      <c r="X352" s="43">
        <f>IFERROR(SUM(X344:X350),"0")</f>
        <v>1898</v>
      </c>
      <c r="Y352" s="43">
        <f>IFERROR(SUM(Y344:Y350),"0")</f>
        <v>1898</v>
      </c>
      <c r="Z352" s="42"/>
      <c r="AA352" s="67"/>
      <c r="AB352" s="67"/>
      <c r="AC352" s="67"/>
    </row>
    <row r="353" spans="1:68" ht="14.25" customHeight="1" x14ac:dyDescent="0.25">
      <c r="A353" s="556" t="s">
        <v>147</v>
      </c>
      <c r="B353" s="556"/>
      <c r="C353" s="556"/>
      <c r="D353" s="556"/>
      <c r="E353" s="556"/>
      <c r="F353" s="556"/>
      <c r="G353" s="556"/>
      <c r="H353" s="556"/>
      <c r="I353" s="556"/>
      <c r="J353" s="556"/>
      <c r="K353" s="556"/>
      <c r="L353" s="556"/>
      <c r="M353" s="556"/>
      <c r="N353" s="556"/>
      <c r="O353" s="556"/>
      <c r="P353" s="556"/>
      <c r="Q353" s="556"/>
      <c r="R353" s="556"/>
      <c r="S353" s="556"/>
      <c r="T353" s="556"/>
      <c r="U353" s="556"/>
      <c r="V353" s="556"/>
      <c r="W353" s="556"/>
      <c r="X353" s="556"/>
      <c r="Y353" s="556"/>
      <c r="Z353" s="556"/>
      <c r="AA353" s="66"/>
      <c r="AB353" s="66"/>
      <c r="AC353" s="80"/>
    </row>
    <row r="354" spans="1:68" ht="27" customHeight="1" x14ac:dyDescent="0.25">
      <c r="A354" s="63" t="s">
        <v>570</v>
      </c>
      <c r="B354" s="63" t="s">
        <v>571</v>
      </c>
      <c r="C354" s="36">
        <v>4301020178</v>
      </c>
      <c r="D354" s="557">
        <v>4607091383980</v>
      </c>
      <c r="E354" s="557"/>
      <c r="F354" s="62">
        <v>2.5</v>
      </c>
      <c r="G354" s="37">
        <v>6</v>
      </c>
      <c r="H354" s="62">
        <v>15</v>
      </c>
      <c r="I354" s="62">
        <v>15.48</v>
      </c>
      <c r="J354" s="37">
        <v>48</v>
      </c>
      <c r="K354" s="37" t="s">
        <v>117</v>
      </c>
      <c r="L354" s="37" t="s">
        <v>45</v>
      </c>
      <c r="M354" s="38" t="s">
        <v>116</v>
      </c>
      <c r="N354" s="38"/>
      <c r="O354" s="37">
        <v>50</v>
      </c>
      <c r="P354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9"/>
      <c r="R354" s="559"/>
      <c r="S354" s="559"/>
      <c r="T354" s="560"/>
      <c r="U354" s="39" t="s">
        <v>45</v>
      </c>
      <c r="V354" s="39" t="s">
        <v>45</v>
      </c>
      <c r="W354" s="40" t="s">
        <v>0</v>
      </c>
      <c r="X354" s="58">
        <v>720</v>
      </c>
      <c r="Y354" s="55">
        <f>IFERROR(IF(X354="",0,CEILING((X354/$H354),1)*$H354),"")</f>
        <v>720</v>
      </c>
      <c r="Z354" s="41">
        <f>IFERROR(IF(Y354=0,"",ROUNDUP(Y354/H354,0)*0.02175),"")</f>
        <v>1.044</v>
      </c>
      <c r="AA354" s="68" t="s">
        <v>45</v>
      </c>
      <c r="AB354" s="69" t="s">
        <v>45</v>
      </c>
      <c r="AC354" s="424" t="s">
        <v>572</v>
      </c>
      <c r="AG354" s="78"/>
      <c r="AJ354" s="84" t="s">
        <v>101</v>
      </c>
      <c r="AK354" s="84">
        <v>15</v>
      </c>
      <c r="BB354" s="425" t="s">
        <v>66</v>
      </c>
      <c r="BM354" s="78">
        <f>IFERROR(X354*I354/H354,"0")</f>
        <v>743.04000000000008</v>
      </c>
      <c r="BN354" s="78">
        <f>IFERROR(Y354*I354/H354,"0")</f>
        <v>743.04000000000008</v>
      </c>
      <c r="BO354" s="78">
        <f>IFERROR(1/J354*(X354/H354),"0")</f>
        <v>1</v>
      </c>
      <c r="BP354" s="78">
        <f>IFERROR(1/J354*(Y354/H354),"0")</f>
        <v>1</v>
      </c>
    </row>
    <row r="355" spans="1:68" ht="16.5" customHeight="1" x14ac:dyDescent="0.25">
      <c r="A355" s="63" t="s">
        <v>573</v>
      </c>
      <c r="B355" s="63" t="s">
        <v>574</v>
      </c>
      <c r="C355" s="36">
        <v>4301020179</v>
      </c>
      <c r="D355" s="557">
        <v>4607091384178</v>
      </c>
      <c r="E355" s="557"/>
      <c r="F355" s="62">
        <v>0.4</v>
      </c>
      <c r="G355" s="37">
        <v>10</v>
      </c>
      <c r="H355" s="62">
        <v>4</v>
      </c>
      <c r="I355" s="62">
        <v>4.21</v>
      </c>
      <c r="J355" s="37">
        <v>132</v>
      </c>
      <c r="K355" s="37" t="s">
        <v>121</v>
      </c>
      <c r="L355" s="37" t="s">
        <v>45</v>
      </c>
      <c r="M355" s="38" t="s">
        <v>116</v>
      </c>
      <c r="N355" s="38"/>
      <c r="O355" s="37">
        <v>50</v>
      </c>
      <c r="P355" s="63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9"/>
      <c r="R355" s="559"/>
      <c r="S355" s="559"/>
      <c r="T355" s="560"/>
      <c r="U355" s="39" t="s">
        <v>45</v>
      </c>
      <c r="V355" s="39" t="s">
        <v>45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26" t="s">
        <v>572</v>
      </c>
      <c r="AG355" s="78"/>
      <c r="AJ355" s="84" t="s">
        <v>45</v>
      </c>
      <c r="AK355" s="84">
        <v>0</v>
      </c>
      <c r="BB355" s="427" t="s">
        <v>66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x14ac:dyDescent="0.2">
      <c r="A356" s="564"/>
      <c r="B356" s="564"/>
      <c r="C356" s="564"/>
      <c r="D356" s="564"/>
      <c r="E356" s="564"/>
      <c r="F356" s="564"/>
      <c r="G356" s="564"/>
      <c r="H356" s="564"/>
      <c r="I356" s="564"/>
      <c r="J356" s="564"/>
      <c r="K356" s="564"/>
      <c r="L356" s="564"/>
      <c r="M356" s="564"/>
      <c r="N356" s="564"/>
      <c r="O356" s="565"/>
      <c r="P356" s="561" t="s">
        <v>40</v>
      </c>
      <c r="Q356" s="562"/>
      <c r="R356" s="562"/>
      <c r="S356" s="562"/>
      <c r="T356" s="562"/>
      <c r="U356" s="562"/>
      <c r="V356" s="563"/>
      <c r="W356" s="42" t="s">
        <v>39</v>
      </c>
      <c r="X356" s="43">
        <f>IFERROR(X354/H354,"0")+IFERROR(X355/H355,"0")</f>
        <v>48</v>
      </c>
      <c r="Y356" s="43">
        <f>IFERROR(Y354/H354,"0")+IFERROR(Y355/H355,"0")</f>
        <v>48</v>
      </c>
      <c r="Z356" s="43">
        <f>IFERROR(IF(Z354="",0,Z354),"0")+IFERROR(IF(Z355="",0,Z355),"0")</f>
        <v>1.044</v>
      </c>
      <c r="AA356" s="67"/>
      <c r="AB356" s="67"/>
      <c r="AC356" s="67"/>
    </row>
    <row r="357" spans="1:68" x14ac:dyDescent="0.2">
      <c r="A357" s="564"/>
      <c r="B357" s="564"/>
      <c r="C357" s="564"/>
      <c r="D357" s="564"/>
      <c r="E357" s="564"/>
      <c r="F357" s="564"/>
      <c r="G357" s="564"/>
      <c r="H357" s="564"/>
      <c r="I357" s="564"/>
      <c r="J357" s="564"/>
      <c r="K357" s="564"/>
      <c r="L357" s="564"/>
      <c r="M357" s="564"/>
      <c r="N357" s="564"/>
      <c r="O357" s="565"/>
      <c r="P357" s="561" t="s">
        <v>40</v>
      </c>
      <c r="Q357" s="562"/>
      <c r="R357" s="562"/>
      <c r="S357" s="562"/>
      <c r="T357" s="562"/>
      <c r="U357" s="562"/>
      <c r="V357" s="563"/>
      <c r="W357" s="42" t="s">
        <v>0</v>
      </c>
      <c r="X357" s="43">
        <f>IFERROR(SUM(X354:X355),"0")</f>
        <v>720</v>
      </c>
      <c r="Y357" s="43">
        <f>IFERROR(SUM(Y354:Y355),"0")</f>
        <v>720</v>
      </c>
      <c r="Z357" s="42"/>
      <c r="AA357" s="67"/>
      <c r="AB357" s="67"/>
      <c r="AC357" s="67"/>
    </row>
    <row r="358" spans="1:68" ht="14.25" customHeight="1" x14ac:dyDescent="0.25">
      <c r="A358" s="556" t="s">
        <v>84</v>
      </c>
      <c r="B358" s="556"/>
      <c r="C358" s="556"/>
      <c r="D358" s="556"/>
      <c r="E358" s="556"/>
      <c r="F358" s="556"/>
      <c r="G358" s="556"/>
      <c r="H358" s="556"/>
      <c r="I358" s="556"/>
      <c r="J358" s="556"/>
      <c r="K358" s="556"/>
      <c r="L358" s="556"/>
      <c r="M358" s="556"/>
      <c r="N358" s="556"/>
      <c r="O358" s="556"/>
      <c r="P358" s="556"/>
      <c r="Q358" s="556"/>
      <c r="R358" s="556"/>
      <c r="S358" s="556"/>
      <c r="T358" s="556"/>
      <c r="U358" s="556"/>
      <c r="V358" s="556"/>
      <c r="W358" s="556"/>
      <c r="X358" s="556"/>
      <c r="Y358" s="556"/>
      <c r="Z358" s="556"/>
      <c r="AA358" s="66"/>
      <c r="AB358" s="66"/>
      <c r="AC358" s="80"/>
    </row>
    <row r="359" spans="1:68" ht="27" customHeight="1" x14ac:dyDescent="0.25">
      <c r="A359" s="63" t="s">
        <v>575</v>
      </c>
      <c r="B359" s="63" t="s">
        <v>576</v>
      </c>
      <c r="C359" s="36">
        <v>4301051903</v>
      </c>
      <c r="D359" s="557">
        <v>4607091383928</v>
      </c>
      <c r="E359" s="557"/>
      <c r="F359" s="62">
        <v>1.5</v>
      </c>
      <c r="G359" s="37">
        <v>6</v>
      </c>
      <c r="H359" s="62">
        <v>9</v>
      </c>
      <c r="I359" s="62">
        <v>9.5250000000000004</v>
      </c>
      <c r="J359" s="37">
        <v>64</v>
      </c>
      <c r="K359" s="37" t="s">
        <v>117</v>
      </c>
      <c r="L359" s="37" t="s">
        <v>118</v>
      </c>
      <c r="M359" s="38" t="s">
        <v>88</v>
      </c>
      <c r="N359" s="38"/>
      <c r="O359" s="37">
        <v>40</v>
      </c>
      <c r="P359" s="6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9"/>
      <c r="R359" s="559"/>
      <c r="S359" s="559"/>
      <c r="T359" s="560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577</v>
      </c>
      <c r="AG359" s="78"/>
      <c r="AJ359" s="84" t="s">
        <v>101</v>
      </c>
      <c r="AK359" s="84">
        <v>72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578</v>
      </c>
      <c r="B360" s="63" t="s">
        <v>579</v>
      </c>
      <c r="C360" s="36">
        <v>4301051897</v>
      </c>
      <c r="D360" s="557">
        <v>4607091384260</v>
      </c>
      <c r="E360" s="557"/>
      <c r="F360" s="62">
        <v>1.5</v>
      </c>
      <c r="G360" s="37">
        <v>6</v>
      </c>
      <c r="H360" s="62">
        <v>9</v>
      </c>
      <c r="I360" s="62">
        <v>9.5190000000000001</v>
      </c>
      <c r="J360" s="37">
        <v>64</v>
      </c>
      <c r="K360" s="37" t="s">
        <v>117</v>
      </c>
      <c r="L360" s="37" t="s">
        <v>118</v>
      </c>
      <c r="M360" s="38" t="s">
        <v>88</v>
      </c>
      <c r="N360" s="38"/>
      <c r="O360" s="37">
        <v>40</v>
      </c>
      <c r="P360" s="6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9"/>
      <c r="R360" s="559"/>
      <c r="S360" s="559"/>
      <c r="T360" s="560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45</v>
      </c>
      <c r="AB360" s="69" t="s">
        <v>45</v>
      </c>
      <c r="AC360" s="430" t="s">
        <v>580</v>
      </c>
      <c r="AG360" s="78"/>
      <c r="AJ360" s="84" t="s">
        <v>101</v>
      </c>
      <c r="AK360" s="84">
        <v>72</v>
      </c>
      <c r="BB360" s="43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x14ac:dyDescent="0.2">
      <c r="A361" s="564"/>
      <c r="B361" s="564"/>
      <c r="C361" s="564"/>
      <c r="D361" s="564"/>
      <c r="E361" s="564"/>
      <c r="F361" s="564"/>
      <c r="G361" s="564"/>
      <c r="H361" s="564"/>
      <c r="I361" s="564"/>
      <c r="J361" s="564"/>
      <c r="K361" s="564"/>
      <c r="L361" s="564"/>
      <c r="M361" s="564"/>
      <c r="N361" s="564"/>
      <c r="O361" s="565"/>
      <c r="P361" s="561" t="s">
        <v>40</v>
      </c>
      <c r="Q361" s="562"/>
      <c r="R361" s="562"/>
      <c r="S361" s="562"/>
      <c r="T361" s="562"/>
      <c r="U361" s="562"/>
      <c r="V361" s="563"/>
      <c r="W361" s="42" t="s">
        <v>39</v>
      </c>
      <c r="X361" s="43">
        <f>IFERROR(X359/H359,"0")+IFERROR(X360/H360,"0")</f>
        <v>0</v>
      </c>
      <c r="Y361" s="43">
        <f>IFERROR(Y359/H359,"0")+IFERROR(Y360/H360,"0")</f>
        <v>0</v>
      </c>
      <c r="Z361" s="43">
        <f>IFERROR(IF(Z359="",0,Z359),"0")+IFERROR(IF(Z360="",0,Z360),"0")</f>
        <v>0</v>
      </c>
      <c r="AA361" s="67"/>
      <c r="AB361" s="67"/>
      <c r="AC361" s="67"/>
    </row>
    <row r="362" spans="1:68" x14ac:dyDescent="0.2">
      <c r="A362" s="564"/>
      <c r="B362" s="564"/>
      <c r="C362" s="564"/>
      <c r="D362" s="564"/>
      <c r="E362" s="564"/>
      <c r="F362" s="564"/>
      <c r="G362" s="564"/>
      <c r="H362" s="564"/>
      <c r="I362" s="564"/>
      <c r="J362" s="564"/>
      <c r="K362" s="564"/>
      <c r="L362" s="564"/>
      <c r="M362" s="564"/>
      <c r="N362" s="564"/>
      <c r="O362" s="565"/>
      <c r="P362" s="561" t="s">
        <v>40</v>
      </c>
      <c r="Q362" s="562"/>
      <c r="R362" s="562"/>
      <c r="S362" s="562"/>
      <c r="T362" s="562"/>
      <c r="U362" s="562"/>
      <c r="V362" s="563"/>
      <c r="W362" s="42" t="s">
        <v>0</v>
      </c>
      <c r="X362" s="43">
        <f>IFERROR(SUM(X359:X360),"0")</f>
        <v>0</v>
      </c>
      <c r="Y362" s="43">
        <f>IFERROR(SUM(Y359:Y360),"0")</f>
        <v>0</v>
      </c>
      <c r="Z362" s="42"/>
      <c r="AA362" s="67"/>
      <c r="AB362" s="67"/>
      <c r="AC362" s="67"/>
    </row>
    <row r="363" spans="1:68" ht="14.25" customHeight="1" x14ac:dyDescent="0.25">
      <c r="A363" s="556" t="s">
        <v>177</v>
      </c>
      <c r="B363" s="556"/>
      <c r="C363" s="556"/>
      <c r="D363" s="556"/>
      <c r="E363" s="556"/>
      <c r="F363" s="556"/>
      <c r="G363" s="556"/>
      <c r="H363" s="556"/>
      <c r="I363" s="556"/>
      <c r="J363" s="556"/>
      <c r="K363" s="556"/>
      <c r="L363" s="556"/>
      <c r="M363" s="556"/>
      <c r="N363" s="556"/>
      <c r="O363" s="556"/>
      <c r="P363" s="556"/>
      <c r="Q363" s="556"/>
      <c r="R363" s="556"/>
      <c r="S363" s="556"/>
      <c r="T363" s="556"/>
      <c r="U363" s="556"/>
      <c r="V363" s="556"/>
      <c r="W363" s="556"/>
      <c r="X363" s="556"/>
      <c r="Y363" s="556"/>
      <c r="Z363" s="556"/>
      <c r="AA363" s="66"/>
      <c r="AB363" s="66"/>
      <c r="AC363" s="80"/>
    </row>
    <row r="364" spans="1:68" ht="16.5" customHeight="1" x14ac:dyDescent="0.25">
      <c r="A364" s="63" t="s">
        <v>581</v>
      </c>
      <c r="B364" s="63" t="s">
        <v>582</v>
      </c>
      <c r="C364" s="36">
        <v>4301060524</v>
      </c>
      <c r="D364" s="557">
        <v>4607091384673</v>
      </c>
      <c r="E364" s="557"/>
      <c r="F364" s="62">
        <v>1.5</v>
      </c>
      <c r="G364" s="37">
        <v>6</v>
      </c>
      <c r="H364" s="62">
        <v>9</v>
      </c>
      <c r="I364" s="62">
        <v>9.5190000000000001</v>
      </c>
      <c r="J364" s="37">
        <v>64</v>
      </c>
      <c r="K364" s="37" t="s">
        <v>117</v>
      </c>
      <c r="L364" s="37" t="s">
        <v>45</v>
      </c>
      <c r="M364" s="38" t="s">
        <v>88</v>
      </c>
      <c r="N364" s="38"/>
      <c r="O364" s="37">
        <v>40</v>
      </c>
      <c r="P364" s="6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9"/>
      <c r="R364" s="559"/>
      <c r="S364" s="559"/>
      <c r="T364" s="560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45</v>
      </c>
      <c r="AB364" s="69" t="s">
        <v>45</v>
      </c>
      <c r="AC364" s="432" t="s">
        <v>583</v>
      </c>
      <c r="AG364" s="78"/>
      <c r="AJ364" s="84" t="s">
        <v>45</v>
      </c>
      <c r="AK364" s="84">
        <v>0</v>
      </c>
      <c r="BB364" s="433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564"/>
      <c r="B365" s="564"/>
      <c r="C365" s="564"/>
      <c r="D365" s="564"/>
      <c r="E365" s="564"/>
      <c r="F365" s="564"/>
      <c r="G365" s="564"/>
      <c r="H365" s="564"/>
      <c r="I365" s="564"/>
      <c r="J365" s="564"/>
      <c r="K365" s="564"/>
      <c r="L365" s="564"/>
      <c r="M365" s="564"/>
      <c r="N365" s="564"/>
      <c r="O365" s="565"/>
      <c r="P365" s="561" t="s">
        <v>40</v>
      </c>
      <c r="Q365" s="562"/>
      <c r="R365" s="562"/>
      <c r="S365" s="562"/>
      <c r="T365" s="562"/>
      <c r="U365" s="562"/>
      <c r="V365" s="563"/>
      <c r="W365" s="42" t="s">
        <v>39</v>
      </c>
      <c r="X365" s="43">
        <f>IFERROR(X364/H364,"0")</f>
        <v>0</v>
      </c>
      <c r="Y365" s="43">
        <f>IFERROR(Y364/H364,"0")</f>
        <v>0</v>
      </c>
      <c r="Z365" s="43">
        <f>IFERROR(IF(Z364="",0,Z364),"0")</f>
        <v>0</v>
      </c>
      <c r="AA365" s="67"/>
      <c r="AB365" s="67"/>
      <c r="AC365" s="67"/>
    </row>
    <row r="366" spans="1:68" x14ac:dyDescent="0.2">
      <c r="A366" s="564"/>
      <c r="B366" s="564"/>
      <c r="C366" s="564"/>
      <c r="D366" s="564"/>
      <c r="E366" s="564"/>
      <c r="F366" s="564"/>
      <c r="G366" s="564"/>
      <c r="H366" s="564"/>
      <c r="I366" s="564"/>
      <c r="J366" s="564"/>
      <c r="K366" s="564"/>
      <c r="L366" s="564"/>
      <c r="M366" s="564"/>
      <c r="N366" s="564"/>
      <c r="O366" s="565"/>
      <c r="P366" s="561" t="s">
        <v>40</v>
      </c>
      <c r="Q366" s="562"/>
      <c r="R366" s="562"/>
      <c r="S366" s="562"/>
      <c r="T366" s="562"/>
      <c r="U366" s="562"/>
      <c r="V366" s="563"/>
      <c r="W366" s="42" t="s">
        <v>0</v>
      </c>
      <c r="X366" s="43">
        <f>IFERROR(SUM(X364:X364),"0")</f>
        <v>0</v>
      </c>
      <c r="Y366" s="43">
        <f>IFERROR(SUM(Y364:Y364),"0")</f>
        <v>0</v>
      </c>
      <c r="Z366" s="42"/>
      <c r="AA366" s="67"/>
      <c r="AB366" s="67"/>
      <c r="AC366" s="67"/>
    </row>
    <row r="367" spans="1:68" ht="16.5" customHeight="1" x14ac:dyDescent="0.25">
      <c r="A367" s="572" t="s">
        <v>584</v>
      </c>
      <c r="B367" s="572"/>
      <c r="C367" s="572"/>
      <c r="D367" s="572"/>
      <c r="E367" s="572"/>
      <c r="F367" s="572"/>
      <c r="G367" s="572"/>
      <c r="H367" s="572"/>
      <c r="I367" s="572"/>
      <c r="J367" s="572"/>
      <c r="K367" s="572"/>
      <c r="L367" s="572"/>
      <c r="M367" s="572"/>
      <c r="N367" s="572"/>
      <c r="O367" s="572"/>
      <c r="P367" s="572"/>
      <c r="Q367" s="572"/>
      <c r="R367" s="572"/>
      <c r="S367" s="572"/>
      <c r="T367" s="572"/>
      <c r="U367" s="572"/>
      <c r="V367" s="572"/>
      <c r="W367" s="572"/>
      <c r="X367" s="572"/>
      <c r="Y367" s="572"/>
      <c r="Z367" s="572"/>
      <c r="AA367" s="65"/>
      <c r="AB367" s="65"/>
      <c r="AC367" s="79"/>
    </row>
    <row r="368" spans="1:68" ht="14.25" customHeight="1" x14ac:dyDescent="0.25">
      <c r="A368" s="556" t="s">
        <v>112</v>
      </c>
      <c r="B368" s="556"/>
      <c r="C368" s="556"/>
      <c r="D368" s="556"/>
      <c r="E368" s="556"/>
      <c r="F368" s="556"/>
      <c r="G368" s="556"/>
      <c r="H368" s="556"/>
      <c r="I368" s="556"/>
      <c r="J368" s="556"/>
      <c r="K368" s="556"/>
      <c r="L368" s="556"/>
      <c r="M368" s="556"/>
      <c r="N368" s="556"/>
      <c r="O368" s="556"/>
      <c r="P368" s="556"/>
      <c r="Q368" s="556"/>
      <c r="R368" s="556"/>
      <c r="S368" s="556"/>
      <c r="T368" s="556"/>
      <c r="U368" s="556"/>
      <c r="V368" s="556"/>
      <c r="W368" s="556"/>
      <c r="X368" s="556"/>
      <c r="Y368" s="556"/>
      <c r="Z368" s="556"/>
      <c r="AA368" s="66"/>
      <c r="AB368" s="66"/>
      <c r="AC368" s="80"/>
    </row>
    <row r="369" spans="1:68" ht="37.5" customHeight="1" x14ac:dyDescent="0.25">
      <c r="A369" s="63" t="s">
        <v>585</v>
      </c>
      <c r="B369" s="63" t="s">
        <v>586</v>
      </c>
      <c r="C369" s="36">
        <v>4301011875</v>
      </c>
      <c r="D369" s="557">
        <v>4680115884885</v>
      </c>
      <c r="E369" s="557"/>
      <c r="F369" s="62">
        <v>0.8</v>
      </c>
      <c r="G369" s="37">
        <v>15</v>
      </c>
      <c r="H369" s="62">
        <v>12</v>
      </c>
      <c r="I369" s="62">
        <v>12.435</v>
      </c>
      <c r="J369" s="37">
        <v>64</v>
      </c>
      <c r="K369" s="37" t="s">
        <v>117</v>
      </c>
      <c r="L369" s="37" t="s">
        <v>118</v>
      </c>
      <c r="M369" s="38" t="s">
        <v>82</v>
      </c>
      <c r="N369" s="38"/>
      <c r="O369" s="37">
        <v>60</v>
      </c>
      <c r="P369" s="6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9"/>
      <c r="R369" s="559"/>
      <c r="S369" s="559"/>
      <c r="T369" s="560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45</v>
      </c>
      <c r="AB369" s="69" t="s">
        <v>45</v>
      </c>
      <c r="AC369" s="434" t="s">
        <v>587</v>
      </c>
      <c r="AG369" s="78"/>
      <c r="AJ369" s="84" t="s">
        <v>101</v>
      </c>
      <c r="AK369" s="84">
        <v>96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37.5" customHeight="1" x14ac:dyDescent="0.25">
      <c r="A370" s="63" t="s">
        <v>588</v>
      </c>
      <c r="B370" s="63" t="s">
        <v>589</v>
      </c>
      <c r="C370" s="36">
        <v>4301011871</v>
      </c>
      <c r="D370" s="557">
        <v>4680115884908</v>
      </c>
      <c r="E370" s="557"/>
      <c r="F370" s="62">
        <v>0.4</v>
      </c>
      <c r="G370" s="37">
        <v>10</v>
      </c>
      <c r="H370" s="62">
        <v>4</v>
      </c>
      <c r="I370" s="62">
        <v>4.21</v>
      </c>
      <c r="J370" s="37">
        <v>132</v>
      </c>
      <c r="K370" s="37" t="s">
        <v>121</v>
      </c>
      <c r="L370" s="37" t="s">
        <v>122</v>
      </c>
      <c r="M370" s="38" t="s">
        <v>82</v>
      </c>
      <c r="N370" s="38"/>
      <c r="O370" s="37">
        <v>60</v>
      </c>
      <c r="P370" s="62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9"/>
      <c r="R370" s="559"/>
      <c r="S370" s="559"/>
      <c r="T370" s="560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IFERROR(IF(Y370=0,"",ROUNDUP(Y370/H370,0)*0.00902),"")</f>
        <v/>
      </c>
      <c r="AA370" s="68" t="s">
        <v>45</v>
      </c>
      <c r="AB370" s="69" t="s">
        <v>45</v>
      </c>
      <c r="AC370" s="436" t="s">
        <v>587</v>
      </c>
      <c r="AG370" s="78"/>
      <c r="AJ370" s="84" t="s">
        <v>101</v>
      </c>
      <c r="AK370" s="84">
        <v>48</v>
      </c>
      <c r="BB370" s="437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564"/>
      <c r="B371" s="564"/>
      <c r="C371" s="564"/>
      <c r="D371" s="564"/>
      <c r="E371" s="564"/>
      <c r="F371" s="564"/>
      <c r="G371" s="564"/>
      <c r="H371" s="564"/>
      <c r="I371" s="564"/>
      <c r="J371" s="564"/>
      <c r="K371" s="564"/>
      <c r="L371" s="564"/>
      <c r="M371" s="564"/>
      <c r="N371" s="564"/>
      <c r="O371" s="565"/>
      <c r="P371" s="561" t="s">
        <v>40</v>
      </c>
      <c r="Q371" s="562"/>
      <c r="R371" s="562"/>
      <c r="S371" s="562"/>
      <c r="T371" s="562"/>
      <c r="U371" s="562"/>
      <c r="V371" s="563"/>
      <c r="W371" s="42" t="s">
        <v>39</v>
      </c>
      <c r="X371" s="43">
        <f>IFERROR(X369/H369,"0")+IFERROR(X370/H370,"0")</f>
        <v>0</v>
      </c>
      <c r="Y371" s="43">
        <f>IFERROR(Y369/H369,"0")+IFERROR(Y370/H370,"0")</f>
        <v>0</v>
      </c>
      <c r="Z371" s="43">
        <f>IFERROR(IF(Z369="",0,Z369),"0")+IFERROR(IF(Z370="",0,Z370),"0")</f>
        <v>0</v>
      </c>
      <c r="AA371" s="67"/>
      <c r="AB371" s="67"/>
      <c r="AC371" s="67"/>
    </row>
    <row r="372" spans="1:68" x14ac:dyDescent="0.2">
      <c r="A372" s="564"/>
      <c r="B372" s="564"/>
      <c r="C372" s="564"/>
      <c r="D372" s="564"/>
      <c r="E372" s="564"/>
      <c r="F372" s="564"/>
      <c r="G372" s="564"/>
      <c r="H372" s="564"/>
      <c r="I372" s="564"/>
      <c r="J372" s="564"/>
      <c r="K372" s="564"/>
      <c r="L372" s="564"/>
      <c r="M372" s="564"/>
      <c r="N372" s="564"/>
      <c r="O372" s="565"/>
      <c r="P372" s="561" t="s">
        <v>40</v>
      </c>
      <c r="Q372" s="562"/>
      <c r="R372" s="562"/>
      <c r="S372" s="562"/>
      <c r="T372" s="562"/>
      <c r="U372" s="562"/>
      <c r="V372" s="563"/>
      <c r="W372" s="42" t="s">
        <v>0</v>
      </c>
      <c r="X372" s="43">
        <f>IFERROR(SUM(X369:X370),"0")</f>
        <v>0</v>
      </c>
      <c r="Y372" s="43">
        <f>IFERROR(SUM(Y369:Y370),"0")</f>
        <v>0</v>
      </c>
      <c r="Z372" s="42"/>
      <c r="AA372" s="67"/>
      <c r="AB372" s="67"/>
      <c r="AC372" s="67"/>
    </row>
    <row r="373" spans="1:68" ht="14.25" customHeight="1" x14ac:dyDescent="0.25">
      <c r="A373" s="556" t="s">
        <v>78</v>
      </c>
      <c r="B373" s="556"/>
      <c r="C373" s="556"/>
      <c r="D373" s="556"/>
      <c r="E373" s="556"/>
      <c r="F373" s="556"/>
      <c r="G373" s="556"/>
      <c r="H373" s="556"/>
      <c r="I373" s="556"/>
      <c r="J373" s="556"/>
      <c r="K373" s="556"/>
      <c r="L373" s="556"/>
      <c r="M373" s="556"/>
      <c r="N373" s="556"/>
      <c r="O373" s="556"/>
      <c r="P373" s="556"/>
      <c r="Q373" s="556"/>
      <c r="R373" s="556"/>
      <c r="S373" s="556"/>
      <c r="T373" s="556"/>
      <c r="U373" s="556"/>
      <c r="V373" s="556"/>
      <c r="W373" s="556"/>
      <c r="X373" s="556"/>
      <c r="Y373" s="556"/>
      <c r="Z373" s="556"/>
      <c r="AA373" s="66"/>
      <c r="AB373" s="66"/>
      <c r="AC373" s="80"/>
    </row>
    <row r="374" spans="1:68" ht="27" customHeight="1" x14ac:dyDescent="0.25">
      <c r="A374" s="63" t="s">
        <v>590</v>
      </c>
      <c r="B374" s="63" t="s">
        <v>591</v>
      </c>
      <c r="C374" s="36">
        <v>4301031303</v>
      </c>
      <c r="D374" s="557">
        <v>4607091384802</v>
      </c>
      <c r="E374" s="557"/>
      <c r="F374" s="62">
        <v>0.73</v>
      </c>
      <c r="G374" s="37">
        <v>6</v>
      </c>
      <c r="H374" s="62">
        <v>4.38</v>
      </c>
      <c r="I374" s="62">
        <v>4.6500000000000004</v>
      </c>
      <c r="J374" s="37">
        <v>132</v>
      </c>
      <c r="K374" s="37" t="s">
        <v>121</v>
      </c>
      <c r="L374" s="37" t="s">
        <v>122</v>
      </c>
      <c r="M374" s="38" t="s">
        <v>82</v>
      </c>
      <c r="N374" s="38"/>
      <c r="O374" s="37">
        <v>35</v>
      </c>
      <c r="P374" s="62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9"/>
      <c r="R374" s="559"/>
      <c r="S374" s="559"/>
      <c r="T374" s="560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592</v>
      </c>
      <c r="AG374" s="78"/>
      <c r="AJ374" s="84" t="s">
        <v>101</v>
      </c>
      <c r="AK374" s="84">
        <v>52.56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590</v>
      </c>
      <c r="B375" s="63" t="s">
        <v>593</v>
      </c>
      <c r="C375" s="36">
        <v>4301031457</v>
      </c>
      <c r="D375" s="557">
        <v>4607091384802</v>
      </c>
      <c r="E375" s="557"/>
      <c r="F375" s="62">
        <v>0.7</v>
      </c>
      <c r="G375" s="37">
        <v>6</v>
      </c>
      <c r="H375" s="62">
        <v>4.2</v>
      </c>
      <c r="I375" s="62">
        <v>4.47</v>
      </c>
      <c r="J375" s="37">
        <v>132</v>
      </c>
      <c r="K375" s="37" t="s">
        <v>121</v>
      </c>
      <c r="L375" s="37" t="s">
        <v>45</v>
      </c>
      <c r="M375" s="38" t="s">
        <v>82</v>
      </c>
      <c r="N375" s="38"/>
      <c r="O375" s="37">
        <v>50</v>
      </c>
      <c r="P375" s="6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9"/>
      <c r="R375" s="559"/>
      <c r="S375" s="559"/>
      <c r="T375" s="560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IFERROR(IF(Y375=0,"",ROUNDUP(Y375/H375,0)*0.00902),"")</f>
        <v/>
      </c>
      <c r="AA375" s="68" t="s">
        <v>45</v>
      </c>
      <c r="AB375" s="69" t="s">
        <v>45</v>
      </c>
      <c r="AC375" s="440" t="s">
        <v>594</v>
      </c>
      <c r="AG375" s="78"/>
      <c r="AJ375" s="84" t="s">
        <v>45</v>
      </c>
      <c r="AK375" s="84">
        <v>0</v>
      </c>
      <c r="BB375" s="441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564"/>
      <c r="B376" s="564"/>
      <c r="C376" s="564"/>
      <c r="D376" s="564"/>
      <c r="E376" s="564"/>
      <c r="F376" s="564"/>
      <c r="G376" s="564"/>
      <c r="H376" s="564"/>
      <c r="I376" s="564"/>
      <c r="J376" s="564"/>
      <c r="K376" s="564"/>
      <c r="L376" s="564"/>
      <c r="M376" s="564"/>
      <c r="N376" s="564"/>
      <c r="O376" s="565"/>
      <c r="P376" s="561" t="s">
        <v>40</v>
      </c>
      <c r="Q376" s="562"/>
      <c r="R376" s="562"/>
      <c r="S376" s="562"/>
      <c r="T376" s="562"/>
      <c r="U376" s="562"/>
      <c r="V376" s="563"/>
      <c r="W376" s="42" t="s">
        <v>39</v>
      </c>
      <c r="X376" s="43">
        <f>IFERROR(X374/H374,"0")+IFERROR(X375/H375,"0")</f>
        <v>0</v>
      </c>
      <c r="Y376" s="43">
        <f>IFERROR(Y374/H374,"0")+IFERROR(Y375/H375,"0")</f>
        <v>0</v>
      </c>
      <c r="Z376" s="43">
        <f>IFERROR(IF(Z374="",0,Z374),"0")+IFERROR(IF(Z375="",0,Z375),"0")</f>
        <v>0</v>
      </c>
      <c r="AA376" s="67"/>
      <c r="AB376" s="67"/>
      <c r="AC376" s="67"/>
    </row>
    <row r="377" spans="1:68" x14ac:dyDescent="0.2">
      <c r="A377" s="564"/>
      <c r="B377" s="564"/>
      <c r="C377" s="564"/>
      <c r="D377" s="564"/>
      <c r="E377" s="564"/>
      <c r="F377" s="564"/>
      <c r="G377" s="564"/>
      <c r="H377" s="564"/>
      <c r="I377" s="564"/>
      <c r="J377" s="564"/>
      <c r="K377" s="564"/>
      <c r="L377" s="564"/>
      <c r="M377" s="564"/>
      <c r="N377" s="564"/>
      <c r="O377" s="565"/>
      <c r="P377" s="561" t="s">
        <v>40</v>
      </c>
      <c r="Q377" s="562"/>
      <c r="R377" s="562"/>
      <c r="S377" s="562"/>
      <c r="T377" s="562"/>
      <c r="U377" s="562"/>
      <c r="V377" s="563"/>
      <c r="W377" s="42" t="s">
        <v>0</v>
      </c>
      <c r="X377" s="43">
        <f>IFERROR(SUM(X374:X375),"0")</f>
        <v>0</v>
      </c>
      <c r="Y377" s="43">
        <f>IFERROR(SUM(Y374:Y375),"0")</f>
        <v>0</v>
      </c>
      <c r="Z377" s="42"/>
      <c r="AA377" s="67"/>
      <c r="AB377" s="67"/>
      <c r="AC377" s="67"/>
    </row>
    <row r="378" spans="1:68" ht="14.25" customHeight="1" x14ac:dyDescent="0.25">
      <c r="A378" s="556" t="s">
        <v>84</v>
      </c>
      <c r="B378" s="556"/>
      <c r="C378" s="556"/>
      <c r="D378" s="556"/>
      <c r="E378" s="556"/>
      <c r="F378" s="556"/>
      <c r="G378" s="556"/>
      <c r="H378" s="556"/>
      <c r="I378" s="556"/>
      <c r="J378" s="556"/>
      <c r="K378" s="556"/>
      <c r="L378" s="556"/>
      <c r="M378" s="556"/>
      <c r="N378" s="556"/>
      <c r="O378" s="556"/>
      <c r="P378" s="556"/>
      <c r="Q378" s="556"/>
      <c r="R378" s="556"/>
      <c r="S378" s="556"/>
      <c r="T378" s="556"/>
      <c r="U378" s="556"/>
      <c r="V378" s="556"/>
      <c r="W378" s="556"/>
      <c r="X378" s="556"/>
      <c r="Y378" s="556"/>
      <c r="Z378" s="556"/>
      <c r="AA378" s="66"/>
      <c r="AB378" s="66"/>
      <c r="AC378" s="80"/>
    </row>
    <row r="379" spans="1:68" ht="27" customHeight="1" x14ac:dyDescent="0.25">
      <c r="A379" s="63" t="s">
        <v>595</v>
      </c>
      <c r="B379" s="63" t="s">
        <v>596</v>
      </c>
      <c r="C379" s="36">
        <v>4301051899</v>
      </c>
      <c r="D379" s="557">
        <v>4607091384246</v>
      </c>
      <c r="E379" s="557"/>
      <c r="F379" s="62">
        <v>1.5</v>
      </c>
      <c r="G379" s="37">
        <v>6</v>
      </c>
      <c r="H379" s="62">
        <v>9</v>
      </c>
      <c r="I379" s="62">
        <v>9.5190000000000001</v>
      </c>
      <c r="J379" s="37">
        <v>64</v>
      </c>
      <c r="K379" s="37" t="s">
        <v>117</v>
      </c>
      <c r="L379" s="37" t="s">
        <v>118</v>
      </c>
      <c r="M379" s="38" t="s">
        <v>88</v>
      </c>
      <c r="N379" s="38"/>
      <c r="O379" s="37">
        <v>40</v>
      </c>
      <c r="P379" s="6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9"/>
      <c r="R379" s="559"/>
      <c r="S379" s="559"/>
      <c r="T379" s="560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45</v>
      </c>
      <c r="AB379" s="69" t="s">
        <v>45</v>
      </c>
      <c r="AC379" s="442" t="s">
        <v>597</v>
      </c>
      <c r="AG379" s="78"/>
      <c r="AJ379" s="84" t="s">
        <v>101</v>
      </c>
      <c r="AK379" s="84">
        <v>72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598</v>
      </c>
      <c r="B380" s="63" t="s">
        <v>599</v>
      </c>
      <c r="C380" s="36">
        <v>4301051660</v>
      </c>
      <c r="D380" s="557">
        <v>4607091384253</v>
      </c>
      <c r="E380" s="557"/>
      <c r="F380" s="62">
        <v>0.4</v>
      </c>
      <c r="G380" s="37">
        <v>6</v>
      </c>
      <c r="H380" s="62">
        <v>2.4</v>
      </c>
      <c r="I380" s="62">
        <v>2.6640000000000001</v>
      </c>
      <c r="J380" s="37">
        <v>182</v>
      </c>
      <c r="K380" s="37" t="s">
        <v>89</v>
      </c>
      <c r="L380" s="37" t="s">
        <v>100</v>
      </c>
      <c r="M380" s="38" t="s">
        <v>88</v>
      </c>
      <c r="N380" s="38"/>
      <c r="O380" s="37">
        <v>40</v>
      </c>
      <c r="P380" s="62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9"/>
      <c r="R380" s="559"/>
      <c r="S380" s="559"/>
      <c r="T380" s="560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45</v>
      </c>
      <c r="AB380" s="69" t="s">
        <v>45</v>
      </c>
      <c r="AC380" s="444" t="s">
        <v>597</v>
      </c>
      <c r="AG380" s="78"/>
      <c r="AJ380" s="84" t="s">
        <v>101</v>
      </c>
      <c r="AK380" s="84">
        <v>33.6</v>
      </c>
      <c r="BB380" s="44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564"/>
      <c r="B381" s="564"/>
      <c r="C381" s="564"/>
      <c r="D381" s="564"/>
      <c r="E381" s="564"/>
      <c r="F381" s="564"/>
      <c r="G381" s="564"/>
      <c r="H381" s="564"/>
      <c r="I381" s="564"/>
      <c r="J381" s="564"/>
      <c r="K381" s="564"/>
      <c r="L381" s="564"/>
      <c r="M381" s="564"/>
      <c r="N381" s="564"/>
      <c r="O381" s="565"/>
      <c r="P381" s="561" t="s">
        <v>40</v>
      </c>
      <c r="Q381" s="562"/>
      <c r="R381" s="562"/>
      <c r="S381" s="562"/>
      <c r="T381" s="562"/>
      <c r="U381" s="562"/>
      <c r="V381" s="563"/>
      <c r="W381" s="42" t="s">
        <v>39</v>
      </c>
      <c r="X381" s="43">
        <f>IFERROR(X379/H379,"0")+IFERROR(X380/H380,"0")</f>
        <v>0</v>
      </c>
      <c r="Y381" s="43">
        <f>IFERROR(Y379/H379,"0")+IFERROR(Y380/H380,"0")</f>
        <v>0</v>
      </c>
      <c r="Z381" s="43">
        <f>IFERROR(IF(Z379="",0,Z379),"0")+IFERROR(IF(Z380="",0,Z380),"0")</f>
        <v>0</v>
      </c>
      <c r="AA381" s="67"/>
      <c r="AB381" s="67"/>
      <c r="AC381" s="67"/>
    </row>
    <row r="382" spans="1:68" x14ac:dyDescent="0.2">
      <c r="A382" s="564"/>
      <c r="B382" s="564"/>
      <c r="C382" s="564"/>
      <c r="D382" s="564"/>
      <c r="E382" s="564"/>
      <c r="F382" s="564"/>
      <c r="G382" s="564"/>
      <c r="H382" s="564"/>
      <c r="I382" s="564"/>
      <c r="J382" s="564"/>
      <c r="K382" s="564"/>
      <c r="L382" s="564"/>
      <c r="M382" s="564"/>
      <c r="N382" s="564"/>
      <c r="O382" s="565"/>
      <c r="P382" s="561" t="s">
        <v>40</v>
      </c>
      <c r="Q382" s="562"/>
      <c r="R382" s="562"/>
      <c r="S382" s="562"/>
      <c r="T382" s="562"/>
      <c r="U382" s="562"/>
      <c r="V382" s="563"/>
      <c r="W382" s="42" t="s">
        <v>0</v>
      </c>
      <c r="X382" s="43">
        <f>IFERROR(SUM(X379:X380),"0")</f>
        <v>0</v>
      </c>
      <c r="Y382" s="43">
        <f>IFERROR(SUM(Y379:Y380),"0")</f>
        <v>0</v>
      </c>
      <c r="Z382" s="42"/>
      <c r="AA382" s="67"/>
      <c r="AB382" s="67"/>
      <c r="AC382" s="67"/>
    </row>
    <row r="383" spans="1:68" ht="27.75" customHeight="1" x14ac:dyDescent="0.2">
      <c r="A383" s="581" t="s">
        <v>600</v>
      </c>
      <c r="B383" s="581"/>
      <c r="C383" s="581"/>
      <c r="D383" s="581"/>
      <c r="E383" s="581"/>
      <c r="F383" s="581"/>
      <c r="G383" s="581"/>
      <c r="H383" s="581"/>
      <c r="I383" s="581"/>
      <c r="J383" s="581"/>
      <c r="K383" s="581"/>
      <c r="L383" s="581"/>
      <c r="M383" s="581"/>
      <c r="N383" s="581"/>
      <c r="O383" s="581"/>
      <c r="P383" s="581"/>
      <c r="Q383" s="581"/>
      <c r="R383" s="581"/>
      <c r="S383" s="581"/>
      <c r="T383" s="581"/>
      <c r="U383" s="581"/>
      <c r="V383" s="581"/>
      <c r="W383" s="581"/>
      <c r="X383" s="581"/>
      <c r="Y383" s="581"/>
      <c r="Z383" s="581"/>
      <c r="AA383" s="54"/>
      <c r="AB383" s="54"/>
      <c r="AC383" s="54"/>
    </row>
    <row r="384" spans="1:68" ht="16.5" customHeight="1" x14ac:dyDescent="0.25">
      <c r="A384" s="572" t="s">
        <v>601</v>
      </c>
      <c r="B384" s="572"/>
      <c r="C384" s="572"/>
      <c r="D384" s="572"/>
      <c r="E384" s="572"/>
      <c r="F384" s="572"/>
      <c r="G384" s="572"/>
      <c r="H384" s="572"/>
      <c r="I384" s="572"/>
      <c r="J384" s="572"/>
      <c r="K384" s="572"/>
      <c r="L384" s="572"/>
      <c r="M384" s="572"/>
      <c r="N384" s="572"/>
      <c r="O384" s="572"/>
      <c r="P384" s="572"/>
      <c r="Q384" s="572"/>
      <c r="R384" s="572"/>
      <c r="S384" s="572"/>
      <c r="T384" s="572"/>
      <c r="U384" s="572"/>
      <c r="V384" s="572"/>
      <c r="W384" s="572"/>
      <c r="X384" s="572"/>
      <c r="Y384" s="572"/>
      <c r="Z384" s="572"/>
      <c r="AA384" s="65"/>
      <c r="AB384" s="65"/>
      <c r="AC384" s="79"/>
    </row>
    <row r="385" spans="1:68" ht="14.25" customHeight="1" x14ac:dyDescent="0.25">
      <c r="A385" s="556" t="s">
        <v>78</v>
      </c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56"/>
      <c r="P385" s="556"/>
      <c r="Q385" s="556"/>
      <c r="R385" s="556"/>
      <c r="S385" s="556"/>
      <c r="T385" s="556"/>
      <c r="U385" s="556"/>
      <c r="V385" s="556"/>
      <c r="W385" s="556"/>
      <c r="X385" s="556"/>
      <c r="Y385" s="556"/>
      <c r="Z385" s="556"/>
      <c r="AA385" s="66"/>
      <c r="AB385" s="66"/>
      <c r="AC385" s="80"/>
    </row>
    <row r="386" spans="1:68" ht="27" customHeight="1" x14ac:dyDescent="0.25">
      <c r="A386" s="63" t="s">
        <v>602</v>
      </c>
      <c r="B386" s="63" t="s">
        <v>603</v>
      </c>
      <c r="C386" s="36">
        <v>4301031405</v>
      </c>
      <c r="D386" s="557">
        <v>4680115886100</v>
      </c>
      <c r="E386" s="557"/>
      <c r="F386" s="62">
        <v>0.9</v>
      </c>
      <c r="G386" s="37">
        <v>6</v>
      </c>
      <c r="H386" s="62">
        <v>5.4</v>
      </c>
      <c r="I386" s="62">
        <v>5.61</v>
      </c>
      <c r="J386" s="37">
        <v>132</v>
      </c>
      <c r="K386" s="37" t="s">
        <v>121</v>
      </c>
      <c r="L386" s="37" t="s">
        <v>122</v>
      </c>
      <c r="M386" s="38" t="s">
        <v>82</v>
      </c>
      <c r="N386" s="38"/>
      <c r="O386" s="37">
        <v>50</v>
      </c>
      <c r="P386" s="62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9"/>
      <c r="R386" s="559"/>
      <c r="S386" s="559"/>
      <c r="T386" s="560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ref="Y386:Y394" si="41">IFERROR(IF(X386="",0,CEILING((X386/$H386),1)*$H386),"")</f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604</v>
      </c>
      <c r="AG386" s="78"/>
      <c r="AJ386" s="84" t="s">
        <v>101</v>
      </c>
      <c r="AK386" s="84">
        <v>64.8</v>
      </c>
      <c r="BB386" s="447" t="s">
        <v>66</v>
      </c>
      <c r="BM386" s="78">
        <f t="shared" ref="BM386:BM394" si="42">IFERROR(X386*I386/H386,"0")</f>
        <v>0</v>
      </c>
      <c r="BN386" s="78">
        <f t="shared" ref="BN386:BN394" si="43">IFERROR(Y386*I386/H386,"0")</f>
        <v>0</v>
      </c>
      <c r="BO386" s="78">
        <f t="shared" ref="BO386:BO394" si="44">IFERROR(1/J386*(X386/H386),"0")</f>
        <v>0</v>
      </c>
      <c r="BP386" s="78">
        <f t="shared" ref="BP386:BP394" si="45">IFERROR(1/J386*(Y386/H386),"0")</f>
        <v>0</v>
      </c>
    </row>
    <row r="387" spans="1:68" ht="27" customHeight="1" x14ac:dyDescent="0.25">
      <c r="A387" s="63" t="s">
        <v>605</v>
      </c>
      <c r="B387" s="63" t="s">
        <v>606</v>
      </c>
      <c r="C387" s="36">
        <v>4301031406</v>
      </c>
      <c r="D387" s="557">
        <v>4680115886117</v>
      </c>
      <c r="E387" s="557"/>
      <c r="F387" s="62">
        <v>0.9</v>
      </c>
      <c r="G387" s="37">
        <v>6</v>
      </c>
      <c r="H387" s="62">
        <v>5.4</v>
      </c>
      <c r="I387" s="62">
        <v>5.61</v>
      </c>
      <c r="J387" s="37">
        <v>132</v>
      </c>
      <c r="K387" s="37" t="s">
        <v>121</v>
      </c>
      <c r="L387" s="37" t="s">
        <v>45</v>
      </c>
      <c r="M387" s="38" t="s">
        <v>82</v>
      </c>
      <c r="N387" s="38"/>
      <c r="O387" s="37">
        <v>50</v>
      </c>
      <c r="P387" s="62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9"/>
      <c r="R387" s="559"/>
      <c r="S387" s="559"/>
      <c r="T387" s="560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607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608</v>
      </c>
      <c r="B388" s="63" t="s">
        <v>609</v>
      </c>
      <c r="C388" s="36">
        <v>4301031402</v>
      </c>
      <c r="D388" s="557">
        <v>4680115886124</v>
      </c>
      <c r="E388" s="557"/>
      <c r="F388" s="62">
        <v>0.9</v>
      </c>
      <c r="G388" s="37">
        <v>6</v>
      </c>
      <c r="H388" s="62">
        <v>5.4</v>
      </c>
      <c r="I388" s="62">
        <v>5.61</v>
      </c>
      <c r="J388" s="37">
        <v>132</v>
      </c>
      <c r="K388" s="37" t="s">
        <v>121</v>
      </c>
      <c r="L388" s="37" t="s">
        <v>122</v>
      </c>
      <c r="M388" s="38" t="s">
        <v>82</v>
      </c>
      <c r="N388" s="38"/>
      <c r="O388" s="37">
        <v>50</v>
      </c>
      <c r="P388" s="6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9"/>
      <c r="R388" s="559"/>
      <c r="S388" s="559"/>
      <c r="T388" s="560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>IFERROR(IF(Y388=0,"",ROUNDUP(Y388/H388,0)*0.00902),"")</f>
        <v/>
      </c>
      <c r="AA388" s="68" t="s">
        <v>45</v>
      </c>
      <c r="AB388" s="69" t="s">
        <v>45</v>
      </c>
      <c r="AC388" s="450" t="s">
        <v>610</v>
      </c>
      <c r="AG388" s="78"/>
      <c r="AJ388" s="84" t="s">
        <v>101</v>
      </c>
      <c r="AK388" s="84">
        <v>64.8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611</v>
      </c>
      <c r="B389" s="63" t="s">
        <v>612</v>
      </c>
      <c r="C389" s="36">
        <v>4301031366</v>
      </c>
      <c r="D389" s="557">
        <v>4680115883147</v>
      </c>
      <c r="E389" s="557"/>
      <c r="F389" s="62">
        <v>0.28000000000000003</v>
      </c>
      <c r="G389" s="37">
        <v>6</v>
      </c>
      <c r="H389" s="62">
        <v>1.68</v>
      </c>
      <c r="I389" s="62">
        <v>1.81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62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9"/>
      <c r="R389" s="559"/>
      <c r="S389" s="559"/>
      <c r="T389" s="560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ref="Z389:Z394" si="46">IFERROR(IF(Y389=0,"",ROUNDUP(Y389/H389,0)*0.00502),"")</f>
        <v/>
      </c>
      <c r="AA389" s="68" t="s">
        <v>45</v>
      </c>
      <c r="AB389" s="69" t="s">
        <v>45</v>
      </c>
      <c r="AC389" s="452" t="s">
        <v>604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27" customHeight="1" x14ac:dyDescent="0.25">
      <c r="A390" s="63" t="s">
        <v>613</v>
      </c>
      <c r="B390" s="63" t="s">
        <v>614</v>
      </c>
      <c r="C390" s="36">
        <v>4301031362</v>
      </c>
      <c r="D390" s="557">
        <v>4607091384338</v>
      </c>
      <c r="E390" s="557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6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9"/>
      <c r="R390" s="559"/>
      <c r="S390" s="559"/>
      <c r="T390" s="560"/>
      <c r="U390" s="39" t="s">
        <v>45</v>
      </c>
      <c r="V390" s="39" t="s">
        <v>45</v>
      </c>
      <c r="W390" s="40" t="s">
        <v>0</v>
      </c>
      <c r="X390" s="58">
        <v>6.3</v>
      </c>
      <c r="Y390" s="55">
        <f t="shared" si="41"/>
        <v>6.3000000000000007</v>
      </c>
      <c r="Z390" s="41">
        <f t="shared" si="46"/>
        <v>1.506E-2</v>
      </c>
      <c r="AA390" s="68" t="s">
        <v>45</v>
      </c>
      <c r="AB390" s="69" t="s">
        <v>45</v>
      </c>
      <c r="AC390" s="454" t="s">
        <v>604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6.6899999999999995</v>
      </c>
      <c r="BN390" s="78">
        <f t="shared" si="43"/>
        <v>6.69</v>
      </c>
      <c r="BO390" s="78">
        <f t="shared" si="44"/>
        <v>1.2820512820512822E-2</v>
      </c>
      <c r="BP390" s="78">
        <f t="shared" si="45"/>
        <v>1.2820512820512822E-2</v>
      </c>
    </row>
    <row r="391" spans="1:68" ht="37.5" customHeight="1" x14ac:dyDescent="0.25">
      <c r="A391" s="63" t="s">
        <v>615</v>
      </c>
      <c r="B391" s="63" t="s">
        <v>616</v>
      </c>
      <c r="C391" s="36">
        <v>4301031361</v>
      </c>
      <c r="D391" s="557">
        <v>4607091389524</v>
      </c>
      <c r="E391" s="557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6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9"/>
      <c r="R391" s="559"/>
      <c r="S391" s="559"/>
      <c r="T391" s="560"/>
      <c r="U391" s="39" t="s">
        <v>45</v>
      </c>
      <c r="V391" s="39" t="s">
        <v>45</v>
      </c>
      <c r="W391" s="40" t="s">
        <v>0</v>
      </c>
      <c r="X391" s="58">
        <v>10.5</v>
      </c>
      <c r="Y391" s="55">
        <f t="shared" si="41"/>
        <v>10.5</v>
      </c>
      <c r="Z391" s="41">
        <f t="shared" si="46"/>
        <v>2.5100000000000001E-2</v>
      </c>
      <c r="AA391" s="68" t="s">
        <v>45</v>
      </c>
      <c r="AB391" s="69" t="s">
        <v>45</v>
      </c>
      <c r="AC391" s="456" t="s">
        <v>617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11.149999999999999</v>
      </c>
      <c r="BN391" s="78">
        <f t="shared" si="43"/>
        <v>11.149999999999999</v>
      </c>
      <c r="BO391" s="78">
        <f t="shared" si="44"/>
        <v>2.1367521367521368E-2</v>
      </c>
      <c r="BP391" s="78">
        <f t="shared" si="45"/>
        <v>2.1367521367521368E-2</v>
      </c>
    </row>
    <row r="392" spans="1:68" ht="27" customHeight="1" x14ac:dyDescent="0.25">
      <c r="A392" s="63" t="s">
        <v>618</v>
      </c>
      <c r="B392" s="63" t="s">
        <v>619</v>
      </c>
      <c r="C392" s="36">
        <v>4301031364</v>
      </c>
      <c r="D392" s="557">
        <v>4680115883161</v>
      </c>
      <c r="E392" s="557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6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9"/>
      <c r="R392" s="559"/>
      <c r="S392" s="559"/>
      <c r="T392" s="560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620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621</v>
      </c>
      <c r="B393" s="63" t="s">
        <v>622</v>
      </c>
      <c r="C393" s="36">
        <v>4301031358</v>
      </c>
      <c r="D393" s="557">
        <v>4607091389531</v>
      </c>
      <c r="E393" s="557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61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9"/>
      <c r="R393" s="559"/>
      <c r="S393" s="559"/>
      <c r="T393" s="560"/>
      <c r="U393" s="39" t="s">
        <v>45</v>
      </c>
      <c r="V393" s="39" t="s">
        <v>45</v>
      </c>
      <c r="W393" s="40" t="s">
        <v>0</v>
      </c>
      <c r="X393" s="58">
        <v>10.5</v>
      </c>
      <c r="Y393" s="55">
        <f t="shared" si="41"/>
        <v>10.5</v>
      </c>
      <c r="Z393" s="41">
        <f t="shared" si="46"/>
        <v>2.5100000000000001E-2</v>
      </c>
      <c r="AA393" s="68" t="s">
        <v>45</v>
      </c>
      <c r="AB393" s="69" t="s">
        <v>45</v>
      </c>
      <c r="AC393" s="460" t="s">
        <v>623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11.149999999999999</v>
      </c>
      <c r="BN393" s="78">
        <f t="shared" si="43"/>
        <v>11.149999999999999</v>
      </c>
      <c r="BO393" s="78">
        <f t="shared" si="44"/>
        <v>2.1367521367521368E-2</v>
      </c>
      <c r="BP393" s="78">
        <f t="shared" si="45"/>
        <v>2.1367521367521368E-2</v>
      </c>
    </row>
    <row r="394" spans="1:68" ht="37.5" customHeight="1" x14ac:dyDescent="0.25">
      <c r="A394" s="63" t="s">
        <v>624</v>
      </c>
      <c r="B394" s="63" t="s">
        <v>625</v>
      </c>
      <c r="C394" s="36">
        <v>4301031360</v>
      </c>
      <c r="D394" s="557">
        <v>4607091384345</v>
      </c>
      <c r="E394" s="557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83</v>
      </c>
      <c r="L394" s="37" t="s">
        <v>45</v>
      </c>
      <c r="M394" s="38" t="s">
        <v>82</v>
      </c>
      <c r="N394" s="38"/>
      <c r="O394" s="37">
        <v>50</v>
      </c>
      <c r="P394" s="61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9"/>
      <c r="R394" s="559"/>
      <c r="S394" s="559"/>
      <c r="T394" s="560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620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x14ac:dyDescent="0.2">
      <c r="A395" s="564"/>
      <c r="B395" s="564"/>
      <c r="C395" s="564"/>
      <c r="D395" s="564"/>
      <c r="E395" s="564"/>
      <c r="F395" s="564"/>
      <c r="G395" s="564"/>
      <c r="H395" s="564"/>
      <c r="I395" s="564"/>
      <c r="J395" s="564"/>
      <c r="K395" s="564"/>
      <c r="L395" s="564"/>
      <c r="M395" s="564"/>
      <c r="N395" s="564"/>
      <c r="O395" s="565"/>
      <c r="P395" s="561" t="s">
        <v>40</v>
      </c>
      <c r="Q395" s="562"/>
      <c r="R395" s="562"/>
      <c r="S395" s="562"/>
      <c r="T395" s="562"/>
      <c r="U395" s="562"/>
      <c r="V395" s="563"/>
      <c r="W395" s="42" t="s">
        <v>39</v>
      </c>
      <c r="X395" s="43">
        <f>IFERROR(X386/H386,"0")+IFERROR(X387/H387,"0")+IFERROR(X388/H388,"0")+IFERROR(X389/H389,"0")+IFERROR(X390/H390,"0")+IFERROR(X391/H391,"0")+IFERROR(X392/H392,"0")+IFERROR(X393/H393,"0")+IFERROR(X394/H394,"0")</f>
        <v>13</v>
      </c>
      <c r="Y395" s="43">
        <f>IFERROR(Y386/H386,"0")+IFERROR(Y387/H387,"0")+IFERROR(Y388/H388,"0")+IFERROR(Y389/H389,"0")+IFERROR(Y390/H390,"0")+IFERROR(Y391/H391,"0")+IFERROR(Y392/H392,"0")+IFERROR(Y393/H393,"0")+IFERROR(Y394/H394,"0")</f>
        <v>13</v>
      </c>
      <c r="Z395" s="43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6.5259999999999999E-2</v>
      </c>
      <c r="AA395" s="67"/>
      <c r="AB395" s="67"/>
      <c r="AC395" s="67"/>
    </row>
    <row r="396" spans="1:68" x14ac:dyDescent="0.2">
      <c r="A396" s="564"/>
      <c r="B396" s="564"/>
      <c r="C396" s="564"/>
      <c r="D396" s="564"/>
      <c r="E396" s="564"/>
      <c r="F396" s="564"/>
      <c r="G396" s="564"/>
      <c r="H396" s="564"/>
      <c r="I396" s="564"/>
      <c r="J396" s="564"/>
      <c r="K396" s="564"/>
      <c r="L396" s="564"/>
      <c r="M396" s="564"/>
      <c r="N396" s="564"/>
      <c r="O396" s="565"/>
      <c r="P396" s="561" t="s">
        <v>40</v>
      </c>
      <c r="Q396" s="562"/>
      <c r="R396" s="562"/>
      <c r="S396" s="562"/>
      <c r="T396" s="562"/>
      <c r="U396" s="562"/>
      <c r="V396" s="563"/>
      <c r="W396" s="42" t="s">
        <v>0</v>
      </c>
      <c r="X396" s="43">
        <f>IFERROR(SUM(X386:X394),"0")</f>
        <v>27.3</v>
      </c>
      <c r="Y396" s="43">
        <f>IFERROR(SUM(Y386:Y394),"0")</f>
        <v>27.3</v>
      </c>
      <c r="Z396" s="42"/>
      <c r="AA396" s="67"/>
      <c r="AB396" s="67"/>
      <c r="AC396" s="67"/>
    </row>
    <row r="397" spans="1:68" ht="14.25" customHeight="1" x14ac:dyDescent="0.25">
      <c r="A397" s="556" t="s">
        <v>84</v>
      </c>
      <c r="B397" s="556"/>
      <c r="C397" s="556"/>
      <c r="D397" s="556"/>
      <c r="E397" s="556"/>
      <c r="F397" s="556"/>
      <c r="G397" s="556"/>
      <c r="H397" s="556"/>
      <c r="I397" s="556"/>
      <c r="J397" s="556"/>
      <c r="K397" s="556"/>
      <c r="L397" s="556"/>
      <c r="M397" s="556"/>
      <c r="N397" s="556"/>
      <c r="O397" s="556"/>
      <c r="P397" s="556"/>
      <c r="Q397" s="556"/>
      <c r="R397" s="556"/>
      <c r="S397" s="556"/>
      <c r="T397" s="556"/>
      <c r="U397" s="556"/>
      <c r="V397" s="556"/>
      <c r="W397" s="556"/>
      <c r="X397" s="556"/>
      <c r="Y397" s="556"/>
      <c r="Z397" s="556"/>
      <c r="AA397" s="66"/>
      <c r="AB397" s="66"/>
      <c r="AC397" s="80"/>
    </row>
    <row r="398" spans="1:68" ht="27" customHeight="1" x14ac:dyDescent="0.25">
      <c r="A398" s="63" t="s">
        <v>626</v>
      </c>
      <c r="B398" s="63" t="s">
        <v>627</v>
      </c>
      <c r="C398" s="36">
        <v>4301051284</v>
      </c>
      <c r="D398" s="557">
        <v>4607091384352</v>
      </c>
      <c r="E398" s="557"/>
      <c r="F398" s="62">
        <v>0.6</v>
      </c>
      <c r="G398" s="37">
        <v>4</v>
      </c>
      <c r="H398" s="62">
        <v>2.4</v>
      </c>
      <c r="I398" s="62">
        <v>2.6459999999999999</v>
      </c>
      <c r="J398" s="37">
        <v>132</v>
      </c>
      <c r="K398" s="37" t="s">
        <v>121</v>
      </c>
      <c r="L398" s="37" t="s">
        <v>122</v>
      </c>
      <c r="M398" s="38" t="s">
        <v>88</v>
      </c>
      <c r="N398" s="38"/>
      <c r="O398" s="37">
        <v>45</v>
      </c>
      <c r="P398" s="61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9"/>
      <c r="R398" s="559"/>
      <c r="S398" s="559"/>
      <c r="T398" s="560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45</v>
      </c>
      <c r="AB398" s="69" t="s">
        <v>45</v>
      </c>
      <c r="AC398" s="464" t="s">
        <v>628</v>
      </c>
      <c r="AG398" s="78"/>
      <c r="AJ398" s="84" t="s">
        <v>101</v>
      </c>
      <c r="AK398" s="84">
        <v>28.8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629</v>
      </c>
      <c r="B399" s="63" t="s">
        <v>630</v>
      </c>
      <c r="C399" s="36">
        <v>4301051431</v>
      </c>
      <c r="D399" s="557">
        <v>4607091389654</v>
      </c>
      <c r="E399" s="557"/>
      <c r="F399" s="62">
        <v>0.33</v>
      </c>
      <c r="G399" s="37">
        <v>6</v>
      </c>
      <c r="H399" s="62">
        <v>1.98</v>
      </c>
      <c r="I399" s="62">
        <v>2.238</v>
      </c>
      <c r="J399" s="37">
        <v>182</v>
      </c>
      <c r="K399" s="37" t="s">
        <v>89</v>
      </c>
      <c r="L399" s="37" t="s">
        <v>100</v>
      </c>
      <c r="M399" s="38" t="s">
        <v>88</v>
      </c>
      <c r="N399" s="38"/>
      <c r="O399" s="37">
        <v>45</v>
      </c>
      <c r="P399" s="61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9"/>
      <c r="R399" s="559"/>
      <c r="S399" s="559"/>
      <c r="T399" s="560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45</v>
      </c>
      <c r="AB399" s="69" t="s">
        <v>45</v>
      </c>
      <c r="AC399" s="466" t="s">
        <v>631</v>
      </c>
      <c r="AG399" s="78"/>
      <c r="AJ399" s="84" t="s">
        <v>101</v>
      </c>
      <c r="AK399" s="84">
        <v>27.72</v>
      </c>
      <c r="BB399" s="46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564"/>
      <c r="B400" s="564"/>
      <c r="C400" s="564"/>
      <c r="D400" s="564"/>
      <c r="E400" s="564"/>
      <c r="F400" s="564"/>
      <c r="G400" s="564"/>
      <c r="H400" s="564"/>
      <c r="I400" s="564"/>
      <c r="J400" s="564"/>
      <c r="K400" s="564"/>
      <c r="L400" s="564"/>
      <c r="M400" s="564"/>
      <c r="N400" s="564"/>
      <c r="O400" s="565"/>
      <c r="P400" s="561" t="s">
        <v>40</v>
      </c>
      <c r="Q400" s="562"/>
      <c r="R400" s="562"/>
      <c r="S400" s="562"/>
      <c r="T400" s="562"/>
      <c r="U400" s="562"/>
      <c r="V400" s="563"/>
      <c r="W400" s="42" t="s">
        <v>39</v>
      </c>
      <c r="X400" s="43">
        <f>IFERROR(X398/H398,"0")+IFERROR(X399/H399,"0")</f>
        <v>0</v>
      </c>
      <c r="Y400" s="43">
        <f>IFERROR(Y398/H398,"0")+IFERROR(Y399/H399,"0")</f>
        <v>0</v>
      </c>
      <c r="Z400" s="43">
        <f>IFERROR(IF(Z398="",0,Z398),"0")+IFERROR(IF(Z399="",0,Z399),"0")</f>
        <v>0</v>
      </c>
      <c r="AA400" s="67"/>
      <c r="AB400" s="67"/>
      <c r="AC400" s="67"/>
    </row>
    <row r="401" spans="1:68" x14ac:dyDescent="0.2">
      <c r="A401" s="564"/>
      <c r="B401" s="564"/>
      <c r="C401" s="564"/>
      <c r="D401" s="564"/>
      <c r="E401" s="564"/>
      <c r="F401" s="564"/>
      <c r="G401" s="564"/>
      <c r="H401" s="564"/>
      <c r="I401" s="564"/>
      <c r="J401" s="564"/>
      <c r="K401" s="564"/>
      <c r="L401" s="564"/>
      <c r="M401" s="564"/>
      <c r="N401" s="564"/>
      <c r="O401" s="565"/>
      <c r="P401" s="561" t="s">
        <v>40</v>
      </c>
      <c r="Q401" s="562"/>
      <c r="R401" s="562"/>
      <c r="S401" s="562"/>
      <c r="T401" s="562"/>
      <c r="U401" s="562"/>
      <c r="V401" s="563"/>
      <c r="W401" s="42" t="s">
        <v>0</v>
      </c>
      <c r="X401" s="43">
        <f>IFERROR(SUM(X398:X399),"0")</f>
        <v>0</v>
      </c>
      <c r="Y401" s="43">
        <f>IFERROR(SUM(Y398:Y399),"0")</f>
        <v>0</v>
      </c>
      <c r="Z401" s="42"/>
      <c r="AA401" s="67"/>
      <c r="AB401" s="67"/>
      <c r="AC401" s="67"/>
    </row>
    <row r="402" spans="1:68" ht="16.5" customHeight="1" x14ac:dyDescent="0.25">
      <c r="A402" s="572" t="s">
        <v>632</v>
      </c>
      <c r="B402" s="572"/>
      <c r="C402" s="572"/>
      <c r="D402" s="572"/>
      <c r="E402" s="572"/>
      <c r="F402" s="572"/>
      <c r="G402" s="572"/>
      <c r="H402" s="572"/>
      <c r="I402" s="572"/>
      <c r="J402" s="572"/>
      <c r="K402" s="572"/>
      <c r="L402" s="572"/>
      <c r="M402" s="572"/>
      <c r="N402" s="572"/>
      <c r="O402" s="572"/>
      <c r="P402" s="572"/>
      <c r="Q402" s="572"/>
      <c r="R402" s="572"/>
      <c r="S402" s="572"/>
      <c r="T402" s="572"/>
      <c r="U402" s="572"/>
      <c r="V402" s="572"/>
      <c r="W402" s="572"/>
      <c r="X402" s="572"/>
      <c r="Y402" s="572"/>
      <c r="Z402" s="572"/>
      <c r="AA402" s="65"/>
      <c r="AB402" s="65"/>
      <c r="AC402" s="79"/>
    </row>
    <row r="403" spans="1:68" ht="14.25" customHeight="1" x14ac:dyDescent="0.25">
      <c r="A403" s="556" t="s">
        <v>147</v>
      </c>
      <c r="B403" s="556"/>
      <c r="C403" s="556"/>
      <c r="D403" s="556"/>
      <c r="E403" s="556"/>
      <c r="F403" s="556"/>
      <c r="G403" s="556"/>
      <c r="H403" s="556"/>
      <c r="I403" s="556"/>
      <c r="J403" s="556"/>
      <c r="K403" s="556"/>
      <c r="L403" s="556"/>
      <c r="M403" s="556"/>
      <c r="N403" s="556"/>
      <c r="O403" s="556"/>
      <c r="P403" s="556"/>
      <c r="Q403" s="556"/>
      <c r="R403" s="556"/>
      <c r="S403" s="556"/>
      <c r="T403" s="556"/>
      <c r="U403" s="556"/>
      <c r="V403" s="556"/>
      <c r="W403" s="556"/>
      <c r="X403" s="556"/>
      <c r="Y403" s="556"/>
      <c r="Z403" s="556"/>
      <c r="AA403" s="66"/>
      <c r="AB403" s="66"/>
      <c r="AC403" s="80"/>
    </row>
    <row r="404" spans="1:68" ht="27" customHeight="1" x14ac:dyDescent="0.25">
      <c r="A404" s="63" t="s">
        <v>633</v>
      </c>
      <c r="B404" s="63" t="s">
        <v>634</v>
      </c>
      <c r="C404" s="36">
        <v>4301020319</v>
      </c>
      <c r="D404" s="557">
        <v>4680115885240</v>
      </c>
      <c r="E404" s="557"/>
      <c r="F404" s="62">
        <v>0.35</v>
      </c>
      <c r="G404" s="37">
        <v>6</v>
      </c>
      <c r="H404" s="62">
        <v>2.1</v>
      </c>
      <c r="I404" s="62">
        <v>2.31</v>
      </c>
      <c r="J404" s="37">
        <v>182</v>
      </c>
      <c r="K404" s="37" t="s">
        <v>89</v>
      </c>
      <c r="L404" s="37" t="s">
        <v>45</v>
      </c>
      <c r="M404" s="38" t="s">
        <v>82</v>
      </c>
      <c r="N404" s="38"/>
      <c r="O404" s="37">
        <v>40</v>
      </c>
      <c r="P404" s="6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9"/>
      <c r="R404" s="559"/>
      <c r="S404" s="559"/>
      <c r="T404" s="560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68" t="s">
        <v>635</v>
      </c>
      <c r="AG404" s="78"/>
      <c r="AJ404" s="84" t="s">
        <v>45</v>
      </c>
      <c r="AK404" s="84">
        <v>0</v>
      </c>
      <c r="BB404" s="469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564"/>
      <c r="B405" s="564"/>
      <c r="C405" s="564"/>
      <c r="D405" s="564"/>
      <c r="E405" s="564"/>
      <c r="F405" s="564"/>
      <c r="G405" s="564"/>
      <c r="H405" s="564"/>
      <c r="I405" s="564"/>
      <c r="J405" s="564"/>
      <c r="K405" s="564"/>
      <c r="L405" s="564"/>
      <c r="M405" s="564"/>
      <c r="N405" s="564"/>
      <c r="O405" s="565"/>
      <c r="P405" s="561" t="s">
        <v>40</v>
      </c>
      <c r="Q405" s="562"/>
      <c r="R405" s="562"/>
      <c r="S405" s="562"/>
      <c r="T405" s="562"/>
      <c r="U405" s="562"/>
      <c r="V405" s="563"/>
      <c r="W405" s="42" t="s">
        <v>39</v>
      </c>
      <c r="X405" s="43">
        <f>IFERROR(X404/H404,"0")</f>
        <v>0</v>
      </c>
      <c r="Y405" s="43">
        <f>IFERROR(Y404/H404,"0")</f>
        <v>0</v>
      </c>
      <c r="Z405" s="43">
        <f>IFERROR(IF(Z404="",0,Z404),"0")</f>
        <v>0</v>
      </c>
      <c r="AA405" s="67"/>
      <c r="AB405" s="67"/>
      <c r="AC405" s="67"/>
    </row>
    <row r="406" spans="1:68" x14ac:dyDescent="0.2">
      <c r="A406" s="564"/>
      <c r="B406" s="564"/>
      <c r="C406" s="564"/>
      <c r="D406" s="564"/>
      <c r="E406" s="564"/>
      <c r="F406" s="564"/>
      <c r="G406" s="564"/>
      <c r="H406" s="564"/>
      <c r="I406" s="564"/>
      <c r="J406" s="564"/>
      <c r="K406" s="564"/>
      <c r="L406" s="564"/>
      <c r="M406" s="564"/>
      <c r="N406" s="564"/>
      <c r="O406" s="565"/>
      <c r="P406" s="561" t="s">
        <v>40</v>
      </c>
      <c r="Q406" s="562"/>
      <c r="R406" s="562"/>
      <c r="S406" s="562"/>
      <c r="T406" s="562"/>
      <c r="U406" s="562"/>
      <c r="V406" s="563"/>
      <c r="W406" s="42" t="s">
        <v>0</v>
      </c>
      <c r="X406" s="43">
        <f>IFERROR(SUM(X404:X404),"0")</f>
        <v>0</v>
      </c>
      <c r="Y406" s="43">
        <f>IFERROR(SUM(Y404:Y404),"0")</f>
        <v>0</v>
      </c>
      <c r="Z406" s="42"/>
      <c r="AA406" s="67"/>
      <c r="AB406" s="67"/>
      <c r="AC406" s="67"/>
    </row>
    <row r="407" spans="1:68" ht="14.25" customHeight="1" x14ac:dyDescent="0.25">
      <c r="A407" s="556" t="s">
        <v>78</v>
      </c>
      <c r="B407" s="556"/>
      <c r="C407" s="556"/>
      <c r="D407" s="556"/>
      <c r="E407" s="556"/>
      <c r="F407" s="556"/>
      <c r="G407" s="556"/>
      <c r="H407" s="556"/>
      <c r="I407" s="556"/>
      <c r="J407" s="556"/>
      <c r="K407" s="556"/>
      <c r="L407" s="556"/>
      <c r="M407" s="556"/>
      <c r="N407" s="556"/>
      <c r="O407" s="556"/>
      <c r="P407" s="556"/>
      <c r="Q407" s="556"/>
      <c r="R407" s="556"/>
      <c r="S407" s="556"/>
      <c r="T407" s="556"/>
      <c r="U407" s="556"/>
      <c r="V407" s="556"/>
      <c r="W407" s="556"/>
      <c r="X407" s="556"/>
      <c r="Y407" s="556"/>
      <c r="Z407" s="556"/>
      <c r="AA407" s="66"/>
      <c r="AB407" s="66"/>
      <c r="AC407" s="80"/>
    </row>
    <row r="408" spans="1:68" ht="27" customHeight="1" x14ac:dyDescent="0.25">
      <c r="A408" s="63" t="s">
        <v>636</v>
      </c>
      <c r="B408" s="63" t="s">
        <v>637</v>
      </c>
      <c r="C408" s="36">
        <v>4301031403</v>
      </c>
      <c r="D408" s="557">
        <v>4680115886094</v>
      </c>
      <c r="E408" s="557"/>
      <c r="F408" s="62">
        <v>0.9</v>
      </c>
      <c r="G408" s="37">
        <v>6</v>
      </c>
      <c r="H408" s="62">
        <v>5.4</v>
      </c>
      <c r="I408" s="62">
        <v>5.61</v>
      </c>
      <c r="J408" s="37">
        <v>132</v>
      </c>
      <c r="K408" s="37" t="s">
        <v>121</v>
      </c>
      <c r="L408" s="37" t="s">
        <v>122</v>
      </c>
      <c r="M408" s="38" t="s">
        <v>116</v>
      </c>
      <c r="N408" s="38"/>
      <c r="O408" s="37">
        <v>50</v>
      </c>
      <c r="P408" s="6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9"/>
      <c r="R408" s="559"/>
      <c r="S408" s="559"/>
      <c r="T408" s="560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IFERROR(IF(Y408=0,"",ROUNDUP(Y408/H408,0)*0.00902),"")</f>
        <v/>
      </c>
      <c r="AA408" s="68" t="s">
        <v>45</v>
      </c>
      <c r="AB408" s="69" t="s">
        <v>45</v>
      </c>
      <c r="AC408" s="470" t="s">
        <v>638</v>
      </c>
      <c r="AG408" s="78"/>
      <c r="AJ408" s="84" t="s">
        <v>101</v>
      </c>
      <c r="AK408" s="84">
        <v>64.8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639</v>
      </c>
      <c r="B409" s="63" t="s">
        <v>640</v>
      </c>
      <c r="C409" s="36">
        <v>4301031363</v>
      </c>
      <c r="D409" s="557">
        <v>4607091389425</v>
      </c>
      <c r="E409" s="557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60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9"/>
      <c r="R409" s="559"/>
      <c r="S409" s="559"/>
      <c r="T409" s="560"/>
      <c r="U409" s="39" t="s">
        <v>45</v>
      </c>
      <c r="V409" s="39" t="s">
        <v>45</v>
      </c>
      <c r="W409" s="40" t="s">
        <v>0</v>
      </c>
      <c r="X409" s="58">
        <v>10.5</v>
      </c>
      <c r="Y409" s="55">
        <f>IFERROR(IF(X409="",0,CEILING((X409/$H409),1)*$H409),"")</f>
        <v>10.5</v>
      </c>
      <c r="Z409" s="41">
        <f>IFERROR(IF(Y409=0,"",ROUNDUP(Y409/H409,0)*0.00502),"")</f>
        <v>2.5100000000000001E-2</v>
      </c>
      <c r="AA409" s="68" t="s">
        <v>45</v>
      </c>
      <c r="AB409" s="69" t="s">
        <v>45</v>
      </c>
      <c r="AC409" s="472" t="s">
        <v>641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11.149999999999999</v>
      </c>
      <c r="BN409" s="78">
        <f>IFERROR(Y409*I409/H409,"0")</f>
        <v>11.149999999999999</v>
      </c>
      <c r="BO409" s="78">
        <f>IFERROR(1/J409*(X409/H409),"0")</f>
        <v>2.1367521367521368E-2</v>
      </c>
      <c r="BP409" s="78">
        <f>IFERROR(1/J409*(Y409/H409),"0")</f>
        <v>2.1367521367521368E-2</v>
      </c>
    </row>
    <row r="410" spans="1:68" ht="27" customHeight="1" x14ac:dyDescent="0.25">
      <c r="A410" s="63" t="s">
        <v>642</v>
      </c>
      <c r="B410" s="63" t="s">
        <v>643</v>
      </c>
      <c r="C410" s="36">
        <v>4301031373</v>
      </c>
      <c r="D410" s="557">
        <v>4680115880771</v>
      </c>
      <c r="E410" s="557"/>
      <c r="F410" s="62">
        <v>0.28000000000000003</v>
      </c>
      <c r="G410" s="37">
        <v>6</v>
      </c>
      <c r="H410" s="62">
        <v>1.68</v>
      </c>
      <c r="I410" s="62">
        <v>1.81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6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9"/>
      <c r="R410" s="559"/>
      <c r="S410" s="559"/>
      <c r="T410" s="560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644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645</v>
      </c>
      <c r="B411" s="63" t="s">
        <v>646</v>
      </c>
      <c r="C411" s="36">
        <v>4301031359</v>
      </c>
      <c r="D411" s="557">
        <v>4607091389500</v>
      </c>
      <c r="E411" s="557"/>
      <c r="F411" s="62">
        <v>0.35</v>
      </c>
      <c r="G411" s="37">
        <v>6</v>
      </c>
      <c r="H411" s="62">
        <v>2.1</v>
      </c>
      <c r="I411" s="62">
        <v>2.23</v>
      </c>
      <c r="J411" s="37">
        <v>234</v>
      </c>
      <c r="K411" s="37" t="s">
        <v>83</v>
      </c>
      <c r="L411" s="37" t="s">
        <v>45</v>
      </c>
      <c r="M411" s="38" t="s">
        <v>82</v>
      </c>
      <c r="N411" s="38"/>
      <c r="O411" s="37">
        <v>50</v>
      </c>
      <c r="P411" s="6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9"/>
      <c r="R411" s="559"/>
      <c r="S411" s="559"/>
      <c r="T411" s="560"/>
      <c r="U411" s="39" t="s">
        <v>45</v>
      </c>
      <c r="V411" s="39" t="s">
        <v>45</v>
      </c>
      <c r="W411" s="40" t="s">
        <v>0</v>
      </c>
      <c r="X411" s="58">
        <v>10.5</v>
      </c>
      <c r="Y411" s="55">
        <f>IFERROR(IF(X411="",0,CEILING((X411/$H411),1)*$H411),"")</f>
        <v>10.5</v>
      </c>
      <c r="Z411" s="41">
        <f>IFERROR(IF(Y411=0,"",ROUNDUP(Y411/H411,0)*0.00502),"")</f>
        <v>2.5100000000000001E-2</v>
      </c>
      <c r="AA411" s="68" t="s">
        <v>45</v>
      </c>
      <c r="AB411" s="69" t="s">
        <v>45</v>
      </c>
      <c r="AC411" s="476" t="s">
        <v>644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11.149999999999999</v>
      </c>
      <c r="BN411" s="78">
        <f>IFERROR(Y411*I411/H411,"0")</f>
        <v>11.149999999999999</v>
      </c>
      <c r="BO411" s="78">
        <f>IFERROR(1/J411*(X411/H411),"0")</f>
        <v>2.1367521367521368E-2</v>
      </c>
      <c r="BP411" s="78">
        <f>IFERROR(1/J411*(Y411/H411),"0")</f>
        <v>2.1367521367521368E-2</v>
      </c>
    </row>
    <row r="412" spans="1:68" x14ac:dyDescent="0.2">
      <c r="A412" s="564"/>
      <c r="B412" s="564"/>
      <c r="C412" s="564"/>
      <c r="D412" s="564"/>
      <c r="E412" s="564"/>
      <c r="F412" s="564"/>
      <c r="G412" s="564"/>
      <c r="H412" s="564"/>
      <c r="I412" s="564"/>
      <c r="J412" s="564"/>
      <c r="K412" s="564"/>
      <c r="L412" s="564"/>
      <c r="M412" s="564"/>
      <c r="N412" s="564"/>
      <c r="O412" s="565"/>
      <c r="P412" s="561" t="s">
        <v>40</v>
      </c>
      <c r="Q412" s="562"/>
      <c r="R412" s="562"/>
      <c r="S412" s="562"/>
      <c r="T412" s="562"/>
      <c r="U412" s="562"/>
      <c r="V412" s="563"/>
      <c r="W412" s="42" t="s">
        <v>39</v>
      </c>
      <c r="X412" s="43">
        <f>IFERROR(X408/H408,"0")+IFERROR(X409/H409,"0")+IFERROR(X410/H410,"0")+IFERROR(X411/H411,"0")</f>
        <v>10</v>
      </c>
      <c r="Y412" s="43">
        <f>IFERROR(Y408/H408,"0")+IFERROR(Y409/H409,"0")+IFERROR(Y410/H410,"0")+IFERROR(Y411/H411,"0")</f>
        <v>10</v>
      </c>
      <c r="Z412" s="43">
        <f>IFERROR(IF(Z408="",0,Z408),"0")+IFERROR(IF(Z409="",0,Z409),"0")+IFERROR(IF(Z410="",0,Z410),"0")+IFERROR(IF(Z411="",0,Z411),"0")</f>
        <v>5.0200000000000002E-2</v>
      </c>
      <c r="AA412" s="67"/>
      <c r="AB412" s="67"/>
      <c r="AC412" s="67"/>
    </row>
    <row r="413" spans="1:68" x14ac:dyDescent="0.2">
      <c r="A413" s="564"/>
      <c r="B413" s="564"/>
      <c r="C413" s="564"/>
      <c r="D413" s="564"/>
      <c r="E413" s="564"/>
      <c r="F413" s="564"/>
      <c r="G413" s="564"/>
      <c r="H413" s="564"/>
      <c r="I413" s="564"/>
      <c r="J413" s="564"/>
      <c r="K413" s="564"/>
      <c r="L413" s="564"/>
      <c r="M413" s="564"/>
      <c r="N413" s="564"/>
      <c r="O413" s="565"/>
      <c r="P413" s="561" t="s">
        <v>40</v>
      </c>
      <c r="Q413" s="562"/>
      <c r="R413" s="562"/>
      <c r="S413" s="562"/>
      <c r="T413" s="562"/>
      <c r="U413" s="562"/>
      <c r="V413" s="563"/>
      <c r="W413" s="42" t="s">
        <v>0</v>
      </c>
      <c r="X413" s="43">
        <f>IFERROR(SUM(X408:X411),"0")</f>
        <v>21</v>
      </c>
      <c r="Y413" s="43">
        <f>IFERROR(SUM(Y408:Y411),"0")</f>
        <v>21</v>
      </c>
      <c r="Z413" s="42"/>
      <c r="AA413" s="67"/>
      <c r="AB413" s="67"/>
      <c r="AC413" s="67"/>
    </row>
    <row r="414" spans="1:68" ht="16.5" customHeight="1" x14ac:dyDescent="0.25">
      <c r="A414" s="572" t="s">
        <v>647</v>
      </c>
      <c r="B414" s="572"/>
      <c r="C414" s="572"/>
      <c r="D414" s="572"/>
      <c r="E414" s="572"/>
      <c r="F414" s="572"/>
      <c r="G414" s="572"/>
      <c r="H414" s="572"/>
      <c r="I414" s="572"/>
      <c r="J414" s="572"/>
      <c r="K414" s="572"/>
      <c r="L414" s="572"/>
      <c r="M414" s="572"/>
      <c r="N414" s="572"/>
      <c r="O414" s="572"/>
      <c r="P414" s="572"/>
      <c r="Q414" s="572"/>
      <c r="R414" s="572"/>
      <c r="S414" s="572"/>
      <c r="T414" s="572"/>
      <c r="U414" s="572"/>
      <c r="V414" s="572"/>
      <c r="W414" s="572"/>
      <c r="X414" s="572"/>
      <c r="Y414" s="572"/>
      <c r="Z414" s="572"/>
      <c r="AA414" s="65"/>
      <c r="AB414" s="65"/>
      <c r="AC414" s="79"/>
    </row>
    <row r="415" spans="1:68" ht="14.25" customHeight="1" x14ac:dyDescent="0.25">
      <c r="A415" s="556" t="s">
        <v>78</v>
      </c>
      <c r="B415" s="556"/>
      <c r="C415" s="556"/>
      <c r="D415" s="556"/>
      <c r="E415" s="556"/>
      <c r="F415" s="556"/>
      <c r="G415" s="556"/>
      <c r="H415" s="556"/>
      <c r="I415" s="556"/>
      <c r="J415" s="556"/>
      <c r="K415" s="556"/>
      <c r="L415" s="556"/>
      <c r="M415" s="556"/>
      <c r="N415" s="556"/>
      <c r="O415" s="556"/>
      <c r="P415" s="556"/>
      <c r="Q415" s="556"/>
      <c r="R415" s="556"/>
      <c r="S415" s="556"/>
      <c r="T415" s="556"/>
      <c r="U415" s="556"/>
      <c r="V415" s="556"/>
      <c r="W415" s="556"/>
      <c r="X415" s="556"/>
      <c r="Y415" s="556"/>
      <c r="Z415" s="556"/>
      <c r="AA415" s="66"/>
      <c r="AB415" s="66"/>
      <c r="AC415" s="80"/>
    </row>
    <row r="416" spans="1:68" ht="27" customHeight="1" x14ac:dyDescent="0.25">
      <c r="A416" s="63" t="s">
        <v>648</v>
      </c>
      <c r="B416" s="63" t="s">
        <v>649</v>
      </c>
      <c r="C416" s="36">
        <v>4301031347</v>
      </c>
      <c r="D416" s="557">
        <v>4680115885110</v>
      </c>
      <c r="E416" s="557"/>
      <c r="F416" s="62">
        <v>0.2</v>
      </c>
      <c r="G416" s="37">
        <v>6</v>
      </c>
      <c r="H416" s="62">
        <v>1.2</v>
      </c>
      <c r="I416" s="62">
        <v>2.1</v>
      </c>
      <c r="J416" s="37">
        <v>182</v>
      </c>
      <c r="K416" s="37" t="s">
        <v>89</v>
      </c>
      <c r="L416" s="37" t="s">
        <v>45</v>
      </c>
      <c r="M416" s="38" t="s">
        <v>82</v>
      </c>
      <c r="N416" s="38"/>
      <c r="O416" s="37">
        <v>50</v>
      </c>
      <c r="P416" s="6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9"/>
      <c r="R416" s="559"/>
      <c r="S416" s="559"/>
      <c r="T416" s="560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45</v>
      </c>
      <c r="AB416" s="69" t="s">
        <v>45</v>
      </c>
      <c r="AC416" s="478" t="s">
        <v>650</v>
      </c>
      <c r="AG416" s="78"/>
      <c r="AJ416" s="84" t="s">
        <v>45</v>
      </c>
      <c r="AK416" s="84">
        <v>0</v>
      </c>
      <c r="BB416" s="47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564"/>
      <c r="B417" s="564"/>
      <c r="C417" s="564"/>
      <c r="D417" s="564"/>
      <c r="E417" s="564"/>
      <c r="F417" s="564"/>
      <c r="G417" s="564"/>
      <c r="H417" s="564"/>
      <c r="I417" s="564"/>
      <c r="J417" s="564"/>
      <c r="K417" s="564"/>
      <c r="L417" s="564"/>
      <c r="M417" s="564"/>
      <c r="N417" s="564"/>
      <c r="O417" s="565"/>
      <c r="P417" s="561" t="s">
        <v>40</v>
      </c>
      <c r="Q417" s="562"/>
      <c r="R417" s="562"/>
      <c r="S417" s="562"/>
      <c r="T417" s="562"/>
      <c r="U417" s="562"/>
      <c r="V417" s="563"/>
      <c r="W417" s="42" t="s">
        <v>39</v>
      </c>
      <c r="X417" s="43">
        <f>IFERROR(X416/H416,"0")</f>
        <v>0</v>
      </c>
      <c r="Y417" s="43">
        <f>IFERROR(Y416/H416,"0")</f>
        <v>0</v>
      </c>
      <c r="Z417" s="43">
        <f>IFERROR(IF(Z416="",0,Z416),"0")</f>
        <v>0</v>
      </c>
      <c r="AA417" s="67"/>
      <c r="AB417" s="67"/>
      <c r="AC417" s="67"/>
    </row>
    <row r="418" spans="1:68" x14ac:dyDescent="0.2">
      <c r="A418" s="564"/>
      <c r="B418" s="564"/>
      <c r="C418" s="564"/>
      <c r="D418" s="564"/>
      <c r="E418" s="564"/>
      <c r="F418" s="564"/>
      <c r="G418" s="564"/>
      <c r="H418" s="564"/>
      <c r="I418" s="564"/>
      <c r="J418" s="564"/>
      <c r="K418" s="564"/>
      <c r="L418" s="564"/>
      <c r="M418" s="564"/>
      <c r="N418" s="564"/>
      <c r="O418" s="565"/>
      <c r="P418" s="561" t="s">
        <v>40</v>
      </c>
      <c r="Q418" s="562"/>
      <c r="R418" s="562"/>
      <c r="S418" s="562"/>
      <c r="T418" s="562"/>
      <c r="U418" s="562"/>
      <c r="V418" s="563"/>
      <c r="W418" s="42" t="s">
        <v>0</v>
      </c>
      <c r="X418" s="43">
        <f>IFERROR(SUM(X416:X416),"0")</f>
        <v>0</v>
      </c>
      <c r="Y418" s="43">
        <f>IFERROR(SUM(Y416:Y416),"0")</f>
        <v>0</v>
      </c>
      <c r="Z418" s="42"/>
      <c r="AA418" s="67"/>
      <c r="AB418" s="67"/>
      <c r="AC418" s="67"/>
    </row>
    <row r="419" spans="1:68" ht="27.75" customHeight="1" x14ac:dyDescent="0.2">
      <c r="A419" s="581" t="s">
        <v>651</v>
      </c>
      <c r="B419" s="581"/>
      <c r="C419" s="581"/>
      <c r="D419" s="581"/>
      <c r="E419" s="581"/>
      <c r="F419" s="581"/>
      <c r="G419" s="581"/>
      <c r="H419" s="581"/>
      <c r="I419" s="581"/>
      <c r="J419" s="581"/>
      <c r="K419" s="581"/>
      <c r="L419" s="581"/>
      <c r="M419" s="581"/>
      <c r="N419" s="581"/>
      <c r="O419" s="581"/>
      <c r="P419" s="581"/>
      <c r="Q419" s="581"/>
      <c r="R419" s="581"/>
      <c r="S419" s="581"/>
      <c r="T419" s="581"/>
      <c r="U419" s="581"/>
      <c r="V419" s="581"/>
      <c r="W419" s="581"/>
      <c r="X419" s="581"/>
      <c r="Y419" s="581"/>
      <c r="Z419" s="581"/>
      <c r="AA419" s="54"/>
      <c r="AB419" s="54"/>
      <c r="AC419" s="54"/>
    </row>
    <row r="420" spans="1:68" ht="16.5" customHeight="1" x14ac:dyDescent="0.25">
      <c r="A420" s="572" t="s">
        <v>651</v>
      </c>
      <c r="B420" s="572"/>
      <c r="C420" s="572"/>
      <c r="D420" s="572"/>
      <c r="E420" s="572"/>
      <c r="F420" s="572"/>
      <c r="G420" s="572"/>
      <c r="H420" s="572"/>
      <c r="I420" s="572"/>
      <c r="J420" s="572"/>
      <c r="K420" s="572"/>
      <c r="L420" s="572"/>
      <c r="M420" s="572"/>
      <c r="N420" s="572"/>
      <c r="O420" s="572"/>
      <c r="P420" s="572"/>
      <c r="Q420" s="572"/>
      <c r="R420" s="572"/>
      <c r="S420" s="572"/>
      <c r="T420" s="572"/>
      <c r="U420" s="572"/>
      <c r="V420" s="572"/>
      <c r="W420" s="572"/>
      <c r="X420" s="572"/>
      <c r="Y420" s="572"/>
      <c r="Z420" s="572"/>
      <c r="AA420" s="65"/>
      <c r="AB420" s="65"/>
      <c r="AC420" s="79"/>
    </row>
    <row r="421" spans="1:68" ht="14.25" customHeight="1" x14ac:dyDescent="0.25">
      <c r="A421" s="556" t="s">
        <v>112</v>
      </c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56"/>
      <c r="P421" s="556"/>
      <c r="Q421" s="556"/>
      <c r="R421" s="556"/>
      <c r="S421" s="556"/>
      <c r="T421" s="556"/>
      <c r="U421" s="556"/>
      <c r="V421" s="556"/>
      <c r="W421" s="556"/>
      <c r="X421" s="556"/>
      <c r="Y421" s="556"/>
      <c r="Z421" s="556"/>
      <c r="AA421" s="66"/>
      <c r="AB421" s="66"/>
      <c r="AC421" s="80"/>
    </row>
    <row r="422" spans="1:68" ht="27" customHeight="1" x14ac:dyDescent="0.25">
      <c r="A422" s="63" t="s">
        <v>652</v>
      </c>
      <c r="B422" s="63" t="s">
        <v>653</v>
      </c>
      <c r="C422" s="36">
        <v>4301011795</v>
      </c>
      <c r="D422" s="557">
        <v>4607091389067</v>
      </c>
      <c r="E422" s="557"/>
      <c r="F422" s="62">
        <v>0.88</v>
      </c>
      <c r="G422" s="37">
        <v>6</v>
      </c>
      <c r="H422" s="62">
        <v>5.28</v>
      </c>
      <c r="I422" s="62">
        <v>5.64</v>
      </c>
      <c r="J422" s="37">
        <v>104</v>
      </c>
      <c r="K422" s="37" t="s">
        <v>117</v>
      </c>
      <c r="L422" s="37" t="s">
        <v>118</v>
      </c>
      <c r="M422" s="38" t="s">
        <v>116</v>
      </c>
      <c r="N422" s="38"/>
      <c r="O422" s="37">
        <v>60</v>
      </c>
      <c r="P422" s="6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9"/>
      <c r="R422" s="559"/>
      <c r="S422" s="559"/>
      <c r="T422" s="560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ref="Y422:Y432" si="47">IFERROR(IF(X422="",0,CEILING((X422/$H422),1)*$H422),"")</f>
        <v>0</v>
      </c>
      <c r="Z422" s="41" t="str">
        <f t="shared" ref="Z422:Z427" si="48">IFERROR(IF(Y422=0,"",ROUNDUP(Y422/H422,0)*0.01196),"")</f>
        <v/>
      </c>
      <c r="AA422" s="68" t="s">
        <v>45</v>
      </c>
      <c r="AB422" s="69" t="s">
        <v>45</v>
      </c>
      <c r="AC422" s="480" t="s">
        <v>115</v>
      </c>
      <c r="AG422" s="78"/>
      <c r="AJ422" s="84" t="s">
        <v>101</v>
      </c>
      <c r="AK422" s="84">
        <v>42.24</v>
      </c>
      <c r="BB422" s="481" t="s">
        <v>66</v>
      </c>
      <c r="BM422" s="78">
        <f t="shared" ref="BM422:BM432" si="49">IFERROR(X422*I422/H422,"0")</f>
        <v>0</v>
      </c>
      <c r="BN422" s="78">
        <f t="shared" ref="BN422:BN432" si="50">IFERROR(Y422*I422/H422,"0")</f>
        <v>0</v>
      </c>
      <c r="BO422" s="78">
        <f t="shared" ref="BO422:BO432" si="51">IFERROR(1/J422*(X422/H422),"0")</f>
        <v>0</v>
      </c>
      <c r="BP422" s="78">
        <f t="shared" ref="BP422:BP432" si="52">IFERROR(1/J422*(Y422/H422),"0")</f>
        <v>0</v>
      </c>
    </row>
    <row r="423" spans="1:68" ht="27" customHeight="1" x14ac:dyDescent="0.25">
      <c r="A423" s="63" t="s">
        <v>654</v>
      </c>
      <c r="B423" s="63" t="s">
        <v>655</v>
      </c>
      <c r="C423" s="36">
        <v>4301011961</v>
      </c>
      <c r="D423" s="557">
        <v>4680115885271</v>
      </c>
      <c r="E423" s="557"/>
      <c r="F423" s="62">
        <v>0.88</v>
      </c>
      <c r="G423" s="37">
        <v>6</v>
      </c>
      <c r="H423" s="62">
        <v>5.28</v>
      </c>
      <c r="I423" s="62">
        <v>5.64</v>
      </c>
      <c r="J423" s="37">
        <v>104</v>
      </c>
      <c r="K423" s="37" t="s">
        <v>117</v>
      </c>
      <c r="L423" s="37" t="s">
        <v>118</v>
      </c>
      <c r="M423" s="38" t="s">
        <v>116</v>
      </c>
      <c r="N423" s="38"/>
      <c r="O423" s="37">
        <v>60</v>
      </c>
      <c r="P423" s="6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9"/>
      <c r="R423" s="559"/>
      <c r="S423" s="559"/>
      <c r="T423" s="560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656</v>
      </c>
      <c r="AG423" s="78"/>
      <c r="AJ423" s="84" t="s">
        <v>101</v>
      </c>
      <c r="AK423" s="84">
        <v>42.24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657</v>
      </c>
      <c r="B424" s="63" t="s">
        <v>658</v>
      </c>
      <c r="C424" s="36">
        <v>4301011376</v>
      </c>
      <c r="D424" s="557">
        <v>4680115885226</v>
      </c>
      <c r="E424" s="557"/>
      <c r="F424" s="62">
        <v>0.88</v>
      </c>
      <c r="G424" s="37">
        <v>6</v>
      </c>
      <c r="H424" s="62">
        <v>5.28</v>
      </c>
      <c r="I424" s="62">
        <v>5.64</v>
      </c>
      <c r="J424" s="37">
        <v>104</v>
      </c>
      <c r="K424" s="37" t="s">
        <v>117</v>
      </c>
      <c r="L424" s="37" t="s">
        <v>118</v>
      </c>
      <c r="M424" s="38" t="s">
        <v>88</v>
      </c>
      <c r="N424" s="38"/>
      <c r="O424" s="37">
        <v>60</v>
      </c>
      <c r="P424" s="6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9"/>
      <c r="R424" s="559"/>
      <c r="S424" s="559"/>
      <c r="T424" s="560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659</v>
      </c>
      <c r="AG424" s="78"/>
      <c r="AJ424" s="84" t="s">
        <v>101</v>
      </c>
      <c r="AK424" s="84">
        <v>42.24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27" customHeight="1" x14ac:dyDescent="0.25">
      <c r="A425" s="63" t="s">
        <v>660</v>
      </c>
      <c r="B425" s="63" t="s">
        <v>661</v>
      </c>
      <c r="C425" s="36">
        <v>4301012145</v>
      </c>
      <c r="D425" s="557">
        <v>4607091383522</v>
      </c>
      <c r="E425" s="557"/>
      <c r="F425" s="62">
        <v>0.88</v>
      </c>
      <c r="G425" s="37">
        <v>6</v>
      </c>
      <c r="H425" s="62">
        <v>5.28</v>
      </c>
      <c r="I425" s="62">
        <v>5.64</v>
      </c>
      <c r="J425" s="37">
        <v>104</v>
      </c>
      <c r="K425" s="37" t="s">
        <v>117</v>
      </c>
      <c r="L425" s="37" t="s">
        <v>45</v>
      </c>
      <c r="M425" s="38" t="s">
        <v>116</v>
      </c>
      <c r="N425" s="38"/>
      <c r="O425" s="37">
        <v>60</v>
      </c>
      <c r="P425" s="60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9"/>
      <c r="R425" s="559"/>
      <c r="S425" s="559"/>
      <c r="T425" s="560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662</v>
      </c>
      <c r="AG425" s="78"/>
      <c r="AJ425" s="84" t="s">
        <v>45</v>
      </c>
      <c r="AK425" s="84">
        <v>0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16.5" customHeight="1" x14ac:dyDescent="0.25">
      <c r="A426" s="63" t="s">
        <v>663</v>
      </c>
      <c r="B426" s="63" t="s">
        <v>664</v>
      </c>
      <c r="C426" s="36">
        <v>4301011774</v>
      </c>
      <c r="D426" s="557">
        <v>4680115884502</v>
      </c>
      <c r="E426" s="557"/>
      <c r="F426" s="62">
        <v>0.88</v>
      </c>
      <c r="G426" s="37">
        <v>6</v>
      </c>
      <c r="H426" s="62">
        <v>5.28</v>
      </c>
      <c r="I426" s="62">
        <v>5.64</v>
      </c>
      <c r="J426" s="37">
        <v>104</v>
      </c>
      <c r="K426" s="37" t="s">
        <v>117</v>
      </c>
      <c r="L426" s="37" t="s">
        <v>45</v>
      </c>
      <c r="M426" s="38" t="s">
        <v>116</v>
      </c>
      <c r="N426" s="38"/>
      <c r="O426" s="37">
        <v>60</v>
      </c>
      <c r="P426" s="5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9"/>
      <c r="R426" s="559"/>
      <c r="S426" s="559"/>
      <c r="T426" s="560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665</v>
      </c>
      <c r="AG426" s="78"/>
      <c r="AJ426" s="84" t="s">
        <v>45</v>
      </c>
      <c r="AK426" s="84">
        <v>0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666</v>
      </c>
      <c r="B427" s="63" t="s">
        <v>667</v>
      </c>
      <c r="C427" s="36">
        <v>4301011771</v>
      </c>
      <c r="D427" s="557">
        <v>4607091389104</v>
      </c>
      <c r="E427" s="557"/>
      <c r="F427" s="62">
        <v>0.88</v>
      </c>
      <c r="G427" s="37">
        <v>6</v>
      </c>
      <c r="H427" s="62">
        <v>5.28</v>
      </c>
      <c r="I427" s="62">
        <v>5.64</v>
      </c>
      <c r="J427" s="37">
        <v>104</v>
      </c>
      <c r="K427" s="37" t="s">
        <v>117</v>
      </c>
      <c r="L427" s="37" t="s">
        <v>118</v>
      </c>
      <c r="M427" s="38" t="s">
        <v>116</v>
      </c>
      <c r="N427" s="38"/>
      <c r="O427" s="37">
        <v>60</v>
      </c>
      <c r="P427" s="5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9"/>
      <c r="R427" s="559"/>
      <c r="S427" s="559"/>
      <c r="T427" s="560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668</v>
      </c>
      <c r="AG427" s="78"/>
      <c r="AJ427" s="84" t="s">
        <v>101</v>
      </c>
      <c r="AK427" s="84">
        <v>42.24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669</v>
      </c>
      <c r="B428" s="63" t="s">
        <v>670</v>
      </c>
      <c r="C428" s="36">
        <v>4301012125</v>
      </c>
      <c r="D428" s="557">
        <v>4680115886391</v>
      </c>
      <c r="E428" s="557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89</v>
      </c>
      <c r="L428" s="37" t="s">
        <v>45</v>
      </c>
      <c r="M428" s="38" t="s">
        <v>88</v>
      </c>
      <c r="N428" s="38"/>
      <c r="O428" s="37">
        <v>60</v>
      </c>
      <c r="P428" s="6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9"/>
      <c r="R428" s="559"/>
      <c r="S428" s="559"/>
      <c r="T428" s="560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671</v>
      </c>
      <c r="B429" s="63" t="s">
        <v>672</v>
      </c>
      <c r="C429" s="36">
        <v>4301012035</v>
      </c>
      <c r="D429" s="557">
        <v>4680115880603</v>
      </c>
      <c r="E429" s="557"/>
      <c r="F429" s="62">
        <v>0.6</v>
      </c>
      <c r="G429" s="37">
        <v>8</v>
      </c>
      <c r="H429" s="62">
        <v>4.8</v>
      </c>
      <c r="I429" s="62">
        <v>6.93</v>
      </c>
      <c r="J429" s="37">
        <v>132</v>
      </c>
      <c r="K429" s="37" t="s">
        <v>121</v>
      </c>
      <c r="L429" s="37" t="s">
        <v>45</v>
      </c>
      <c r="M429" s="38" t="s">
        <v>116</v>
      </c>
      <c r="N429" s="38"/>
      <c r="O429" s="37">
        <v>60</v>
      </c>
      <c r="P429" s="6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9"/>
      <c r="R429" s="559"/>
      <c r="S429" s="559"/>
      <c r="T429" s="560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673</v>
      </c>
      <c r="B430" s="63" t="s">
        <v>674</v>
      </c>
      <c r="C430" s="36">
        <v>4301012036</v>
      </c>
      <c r="D430" s="557">
        <v>4680115882782</v>
      </c>
      <c r="E430" s="557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121</v>
      </c>
      <c r="L430" s="37" t="s">
        <v>45</v>
      </c>
      <c r="M430" s="38" t="s">
        <v>116</v>
      </c>
      <c r="N430" s="38"/>
      <c r="O430" s="37">
        <v>60</v>
      </c>
      <c r="P430" s="60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9"/>
      <c r="R430" s="559"/>
      <c r="S430" s="559"/>
      <c r="T430" s="560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656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675</v>
      </c>
      <c r="B431" s="63" t="s">
        <v>676</v>
      </c>
      <c r="C431" s="36">
        <v>4301012050</v>
      </c>
      <c r="D431" s="557">
        <v>4680115885479</v>
      </c>
      <c r="E431" s="557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89</v>
      </c>
      <c r="L431" s="37" t="s">
        <v>45</v>
      </c>
      <c r="M431" s="38" t="s">
        <v>116</v>
      </c>
      <c r="N431" s="38"/>
      <c r="O431" s="37">
        <v>60</v>
      </c>
      <c r="P431" s="59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9"/>
      <c r="R431" s="559"/>
      <c r="S431" s="559"/>
      <c r="T431" s="560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677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678</v>
      </c>
      <c r="B432" s="63" t="s">
        <v>679</v>
      </c>
      <c r="C432" s="36">
        <v>4301012034</v>
      </c>
      <c r="D432" s="557">
        <v>4607091389982</v>
      </c>
      <c r="E432" s="557"/>
      <c r="F432" s="62">
        <v>0.6</v>
      </c>
      <c r="G432" s="37">
        <v>8</v>
      </c>
      <c r="H432" s="62">
        <v>4.8</v>
      </c>
      <c r="I432" s="62">
        <v>6.93</v>
      </c>
      <c r="J432" s="37">
        <v>132</v>
      </c>
      <c r="K432" s="37" t="s">
        <v>121</v>
      </c>
      <c r="L432" s="37" t="s">
        <v>45</v>
      </c>
      <c r="M432" s="38" t="s">
        <v>116</v>
      </c>
      <c r="N432" s="38"/>
      <c r="O432" s="37">
        <v>60</v>
      </c>
      <c r="P432" s="5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9"/>
      <c r="R432" s="559"/>
      <c r="S432" s="559"/>
      <c r="T432" s="560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668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x14ac:dyDescent="0.2">
      <c r="A433" s="564"/>
      <c r="B433" s="564"/>
      <c r="C433" s="564"/>
      <c r="D433" s="564"/>
      <c r="E433" s="564"/>
      <c r="F433" s="564"/>
      <c r="G433" s="564"/>
      <c r="H433" s="564"/>
      <c r="I433" s="564"/>
      <c r="J433" s="564"/>
      <c r="K433" s="564"/>
      <c r="L433" s="564"/>
      <c r="M433" s="564"/>
      <c r="N433" s="564"/>
      <c r="O433" s="565"/>
      <c r="P433" s="561" t="s">
        <v>40</v>
      </c>
      <c r="Q433" s="562"/>
      <c r="R433" s="562"/>
      <c r="S433" s="562"/>
      <c r="T433" s="562"/>
      <c r="U433" s="562"/>
      <c r="V433" s="563"/>
      <c r="W433" s="42" t="s">
        <v>39</v>
      </c>
      <c r="X433" s="43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564"/>
      <c r="B434" s="564"/>
      <c r="C434" s="564"/>
      <c r="D434" s="564"/>
      <c r="E434" s="564"/>
      <c r="F434" s="564"/>
      <c r="G434" s="564"/>
      <c r="H434" s="564"/>
      <c r="I434" s="564"/>
      <c r="J434" s="564"/>
      <c r="K434" s="564"/>
      <c r="L434" s="564"/>
      <c r="M434" s="564"/>
      <c r="N434" s="564"/>
      <c r="O434" s="565"/>
      <c r="P434" s="561" t="s">
        <v>40</v>
      </c>
      <c r="Q434" s="562"/>
      <c r="R434" s="562"/>
      <c r="S434" s="562"/>
      <c r="T434" s="562"/>
      <c r="U434" s="562"/>
      <c r="V434" s="563"/>
      <c r="W434" s="42" t="s">
        <v>0</v>
      </c>
      <c r="X434" s="43">
        <f>IFERROR(SUM(X422:X432),"0")</f>
        <v>0</v>
      </c>
      <c r="Y434" s="43">
        <f>IFERROR(SUM(Y422:Y432),"0")</f>
        <v>0</v>
      </c>
      <c r="Z434" s="42"/>
      <c r="AA434" s="67"/>
      <c r="AB434" s="67"/>
      <c r="AC434" s="67"/>
    </row>
    <row r="435" spans="1:68" ht="14.25" customHeight="1" x14ac:dyDescent="0.25">
      <c r="A435" s="556" t="s">
        <v>147</v>
      </c>
      <c r="B435" s="556"/>
      <c r="C435" s="556"/>
      <c r="D435" s="556"/>
      <c r="E435" s="556"/>
      <c r="F435" s="556"/>
      <c r="G435" s="556"/>
      <c r="H435" s="556"/>
      <c r="I435" s="556"/>
      <c r="J435" s="556"/>
      <c r="K435" s="556"/>
      <c r="L435" s="556"/>
      <c r="M435" s="556"/>
      <c r="N435" s="556"/>
      <c r="O435" s="556"/>
      <c r="P435" s="556"/>
      <c r="Q435" s="556"/>
      <c r="R435" s="556"/>
      <c r="S435" s="556"/>
      <c r="T435" s="556"/>
      <c r="U435" s="556"/>
      <c r="V435" s="556"/>
      <c r="W435" s="556"/>
      <c r="X435" s="556"/>
      <c r="Y435" s="556"/>
      <c r="Z435" s="556"/>
      <c r="AA435" s="66"/>
      <c r="AB435" s="66"/>
      <c r="AC435" s="80"/>
    </row>
    <row r="436" spans="1:68" ht="16.5" customHeight="1" x14ac:dyDescent="0.25">
      <c r="A436" s="63" t="s">
        <v>680</v>
      </c>
      <c r="B436" s="63" t="s">
        <v>681</v>
      </c>
      <c r="C436" s="36">
        <v>4301020334</v>
      </c>
      <c r="D436" s="557">
        <v>4607091388930</v>
      </c>
      <c r="E436" s="557"/>
      <c r="F436" s="62">
        <v>0.88</v>
      </c>
      <c r="G436" s="37">
        <v>6</v>
      </c>
      <c r="H436" s="62">
        <v>5.28</v>
      </c>
      <c r="I436" s="62">
        <v>5.64</v>
      </c>
      <c r="J436" s="37">
        <v>104</v>
      </c>
      <c r="K436" s="37" t="s">
        <v>117</v>
      </c>
      <c r="L436" s="37" t="s">
        <v>118</v>
      </c>
      <c r="M436" s="38" t="s">
        <v>88</v>
      </c>
      <c r="N436" s="38"/>
      <c r="O436" s="37">
        <v>70</v>
      </c>
      <c r="P436" s="5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9"/>
      <c r="R436" s="559"/>
      <c r="S436" s="559"/>
      <c r="T436" s="560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682</v>
      </c>
      <c r="AG436" s="78"/>
      <c r="AJ436" s="84" t="s">
        <v>101</v>
      </c>
      <c r="AK436" s="84">
        <v>42.24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683</v>
      </c>
      <c r="B437" s="63" t="s">
        <v>684</v>
      </c>
      <c r="C437" s="36">
        <v>4301020384</v>
      </c>
      <c r="D437" s="557">
        <v>4680115886407</v>
      </c>
      <c r="E437" s="557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89</v>
      </c>
      <c r="L437" s="37" t="s">
        <v>45</v>
      </c>
      <c r="M437" s="38" t="s">
        <v>88</v>
      </c>
      <c r="N437" s="38"/>
      <c r="O437" s="37">
        <v>70</v>
      </c>
      <c r="P437" s="5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9"/>
      <c r="R437" s="559"/>
      <c r="S437" s="559"/>
      <c r="T437" s="560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682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685</v>
      </c>
      <c r="B438" s="63" t="s">
        <v>686</v>
      </c>
      <c r="C438" s="36">
        <v>4301020385</v>
      </c>
      <c r="D438" s="557">
        <v>4680115880054</v>
      </c>
      <c r="E438" s="557"/>
      <c r="F438" s="62">
        <v>0.6</v>
      </c>
      <c r="G438" s="37">
        <v>8</v>
      </c>
      <c r="H438" s="62">
        <v>4.8</v>
      </c>
      <c r="I438" s="62">
        <v>6.93</v>
      </c>
      <c r="J438" s="37">
        <v>132</v>
      </c>
      <c r="K438" s="37" t="s">
        <v>121</v>
      </c>
      <c r="L438" s="37" t="s">
        <v>45</v>
      </c>
      <c r="M438" s="38" t="s">
        <v>116</v>
      </c>
      <c r="N438" s="38"/>
      <c r="O438" s="37">
        <v>70</v>
      </c>
      <c r="P438" s="5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9"/>
      <c r="R438" s="559"/>
      <c r="S438" s="559"/>
      <c r="T438" s="560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682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564"/>
      <c r="B439" s="564"/>
      <c r="C439" s="564"/>
      <c r="D439" s="564"/>
      <c r="E439" s="564"/>
      <c r="F439" s="564"/>
      <c r="G439" s="564"/>
      <c r="H439" s="564"/>
      <c r="I439" s="564"/>
      <c r="J439" s="564"/>
      <c r="K439" s="564"/>
      <c r="L439" s="564"/>
      <c r="M439" s="564"/>
      <c r="N439" s="564"/>
      <c r="O439" s="565"/>
      <c r="P439" s="561" t="s">
        <v>40</v>
      </c>
      <c r="Q439" s="562"/>
      <c r="R439" s="562"/>
      <c r="S439" s="562"/>
      <c r="T439" s="562"/>
      <c r="U439" s="562"/>
      <c r="V439" s="563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564"/>
      <c r="B440" s="564"/>
      <c r="C440" s="564"/>
      <c r="D440" s="564"/>
      <c r="E440" s="564"/>
      <c r="F440" s="564"/>
      <c r="G440" s="564"/>
      <c r="H440" s="564"/>
      <c r="I440" s="564"/>
      <c r="J440" s="564"/>
      <c r="K440" s="564"/>
      <c r="L440" s="564"/>
      <c r="M440" s="564"/>
      <c r="N440" s="564"/>
      <c r="O440" s="565"/>
      <c r="P440" s="561" t="s">
        <v>40</v>
      </c>
      <c r="Q440" s="562"/>
      <c r="R440" s="562"/>
      <c r="S440" s="562"/>
      <c r="T440" s="562"/>
      <c r="U440" s="562"/>
      <c r="V440" s="563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556" t="s">
        <v>78</v>
      </c>
      <c r="B441" s="556"/>
      <c r="C441" s="556"/>
      <c r="D441" s="556"/>
      <c r="E441" s="556"/>
      <c r="F441" s="556"/>
      <c r="G441" s="556"/>
      <c r="H441" s="556"/>
      <c r="I441" s="556"/>
      <c r="J441" s="556"/>
      <c r="K441" s="556"/>
      <c r="L441" s="556"/>
      <c r="M441" s="556"/>
      <c r="N441" s="556"/>
      <c r="O441" s="556"/>
      <c r="P441" s="556"/>
      <c r="Q441" s="556"/>
      <c r="R441" s="556"/>
      <c r="S441" s="556"/>
      <c r="T441" s="556"/>
      <c r="U441" s="556"/>
      <c r="V441" s="556"/>
      <c r="W441" s="556"/>
      <c r="X441" s="556"/>
      <c r="Y441" s="556"/>
      <c r="Z441" s="556"/>
      <c r="AA441" s="66"/>
      <c r="AB441" s="66"/>
      <c r="AC441" s="80"/>
    </row>
    <row r="442" spans="1:68" ht="27" customHeight="1" x14ac:dyDescent="0.25">
      <c r="A442" s="63" t="s">
        <v>687</v>
      </c>
      <c r="B442" s="63" t="s">
        <v>688</v>
      </c>
      <c r="C442" s="36">
        <v>4301031349</v>
      </c>
      <c r="D442" s="557">
        <v>4680115883116</v>
      </c>
      <c r="E442" s="557"/>
      <c r="F442" s="62">
        <v>0.88</v>
      </c>
      <c r="G442" s="37">
        <v>6</v>
      </c>
      <c r="H442" s="62">
        <v>5.28</v>
      </c>
      <c r="I442" s="62">
        <v>5.64</v>
      </c>
      <c r="J442" s="37">
        <v>104</v>
      </c>
      <c r="K442" s="37" t="s">
        <v>117</v>
      </c>
      <c r="L442" s="37" t="s">
        <v>118</v>
      </c>
      <c r="M442" s="38" t="s">
        <v>116</v>
      </c>
      <c r="N442" s="38"/>
      <c r="O442" s="37">
        <v>70</v>
      </c>
      <c r="P442" s="5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9"/>
      <c r="R442" s="559"/>
      <c r="S442" s="559"/>
      <c r="T442" s="560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53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689</v>
      </c>
      <c r="AG442" s="78"/>
      <c r="AJ442" s="84" t="s">
        <v>101</v>
      </c>
      <c r="AK442" s="84">
        <v>42.24</v>
      </c>
      <c r="BB442" s="509" t="s">
        <v>66</v>
      </c>
      <c r="BM442" s="78">
        <f t="shared" ref="BM442:BM447" si="54">IFERROR(X442*I442/H442,"0")</f>
        <v>0</v>
      </c>
      <c r="BN442" s="78">
        <f t="shared" ref="BN442:BN447" si="55">IFERROR(Y442*I442/H442,"0")</f>
        <v>0</v>
      </c>
      <c r="BO442" s="78">
        <f t="shared" ref="BO442:BO447" si="56">IFERROR(1/J442*(X442/H442),"0")</f>
        <v>0</v>
      </c>
      <c r="BP442" s="78">
        <f t="shared" ref="BP442:BP447" si="57">IFERROR(1/J442*(Y442/H442),"0")</f>
        <v>0</v>
      </c>
    </row>
    <row r="443" spans="1:68" ht="27" customHeight="1" x14ac:dyDescent="0.25">
      <c r="A443" s="63" t="s">
        <v>690</v>
      </c>
      <c r="B443" s="63" t="s">
        <v>691</v>
      </c>
      <c r="C443" s="36">
        <v>4301031350</v>
      </c>
      <c r="D443" s="557">
        <v>4680115883093</v>
      </c>
      <c r="E443" s="557"/>
      <c r="F443" s="62">
        <v>0.88</v>
      </c>
      <c r="G443" s="37">
        <v>6</v>
      </c>
      <c r="H443" s="62">
        <v>5.28</v>
      </c>
      <c r="I443" s="62">
        <v>5.64</v>
      </c>
      <c r="J443" s="37">
        <v>104</v>
      </c>
      <c r="K443" s="37" t="s">
        <v>117</v>
      </c>
      <c r="L443" s="37" t="s">
        <v>118</v>
      </c>
      <c r="M443" s="38" t="s">
        <v>82</v>
      </c>
      <c r="N443" s="38"/>
      <c r="O443" s="37">
        <v>70</v>
      </c>
      <c r="P443" s="58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9"/>
      <c r="R443" s="559"/>
      <c r="S443" s="559"/>
      <c r="T443" s="560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692</v>
      </c>
      <c r="AG443" s="78"/>
      <c r="AJ443" s="84" t="s">
        <v>101</v>
      </c>
      <c r="AK443" s="84">
        <v>42.24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693</v>
      </c>
      <c r="B444" s="63" t="s">
        <v>694</v>
      </c>
      <c r="C444" s="36">
        <v>4301031353</v>
      </c>
      <c r="D444" s="557">
        <v>4680115883109</v>
      </c>
      <c r="E444" s="557"/>
      <c r="F444" s="62">
        <v>0.88</v>
      </c>
      <c r="G444" s="37">
        <v>6</v>
      </c>
      <c r="H444" s="62">
        <v>5.28</v>
      </c>
      <c r="I444" s="62">
        <v>5.64</v>
      </c>
      <c r="J444" s="37">
        <v>104</v>
      </c>
      <c r="K444" s="37" t="s">
        <v>117</v>
      </c>
      <c r="L444" s="37" t="s">
        <v>118</v>
      </c>
      <c r="M444" s="38" t="s">
        <v>82</v>
      </c>
      <c r="N444" s="38"/>
      <c r="O444" s="37">
        <v>70</v>
      </c>
      <c r="P444" s="5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9"/>
      <c r="R444" s="559"/>
      <c r="S444" s="559"/>
      <c r="T444" s="560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695</v>
      </c>
      <c r="AG444" s="78"/>
      <c r="AJ444" s="84" t="s">
        <v>101</v>
      </c>
      <c r="AK444" s="84">
        <v>42.24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696</v>
      </c>
      <c r="B445" s="63" t="s">
        <v>697</v>
      </c>
      <c r="C445" s="36">
        <v>4301031419</v>
      </c>
      <c r="D445" s="557">
        <v>4680115882072</v>
      </c>
      <c r="E445" s="557"/>
      <c r="F445" s="62">
        <v>0.6</v>
      </c>
      <c r="G445" s="37">
        <v>8</v>
      </c>
      <c r="H445" s="62">
        <v>4.8</v>
      </c>
      <c r="I445" s="62">
        <v>6.93</v>
      </c>
      <c r="J445" s="37">
        <v>132</v>
      </c>
      <c r="K445" s="37" t="s">
        <v>121</v>
      </c>
      <c r="L445" s="37" t="s">
        <v>45</v>
      </c>
      <c r="M445" s="38" t="s">
        <v>116</v>
      </c>
      <c r="N445" s="38"/>
      <c r="O445" s="37">
        <v>70</v>
      </c>
      <c r="P445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9"/>
      <c r="R445" s="559"/>
      <c r="S445" s="559"/>
      <c r="T445" s="560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689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698</v>
      </c>
      <c r="B446" s="63" t="s">
        <v>699</v>
      </c>
      <c r="C446" s="36">
        <v>4301031418</v>
      </c>
      <c r="D446" s="557">
        <v>4680115882102</v>
      </c>
      <c r="E446" s="557"/>
      <c r="F446" s="62">
        <v>0.6</v>
      </c>
      <c r="G446" s="37">
        <v>8</v>
      </c>
      <c r="H446" s="62">
        <v>4.8</v>
      </c>
      <c r="I446" s="62">
        <v>6.69</v>
      </c>
      <c r="J446" s="37">
        <v>132</v>
      </c>
      <c r="K446" s="37" t="s">
        <v>121</v>
      </c>
      <c r="L446" s="37" t="s">
        <v>45</v>
      </c>
      <c r="M446" s="38" t="s">
        <v>82</v>
      </c>
      <c r="N446" s="38"/>
      <c r="O446" s="37">
        <v>70</v>
      </c>
      <c r="P446" s="59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9"/>
      <c r="R446" s="559"/>
      <c r="S446" s="559"/>
      <c r="T446" s="560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692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ht="27" customHeight="1" x14ac:dyDescent="0.25">
      <c r="A447" s="63" t="s">
        <v>700</v>
      </c>
      <c r="B447" s="63" t="s">
        <v>701</v>
      </c>
      <c r="C447" s="36">
        <v>4301031417</v>
      </c>
      <c r="D447" s="557">
        <v>4680115882096</v>
      </c>
      <c r="E447" s="557"/>
      <c r="F447" s="62">
        <v>0.6</v>
      </c>
      <c r="G447" s="37">
        <v>8</v>
      </c>
      <c r="H447" s="62">
        <v>4.8</v>
      </c>
      <c r="I447" s="62">
        <v>6.69</v>
      </c>
      <c r="J447" s="37">
        <v>132</v>
      </c>
      <c r="K447" s="37" t="s">
        <v>121</v>
      </c>
      <c r="L447" s="37" t="s">
        <v>45</v>
      </c>
      <c r="M447" s="38" t="s">
        <v>82</v>
      </c>
      <c r="N447" s="38"/>
      <c r="O447" s="37">
        <v>70</v>
      </c>
      <c r="P447" s="59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9"/>
      <c r="R447" s="559"/>
      <c r="S447" s="559"/>
      <c r="T447" s="560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53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695</v>
      </c>
      <c r="AG447" s="78"/>
      <c r="AJ447" s="84" t="s">
        <v>45</v>
      </c>
      <c r="AK447" s="84">
        <v>0</v>
      </c>
      <c r="BB447" s="519" t="s">
        <v>66</v>
      </c>
      <c r="BM447" s="78">
        <f t="shared" si="54"/>
        <v>0</v>
      </c>
      <c r="BN447" s="78">
        <f t="shared" si="55"/>
        <v>0</v>
      </c>
      <c r="BO447" s="78">
        <f t="shared" si="56"/>
        <v>0</v>
      </c>
      <c r="BP447" s="78">
        <f t="shared" si="57"/>
        <v>0</v>
      </c>
    </row>
    <row r="448" spans="1:68" x14ac:dyDescent="0.2">
      <c r="A448" s="564"/>
      <c r="B448" s="564"/>
      <c r="C448" s="564"/>
      <c r="D448" s="564"/>
      <c r="E448" s="564"/>
      <c r="F448" s="564"/>
      <c r="G448" s="564"/>
      <c r="H448" s="564"/>
      <c r="I448" s="564"/>
      <c r="J448" s="564"/>
      <c r="K448" s="564"/>
      <c r="L448" s="564"/>
      <c r="M448" s="564"/>
      <c r="N448" s="564"/>
      <c r="O448" s="565"/>
      <c r="P448" s="561" t="s">
        <v>40</v>
      </c>
      <c r="Q448" s="562"/>
      <c r="R448" s="562"/>
      <c r="S448" s="562"/>
      <c r="T448" s="562"/>
      <c r="U448" s="562"/>
      <c r="V448" s="563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564"/>
      <c r="B449" s="564"/>
      <c r="C449" s="564"/>
      <c r="D449" s="564"/>
      <c r="E449" s="564"/>
      <c r="F449" s="564"/>
      <c r="G449" s="564"/>
      <c r="H449" s="564"/>
      <c r="I449" s="564"/>
      <c r="J449" s="564"/>
      <c r="K449" s="564"/>
      <c r="L449" s="564"/>
      <c r="M449" s="564"/>
      <c r="N449" s="564"/>
      <c r="O449" s="565"/>
      <c r="P449" s="561" t="s">
        <v>40</v>
      </c>
      <c r="Q449" s="562"/>
      <c r="R449" s="562"/>
      <c r="S449" s="562"/>
      <c r="T449" s="562"/>
      <c r="U449" s="562"/>
      <c r="V449" s="563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556" t="s">
        <v>84</v>
      </c>
      <c r="B450" s="556"/>
      <c r="C450" s="556"/>
      <c r="D450" s="556"/>
      <c r="E450" s="556"/>
      <c r="F450" s="556"/>
      <c r="G450" s="556"/>
      <c r="H450" s="556"/>
      <c r="I450" s="556"/>
      <c r="J450" s="556"/>
      <c r="K450" s="556"/>
      <c r="L450" s="556"/>
      <c r="M450" s="556"/>
      <c r="N450" s="556"/>
      <c r="O450" s="556"/>
      <c r="P450" s="556"/>
      <c r="Q450" s="556"/>
      <c r="R450" s="556"/>
      <c r="S450" s="556"/>
      <c r="T450" s="556"/>
      <c r="U450" s="556"/>
      <c r="V450" s="556"/>
      <c r="W450" s="556"/>
      <c r="X450" s="556"/>
      <c r="Y450" s="556"/>
      <c r="Z450" s="556"/>
      <c r="AA450" s="66"/>
      <c r="AB450" s="66"/>
      <c r="AC450" s="80"/>
    </row>
    <row r="451" spans="1:68" ht="16.5" customHeight="1" x14ac:dyDescent="0.25">
      <c r="A451" s="63" t="s">
        <v>702</v>
      </c>
      <c r="B451" s="63" t="s">
        <v>703</v>
      </c>
      <c r="C451" s="36">
        <v>4301051232</v>
      </c>
      <c r="D451" s="557">
        <v>4607091383409</v>
      </c>
      <c r="E451" s="557"/>
      <c r="F451" s="62">
        <v>1.3</v>
      </c>
      <c r="G451" s="37">
        <v>6</v>
      </c>
      <c r="H451" s="62">
        <v>7.8</v>
      </c>
      <c r="I451" s="62">
        <v>8.3010000000000002</v>
      </c>
      <c r="J451" s="37">
        <v>64</v>
      </c>
      <c r="K451" s="37" t="s">
        <v>117</v>
      </c>
      <c r="L451" s="37" t="s">
        <v>45</v>
      </c>
      <c r="M451" s="38" t="s">
        <v>88</v>
      </c>
      <c r="N451" s="38"/>
      <c r="O451" s="37">
        <v>45</v>
      </c>
      <c r="P451" s="58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9"/>
      <c r="R451" s="559"/>
      <c r="S451" s="559"/>
      <c r="T451" s="560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704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705</v>
      </c>
      <c r="B452" s="63" t="s">
        <v>706</v>
      </c>
      <c r="C452" s="36">
        <v>4301051233</v>
      </c>
      <c r="D452" s="557">
        <v>4607091383416</v>
      </c>
      <c r="E452" s="557"/>
      <c r="F452" s="62">
        <v>1.3</v>
      </c>
      <c r="G452" s="37">
        <v>6</v>
      </c>
      <c r="H452" s="62">
        <v>7.8</v>
      </c>
      <c r="I452" s="62">
        <v>8.3010000000000002</v>
      </c>
      <c r="J452" s="37">
        <v>64</v>
      </c>
      <c r="K452" s="37" t="s">
        <v>117</v>
      </c>
      <c r="L452" s="37" t="s">
        <v>45</v>
      </c>
      <c r="M452" s="38" t="s">
        <v>88</v>
      </c>
      <c r="N452" s="38"/>
      <c r="O452" s="37">
        <v>45</v>
      </c>
      <c r="P452" s="58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9"/>
      <c r="R452" s="559"/>
      <c r="S452" s="559"/>
      <c r="T452" s="560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707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708</v>
      </c>
      <c r="B453" s="63" t="s">
        <v>709</v>
      </c>
      <c r="C453" s="36">
        <v>4301051064</v>
      </c>
      <c r="D453" s="557">
        <v>4680115883536</v>
      </c>
      <c r="E453" s="557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89</v>
      </c>
      <c r="L453" s="37" t="s">
        <v>45</v>
      </c>
      <c r="M453" s="38" t="s">
        <v>88</v>
      </c>
      <c r="N453" s="38"/>
      <c r="O453" s="37">
        <v>45</v>
      </c>
      <c r="P453" s="58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9"/>
      <c r="R453" s="559"/>
      <c r="S453" s="559"/>
      <c r="T453" s="560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710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564"/>
      <c r="B454" s="564"/>
      <c r="C454" s="564"/>
      <c r="D454" s="564"/>
      <c r="E454" s="564"/>
      <c r="F454" s="564"/>
      <c r="G454" s="564"/>
      <c r="H454" s="564"/>
      <c r="I454" s="564"/>
      <c r="J454" s="564"/>
      <c r="K454" s="564"/>
      <c r="L454" s="564"/>
      <c r="M454" s="564"/>
      <c r="N454" s="564"/>
      <c r="O454" s="565"/>
      <c r="P454" s="561" t="s">
        <v>40</v>
      </c>
      <c r="Q454" s="562"/>
      <c r="R454" s="562"/>
      <c r="S454" s="562"/>
      <c r="T454" s="562"/>
      <c r="U454" s="562"/>
      <c r="V454" s="563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564"/>
      <c r="B455" s="564"/>
      <c r="C455" s="564"/>
      <c r="D455" s="564"/>
      <c r="E455" s="564"/>
      <c r="F455" s="564"/>
      <c r="G455" s="564"/>
      <c r="H455" s="564"/>
      <c r="I455" s="564"/>
      <c r="J455" s="564"/>
      <c r="K455" s="564"/>
      <c r="L455" s="564"/>
      <c r="M455" s="564"/>
      <c r="N455" s="564"/>
      <c r="O455" s="565"/>
      <c r="P455" s="561" t="s">
        <v>40</v>
      </c>
      <c r="Q455" s="562"/>
      <c r="R455" s="562"/>
      <c r="S455" s="562"/>
      <c r="T455" s="562"/>
      <c r="U455" s="562"/>
      <c r="V455" s="563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581" t="s">
        <v>711</v>
      </c>
      <c r="B456" s="581"/>
      <c r="C456" s="581"/>
      <c r="D456" s="581"/>
      <c r="E456" s="581"/>
      <c r="F456" s="581"/>
      <c r="G456" s="581"/>
      <c r="H456" s="581"/>
      <c r="I456" s="581"/>
      <c r="J456" s="581"/>
      <c r="K456" s="581"/>
      <c r="L456" s="581"/>
      <c r="M456" s="581"/>
      <c r="N456" s="581"/>
      <c r="O456" s="581"/>
      <c r="P456" s="581"/>
      <c r="Q456" s="581"/>
      <c r="R456" s="581"/>
      <c r="S456" s="581"/>
      <c r="T456" s="581"/>
      <c r="U456" s="581"/>
      <c r="V456" s="581"/>
      <c r="W456" s="581"/>
      <c r="X456" s="581"/>
      <c r="Y456" s="581"/>
      <c r="Z456" s="581"/>
      <c r="AA456" s="54"/>
      <c r="AB456" s="54"/>
      <c r="AC456" s="54"/>
    </row>
    <row r="457" spans="1:68" ht="16.5" customHeight="1" x14ac:dyDescent="0.25">
      <c r="A457" s="572" t="s">
        <v>711</v>
      </c>
      <c r="B457" s="572"/>
      <c r="C457" s="572"/>
      <c r="D457" s="572"/>
      <c r="E457" s="572"/>
      <c r="F457" s="572"/>
      <c r="G457" s="572"/>
      <c r="H457" s="572"/>
      <c r="I457" s="572"/>
      <c r="J457" s="572"/>
      <c r="K457" s="572"/>
      <c r="L457" s="572"/>
      <c r="M457" s="572"/>
      <c r="N457" s="572"/>
      <c r="O457" s="572"/>
      <c r="P457" s="572"/>
      <c r="Q457" s="572"/>
      <c r="R457" s="572"/>
      <c r="S457" s="572"/>
      <c r="T457" s="572"/>
      <c r="U457" s="572"/>
      <c r="V457" s="572"/>
      <c r="W457" s="572"/>
      <c r="X457" s="572"/>
      <c r="Y457" s="572"/>
      <c r="Z457" s="572"/>
      <c r="AA457" s="65"/>
      <c r="AB457" s="65"/>
      <c r="AC457" s="79"/>
    </row>
    <row r="458" spans="1:68" ht="14.25" customHeight="1" x14ac:dyDescent="0.25">
      <c r="A458" s="556" t="s">
        <v>112</v>
      </c>
      <c r="B458" s="556"/>
      <c r="C458" s="556"/>
      <c r="D458" s="556"/>
      <c r="E458" s="556"/>
      <c r="F458" s="556"/>
      <c r="G458" s="556"/>
      <c r="H458" s="556"/>
      <c r="I458" s="556"/>
      <c r="J458" s="556"/>
      <c r="K458" s="556"/>
      <c r="L458" s="556"/>
      <c r="M458" s="556"/>
      <c r="N458" s="556"/>
      <c r="O458" s="556"/>
      <c r="P458" s="556"/>
      <c r="Q458" s="556"/>
      <c r="R458" s="556"/>
      <c r="S458" s="556"/>
      <c r="T458" s="556"/>
      <c r="U458" s="556"/>
      <c r="V458" s="556"/>
      <c r="W458" s="556"/>
      <c r="X458" s="556"/>
      <c r="Y458" s="556"/>
      <c r="Z458" s="556"/>
      <c r="AA458" s="66"/>
      <c r="AB458" s="66"/>
      <c r="AC458" s="80"/>
    </row>
    <row r="459" spans="1:68" ht="27" customHeight="1" x14ac:dyDescent="0.25">
      <c r="A459" s="63" t="s">
        <v>712</v>
      </c>
      <c r="B459" s="63" t="s">
        <v>713</v>
      </c>
      <c r="C459" s="36">
        <v>4301011763</v>
      </c>
      <c r="D459" s="557">
        <v>4640242181011</v>
      </c>
      <c r="E459" s="557"/>
      <c r="F459" s="62">
        <v>1.35</v>
      </c>
      <c r="G459" s="37">
        <v>8</v>
      </c>
      <c r="H459" s="62">
        <v>10.8</v>
      </c>
      <c r="I459" s="62">
        <v>11.234999999999999</v>
      </c>
      <c r="J459" s="37">
        <v>64</v>
      </c>
      <c r="K459" s="37" t="s">
        <v>117</v>
      </c>
      <c r="L459" s="37" t="s">
        <v>45</v>
      </c>
      <c r="M459" s="38" t="s">
        <v>88</v>
      </c>
      <c r="N459" s="38"/>
      <c r="O459" s="37">
        <v>55</v>
      </c>
      <c r="P459" s="58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9"/>
      <c r="R459" s="559"/>
      <c r="S459" s="559"/>
      <c r="T459" s="560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714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715</v>
      </c>
      <c r="B460" s="63" t="s">
        <v>716</v>
      </c>
      <c r="C460" s="36">
        <v>4301011585</v>
      </c>
      <c r="D460" s="557">
        <v>4640242180441</v>
      </c>
      <c r="E460" s="557"/>
      <c r="F460" s="62">
        <v>1.5</v>
      </c>
      <c r="G460" s="37">
        <v>8</v>
      </c>
      <c r="H460" s="62">
        <v>12</v>
      </c>
      <c r="I460" s="62">
        <v>12.435</v>
      </c>
      <c r="J460" s="37">
        <v>64</v>
      </c>
      <c r="K460" s="37" t="s">
        <v>117</v>
      </c>
      <c r="L460" s="37" t="s">
        <v>45</v>
      </c>
      <c r="M460" s="38" t="s">
        <v>116</v>
      </c>
      <c r="N460" s="38"/>
      <c r="O460" s="37">
        <v>50</v>
      </c>
      <c r="P460" s="58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9"/>
      <c r="R460" s="559"/>
      <c r="S460" s="559"/>
      <c r="T460" s="560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717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718</v>
      </c>
      <c r="B461" s="63" t="s">
        <v>719</v>
      </c>
      <c r="C461" s="36">
        <v>4301011584</v>
      </c>
      <c r="D461" s="557">
        <v>4640242180564</v>
      </c>
      <c r="E461" s="557"/>
      <c r="F461" s="62">
        <v>1.5</v>
      </c>
      <c r="G461" s="37">
        <v>8</v>
      </c>
      <c r="H461" s="62">
        <v>12</v>
      </c>
      <c r="I461" s="62">
        <v>12.435</v>
      </c>
      <c r="J461" s="37">
        <v>64</v>
      </c>
      <c r="K461" s="37" t="s">
        <v>117</v>
      </c>
      <c r="L461" s="37" t="s">
        <v>118</v>
      </c>
      <c r="M461" s="38" t="s">
        <v>116</v>
      </c>
      <c r="N461" s="38"/>
      <c r="O461" s="37">
        <v>50</v>
      </c>
      <c r="P461" s="5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9"/>
      <c r="R461" s="559"/>
      <c r="S461" s="559"/>
      <c r="T461" s="560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720</v>
      </c>
      <c r="AG461" s="78"/>
      <c r="AJ461" s="84" t="s">
        <v>101</v>
      </c>
      <c r="AK461" s="84">
        <v>96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721</v>
      </c>
      <c r="B462" s="63" t="s">
        <v>722</v>
      </c>
      <c r="C462" s="36">
        <v>4301011764</v>
      </c>
      <c r="D462" s="557">
        <v>4640242181189</v>
      </c>
      <c r="E462" s="557"/>
      <c r="F462" s="62">
        <v>0.4</v>
      </c>
      <c r="G462" s="37">
        <v>10</v>
      </c>
      <c r="H462" s="62">
        <v>4</v>
      </c>
      <c r="I462" s="62">
        <v>4.21</v>
      </c>
      <c r="J462" s="37">
        <v>132</v>
      </c>
      <c r="K462" s="37" t="s">
        <v>121</v>
      </c>
      <c r="L462" s="37" t="s">
        <v>45</v>
      </c>
      <c r="M462" s="38" t="s">
        <v>88</v>
      </c>
      <c r="N462" s="38"/>
      <c r="O462" s="37">
        <v>55</v>
      </c>
      <c r="P462" s="57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9"/>
      <c r="R462" s="559"/>
      <c r="S462" s="559"/>
      <c r="T462" s="560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714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564"/>
      <c r="B463" s="564"/>
      <c r="C463" s="564"/>
      <c r="D463" s="564"/>
      <c r="E463" s="564"/>
      <c r="F463" s="564"/>
      <c r="G463" s="564"/>
      <c r="H463" s="564"/>
      <c r="I463" s="564"/>
      <c r="J463" s="564"/>
      <c r="K463" s="564"/>
      <c r="L463" s="564"/>
      <c r="M463" s="564"/>
      <c r="N463" s="564"/>
      <c r="O463" s="565"/>
      <c r="P463" s="561" t="s">
        <v>40</v>
      </c>
      <c r="Q463" s="562"/>
      <c r="R463" s="562"/>
      <c r="S463" s="562"/>
      <c r="T463" s="562"/>
      <c r="U463" s="562"/>
      <c r="V463" s="563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564"/>
      <c r="B464" s="564"/>
      <c r="C464" s="564"/>
      <c r="D464" s="564"/>
      <c r="E464" s="564"/>
      <c r="F464" s="564"/>
      <c r="G464" s="564"/>
      <c r="H464" s="564"/>
      <c r="I464" s="564"/>
      <c r="J464" s="564"/>
      <c r="K464" s="564"/>
      <c r="L464" s="564"/>
      <c r="M464" s="564"/>
      <c r="N464" s="564"/>
      <c r="O464" s="565"/>
      <c r="P464" s="561" t="s">
        <v>40</v>
      </c>
      <c r="Q464" s="562"/>
      <c r="R464" s="562"/>
      <c r="S464" s="562"/>
      <c r="T464" s="562"/>
      <c r="U464" s="562"/>
      <c r="V464" s="563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556" t="s">
        <v>147</v>
      </c>
      <c r="B465" s="556"/>
      <c r="C465" s="556"/>
      <c r="D465" s="556"/>
      <c r="E465" s="556"/>
      <c r="F465" s="556"/>
      <c r="G465" s="556"/>
      <c r="H465" s="556"/>
      <c r="I465" s="556"/>
      <c r="J465" s="556"/>
      <c r="K465" s="556"/>
      <c r="L465" s="556"/>
      <c r="M465" s="556"/>
      <c r="N465" s="556"/>
      <c r="O465" s="556"/>
      <c r="P465" s="556"/>
      <c r="Q465" s="556"/>
      <c r="R465" s="556"/>
      <c r="S465" s="556"/>
      <c r="T465" s="556"/>
      <c r="U465" s="556"/>
      <c r="V465" s="556"/>
      <c r="W465" s="556"/>
      <c r="X465" s="556"/>
      <c r="Y465" s="556"/>
      <c r="Z465" s="556"/>
      <c r="AA465" s="66"/>
      <c r="AB465" s="66"/>
      <c r="AC465" s="80"/>
    </row>
    <row r="466" spans="1:68" ht="27" customHeight="1" x14ac:dyDescent="0.25">
      <c r="A466" s="63" t="s">
        <v>723</v>
      </c>
      <c r="B466" s="63" t="s">
        <v>724</v>
      </c>
      <c r="C466" s="36">
        <v>4301020400</v>
      </c>
      <c r="D466" s="557">
        <v>4640242180519</v>
      </c>
      <c r="E466" s="557"/>
      <c r="F466" s="62">
        <v>1.5</v>
      </c>
      <c r="G466" s="37">
        <v>8</v>
      </c>
      <c r="H466" s="62">
        <v>12</v>
      </c>
      <c r="I466" s="62">
        <v>12.435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5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9"/>
      <c r="R466" s="559"/>
      <c r="S466" s="559"/>
      <c r="T466" s="560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725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726</v>
      </c>
      <c r="B467" s="63" t="s">
        <v>727</v>
      </c>
      <c r="C467" s="36">
        <v>4301020260</v>
      </c>
      <c r="D467" s="557">
        <v>4640242180526</v>
      </c>
      <c r="E467" s="557"/>
      <c r="F467" s="62">
        <v>1.8</v>
      </c>
      <c r="G467" s="37">
        <v>6</v>
      </c>
      <c r="H467" s="62">
        <v>10.8</v>
      </c>
      <c r="I467" s="62">
        <v>11.234999999999999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57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9"/>
      <c r="R467" s="559"/>
      <c r="S467" s="559"/>
      <c r="T467" s="560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728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729</v>
      </c>
      <c r="B468" s="63" t="s">
        <v>730</v>
      </c>
      <c r="C468" s="36">
        <v>4301020295</v>
      </c>
      <c r="D468" s="557">
        <v>4640242181363</v>
      </c>
      <c r="E468" s="557"/>
      <c r="F468" s="62">
        <v>0.4</v>
      </c>
      <c r="G468" s="37">
        <v>10</v>
      </c>
      <c r="H468" s="62">
        <v>4</v>
      </c>
      <c r="I468" s="62">
        <v>4.21</v>
      </c>
      <c r="J468" s="37">
        <v>132</v>
      </c>
      <c r="K468" s="37" t="s">
        <v>121</v>
      </c>
      <c r="L468" s="37" t="s">
        <v>45</v>
      </c>
      <c r="M468" s="38" t="s">
        <v>116</v>
      </c>
      <c r="N468" s="38"/>
      <c r="O468" s="37">
        <v>50</v>
      </c>
      <c r="P468" s="57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9"/>
      <c r="R468" s="559"/>
      <c r="S468" s="559"/>
      <c r="T468" s="560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731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564"/>
      <c r="B469" s="564"/>
      <c r="C469" s="564"/>
      <c r="D469" s="564"/>
      <c r="E469" s="564"/>
      <c r="F469" s="564"/>
      <c r="G469" s="564"/>
      <c r="H469" s="564"/>
      <c r="I469" s="564"/>
      <c r="J469" s="564"/>
      <c r="K469" s="564"/>
      <c r="L469" s="564"/>
      <c r="M469" s="564"/>
      <c r="N469" s="564"/>
      <c r="O469" s="565"/>
      <c r="P469" s="561" t="s">
        <v>40</v>
      </c>
      <c r="Q469" s="562"/>
      <c r="R469" s="562"/>
      <c r="S469" s="562"/>
      <c r="T469" s="562"/>
      <c r="U469" s="562"/>
      <c r="V469" s="563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564"/>
      <c r="B470" s="564"/>
      <c r="C470" s="564"/>
      <c r="D470" s="564"/>
      <c r="E470" s="564"/>
      <c r="F470" s="564"/>
      <c r="G470" s="564"/>
      <c r="H470" s="564"/>
      <c r="I470" s="564"/>
      <c r="J470" s="564"/>
      <c r="K470" s="564"/>
      <c r="L470" s="564"/>
      <c r="M470" s="564"/>
      <c r="N470" s="564"/>
      <c r="O470" s="565"/>
      <c r="P470" s="561" t="s">
        <v>40</v>
      </c>
      <c r="Q470" s="562"/>
      <c r="R470" s="562"/>
      <c r="S470" s="562"/>
      <c r="T470" s="562"/>
      <c r="U470" s="562"/>
      <c r="V470" s="563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556" t="s">
        <v>78</v>
      </c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56"/>
      <c r="P471" s="556"/>
      <c r="Q471" s="556"/>
      <c r="R471" s="556"/>
      <c r="S471" s="556"/>
      <c r="T471" s="556"/>
      <c r="U471" s="556"/>
      <c r="V471" s="556"/>
      <c r="W471" s="556"/>
      <c r="X471" s="556"/>
      <c r="Y471" s="556"/>
      <c r="Z471" s="556"/>
      <c r="AA471" s="66"/>
      <c r="AB471" s="66"/>
      <c r="AC471" s="80"/>
    </row>
    <row r="472" spans="1:68" ht="27" customHeight="1" x14ac:dyDescent="0.25">
      <c r="A472" s="63" t="s">
        <v>732</v>
      </c>
      <c r="B472" s="63" t="s">
        <v>733</v>
      </c>
      <c r="C472" s="36">
        <v>4301031280</v>
      </c>
      <c r="D472" s="557">
        <v>4640242180816</v>
      </c>
      <c r="E472" s="557"/>
      <c r="F472" s="62">
        <v>0.7</v>
      </c>
      <c r="G472" s="37">
        <v>6</v>
      </c>
      <c r="H472" s="62">
        <v>4.2</v>
      </c>
      <c r="I472" s="62">
        <v>4.47</v>
      </c>
      <c r="J472" s="37">
        <v>132</v>
      </c>
      <c r="K472" s="37" t="s">
        <v>121</v>
      </c>
      <c r="L472" s="37" t="s">
        <v>122</v>
      </c>
      <c r="M472" s="38" t="s">
        <v>82</v>
      </c>
      <c r="N472" s="38"/>
      <c r="O472" s="37">
        <v>40</v>
      </c>
      <c r="P472" s="57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9"/>
      <c r="R472" s="559"/>
      <c r="S472" s="559"/>
      <c r="T472" s="560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734</v>
      </c>
      <c r="AG472" s="78"/>
      <c r="AJ472" s="84" t="s">
        <v>101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735</v>
      </c>
      <c r="B473" s="63" t="s">
        <v>736</v>
      </c>
      <c r="C473" s="36">
        <v>4301031244</v>
      </c>
      <c r="D473" s="557">
        <v>4640242180595</v>
      </c>
      <c r="E473" s="557"/>
      <c r="F473" s="62">
        <v>0.7</v>
      </c>
      <c r="G473" s="37">
        <v>6</v>
      </c>
      <c r="H473" s="62">
        <v>4.2</v>
      </c>
      <c r="I473" s="62">
        <v>4.47</v>
      </c>
      <c r="J473" s="37">
        <v>132</v>
      </c>
      <c r="K473" s="37" t="s">
        <v>121</v>
      </c>
      <c r="L473" s="37" t="s">
        <v>122</v>
      </c>
      <c r="M473" s="38" t="s">
        <v>82</v>
      </c>
      <c r="N473" s="38"/>
      <c r="O473" s="37">
        <v>40</v>
      </c>
      <c r="P473" s="57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9"/>
      <c r="R473" s="559"/>
      <c r="S473" s="559"/>
      <c r="T473" s="560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737</v>
      </c>
      <c r="AG473" s="78"/>
      <c r="AJ473" s="84" t="s">
        <v>101</v>
      </c>
      <c r="AK473" s="84">
        <v>50.4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564"/>
      <c r="B474" s="564"/>
      <c r="C474" s="564"/>
      <c r="D474" s="564"/>
      <c r="E474" s="564"/>
      <c r="F474" s="564"/>
      <c r="G474" s="564"/>
      <c r="H474" s="564"/>
      <c r="I474" s="564"/>
      <c r="J474" s="564"/>
      <c r="K474" s="564"/>
      <c r="L474" s="564"/>
      <c r="M474" s="564"/>
      <c r="N474" s="564"/>
      <c r="O474" s="565"/>
      <c r="P474" s="561" t="s">
        <v>40</v>
      </c>
      <c r="Q474" s="562"/>
      <c r="R474" s="562"/>
      <c r="S474" s="562"/>
      <c r="T474" s="562"/>
      <c r="U474" s="562"/>
      <c r="V474" s="563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564"/>
      <c r="B475" s="564"/>
      <c r="C475" s="564"/>
      <c r="D475" s="564"/>
      <c r="E475" s="564"/>
      <c r="F475" s="564"/>
      <c r="G475" s="564"/>
      <c r="H475" s="564"/>
      <c r="I475" s="564"/>
      <c r="J475" s="564"/>
      <c r="K475" s="564"/>
      <c r="L475" s="564"/>
      <c r="M475" s="564"/>
      <c r="N475" s="564"/>
      <c r="O475" s="565"/>
      <c r="P475" s="561" t="s">
        <v>40</v>
      </c>
      <c r="Q475" s="562"/>
      <c r="R475" s="562"/>
      <c r="S475" s="562"/>
      <c r="T475" s="562"/>
      <c r="U475" s="562"/>
      <c r="V475" s="563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556" t="s">
        <v>84</v>
      </c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56"/>
      <c r="P476" s="556"/>
      <c r="Q476" s="556"/>
      <c r="R476" s="556"/>
      <c r="S476" s="556"/>
      <c r="T476" s="556"/>
      <c r="U476" s="556"/>
      <c r="V476" s="556"/>
      <c r="W476" s="556"/>
      <c r="X476" s="556"/>
      <c r="Y476" s="556"/>
      <c r="Z476" s="556"/>
      <c r="AA476" s="66"/>
      <c r="AB476" s="66"/>
      <c r="AC476" s="80"/>
    </row>
    <row r="477" spans="1:68" ht="27" customHeight="1" x14ac:dyDescent="0.25">
      <c r="A477" s="63" t="s">
        <v>738</v>
      </c>
      <c r="B477" s="63" t="s">
        <v>739</v>
      </c>
      <c r="C477" s="36">
        <v>4301052046</v>
      </c>
      <c r="D477" s="557">
        <v>4640242180533</v>
      </c>
      <c r="E477" s="557"/>
      <c r="F477" s="62">
        <v>1.5</v>
      </c>
      <c r="G477" s="37">
        <v>6</v>
      </c>
      <c r="H477" s="62">
        <v>9</v>
      </c>
      <c r="I477" s="62">
        <v>9.5190000000000001</v>
      </c>
      <c r="J477" s="37">
        <v>64</v>
      </c>
      <c r="K477" s="37" t="s">
        <v>117</v>
      </c>
      <c r="L477" s="37" t="s">
        <v>118</v>
      </c>
      <c r="M477" s="38" t="s">
        <v>96</v>
      </c>
      <c r="N477" s="38"/>
      <c r="O477" s="37">
        <v>45</v>
      </c>
      <c r="P477" s="5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9"/>
      <c r="R477" s="559"/>
      <c r="S477" s="559"/>
      <c r="T477" s="560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740</v>
      </c>
      <c r="AG477" s="78"/>
      <c r="AJ477" s="84" t="s">
        <v>101</v>
      </c>
      <c r="AK477" s="84">
        <v>72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564"/>
      <c r="B478" s="564"/>
      <c r="C478" s="564"/>
      <c r="D478" s="564"/>
      <c r="E478" s="564"/>
      <c r="F478" s="564"/>
      <c r="G478" s="564"/>
      <c r="H478" s="564"/>
      <c r="I478" s="564"/>
      <c r="J478" s="564"/>
      <c r="K478" s="564"/>
      <c r="L478" s="564"/>
      <c r="M478" s="564"/>
      <c r="N478" s="564"/>
      <c r="O478" s="565"/>
      <c r="P478" s="561" t="s">
        <v>40</v>
      </c>
      <c r="Q478" s="562"/>
      <c r="R478" s="562"/>
      <c r="S478" s="562"/>
      <c r="T478" s="562"/>
      <c r="U478" s="562"/>
      <c r="V478" s="563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564"/>
      <c r="B479" s="564"/>
      <c r="C479" s="564"/>
      <c r="D479" s="564"/>
      <c r="E479" s="564"/>
      <c r="F479" s="564"/>
      <c r="G479" s="564"/>
      <c r="H479" s="564"/>
      <c r="I479" s="564"/>
      <c r="J479" s="564"/>
      <c r="K479" s="564"/>
      <c r="L479" s="564"/>
      <c r="M479" s="564"/>
      <c r="N479" s="564"/>
      <c r="O479" s="565"/>
      <c r="P479" s="561" t="s">
        <v>40</v>
      </c>
      <c r="Q479" s="562"/>
      <c r="R479" s="562"/>
      <c r="S479" s="562"/>
      <c r="T479" s="562"/>
      <c r="U479" s="562"/>
      <c r="V479" s="563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556" t="s">
        <v>177</v>
      </c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56"/>
      <c r="P480" s="556"/>
      <c r="Q480" s="556"/>
      <c r="R480" s="556"/>
      <c r="S480" s="556"/>
      <c r="T480" s="556"/>
      <c r="U480" s="556"/>
      <c r="V480" s="556"/>
      <c r="W480" s="556"/>
      <c r="X480" s="556"/>
      <c r="Y480" s="556"/>
      <c r="Z480" s="556"/>
      <c r="AA480" s="66"/>
      <c r="AB480" s="66"/>
      <c r="AC480" s="80"/>
    </row>
    <row r="481" spans="1:68" ht="27" customHeight="1" x14ac:dyDescent="0.25">
      <c r="A481" s="63" t="s">
        <v>741</v>
      </c>
      <c r="B481" s="63" t="s">
        <v>742</v>
      </c>
      <c r="C481" s="36">
        <v>4301060491</v>
      </c>
      <c r="D481" s="557">
        <v>4640242180120</v>
      </c>
      <c r="E481" s="557"/>
      <c r="F481" s="62">
        <v>1.5</v>
      </c>
      <c r="G481" s="37">
        <v>6</v>
      </c>
      <c r="H481" s="62">
        <v>9</v>
      </c>
      <c r="I481" s="62">
        <v>9.4350000000000005</v>
      </c>
      <c r="J481" s="37">
        <v>64</v>
      </c>
      <c r="K481" s="37" t="s">
        <v>117</v>
      </c>
      <c r="L481" s="37" t="s">
        <v>45</v>
      </c>
      <c r="M481" s="38" t="s">
        <v>88</v>
      </c>
      <c r="N481" s="38"/>
      <c r="O481" s="37">
        <v>40</v>
      </c>
      <c r="P481" s="57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9"/>
      <c r="R481" s="559"/>
      <c r="S481" s="559"/>
      <c r="T481" s="560"/>
      <c r="U481" s="39" t="s">
        <v>45</v>
      </c>
      <c r="V481" s="39" t="s">
        <v>45</v>
      </c>
      <c r="W481" s="40" t="s">
        <v>0</v>
      </c>
      <c r="X481" s="58">
        <v>18</v>
      </c>
      <c r="Y481" s="55">
        <f>IFERROR(IF(X481="",0,CEILING((X481/$H481),1)*$H481),"")</f>
        <v>18</v>
      </c>
      <c r="Z481" s="41">
        <f>IFERROR(IF(Y481=0,"",ROUNDUP(Y481/H481,0)*0.01898),"")</f>
        <v>3.7960000000000001E-2</v>
      </c>
      <c r="AA481" s="68" t="s">
        <v>45</v>
      </c>
      <c r="AB481" s="69" t="s">
        <v>45</v>
      </c>
      <c r="AC481" s="546" t="s">
        <v>743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18.87</v>
      </c>
      <c r="BN481" s="78">
        <f>IFERROR(Y481*I481/H481,"0")</f>
        <v>18.87</v>
      </c>
      <c r="BO481" s="78">
        <f>IFERROR(1/J481*(X481/H481),"0")</f>
        <v>3.125E-2</v>
      </c>
      <c r="BP481" s="78">
        <f>IFERROR(1/J481*(Y481/H481),"0")</f>
        <v>3.125E-2</v>
      </c>
    </row>
    <row r="482" spans="1:68" ht="27" customHeight="1" x14ac:dyDescent="0.25">
      <c r="A482" s="63" t="s">
        <v>744</v>
      </c>
      <c r="B482" s="63" t="s">
        <v>745</v>
      </c>
      <c r="C482" s="36">
        <v>4301060493</v>
      </c>
      <c r="D482" s="557">
        <v>4640242180137</v>
      </c>
      <c r="E482" s="557"/>
      <c r="F482" s="62">
        <v>1.5</v>
      </c>
      <c r="G482" s="37">
        <v>6</v>
      </c>
      <c r="H482" s="62">
        <v>9</v>
      </c>
      <c r="I482" s="62">
        <v>9.4350000000000005</v>
      </c>
      <c r="J482" s="37">
        <v>64</v>
      </c>
      <c r="K482" s="37" t="s">
        <v>117</v>
      </c>
      <c r="L482" s="37" t="s">
        <v>45</v>
      </c>
      <c r="M482" s="38" t="s">
        <v>88</v>
      </c>
      <c r="N482" s="38"/>
      <c r="O482" s="37">
        <v>40</v>
      </c>
      <c r="P482" s="57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9"/>
      <c r="R482" s="559"/>
      <c r="S482" s="559"/>
      <c r="T482" s="560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746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564"/>
      <c r="B483" s="564"/>
      <c r="C483" s="564"/>
      <c r="D483" s="564"/>
      <c r="E483" s="564"/>
      <c r="F483" s="564"/>
      <c r="G483" s="564"/>
      <c r="H483" s="564"/>
      <c r="I483" s="564"/>
      <c r="J483" s="564"/>
      <c r="K483" s="564"/>
      <c r="L483" s="564"/>
      <c r="M483" s="564"/>
      <c r="N483" s="564"/>
      <c r="O483" s="565"/>
      <c r="P483" s="561" t="s">
        <v>40</v>
      </c>
      <c r="Q483" s="562"/>
      <c r="R483" s="562"/>
      <c r="S483" s="562"/>
      <c r="T483" s="562"/>
      <c r="U483" s="562"/>
      <c r="V483" s="563"/>
      <c r="W483" s="42" t="s">
        <v>39</v>
      </c>
      <c r="X483" s="43">
        <f>IFERROR(X481/H481,"0")+IFERROR(X482/H482,"0")</f>
        <v>2</v>
      </c>
      <c r="Y483" s="43">
        <f>IFERROR(Y481/H481,"0")+IFERROR(Y482/H482,"0")</f>
        <v>2</v>
      </c>
      <c r="Z483" s="43">
        <f>IFERROR(IF(Z481="",0,Z481),"0")+IFERROR(IF(Z482="",0,Z482),"0")</f>
        <v>3.7960000000000001E-2</v>
      </c>
      <c r="AA483" s="67"/>
      <c r="AB483" s="67"/>
      <c r="AC483" s="67"/>
    </row>
    <row r="484" spans="1:68" x14ac:dyDescent="0.2">
      <c r="A484" s="564"/>
      <c r="B484" s="564"/>
      <c r="C484" s="564"/>
      <c r="D484" s="564"/>
      <c r="E484" s="564"/>
      <c r="F484" s="564"/>
      <c r="G484" s="564"/>
      <c r="H484" s="564"/>
      <c r="I484" s="564"/>
      <c r="J484" s="564"/>
      <c r="K484" s="564"/>
      <c r="L484" s="564"/>
      <c r="M484" s="564"/>
      <c r="N484" s="564"/>
      <c r="O484" s="565"/>
      <c r="P484" s="561" t="s">
        <v>40</v>
      </c>
      <c r="Q484" s="562"/>
      <c r="R484" s="562"/>
      <c r="S484" s="562"/>
      <c r="T484" s="562"/>
      <c r="U484" s="562"/>
      <c r="V484" s="563"/>
      <c r="W484" s="42" t="s">
        <v>0</v>
      </c>
      <c r="X484" s="43">
        <f>IFERROR(SUM(X481:X482),"0")</f>
        <v>18</v>
      </c>
      <c r="Y484" s="43">
        <f>IFERROR(SUM(Y481:Y482),"0")</f>
        <v>18</v>
      </c>
      <c r="Z484" s="42"/>
      <c r="AA484" s="67"/>
      <c r="AB484" s="67"/>
      <c r="AC484" s="67"/>
    </row>
    <row r="485" spans="1:68" ht="16.5" customHeight="1" x14ac:dyDescent="0.25">
      <c r="A485" s="572" t="s">
        <v>747</v>
      </c>
      <c r="B485" s="572"/>
      <c r="C485" s="572"/>
      <c r="D485" s="572"/>
      <c r="E485" s="572"/>
      <c r="F485" s="572"/>
      <c r="G485" s="572"/>
      <c r="H485" s="572"/>
      <c r="I485" s="572"/>
      <c r="J485" s="572"/>
      <c r="K485" s="572"/>
      <c r="L485" s="572"/>
      <c r="M485" s="572"/>
      <c r="N485" s="572"/>
      <c r="O485" s="572"/>
      <c r="P485" s="572"/>
      <c r="Q485" s="572"/>
      <c r="R485" s="572"/>
      <c r="S485" s="572"/>
      <c r="T485" s="572"/>
      <c r="U485" s="572"/>
      <c r="V485" s="572"/>
      <c r="W485" s="572"/>
      <c r="X485" s="572"/>
      <c r="Y485" s="572"/>
      <c r="Z485" s="572"/>
      <c r="AA485" s="65"/>
      <c r="AB485" s="65"/>
      <c r="AC485" s="79"/>
    </row>
    <row r="486" spans="1:68" ht="14.25" customHeight="1" x14ac:dyDescent="0.25">
      <c r="A486" s="556" t="s">
        <v>147</v>
      </c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56"/>
      <c r="P486" s="556"/>
      <c r="Q486" s="556"/>
      <c r="R486" s="556"/>
      <c r="S486" s="556"/>
      <c r="T486" s="556"/>
      <c r="U486" s="556"/>
      <c r="V486" s="556"/>
      <c r="W486" s="556"/>
      <c r="X486" s="556"/>
      <c r="Y486" s="556"/>
      <c r="Z486" s="556"/>
      <c r="AA486" s="66"/>
      <c r="AB486" s="66"/>
      <c r="AC486" s="80"/>
    </row>
    <row r="487" spans="1:68" ht="27" customHeight="1" x14ac:dyDescent="0.25">
      <c r="A487" s="63" t="s">
        <v>748</v>
      </c>
      <c r="B487" s="63" t="s">
        <v>749</v>
      </c>
      <c r="C487" s="36">
        <v>4301020314</v>
      </c>
      <c r="D487" s="557">
        <v>4640242180090</v>
      </c>
      <c r="E487" s="557"/>
      <c r="F487" s="62">
        <v>1.5</v>
      </c>
      <c r="G487" s="37">
        <v>8</v>
      </c>
      <c r="H487" s="62">
        <v>12</v>
      </c>
      <c r="I487" s="62">
        <v>12.435</v>
      </c>
      <c r="J487" s="37">
        <v>64</v>
      </c>
      <c r="K487" s="37" t="s">
        <v>117</v>
      </c>
      <c r="L487" s="37" t="s">
        <v>45</v>
      </c>
      <c r="M487" s="38" t="s">
        <v>116</v>
      </c>
      <c r="N487" s="38"/>
      <c r="O487" s="37">
        <v>50</v>
      </c>
      <c r="P487" s="5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9"/>
      <c r="R487" s="559"/>
      <c r="S487" s="559"/>
      <c r="T487" s="560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750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564"/>
      <c r="B488" s="564"/>
      <c r="C488" s="564"/>
      <c r="D488" s="564"/>
      <c r="E488" s="564"/>
      <c r="F488" s="564"/>
      <c r="G488" s="564"/>
      <c r="H488" s="564"/>
      <c r="I488" s="564"/>
      <c r="J488" s="564"/>
      <c r="K488" s="564"/>
      <c r="L488" s="564"/>
      <c r="M488" s="564"/>
      <c r="N488" s="564"/>
      <c r="O488" s="565"/>
      <c r="P488" s="561" t="s">
        <v>40</v>
      </c>
      <c r="Q488" s="562"/>
      <c r="R488" s="562"/>
      <c r="S488" s="562"/>
      <c r="T488" s="562"/>
      <c r="U488" s="562"/>
      <c r="V488" s="563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564"/>
      <c r="B489" s="564"/>
      <c r="C489" s="564"/>
      <c r="D489" s="564"/>
      <c r="E489" s="564"/>
      <c r="F489" s="564"/>
      <c r="G489" s="564"/>
      <c r="H489" s="564"/>
      <c r="I489" s="564"/>
      <c r="J489" s="564"/>
      <c r="K489" s="564"/>
      <c r="L489" s="564"/>
      <c r="M489" s="564"/>
      <c r="N489" s="564"/>
      <c r="O489" s="565"/>
      <c r="P489" s="561" t="s">
        <v>40</v>
      </c>
      <c r="Q489" s="562"/>
      <c r="R489" s="562"/>
      <c r="S489" s="562"/>
      <c r="T489" s="562"/>
      <c r="U489" s="562"/>
      <c r="V489" s="563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564"/>
      <c r="B490" s="564"/>
      <c r="C490" s="564"/>
      <c r="D490" s="564"/>
      <c r="E490" s="564"/>
      <c r="F490" s="564"/>
      <c r="G490" s="564"/>
      <c r="H490" s="564"/>
      <c r="I490" s="564"/>
      <c r="J490" s="564"/>
      <c r="K490" s="564"/>
      <c r="L490" s="564"/>
      <c r="M490" s="564"/>
      <c r="N490" s="564"/>
      <c r="O490" s="569"/>
      <c r="P490" s="566" t="s">
        <v>33</v>
      </c>
      <c r="Q490" s="567"/>
      <c r="R490" s="567"/>
      <c r="S490" s="567"/>
      <c r="T490" s="567"/>
      <c r="U490" s="567"/>
      <c r="V490" s="568"/>
      <c r="W490" s="42" t="s">
        <v>0</v>
      </c>
      <c r="X490" s="43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5894.5700000000006</v>
      </c>
      <c r="Y490" s="43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5894.5700000000006</v>
      </c>
      <c r="Z490" s="42"/>
      <c r="AA490" s="67"/>
      <c r="AB490" s="67"/>
      <c r="AC490" s="67"/>
    </row>
    <row r="491" spans="1:68" x14ac:dyDescent="0.2">
      <c r="A491" s="564"/>
      <c r="B491" s="564"/>
      <c r="C491" s="564"/>
      <c r="D491" s="564"/>
      <c r="E491" s="564"/>
      <c r="F491" s="564"/>
      <c r="G491" s="564"/>
      <c r="H491" s="564"/>
      <c r="I491" s="564"/>
      <c r="J491" s="564"/>
      <c r="K491" s="564"/>
      <c r="L491" s="564"/>
      <c r="M491" s="564"/>
      <c r="N491" s="564"/>
      <c r="O491" s="569"/>
      <c r="P491" s="566" t="s">
        <v>34</v>
      </c>
      <c r="Q491" s="567"/>
      <c r="R491" s="567"/>
      <c r="S491" s="567"/>
      <c r="T491" s="567"/>
      <c r="U491" s="567"/>
      <c r="V491" s="568"/>
      <c r="W491" s="42" t="s">
        <v>0</v>
      </c>
      <c r="X491" s="43">
        <f>IFERROR(SUM(BM22:BM487),"0")</f>
        <v>6155.0579999999982</v>
      </c>
      <c r="Y491" s="43">
        <f>IFERROR(SUM(BN22:BN487),"0")</f>
        <v>6155.0579999999982</v>
      </c>
      <c r="Z491" s="42"/>
      <c r="AA491" s="67"/>
      <c r="AB491" s="67"/>
      <c r="AC491" s="67"/>
    </row>
    <row r="492" spans="1:68" x14ac:dyDescent="0.2">
      <c r="A492" s="564"/>
      <c r="B492" s="564"/>
      <c r="C492" s="564"/>
      <c r="D492" s="564"/>
      <c r="E492" s="564"/>
      <c r="F492" s="564"/>
      <c r="G492" s="564"/>
      <c r="H492" s="564"/>
      <c r="I492" s="564"/>
      <c r="J492" s="564"/>
      <c r="K492" s="564"/>
      <c r="L492" s="564"/>
      <c r="M492" s="564"/>
      <c r="N492" s="564"/>
      <c r="O492" s="569"/>
      <c r="P492" s="566" t="s">
        <v>35</v>
      </c>
      <c r="Q492" s="567"/>
      <c r="R492" s="567"/>
      <c r="S492" s="567"/>
      <c r="T492" s="567"/>
      <c r="U492" s="567"/>
      <c r="V492" s="568"/>
      <c r="W492" s="42" t="s">
        <v>20</v>
      </c>
      <c r="X492" s="44">
        <f>ROUNDUP(SUM(BO22:BO487),0)</f>
        <v>10</v>
      </c>
      <c r="Y492" s="44">
        <f>ROUNDUP(SUM(BP22:BP487),0)</f>
        <v>10</v>
      </c>
      <c r="Z492" s="42"/>
      <c r="AA492" s="67"/>
      <c r="AB492" s="67"/>
      <c r="AC492" s="67"/>
    </row>
    <row r="493" spans="1:68" x14ac:dyDescent="0.2">
      <c r="A493" s="564"/>
      <c r="B493" s="564"/>
      <c r="C493" s="564"/>
      <c r="D493" s="564"/>
      <c r="E493" s="564"/>
      <c r="F493" s="564"/>
      <c r="G493" s="564"/>
      <c r="H493" s="564"/>
      <c r="I493" s="564"/>
      <c r="J493" s="564"/>
      <c r="K493" s="564"/>
      <c r="L493" s="564"/>
      <c r="M493" s="564"/>
      <c r="N493" s="564"/>
      <c r="O493" s="569"/>
      <c r="P493" s="566" t="s">
        <v>36</v>
      </c>
      <c r="Q493" s="567"/>
      <c r="R493" s="567"/>
      <c r="S493" s="567"/>
      <c r="T493" s="567"/>
      <c r="U493" s="567"/>
      <c r="V493" s="568"/>
      <c r="W493" s="42" t="s">
        <v>0</v>
      </c>
      <c r="X493" s="43">
        <f>GrossWeightTotal+PalletQtyTotal*25</f>
        <v>6405.0579999999982</v>
      </c>
      <c r="Y493" s="43">
        <f>GrossWeightTotalR+PalletQtyTotalR*25</f>
        <v>6405.0579999999982</v>
      </c>
      <c r="Z493" s="42"/>
      <c r="AA493" s="67"/>
      <c r="AB493" s="67"/>
      <c r="AC493" s="67"/>
    </row>
    <row r="494" spans="1:68" x14ac:dyDescent="0.2">
      <c r="A494" s="564"/>
      <c r="B494" s="564"/>
      <c r="C494" s="564"/>
      <c r="D494" s="564"/>
      <c r="E494" s="564"/>
      <c r="F494" s="564"/>
      <c r="G494" s="564"/>
      <c r="H494" s="564"/>
      <c r="I494" s="564"/>
      <c r="J494" s="564"/>
      <c r="K494" s="564"/>
      <c r="L494" s="564"/>
      <c r="M494" s="564"/>
      <c r="N494" s="564"/>
      <c r="O494" s="569"/>
      <c r="P494" s="566" t="s">
        <v>37</v>
      </c>
      <c r="Q494" s="567"/>
      <c r="R494" s="567"/>
      <c r="S494" s="567"/>
      <c r="T494" s="567"/>
      <c r="U494" s="567"/>
      <c r="V494" s="568"/>
      <c r="W494" s="42" t="s">
        <v>20</v>
      </c>
      <c r="X494" s="43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632</v>
      </c>
      <c r="Y494" s="43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632</v>
      </c>
      <c r="Z494" s="42"/>
      <c r="AA494" s="67"/>
      <c r="AB494" s="67"/>
      <c r="AC494" s="67"/>
    </row>
    <row r="495" spans="1:68" ht="14.25" x14ac:dyDescent="0.2">
      <c r="A495" s="564"/>
      <c r="B495" s="564"/>
      <c r="C495" s="564"/>
      <c r="D495" s="564"/>
      <c r="E495" s="564"/>
      <c r="F495" s="564"/>
      <c r="G495" s="564"/>
      <c r="H495" s="564"/>
      <c r="I495" s="564"/>
      <c r="J495" s="564"/>
      <c r="K495" s="564"/>
      <c r="L495" s="564"/>
      <c r="M495" s="564"/>
      <c r="N495" s="564"/>
      <c r="O495" s="569"/>
      <c r="P495" s="566" t="s">
        <v>38</v>
      </c>
      <c r="Q495" s="567"/>
      <c r="R495" s="567"/>
      <c r="S495" s="567"/>
      <c r="T495" s="567"/>
      <c r="U495" s="567"/>
      <c r="V495" s="568"/>
      <c r="W495" s="45" t="s">
        <v>51</v>
      </c>
      <c r="X495" s="42"/>
      <c r="Y495" s="42"/>
      <c r="Z495" s="42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10.668400000000002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77</v>
      </c>
      <c r="C497" s="552" t="s">
        <v>110</v>
      </c>
      <c r="D497" s="552" t="s">
        <v>110</v>
      </c>
      <c r="E497" s="552" t="s">
        <v>110</v>
      </c>
      <c r="F497" s="552" t="s">
        <v>110</v>
      </c>
      <c r="G497" s="552" t="s">
        <v>110</v>
      </c>
      <c r="H497" s="552" t="s">
        <v>110</v>
      </c>
      <c r="I497" s="552" t="s">
        <v>268</v>
      </c>
      <c r="J497" s="552" t="s">
        <v>268</v>
      </c>
      <c r="K497" s="552" t="s">
        <v>268</v>
      </c>
      <c r="L497" s="552" t="s">
        <v>268</v>
      </c>
      <c r="M497" s="552" t="s">
        <v>268</v>
      </c>
      <c r="N497" s="553"/>
      <c r="O497" s="552" t="s">
        <v>268</v>
      </c>
      <c r="P497" s="552" t="s">
        <v>268</v>
      </c>
      <c r="Q497" s="552" t="s">
        <v>268</v>
      </c>
      <c r="R497" s="552" t="s">
        <v>268</v>
      </c>
      <c r="S497" s="552" t="s">
        <v>549</v>
      </c>
      <c r="T497" s="552" t="s">
        <v>549</v>
      </c>
      <c r="U497" s="552" t="s">
        <v>600</v>
      </c>
      <c r="V497" s="552" t="s">
        <v>600</v>
      </c>
      <c r="W497" s="552" t="s">
        <v>600</v>
      </c>
      <c r="X497" s="85" t="s">
        <v>651</v>
      </c>
      <c r="Y497" s="552" t="s">
        <v>711</v>
      </c>
      <c r="Z497" s="552" t="s">
        <v>711</v>
      </c>
      <c r="AB497" s="60"/>
      <c r="AC497" s="60"/>
      <c r="AF497" s="1"/>
    </row>
    <row r="498" spans="1:32" ht="14.25" customHeight="1" thickTop="1" x14ac:dyDescent="0.2">
      <c r="A498" s="554" t="s">
        <v>10</v>
      </c>
      <c r="B498" s="552" t="s">
        <v>77</v>
      </c>
      <c r="C498" s="552" t="s">
        <v>111</v>
      </c>
      <c r="D498" s="552" t="s">
        <v>128</v>
      </c>
      <c r="E498" s="552" t="s">
        <v>184</v>
      </c>
      <c r="F498" s="552" t="s">
        <v>203</v>
      </c>
      <c r="G498" s="552" t="s">
        <v>233</v>
      </c>
      <c r="H498" s="552" t="s">
        <v>110</v>
      </c>
      <c r="I498" s="552" t="s">
        <v>269</v>
      </c>
      <c r="J498" s="552" t="s">
        <v>310</v>
      </c>
      <c r="K498" s="552" t="s">
        <v>370</v>
      </c>
      <c r="L498" s="552" t="s">
        <v>412</v>
      </c>
      <c r="M498" s="552" t="s">
        <v>428</v>
      </c>
      <c r="N498" s="1"/>
      <c r="O498" s="552" t="s">
        <v>439</v>
      </c>
      <c r="P498" s="552" t="s">
        <v>448</v>
      </c>
      <c r="Q498" s="552" t="s">
        <v>458</v>
      </c>
      <c r="R498" s="552" t="s">
        <v>539</v>
      </c>
      <c r="S498" s="552" t="s">
        <v>550</v>
      </c>
      <c r="T498" s="552" t="s">
        <v>584</v>
      </c>
      <c r="U498" s="552" t="s">
        <v>601</v>
      </c>
      <c r="V498" s="552" t="s">
        <v>632</v>
      </c>
      <c r="W498" s="552" t="s">
        <v>647</v>
      </c>
      <c r="X498" s="552" t="s">
        <v>651</v>
      </c>
      <c r="Y498" s="552" t="s">
        <v>711</v>
      </c>
      <c r="Z498" s="552" t="s">
        <v>747</v>
      </c>
      <c r="AB498" s="60"/>
      <c r="AC498" s="60"/>
      <c r="AF498" s="1"/>
    </row>
    <row r="499" spans="1:32" ht="13.5" thickBot="1" x14ac:dyDescent="0.25">
      <c r="A499" s="555"/>
      <c r="B499" s="552"/>
      <c r="C499" s="552"/>
      <c r="D499" s="552"/>
      <c r="E499" s="552"/>
      <c r="F499" s="552"/>
      <c r="G499" s="552"/>
      <c r="H499" s="552"/>
      <c r="I499" s="552"/>
      <c r="J499" s="552"/>
      <c r="K499" s="552"/>
      <c r="L499" s="552"/>
      <c r="M499" s="552"/>
      <c r="N499" s="1"/>
      <c r="O499" s="552"/>
      <c r="P499" s="552"/>
      <c r="Q499" s="552"/>
      <c r="R499" s="552"/>
      <c r="S499" s="552"/>
      <c r="T499" s="552"/>
      <c r="U499" s="552"/>
      <c r="V499" s="552"/>
      <c r="W499" s="552"/>
      <c r="X499" s="552"/>
      <c r="Y499" s="552"/>
      <c r="Z499" s="552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IFERROR(Y22*1,"0")+IFERROR(Y26*1,"0")+IFERROR(Y27*1,"0")+IFERROR(Y28*1,"0")+IFERROR(Y29*1,"0")+IFERROR(Y30*1,"0")+IFERROR(Y34*1,"0")</f>
        <v>2.52</v>
      </c>
      <c r="C500" s="52">
        <f>IFERROR(Y40*1,"0")+IFERROR(Y41*1,"0")+IFERROR(Y42*1,"0")+IFERROR(Y46*1,"0")</f>
        <v>162</v>
      </c>
      <c r="D500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342.84</v>
      </c>
      <c r="E500" s="52">
        <f>IFERROR(Y86*1,"0")+IFERROR(Y87*1,"0")+IFERROR(Y88*1,"0")+IFERROR(Y92*1,"0")+IFERROR(Y93*1,"0")+IFERROR(Y94*1,"0")+IFERROR(Y95*1,"0")</f>
        <v>175.5</v>
      </c>
      <c r="F500" s="52">
        <f>IFERROR(Y100*1,"0")+IFERROR(Y101*1,"0")+IFERROR(Y102*1,"0")+IFERROR(Y103*1,"0")+IFERROR(Y107*1,"0")+IFERROR(Y108*1,"0")+IFERROR(Y109*1,"0")+IFERROR(Y113*1,"0")+IFERROR(Y114*1,"0")+IFERROR(Y115*1,"0")+IFERROR(Y116*1,"0")+IFERROR(Y120*1,"0")</f>
        <v>118.8</v>
      </c>
      <c r="G500" s="52">
        <f>IFERROR(Y125*1,"0")+IFERROR(Y126*1,"0")+IFERROR(Y130*1,"0")+IFERROR(Y131*1,"0")+IFERROR(Y135*1,"0")+IFERROR(Y136*1,"0")</f>
        <v>5.28</v>
      </c>
      <c r="H500" s="52">
        <f>IFERROR(Y141*1,"0")+IFERROR(Y142*1,"0")+IFERROR(Y143*1,"0")+IFERROR(Y147*1,"0")+IFERROR(Y148*1,"0")+IFERROR(Y149*1,"0")+IFERROR(Y153*1,"0")</f>
        <v>55.800000000000004</v>
      </c>
      <c r="I500" s="52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32.580000000000005</v>
      </c>
      <c r="J500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32.4</v>
      </c>
      <c r="K500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2.88</v>
      </c>
      <c r="L500" s="52">
        <f>IFERROR(Y255*1,"0")+IFERROR(Y256*1,"0")+IFERROR(Y257*1,"0")+IFERROR(Y258*1,"0")+IFERROR(Y259*1,"0")</f>
        <v>336</v>
      </c>
      <c r="M500" s="52">
        <f>IFERROR(Y264*1,"0")+IFERROR(Y265*1,"0")+IFERROR(Y266*1,"0")+IFERROR(Y267*1,"0")</f>
        <v>0</v>
      </c>
      <c r="N500" s="1"/>
      <c r="O500" s="52">
        <f>IFERROR(Y272*1,"0")+IFERROR(Y273*1,"0")+IFERROR(Y274*1,"0")</f>
        <v>9.6</v>
      </c>
      <c r="P500" s="52">
        <f>IFERROR(Y279*1,"0")+IFERROR(Y280*1,"0")+IFERROR(Y284*1,"0")</f>
        <v>20.399999999999999</v>
      </c>
      <c r="Q500" s="52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1848.8699999999997</v>
      </c>
      <c r="R500" s="52">
        <f>IFERROR(Y336*1,"0")+IFERROR(Y337*1,"0")+IFERROR(Y338*1,"0")</f>
        <v>64.8</v>
      </c>
      <c r="S500" s="52">
        <f>IFERROR(Y344*1,"0")+IFERROR(Y345*1,"0")+IFERROR(Y346*1,"0")+IFERROR(Y347*1,"0")+IFERROR(Y348*1,"0")+IFERROR(Y349*1,"0")+IFERROR(Y350*1,"0")+IFERROR(Y354*1,"0")+IFERROR(Y355*1,"0")+IFERROR(Y359*1,"0")+IFERROR(Y360*1,"0")+IFERROR(Y364*1,"0")</f>
        <v>2618</v>
      </c>
      <c r="T500" s="52">
        <f>IFERROR(Y369*1,"0")+IFERROR(Y370*1,"0")+IFERROR(Y374*1,"0")+IFERROR(Y375*1,"0")+IFERROR(Y379*1,"0")+IFERROR(Y380*1,"0")</f>
        <v>0</v>
      </c>
      <c r="U500" s="52">
        <f>IFERROR(Y386*1,"0")+IFERROR(Y387*1,"0")+IFERROR(Y388*1,"0")+IFERROR(Y389*1,"0")+IFERROR(Y390*1,"0")+IFERROR(Y391*1,"0")+IFERROR(Y392*1,"0")+IFERROR(Y393*1,"0")+IFERROR(Y394*1,"0")+IFERROR(Y398*1,"0")+IFERROR(Y399*1,"0")</f>
        <v>27.3</v>
      </c>
      <c r="V500" s="52">
        <f>IFERROR(Y404*1,"0")+IFERROR(Y408*1,"0")+IFERROR(Y409*1,"0")+IFERROR(Y410*1,"0")+IFERROR(Y411*1,"0")</f>
        <v>21</v>
      </c>
      <c r="W500" s="52">
        <f>IFERROR(Y416*1,"0")</f>
        <v>0</v>
      </c>
      <c r="X500" s="52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18</v>
      </c>
      <c r="Z500" s="52">
        <f>IFERROR(Y487*1,"0")</f>
        <v>0</v>
      </c>
      <c r="AB500" s="60"/>
      <c r="AC500" s="60"/>
      <c r="AF500" s="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P365:V365"/>
    <mergeCell ref="A365:O366"/>
    <mergeCell ref="P366:V366"/>
    <mergeCell ref="A367:Z367"/>
    <mergeCell ref="A368:Z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A384:Z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400:V400"/>
    <mergeCell ref="A400:O401"/>
    <mergeCell ref="P401:V401"/>
    <mergeCell ref="A402:Z402"/>
    <mergeCell ref="A403:Z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7 X472:X473 X461 X442:X444 X436 X427 X422:X424 X408 X398:X399 X388 X386 X379:X380 X374 X369:X370 X359:X360 X354 X350 X344:X347 X336:X338 X325 X316:X318 X311 X308 X304 X301:X302 X298:X299 X290:X294 X284 X274 X259 X257 X255 X233 X228 X219 X209:X215 X203 X196:X201 X187 X169 X165:X167 X163 X149 X147 X142 X136 X130:X131 X125:X126 X120 X113:X116 X100:X102 X95 X92 X88 X86 X80:X81 X76 X74 X62 X60 X55:X56 X51:X52 X46 X40:X41 X29:X30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9"/>
    </row>
    <row r="3" spans="2:8" x14ac:dyDescent="0.2">
      <c r="B3" s="53" t="s">
        <v>752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754</v>
      </c>
      <c r="D6" s="53" t="s">
        <v>755</v>
      </c>
      <c r="E6" s="53" t="s">
        <v>45</v>
      </c>
    </row>
    <row r="8" spans="2:8" x14ac:dyDescent="0.2">
      <c r="B8" s="53" t="s">
        <v>76</v>
      </c>
      <c r="C8" s="53" t="s">
        <v>754</v>
      </c>
      <c r="D8" s="53" t="s">
        <v>45</v>
      </c>
      <c r="E8" s="53" t="s">
        <v>45</v>
      </c>
    </row>
    <row r="10" spans="2:8" x14ac:dyDescent="0.2">
      <c r="B10" s="53" t="s">
        <v>756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757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758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759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760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761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762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763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764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765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766</v>
      </c>
      <c r="C20" s="53" t="s">
        <v>45</v>
      </c>
      <c r="D20" s="53" t="s">
        <v>45</v>
      </c>
      <c r="E20" s="53" t="s">
        <v>45</v>
      </c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bb0b2827-4eb3-461f-8866-28597c48f473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2025-11-04T12:04:18Z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