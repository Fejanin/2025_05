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"/>
    </mc:Choice>
  </mc:AlternateContent>
  <xr:revisionPtr revIDLastSave="0" documentId="13_ncr:1_{1052D940-8C1F-47B3-8113-1679815BA8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1" l="1"/>
  <c r="D11" i="1"/>
  <c r="E11" i="1" l="1"/>
  <c r="Q4" i="1" l="1"/>
  <c r="Q5" i="1"/>
  <c r="Q6" i="1"/>
  <c r="Q7" i="1"/>
  <c r="Q8" i="1"/>
  <c r="Q9" i="1"/>
  <c r="Q10" i="1"/>
  <c r="Q3" i="1"/>
  <c r="P11" i="1"/>
  <c r="O11" i="1"/>
  <c r="N11" i="1"/>
  <c r="F11" i="1" l="1"/>
  <c r="G11" i="1"/>
  <c r="H11" i="1"/>
  <c r="I11" i="1"/>
  <c r="J11" i="1"/>
  <c r="K11" i="1"/>
  <c r="L11" i="1"/>
  <c r="M11" i="1"/>
  <c r="B11" i="1" l="1"/>
  <c r="B13" i="1" s="1"/>
  <c r="Q11" i="1" l="1"/>
</calcChain>
</file>

<file path=xl/sharedStrings.xml><?xml version="1.0" encoding="utf-8"?>
<sst xmlns="http://schemas.openxmlformats.org/spreadsheetml/2006/main" count="30" uniqueCount="21">
  <si>
    <t>ПОЛУЧАТЕЛЬ</t>
  </si>
  <si>
    <t>3 машина</t>
  </si>
  <si>
    <t>Остаток</t>
  </si>
  <si>
    <t>ИТОГОВЫЕ ДАННЫЕ</t>
  </si>
  <si>
    <t>нетто</t>
  </si>
  <si>
    <t>брутто</t>
  </si>
  <si>
    <t>паллеты</t>
  </si>
  <si>
    <t>4 машина</t>
  </si>
  <si>
    <t>НПК ЛП</t>
  </si>
  <si>
    <t>ВЕС НЕТТО</t>
  </si>
  <si>
    <t>ВЕС БРУТТО</t>
  </si>
  <si>
    <t>ПАЛЛЕТЫ</t>
  </si>
  <si>
    <t>Коныгин</t>
  </si>
  <si>
    <t>1 машина на 27,06</t>
  </si>
  <si>
    <t>1 машина на 26,06</t>
  </si>
  <si>
    <t>Кочевой НВ</t>
  </si>
  <si>
    <t>Кочевой ЛП</t>
  </si>
  <si>
    <t>Коныгин2</t>
  </si>
  <si>
    <t>Пушкарный(ВВ)</t>
  </si>
  <si>
    <t>Пушкарный(ВВ)2</t>
  </si>
  <si>
    <t>ПРС 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</si>
</sst>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3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18" xfId="0" applyFill="1" applyBorder="1"/>
    <xf numFmtId="0" fontId="0" fillId="4" borderId="11" xfId="0" applyFill="1" applyBorder="1"/>
    <xf numFmtId="0" fontId="0" fillId="4" borderId="2" xfId="0" applyFill="1" applyBorder="1"/>
    <xf numFmtId="0" fontId="0" fillId="4" borderId="12" xfId="0" applyFill="1" applyBorder="1"/>
    <xf numFmtId="0" fontId="0" fillId="4" borderId="6" xfId="0" applyFill="1" applyBorder="1"/>
    <xf numFmtId="0" fontId="0" fillId="4" borderId="1" xfId="0" applyFill="1" applyBorder="1"/>
    <xf numFmtId="0" fontId="0" fillId="4" borderId="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zoomScale="115" zoomScaleNormal="115" workbookViewId="0">
      <selection activeCell="I17" sqref="I17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7" x14ac:dyDescent="0.25">
      <c r="A1" s="31" t="s">
        <v>0</v>
      </c>
      <c r="B1" s="33" t="s">
        <v>9</v>
      </c>
      <c r="C1" s="33" t="s">
        <v>10</v>
      </c>
      <c r="D1" s="33" t="s">
        <v>11</v>
      </c>
      <c r="E1" s="31" t="s">
        <v>14</v>
      </c>
      <c r="F1" s="35"/>
      <c r="G1" s="36"/>
      <c r="H1" s="31" t="s">
        <v>13</v>
      </c>
      <c r="I1" s="35"/>
      <c r="J1" s="36"/>
      <c r="K1" s="31" t="s">
        <v>1</v>
      </c>
      <c r="L1" s="35"/>
      <c r="M1" s="36"/>
      <c r="N1" s="31" t="s">
        <v>7</v>
      </c>
      <c r="O1" s="35"/>
      <c r="P1" s="36"/>
      <c r="Q1" s="29" t="s">
        <v>2</v>
      </c>
    </row>
    <row r="2" spans="1:17" ht="30.75" thickBot="1" x14ac:dyDescent="0.3">
      <c r="A2" s="32"/>
      <c r="B2" s="34"/>
      <c r="C2" s="34"/>
      <c r="D2" s="34"/>
      <c r="E2" s="17" t="s">
        <v>4</v>
      </c>
      <c r="F2" s="18" t="s">
        <v>5</v>
      </c>
      <c r="G2" s="19" t="s">
        <v>6</v>
      </c>
      <c r="H2" s="17" t="s">
        <v>4</v>
      </c>
      <c r="I2" s="18" t="s">
        <v>5</v>
      </c>
      <c r="J2" s="19" t="s">
        <v>6</v>
      </c>
      <c r="K2" s="17" t="s">
        <v>4</v>
      </c>
      <c r="L2" s="18" t="s">
        <v>5</v>
      </c>
      <c r="M2" s="19" t="s">
        <v>6</v>
      </c>
      <c r="N2" s="17" t="s">
        <v>4</v>
      </c>
      <c r="O2" s="18" t="s">
        <v>5</v>
      </c>
      <c r="P2" s="19" t="s">
        <v>6</v>
      </c>
      <c r="Q2" s="30"/>
    </row>
    <row r="3" spans="1:17" x14ac:dyDescent="0.25">
      <c r="A3" s="41" t="s">
        <v>15</v>
      </c>
      <c r="B3" s="41">
        <v>1576</v>
      </c>
      <c r="C3" s="42">
        <v>1778</v>
      </c>
      <c r="D3" s="43">
        <v>3</v>
      </c>
      <c r="E3" s="20"/>
      <c r="F3" s="21"/>
      <c r="G3" s="22"/>
      <c r="H3" s="6"/>
      <c r="I3" s="3"/>
      <c r="J3" s="7"/>
      <c r="K3" s="6"/>
      <c r="L3" s="3"/>
      <c r="M3" s="7"/>
      <c r="N3" s="6"/>
      <c r="O3" s="3"/>
      <c r="P3" s="7"/>
      <c r="Q3" s="8">
        <f>B3-E3-H3-K3-N3</f>
        <v>1576</v>
      </c>
    </row>
    <row r="4" spans="1:17" x14ac:dyDescent="0.25">
      <c r="A4" s="41" t="s">
        <v>16</v>
      </c>
      <c r="B4" s="44">
        <v>11293</v>
      </c>
      <c r="C4" s="45">
        <v>12462</v>
      </c>
      <c r="D4" s="46">
        <v>20</v>
      </c>
      <c r="E4" s="23"/>
      <c r="F4" s="24"/>
      <c r="G4" s="25"/>
      <c r="H4" s="4"/>
      <c r="I4" s="2"/>
      <c r="J4" s="5"/>
      <c r="K4" s="4"/>
      <c r="L4" s="2"/>
      <c r="M4" s="5"/>
      <c r="N4" s="4"/>
      <c r="O4" s="2"/>
      <c r="P4" s="5"/>
      <c r="Q4" s="8">
        <f t="shared" ref="Q4:Q10" si="0">B4-E4-H4-K4-N4</f>
        <v>11293</v>
      </c>
    </row>
    <row r="5" spans="1:17" x14ac:dyDescent="0.25">
      <c r="A5" s="37" t="s">
        <v>12</v>
      </c>
      <c r="B5" s="37">
        <v>1345</v>
      </c>
      <c r="C5" s="38">
        <v>1531</v>
      </c>
      <c r="D5" s="39">
        <v>3</v>
      </c>
      <c r="E5" s="23"/>
      <c r="F5" s="24"/>
      <c r="G5" s="25"/>
      <c r="H5" s="4"/>
      <c r="I5" s="2"/>
      <c r="J5" s="5"/>
      <c r="K5" s="4"/>
      <c r="L5" s="2"/>
      <c r="M5" s="5"/>
      <c r="N5" s="4"/>
      <c r="O5" s="2"/>
      <c r="P5" s="5"/>
      <c r="Q5" s="8">
        <f t="shared" si="0"/>
        <v>1345</v>
      </c>
    </row>
    <row r="6" spans="1:17" x14ac:dyDescent="0.25">
      <c r="A6" s="37" t="s">
        <v>17</v>
      </c>
      <c r="B6" s="37">
        <v>3000</v>
      </c>
      <c r="C6" s="38">
        <v>3365</v>
      </c>
      <c r="D6" s="39">
        <v>7</v>
      </c>
      <c r="E6" s="23"/>
      <c r="F6" s="24"/>
      <c r="G6" s="25"/>
      <c r="H6" s="4"/>
      <c r="I6" s="2"/>
      <c r="J6" s="5"/>
      <c r="K6" s="4"/>
      <c r="L6" s="2"/>
      <c r="M6" s="5"/>
      <c r="N6" s="4"/>
      <c r="O6" s="2"/>
      <c r="P6" s="5"/>
      <c r="Q6" s="8">
        <f t="shared" si="0"/>
        <v>3000</v>
      </c>
    </row>
    <row r="7" spans="1:17" x14ac:dyDescent="0.25">
      <c r="A7" s="37" t="s">
        <v>18</v>
      </c>
      <c r="B7" s="37">
        <v>2630</v>
      </c>
      <c r="C7" s="38">
        <v>2882</v>
      </c>
      <c r="D7" s="39">
        <v>5</v>
      </c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8">
        <f t="shared" si="0"/>
        <v>2630</v>
      </c>
    </row>
    <row r="8" spans="1:17" x14ac:dyDescent="0.25">
      <c r="A8" s="37" t="s">
        <v>19</v>
      </c>
      <c r="B8" s="37">
        <v>2496</v>
      </c>
      <c r="C8" s="38">
        <v>2777</v>
      </c>
      <c r="D8" s="39">
        <v>5</v>
      </c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8">
        <f t="shared" si="0"/>
        <v>2496</v>
      </c>
    </row>
    <row r="9" spans="1:17" x14ac:dyDescent="0.25">
      <c r="A9" s="40" t="s">
        <v>8</v>
      </c>
      <c r="B9" s="37">
        <v>13000</v>
      </c>
      <c r="C9" s="38">
        <v>14673</v>
      </c>
      <c r="D9" s="39">
        <v>24</v>
      </c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13000</v>
      </c>
    </row>
    <row r="10" spans="1:17" ht="15.75" thickBot="1" x14ac:dyDescent="0.3">
      <c r="A10" s="47" t="s">
        <v>20</v>
      </c>
      <c r="B10" s="47">
        <v>1667</v>
      </c>
      <c r="C10" s="48">
        <v>2055</v>
      </c>
      <c r="D10" s="49">
        <v>4</v>
      </c>
      <c r="E10" s="26"/>
      <c r="F10" s="27"/>
      <c r="G10" s="28"/>
      <c r="H10" s="9"/>
      <c r="I10" s="10"/>
      <c r="J10" s="11"/>
      <c r="K10" s="9"/>
      <c r="L10" s="10"/>
      <c r="M10" s="11"/>
      <c r="N10" s="9"/>
      <c r="O10" s="10"/>
      <c r="P10" s="11"/>
      <c r="Q10" s="8">
        <f t="shared" si="0"/>
        <v>1667</v>
      </c>
    </row>
    <row r="11" spans="1:17" s="1" customFormat="1" ht="15.75" thickBot="1" x14ac:dyDescent="0.3">
      <c r="A11" s="12" t="s">
        <v>3</v>
      </c>
      <c r="B11" s="13">
        <f t="shared" ref="B11:Q11" si="1">SUM(B3:B10)</f>
        <v>37007</v>
      </c>
      <c r="C11" s="13">
        <f t="shared" si="1"/>
        <v>41523</v>
      </c>
      <c r="D11" s="13">
        <f t="shared" si="1"/>
        <v>71</v>
      </c>
      <c r="E11" s="12">
        <f t="shared" si="1"/>
        <v>0</v>
      </c>
      <c r="F11" s="14">
        <f t="shared" si="1"/>
        <v>0</v>
      </c>
      <c r="G11" s="15">
        <f t="shared" si="1"/>
        <v>0</v>
      </c>
      <c r="H11" s="12">
        <f t="shared" si="1"/>
        <v>0</v>
      </c>
      <c r="I11" s="14">
        <f t="shared" si="1"/>
        <v>0</v>
      </c>
      <c r="J11" s="15">
        <f t="shared" si="1"/>
        <v>0</v>
      </c>
      <c r="K11" s="12">
        <f t="shared" si="1"/>
        <v>0</v>
      </c>
      <c r="L11" s="14">
        <f t="shared" si="1"/>
        <v>0</v>
      </c>
      <c r="M11" s="15">
        <f t="shared" si="1"/>
        <v>0</v>
      </c>
      <c r="N11" s="12">
        <f t="shared" si="1"/>
        <v>0</v>
      </c>
      <c r="O11" s="14">
        <f t="shared" si="1"/>
        <v>0</v>
      </c>
      <c r="P11" s="15">
        <f t="shared" si="1"/>
        <v>0</v>
      </c>
      <c r="Q11" s="16">
        <f t="shared" si="1"/>
        <v>37007</v>
      </c>
    </row>
    <row r="13" spans="1:17" x14ac:dyDescent="0.25">
      <c r="B13">
        <f>B11/17500</f>
        <v>2.1146857142857143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2026-08-20T08:43:01Z</dcterms:modified>
</cp:coreProperties>
</file>