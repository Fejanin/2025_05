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112-05.11.26_Д\"/>
    </mc:Choice>
  </mc:AlternateContent>
  <xr:revisionPtr revIDLastSave="0" documentId="13_ncr:1_{FE476D9A-8E86-4B76-824D-FCEFEE39F20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BO274" i="2"/>
  <c r="BM274" i="2"/>
  <c r="Z274" i="2"/>
  <c r="Y274" i="2"/>
  <c r="BP274" i="2" s="1"/>
  <c r="P274" i="2"/>
  <c r="BO273" i="2"/>
  <c r="BM273" i="2"/>
  <c r="Z273" i="2"/>
  <c r="Y273" i="2"/>
  <c r="BP273" i="2" s="1"/>
  <c r="BO272" i="2"/>
  <c r="BM272" i="2"/>
  <c r="Z272" i="2"/>
  <c r="Y272" i="2"/>
  <c r="BP272" i="2" s="1"/>
  <c r="BO271" i="2"/>
  <c r="BM271" i="2"/>
  <c r="Z271" i="2"/>
  <c r="Y271" i="2"/>
  <c r="BP271" i="2" s="1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BP268" i="2" s="1"/>
  <c r="BO267" i="2"/>
  <c r="BM267" i="2"/>
  <c r="Z267" i="2"/>
  <c r="Z277" i="2" s="1"/>
  <c r="Y267" i="2"/>
  <c r="X265" i="2"/>
  <c r="X264" i="2"/>
  <c r="BO263" i="2"/>
  <c r="BM263" i="2"/>
  <c r="Z263" i="2"/>
  <c r="Y263" i="2"/>
  <c r="BN263" i="2" s="1"/>
  <c r="BO262" i="2"/>
  <c r="BM262" i="2"/>
  <c r="Z262" i="2"/>
  <c r="Y262" i="2"/>
  <c r="BO261" i="2"/>
  <c r="BN261" i="2"/>
  <c r="BM261" i="2"/>
  <c r="Z261" i="2"/>
  <c r="Y261" i="2"/>
  <c r="BP261" i="2" s="1"/>
  <c r="Y259" i="2"/>
  <c r="X259" i="2"/>
  <c r="X258" i="2"/>
  <c r="BO257" i="2"/>
  <c r="BM257" i="2"/>
  <c r="Z257" i="2"/>
  <c r="Y257" i="2"/>
  <c r="BN257" i="2" s="1"/>
  <c r="P257" i="2"/>
  <c r="BP256" i="2"/>
  <c r="BO256" i="2"/>
  <c r="BN256" i="2"/>
  <c r="BM256" i="2"/>
  <c r="Z256" i="2"/>
  <c r="Z258" i="2" s="1"/>
  <c r="Y256" i="2"/>
  <c r="P256" i="2"/>
  <c r="X252" i="2"/>
  <c r="X251" i="2"/>
  <c r="BO250" i="2"/>
  <c r="BM250" i="2"/>
  <c r="Z250" i="2"/>
  <c r="Z251" i="2" s="1"/>
  <c r="Y250" i="2"/>
  <c r="Y252" i="2" s="1"/>
  <c r="P250" i="2"/>
  <c r="X248" i="2"/>
  <c r="X247" i="2"/>
  <c r="BO246" i="2"/>
  <c r="BM246" i="2"/>
  <c r="Z246" i="2"/>
  <c r="Z247" i="2" s="1"/>
  <c r="Y246" i="2"/>
  <c r="Y248" i="2" s="1"/>
  <c r="P246" i="2"/>
  <c r="X242" i="2"/>
  <c r="X241" i="2"/>
  <c r="BO240" i="2"/>
  <c r="BM240" i="2"/>
  <c r="Z240" i="2"/>
  <c r="Z241" i="2" s="1"/>
  <c r="Y240" i="2"/>
  <c r="Y242" i="2" s="1"/>
  <c r="P240" i="2"/>
  <c r="X238" i="2"/>
  <c r="X237" i="2"/>
  <c r="BO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2" i="2" s="1"/>
  <c r="P230" i="2"/>
  <c r="X226" i="2"/>
  <c r="Y225" i="2"/>
  <c r="X225" i="2"/>
  <c r="BP224" i="2"/>
  <c r="BO224" i="2"/>
  <c r="BN224" i="2"/>
  <c r="BM224" i="2"/>
  <c r="Z224" i="2"/>
  <c r="Z225" i="2" s="1"/>
  <c r="Y224" i="2"/>
  <c r="Y226" i="2" s="1"/>
  <c r="P224" i="2"/>
  <c r="X221" i="2"/>
  <c r="X220" i="2"/>
  <c r="BO219" i="2"/>
  <c r="BM219" i="2"/>
  <c r="Z219" i="2"/>
  <c r="Y219" i="2"/>
  <c r="BN219" i="2" s="1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Y213" i="2"/>
  <c r="BP213" i="2" s="1"/>
  <c r="P213" i="2"/>
  <c r="BO212" i="2"/>
  <c r="BM212" i="2"/>
  <c r="Z212" i="2"/>
  <c r="Y212" i="2"/>
  <c r="BN212" i="2" s="1"/>
  <c r="P212" i="2"/>
  <c r="X210" i="2"/>
  <c r="Y209" i="2"/>
  <c r="X209" i="2"/>
  <c r="BO208" i="2"/>
  <c r="BN208" i="2"/>
  <c r="BM208" i="2"/>
  <c r="Z208" i="2"/>
  <c r="Z209" i="2" s="1"/>
  <c r="Y208" i="2"/>
  <c r="BP208" i="2" s="1"/>
  <c r="P208" i="2"/>
  <c r="X204" i="2"/>
  <c r="X203" i="2"/>
  <c r="BO202" i="2"/>
  <c r="BM202" i="2"/>
  <c r="Z202" i="2"/>
  <c r="Y202" i="2"/>
  <c r="BP202" i="2" s="1"/>
  <c r="P202" i="2"/>
  <c r="BO201" i="2"/>
  <c r="BM201" i="2"/>
  <c r="Z201" i="2"/>
  <c r="Y201" i="2"/>
  <c r="P201" i="2"/>
  <c r="BO200" i="2"/>
  <c r="BN200" i="2"/>
  <c r="BM200" i="2"/>
  <c r="Z200" i="2"/>
  <c r="Y200" i="2"/>
  <c r="BP200" i="2" s="1"/>
  <c r="P200" i="2"/>
  <c r="BO199" i="2"/>
  <c r="BM199" i="2"/>
  <c r="Z199" i="2"/>
  <c r="Y199" i="2"/>
  <c r="P199" i="2"/>
  <c r="X195" i="2"/>
  <c r="Z194" i="2"/>
  <c r="X194" i="2"/>
  <c r="BO193" i="2"/>
  <c r="BM193" i="2"/>
  <c r="Z193" i="2"/>
  <c r="Y193" i="2"/>
  <c r="BP193" i="2" s="1"/>
  <c r="P193" i="2"/>
  <c r="X190" i="2"/>
  <c r="X189" i="2"/>
  <c r="BO188" i="2"/>
  <c r="BM188" i="2"/>
  <c r="Z188" i="2"/>
  <c r="Y188" i="2"/>
  <c r="BN188" i="2" s="1"/>
  <c r="P188" i="2"/>
  <c r="BO187" i="2"/>
  <c r="BM187" i="2"/>
  <c r="Z187" i="2"/>
  <c r="Z189" i="2" s="1"/>
  <c r="Y187" i="2"/>
  <c r="BN187" i="2" s="1"/>
  <c r="P187" i="2"/>
  <c r="Y184" i="2"/>
  <c r="X184" i="2"/>
  <c r="X183" i="2"/>
  <c r="BP182" i="2"/>
  <c r="BO182" i="2"/>
  <c r="BM182" i="2"/>
  <c r="Z182" i="2"/>
  <c r="Z183" i="2" s="1"/>
  <c r="Y182" i="2"/>
  <c r="Y183" i="2" s="1"/>
  <c r="P182" i="2"/>
  <c r="X180" i="2"/>
  <c r="Z179" i="2"/>
  <c r="X179" i="2"/>
  <c r="BO178" i="2"/>
  <c r="BM178" i="2"/>
  <c r="Z178" i="2"/>
  <c r="Y178" i="2"/>
  <c r="Y179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9" i="2" s="1"/>
  <c r="P167" i="2"/>
  <c r="X164" i="2"/>
  <c r="X163" i="2"/>
  <c r="BO162" i="2"/>
  <c r="BM162" i="2"/>
  <c r="Z162" i="2"/>
  <c r="Z163" i="2" s="1"/>
  <c r="Y162" i="2"/>
  <c r="Y163" i="2" s="1"/>
  <c r="P162" i="2"/>
  <c r="X159" i="2"/>
  <c r="X158" i="2"/>
  <c r="BO157" i="2"/>
  <c r="BM157" i="2"/>
  <c r="Z157" i="2"/>
  <c r="Z158" i="2" s="1"/>
  <c r="Y157" i="2"/>
  <c r="BN157" i="2" s="1"/>
  <c r="P157" i="2"/>
  <c r="BO156" i="2"/>
  <c r="BM156" i="2"/>
  <c r="Z156" i="2"/>
  <c r="Y156" i="2"/>
  <c r="Y159" i="2" s="1"/>
  <c r="P156" i="2"/>
  <c r="X153" i="2"/>
  <c r="X152" i="2"/>
  <c r="BO151" i="2"/>
  <c r="BM151" i="2"/>
  <c r="Z151" i="2"/>
  <c r="Y151" i="2"/>
  <c r="P151" i="2"/>
  <c r="BO150" i="2"/>
  <c r="BM150" i="2"/>
  <c r="Z150" i="2"/>
  <c r="Z152" i="2" s="1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Y147" i="2" s="1"/>
  <c r="P144" i="2"/>
  <c r="X141" i="2"/>
  <c r="X140" i="2"/>
  <c r="BP139" i="2"/>
  <c r="BO139" i="2"/>
  <c r="BN139" i="2"/>
  <c r="BM139" i="2"/>
  <c r="Z139" i="2"/>
  <c r="Y139" i="2"/>
  <c r="P139" i="2"/>
  <c r="BO138" i="2"/>
  <c r="BM138" i="2"/>
  <c r="Z138" i="2"/>
  <c r="Y138" i="2"/>
  <c r="P138" i="2"/>
  <c r="BO137" i="2"/>
  <c r="BM137" i="2"/>
  <c r="Z137" i="2"/>
  <c r="Y137" i="2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P131" i="2"/>
  <c r="BO130" i="2"/>
  <c r="BM130" i="2"/>
  <c r="Z130" i="2"/>
  <c r="Y130" i="2"/>
  <c r="Y134" i="2" s="1"/>
  <c r="P130" i="2"/>
  <c r="X128" i="2"/>
  <c r="Y127" i="2"/>
  <c r="X127" i="2"/>
  <c r="BO126" i="2"/>
  <c r="BM126" i="2"/>
  <c r="Z126" i="2"/>
  <c r="Z127" i="2" s="1"/>
  <c r="Y126" i="2"/>
  <c r="BP126" i="2" s="1"/>
  <c r="P126" i="2"/>
  <c r="X123" i="2"/>
  <c r="Z122" i="2"/>
  <c r="X122" i="2"/>
  <c r="BO121" i="2"/>
  <c r="BM121" i="2"/>
  <c r="Z121" i="2"/>
  <c r="Y121" i="2"/>
  <c r="BP121" i="2" s="1"/>
  <c r="P121" i="2"/>
  <c r="X119" i="2"/>
  <c r="X118" i="2"/>
  <c r="BP117" i="2"/>
  <c r="BO117" i="2"/>
  <c r="BM117" i="2"/>
  <c r="Z117" i="2"/>
  <c r="Z118" i="2" s="1"/>
  <c r="Y117" i="2"/>
  <c r="Y119" i="2" s="1"/>
  <c r="P117" i="2"/>
  <c r="X115" i="2"/>
  <c r="X114" i="2"/>
  <c r="BO113" i="2"/>
  <c r="BM113" i="2"/>
  <c r="Z113" i="2"/>
  <c r="Y113" i="2"/>
  <c r="BP113" i="2" s="1"/>
  <c r="P113" i="2"/>
  <c r="BO112" i="2"/>
  <c r="BN112" i="2"/>
  <c r="BM112" i="2"/>
  <c r="Z112" i="2"/>
  <c r="Y112" i="2"/>
  <c r="BP112" i="2" s="1"/>
  <c r="P112" i="2"/>
  <c r="BP111" i="2"/>
  <c r="BO111" i="2"/>
  <c r="BN111" i="2"/>
  <c r="BM111" i="2"/>
  <c r="Z111" i="2"/>
  <c r="Y111" i="2"/>
  <c r="P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BO108" i="2"/>
  <c r="BM108" i="2"/>
  <c r="Z108" i="2"/>
  <c r="Y108" i="2"/>
  <c r="P108" i="2"/>
  <c r="BP107" i="2"/>
  <c r="BO107" i="2"/>
  <c r="BM107" i="2"/>
  <c r="Z107" i="2"/>
  <c r="Y107" i="2"/>
  <c r="BN107" i="2" s="1"/>
  <c r="P107" i="2"/>
  <c r="X104" i="2"/>
  <c r="X103" i="2"/>
  <c r="BO102" i="2"/>
  <c r="BM102" i="2"/>
  <c r="Z102" i="2"/>
  <c r="Y102" i="2"/>
  <c r="BP102" i="2" s="1"/>
  <c r="P102" i="2"/>
  <c r="BP101" i="2"/>
  <c r="BO101" i="2"/>
  <c r="BM101" i="2"/>
  <c r="Z101" i="2"/>
  <c r="Z103" i="2" s="1"/>
  <c r="Y101" i="2"/>
  <c r="Y104" i="2" s="1"/>
  <c r="P101" i="2"/>
  <c r="X98" i="2"/>
  <c r="X97" i="2"/>
  <c r="BO96" i="2"/>
  <c r="BM96" i="2"/>
  <c r="Z96" i="2"/>
  <c r="Y96" i="2"/>
  <c r="BN96" i="2" s="1"/>
  <c r="P96" i="2"/>
  <c r="BO95" i="2"/>
  <c r="BN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O91" i="2"/>
  <c r="BM91" i="2"/>
  <c r="Z91" i="2"/>
  <c r="Z97" i="2" s="1"/>
  <c r="Y91" i="2"/>
  <c r="BP91" i="2" s="1"/>
  <c r="P91" i="2"/>
  <c r="X88" i="2"/>
  <c r="X87" i="2"/>
  <c r="BO86" i="2"/>
  <c r="BM86" i="2"/>
  <c r="Z86" i="2"/>
  <c r="Y86" i="2"/>
  <c r="BP86" i="2" s="1"/>
  <c r="P86" i="2"/>
  <c r="BO85" i="2"/>
  <c r="BM85" i="2"/>
  <c r="Z85" i="2"/>
  <c r="Y85" i="2"/>
  <c r="P85" i="2"/>
  <c r="X82" i="2"/>
  <c r="X81" i="2"/>
  <c r="BO80" i="2"/>
  <c r="BM80" i="2"/>
  <c r="Z80" i="2"/>
  <c r="Z81" i="2" s="1"/>
  <c r="Y80" i="2"/>
  <c r="Y82" i="2" s="1"/>
  <c r="P80" i="2"/>
  <c r="X77" i="2"/>
  <c r="Z76" i="2"/>
  <c r="X76" i="2"/>
  <c r="BO75" i="2"/>
  <c r="BM75" i="2"/>
  <c r="Z75" i="2"/>
  <c r="Y75" i="2"/>
  <c r="Y76" i="2" s="1"/>
  <c r="P75" i="2"/>
  <c r="BO74" i="2"/>
  <c r="BN74" i="2"/>
  <c r="BM74" i="2"/>
  <c r="Z74" i="2"/>
  <c r="Y74" i="2"/>
  <c r="BP74" i="2" s="1"/>
  <c r="P74" i="2"/>
  <c r="X71" i="2"/>
  <c r="X70" i="2"/>
  <c r="BO69" i="2"/>
  <c r="BM69" i="2"/>
  <c r="Z69" i="2"/>
  <c r="Y69" i="2"/>
  <c r="BP69" i="2" s="1"/>
  <c r="P69" i="2"/>
  <c r="BO68" i="2"/>
  <c r="BN68" i="2"/>
  <c r="BM68" i="2"/>
  <c r="Z68" i="2"/>
  <c r="Y68" i="2"/>
  <c r="BP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P60" i="2" s="1"/>
  <c r="P60" i="2"/>
  <c r="BO59" i="2"/>
  <c r="BM59" i="2"/>
  <c r="Z59" i="2"/>
  <c r="Y59" i="2"/>
  <c r="P59" i="2"/>
  <c r="BP58" i="2"/>
  <c r="BO58" i="2"/>
  <c r="BN58" i="2"/>
  <c r="BM58" i="2"/>
  <c r="Z58" i="2"/>
  <c r="Y58" i="2"/>
  <c r="P58" i="2"/>
  <c r="BP57" i="2"/>
  <c r="BO57" i="2"/>
  <c r="BM57" i="2"/>
  <c r="Z57" i="2"/>
  <c r="Z61" i="2" s="1"/>
  <c r="Y57" i="2"/>
  <c r="BN57" i="2" s="1"/>
  <c r="P57" i="2"/>
  <c r="X54" i="2"/>
  <c r="X53" i="2"/>
  <c r="BO52" i="2"/>
  <c r="BM52" i="2"/>
  <c r="Z52" i="2"/>
  <c r="Z53" i="2" s="1"/>
  <c r="Y52" i="2"/>
  <c r="BN52" i="2" s="1"/>
  <c r="P52" i="2"/>
  <c r="BO51" i="2"/>
  <c r="BM51" i="2"/>
  <c r="Z51" i="2"/>
  <c r="Y51" i="2"/>
  <c r="BN51" i="2" s="1"/>
  <c r="P51" i="2"/>
  <c r="X48" i="2"/>
  <c r="X47" i="2"/>
  <c r="BO46" i="2"/>
  <c r="BM46" i="2"/>
  <c r="Z46" i="2"/>
  <c r="Y46" i="2"/>
  <c r="BN46" i="2" s="1"/>
  <c r="P46" i="2"/>
  <c r="BO45" i="2"/>
  <c r="BM45" i="2"/>
  <c r="Z45" i="2"/>
  <c r="Z47" i="2" s="1"/>
  <c r="Y45" i="2"/>
  <c r="P45" i="2"/>
  <c r="X41" i="2"/>
  <c r="Y40" i="2"/>
  <c r="X40" i="2"/>
  <c r="BO39" i="2"/>
  <c r="BM39" i="2"/>
  <c r="Z39" i="2"/>
  <c r="Y39" i="2"/>
  <c r="Y41" i="2" s="1"/>
  <c r="P39" i="2"/>
  <c r="BO38" i="2"/>
  <c r="BM38" i="2"/>
  <c r="Z38" i="2"/>
  <c r="Y38" i="2"/>
  <c r="BP38" i="2" s="1"/>
  <c r="P38" i="2"/>
  <c r="X35" i="2"/>
  <c r="X34" i="2"/>
  <c r="BO33" i="2"/>
  <c r="BM33" i="2"/>
  <c r="Z33" i="2"/>
  <c r="Z34" i="2" s="1"/>
  <c r="Y33" i="2"/>
  <c r="BP33" i="2" s="1"/>
  <c r="P33" i="2"/>
  <c r="X31" i="2"/>
  <c r="X30" i="2"/>
  <c r="BP29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P26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BN202" i="2" l="1"/>
  <c r="Z203" i="2"/>
  <c r="Y203" i="2"/>
  <c r="Y152" i="2"/>
  <c r="Z146" i="2"/>
  <c r="Y141" i="2"/>
  <c r="BN137" i="2"/>
  <c r="Y140" i="2"/>
  <c r="Z114" i="2"/>
  <c r="BN94" i="2"/>
  <c r="Z87" i="2"/>
  <c r="BN80" i="2"/>
  <c r="BP80" i="2"/>
  <c r="Y81" i="2"/>
  <c r="X281" i="2"/>
  <c r="BP52" i="2"/>
  <c r="F10" i="2"/>
  <c r="BN24" i="2"/>
  <c r="X279" i="2"/>
  <c r="Y53" i="2"/>
  <c r="Y88" i="2"/>
  <c r="BN101" i="2"/>
  <c r="Y114" i="2"/>
  <c r="BN117" i="2"/>
  <c r="Y118" i="2"/>
  <c r="Y122" i="2"/>
  <c r="Y128" i="2"/>
  <c r="BP137" i="2"/>
  <c r="BP162" i="2"/>
  <c r="Y164" i="2"/>
  <c r="BN182" i="2"/>
  <c r="BP187" i="2"/>
  <c r="Y190" i="2"/>
  <c r="Y194" i="2"/>
  <c r="Y210" i="2"/>
  <c r="Z220" i="2"/>
  <c r="BP219" i="2"/>
  <c r="BP246" i="2"/>
  <c r="BP250" i="2"/>
  <c r="Y258" i="2"/>
  <c r="Z264" i="2"/>
  <c r="X280" i="2"/>
  <c r="Z30" i="2"/>
  <c r="BN28" i="2"/>
  <c r="Z40" i="2"/>
  <c r="Y48" i="2"/>
  <c r="Z70" i="2"/>
  <c r="Y70" i="2"/>
  <c r="BN69" i="2"/>
  <c r="BN75" i="2"/>
  <c r="Y103" i="2"/>
  <c r="Y115" i="2"/>
  <c r="BP109" i="2"/>
  <c r="BN130" i="2"/>
  <c r="Y135" i="2"/>
  <c r="BN138" i="2"/>
  <c r="BN167" i="2"/>
  <c r="Y168" i="2"/>
  <c r="BP172" i="2"/>
  <c r="BN193" i="2"/>
  <c r="Y204" i="2"/>
  <c r="BP199" i="2"/>
  <c r="BN240" i="2"/>
  <c r="Y241" i="2"/>
  <c r="Y264" i="2"/>
  <c r="BP262" i="2"/>
  <c r="Y278" i="2"/>
  <c r="Y35" i="2"/>
  <c r="BP46" i="2"/>
  <c r="BP132" i="2"/>
  <c r="BP212" i="2"/>
  <c r="BP230" i="2"/>
  <c r="BP236" i="2"/>
  <c r="BP263" i="2"/>
  <c r="BP275" i="2"/>
  <c r="BP25" i="2"/>
  <c r="BN27" i="2"/>
  <c r="X283" i="2"/>
  <c r="Y34" i="2"/>
  <c r="BP51" i="2"/>
  <c r="Y54" i="2"/>
  <c r="Y62" i="2"/>
  <c r="BP75" i="2"/>
  <c r="Y123" i="2"/>
  <c r="Z134" i="2"/>
  <c r="BP130" i="2"/>
  <c r="Z140" i="2"/>
  <c r="Y153" i="2"/>
  <c r="BP157" i="2"/>
  <c r="BP167" i="2"/>
  <c r="Y173" i="2"/>
  <c r="BP178" i="2"/>
  <c r="Y180" i="2"/>
  <c r="Y195" i="2"/>
  <c r="Z214" i="2"/>
  <c r="BP240" i="2"/>
  <c r="BP257" i="2"/>
  <c r="Y265" i="2"/>
  <c r="Y30" i="2"/>
  <c r="BP67" i="2"/>
  <c r="BP93" i="2"/>
  <c r="Y71" i="2"/>
  <c r="BP133" i="2"/>
  <c r="BP188" i="2"/>
  <c r="BN102" i="2"/>
  <c r="BN113" i="2"/>
  <c r="BN126" i="2"/>
  <c r="BP138" i="2"/>
  <c r="BN150" i="2"/>
  <c r="BP22" i="2"/>
  <c r="Y31" i="2"/>
  <c r="BN45" i="2"/>
  <c r="BP59" i="2"/>
  <c r="BP85" i="2"/>
  <c r="BP96" i="2"/>
  <c r="BN108" i="2"/>
  <c r="BN131" i="2"/>
  <c r="BP144" i="2"/>
  <c r="BN156" i="2"/>
  <c r="Y189" i="2"/>
  <c r="BP201" i="2"/>
  <c r="BN213" i="2"/>
  <c r="BN267" i="2"/>
  <c r="BN270" i="2"/>
  <c r="BN273" i="2"/>
  <c r="BN59" i="2"/>
  <c r="BN85" i="2"/>
  <c r="BP110" i="2"/>
  <c r="BN144" i="2"/>
  <c r="BN201" i="2"/>
  <c r="BN38" i="2"/>
  <c r="BN65" i="2"/>
  <c r="Y77" i="2"/>
  <c r="BN91" i="2"/>
  <c r="BP150" i="2"/>
  <c r="BN162" i="2"/>
  <c r="BN178" i="2"/>
  <c r="BN236" i="2"/>
  <c r="BN250" i="2"/>
  <c r="BN262" i="2"/>
  <c r="BP45" i="2"/>
  <c r="Y97" i="2"/>
  <c r="BP108" i="2"/>
  <c r="BP131" i="2"/>
  <c r="BP156" i="2"/>
  <c r="BN199" i="2"/>
  <c r="BP267" i="2"/>
  <c r="BN276" i="2"/>
  <c r="Y214" i="2"/>
  <c r="BN23" i="2"/>
  <c r="BN33" i="2"/>
  <c r="BN60" i="2"/>
  <c r="BN86" i="2"/>
  <c r="Y98" i="2"/>
  <c r="BN121" i="2"/>
  <c r="BN145" i="2"/>
  <c r="Y220" i="2"/>
  <c r="Y237" i="2"/>
  <c r="Y251" i="2"/>
  <c r="F9" i="2"/>
  <c r="BN39" i="2"/>
  <c r="BN66" i="2"/>
  <c r="BN92" i="2"/>
  <c r="BN151" i="2"/>
  <c r="BN268" i="2"/>
  <c r="BN271" i="2"/>
  <c r="Y277" i="2"/>
  <c r="H9" i="2"/>
  <c r="BN172" i="2"/>
  <c r="Y215" i="2"/>
  <c r="BN230" i="2"/>
  <c r="BN246" i="2"/>
  <c r="BN274" i="2"/>
  <c r="J9" i="2"/>
  <c r="BP39" i="2"/>
  <c r="BP66" i="2"/>
  <c r="BP151" i="2"/>
  <c r="Y221" i="2"/>
  <c r="Y61" i="2"/>
  <c r="Y87" i="2"/>
  <c r="Y146" i="2"/>
  <c r="Y47" i="2"/>
  <c r="Y158" i="2"/>
  <c r="Y231" i="2"/>
  <c r="Y247" i="2"/>
  <c r="BN218" i="2"/>
  <c r="BN269" i="2"/>
  <c r="BN272" i="2"/>
  <c r="Z284" i="2" l="1"/>
  <c r="X282" i="2"/>
  <c r="Y280" i="2"/>
  <c r="Y279" i="2"/>
  <c r="Y283" i="2"/>
  <c r="Y281" i="2"/>
  <c r="Y282" i="2" l="1"/>
  <c r="C292" i="2"/>
  <c r="A292" i="2"/>
  <c r="B292" i="2"/>
</calcChain>
</file>

<file path=xl/sharedStrings.xml><?xml version="1.0" encoding="utf-8"?>
<sst xmlns="http://schemas.openxmlformats.org/spreadsheetml/2006/main" count="1771" uniqueCount="434">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</sst>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topLeftCell="A275" zoomScaleNormal="100" zoomScaleSheetLayoutView="100" workbookViewId="0">
      <selection activeCell="X273" sqref="X27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/>
      <c r="R5" s="292"/>
      <c r="T5" s="293" t="s">
        <v>3</v>
      </c>
      <c r="U5" s="294"/>
      <c r="V5" s="295" t="s">
        <v>398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 xml:space="preserve"> 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/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customHeight="1" x14ac:dyDescent="0.25">
      <c r="A32" s="355" t="s">
        <v>104</v>
      </c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5"/>
      <c r="Z32" s="355"/>
      <c r="AA32" s="66"/>
      <c r="AB32" s="66"/>
      <c r="AC32" s="83"/>
    </row>
    <row r="33" spans="1:68" ht="37.5" customHeight="1" x14ac:dyDescent="0.25">
      <c r="A33" s="63" t="s">
        <v>105</v>
      </c>
      <c r="B33" s="63" t="s">
        <v>106</v>
      </c>
      <c r="C33" s="36">
        <v>4301080162</v>
      </c>
      <c r="D33" s="356">
        <v>4620207492178</v>
      </c>
      <c r="E33" s="356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85</v>
      </c>
      <c r="L33" s="37" t="s">
        <v>86</v>
      </c>
      <c r="M33" s="38" t="s">
        <v>84</v>
      </c>
      <c r="N33" s="38"/>
      <c r="O33" s="37">
        <v>180</v>
      </c>
      <c r="P33" s="372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58"/>
      <c r="R33" s="358"/>
      <c r="S33" s="358"/>
      <c r="T33" s="35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108</v>
      </c>
      <c r="AC33" s="105" t="s">
        <v>107</v>
      </c>
      <c r="AG33" s="81"/>
      <c r="AJ33" s="87" t="s">
        <v>87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70"/>
      <c r="B34" s="370"/>
      <c r="C34" s="370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1"/>
      <c r="P34" s="367" t="s">
        <v>40</v>
      </c>
      <c r="Q34" s="368"/>
      <c r="R34" s="368"/>
      <c r="S34" s="368"/>
      <c r="T34" s="368"/>
      <c r="U34" s="368"/>
      <c r="V34" s="369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x14ac:dyDescent="0.2">
      <c r="A35" s="370"/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1"/>
      <c r="P35" s="367" t="s">
        <v>40</v>
      </c>
      <c r="Q35" s="368"/>
      <c r="R35" s="368"/>
      <c r="S35" s="368"/>
      <c r="T35" s="368"/>
      <c r="U35" s="368"/>
      <c r="V35" s="369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customHeight="1" x14ac:dyDescent="0.25">
      <c r="A36" s="354" t="s">
        <v>109</v>
      </c>
      <c r="B36" s="354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  <c r="AA36" s="65"/>
      <c r="AB36" s="65"/>
      <c r="AC36" s="82"/>
    </row>
    <row r="37" spans="1:68" ht="14.25" customHeight="1" x14ac:dyDescent="0.25">
      <c r="A37" s="355" t="s">
        <v>80</v>
      </c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5"/>
      <c r="V37" s="355"/>
      <c r="W37" s="355"/>
      <c r="X37" s="355"/>
      <c r="Y37" s="355"/>
      <c r="Z37" s="355"/>
      <c r="AA37" s="66"/>
      <c r="AB37" s="66"/>
      <c r="AC37" s="83"/>
    </row>
    <row r="38" spans="1:68" ht="16.5" customHeight="1" x14ac:dyDescent="0.25">
      <c r="A38" s="63" t="s">
        <v>110</v>
      </c>
      <c r="B38" s="63" t="s">
        <v>111</v>
      </c>
      <c r="C38" s="36">
        <v>4301071099</v>
      </c>
      <c r="D38" s="356">
        <v>4607111039019</v>
      </c>
      <c r="E38" s="356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85</v>
      </c>
      <c r="L38" s="37" t="s">
        <v>86</v>
      </c>
      <c r="M38" s="38" t="s">
        <v>84</v>
      </c>
      <c r="N38" s="38"/>
      <c r="O38" s="37">
        <v>180</v>
      </c>
      <c r="P38" s="37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58"/>
      <c r="R38" s="358"/>
      <c r="S38" s="358"/>
      <c r="T38" s="359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112</v>
      </c>
      <c r="AG38" s="81"/>
      <c r="AJ38" s="87" t="s">
        <v>87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customHeight="1" x14ac:dyDescent="0.25">
      <c r="A39" s="63" t="s">
        <v>113</v>
      </c>
      <c r="B39" s="63" t="s">
        <v>114</v>
      </c>
      <c r="C39" s="36">
        <v>4301071100</v>
      </c>
      <c r="D39" s="356">
        <v>4607111038708</v>
      </c>
      <c r="E39" s="356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85</v>
      </c>
      <c r="L39" s="37" t="s">
        <v>86</v>
      </c>
      <c r="M39" s="38" t="s">
        <v>84</v>
      </c>
      <c r="N39" s="38"/>
      <c r="O39" s="37">
        <v>180</v>
      </c>
      <c r="P39" s="37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58"/>
      <c r="R39" s="358"/>
      <c r="S39" s="358"/>
      <c r="T39" s="359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112</v>
      </c>
      <c r="AG39" s="81"/>
      <c r="AJ39" s="87" t="s">
        <v>87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x14ac:dyDescent="0.2">
      <c r="A40" s="370"/>
      <c r="B40" s="370"/>
      <c r="C40" s="370"/>
      <c r="D40" s="370"/>
      <c r="E40" s="370"/>
      <c r="F40" s="370"/>
      <c r="G40" s="370"/>
      <c r="H40" s="370"/>
      <c r="I40" s="370"/>
      <c r="J40" s="370"/>
      <c r="K40" s="370"/>
      <c r="L40" s="370"/>
      <c r="M40" s="370"/>
      <c r="N40" s="370"/>
      <c r="O40" s="371"/>
      <c r="P40" s="367" t="s">
        <v>40</v>
      </c>
      <c r="Q40" s="368"/>
      <c r="R40" s="368"/>
      <c r="S40" s="368"/>
      <c r="T40" s="368"/>
      <c r="U40" s="368"/>
      <c r="V40" s="369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x14ac:dyDescent="0.2">
      <c r="A41" s="370"/>
      <c r="B41" s="370"/>
      <c r="C41" s="370"/>
      <c r="D41" s="370"/>
      <c r="E41" s="370"/>
      <c r="F41" s="370"/>
      <c r="G41" s="370"/>
      <c r="H41" s="370"/>
      <c r="I41" s="370"/>
      <c r="J41" s="370"/>
      <c r="K41" s="370"/>
      <c r="L41" s="370"/>
      <c r="M41" s="370"/>
      <c r="N41" s="370"/>
      <c r="O41" s="371"/>
      <c r="P41" s="367" t="s">
        <v>40</v>
      </c>
      <c r="Q41" s="368"/>
      <c r="R41" s="368"/>
      <c r="S41" s="368"/>
      <c r="T41" s="368"/>
      <c r="U41" s="368"/>
      <c r="V41" s="369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customHeight="1" x14ac:dyDescent="0.2">
      <c r="A42" s="353" t="s">
        <v>45</v>
      </c>
      <c r="B42" s="353"/>
      <c r="C42" s="353"/>
      <c r="D42" s="353"/>
      <c r="E42" s="353"/>
      <c r="F42" s="353"/>
      <c r="G42" s="353"/>
      <c r="H42" s="353"/>
      <c r="I42" s="353"/>
      <c r="J42" s="353"/>
      <c r="K42" s="353"/>
      <c r="L42" s="353"/>
      <c r="M42" s="353"/>
      <c r="N42" s="353"/>
      <c r="O42" s="353"/>
      <c r="P42" s="353"/>
      <c r="Q42" s="353"/>
      <c r="R42" s="353"/>
      <c r="S42" s="353"/>
      <c r="T42" s="353"/>
      <c r="U42" s="353"/>
      <c r="V42" s="353"/>
      <c r="W42" s="353"/>
      <c r="X42" s="353"/>
      <c r="Y42" s="353"/>
      <c r="Z42" s="353"/>
      <c r="AA42" s="54"/>
      <c r="AB42" s="54"/>
      <c r="AC42" s="54"/>
    </row>
    <row r="43" spans="1:68" ht="16.5" customHeight="1" x14ac:dyDescent="0.25">
      <c r="A43" s="354" t="s">
        <v>115</v>
      </c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  <c r="AA43" s="65"/>
      <c r="AB43" s="65"/>
      <c r="AC43" s="82"/>
    </row>
    <row r="44" spans="1:68" ht="14.25" customHeight="1" x14ac:dyDescent="0.25">
      <c r="A44" s="355" t="s">
        <v>116</v>
      </c>
      <c r="B44" s="355"/>
      <c r="C44" s="355"/>
      <c r="D44" s="355"/>
      <c r="E44" s="355"/>
      <c r="F44" s="355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5"/>
      <c r="Z44" s="355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4301132190</v>
      </c>
      <c r="D45" s="356">
        <v>4607111036537</v>
      </c>
      <c r="E45" s="356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121</v>
      </c>
      <c r="L45" s="37" t="s">
        <v>122</v>
      </c>
      <c r="M45" s="38" t="s">
        <v>84</v>
      </c>
      <c r="N45" s="38"/>
      <c r="O45" s="37">
        <v>365</v>
      </c>
      <c r="P45" s="37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58"/>
      <c r="R45" s="358"/>
      <c r="S45" s="358"/>
      <c r="T45" s="359"/>
      <c r="U45" s="39" t="s">
        <v>46</v>
      </c>
      <c r="V45" s="39" t="s">
        <v>46</v>
      </c>
      <c r="W45" s="40" t="s">
        <v>39</v>
      </c>
      <c r="X45" s="58">
        <v>140</v>
      </c>
      <c r="Y45" s="55">
        <f>IFERROR(IF(X45="","",X45),"")</f>
        <v>140</v>
      </c>
      <c r="Z45" s="41">
        <f>IFERROR(IF(X45="","",X45*0.00941),"")</f>
        <v>1.3173999999999999</v>
      </c>
      <c r="AA45" s="68" t="s">
        <v>46</v>
      </c>
      <c r="AB45" s="69" t="s">
        <v>46</v>
      </c>
      <c r="AC45" s="111" t="s">
        <v>119</v>
      </c>
      <c r="AG45" s="81"/>
      <c r="AJ45" s="87" t="s">
        <v>123</v>
      </c>
      <c r="AK45" s="87">
        <v>14</v>
      </c>
      <c r="BB45" s="112" t="s">
        <v>120</v>
      </c>
      <c r="BM45" s="81">
        <f>IFERROR(X45*I45,"0")</f>
        <v>269.05200000000002</v>
      </c>
      <c r="BN45" s="81">
        <f>IFERROR(Y45*I45,"0")</f>
        <v>269.05200000000002</v>
      </c>
      <c r="BO45" s="81">
        <f>IFERROR(X45/J45,"0")</f>
        <v>1</v>
      </c>
      <c r="BP45" s="81">
        <f>IFERROR(Y45/J45,"0")</f>
        <v>1</v>
      </c>
    </row>
    <row r="46" spans="1:68" ht="27" customHeight="1" x14ac:dyDescent="0.25">
      <c r="A46" s="63" t="s">
        <v>124</v>
      </c>
      <c r="B46" s="63" t="s">
        <v>125</v>
      </c>
      <c r="C46" s="36">
        <v>4301132188</v>
      </c>
      <c r="D46" s="356">
        <v>4607111036605</v>
      </c>
      <c r="E46" s="356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121</v>
      </c>
      <c r="L46" s="37" t="s">
        <v>122</v>
      </c>
      <c r="M46" s="38" t="s">
        <v>84</v>
      </c>
      <c r="N46" s="38"/>
      <c r="O46" s="37">
        <v>365</v>
      </c>
      <c r="P46" s="37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58"/>
      <c r="R46" s="358"/>
      <c r="S46" s="358"/>
      <c r="T46" s="359"/>
      <c r="U46" s="39" t="s">
        <v>46</v>
      </c>
      <c r="V46" s="39" t="s">
        <v>46</v>
      </c>
      <c r="W46" s="40" t="s">
        <v>39</v>
      </c>
      <c r="X46" s="58">
        <v>140</v>
      </c>
      <c r="Y46" s="55">
        <f>IFERROR(IF(X46="","",X46),"")</f>
        <v>140</v>
      </c>
      <c r="Z46" s="41">
        <f>IFERROR(IF(X46="","",X46*0.00941),"")</f>
        <v>1.3173999999999999</v>
      </c>
      <c r="AA46" s="68" t="s">
        <v>46</v>
      </c>
      <c r="AB46" s="69" t="s">
        <v>46</v>
      </c>
      <c r="AC46" s="113" t="s">
        <v>119</v>
      </c>
      <c r="AG46" s="81"/>
      <c r="AJ46" s="87" t="s">
        <v>123</v>
      </c>
      <c r="AK46" s="87">
        <v>14</v>
      </c>
      <c r="BB46" s="114" t="s">
        <v>120</v>
      </c>
      <c r="BM46" s="81">
        <f>IFERROR(X46*I46,"0")</f>
        <v>269.05200000000002</v>
      </c>
      <c r="BN46" s="81">
        <f>IFERROR(Y46*I46,"0")</f>
        <v>269.05200000000002</v>
      </c>
      <c r="BO46" s="81">
        <f>IFERROR(X46/J46,"0")</f>
        <v>1</v>
      </c>
      <c r="BP46" s="81">
        <f>IFERROR(Y46/J46,"0")</f>
        <v>1</v>
      </c>
    </row>
    <row r="47" spans="1:68" x14ac:dyDescent="0.2">
      <c r="A47" s="370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1"/>
      <c r="P47" s="367" t="s">
        <v>40</v>
      </c>
      <c r="Q47" s="368"/>
      <c r="R47" s="368"/>
      <c r="S47" s="368"/>
      <c r="T47" s="368"/>
      <c r="U47" s="368"/>
      <c r="V47" s="369"/>
      <c r="W47" s="42" t="s">
        <v>39</v>
      </c>
      <c r="X47" s="43">
        <f>IFERROR(SUM(X45:X46),"0")</f>
        <v>280</v>
      </c>
      <c r="Y47" s="43">
        <f>IFERROR(SUM(Y45:Y46),"0")</f>
        <v>280</v>
      </c>
      <c r="Z47" s="43">
        <f>IFERROR(IF(Z45="",0,Z45),"0")+IFERROR(IF(Z46="",0,Z46),"0")</f>
        <v>2.6347999999999998</v>
      </c>
      <c r="AA47" s="67"/>
      <c r="AB47" s="67"/>
      <c r="AC47" s="67"/>
    </row>
    <row r="48" spans="1:68" x14ac:dyDescent="0.2">
      <c r="A48" s="370"/>
      <c r="B48" s="370"/>
      <c r="C48" s="370"/>
      <c r="D48" s="370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1"/>
      <c r="P48" s="367" t="s">
        <v>40</v>
      </c>
      <c r="Q48" s="368"/>
      <c r="R48" s="368"/>
      <c r="S48" s="368"/>
      <c r="T48" s="368"/>
      <c r="U48" s="368"/>
      <c r="V48" s="369"/>
      <c r="W48" s="42" t="s">
        <v>0</v>
      </c>
      <c r="X48" s="43">
        <f>IFERROR(SUMPRODUCT(X45:X46*H45:H46),"0")</f>
        <v>420</v>
      </c>
      <c r="Y48" s="43">
        <f>IFERROR(SUMPRODUCT(Y45:Y46*H45:H46),"0")</f>
        <v>420</v>
      </c>
      <c r="Z48" s="42"/>
      <c r="AA48" s="67"/>
      <c r="AB48" s="67"/>
      <c r="AC48" s="67"/>
    </row>
    <row r="49" spans="1:68" ht="16.5" customHeight="1" x14ac:dyDescent="0.25">
      <c r="A49" s="354" t="s">
        <v>126</v>
      </c>
      <c r="B49" s="354"/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  <c r="AA49" s="65"/>
      <c r="AB49" s="65"/>
      <c r="AC49" s="82"/>
    </row>
    <row r="50" spans="1:68" ht="14.25" customHeight="1" x14ac:dyDescent="0.25">
      <c r="A50" s="355" t="s">
        <v>80</v>
      </c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5"/>
      <c r="M50" s="355"/>
      <c r="N50" s="355"/>
      <c r="O50" s="355"/>
      <c r="P50" s="355"/>
      <c r="Q50" s="355"/>
      <c r="R50" s="355"/>
      <c r="S50" s="355"/>
      <c r="T50" s="355"/>
      <c r="U50" s="355"/>
      <c r="V50" s="355"/>
      <c r="W50" s="355"/>
      <c r="X50" s="355"/>
      <c r="Y50" s="355"/>
      <c r="Z50" s="355"/>
      <c r="AA50" s="66"/>
      <c r="AB50" s="66"/>
      <c r="AC50" s="83"/>
    </row>
    <row r="51" spans="1:68" ht="27" customHeight="1" x14ac:dyDescent="0.25">
      <c r="A51" s="63" t="s">
        <v>127</v>
      </c>
      <c r="B51" s="63" t="s">
        <v>128</v>
      </c>
      <c r="C51" s="36">
        <v>4301071090</v>
      </c>
      <c r="D51" s="356">
        <v>4620207490075</v>
      </c>
      <c r="E51" s="356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85</v>
      </c>
      <c r="L51" s="37" t="s">
        <v>122</v>
      </c>
      <c r="M51" s="38" t="s">
        <v>84</v>
      </c>
      <c r="N51" s="38"/>
      <c r="O51" s="37">
        <v>180</v>
      </c>
      <c r="P51" s="37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58"/>
      <c r="R51" s="358"/>
      <c r="S51" s="358"/>
      <c r="T51" s="359"/>
      <c r="U51" s="39" t="s">
        <v>46</v>
      </c>
      <c r="V51" s="39" t="s">
        <v>46</v>
      </c>
      <c r="W51" s="40" t="s">
        <v>39</v>
      </c>
      <c r="X51" s="58">
        <v>48</v>
      </c>
      <c r="Y51" s="55">
        <f>IFERROR(IF(X51="","",X51),"")</f>
        <v>48</v>
      </c>
      <c r="Z51" s="41">
        <f>IFERROR(IF(X51="","",X51*0.0155),"")</f>
        <v>0.74399999999999999</v>
      </c>
      <c r="AA51" s="68" t="s">
        <v>46</v>
      </c>
      <c r="AB51" s="69" t="s">
        <v>46</v>
      </c>
      <c r="AC51" s="115" t="s">
        <v>129</v>
      </c>
      <c r="AG51" s="81"/>
      <c r="AJ51" s="87" t="s">
        <v>123</v>
      </c>
      <c r="AK51" s="87">
        <v>12</v>
      </c>
      <c r="BB51" s="116" t="s">
        <v>70</v>
      </c>
      <c r="BM51" s="81">
        <f>IFERROR(X51*I51,"0")</f>
        <v>281.76</v>
      </c>
      <c r="BN51" s="81">
        <f>IFERROR(Y51*I51,"0")</f>
        <v>281.76</v>
      </c>
      <c r="BO51" s="81">
        <f>IFERROR(X51/J51,"0")</f>
        <v>0.5714285714285714</v>
      </c>
      <c r="BP51" s="81">
        <f>IFERROR(Y51/J51,"0")</f>
        <v>0.5714285714285714</v>
      </c>
    </row>
    <row r="52" spans="1:68" ht="27" customHeight="1" x14ac:dyDescent="0.25">
      <c r="A52" s="63" t="s">
        <v>130</v>
      </c>
      <c r="B52" s="63" t="s">
        <v>131</v>
      </c>
      <c r="C52" s="36">
        <v>4301071092</v>
      </c>
      <c r="D52" s="356">
        <v>4620207490174</v>
      </c>
      <c r="E52" s="356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85</v>
      </c>
      <c r="L52" s="37" t="s">
        <v>122</v>
      </c>
      <c r="M52" s="38" t="s">
        <v>84</v>
      </c>
      <c r="N52" s="38"/>
      <c r="O52" s="37">
        <v>180</v>
      </c>
      <c r="P52" s="37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58"/>
      <c r="R52" s="358"/>
      <c r="S52" s="358"/>
      <c r="T52" s="359"/>
      <c r="U52" s="39" t="s">
        <v>46</v>
      </c>
      <c r="V52" s="39" t="s">
        <v>46</v>
      </c>
      <c r="W52" s="40" t="s">
        <v>39</v>
      </c>
      <c r="X52" s="58">
        <v>48</v>
      </c>
      <c r="Y52" s="55">
        <f>IFERROR(IF(X52="","",X52),"")</f>
        <v>48</v>
      </c>
      <c r="Z52" s="41">
        <f>IFERROR(IF(X52="","",X52*0.0155),"")</f>
        <v>0.74399999999999999</v>
      </c>
      <c r="AA52" s="68" t="s">
        <v>46</v>
      </c>
      <c r="AB52" s="69" t="s">
        <v>46</v>
      </c>
      <c r="AC52" s="117" t="s">
        <v>132</v>
      </c>
      <c r="AG52" s="81"/>
      <c r="AJ52" s="87" t="s">
        <v>123</v>
      </c>
      <c r="AK52" s="87">
        <v>12</v>
      </c>
      <c r="BB52" s="118" t="s">
        <v>70</v>
      </c>
      <c r="BM52" s="81">
        <f>IFERROR(X52*I52,"0")</f>
        <v>281.76</v>
      </c>
      <c r="BN52" s="81">
        <f>IFERROR(Y52*I52,"0")</f>
        <v>281.76</v>
      </c>
      <c r="BO52" s="81">
        <f>IFERROR(X52/J52,"0")</f>
        <v>0.5714285714285714</v>
      </c>
      <c r="BP52" s="81">
        <f>IFERROR(Y52/J52,"0")</f>
        <v>0.5714285714285714</v>
      </c>
    </row>
    <row r="53" spans="1:68" x14ac:dyDescent="0.2">
      <c r="A53" s="370"/>
      <c r="B53" s="370"/>
      <c r="C53" s="370"/>
      <c r="D53" s="370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1"/>
      <c r="P53" s="367" t="s">
        <v>40</v>
      </c>
      <c r="Q53" s="368"/>
      <c r="R53" s="368"/>
      <c r="S53" s="368"/>
      <c r="T53" s="368"/>
      <c r="U53" s="368"/>
      <c r="V53" s="369"/>
      <c r="W53" s="42" t="s">
        <v>39</v>
      </c>
      <c r="X53" s="43">
        <f>IFERROR(SUM(X51:X52),"0")</f>
        <v>96</v>
      </c>
      <c r="Y53" s="43">
        <f>IFERROR(SUM(Y51:Y52),"0")</f>
        <v>96</v>
      </c>
      <c r="Z53" s="43">
        <f>IFERROR(IF(Z51="",0,Z51),"0")+IFERROR(IF(Z52="",0,Z52),"0")</f>
        <v>1.488</v>
      </c>
      <c r="AA53" s="67"/>
      <c r="AB53" s="67"/>
      <c r="AC53" s="67"/>
    </row>
    <row r="54" spans="1:68" x14ac:dyDescent="0.2">
      <c r="A54" s="370"/>
      <c r="B54" s="370"/>
      <c r="C54" s="370"/>
      <c r="D54" s="370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1"/>
      <c r="P54" s="367" t="s">
        <v>40</v>
      </c>
      <c r="Q54" s="368"/>
      <c r="R54" s="368"/>
      <c r="S54" s="368"/>
      <c r="T54" s="368"/>
      <c r="U54" s="368"/>
      <c r="V54" s="369"/>
      <c r="W54" s="42" t="s">
        <v>0</v>
      </c>
      <c r="X54" s="43">
        <f>IFERROR(SUMPRODUCT(X51:X52*H51:H52),"0")</f>
        <v>537.59999999999991</v>
      </c>
      <c r="Y54" s="43">
        <f>IFERROR(SUMPRODUCT(Y51:Y52*H51:H52),"0")</f>
        <v>537.59999999999991</v>
      </c>
      <c r="Z54" s="42"/>
      <c r="AA54" s="67"/>
      <c r="AB54" s="67"/>
      <c r="AC54" s="67"/>
    </row>
    <row r="55" spans="1:68" ht="16.5" customHeight="1" x14ac:dyDescent="0.25">
      <c r="A55" s="354" t="s">
        <v>133</v>
      </c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54"/>
      <c r="AA55" s="65"/>
      <c r="AB55" s="65"/>
      <c r="AC55" s="82"/>
    </row>
    <row r="56" spans="1:68" ht="14.25" customHeight="1" x14ac:dyDescent="0.25">
      <c r="A56" s="355" t="s">
        <v>80</v>
      </c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5"/>
      <c r="W56" s="355"/>
      <c r="X56" s="355"/>
      <c r="Y56" s="355"/>
      <c r="Z56" s="355"/>
      <c r="AA56" s="66"/>
      <c r="AB56" s="66"/>
      <c r="AC56" s="83"/>
    </row>
    <row r="57" spans="1:68" ht="27" customHeight="1" x14ac:dyDescent="0.25">
      <c r="A57" s="63" t="s">
        <v>134</v>
      </c>
      <c r="B57" s="63" t="s">
        <v>135</v>
      </c>
      <c r="C57" s="36">
        <v>4301071044</v>
      </c>
      <c r="D57" s="356">
        <v>4607111039385</v>
      </c>
      <c r="E57" s="356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122</v>
      </c>
      <c r="M57" s="38" t="s">
        <v>84</v>
      </c>
      <c r="N57" s="38"/>
      <c r="O57" s="37">
        <v>180</v>
      </c>
      <c r="P57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58"/>
      <c r="R57" s="358"/>
      <c r="S57" s="358"/>
      <c r="T57" s="359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136</v>
      </c>
      <c r="AG57" s="81"/>
      <c r="AJ57" s="87" t="s">
        <v>123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customHeight="1" x14ac:dyDescent="0.25">
      <c r="A58" s="63" t="s">
        <v>137</v>
      </c>
      <c r="B58" s="63" t="s">
        <v>138</v>
      </c>
      <c r="C58" s="36">
        <v>4301071031</v>
      </c>
      <c r="D58" s="356">
        <v>4607111038982</v>
      </c>
      <c r="E58" s="356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85</v>
      </c>
      <c r="L58" s="37" t="s">
        <v>122</v>
      </c>
      <c r="M58" s="38" t="s">
        <v>84</v>
      </c>
      <c r="N58" s="38"/>
      <c r="O58" s="37">
        <v>180</v>
      </c>
      <c r="P58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58"/>
      <c r="R58" s="358"/>
      <c r="S58" s="358"/>
      <c r="T58" s="359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139</v>
      </c>
      <c r="AG58" s="81"/>
      <c r="AJ58" s="87" t="s">
        <v>123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customHeight="1" x14ac:dyDescent="0.25">
      <c r="A59" s="63" t="s">
        <v>140</v>
      </c>
      <c r="B59" s="63" t="s">
        <v>141</v>
      </c>
      <c r="C59" s="36">
        <v>4301071046</v>
      </c>
      <c r="D59" s="356">
        <v>4607111039354</v>
      </c>
      <c r="E59" s="356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85</v>
      </c>
      <c r="L59" s="37" t="s">
        <v>122</v>
      </c>
      <c r="M59" s="38" t="s">
        <v>84</v>
      </c>
      <c r="N59" s="38"/>
      <c r="O59" s="37">
        <v>180</v>
      </c>
      <c r="P59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58"/>
      <c r="R59" s="358"/>
      <c r="S59" s="358"/>
      <c r="T59" s="359"/>
      <c r="U59" s="39" t="s">
        <v>46</v>
      </c>
      <c r="V59" s="39" t="s">
        <v>46</v>
      </c>
      <c r="W59" s="40" t="s">
        <v>39</v>
      </c>
      <c r="X59" s="58">
        <v>24</v>
      </c>
      <c r="Y59" s="55">
        <f>IFERROR(IF(X59="","",X59),"")</f>
        <v>24</v>
      </c>
      <c r="Z59" s="41">
        <f>IFERROR(IF(X59="","",X59*0.0155),"")</f>
        <v>0.372</v>
      </c>
      <c r="AA59" s="68" t="s">
        <v>46</v>
      </c>
      <c r="AB59" s="69" t="s">
        <v>46</v>
      </c>
      <c r="AC59" s="123" t="s">
        <v>139</v>
      </c>
      <c r="AG59" s="81"/>
      <c r="AJ59" s="87" t="s">
        <v>123</v>
      </c>
      <c r="AK59" s="87">
        <v>12</v>
      </c>
      <c r="BB59" s="124" t="s">
        <v>70</v>
      </c>
      <c r="BM59" s="81">
        <f>IFERROR(X59*I59,"0")</f>
        <v>161.2704</v>
      </c>
      <c r="BN59" s="81">
        <f>IFERROR(Y59*I59,"0")</f>
        <v>161.2704</v>
      </c>
      <c r="BO59" s="81">
        <f>IFERROR(X59/J59,"0")</f>
        <v>0.2857142857142857</v>
      </c>
      <c r="BP59" s="81">
        <f>IFERROR(Y59/J59,"0")</f>
        <v>0.2857142857142857</v>
      </c>
    </row>
    <row r="60" spans="1:68" ht="27" customHeight="1" x14ac:dyDescent="0.25">
      <c r="A60" s="63" t="s">
        <v>142</v>
      </c>
      <c r="B60" s="63" t="s">
        <v>143</v>
      </c>
      <c r="C60" s="36">
        <v>4301071047</v>
      </c>
      <c r="D60" s="356">
        <v>4607111039330</v>
      </c>
      <c r="E60" s="356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85</v>
      </c>
      <c r="L60" s="37" t="s">
        <v>122</v>
      </c>
      <c r="M60" s="38" t="s">
        <v>84</v>
      </c>
      <c r="N60" s="38"/>
      <c r="O60" s="37">
        <v>180</v>
      </c>
      <c r="P60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58"/>
      <c r="R60" s="358"/>
      <c r="S60" s="358"/>
      <c r="T60" s="359"/>
      <c r="U60" s="39" t="s">
        <v>46</v>
      </c>
      <c r="V60" s="39" t="s">
        <v>46</v>
      </c>
      <c r="W60" s="40" t="s">
        <v>39</v>
      </c>
      <c r="X60" s="58">
        <v>24</v>
      </c>
      <c r="Y60" s="55">
        <f>IFERROR(IF(X60="","",X60),"")</f>
        <v>24</v>
      </c>
      <c r="Z60" s="41">
        <f>IFERROR(IF(X60="","",X60*0.0155),"")</f>
        <v>0.372</v>
      </c>
      <c r="AA60" s="68" t="s">
        <v>46</v>
      </c>
      <c r="AB60" s="69" t="s">
        <v>46</v>
      </c>
      <c r="AC60" s="125" t="s">
        <v>139</v>
      </c>
      <c r="AG60" s="81"/>
      <c r="AJ60" s="87" t="s">
        <v>123</v>
      </c>
      <c r="AK60" s="87">
        <v>12</v>
      </c>
      <c r="BB60" s="126" t="s">
        <v>70</v>
      </c>
      <c r="BM60" s="81">
        <f>IFERROR(X60*I60,"0")</f>
        <v>175.2</v>
      </c>
      <c r="BN60" s="81">
        <f>IFERROR(Y60*I60,"0")</f>
        <v>175.2</v>
      </c>
      <c r="BO60" s="81">
        <f>IFERROR(X60/J60,"0")</f>
        <v>0.2857142857142857</v>
      </c>
      <c r="BP60" s="81">
        <f>IFERROR(Y60/J60,"0")</f>
        <v>0.2857142857142857</v>
      </c>
    </row>
    <row r="61" spans="1:68" x14ac:dyDescent="0.2">
      <c r="A61" s="370"/>
      <c r="B61" s="370"/>
      <c r="C61" s="370"/>
      <c r="D61" s="370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1"/>
      <c r="P61" s="367" t="s">
        <v>40</v>
      </c>
      <c r="Q61" s="368"/>
      <c r="R61" s="368"/>
      <c r="S61" s="368"/>
      <c r="T61" s="368"/>
      <c r="U61" s="368"/>
      <c r="V61" s="369"/>
      <c r="W61" s="42" t="s">
        <v>39</v>
      </c>
      <c r="X61" s="43">
        <f>IFERROR(SUM(X57:X60),"0")</f>
        <v>48</v>
      </c>
      <c r="Y61" s="43">
        <f>IFERROR(SUM(Y57:Y60),"0")</f>
        <v>48</v>
      </c>
      <c r="Z61" s="43">
        <f>IFERROR(IF(Z57="",0,Z57),"0")+IFERROR(IF(Z58="",0,Z58),"0")+IFERROR(IF(Z59="",0,Z59),"0")+IFERROR(IF(Z60="",0,Z60),"0")</f>
        <v>0.74399999999999999</v>
      </c>
      <c r="AA61" s="67"/>
      <c r="AB61" s="67"/>
      <c r="AC61" s="67"/>
    </row>
    <row r="62" spans="1:68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0</v>
      </c>
      <c r="X62" s="43">
        <f>IFERROR(SUMPRODUCT(X57:X60*H57:H60),"0")</f>
        <v>321.60000000000002</v>
      </c>
      <c r="Y62" s="43">
        <f>IFERROR(SUMPRODUCT(Y57:Y60*H57:H60),"0")</f>
        <v>321.60000000000002</v>
      </c>
      <c r="Z62" s="42"/>
      <c r="AA62" s="67"/>
      <c r="AB62" s="67"/>
      <c r="AC62" s="67"/>
    </row>
    <row r="63" spans="1:68" ht="16.5" customHeight="1" x14ac:dyDescent="0.25">
      <c r="A63" s="354" t="s">
        <v>144</v>
      </c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65"/>
      <c r="AB63" s="65"/>
      <c r="AC63" s="82"/>
    </row>
    <row r="64" spans="1:68" ht="14.25" customHeight="1" x14ac:dyDescent="0.25">
      <c r="A64" s="355" t="s">
        <v>145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27" customHeight="1" x14ac:dyDescent="0.25">
      <c r="A65" s="63" t="s">
        <v>146</v>
      </c>
      <c r="B65" s="63" t="s">
        <v>147</v>
      </c>
      <c r="C65" s="36">
        <v>4301132194</v>
      </c>
      <c r="D65" s="356">
        <v>4607111039712</v>
      </c>
      <c r="E65" s="356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121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87</v>
      </c>
      <c r="AK65" s="87">
        <v>1</v>
      </c>
      <c r="BB65" s="128" t="s">
        <v>120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customHeight="1" x14ac:dyDescent="0.25">
      <c r="A66" s="63" t="s">
        <v>149</v>
      </c>
      <c r="B66" s="63" t="s">
        <v>150</v>
      </c>
      <c r="C66" s="36">
        <v>4301135664</v>
      </c>
      <c r="D66" s="356">
        <v>4607111039705</v>
      </c>
      <c r="E66" s="356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121</v>
      </c>
      <c r="L66" s="37" t="s">
        <v>86</v>
      </c>
      <c r="M66" s="38" t="s">
        <v>84</v>
      </c>
      <c r="N66" s="38"/>
      <c r="O66" s="37">
        <v>365</v>
      </c>
      <c r="P66" s="384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58"/>
      <c r="R66" s="358"/>
      <c r="S66" s="358"/>
      <c r="T66" s="35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151</v>
      </c>
      <c r="AG66" s="81"/>
      <c r="AJ66" s="87" t="s">
        <v>87</v>
      </c>
      <c r="AK66" s="87">
        <v>1</v>
      </c>
      <c r="BB66" s="130" t="s">
        <v>120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4301135665</v>
      </c>
      <c r="D67" s="356">
        <v>4607111039729</v>
      </c>
      <c r="E67" s="356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121</v>
      </c>
      <c r="L67" s="37" t="s">
        <v>86</v>
      </c>
      <c r="M67" s="38" t="s">
        <v>84</v>
      </c>
      <c r="N67" s="38"/>
      <c r="O67" s="37">
        <v>365</v>
      </c>
      <c r="P67" s="385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58"/>
      <c r="R67" s="358"/>
      <c r="S67" s="358"/>
      <c r="T67" s="359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154</v>
      </c>
      <c r="AG67" s="81"/>
      <c r="AJ67" s="87" t="s">
        <v>87</v>
      </c>
      <c r="AK67" s="87">
        <v>1</v>
      </c>
      <c r="BB67" s="132" t="s">
        <v>120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4301135702</v>
      </c>
      <c r="D68" s="356">
        <v>4620207490228</v>
      </c>
      <c r="E68" s="356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121</v>
      </c>
      <c r="L68" s="37" t="s">
        <v>86</v>
      </c>
      <c r="M68" s="38" t="s">
        <v>84</v>
      </c>
      <c r="N68" s="38"/>
      <c r="O68" s="37">
        <v>365</v>
      </c>
      <c r="P68" s="38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58"/>
      <c r="R68" s="358"/>
      <c r="S68" s="358"/>
      <c r="T68" s="35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154</v>
      </c>
      <c r="AG68" s="81"/>
      <c r="AJ68" s="87" t="s">
        <v>87</v>
      </c>
      <c r="AK68" s="87">
        <v>1</v>
      </c>
      <c r="BB68" s="134" t="s">
        <v>120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157</v>
      </c>
      <c r="B69" s="63" t="s">
        <v>158</v>
      </c>
      <c r="C69" s="36">
        <v>4301136015</v>
      </c>
      <c r="D69" s="356">
        <v>4607111037398</v>
      </c>
      <c r="E69" s="35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121</v>
      </c>
      <c r="L69" s="37" t="s">
        <v>86</v>
      </c>
      <c r="M69" s="38" t="s">
        <v>84</v>
      </c>
      <c r="N69" s="38"/>
      <c r="O69" s="37">
        <v>365</v>
      </c>
      <c r="P69" s="38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151</v>
      </c>
      <c r="AG69" s="81"/>
      <c r="AJ69" s="87" t="s">
        <v>87</v>
      </c>
      <c r="AK69" s="87">
        <v>1</v>
      </c>
      <c r="BB69" s="136" t="s">
        <v>120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70"/>
      <c r="B70" s="370"/>
      <c r="C70" s="370"/>
      <c r="D70" s="370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1"/>
      <c r="P70" s="367" t="s">
        <v>40</v>
      </c>
      <c r="Q70" s="368"/>
      <c r="R70" s="368"/>
      <c r="S70" s="368"/>
      <c r="T70" s="368"/>
      <c r="U70" s="368"/>
      <c r="V70" s="369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370"/>
      <c r="B71" s="370"/>
      <c r="C71" s="370"/>
      <c r="D71" s="370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1"/>
      <c r="P71" s="367" t="s">
        <v>40</v>
      </c>
      <c r="Q71" s="368"/>
      <c r="R71" s="368"/>
      <c r="S71" s="368"/>
      <c r="T71" s="368"/>
      <c r="U71" s="368"/>
      <c r="V71" s="369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customHeight="1" x14ac:dyDescent="0.25">
      <c r="A72" s="354" t="s">
        <v>159</v>
      </c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  <c r="AA72" s="65"/>
      <c r="AB72" s="65"/>
      <c r="AC72" s="82"/>
    </row>
    <row r="73" spans="1:68" ht="14.25" customHeight="1" x14ac:dyDescent="0.25">
      <c r="A73" s="355" t="s">
        <v>80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355"/>
      <c r="Z73" s="355"/>
      <c r="AA73" s="66"/>
      <c r="AB73" s="66"/>
      <c r="AC73" s="83"/>
    </row>
    <row r="74" spans="1:68" ht="27" customHeight="1" x14ac:dyDescent="0.25">
      <c r="A74" s="63" t="s">
        <v>160</v>
      </c>
      <c r="B74" s="63" t="s">
        <v>161</v>
      </c>
      <c r="C74" s="36">
        <v>4301070977</v>
      </c>
      <c r="D74" s="356">
        <v>4607111037411</v>
      </c>
      <c r="E74" s="356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163</v>
      </c>
      <c r="L74" s="37" t="s">
        <v>86</v>
      </c>
      <c r="M74" s="38" t="s">
        <v>84</v>
      </c>
      <c r="N74" s="38"/>
      <c r="O74" s="37">
        <v>180</v>
      </c>
      <c r="P74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58"/>
      <c r="R74" s="358"/>
      <c r="S74" s="358"/>
      <c r="T74" s="35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162</v>
      </c>
      <c r="AG74" s="81"/>
      <c r="AJ74" s="87" t="s">
        <v>87</v>
      </c>
      <c r="AK74" s="87">
        <v>1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164</v>
      </c>
      <c r="B75" s="63" t="s">
        <v>165</v>
      </c>
      <c r="C75" s="36">
        <v>4301070981</v>
      </c>
      <c r="D75" s="356">
        <v>4607111036728</v>
      </c>
      <c r="E75" s="356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85</v>
      </c>
      <c r="L75" s="37" t="s">
        <v>122</v>
      </c>
      <c r="M75" s="38" t="s">
        <v>84</v>
      </c>
      <c r="N75" s="38"/>
      <c r="O75" s="37">
        <v>180</v>
      </c>
      <c r="P75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58"/>
      <c r="R75" s="358"/>
      <c r="S75" s="358"/>
      <c r="T75" s="35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162</v>
      </c>
      <c r="AG75" s="81"/>
      <c r="AJ75" s="87" t="s">
        <v>123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70"/>
      <c r="B76" s="370"/>
      <c r="C76" s="370"/>
      <c r="D76" s="370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1"/>
      <c r="P76" s="367" t="s">
        <v>40</v>
      </c>
      <c r="Q76" s="368"/>
      <c r="R76" s="368"/>
      <c r="S76" s="368"/>
      <c r="T76" s="368"/>
      <c r="U76" s="368"/>
      <c r="V76" s="369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x14ac:dyDescent="0.2">
      <c r="A77" s="370"/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1"/>
      <c r="P77" s="367" t="s">
        <v>40</v>
      </c>
      <c r="Q77" s="368"/>
      <c r="R77" s="368"/>
      <c r="S77" s="368"/>
      <c r="T77" s="368"/>
      <c r="U77" s="368"/>
      <c r="V77" s="369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customHeight="1" x14ac:dyDescent="0.25">
      <c r="A78" s="354" t="s">
        <v>166</v>
      </c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65"/>
      <c r="AB78" s="65"/>
      <c r="AC78" s="82"/>
    </row>
    <row r="79" spans="1:68" ht="14.25" customHeight="1" x14ac:dyDescent="0.25">
      <c r="A79" s="355" t="s">
        <v>167</v>
      </c>
      <c r="B79" s="355"/>
      <c r="C79" s="355"/>
      <c r="D79" s="355"/>
      <c r="E79" s="355"/>
      <c r="F79" s="355"/>
      <c r="G79" s="355"/>
      <c r="H79" s="355"/>
      <c r="I79" s="355"/>
      <c r="J79" s="355"/>
      <c r="K79" s="355"/>
      <c r="L79" s="355"/>
      <c r="M79" s="355"/>
      <c r="N79" s="355"/>
      <c r="O79" s="355"/>
      <c r="P79" s="355"/>
      <c r="Q79" s="355"/>
      <c r="R79" s="355"/>
      <c r="S79" s="355"/>
      <c r="T79" s="355"/>
      <c r="U79" s="355"/>
      <c r="V79" s="355"/>
      <c r="W79" s="355"/>
      <c r="X79" s="355"/>
      <c r="Y79" s="355"/>
      <c r="Z79" s="355"/>
      <c r="AA79" s="66"/>
      <c r="AB79" s="66"/>
      <c r="AC79" s="83"/>
    </row>
    <row r="80" spans="1:68" ht="27" customHeight="1" x14ac:dyDescent="0.25">
      <c r="A80" s="63" t="s">
        <v>168</v>
      </c>
      <c r="B80" s="63" t="s">
        <v>169</v>
      </c>
      <c r="C80" s="36">
        <v>4301135910</v>
      </c>
      <c r="D80" s="356">
        <v>4620207491638</v>
      </c>
      <c r="E80" s="356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121</v>
      </c>
      <c r="L80" s="37" t="s">
        <v>86</v>
      </c>
      <c r="M80" s="38" t="s">
        <v>84</v>
      </c>
      <c r="N80" s="38"/>
      <c r="O80" s="37">
        <v>180</v>
      </c>
      <c r="P80" s="39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58"/>
      <c r="R80" s="358"/>
      <c r="S80" s="358"/>
      <c r="T80" s="359"/>
      <c r="U80" s="39" t="s">
        <v>46</v>
      </c>
      <c r="V80" s="39" t="s">
        <v>46</v>
      </c>
      <c r="W80" s="40" t="s">
        <v>39</v>
      </c>
      <c r="X80" s="58">
        <v>70</v>
      </c>
      <c r="Y80" s="55">
        <f>IFERROR(IF(X80="","",X80),"")</f>
        <v>70</v>
      </c>
      <c r="Z80" s="41">
        <f>IFERROR(IF(X80="","",X80*0.01788),"")</f>
        <v>1.2516</v>
      </c>
      <c r="AA80" s="68" t="s">
        <v>46</v>
      </c>
      <c r="AB80" s="69" t="s">
        <v>46</v>
      </c>
      <c r="AC80" s="141" t="s">
        <v>170</v>
      </c>
      <c r="AG80" s="81"/>
      <c r="AJ80" s="87" t="s">
        <v>87</v>
      </c>
      <c r="AK80" s="87">
        <v>1</v>
      </c>
      <c r="BB80" s="142" t="s">
        <v>120</v>
      </c>
      <c r="BM80" s="81">
        <f>IFERROR(X80*I80,"0")</f>
        <v>301.25200000000001</v>
      </c>
      <c r="BN80" s="81">
        <f>IFERROR(Y80*I80,"0")</f>
        <v>301.25200000000001</v>
      </c>
      <c r="BO80" s="81">
        <f>IFERROR(X80/J80,"0")</f>
        <v>1</v>
      </c>
      <c r="BP80" s="81">
        <f>IFERROR(Y80/J80,"0")</f>
        <v>1</v>
      </c>
    </row>
    <row r="81" spans="1:68" x14ac:dyDescent="0.2">
      <c r="A81" s="370"/>
      <c r="B81" s="370"/>
      <c r="C81" s="370"/>
      <c r="D81" s="370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1"/>
      <c r="P81" s="367" t="s">
        <v>40</v>
      </c>
      <c r="Q81" s="368"/>
      <c r="R81" s="368"/>
      <c r="S81" s="368"/>
      <c r="T81" s="368"/>
      <c r="U81" s="368"/>
      <c r="V81" s="369"/>
      <c r="W81" s="42" t="s">
        <v>39</v>
      </c>
      <c r="X81" s="43">
        <f>IFERROR(SUM(X80:X80),"0")</f>
        <v>70</v>
      </c>
      <c r="Y81" s="43">
        <f>IFERROR(SUM(Y80:Y80),"0")</f>
        <v>70</v>
      </c>
      <c r="Z81" s="43">
        <f>IFERROR(IF(Z80="",0,Z80),"0")</f>
        <v>1.2516</v>
      </c>
      <c r="AA81" s="67"/>
      <c r="AB81" s="67"/>
      <c r="AC81" s="67"/>
    </row>
    <row r="82" spans="1:68" x14ac:dyDescent="0.2">
      <c r="A82" s="370"/>
      <c r="B82" s="370"/>
      <c r="C82" s="370"/>
      <c r="D82" s="370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1"/>
      <c r="P82" s="367" t="s">
        <v>40</v>
      </c>
      <c r="Q82" s="368"/>
      <c r="R82" s="368"/>
      <c r="S82" s="368"/>
      <c r="T82" s="368"/>
      <c r="U82" s="368"/>
      <c r="V82" s="369"/>
      <c r="W82" s="42" t="s">
        <v>0</v>
      </c>
      <c r="X82" s="43">
        <f>IFERROR(SUMPRODUCT(X80:X80*H80:H80),"0")</f>
        <v>252</v>
      </c>
      <c r="Y82" s="43">
        <f>IFERROR(SUMPRODUCT(Y80:Y80*H80:H80),"0")</f>
        <v>252</v>
      </c>
      <c r="Z82" s="42"/>
      <c r="AA82" s="67"/>
      <c r="AB82" s="67"/>
      <c r="AC82" s="67"/>
    </row>
    <row r="83" spans="1:68" ht="16.5" customHeight="1" x14ac:dyDescent="0.25">
      <c r="A83" s="354" t="s">
        <v>171</v>
      </c>
      <c r="B83" s="354"/>
      <c r="C83" s="354"/>
      <c r="D83" s="354"/>
      <c r="E83" s="354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  <c r="AA83" s="65"/>
      <c r="AB83" s="65"/>
      <c r="AC83" s="82"/>
    </row>
    <row r="84" spans="1:68" ht="14.25" customHeight="1" x14ac:dyDescent="0.25">
      <c r="A84" s="355" t="s">
        <v>172</v>
      </c>
      <c r="B84" s="355"/>
      <c r="C84" s="355"/>
      <c r="D84" s="355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5"/>
      <c r="Q84" s="355"/>
      <c r="R84" s="355"/>
      <c r="S84" s="355"/>
      <c r="T84" s="355"/>
      <c r="U84" s="355"/>
      <c r="V84" s="355"/>
      <c r="W84" s="355"/>
      <c r="X84" s="355"/>
      <c r="Y84" s="355"/>
      <c r="Z84" s="355"/>
      <c r="AA84" s="66"/>
      <c r="AB84" s="66"/>
      <c r="AC84" s="83"/>
    </row>
    <row r="85" spans="1:68" ht="27" customHeight="1" x14ac:dyDescent="0.25">
      <c r="A85" s="63" t="s">
        <v>173</v>
      </c>
      <c r="B85" s="63" t="s">
        <v>174</v>
      </c>
      <c r="C85" s="36">
        <v>4301131047</v>
      </c>
      <c r="D85" s="356">
        <v>4607111034120</v>
      </c>
      <c r="E85" s="356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121</v>
      </c>
      <c r="L85" s="37" t="s">
        <v>122</v>
      </c>
      <c r="M85" s="38" t="s">
        <v>84</v>
      </c>
      <c r="N85" s="38"/>
      <c r="O85" s="37">
        <v>180</v>
      </c>
      <c r="P85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58"/>
      <c r="R85" s="358"/>
      <c r="S85" s="358"/>
      <c r="T85" s="359"/>
      <c r="U85" s="39" t="s">
        <v>46</v>
      </c>
      <c r="V85" s="39" t="s">
        <v>46</v>
      </c>
      <c r="W85" s="40" t="s">
        <v>39</v>
      </c>
      <c r="X85" s="58">
        <v>140</v>
      </c>
      <c r="Y85" s="55">
        <f>IFERROR(IF(X85="","",X85),"")</f>
        <v>140</v>
      </c>
      <c r="Z85" s="41">
        <f>IFERROR(IF(X85="","",X85*0.01788),"")</f>
        <v>2.5032000000000001</v>
      </c>
      <c r="AA85" s="68" t="s">
        <v>46</v>
      </c>
      <c r="AB85" s="69" t="s">
        <v>46</v>
      </c>
      <c r="AC85" s="143" t="s">
        <v>175</v>
      </c>
      <c r="AG85" s="81"/>
      <c r="AJ85" s="87" t="s">
        <v>123</v>
      </c>
      <c r="AK85" s="87">
        <v>14</v>
      </c>
      <c r="BB85" s="144" t="s">
        <v>120</v>
      </c>
      <c r="BM85" s="81">
        <f>IFERROR(X85*I85,"0")</f>
        <v>602.50400000000002</v>
      </c>
      <c r="BN85" s="81">
        <f>IFERROR(Y85*I85,"0")</f>
        <v>602.50400000000002</v>
      </c>
      <c r="BO85" s="81">
        <f>IFERROR(X85/J85,"0")</f>
        <v>2</v>
      </c>
      <c r="BP85" s="81">
        <f>IFERROR(Y85/J85,"0")</f>
        <v>2</v>
      </c>
    </row>
    <row r="86" spans="1:68" ht="27" customHeight="1" x14ac:dyDescent="0.25">
      <c r="A86" s="63" t="s">
        <v>176</v>
      </c>
      <c r="B86" s="63" t="s">
        <v>177</v>
      </c>
      <c r="C86" s="36">
        <v>4301131046</v>
      </c>
      <c r="D86" s="356">
        <v>4607111034137</v>
      </c>
      <c r="E86" s="35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121</v>
      </c>
      <c r="L86" s="37" t="s">
        <v>122</v>
      </c>
      <c r="M86" s="38" t="s">
        <v>84</v>
      </c>
      <c r="N86" s="38"/>
      <c r="O86" s="37">
        <v>180</v>
      </c>
      <c r="P86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58"/>
      <c r="R86" s="358"/>
      <c r="S86" s="358"/>
      <c r="T86" s="359"/>
      <c r="U86" s="39" t="s">
        <v>46</v>
      </c>
      <c r="V86" s="39" t="s">
        <v>46</v>
      </c>
      <c r="W86" s="40" t="s">
        <v>39</v>
      </c>
      <c r="X86" s="58">
        <v>70</v>
      </c>
      <c r="Y86" s="55">
        <f>IFERROR(IF(X86="","",X86),"")</f>
        <v>70</v>
      </c>
      <c r="Z86" s="41">
        <f>IFERROR(IF(X86="","",X86*0.01788),"")</f>
        <v>1.2516</v>
      </c>
      <c r="AA86" s="68" t="s">
        <v>46</v>
      </c>
      <c r="AB86" s="69" t="s">
        <v>46</v>
      </c>
      <c r="AC86" s="145" t="s">
        <v>178</v>
      </c>
      <c r="AG86" s="81"/>
      <c r="AJ86" s="87" t="s">
        <v>123</v>
      </c>
      <c r="AK86" s="87">
        <v>14</v>
      </c>
      <c r="BB86" s="146" t="s">
        <v>120</v>
      </c>
      <c r="BM86" s="81">
        <f>IFERROR(X86*I86,"0")</f>
        <v>301.25200000000001</v>
      </c>
      <c r="BN86" s="81">
        <f>IFERROR(Y86*I86,"0")</f>
        <v>301.25200000000001</v>
      </c>
      <c r="BO86" s="81">
        <f>IFERROR(X86/J86,"0")</f>
        <v>1</v>
      </c>
      <c r="BP86" s="81">
        <f>IFERROR(Y86/J86,"0")</f>
        <v>1</v>
      </c>
    </row>
    <row r="87" spans="1:68" x14ac:dyDescent="0.2">
      <c r="A87" s="370"/>
      <c r="B87" s="370"/>
      <c r="C87" s="370"/>
      <c r="D87" s="370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1"/>
      <c r="P87" s="367" t="s">
        <v>40</v>
      </c>
      <c r="Q87" s="368"/>
      <c r="R87" s="368"/>
      <c r="S87" s="368"/>
      <c r="T87" s="368"/>
      <c r="U87" s="368"/>
      <c r="V87" s="369"/>
      <c r="W87" s="42" t="s">
        <v>39</v>
      </c>
      <c r="X87" s="43">
        <f>IFERROR(SUM(X85:X86),"0")</f>
        <v>210</v>
      </c>
      <c r="Y87" s="43">
        <f>IFERROR(SUM(Y85:Y86),"0")</f>
        <v>210</v>
      </c>
      <c r="Z87" s="43">
        <f>IFERROR(IF(Z85="",0,Z85),"0")+IFERROR(IF(Z86="",0,Z86),"0")</f>
        <v>3.7548000000000004</v>
      </c>
      <c r="AA87" s="67"/>
      <c r="AB87" s="67"/>
      <c r="AC87" s="67"/>
    </row>
    <row r="88" spans="1:68" x14ac:dyDescent="0.2">
      <c r="A88" s="370"/>
      <c r="B88" s="370"/>
      <c r="C88" s="370"/>
      <c r="D88" s="370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1"/>
      <c r="P88" s="367" t="s">
        <v>40</v>
      </c>
      <c r="Q88" s="368"/>
      <c r="R88" s="368"/>
      <c r="S88" s="368"/>
      <c r="T88" s="368"/>
      <c r="U88" s="368"/>
      <c r="V88" s="369"/>
      <c r="W88" s="42" t="s">
        <v>0</v>
      </c>
      <c r="X88" s="43">
        <f>IFERROR(SUMPRODUCT(X85:X86*H85:H86),"0")</f>
        <v>756</v>
      </c>
      <c r="Y88" s="43">
        <f>IFERROR(SUMPRODUCT(Y85:Y86*H85:H86),"0")</f>
        <v>756</v>
      </c>
      <c r="Z88" s="42"/>
      <c r="AA88" s="67"/>
      <c r="AB88" s="67"/>
      <c r="AC88" s="67"/>
    </row>
    <row r="89" spans="1:68" ht="16.5" customHeight="1" x14ac:dyDescent="0.25">
      <c r="A89" s="354" t="s">
        <v>179</v>
      </c>
      <c r="B89" s="354"/>
      <c r="C89" s="354"/>
      <c r="D89" s="354"/>
      <c r="E89" s="354"/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65"/>
      <c r="AB89" s="65"/>
      <c r="AC89" s="82"/>
    </row>
    <row r="90" spans="1:68" ht="14.25" customHeight="1" x14ac:dyDescent="0.25">
      <c r="A90" s="355" t="s">
        <v>167</v>
      </c>
      <c r="B90" s="355"/>
      <c r="C90" s="355"/>
      <c r="D90" s="355"/>
      <c r="E90" s="355"/>
      <c r="F90" s="355"/>
      <c r="G90" s="355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  <c r="T90" s="355"/>
      <c r="U90" s="355"/>
      <c r="V90" s="355"/>
      <c r="W90" s="355"/>
      <c r="X90" s="355"/>
      <c r="Y90" s="355"/>
      <c r="Z90" s="355"/>
      <c r="AA90" s="66"/>
      <c r="AB90" s="66"/>
      <c r="AC90" s="83"/>
    </row>
    <row r="91" spans="1:68" ht="27" customHeight="1" x14ac:dyDescent="0.25">
      <c r="A91" s="63" t="s">
        <v>180</v>
      </c>
      <c r="B91" s="63" t="s">
        <v>181</v>
      </c>
      <c r="C91" s="36">
        <v>4301135763</v>
      </c>
      <c r="D91" s="356">
        <v>4620207491027</v>
      </c>
      <c r="E91" s="356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121</v>
      </c>
      <c r="L91" s="37" t="s">
        <v>122</v>
      </c>
      <c r="M91" s="38" t="s">
        <v>84</v>
      </c>
      <c r="N91" s="38"/>
      <c r="O91" s="37">
        <v>180</v>
      </c>
      <c r="P91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58"/>
      <c r="R91" s="358"/>
      <c r="S91" s="358"/>
      <c r="T91" s="359"/>
      <c r="U91" s="39" t="s">
        <v>46</v>
      </c>
      <c r="V91" s="39" t="s">
        <v>46</v>
      </c>
      <c r="W91" s="40" t="s">
        <v>39</v>
      </c>
      <c r="X91" s="58">
        <v>70</v>
      </c>
      <c r="Y91" s="55">
        <f t="shared" ref="Y91:Y96" si="6">IFERROR(IF(X91="","",X91),"")</f>
        <v>70</v>
      </c>
      <c r="Z91" s="41">
        <f t="shared" ref="Z91:Z96" si="7">IFERROR(IF(X91="","",X91*0.01788),"")</f>
        <v>1.2516</v>
      </c>
      <c r="AA91" s="68" t="s">
        <v>46</v>
      </c>
      <c r="AB91" s="69" t="s">
        <v>46</v>
      </c>
      <c r="AC91" s="147" t="s">
        <v>182</v>
      </c>
      <c r="AG91" s="81"/>
      <c r="AJ91" s="87" t="s">
        <v>123</v>
      </c>
      <c r="AK91" s="87">
        <v>14</v>
      </c>
      <c r="BB91" s="148" t="s">
        <v>120</v>
      </c>
      <c r="BM91" s="81">
        <f t="shared" ref="BM91:BM96" si="8">IFERROR(X91*I91,"0")</f>
        <v>250.852</v>
      </c>
      <c r="BN91" s="81">
        <f t="shared" ref="BN91:BN96" si="9">IFERROR(Y91*I91,"0")</f>
        <v>250.852</v>
      </c>
      <c r="BO91" s="81">
        <f t="shared" ref="BO91:BO96" si="10">IFERROR(X91/J91,"0")</f>
        <v>1</v>
      </c>
      <c r="BP91" s="81">
        <f t="shared" ref="BP91:BP96" si="11">IFERROR(Y91/J91,"0")</f>
        <v>1</v>
      </c>
    </row>
    <row r="92" spans="1:68" ht="27" customHeight="1" x14ac:dyDescent="0.25">
      <c r="A92" s="63" t="s">
        <v>183</v>
      </c>
      <c r="B92" s="63" t="s">
        <v>184</v>
      </c>
      <c r="C92" s="36">
        <v>4301135914</v>
      </c>
      <c r="D92" s="356">
        <v>4620207491621</v>
      </c>
      <c r="E92" s="356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121</v>
      </c>
      <c r="L92" s="37" t="s">
        <v>86</v>
      </c>
      <c r="M92" s="38" t="s">
        <v>84</v>
      </c>
      <c r="N92" s="38"/>
      <c r="O92" s="37">
        <v>180</v>
      </c>
      <c r="P92" s="394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58"/>
      <c r="R92" s="358"/>
      <c r="S92" s="358"/>
      <c r="T92" s="359"/>
      <c r="U92" s="39" t="s">
        <v>46</v>
      </c>
      <c r="V92" s="39" t="s">
        <v>46</v>
      </c>
      <c r="W92" s="40" t="s">
        <v>39</v>
      </c>
      <c r="X92" s="58">
        <v>70</v>
      </c>
      <c r="Y92" s="55">
        <f t="shared" si="6"/>
        <v>70</v>
      </c>
      <c r="Z92" s="41">
        <f t="shared" si="7"/>
        <v>1.2516</v>
      </c>
      <c r="AA92" s="68" t="s">
        <v>46</v>
      </c>
      <c r="AB92" s="69" t="s">
        <v>46</v>
      </c>
      <c r="AC92" s="149" t="s">
        <v>185</v>
      </c>
      <c r="AG92" s="81"/>
      <c r="AJ92" s="87" t="s">
        <v>87</v>
      </c>
      <c r="AK92" s="87">
        <v>1</v>
      </c>
      <c r="BB92" s="150" t="s">
        <v>120</v>
      </c>
      <c r="BM92" s="81">
        <f t="shared" si="8"/>
        <v>250.852</v>
      </c>
      <c r="BN92" s="81">
        <f t="shared" si="9"/>
        <v>250.852</v>
      </c>
      <c r="BO92" s="81">
        <f t="shared" si="10"/>
        <v>1</v>
      </c>
      <c r="BP92" s="81">
        <f t="shared" si="11"/>
        <v>1</v>
      </c>
    </row>
    <row r="93" spans="1:68" ht="27" customHeight="1" x14ac:dyDescent="0.25">
      <c r="A93" s="63" t="s">
        <v>186</v>
      </c>
      <c r="B93" s="63" t="s">
        <v>187</v>
      </c>
      <c r="C93" s="36">
        <v>4301135990</v>
      </c>
      <c r="D93" s="356">
        <v>4620207491881</v>
      </c>
      <c r="E93" s="356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121</v>
      </c>
      <c r="L93" s="37" t="s">
        <v>86</v>
      </c>
      <c r="M93" s="38" t="s">
        <v>84</v>
      </c>
      <c r="N93" s="38"/>
      <c r="O93" s="37">
        <v>180</v>
      </c>
      <c r="P93" s="395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70</v>
      </c>
      <c r="Y93" s="55">
        <f t="shared" si="6"/>
        <v>70</v>
      </c>
      <c r="Z93" s="41">
        <f t="shared" si="7"/>
        <v>1.2516</v>
      </c>
      <c r="AA93" s="68" t="s">
        <v>46</v>
      </c>
      <c r="AB93" s="69" t="s">
        <v>46</v>
      </c>
      <c r="AC93" s="151" t="s">
        <v>185</v>
      </c>
      <c r="AG93" s="81"/>
      <c r="AJ93" s="87" t="s">
        <v>87</v>
      </c>
      <c r="AK93" s="87">
        <v>1</v>
      </c>
      <c r="BB93" s="152" t="s">
        <v>120</v>
      </c>
      <c r="BM93" s="81">
        <f t="shared" si="8"/>
        <v>250.852</v>
      </c>
      <c r="BN93" s="81">
        <f t="shared" si="9"/>
        <v>250.852</v>
      </c>
      <c r="BO93" s="81">
        <f t="shared" si="10"/>
        <v>1</v>
      </c>
      <c r="BP93" s="81">
        <f t="shared" si="11"/>
        <v>1</v>
      </c>
    </row>
    <row r="94" spans="1:68" ht="27" customHeight="1" x14ac:dyDescent="0.25">
      <c r="A94" s="63" t="s">
        <v>188</v>
      </c>
      <c r="B94" s="63" t="s">
        <v>189</v>
      </c>
      <c r="C94" s="36">
        <v>4301135920</v>
      </c>
      <c r="D94" s="356">
        <v>4620207491577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121</v>
      </c>
      <c r="L94" s="37" t="s">
        <v>86</v>
      </c>
      <c r="M94" s="38" t="s">
        <v>84</v>
      </c>
      <c r="N94" s="38"/>
      <c r="O94" s="37">
        <v>180</v>
      </c>
      <c r="P94" s="396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140</v>
      </c>
      <c r="Y94" s="55">
        <f t="shared" si="6"/>
        <v>140</v>
      </c>
      <c r="Z94" s="41">
        <f t="shared" si="7"/>
        <v>2.5032000000000001</v>
      </c>
      <c r="AA94" s="68" t="s">
        <v>46</v>
      </c>
      <c r="AB94" s="69" t="s">
        <v>46</v>
      </c>
      <c r="AC94" s="153" t="s">
        <v>185</v>
      </c>
      <c r="AG94" s="81"/>
      <c r="AJ94" s="87" t="s">
        <v>87</v>
      </c>
      <c r="AK94" s="87">
        <v>1</v>
      </c>
      <c r="BB94" s="154" t="s">
        <v>120</v>
      </c>
      <c r="BM94" s="81">
        <f t="shared" si="8"/>
        <v>501.70400000000001</v>
      </c>
      <c r="BN94" s="81">
        <f t="shared" si="9"/>
        <v>501.70400000000001</v>
      </c>
      <c r="BO94" s="81">
        <f t="shared" si="10"/>
        <v>2</v>
      </c>
      <c r="BP94" s="81">
        <f t="shared" si="11"/>
        <v>2</v>
      </c>
    </row>
    <row r="95" spans="1:68" ht="27" customHeight="1" x14ac:dyDescent="0.25">
      <c r="A95" s="63" t="s">
        <v>190</v>
      </c>
      <c r="B95" s="63" t="s">
        <v>191</v>
      </c>
      <c r="C95" s="36">
        <v>4301135984</v>
      </c>
      <c r="D95" s="356">
        <v>4620207491874</v>
      </c>
      <c r="E95" s="356"/>
      <c r="F95" s="62">
        <v>0.48</v>
      </c>
      <c r="G95" s="37">
        <v>8</v>
      </c>
      <c r="H95" s="62">
        <v>3.84</v>
      </c>
      <c r="I95" s="62">
        <v>4.4488000000000003</v>
      </c>
      <c r="J95" s="37">
        <v>70</v>
      </c>
      <c r="K95" s="37" t="s">
        <v>121</v>
      </c>
      <c r="L95" s="37" t="s">
        <v>86</v>
      </c>
      <c r="M95" s="38" t="s">
        <v>84</v>
      </c>
      <c r="N95" s="38"/>
      <c r="O95" s="37">
        <v>180</v>
      </c>
      <c r="P95" s="397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55" t="s">
        <v>185</v>
      </c>
      <c r="AG95" s="81"/>
      <c r="AJ95" s="87" t="s">
        <v>87</v>
      </c>
      <c r="AK95" s="87">
        <v>1</v>
      </c>
      <c r="BB95" s="156" t="s">
        <v>120</v>
      </c>
      <c r="BM95" s="81">
        <f t="shared" si="8"/>
        <v>62.283200000000008</v>
      </c>
      <c r="BN95" s="81">
        <f t="shared" si="9"/>
        <v>62.283200000000008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192</v>
      </c>
      <c r="B96" s="63" t="s">
        <v>193</v>
      </c>
      <c r="C96" s="36">
        <v>4301137008</v>
      </c>
      <c r="D96" s="356">
        <v>4620207491782</v>
      </c>
      <c r="E96" s="356"/>
      <c r="F96" s="62">
        <v>0.3</v>
      </c>
      <c r="G96" s="37">
        <v>14</v>
      </c>
      <c r="H96" s="62">
        <v>4.2</v>
      </c>
      <c r="I96" s="62">
        <v>4.5292000000000003</v>
      </c>
      <c r="J96" s="37">
        <v>70</v>
      </c>
      <c r="K96" s="37" t="s">
        <v>121</v>
      </c>
      <c r="L96" s="37" t="s">
        <v>86</v>
      </c>
      <c r="M96" s="38" t="s">
        <v>84</v>
      </c>
      <c r="N96" s="38"/>
      <c r="O96" s="37">
        <v>180</v>
      </c>
      <c r="P96" s="39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7" t="s">
        <v>185</v>
      </c>
      <c r="AG96" s="81"/>
      <c r="AJ96" s="87" t="s">
        <v>87</v>
      </c>
      <c r="AK96" s="87">
        <v>1</v>
      </c>
      <c r="BB96" s="158" t="s">
        <v>120</v>
      </c>
      <c r="BM96" s="81">
        <f t="shared" si="8"/>
        <v>63.408800000000006</v>
      </c>
      <c r="BN96" s="81">
        <f t="shared" si="9"/>
        <v>63.408800000000006</v>
      </c>
      <c r="BO96" s="81">
        <f t="shared" si="10"/>
        <v>0.2</v>
      </c>
      <c r="BP96" s="81">
        <f t="shared" si="11"/>
        <v>0.2</v>
      </c>
    </row>
    <row r="97" spans="1:68" x14ac:dyDescent="0.2">
      <c r="A97" s="370"/>
      <c r="B97" s="370"/>
      <c r="C97" s="370"/>
      <c r="D97" s="370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1"/>
      <c r="P97" s="367" t="s">
        <v>40</v>
      </c>
      <c r="Q97" s="368"/>
      <c r="R97" s="368"/>
      <c r="S97" s="368"/>
      <c r="T97" s="368"/>
      <c r="U97" s="368"/>
      <c r="V97" s="369"/>
      <c r="W97" s="42" t="s">
        <v>39</v>
      </c>
      <c r="X97" s="43">
        <f>IFERROR(SUM(X91:X96),"0")</f>
        <v>378</v>
      </c>
      <c r="Y97" s="43">
        <f>IFERROR(SUM(Y91:Y96),"0")</f>
        <v>378</v>
      </c>
      <c r="Z97" s="43">
        <f>IFERROR(IF(Z91="",0,Z91),"0")+IFERROR(IF(Z92="",0,Z92),"0")+IFERROR(IF(Z93="",0,Z93),"0")+IFERROR(IF(Z94="",0,Z94),"0")+IFERROR(IF(Z95="",0,Z95),"0")+IFERROR(IF(Z96="",0,Z96),"0")</f>
        <v>6.7586400000000015</v>
      </c>
      <c r="AA97" s="67"/>
      <c r="AB97" s="67"/>
      <c r="AC97" s="67"/>
    </row>
    <row r="98" spans="1:68" x14ac:dyDescent="0.2">
      <c r="A98" s="370"/>
      <c r="B98" s="370"/>
      <c r="C98" s="370"/>
      <c r="D98" s="370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1"/>
      <c r="P98" s="367" t="s">
        <v>40</v>
      </c>
      <c r="Q98" s="368"/>
      <c r="R98" s="368"/>
      <c r="S98" s="368"/>
      <c r="T98" s="368"/>
      <c r="U98" s="368"/>
      <c r="V98" s="369"/>
      <c r="W98" s="42" t="s">
        <v>0</v>
      </c>
      <c r="X98" s="43">
        <f>IFERROR(SUMPRODUCT(X91:X96*H91:H96),"0")</f>
        <v>1120.56</v>
      </c>
      <c r="Y98" s="43">
        <f>IFERROR(SUMPRODUCT(Y91:Y96*H91:H96),"0")</f>
        <v>1120.56</v>
      </c>
      <c r="Z98" s="42"/>
      <c r="AA98" s="67"/>
      <c r="AB98" s="67"/>
      <c r="AC98" s="67"/>
    </row>
    <row r="99" spans="1:68" ht="16.5" customHeight="1" x14ac:dyDescent="0.25">
      <c r="A99" s="354" t="s">
        <v>194</v>
      </c>
      <c r="B99" s="354"/>
      <c r="C99" s="354"/>
      <c r="D99" s="354"/>
      <c r="E99" s="354"/>
      <c r="F99" s="354"/>
      <c r="G99" s="354"/>
      <c r="H99" s="354"/>
      <c r="I99" s="354"/>
      <c r="J99" s="354"/>
      <c r="K99" s="354"/>
      <c r="L99" s="354"/>
      <c r="M99" s="354"/>
      <c r="N99" s="354"/>
      <c r="O99" s="354"/>
      <c r="P99" s="354"/>
      <c r="Q99" s="354"/>
      <c r="R99" s="354"/>
      <c r="S99" s="354"/>
      <c r="T99" s="354"/>
      <c r="U99" s="354"/>
      <c r="V99" s="354"/>
      <c r="W99" s="354"/>
      <c r="X99" s="354"/>
      <c r="Y99" s="354"/>
      <c r="Z99" s="354"/>
      <c r="AA99" s="65"/>
      <c r="AB99" s="65"/>
      <c r="AC99" s="82"/>
    </row>
    <row r="100" spans="1:68" ht="14.25" customHeight="1" x14ac:dyDescent="0.25">
      <c r="A100" s="355" t="s">
        <v>195</v>
      </c>
      <c r="B100" s="355"/>
      <c r="C100" s="355"/>
      <c r="D100" s="355"/>
      <c r="E100" s="355"/>
      <c r="F100" s="355"/>
      <c r="G100" s="355"/>
      <c r="H100" s="355"/>
      <c r="I100" s="355"/>
      <c r="J100" s="355"/>
      <c r="K100" s="355"/>
      <c r="L100" s="355"/>
      <c r="M100" s="355"/>
      <c r="N100" s="355"/>
      <c r="O100" s="355"/>
      <c r="P100" s="355"/>
      <c r="Q100" s="355"/>
      <c r="R100" s="355"/>
      <c r="S100" s="355"/>
      <c r="T100" s="355"/>
      <c r="U100" s="355"/>
      <c r="V100" s="355"/>
      <c r="W100" s="355"/>
      <c r="X100" s="355"/>
      <c r="Y100" s="355"/>
      <c r="Z100" s="355"/>
      <c r="AA100" s="66"/>
      <c r="AB100" s="66"/>
      <c r="AC100" s="83"/>
    </row>
    <row r="101" spans="1:68" ht="27" customHeight="1" x14ac:dyDescent="0.25">
      <c r="A101" s="63" t="s">
        <v>196</v>
      </c>
      <c r="B101" s="63" t="s">
        <v>197</v>
      </c>
      <c r="C101" s="36">
        <v>4301136101</v>
      </c>
      <c r="D101" s="356">
        <v>4620207491652</v>
      </c>
      <c r="E101" s="356"/>
      <c r="F101" s="62">
        <v>0.09</v>
      </c>
      <c r="G101" s="37">
        <v>24</v>
      </c>
      <c r="H101" s="62">
        <v>2.16</v>
      </c>
      <c r="I101" s="62">
        <v>2.4912000000000001</v>
      </c>
      <c r="J101" s="37">
        <v>126</v>
      </c>
      <c r="K101" s="37" t="s">
        <v>121</v>
      </c>
      <c r="L101" s="37" t="s">
        <v>86</v>
      </c>
      <c r="M101" s="38" t="s">
        <v>84</v>
      </c>
      <c r="N101" s="38"/>
      <c r="O101" s="37">
        <v>180</v>
      </c>
      <c r="P101" s="39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358"/>
      <c r="R101" s="358"/>
      <c r="S101" s="358"/>
      <c r="T101" s="359"/>
      <c r="U101" s="39" t="s">
        <v>46</v>
      </c>
      <c r="V101" s="39" t="s">
        <v>46</v>
      </c>
      <c r="W101" s="40" t="s">
        <v>39</v>
      </c>
      <c r="X101" s="58">
        <v>0</v>
      </c>
      <c r="Y101" s="55">
        <f>IFERROR(IF(X101="","",X101),"")</f>
        <v>0</v>
      </c>
      <c r="Z101" s="41">
        <f>IFERROR(IF(X101="","",X101*0.00936),"")</f>
        <v>0</v>
      </c>
      <c r="AA101" s="68" t="s">
        <v>46</v>
      </c>
      <c r="AB101" s="69" t="s">
        <v>46</v>
      </c>
      <c r="AC101" s="159" t="s">
        <v>198</v>
      </c>
      <c r="AG101" s="81"/>
      <c r="AJ101" s="87" t="s">
        <v>87</v>
      </c>
      <c r="AK101" s="87">
        <v>1</v>
      </c>
      <c r="BB101" s="160" t="s">
        <v>120</v>
      </c>
      <c r="BM101" s="81">
        <f>IFERROR(X101*I101,"0")</f>
        <v>0</v>
      </c>
      <c r="BN101" s="81">
        <f>IFERROR(Y101*I101,"0")</f>
        <v>0</v>
      </c>
      <c r="BO101" s="81">
        <f>IFERROR(X101/J101,"0")</f>
        <v>0</v>
      </c>
      <c r="BP101" s="81">
        <f>IFERROR(Y101/J101,"0")</f>
        <v>0</v>
      </c>
    </row>
    <row r="102" spans="1:68" ht="27" customHeight="1" x14ac:dyDescent="0.25">
      <c r="A102" s="63" t="s">
        <v>199</v>
      </c>
      <c r="B102" s="63" t="s">
        <v>200</v>
      </c>
      <c r="C102" s="36">
        <v>4301136103</v>
      </c>
      <c r="D102" s="356">
        <v>4620207491645</v>
      </c>
      <c r="E102" s="356"/>
      <c r="F102" s="62">
        <v>0.36</v>
      </c>
      <c r="G102" s="37">
        <v>10</v>
      </c>
      <c r="H102" s="62">
        <v>3.6</v>
      </c>
      <c r="I102" s="62">
        <v>4.2439999999999998</v>
      </c>
      <c r="J102" s="37">
        <v>70</v>
      </c>
      <c r="K102" s="37" t="s">
        <v>121</v>
      </c>
      <c r="L102" s="37" t="s">
        <v>86</v>
      </c>
      <c r="M102" s="38" t="s">
        <v>84</v>
      </c>
      <c r="N102" s="38"/>
      <c r="O102" s="37">
        <v>180</v>
      </c>
      <c r="P102" s="40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358"/>
      <c r="R102" s="358"/>
      <c r="S102" s="358"/>
      <c r="T102" s="359"/>
      <c r="U102" s="39" t="s">
        <v>46</v>
      </c>
      <c r="V102" s="39" t="s">
        <v>46</v>
      </c>
      <c r="W102" s="40" t="s">
        <v>39</v>
      </c>
      <c r="X102" s="58">
        <v>0</v>
      </c>
      <c r="Y102" s="55">
        <f>IFERROR(IF(X102="","",X102),"")</f>
        <v>0</v>
      </c>
      <c r="Z102" s="41">
        <f>IFERROR(IF(X102="","",X102*0.01788),"")</f>
        <v>0</v>
      </c>
      <c r="AA102" s="68" t="s">
        <v>46</v>
      </c>
      <c r="AB102" s="69" t="s">
        <v>46</v>
      </c>
      <c r="AC102" s="161" t="s">
        <v>198</v>
      </c>
      <c r="AG102" s="81"/>
      <c r="AJ102" s="87" t="s">
        <v>87</v>
      </c>
      <c r="AK102" s="87">
        <v>1</v>
      </c>
      <c r="BB102" s="162" t="s">
        <v>120</v>
      </c>
      <c r="BM102" s="81">
        <f>IFERROR(X102*I102,"0")</f>
        <v>0</v>
      </c>
      <c r="BN102" s="81">
        <f>IFERROR(Y102*I102,"0")</f>
        <v>0</v>
      </c>
      <c r="BO102" s="81">
        <f>IFERROR(X102/J102,"0")</f>
        <v>0</v>
      </c>
      <c r="BP102" s="81">
        <f>IFERROR(Y102/J102,"0")</f>
        <v>0</v>
      </c>
    </row>
    <row r="103" spans="1:68" x14ac:dyDescent="0.2">
      <c r="A103" s="370"/>
      <c r="B103" s="370"/>
      <c r="C103" s="370"/>
      <c r="D103" s="370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1"/>
      <c r="P103" s="367" t="s">
        <v>40</v>
      </c>
      <c r="Q103" s="368"/>
      <c r="R103" s="368"/>
      <c r="S103" s="368"/>
      <c r="T103" s="368"/>
      <c r="U103" s="368"/>
      <c r="V103" s="369"/>
      <c r="W103" s="42" t="s">
        <v>39</v>
      </c>
      <c r="X103" s="43">
        <f>IFERROR(SUM(X101:X102),"0")</f>
        <v>0</v>
      </c>
      <c r="Y103" s="43">
        <f>IFERROR(SUM(Y101:Y102),"0")</f>
        <v>0</v>
      </c>
      <c r="Z103" s="43">
        <f>IFERROR(IF(Z101="",0,Z101),"0")+IFERROR(IF(Z102="",0,Z102),"0")</f>
        <v>0</v>
      </c>
      <c r="AA103" s="67"/>
      <c r="AB103" s="67"/>
      <c r="AC103" s="67"/>
    </row>
    <row r="104" spans="1:68" x14ac:dyDescent="0.2">
      <c r="A104" s="370"/>
      <c r="B104" s="370"/>
      <c r="C104" s="370"/>
      <c r="D104" s="370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1"/>
      <c r="P104" s="367" t="s">
        <v>40</v>
      </c>
      <c r="Q104" s="368"/>
      <c r="R104" s="368"/>
      <c r="S104" s="368"/>
      <c r="T104" s="368"/>
      <c r="U104" s="368"/>
      <c r="V104" s="369"/>
      <c r="W104" s="42" t="s">
        <v>0</v>
      </c>
      <c r="X104" s="43">
        <f>IFERROR(SUMPRODUCT(X101:X102*H101:H102),"0")</f>
        <v>0</v>
      </c>
      <c r="Y104" s="43">
        <f>IFERROR(SUMPRODUCT(Y101:Y102*H101:H102),"0")</f>
        <v>0</v>
      </c>
      <c r="Z104" s="42"/>
      <c r="AA104" s="67"/>
      <c r="AB104" s="67"/>
      <c r="AC104" s="67"/>
    </row>
    <row r="105" spans="1:68" ht="16.5" customHeight="1" x14ac:dyDescent="0.25">
      <c r="A105" s="354" t="s">
        <v>201</v>
      </c>
      <c r="B105" s="354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  <c r="AA105" s="65"/>
      <c r="AB105" s="65"/>
      <c r="AC105" s="82"/>
    </row>
    <row r="106" spans="1:68" ht="14.25" customHeight="1" x14ac:dyDescent="0.25">
      <c r="A106" s="355" t="s">
        <v>80</v>
      </c>
      <c r="B106" s="355"/>
      <c r="C106" s="355"/>
      <c r="D106" s="355"/>
      <c r="E106" s="355"/>
      <c r="F106" s="355"/>
      <c r="G106" s="355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  <c r="S106" s="355"/>
      <c r="T106" s="355"/>
      <c r="U106" s="355"/>
      <c r="V106" s="355"/>
      <c r="W106" s="355"/>
      <c r="X106" s="355"/>
      <c r="Y106" s="355"/>
      <c r="Z106" s="355"/>
      <c r="AA106" s="66"/>
      <c r="AB106" s="66"/>
      <c r="AC106" s="83"/>
    </row>
    <row r="107" spans="1:68" ht="27" customHeight="1" x14ac:dyDescent="0.25">
      <c r="A107" s="63" t="s">
        <v>202</v>
      </c>
      <c r="B107" s="63" t="s">
        <v>203</v>
      </c>
      <c r="C107" s="36">
        <v>4301071074</v>
      </c>
      <c r="D107" s="356">
        <v>4620207491157</v>
      </c>
      <c r="E107" s="356"/>
      <c r="F107" s="62">
        <v>0.7</v>
      </c>
      <c r="G107" s="37">
        <v>10</v>
      </c>
      <c r="H107" s="62">
        <v>7</v>
      </c>
      <c r="I107" s="62">
        <v>7.28</v>
      </c>
      <c r="J107" s="37">
        <v>84</v>
      </c>
      <c r="K107" s="37" t="s">
        <v>85</v>
      </c>
      <c r="L107" s="37" t="s">
        <v>122</v>
      </c>
      <c r="M107" s="38" t="s">
        <v>84</v>
      </c>
      <c r="N107" s="38"/>
      <c r="O107" s="37">
        <v>180</v>
      </c>
      <c r="P107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58"/>
      <c r="R107" s="358"/>
      <c r="S107" s="358"/>
      <c r="T107" s="359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ref="Y107:Y113" si="12">IFERROR(IF(X107="","",X107),"")</f>
        <v>0</v>
      </c>
      <c r="Z107" s="41">
        <f t="shared" ref="Z107:Z113" si="13">IFERROR(IF(X107="","",X107*0.0155),"")</f>
        <v>0</v>
      </c>
      <c r="AA107" s="68" t="s">
        <v>46</v>
      </c>
      <c r="AB107" s="69" t="s">
        <v>46</v>
      </c>
      <c r="AC107" s="163" t="s">
        <v>204</v>
      </c>
      <c r="AG107" s="81"/>
      <c r="AJ107" s="87" t="s">
        <v>123</v>
      </c>
      <c r="AK107" s="87">
        <v>12</v>
      </c>
      <c r="BB107" s="164" t="s">
        <v>70</v>
      </c>
      <c r="BM107" s="81">
        <f t="shared" ref="BM107:BM113" si="14">IFERROR(X107*I107,"0")</f>
        <v>0</v>
      </c>
      <c r="BN107" s="81">
        <f t="shared" ref="BN107:BN113" si="15">IFERROR(Y107*I107,"0")</f>
        <v>0</v>
      </c>
      <c r="BO107" s="81">
        <f t="shared" ref="BO107:BO113" si="16">IFERROR(X107/J107,"0")</f>
        <v>0</v>
      </c>
      <c r="BP107" s="81">
        <f t="shared" ref="BP107:BP113" si="17">IFERROR(Y107/J107,"0")</f>
        <v>0</v>
      </c>
    </row>
    <row r="108" spans="1:68" ht="27" customHeight="1" x14ac:dyDescent="0.25">
      <c r="A108" s="63" t="s">
        <v>205</v>
      </c>
      <c r="B108" s="63" t="s">
        <v>206</v>
      </c>
      <c r="C108" s="36">
        <v>4301071121</v>
      </c>
      <c r="D108" s="356">
        <v>4620207491393</v>
      </c>
      <c r="E108" s="356"/>
      <c r="F108" s="62">
        <v>0.4</v>
      </c>
      <c r="G108" s="37">
        <v>16</v>
      </c>
      <c r="H108" s="62">
        <v>6.4</v>
      </c>
      <c r="I108" s="62">
        <v>6.71</v>
      </c>
      <c r="J108" s="37">
        <v>84</v>
      </c>
      <c r="K108" s="37" t="s">
        <v>85</v>
      </c>
      <c r="L108" s="37" t="s">
        <v>86</v>
      </c>
      <c r="M108" s="38" t="s">
        <v>84</v>
      </c>
      <c r="N108" s="38"/>
      <c r="O108" s="37">
        <v>180</v>
      </c>
      <c r="P108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358"/>
      <c r="R108" s="358"/>
      <c r="S108" s="358"/>
      <c r="T108" s="359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65" t="s">
        <v>207</v>
      </c>
      <c r="AG108" s="81"/>
      <c r="AJ108" s="87" t="s">
        <v>87</v>
      </c>
      <c r="AK108" s="87">
        <v>1</v>
      </c>
      <c r="BB108" s="166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customHeight="1" x14ac:dyDescent="0.25">
      <c r="A109" s="63" t="s">
        <v>208</v>
      </c>
      <c r="B109" s="63" t="s">
        <v>209</v>
      </c>
      <c r="C109" s="36">
        <v>4301071051</v>
      </c>
      <c r="D109" s="356">
        <v>4607111039262</v>
      </c>
      <c r="E109" s="356"/>
      <c r="F109" s="62">
        <v>0.4</v>
      </c>
      <c r="G109" s="37">
        <v>16</v>
      </c>
      <c r="H109" s="62">
        <v>6.4</v>
      </c>
      <c r="I109" s="62">
        <v>6.7195999999999998</v>
      </c>
      <c r="J109" s="37">
        <v>84</v>
      </c>
      <c r="K109" s="37" t="s">
        <v>85</v>
      </c>
      <c r="L109" s="37" t="s">
        <v>122</v>
      </c>
      <c r="M109" s="38" t="s">
        <v>84</v>
      </c>
      <c r="N109" s="38"/>
      <c r="O109" s="37">
        <v>180</v>
      </c>
      <c r="P109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24</v>
      </c>
      <c r="Y109" s="55">
        <f t="shared" si="12"/>
        <v>24</v>
      </c>
      <c r="Z109" s="41">
        <f t="shared" si="13"/>
        <v>0.372</v>
      </c>
      <c r="AA109" s="68" t="s">
        <v>46</v>
      </c>
      <c r="AB109" s="69" t="s">
        <v>46</v>
      </c>
      <c r="AC109" s="167" t="s">
        <v>162</v>
      </c>
      <c r="AG109" s="81"/>
      <c r="AJ109" s="87" t="s">
        <v>123</v>
      </c>
      <c r="AK109" s="87">
        <v>12</v>
      </c>
      <c r="BB109" s="168" t="s">
        <v>70</v>
      </c>
      <c r="BM109" s="81">
        <f t="shared" si="14"/>
        <v>161.2704</v>
      </c>
      <c r="BN109" s="81">
        <f t="shared" si="15"/>
        <v>161.2704</v>
      </c>
      <c r="BO109" s="81">
        <f t="shared" si="16"/>
        <v>0.2857142857142857</v>
      </c>
      <c r="BP109" s="81">
        <f t="shared" si="17"/>
        <v>0.2857142857142857</v>
      </c>
    </row>
    <row r="110" spans="1:68" ht="27" customHeight="1" x14ac:dyDescent="0.25">
      <c r="A110" s="63" t="s">
        <v>210</v>
      </c>
      <c r="B110" s="63" t="s">
        <v>211</v>
      </c>
      <c r="C110" s="36">
        <v>4301071038</v>
      </c>
      <c r="D110" s="356">
        <v>4607111039248</v>
      </c>
      <c r="E110" s="356"/>
      <c r="F110" s="62">
        <v>0.7</v>
      </c>
      <c r="G110" s="37">
        <v>10</v>
      </c>
      <c r="H110" s="62">
        <v>7</v>
      </c>
      <c r="I110" s="62">
        <v>7.3</v>
      </c>
      <c r="J110" s="37">
        <v>84</v>
      </c>
      <c r="K110" s="37" t="s">
        <v>85</v>
      </c>
      <c r="L110" s="37" t="s">
        <v>122</v>
      </c>
      <c r="M110" s="38" t="s">
        <v>84</v>
      </c>
      <c r="N110" s="38"/>
      <c r="O110" s="37">
        <v>180</v>
      </c>
      <c r="P110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84</v>
      </c>
      <c r="Y110" s="55">
        <f t="shared" si="12"/>
        <v>84</v>
      </c>
      <c r="Z110" s="41">
        <f t="shared" si="13"/>
        <v>1.302</v>
      </c>
      <c r="AA110" s="68" t="s">
        <v>46</v>
      </c>
      <c r="AB110" s="69" t="s">
        <v>46</v>
      </c>
      <c r="AC110" s="169" t="s">
        <v>162</v>
      </c>
      <c r="AG110" s="81"/>
      <c r="AJ110" s="87" t="s">
        <v>123</v>
      </c>
      <c r="AK110" s="87">
        <v>12</v>
      </c>
      <c r="BB110" s="170" t="s">
        <v>70</v>
      </c>
      <c r="BM110" s="81">
        <f t="shared" si="14"/>
        <v>613.19999999999993</v>
      </c>
      <c r="BN110" s="81">
        <f t="shared" si="15"/>
        <v>613.19999999999993</v>
      </c>
      <c r="BO110" s="81">
        <f t="shared" si="16"/>
        <v>1</v>
      </c>
      <c r="BP110" s="81">
        <f t="shared" si="17"/>
        <v>1</v>
      </c>
    </row>
    <row r="111" spans="1:68" ht="27" customHeight="1" x14ac:dyDescent="0.25">
      <c r="A111" s="63" t="s">
        <v>212</v>
      </c>
      <c r="B111" s="63" t="s">
        <v>213</v>
      </c>
      <c r="C111" s="36">
        <v>4301070979</v>
      </c>
      <c r="D111" s="356">
        <v>4607111037145</v>
      </c>
      <c r="E111" s="356"/>
      <c r="F111" s="62">
        <v>0.8</v>
      </c>
      <c r="G111" s="37">
        <v>8</v>
      </c>
      <c r="H111" s="62">
        <v>6.4</v>
      </c>
      <c r="I111" s="62">
        <v>6.6748000000000003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214</v>
      </c>
      <c r="AG111" s="81"/>
      <c r="AJ111" s="87" t="s">
        <v>87</v>
      </c>
      <c r="AK111" s="87">
        <v>1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215</v>
      </c>
      <c r="B112" s="63" t="s">
        <v>216</v>
      </c>
      <c r="C112" s="36">
        <v>4301071139</v>
      </c>
      <c r="D112" s="356">
        <v>4607111039293</v>
      </c>
      <c r="E112" s="356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406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36</v>
      </c>
      <c r="Y112" s="55">
        <f t="shared" si="12"/>
        <v>36</v>
      </c>
      <c r="Z112" s="41">
        <f t="shared" si="13"/>
        <v>0.55800000000000005</v>
      </c>
      <c r="AA112" s="68" t="s">
        <v>46</v>
      </c>
      <c r="AB112" s="69" t="s">
        <v>46</v>
      </c>
      <c r="AC112" s="173" t="s">
        <v>217</v>
      </c>
      <c r="AG112" s="81"/>
      <c r="AJ112" s="87" t="s">
        <v>87</v>
      </c>
      <c r="AK112" s="87">
        <v>1</v>
      </c>
      <c r="BB112" s="174" t="s">
        <v>70</v>
      </c>
      <c r="BM112" s="81">
        <f t="shared" si="14"/>
        <v>241.90559999999999</v>
      </c>
      <c r="BN112" s="81">
        <f t="shared" si="15"/>
        <v>241.90559999999999</v>
      </c>
      <c r="BO112" s="81">
        <f t="shared" si="16"/>
        <v>0.42857142857142855</v>
      </c>
      <c r="BP112" s="81">
        <f t="shared" si="17"/>
        <v>0.42857142857142855</v>
      </c>
    </row>
    <row r="113" spans="1:68" ht="27" customHeight="1" x14ac:dyDescent="0.25">
      <c r="A113" s="63" t="s">
        <v>218</v>
      </c>
      <c r="B113" s="63" t="s">
        <v>219</v>
      </c>
      <c r="C113" s="36">
        <v>4301071138</v>
      </c>
      <c r="D113" s="356">
        <v>4607111039279</v>
      </c>
      <c r="E113" s="356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7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84</v>
      </c>
      <c r="Y113" s="55">
        <f t="shared" si="12"/>
        <v>84</v>
      </c>
      <c r="Z113" s="41">
        <f t="shared" si="13"/>
        <v>1.302</v>
      </c>
      <c r="AA113" s="68" t="s">
        <v>46</v>
      </c>
      <c r="AB113" s="69" t="s">
        <v>46</v>
      </c>
      <c r="AC113" s="175" t="s">
        <v>217</v>
      </c>
      <c r="AG113" s="81"/>
      <c r="AJ113" s="87" t="s">
        <v>87</v>
      </c>
      <c r="AK113" s="87">
        <v>1</v>
      </c>
      <c r="BB113" s="176" t="s">
        <v>70</v>
      </c>
      <c r="BM113" s="81">
        <f t="shared" si="14"/>
        <v>613.19999999999993</v>
      </c>
      <c r="BN113" s="81">
        <f t="shared" si="15"/>
        <v>613.19999999999993</v>
      </c>
      <c r="BO113" s="81">
        <f t="shared" si="16"/>
        <v>1</v>
      </c>
      <c r="BP113" s="81">
        <f t="shared" si="17"/>
        <v>1</v>
      </c>
    </row>
    <row r="114" spans="1:68" x14ac:dyDescent="0.2">
      <c r="A114" s="370"/>
      <c r="B114" s="370"/>
      <c r="C114" s="370"/>
      <c r="D114" s="370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1"/>
      <c r="P114" s="367" t="s">
        <v>40</v>
      </c>
      <c r="Q114" s="368"/>
      <c r="R114" s="368"/>
      <c r="S114" s="368"/>
      <c r="T114" s="368"/>
      <c r="U114" s="368"/>
      <c r="V114" s="369"/>
      <c r="W114" s="42" t="s">
        <v>39</v>
      </c>
      <c r="X114" s="43">
        <f>IFERROR(SUM(X107:X113),"0")</f>
        <v>228</v>
      </c>
      <c r="Y114" s="43">
        <f>IFERROR(SUM(Y107:Y113),"0")</f>
        <v>228</v>
      </c>
      <c r="Z114" s="43">
        <f>IFERROR(IF(Z107="",0,Z107),"0")+IFERROR(IF(Z108="",0,Z108),"0")+IFERROR(IF(Z109="",0,Z109),"0")+IFERROR(IF(Z110="",0,Z110),"0")+IFERROR(IF(Z111="",0,Z111),"0")+IFERROR(IF(Z112="",0,Z112),"0")+IFERROR(IF(Z113="",0,Z113),"0")</f>
        <v>3.5340000000000003</v>
      </c>
      <c r="AA114" s="67"/>
      <c r="AB114" s="67"/>
      <c r="AC114" s="67"/>
    </row>
    <row r="115" spans="1:68" x14ac:dyDescent="0.2">
      <c r="A115" s="370"/>
      <c r="B115" s="370"/>
      <c r="C115" s="370"/>
      <c r="D115" s="370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1"/>
      <c r="P115" s="367" t="s">
        <v>40</v>
      </c>
      <c r="Q115" s="368"/>
      <c r="R115" s="368"/>
      <c r="S115" s="368"/>
      <c r="T115" s="368"/>
      <c r="U115" s="368"/>
      <c r="V115" s="369"/>
      <c r="W115" s="42" t="s">
        <v>0</v>
      </c>
      <c r="X115" s="43">
        <f>IFERROR(SUMPRODUCT(X107:X113*H107:H113),"0")</f>
        <v>1560</v>
      </c>
      <c r="Y115" s="43">
        <f>IFERROR(SUMPRODUCT(Y107:Y113*H107:H113),"0")</f>
        <v>1560</v>
      </c>
      <c r="Z115" s="42"/>
      <c r="AA115" s="67"/>
      <c r="AB115" s="67"/>
      <c r="AC115" s="67"/>
    </row>
    <row r="116" spans="1:68" ht="14.25" customHeight="1" x14ac:dyDescent="0.25">
      <c r="A116" s="355" t="s">
        <v>167</v>
      </c>
      <c r="B116" s="355"/>
      <c r="C116" s="355"/>
      <c r="D116" s="355"/>
      <c r="E116" s="355"/>
      <c r="F116" s="355"/>
      <c r="G116" s="355"/>
      <c r="H116" s="355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  <c r="S116" s="355"/>
      <c r="T116" s="355"/>
      <c r="U116" s="355"/>
      <c r="V116" s="355"/>
      <c r="W116" s="355"/>
      <c r="X116" s="355"/>
      <c r="Y116" s="355"/>
      <c r="Z116" s="355"/>
      <c r="AA116" s="66"/>
      <c r="AB116" s="66"/>
      <c r="AC116" s="83"/>
    </row>
    <row r="117" spans="1:68" ht="27" customHeight="1" x14ac:dyDescent="0.25">
      <c r="A117" s="63" t="s">
        <v>220</v>
      </c>
      <c r="B117" s="63" t="s">
        <v>221</v>
      </c>
      <c r="C117" s="36">
        <v>4301135826</v>
      </c>
      <c r="D117" s="356">
        <v>4620207490983</v>
      </c>
      <c r="E117" s="356"/>
      <c r="F117" s="62">
        <v>0.22</v>
      </c>
      <c r="G117" s="37">
        <v>12</v>
      </c>
      <c r="H117" s="62">
        <v>2.64</v>
      </c>
      <c r="I117" s="62">
        <v>3.3435999999999999</v>
      </c>
      <c r="J117" s="37">
        <v>70</v>
      </c>
      <c r="K117" s="37" t="s">
        <v>121</v>
      </c>
      <c r="L117" s="37" t="s">
        <v>86</v>
      </c>
      <c r="M117" s="38" t="s">
        <v>84</v>
      </c>
      <c r="N117" s="38"/>
      <c r="O117" s="37">
        <v>180</v>
      </c>
      <c r="P117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28</v>
      </c>
      <c r="Y117" s="55">
        <f>IFERROR(IF(X117="","",X117),"")</f>
        <v>28</v>
      </c>
      <c r="Z117" s="41">
        <f>IFERROR(IF(X117="","",X117*0.01788),"")</f>
        <v>0.50063999999999997</v>
      </c>
      <c r="AA117" s="68" t="s">
        <v>46</v>
      </c>
      <c r="AB117" s="69" t="s">
        <v>46</v>
      </c>
      <c r="AC117" s="177" t="s">
        <v>222</v>
      </c>
      <c r="AG117" s="81"/>
      <c r="AJ117" s="87" t="s">
        <v>87</v>
      </c>
      <c r="AK117" s="87">
        <v>1</v>
      </c>
      <c r="BB117" s="178" t="s">
        <v>120</v>
      </c>
      <c r="BM117" s="81">
        <f>IFERROR(X117*I117,"0")</f>
        <v>93.620800000000003</v>
      </c>
      <c r="BN117" s="81">
        <f>IFERROR(Y117*I117,"0")</f>
        <v>93.620800000000003</v>
      </c>
      <c r="BO117" s="81">
        <f>IFERROR(X117/J117,"0")</f>
        <v>0.4</v>
      </c>
      <c r="BP117" s="81">
        <f>IFERROR(Y117/J117,"0")</f>
        <v>0.4</v>
      </c>
    </row>
    <row r="118" spans="1:68" x14ac:dyDescent="0.2">
      <c r="A118" s="370"/>
      <c r="B118" s="370"/>
      <c r="C118" s="370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1"/>
      <c r="P118" s="367" t="s">
        <v>40</v>
      </c>
      <c r="Q118" s="368"/>
      <c r="R118" s="368"/>
      <c r="S118" s="368"/>
      <c r="T118" s="368"/>
      <c r="U118" s="368"/>
      <c r="V118" s="369"/>
      <c r="W118" s="42" t="s">
        <v>39</v>
      </c>
      <c r="X118" s="43">
        <f>IFERROR(SUM(X117:X117),"0")</f>
        <v>28</v>
      </c>
      <c r="Y118" s="43">
        <f>IFERROR(SUM(Y117:Y117),"0")</f>
        <v>28</v>
      </c>
      <c r="Z118" s="43">
        <f>IFERROR(IF(Z117="",0,Z117),"0")</f>
        <v>0.50063999999999997</v>
      </c>
      <c r="AA118" s="67"/>
      <c r="AB118" s="67"/>
      <c r="AC118" s="67"/>
    </row>
    <row r="119" spans="1:68" x14ac:dyDescent="0.2">
      <c r="A119" s="370"/>
      <c r="B119" s="370"/>
      <c r="C119" s="370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1"/>
      <c r="P119" s="367" t="s">
        <v>40</v>
      </c>
      <c r="Q119" s="368"/>
      <c r="R119" s="368"/>
      <c r="S119" s="368"/>
      <c r="T119" s="368"/>
      <c r="U119" s="368"/>
      <c r="V119" s="369"/>
      <c r="W119" s="42" t="s">
        <v>0</v>
      </c>
      <c r="X119" s="43">
        <f>IFERROR(SUMPRODUCT(X117:X117*H117:H117),"0")</f>
        <v>73.92</v>
      </c>
      <c r="Y119" s="43">
        <f>IFERROR(SUMPRODUCT(Y117:Y117*H117:H117),"0")</f>
        <v>73.92</v>
      </c>
      <c r="Z119" s="42"/>
      <c r="AA119" s="67"/>
      <c r="AB119" s="67"/>
      <c r="AC119" s="67"/>
    </row>
    <row r="120" spans="1:68" ht="14.25" customHeight="1" x14ac:dyDescent="0.25">
      <c r="A120" s="355" t="s">
        <v>223</v>
      </c>
      <c r="B120" s="355"/>
      <c r="C120" s="355"/>
      <c r="D120" s="355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  <c r="U120" s="355"/>
      <c r="V120" s="355"/>
      <c r="W120" s="355"/>
      <c r="X120" s="355"/>
      <c r="Y120" s="355"/>
      <c r="Z120" s="355"/>
      <c r="AA120" s="66"/>
      <c r="AB120" s="66"/>
      <c r="AC120" s="83"/>
    </row>
    <row r="121" spans="1:68" ht="27" customHeight="1" x14ac:dyDescent="0.25">
      <c r="A121" s="63" t="s">
        <v>224</v>
      </c>
      <c r="B121" s="63" t="s">
        <v>225</v>
      </c>
      <c r="C121" s="36">
        <v>4301071094</v>
      </c>
      <c r="D121" s="356">
        <v>4620207491140</v>
      </c>
      <c r="E121" s="356"/>
      <c r="F121" s="62">
        <v>0.6</v>
      </c>
      <c r="G121" s="37">
        <v>10</v>
      </c>
      <c r="H121" s="62">
        <v>6</v>
      </c>
      <c r="I121" s="62">
        <v>6.28</v>
      </c>
      <c r="J121" s="37">
        <v>84</v>
      </c>
      <c r="K121" s="37" t="s">
        <v>85</v>
      </c>
      <c r="L121" s="37" t="s">
        <v>86</v>
      </c>
      <c r="M121" s="38" t="s">
        <v>84</v>
      </c>
      <c r="N121" s="38"/>
      <c r="O121" s="37">
        <v>180</v>
      </c>
      <c r="P121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358"/>
      <c r="R121" s="358"/>
      <c r="S121" s="358"/>
      <c r="T121" s="359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IFERROR(IF(X121="","",X121*0.0155),"")</f>
        <v>0</v>
      </c>
      <c r="AA121" s="68" t="s">
        <v>46</v>
      </c>
      <c r="AB121" s="69" t="s">
        <v>46</v>
      </c>
      <c r="AC121" s="179" t="s">
        <v>226</v>
      </c>
      <c r="AG121" s="81"/>
      <c r="AJ121" s="87" t="s">
        <v>87</v>
      </c>
      <c r="AK121" s="87">
        <v>1</v>
      </c>
      <c r="BB121" s="180" t="s">
        <v>120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370"/>
      <c r="B122" s="370"/>
      <c r="C122" s="370"/>
      <c r="D122" s="370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1"/>
      <c r="P122" s="367" t="s">
        <v>40</v>
      </c>
      <c r="Q122" s="368"/>
      <c r="R122" s="368"/>
      <c r="S122" s="368"/>
      <c r="T122" s="368"/>
      <c r="U122" s="368"/>
      <c r="V122" s="369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1"/>
      <c r="P123" s="367" t="s">
        <v>40</v>
      </c>
      <c r="Q123" s="368"/>
      <c r="R123" s="368"/>
      <c r="S123" s="368"/>
      <c r="T123" s="368"/>
      <c r="U123" s="368"/>
      <c r="V123" s="369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6.5" customHeight="1" x14ac:dyDescent="0.25">
      <c r="A124" s="354" t="s">
        <v>227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  <c r="AA124" s="65"/>
      <c r="AB124" s="65"/>
      <c r="AC124" s="82"/>
    </row>
    <row r="125" spans="1:68" ht="14.25" customHeight="1" x14ac:dyDescent="0.25">
      <c r="A125" s="355" t="s">
        <v>80</v>
      </c>
      <c r="B125" s="355"/>
      <c r="C125" s="355"/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5"/>
      <c r="P125" s="355"/>
      <c r="Q125" s="355"/>
      <c r="R125" s="355"/>
      <c r="S125" s="355"/>
      <c r="T125" s="355"/>
      <c r="U125" s="355"/>
      <c r="V125" s="355"/>
      <c r="W125" s="355"/>
      <c r="X125" s="355"/>
      <c r="Y125" s="355"/>
      <c r="Z125" s="355"/>
      <c r="AA125" s="66"/>
      <c r="AB125" s="66"/>
      <c r="AC125" s="83"/>
    </row>
    <row r="126" spans="1:68" ht="27" customHeight="1" x14ac:dyDescent="0.25">
      <c r="A126" s="63" t="s">
        <v>228</v>
      </c>
      <c r="B126" s="63" t="s">
        <v>229</v>
      </c>
      <c r="C126" s="36">
        <v>4301071142</v>
      </c>
      <c r="D126" s="356">
        <v>4620207491904</v>
      </c>
      <c r="E126" s="356"/>
      <c r="F126" s="62">
        <v>0.56999999999999995</v>
      </c>
      <c r="G126" s="37">
        <v>10</v>
      </c>
      <c r="H126" s="62">
        <v>5.7</v>
      </c>
      <c r="I126" s="62">
        <v>5.98</v>
      </c>
      <c r="J126" s="37">
        <v>84</v>
      </c>
      <c r="K126" s="37" t="s">
        <v>85</v>
      </c>
      <c r="L126" s="37" t="s">
        <v>86</v>
      </c>
      <c r="M126" s="38" t="s">
        <v>84</v>
      </c>
      <c r="N126" s="38"/>
      <c r="O126" s="37">
        <v>180</v>
      </c>
      <c r="P126" s="41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358"/>
      <c r="R126" s="358"/>
      <c r="S126" s="358"/>
      <c r="T126" s="359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108</v>
      </c>
      <c r="AC126" s="181" t="s">
        <v>230</v>
      </c>
      <c r="AG126" s="81"/>
      <c r="AJ126" s="87" t="s">
        <v>87</v>
      </c>
      <c r="AK126" s="87">
        <v>1</v>
      </c>
      <c r="BB126" s="182" t="s">
        <v>70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70"/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1"/>
      <c r="P127" s="367" t="s">
        <v>40</v>
      </c>
      <c r="Q127" s="368"/>
      <c r="R127" s="368"/>
      <c r="S127" s="368"/>
      <c r="T127" s="368"/>
      <c r="U127" s="368"/>
      <c r="V127" s="369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70"/>
      <c r="B128" s="370"/>
      <c r="C128" s="370"/>
      <c r="D128" s="370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1"/>
      <c r="P128" s="367" t="s">
        <v>40</v>
      </c>
      <c r="Q128" s="368"/>
      <c r="R128" s="368"/>
      <c r="S128" s="368"/>
      <c r="T128" s="368"/>
      <c r="U128" s="368"/>
      <c r="V128" s="369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55" t="s">
        <v>167</v>
      </c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55"/>
      <c r="U129" s="355"/>
      <c r="V129" s="355"/>
      <c r="W129" s="355"/>
      <c r="X129" s="355"/>
      <c r="Y129" s="355"/>
      <c r="Z129" s="355"/>
      <c r="AA129" s="66"/>
      <c r="AB129" s="66"/>
      <c r="AC129" s="83"/>
    </row>
    <row r="130" spans="1:68" ht="27" customHeight="1" x14ac:dyDescent="0.25">
      <c r="A130" s="63" t="s">
        <v>231</v>
      </c>
      <c r="B130" s="63" t="s">
        <v>232</v>
      </c>
      <c r="C130" s="36">
        <v>4301135850</v>
      </c>
      <c r="D130" s="356">
        <v>4620207491492</v>
      </c>
      <c r="E130" s="35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121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28</v>
      </c>
      <c r="Y130" s="55">
        <f>IFERROR(IF(X130="","",X130),"")</f>
        <v>28</v>
      </c>
      <c r="Z130" s="41">
        <f>IFERROR(IF(X130="","",X130*0.00941),"")</f>
        <v>0.26347999999999999</v>
      </c>
      <c r="AA130" s="68" t="s">
        <v>46</v>
      </c>
      <c r="AB130" s="69" t="s">
        <v>46</v>
      </c>
      <c r="AC130" s="183" t="s">
        <v>233</v>
      </c>
      <c r="AG130" s="81"/>
      <c r="AJ130" s="87" t="s">
        <v>87</v>
      </c>
      <c r="AK130" s="87">
        <v>1</v>
      </c>
      <c r="BB130" s="184" t="s">
        <v>120</v>
      </c>
      <c r="BM130" s="81">
        <f>IFERROR(X130*I130,"0")</f>
        <v>50.4</v>
      </c>
      <c r="BN130" s="81">
        <f>IFERROR(Y130*I130,"0")</f>
        <v>50.4</v>
      </c>
      <c r="BO130" s="81">
        <f>IFERROR(X130/J130,"0")</f>
        <v>0.2</v>
      </c>
      <c r="BP130" s="81">
        <f>IFERROR(Y130/J130,"0")</f>
        <v>0.2</v>
      </c>
    </row>
    <row r="131" spans="1:68" ht="27" customHeight="1" x14ac:dyDescent="0.25">
      <c r="A131" s="63" t="s">
        <v>234</v>
      </c>
      <c r="B131" s="63" t="s">
        <v>235</v>
      </c>
      <c r="C131" s="36">
        <v>4301190118</v>
      </c>
      <c r="D131" s="356">
        <v>4620207491461</v>
      </c>
      <c r="E131" s="356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121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42</v>
      </c>
      <c r="Y131" s="55">
        <f>IFERROR(IF(X131="","",X131),"")</f>
        <v>42</v>
      </c>
      <c r="Z131" s="41">
        <f>IFERROR(IF(X131="","",X131*0.00941),"")</f>
        <v>0.39522000000000002</v>
      </c>
      <c r="AA131" s="68" t="s">
        <v>46</v>
      </c>
      <c r="AB131" s="69" t="s">
        <v>46</v>
      </c>
      <c r="AC131" s="185" t="s">
        <v>233</v>
      </c>
      <c r="AG131" s="81"/>
      <c r="AJ131" s="87" t="s">
        <v>87</v>
      </c>
      <c r="AK131" s="87">
        <v>1</v>
      </c>
      <c r="BB131" s="186" t="s">
        <v>120</v>
      </c>
      <c r="BM131" s="81">
        <f>IFERROR(X131*I131,"0")</f>
        <v>73.08</v>
      </c>
      <c r="BN131" s="81">
        <f>IFERROR(Y131*I131,"0")</f>
        <v>73.08</v>
      </c>
      <c r="BO131" s="81">
        <f>IFERROR(X131/J131,"0")</f>
        <v>0.3</v>
      </c>
      <c r="BP131" s="81">
        <f>IFERROR(Y131/J131,"0")</f>
        <v>0.3</v>
      </c>
    </row>
    <row r="132" spans="1:68" ht="27" customHeight="1" x14ac:dyDescent="0.25">
      <c r="A132" s="63" t="s">
        <v>236</v>
      </c>
      <c r="B132" s="63" t="s">
        <v>237</v>
      </c>
      <c r="C132" s="36">
        <v>4301135865</v>
      </c>
      <c r="D132" s="356">
        <v>4620207491485</v>
      </c>
      <c r="E132" s="356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121</v>
      </c>
      <c r="L132" s="37" t="s">
        <v>86</v>
      </c>
      <c r="M132" s="38" t="s">
        <v>84</v>
      </c>
      <c r="N132" s="38"/>
      <c r="O132" s="37">
        <v>180</v>
      </c>
      <c r="P132" s="41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58"/>
      <c r="R132" s="358"/>
      <c r="S132" s="358"/>
      <c r="T132" s="359"/>
      <c r="U132" s="39" t="s">
        <v>46</v>
      </c>
      <c r="V132" s="39" t="s">
        <v>46</v>
      </c>
      <c r="W132" s="40" t="s">
        <v>39</v>
      </c>
      <c r="X132" s="58">
        <v>98</v>
      </c>
      <c r="Y132" s="55">
        <f>IFERROR(IF(X132="","",X132),"")</f>
        <v>98</v>
      </c>
      <c r="Z132" s="41">
        <f>IFERROR(IF(X132="","",X132*0.00941),"")</f>
        <v>0.92218</v>
      </c>
      <c r="AA132" s="68" t="s">
        <v>46</v>
      </c>
      <c r="AB132" s="69" t="s">
        <v>46</v>
      </c>
      <c r="AC132" s="187" t="s">
        <v>233</v>
      </c>
      <c r="AG132" s="81"/>
      <c r="AJ132" s="87" t="s">
        <v>87</v>
      </c>
      <c r="AK132" s="87">
        <v>1</v>
      </c>
      <c r="BB132" s="188" t="s">
        <v>120</v>
      </c>
      <c r="BM132" s="81">
        <f>IFERROR(X132*I132,"0")</f>
        <v>176.4</v>
      </c>
      <c r="BN132" s="81">
        <f>IFERROR(Y132*I132,"0")</f>
        <v>176.4</v>
      </c>
      <c r="BO132" s="81">
        <f>IFERROR(X132/J132,"0")</f>
        <v>0.7</v>
      </c>
      <c r="BP132" s="81">
        <f>IFERROR(Y132/J132,"0")</f>
        <v>0.7</v>
      </c>
    </row>
    <row r="133" spans="1:68" ht="27" customHeight="1" x14ac:dyDescent="0.25">
      <c r="A133" s="63" t="s">
        <v>238</v>
      </c>
      <c r="B133" s="63" t="s">
        <v>239</v>
      </c>
      <c r="C133" s="36">
        <v>4301135848</v>
      </c>
      <c r="D133" s="356">
        <v>4620207491799</v>
      </c>
      <c r="E133" s="35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121</v>
      </c>
      <c r="L133" s="37" t="s">
        <v>86</v>
      </c>
      <c r="M133" s="38" t="s">
        <v>84</v>
      </c>
      <c r="N133" s="38"/>
      <c r="O133" s="37">
        <v>180</v>
      </c>
      <c r="P133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58"/>
      <c r="R133" s="358"/>
      <c r="S133" s="358"/>
      <c r="T133" s="35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87</v>
      </c>
      <c r="AK133" s="87">
        <v>1</v>
      </c>
      <c r="BB133" s="190" t="s">
        <v>120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70"/>
      <c r="B134" s="370"/>
      <c r="C134" s="370"/>
      <c r="D134" s="370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1"/>
      <c r="P134" s="367" t="s">
        <v>40</v>
      </c>
      <c r="Q134" s="368"/>
      <c r="R134" s="368"/>
      <c r="S134" s="368"/>
      <c r="T134" s="368"/>
      <c r="U134" s="368"/>
      <c r="V134" s="369"/>
      <c r="W134" s="42" t="s">
        <v>39</v>
      </c>
      <c r="X134" s="43">
        <f>IFERROR(SUM(X130:X133),"0")</f>
        <v>168</v>
      </c>
      <c r="Y134" s="43">
        <f>IFERROR(SUM(Y130:Y133),"0")</f>
        <v>168</v>
      </c>
      <c r="Z134" s="43">
        <f>IFERROR(IF(Z130="",0,Z130),"0")+IFERROR(IF(Z131="",0,Z131),"0")+IFERROR(IF(Z132="",0,Z132),"0")+IFERROR(IF(Z133="",0,Z133),"0")</f>
        <v>1.5808800000000001</v>
      </c>
      <c r="AA134" s="67"/>
      <c r="AB134" s="67"/>
      <c r="AC134" s="67"/>
    </row>
    <row r="135" spans="1:68" x14ac:dyDescent="0.2">
      <c r="A135" s="370"/>
      <c r="B135" s="370"/>
      <c r="C135" s="370"/>
      <c r="D135" s="370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1"/>
      <c r="P135" s="367" t="s">
        <v>40</v>
      </c>
      <c r="Q135" s="368"/>
      <c r="R135" s="368"/>
      <c r="S135" s="368"/>
      <c r="T135" s="368"/>
      <c r="U135" s="368"/>
      <c r="V135" s="369"/>
      <c r="W135" s="42" t="s">
        <v>0</v>
      </c>
      <c r="X135" s="43">
        <f>IFERROR(SUMPRODUCT(X130:X133*H130:H133),"0")</f>
        <v>229.32</v>
      </c>
      <c r="Y135" s="43">
        <f>IFERROR(SUMPRODUCT(Y130:Y133*H130:H133),"0")</f>
        <v>229.32</v>
      </c>
      <c r="Z135" s="42"/>
      <c r="AA135" s="67"/>
      <c r="AB135" s="67"/>
      <c r="AC135" s="67"/>
    </row>
    <row r="136" spans="1:68" ht="14.25" customHeight="1" x14ac:dyDescent="0.25">
      <c r="A136" s="355" t="s">
        <v>240</v>
      </c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55"/>
      <c r="U136" s="355"/>
      <c r="V136" s="355"/>
      <c r="W136" s="355"/>
      <c r="X136" s="355"/>
      <c r="Y136" s="355"/>
      <c r="Z136" s="355"/>
      <c r="AA136" s="66"/>
      <c r="AB136" s="66"/>
      <c r="AC136" s="83"/>
    </row>
    <row r="137" spans="1:68" ht="27" customHeight="1" x14ac:dyDescent="0.25">
      <c r="A137" s="63" t="s">
        <v>241</v>
      </c>
      <c r="B137" s="63" t="s">
        <v>242</v>
      </c>
      <c r="C137" s="36">
        <v>4301190117</v>
      </c>
      <c r="D137" s="356">
        <v>4620207491386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121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14</v>
      </c>
      <c r="Y137" s="55">
        <f>IFERROR(IF(X137="","",X137),"")</f>
        <v>14</v>
      </c>
      <c r="Z137" s="41">
        <f>IFERROR(IF(X137="","",X137*0.00941),"")</f>
        <v>0.13174</v>
      </c>
      <c r="AA137" s="68" t="s">
        <v>46</v>
      </c>
      <c r="AB137" s="69" t="s">
        <v>46</v>
      </c>
      <c r="AC137" s="191" t="s">
        <v>243</v>
      </c>
      <c r="AG137" s="81"/>
      <c r="AJ137" s="87" t="s">
        <v>87</v>
      </c>
      <c r="AK137" s="87">
        <v>1</v>
      </c>
      <c r="BB137" s="192" t="s">
        <v>120</v>
      </c>
      <c r="BM137" s="81">
        <f>IFERROR(X137*I137,"0")</f>
        <v>19.571999999999999</v>
      </c>
      <c r="BN137" s="81">
        <f>IFERROR(Y137*I137,"0")</f>
        <v>19.571999999999999</v>
      </c>
      <c r="BO137" s="81">
        <f>IFERROR(X137/J137,"0")</f>
        <v>0.1</v>
      </c>
      <c r="BP137" s="81">
        <f>IFERROR(Y137/J137,"0")</f>
        <v>0.1</v>
      </c>
    </row>
    <row r="138" spans="1:68" ht="27" customHeight="1" x14ac:dyDescent="0.25">
      <c r="A138" s="63" t="s">
        <v>244</v>
      </c>
      <c r="B138" s="63" t="s">
        <v>245</v>
      </c>
      <c r="C138" s="36">
        <v>4301190115</v>
      </c>
      <c r="D138" s="356">
        <v>4620207491362</v>
      </c>
      <c r="E138" s="35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121</v>
      </c>
      <c r="L138" s="37" t="s">
        <v>86</v>
      </c>
      <c r="M138" s="38" t="s">
        <v>84</v>
      </c>
      <c r="N138" s="38"/>
      <c r="O138" s="37">
        <v>180</v>
      </c>
      <c r="P138" s="41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8"/>
      <c r="R138" s="358"/>
      <c r="S138" s="358"/>
      <c r="T138" s="359"/>
      <c r="U138" s="39" t="s">
        <v>46</v>
      </c>
      <c r="V138" s="39" t="s">
        <v>46</v>
      </c>
      <c r="W138" s="40" t="s">
        <v>39</v>
      </c>
      <c r="X138" s="58">
        <v>14</v>
      </c>
      <c r="Y138" s="55">
        <f>IFERROR(IF(X138="","",X138),"")</f>
        <v>14</v>
      </c>
      <c r="Z138" s="41">
        <f>IFERROR(IF(X138="","",X138*0.00941),"")</f>
        <v>0.13174</v>
      </c>
      <c r="AA138" s="68" t="s">
        <v>46</v>
      </c>
      <c r="AB138" s="69" t="s">
        <v>46</v>
      </c>
      <c r="AC138" s="193" t="s">
        <v>243</v>
      </c>
      <c r="AG138" s="81"/>
      <c r="AJ138" s="87" t="s">
        <v>87</v>
      </c>
      <c r="AK138" s="87">
        <v>1</v>
      </c>
      <c r="BB138" s="194" t="s">
        <v>120</v>
      </c>
      <c r="BM138" s="81">
        <f>IFERROR(X138*I138,"0")</f>
        <v>19.571999999999999</v>
      </c>
      <c r="BN138" s="81">
        <f>IFERROR(Y138*I138,"0")</f>
        <v>19.571999999999999</v>
      </c>
      <c r="BO138" s="81">
        <f>IFERROR(X138/J138,"0")</f>
        <v>0.1</v>
      </c>
      <c r="BP138" s="81">
        <f>IFERROR(Y138/J138,"0")</f>
        <v>0.1</v>
      </c>
    </row>
    <row r="139" spans="1:68" ht="27" customHeight="1" x14ac:dyDescent="0.25">
      <c r="A139" s="63" t="s">
        <v>246</v>
      </c>
      <c r="B139" s="63" t="s">
        <v>247</v>
      </c>
      <c r="C139" s="36">
        <v>4301190116</v>
      </c>
      <c r="D139" s="356">
        <v>4620207491379</v>
      </c>
      <c r="E139" s="35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121</v>
      </c>
      <c r="L139" s="37" t="s">
        <v>86</v>
      </c>
      <c r="M139" s="38" t="s">
        <v>84</v>
      </c>
      <c r="N139" s="38"/>
      <c r="O139" s="37">
        <v>180</v>
      </c>
      <c r="P139" s="41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8"/>
      <c r="R139" s="358"/>
      <c r="S139" s="358"/>
      <c r="T139" s="359"/>
      <c r="U139" s="39" t="s">
        <v>46</v>
      </c>
      <c r="V139" s="39" t="s">
        <v>46</v>
      </c>
      <c r="W139" s="40" t="s">
        <v>39</v>
      </c>
      <c r="X139" s="58">
        <v>14</v>
      </c>
      <c r="Y139" s="55">
        <f>IFERROR(IF(X139="","",X139),"")</f>
        <v>14</v>
      </c>
      <c r="Z139" s="41">
        <f>IFERROR(IF(X139="","",X139*0.00941),"")</f>
        <v>0.13174</v>
      </c>
      <c r="AA139" s="68" t="s">
        <v>46</v>
      </c>
      <c r="AB139" s="69" t="s">
        <v>46</v>
      </c>
      <c r="AC139" s="195" t="s">
        <v>243</v>
      </c>
      <c r="AG139" s="81"/>
      <c r="AJ139" s="87" t="s">
        <v>87</v>
      </c>
      <c r="AK139" s="87">
        <v>1</v>
      </c>
      <c r="BB139" s="196" t="s">
        <v>120</v>
      </c>
      <c r="BM139" s="81">
        <f>IFERROR(X139*I139,"0")</f>
        <v>19.571999999999999</v>
      </c>
      <c r="BN139" s="81">
        <f>IFERROR(Y139*I139,"0")</f>
        <v>19.571999999999999</v>
      </c>
      <c r="BO139" s="81">
        <f>IFERROR(X139/J139,"0")</f>
        <v>0.1</v>
      </c>
      <c r="BP139" s="81">
        <f>IFERROR(Y139/J139,"0")</f>
        <v>0.1</v>
      </c>
    </row>
    <row r="140" spans="1:68" x14ac:dyDescent="0.2">
      <c r="A140" s="370"/>
      <c r="B140" s="370"/>
      <c r="C140" s="370"/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1"/>
      <c r="P140" s="367" t="s">
        <v>40</v>
      </c>
      <c r="Q140" s="368"/>
      <c r="R140" s="368"/>
      <c r="S140" s="368"/>
      <c r="T140" s="368"/>
      <c r="U140" s="368"/>
      <c r="V140" s="369"/>
      <c r="W140" s="42" t="s">
        <v>39</v>
      </c>
      <c r="X140" s="43">
        <f>IFERROR(SUM(X137:X139),"0")</f>
        <v>42</v>
      </c>
      <c r="Y140" s="43">
        <f>IFERROR(SUM(Y137:Y139),"0")</f>
        <v>42</v>
      </c>
      <c r="Z140" s="43">
        <f>IFERROR(IF(Z137="",0,Z137),"0")+IFERROR(IF(Z138="",0,Z138),"0")+IFERROR(IF(Z139="",0,Z139),"0")</f>
        <v>0.39522000000000002</v>
      </c>
      <c r="AA140" s="67"/>
      <c r="AB140" s="67"/>
      <c r="AC140" s="67"/>
    </row>
    <row r="141" spans="1:68" x14ac:dyDescent="0.2">
      <c r="A141" s="370"/>
      <c r="B141" s="370"/>
      <c r="C141" s="370"/>
      <c r="D141" s="370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1"/>
      <c r="P141" s="367" t="s">
        <v>40</v>
      </c>
      <c r="Q141" s="368"/>
      <c r="R141" s="368"/>
      <c r="S141" s="368"/>
      <c r="T141" s="368"/>
      <c r="U141" s="368"/>
      <c r="V141" s="369"/>
      <c r="W141" s="42" t="s">
        <v>0</v>
      </c>
      <c r="X141" s="43">
        <f>IFERROR(SUMPRODUCT(X137:X139*H137:H139),"0")</f>
        <v>45.36</v>
      </c>
      <c r="Y141" s="43">
        <f>IFERROR(SUMPRODUCT(Y137:Y139*H137:H139),"0")</f>
        <v>45.36</v>
      </c>
      <c r="Z141" s="42"/>
      <c r="AA141" s="67"/>
      <c r="AB141" s="67"/>
      <c r="AC141" s="67"/>
    </row>
    <row r="142" spans="1:68" ht="16.5" customHeight="1" x14ac:dyDescent="0.25">
      <c r="A142" s="354" t="s">
        <v>248</v>
      </c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65"/>
      <c r="AB142" s="65"/>
      <c r="AC142" s="82"/>
    </row>
    <row r="143" spans="1:68" ht="14.25" customHeight="1" x14ac:dyDescent="0.25">
      <c r="A143" s="355" t="s">
        <v>167</v>
      </c>
      <c r="B143" s="355"/>
      <c r="C143" s="355"/>
      <c r="D143" s="355"/>
      <c r="E143" s="355"/>
      <c r="F143" s="355"/>
      <c r="G143" s="355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  <c r="T143" s="355"/>
      <c r="U143" s="355"/>
      <c r="V143" s="355"/>
      <c r="W143" s="355"/>
      <c r="X143" s="355"/>
      <c r="Y143" s="355"/>
      <c r="Z143" s="355"/>
      <c r="AA143" s="66"/>
      <c r="AB143" s="66"/>
      <c r="AC143" s="83"/>
    </row>
    <row r="144" spans="1:68" ht="27" customHeight="1" x14ac:dyDescent="0.25">
      <c r="A144" s="63" t="s">
        <v>249</v>
      </c>
      <c r="B144" s="63" t="s">
        <v>250</v>
      </c>
      <c r="C144" s="36">
        <v>4301135956</v>
      </c>
      <c r="D144" s="356">
        <v>4620207491560</v>
      </c>
      <c r="E144" s="35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121</v>
      </c>
      <c r="L144" s="37" t="s">
        <v>86</v>
      </c>
      <c r="M144" s="38" t="s">
        <v>84</v>
      </c>
      <c r="N144" s="38"/>
      <c r="O144" s="37">
        <v>180</v>
      </c>
      <c r="P144" s="418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358"/>
      <c r="R144" s="358"/>
      <c r="S144" s="358"/>
      <c r="T144" s="359"/>
      <c r="U144" s="39" t="s">
        <v>46</v>
      </c>
      <c r="V144" s="39" t="s">
        <v>46</v>
      </c>
      <c r="W144" s="40" t="s">
        <v>39</v>
      </c>
      <c r="X144" s="58">
        <v>140</v>
      </c>
      <c r="Y144" s="55">
        <f>IFERROR(IF(X144="","",X144),"")</f>
        <v>140</v>
      </c>
      <c r="Z144" s="41">
        <f>IFERROR(IF(X144="","",X144*0.01788),"")</f>
        <v>2.5032000000000001</v>
      </c>
      <c r="AA144" s="68" t="s">
        <v>46</v>
      </c>
      <c r="AB144" s="69" t="s">
        <v>46</v>
      </c>
      <c r="AC144" s="197" t="s">
        <v>251</v>
      </c>
      <c r="AG144" s="81"/>
      <c r="AJ144" s="87" t="s">
        <v>87</v>
      </c>
      <c r="AK144" s="87">
        <v>1</v>
      </c>
      <c r="BB144" s="198" t="s">
        <v>120</v>
      </c>
      <c r="BM144" s="81">
        <f>IFERROR(X144*I144,"0")</f>
        <v>518.50400000000002</v>
      </c>
      <c r="BN144" s="81">
        <f>IFERROR(Y144*I144,"0")</f>
        <v>518.50400000000002</v>
      </c>
      <c r="BO144" s="81">
        <f>IFERROR(X144/J144,"0")</f>
        <v>2</v>
      </c>
      <c r="BP144" s="81">
        <f>IFERROR(Y144/J144,"0")</f>
        <v>2</v>
      </c>
    </row>
    <row r="145" spans="1:68" ht="27" customHeight="1" x14ac:dyDescent="0.25">
      <c r="A145" s="63" t="s">
        <v>252</v>
      </c>
      <c r="B145" s="63" t="s">
        <v>253</v>
      </c>
      <c r="C145" s="36">
        <v>4301135962</v>
      </c>
      <c r="D145" s="356">
        <v>4620207491584</v>
      </c>
      <c r="E145" s="35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121</v>
      </c>
      <c r="L145" s="37" t="s">
        <v>86</v>
      </c>
      <c r="M145" s="38" t="s">
        <v>84</v>
      </c>
      <c r="N145" s="38"/>
      <c r="O145" s="37">
        <v>180</v>
      </c>
      <c r="P145" s="419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358"/>
      <c r="R145" s="358"/>
      <c r="S145" s="358"/>
      <c r="T145" s="359"/>
      <c r="U145" s="39" t="s">
        <v>46</v>
      </c>
      <c r="V145" s="39" t="s">
        <v>46</v>
      </c>
      <c r="W145" s="40" t="s">
        <v>39</v>
      </c>
      <c r="X145" s="58">
        <v>210</v>
      </c>
      <c r="Y145" s="55">
        <f>IFERROR(IF(X145="","",X145),"")</f>
        <v>210</v>
      </c>
      <c r="Z145" s="41">
        <f>IFERROR(IF(X145="","",X145*0.01788),"")</f>
        <v>3.7547999999999999</v>
      </c>
      <c r="AA145" s="68" t="s">
        <v>46</v>
      </c>
      <c r="AB145" s="69" t="s">
        <v>46</v>
      </c>
      <c r="AC145" s="199" t="s">
        <v>251</v>
      </c>
      <c r="AG145" s="81"/>
      <c r="AJ145" s="87" t="s">
        <v>87</v>
      </c>
      <c r="AK145" s="87">
        <v>1</v>
      </c>
      <c r="BB145" s="200" t="s">
        <v>120</v>
      </c>
      <c r="BM145" s="81">
        <f>IFERROR(X145*I145,"0")</f>
        <v>777.75599999999997</v>
      </c>
      <c r="BN145" s="81">
        <f>IFERROR(Y145*I145,"0")</f>
        <v>777.75599999999997</v>
      </c>
      <c r="BO145" s="81">
        <f>IFERROR(X145/J145,"0")</f>
        <v>3</v>
      </c>
      <c r="BP145" s="81">
        <f>IFERROR(Y145/J145,"0")</f>
        <v>3</v>
      </c>
    </row>
    <row r="146" spans="1:68" x14ac:dyDescent="0.2">
      <c r="A146" s="370"/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1"/>
      <c r="P146" s="367" t="s">
        <v>40</v>
      </c>
      <c r="Q146" s="368"/>
      <c r="R146" s="368"/>
      <c r="S146" s="368"/>
      <c r="T146" s="368"/>
      <c r="U146" s="368"/>
      <c r="V146" s="369"/>
      <c r="W146" s="42" t="s">
        <v>39</v>
      </c>
      <c r="X146" s="43">
        <f>IFERROR(SUM(X144:X145),"0")</f>
        <v>350</v>
      </c>
      <c r="Y146" s="43">
        <f>IFERROR(SUM(Y144:Y145),"0")</f>
        <v>350</v>
      </c>
      <c r="Z146" s="43">
        <f>IFERROR(IF(Z144="",0,Z144),"0")+IFERROR(IF(Z145="",0,Z145),"0")</f>
        <v>6.258</v>
      </c>
      <c r="AA146" s="67"/>
      <c r="AB146" s="67"/>
      <c r="AC146" s="67"/>
    </row>
    <row r="147" spans="1:68" x14ac:dyDescent="0.2">
      <c r="A147" s="370"/>
      <c r="B147" s="370"/>
      <c r="C147" s="370"/>
      <c r="D147" s="370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1"/>
      <c r="P147" s="367" t="s">
        <v>40</v>
      </c>
      <c r="Q147" s="368"/>
      <c r="R147" s="368"/>
      <c r="S147" s="368"/>
      <c r="T147" s="368"/>
      <c r="U147" s="368"/>
      <c r="V147" s="369"/>
      <c r="W147" s="42" t="s">
        <v>0</v>
      </c>
      <c r="X147" s="43">
        <f>IFERROR(SUMPRODUCT(X144:X145*H144:H145),"0")</f>
        <v>1050</v>
      </c>
      <c r="Y147" s="43">
        <f>IFERROR(SUMPRODUCT(Y144:Y145*H144:H145),"0")</f>
        <v>1050</v>
      </c>
      <c r="Z147" s="42"/>
      <c r="AA147" s="67"/>
      <c r="AB147" s="67"/>
      <c r="AC147" s="67"/>
    </row>
    <row r="148" spans="1:68" ht="16.5" customHeight="1" x14ac:dyDescent="0.25">
      <c r="A148" s="354" t="s">
        <v>254</v>
      </c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65"/>
      <c r="AB148" s="65"/>
      <c r="AC148" s="82"/>
    </row>
    <row r="149" spans="1:68" ht="14.25" customHeight="1" x14ac:dyDescent="0.25">
      <c r="A149" s="355" t="s">
        <v>167</v>
      </c>
      <c r="B149" s="355"/>
      <c r="C149" s="355"/>
      <c r="D149" s="355"/>
      <c r="E149" s="355"/>
      <c r="F149" s="355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  <c r="T149" s="355"/>
      <c r="U149" s="355"/>
      <c r="V149" s="355"/>
      <c r="W149" s="355"/>
      <c r="X149" s="355"/>
      <c r="Y149" s="355"/>
      <c r="Z149" s="355"/>
      <c r="AA149" s="66"/>
      <c r="AB149" s="66"/>
      <c r="AC149" s="83"/>
    </row>
    <row r="150" spans="1:68" ht="27" customHeight="1" x14ac:dyDescent="0.25">
      <c r="A150" s="63" t="s">
        <v>255</v>
      </c>
      <c r="B150" s="63" t="s">
        <v>256</v>
      </c>
      <c r="C150" s="36">
        <v>4301135954</v>
      </c>
      <c r="D150" s="356">
        <v>4620207491768</v>
      </c>
      <c r="E150" s="35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121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14</v>
      </c>
      <c r="Y150" s="55">
        <f>IFERROR(IF(X150="","",X150),"")</f>
        <v>14</v>
      </c>
      <c r="Z150" s="41">
        <f>IFERROR(IF(X150="","",X150*0.01788),"")</f>
        <v>0.25031999999999999</v>
      </c>
      <c r="AA150" s="68" t="s">
        <v>46</v>
      </c>
      <c r="AB150" s="69" t="s">
        <v>46</v>
      </c>
      <c r="AC150" s="201" t="s">
        <v>257</v>
      </c>
      <c r="AG150" s="81"/>
      <c r="AJ150" s="87" t="s">
        <v>87</v>
      </c>
      <c r="AK150" s="87">
        <v>1</v>
      </c>
      <c r="BB150" s="202" t="s">
        <v>120</v>
      </c>
      <c r="BM150" s="81">
        <f>IFERROR(X150*I150,"0")</f>
        <v>52.472000000000001</v>
      </c>
      <c r="BN150" s="81">
        <f>IFERROR(Y150*I150,"0")</f>
        <v>52.472000000000001</v>
      </c>
      <c r="BO150" s="81">
        <f>IFERROR(X150/J150,"0")</f>
        <v>0.2</v>
      </c>
      <c r="BP150" s="81">
        <f>IFERROR(Y150/J150,"0")</f>
        <v>0.2</v>
      </c>
    </row>
    <row r="151" spans="1:68" ht="16.5" customHeight="1" x14ac:dyDescent="0.25">
      <c r="A151" s="63" t="s">
        <v>258</v>
      </c>
      <c r="B151" s="63" t="s">
        <v>259</v>
      </c>
      <c r="C151" s="36">
        <v>4301135946</v>
      </c>
      <c r="D151" s="356">
        <v>4620207491553</v>
      </c>
      <c r="E151" s="35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121</v>
      </c>
      <c r="L151" s="37" t="s">
        <v>86</v>
      </c>
      <c r="M151" s="38" t="s">
        <v>84</v>
      </c>
      <c r="N151" s="38"/>
      <c r="O151" s="37">
        <v>180</v>
      </c>
      <c r="P151" s="42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8"/>
      <c r="R151" s="358"/>
      <c r="S151" s="358"/>
      <c r="T151" s="359"/>
      <c r="U151" s="39" t="s">
        <v>46</v>
      </c>
      <c r="V151" s="39" t="s">
        <v>46</v>
      </c>
      <c r="W151" s="40" t="s">
        <v>39</v>
      </c>
      <c r="X151" s="58">
        <v>70</v>
      </c>
      <c r="Y151" s="55">
        <f>IFERROR(IF(X151="","",X151),"")</f>
        <v>70</v>
      </c>
      <c r="Z151" s="41">
        <f>IFERROR(IF(X151="","",X151*0.01788),"")</f>
        <v>1.2516</v>
      </c>
      <c r="AA151" s="68" t="s">
        <v>46</v>
      </c>
      <c r="AB151" s="69" t="s">
        <v>46</v>
      </c>
      <c r="AC151" s="203" t="s">
        <v>257</v>
      </c>
      <c r="AG151" s="81"/>
      <c r="AJ151" s="87" t="s">
        <v>87</v>
      </c>
      <c r="AK151" s="87">
        <v>1</v>
      </c>
      <c r="BB151" s="204" t="s">
        <v>120</v>
      </c>
      <c r="BM151" s="81">
        <f>IFERROR(X151*I151,"0")</f>
        <v>259.25200000000001</v>
      </c>
      <c r="BN151" s="81">
        <f>IFERROR(Y151*I151,"0")</f>
        <v>259.25200000000001</v>
      </c>
      <c r="BO151" s="81">
        <f>IFERROR(X151/J151,"0")</f>
        <v>1</v>
      </c>
      <c r="BP151" s="81">
        <f>IFERROR(Y151/J151,"0")</f>
        <v>1</v>
      </c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39</v>
      </c>
      <c r="X152" s="43">
        <f>IFERROR(SUM(X150:X151),"0")</f>
        <v>84</v>
      </c>
      <c r="Y152" s="43">
        <f>IFERROR(SUM(Y150:Y151),"0")</f>
        <v>84</v>
      </c>
      <c r="Z152" s="43">
        <f>IFERROR(IF(Z150="",0,Z150),"0")+IFERROR(IF(Z151="",0,Z151),"0")</f>
        <v>1.5019200000000001</v>
      </c>
      <c r="AA152" s="67"/>
      <c r="AB152" s="67"/>
      <c r="AC152" s="67"/>
    </row>
    <row r="153" spans="1:68" x14ac:dyDescent="0.2">
      <c r="A153" s="370"/>
      <c r="B153" s="370"/>
      <c r="C153" s="370"/>
      <c r="D153" s="370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1"/>
      <c r="P153" s="367" t="s">
        <v>40</v>
      </c>
      <c r="Q153" s="368"/>
      <c r="R153" s="368"/>
      <c r="S153" s="368"/>
      <c r="T153" s="368"/>
      <c r="U153" s="368"/>
      <c r="V153" s="369"/>
      <c r="W153" s="42" t="s">
        <v>0</v>
      </c>
      <c r="X153" s="43">
        <f>IFERROR(SUMPRODUCT(X150:X151*H150:H151),"0")</f>
        <v>252</v>
      </c>
      <c r="Y153" s="43">
        <f>IFERROR(SUMPRODUCT(Y150:Y151*H150:H151),"0")</f>
        <v>252</v>
      </c>
      <c r="Z153" s="42"/>
      <c r="AA153" s="67"/>
      <c r="AB153" s="67"/>
      <c r="AC153" s="67"/>
    </row>
    <row r="154" spans="1:68" ht="16.5" customHeight="1" x14ac:dyDescent="0.25">
      <c r="A154" s="354" t="s">
        <v>260</v>
      </c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65"/>
      <c r="AB154" s="65"/>
      <c r="AC154" s="82"/>
    </row>
    <row r="155" spans="1:68" ht="14.25" customHeight="1" x14ac:dyDescent="0.25">
      <c r="A155" s="355" t="s">
        <v>167</v>
      </c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5"/>
      <c r="P155" s="355"/>
      <c r="Q155" s="355"/>
      <c r="R155" s="355"/>
      <c r="S155" s="355"/>
      <c r="T155" s="355"/>
      <c r="U155" s="355"/>
      <c r="V155" s="355"/>
      <c r="W155" s="355"/>
      <c r="X155" s="355"/>
      <c r="Y155" s="355"/>
      <c r="Z155" s="355"/>
      <c r="AA155" s="66"/>
      <c r="AB155" s="66"/>
      <c r="AC155" s="83"/>
    </row>
    <row r="156" spans="1:68" ht="27" customHeight="1" x14ac:dyDescent="0.25">
      <c r="A156" s="63" t="s">
        <v>261</v>
      </c>
      <c r="B156" s="63" t="s">
        <v>262</v>
      </c>
      <c r="C156" s="36">
        <v>4301135926</v>
      </c>
      <c r="D156" s="356">
        <v>4620207491669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121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70</v>
      </c>
      <c r="Y156" s="55">
        <f>IFERROR(IF(X156="","",X156),"")</f>
        <v>70</v>
      </c>
      <c r="Z156" s="41">
        <f>IFERROR(IF(X156="","",X156*0.01788),"")</f>
        <v>1.2516</v>
      </c>
      <c r="AA156" s="68" t="s">
        <v>46</v>
      </c>
      <c r="AB156" s="69" t="s">
        <v>46</v>
      </c>
      <c r="AC156" s="205" t="s">
        <v>263</v>
      </c>
      <c r="AG156" s="81"/>
      <c r="AJ156" s="87" t="s">
        <v>87</v>
      </c>
      <c r="AK156" s="87">
        <v>1</v>
      </c>
      <c r="BB156" s="206" t="s">
        <v>120</v>
      </c>
      <c r="BM156" s="81">
        <f>IFERROR(X156*I156,"0")</f>
        <v>187.60000000000002</v>
      </c>
      <c r="BN156" s="81">
        <f>IFERROR(Y156*I156,"0")</f>
        <v>187.60000000000002</v>
      </c>
      <c r="BO156" s="81">
        <f>IFERROR(X156/J156,"0")</f>
        <v>1</v>
      </c>
      <c r="BP156" s="81">
        <f>IFERROR(Y156/J156,"0")</f>
        <v>1</v>
      </c>
    </row>
    <row r="157" spans="1:68" ht="27" customHeight="1" x14ac:dyDescent="0.25">
      <c r="A157" s="63" t="s">
        <v>264</v>
      </c>
      <c r="B157" s="63" t="s">
        <v>265</v>
      </c>
      <c r="C157" s="36">
        <v>4301135932</v>
      </c>
      <c r="D157" s="356">
        <v>4620207491676</v>
      </c>
      <c r="E157" s="35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121</v>
      </c>
      <c r="L157" s="37" t="s">
        <v>86</v>
      </c>
      <c r="M157" s="38" t="s">
        <v>84</v>
      </c>
      <c r="N157" s="38"/>
      <c r="O157" s="37">
        <v>180</v>
      </c>
      <c r="P157" s="42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58"/>
      <c r="R157" s="358"/>
      <c r="S157" s="358"/>
      <c r="T157" s="359"/>
      <c r="U157" s="39" t="s">
        <v>46</v>
      </c>
      <c r="V157" s="39" t="s">
        <v>46</v>
      </c>
      <c r="W157" s="40" t="s">
        <v>39</v>
      </c>
      <c r="X157" s="58">
        <v>70</v>
      </c>
      <c r="Y157" s="55">
        <f>IFERROR(IF(X157="","",X157),"")</f>
        <v>70</v>
      </c>
      <c r="Z157" s="41">
        <f>IFERROR(IF(X157="","",X157*0.01788),"")</f>
        <v>1.2516</v>
      </c>
      <c r="AA157" s="68" t="s">
        <v>46</v>
      </c>
      <c r="AB157" s="69" t="s">
        <v>46</v>
      </c>
      <c r="AC157" s="207" t="s">
        <v>263</v>
      </c>
      <c r="AG157" s="81"/>
      <c r="AJ157" s="87" t="s">
        <v>87</v>
      </c>
      <c r="AK157" s="87">
        <v>1</v>
      </c>
      <c r="BB157" s="208" t="s">
        <v>120</v>
      </c>
      <c r="BM157" s="81">
        <f>IFERROR(X157*I157,"0")</f>
        <v>187.60000000000002</v>
      </c>
      <c r="BN157" s="81">
        <f>IFERROR(Y157*I157,"0")</f>
        <v>187.60000000000002</v>
      </c>
      <c r="BO157" s="81">
        <f>IFERROR(X157/J157,"0")</f>
        <v>1</v>
      </c>
      <c r="BP157" s="81">
        <f>IFERROR(Y157/J157,"0")</f>
        <v>1</v>
      </c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39</v>
      </c>
      <c r="X158" s="43">
        <f>IFERROR(SUM(X156:X157),"0")</f>
        <v>140</v>
      </c>
      <c r="Y158" s="43">
        <f>IFERROR(SUM(Y156:Y157),"0")</f>
        <v>140</v>
      </c>
      <c r="Z158" s="43">
        <f>IFERROR(IF(Z156="",0,Z156),"0")+IFERROR(IF(Z157="",0,Z157),"0")</f>
        <v>2.5032000000000001</v>
      </c>
      <c r="AA158" s="67"/>
      <c r="AB158" s="67"/>
      <c r="AC158" s="67"/>
    </row>
    <row r="159" spans="1:68" x14ac:dyDescent="0.2">
      <c r="A159" s="370"/>
      <c r="B159" s="370"/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1"/>
      <c r="P159" s="367" t="s">
        <v>40</v>
      </c>
      <c r="Q159" s="368"/>
      <c r="R159" s="368"/>
      <c r="S159" s="368"/>
      <c r="T159" s="368"/>
      <c r="U159" s="368"/>
      <c r="V159" s="369"/>
      <c r="W159" s="42" t="s">
        <v>0</v>
      </c>
      <c r="X159" s="43">
        <f>IFERROR(SUMPRODUCT(X156:X157*H156:H157),"0")</f>
        <v>336</v>
      </c>
      <c r="Y159" s="43">
        <f>IFERROR(SUMPRODUCT(Y156:Y157*H156:H157),"0")</f>
        <v>336</v>
      </c>
      <c r="Z159" s="42"/>
      <c r="AA159" s="67"/>
      <c r="AB159" s="67"/>
      <c r="AC159" s="67"/>
    </row>
    <row r="160" spans="1:68" ht="16.5" customHeight="1" x14ac:dyDescent="0.25">
      <c r="A160" s="354" t="s">
        <v>266</v>
      </c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65"/>
      <c r="AB160" s="65"/>
      <c r="AC160" s="82"/>
    </row>
    <row r="161" spans="1:68" ht="14.25" customHeight="1" x14ac:dyDescent="0.25">
      <c r="A161" s="355" t="s">
        <v>167</v>
      </c>
      <c r="B161" s="355"/>
      <c r="C161" s="355"/>
      <c r="D161" s="355"/>
      <c r="E161" s="355"/>
      <c r="F161" s="355"/>
      <c r="G161" s="355"/>
      <c r="H161" s="355"/>
      <c r="I161" s="355"/>
      <c r="J161" s="355"/>
      <c r="K161" s="355"/>
      <c r="L161" s="355"/>
      <c r="M161" s="355"/>
      <c r="N161" s="355"/>
      <c r="O161" s="355"/>
      <c r="P161" s="355"/>
      <c r="Q161" s="355"/>
      <c r="R161" s="355"/>
      <c r="S161" s="355"/>
      <c r="T161" s="355"/>
      <c r="U161" s="355"/>
      <c r="V161" s="355"/>
      <c r="W161" s="355"/>
      <c r="X161" s="355"/>
      <c r="Y161" s="355"/>
      <c r="Z161" s="355"/>
      <c r="AA161" s="66"/>
      <c r="AB161" s="66"/>
      <c r="AC161" s="83"/>
    </row>
    <row r="162" spans="1:68" ht="27" customHeight="1" x14ac:dyDescent="0.25">
      <c r="A162" s="63" t="s">
        <v>267</v>
      </c>
      <c r="B162" s="63" t="s">
        <v>268</v>
      </c>
      <c r="C162" s="36">
        <v>4301135940</v>
      </c>
      <c r="D162" s="356">
        <v>4620207491614</v>
      </c>
      <c r="E162" s="35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121</v>
      </c>
      <c r="L162" s="37" t="s">
        <v>86</v>
      </c>
      <c r="M162" s="38" t="s">
        <v>84</v>
      </c>
      <c r="N162" s="38"/>
      <c r="O162" s="37">
        <v>180</v>
      </c>
      <c r="P162" s="42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58"/>
      <c r="R162" s="358"/>
      <c r="S162" s="358"/>
      <c r="T162" s="359"/>
      <c r="U162" s="39" t="s">
        <v>46</v>
      </c>
      <c r="V162" s="39" t="s">
        <v>46</v>
      </c>
      <c r="W162" s="40" t="s">
        <v>39</v>
      </c>
      <c r="X162" s="58">
        <v>28</v>
      </c>
      <c r="Y162" s="55">
        <f>IFERROR(IF(X162="","",X162),"")</f>
        <v>28</v>
      </c>
      <c r="Z162" s="41">
        <f>IFERROR(IF(X162="","",X162*0.01788),"")</f>
        <v>0.50063999999999997</v>
      </c>
      <c r="AA162" s="68" t="s">
        <v>46</v>
      </c>
      <c r="AB162" s="69" t="s">
        <v>46</v>
      </c>
      <c r="AC162" s="209" t="s">
        <v>170</v>
      </c>
      <c r="AG162" s="81"/>
      <c r="AJ162" s="87" t="s">
        <v>87</v>
      </c>
      <c r="AK162" s="87">
        <v>1</v>
      </c>
      <c r="BB162" s="210" t="s">
        <v>120</v>
      </c>
      <c r="BM162" s="81">
        <f>IFERROR(X162*I162,"0")</f>
        <v>103.70079999999999</v>
      </c>
      <c r="BN162" s="81">
        <f>IFERROR(Y162*I162,"0")</f>
        <v>103.70079999999999</v>
      </c>
      <c r="BO162" s="81">
        <f>IFERROR(X162/J162,"0")</f>
        <v>0.4</v>
      </c>
      <c r="BP162" s="81">
        <f>IFERROR(Y162/J162,"0")</f>
        <v>0.4</v>
      </c>
    </row>
    <row r="163" spans="1:68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39</v>
      </c>
      <c r="X163" s="43">
        <f>IFERROR(SUM(X162:X162),"0")</f>
        <v>28</v>
      </c>
      <c r="Y163" s="43">
        <f>IFERROR(SUM(Y162:Y162),"0")</f>
        <v>28</v>
      </c>
      <c r="Z163" s="43">
        <f>IFERROR(IF(Z162="",0,Z162),"0")</f>
        <v>0.50063999999999997</v>
      </c>
      <c r="AA163" s="67"/>
      <c r="AB163" s="67"/>
      <c r="AC163" s="67"/>
    </row>
    <row r="164" spans="1:68" x14ac:dyDescent="0.2">
      <c r="A164" s="370"/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1"/>
      <c r="P164" s="367" t="s">
        <v>40</v>
      </c>
      <c r="Q164" s="368"/>
      <c r="R164" s="368"/>
      <c r="S164" s="368"/>
      <c r="T164" s="368"/>
      <c r="U164" s="368"/>
      <c r="V164" s="369"/>
      <c r="W164" s="42" t="s">
        <v>0</v>
      </c>
      <c r="X164" s="43">
        <f>IFERROR(SUMPRODUCT(X162:X162*H162:H162),"0")</f>
        <v>84</v>
      </c>
      <c r="Y164" s="43">
        <f>IFERROR(SUMPRODUCT(Y162:Y162*H162:H162),"0")</f>
        <v>84</v>
      </c>
      <c r="Z164" s="42"/>
      <c r="AA164" s="67"/>
      <c r="AB164" s="67"/>
      <c r="AC164" s="67"/>
    </row>
    <row r="165" spans="1:68" ht="16.5" customHeight="1" x14ac:dyDescent="0.25">
      <c r="A165" s="354" t="s">
        <v>269</v>
      </c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65"/>
      <c r="AB165" s="65"/>
      <c r="AC165" s="82"/>
    </row>
    <row r="166" spans="1:68" ht="14.25" customHeight="1" x14ac:dyDescent="0.25">
      <c r="A166" s="355" t="s">
        <v>167</v>
      </c>
      <c r="B166" s="355"/>
      <c r="C166" s="355"/>
      <c r="D166" s="355"/>
      <c r="E166" s="355"/>
      <c r="F166" s="355"/>
      <c r="G166" s="355"/>
      <c r="H166" s="355"/>
      <c r="I166" s="355"/>
      <c r="J166" s="355"/>
      <c r="K166" s="355"/>
      <c r="L166" s="355"/>
      <c r="M166" s="355"/>
      <c r="N166" s="355"/>
      <c r="O166" s="355"/>
      <c r="P166" s="355"/>
      <c r="Q166" s="355"/>
      <c r="R166" s="355"/>
      <c r="S166" s="355"/>
      <c r="T166" s="355"/>
      <c r="U166" s="355"/>
      <c r="V166" s="355"/>
      <c r="W166" s="355"/>
      <c r="X166" s="355"/>
      <c r="Y166" s="355"/>
      <c r="Z166" s="355"/>
      <c r="AA166" s="66"/>
      <c r="AB166" s="66"/>
      <c r="AC166" s="83"/>
    </row>
    <row r="167" spans="1:68" ht="16.5" customHeight="1" x14ac:dyDescent="0.25">
      <c r="A167" s="63" t="s">
        <v>270</v>
      </c>
      <c r="B167" s="63" t="s">
        <v>271</v>
      </c>
      <c r="C167" s="36">
        <v>4301135607</v>
      </c>
      <c r="D167" s="356">
        <v>4607111039613</v>
      </c>
      <c r="E167" s="35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121</v>
      </c>
      <c r="L167" s="37" t="s">
        <v>122</v>
      </c>
      <c r="M167" s="38" t="s">
        <v>84</v>
      </c>
      <c r="N167" s="38"/>
      <c r="O167" s="37">
        <v>180</v>
      </c>
      <c r="P167" s="42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8"/>
      <c r="R167" s="358"/>
      <c r="S167" s="358"/>
      <c r="T167" s="359"/>
      <c r="U167" s="39" t="s">
        <v>46</v>
      </c>
      <c r="V167" s="39" t="s">
        <v>46</v>
      </c>
      <c r="W167" s="40" t="s">
        <v>39</v>
      </c>
      <c r="X167" s="58">
        <v>28</v>
      </c>
      <c r="Y167" s="55">
        <f>IFERROR(IF(X167="","",X167),"")</f>
        <v>28</v>
      </c>
      <c r="Z167" s="41">
        <f>IFERROR(IF(X167="","",X167*0.00936),"")</f>
        <v>0.26207999999999998</v>
      </c>
      <c r="AA167" s="68" t="s">
        <v>46</v>
      </c>
      <c r="AB167" s="69" t="s">
        <v>46</v>
      </c>
      <c r="AC167" s="211" t="s">
        <v>272</v>
      </c>
      <c r="AG167" s="81"/>
      <c r="AJ167" s="87" t="s">
        <v>123</v>
      </c>
      <c r="AK167" s="87">
        <v>14</v>
      </c>
      <c r="BB167" s="212" t="s">
        <v>120</v>
      </c>
      <c r="BM167" s="81">
        <f>IFERROR(X167*I167,"0")</f>
        <v>86.52</v>
      </c>
      <c r="BN167" s="81">
        <f>IFERROR(Y167*I167,"0")</f>
        <v>86.52</v>
      </c>
      <c r="BO167" s="81">
        <f>IFERROR(X167/J167,"0")</f>
        <v>0.22222222222222221</v>
      </c>
      <c r="BP167" s="81">
        <f>IFERROR(Y167/J167,"0")</f>
        <v>0.22222222222222221</v>
      </c>
    </row>
    <row r="168" spans="1:68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39</v>
      </c>
      <c r="X168" s="43">
        <f>IFERROR(SUM(X167:X167),"0")</f>
        <v>28</v>
      </c>
      <c r="Y168" s="43">
        <f>IFERROR(SUM(Y167:Y167),"0")</f>
        <v>28</v>
      </c>
      <c r="Z168" s="43">
        <f>IFERROR(IF(Z167="",0,Z167),"0")</f>
        <v>0.26207999999999998</v>
      </c>
      <c r="AA168" s="67"/>
      <c r="AB168" s="67"/>
      <c r="AC168" s="67"/>
    </row>
    <row r="169" spans="1:68" x14ac:dyDescent="0.2">
      <c r="A169" s="370"/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1"/>
      <c r="P169" s="367" t="s">
        <v>40</v>
      </c>
      <c r="Q169" s="368"/>
      <c r="R169" s="368"/>
      <c r="S169" s="368"/>
      <c r="T169" s="368"/>
      <c r="U169" s="368"/>
      <c r="V169" s="369"/>
      <c r="W169" s="42" t="s">
        <v>0</v>
      </c>
      <c r="X169" s="43">
        <f>IFERROR(SUMPRODUCT(X167:X167*H167:H167),"0")</f>
        <v>75.600000000000009</v>
      </c>
      <c r="Y169" s="43">
        <f>IFERROR(SUMPRODUCT(Y167:Y167*H167:H167),"0")</f>
        <v>75.600000000000009</v>
      </c>
      <c r="Z169" s="42"/>
      <c r="AA169" s="67"/>
      <c r="AB169" s="67"/>
      <c r="AC169" s="67"/>
    </row>
    <row r="170" spans="1:68" ht="16.5" customHeight="1" x14ac:dyDescent="0.25">
      <c r="A170" s="354" t="s">
        <v>273</v>
      </c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65"/>
      <c r="AB170" s="65"/>
      <c r="AC170" s="82"/>
    </row>
    <row r="171" spans="1:68" ht="14.25" customHeight="1" x14ac:dyDescent="0.25">
      <c r="A171" s="355" t="s">
        <v>167</v>
      </c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5"/>
      <c r="P171" s="355"/>
      <c r="Q171" s="355"/>
      <c r="R171" s="355"/>
      <c r="S171" s="355"/>
      <c r="T171" s="355"/>
      <c r="U171" s="355"/>
      <c r="V171" s="355"/>
      <c r="W171" s="355"/>
      <c r="X171" s="355"/>
      <c r="Y171" s="355"/>
      <c r="Z171" s="355"/>
      <c r="AA171" s="66"/>
      <c r="AB171" s="66"/>
      <c r="AC171" s="83"/>
    </row>
    <row r="172" spans="1:68" ht="27" customHeight="1" x14ac:dyDescent="0.25">
      <c r="A172" s="63" t="s">
        <v>274</v>
      </c>
      <c r="B172" s="63" t="s">
        <v>275</v>
      </c>
      <c r="C172" s="36">
        <v>4301135912</v>
      </c>
      <c r="D172" s="356">
        <v>4620207491751</v>
      </c>
      <c r="E172" s="35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121</v>
      </c>
      <c r="L172" s="37" t="s">
        <v>86</v>
      </c>
      <c r="M172" s="38" t="s">
        <v>84</v>
      </c>
      <c r="N172" s="38"/>
      <c r="O172" s="37">
        <v>180</v>
      </c>
      <c r="P172" s="426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58"/>
      <c r="R172" s="358"/>
      <c r="S172" s="358"/>
      <c r="T172" s="359"/>
      <c r="U172" s="39" t="s">
        <v>46</v>
      </c>
      <c r="V172" s="39" t="s">
        <v>46</v>
      </c>
      <c r="W172" s="40" t="s">
        <v>39</v>
      </c>
      <c r="X172" s="58">
        <v>140</v>
      </c>
      <c r="Y172" s="55">
        <f>IFERROR(IF(X172="","",X172),"")</f>
        <v>140</v>
      </c>
      <c r="Z172" s="41">
        <f>IFERROR(IF(X172="","",X172*0.00941),"")</f>
        <v>1.3173999999999999</v>
      </c>
      <c r="AA172" s="68" t="s">
        <v>46</v>
      </c>
      <c r="AB172" s="69" t="s">
        <v>46</v>
      </c>
      <c r="AC172" s="213" t="s">
        <v>170</v>
      </c>
      <c r="AG172" s="81"/>
      <c r="AJ172" s="87" t="s">
        <v>87</v>
      </c>
      <c r="AK172" s="87">
        <v>1</v>
      </c>
      <c r="BB172" s="214" t="s">
        <v>120</v>
      </c>
      <c r="BM172" s="81">
        <f>IFERROR(X172*I172,"0")</f>
        <v>294.25200000000001</v>
      </c>
      <c r="BN172" s="81">
        <f>IFERROR(Y172*I172,"0")</f>
        <v>294.25200000000001</v>
      </c>
      <c r="BO172" s="81">
        <f>IFERROR(X172/J172,"0")</f>
        <v>1</v>
      </c>
      <c r="BP172" s="81">
        <f>IFERROR(Y172/J172,"0")</f>
        <v>1</v>
      </c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39</v>
      </c>
      <c r="X173" s="43">
        <f>IFERROR(SUM(X172:X172),"0")</f>
        <v>140</v>
      </c>
      <c r="Y173" s="43">
        <f>IFERROR(SUM(Y172:Y172),"0")</f>
        <v>140</v>
      </c>
      <c r="Z173" s="43">
        <f>IFERROR(IF(Z172="",0,Z172),"0")</f>
        <v>1.3173999999999999</v>
      </c>
      <c r="AA173" s="67"/>
      <c r="AB173" s="67"/>
      <c r="AC173" s="67"/>
    </row>
    <row r="174" spans="1:68" x14ac:dyDescent="0.2">
      <c r="A174" s="370"/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1"/>
      <c r="P174" s="367" t="s">
        <v>40</v>
      </c>
      <c r="Q174" s="368"/>
      <c r="R174" s="368"/>
      <c r="S174" s="368"/>
      <c r="T174" s="368"/>
      <c r="U174" s="368"/>
      <c r="V174" s="369"/>
      <c r="W174" s="42" t="s">
        <v>0</v>
      </c>
      <c r="X174" s="43">
        <f>IFERROR(SUMPRODUCT(X172:X172*H172:H172),"0")</f>
        <v>235.2</v>
      </c>
      <c r="Y174" s="43">
        <f>IFERROR(SUMPRODUCT(Y172:Y172*H172:H172),"0")</f>
        <v>235.2</v>
      </c>
      <c r="Z174" s="42"/>
      <c r="AA174" s="67"/>
      <c r="AB174" s="67"/>
      <c r="AC174" s="67"/>
    </row>
    <row r="175" spans="1:68" ht="27.75" customHeight="1" x14ac:dyDescent="0.2">
      <c r="A175" s="353" t="s">
        <v>276</v>
      </c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  <c r="AA175" s="54"/>
      <c r="AB175" s="54"/>
      <c r="AC175" s="54"/>
    </row>
    <row r="176" spans="1:68" ht="16.5" customHeight="1" x14ac:dyDescent="0.25">
      <c r="A176" s="354" t="s">
        <v>277</v>
      </c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65"/>
      <c r="AB176" s="65"/>
      <c r="AC176" s="82"/>
    </row>
    <row r="177" spans="1:68" ht="14.25" customHeight="1" x14ac:dyDescent="0.25">
      <c r="A177" s="355" t="s">
        <v>116</v>
      </c>
      <c r="B177" s="355"/>
      <c r="C177" s="355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  <c r="U177" s="355"/>
      <c r="V177" s="355"/>
      <c r="W177" s="355"/>
      <c r="X177" s="355"/>
      <c r="Y177" s="355"/>
      <c r="Z177" s="355"/>
      <c r="AA177" s="66"/>
      <c r="AB177" s="66"/>
      <c r="AC177" s="83"/>
    </row>
    <row r="178" spans="1:68" ht="27" customHeight="1" x14ac:dyDescent="0.25">
      <c r="A178" s="63" t="s">
        <v>278</v>
      </c>
      <c r="B178" s="63" t="s">
        <v>279</v>
      </c>
      <c r="C178" s="36">
        <v>4301132226</v>
      </c>
      <c r="D178" s="356">
        <v>4620207490631</v>
      </c>
      <c r="E178" s="356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427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IFERROR(IF(X178="","",X178*0.0155),"")</f>
        <v>0</v>
      </c>
      <c r="AA178" s="68" t="s">
        <v>46</v>
      </c>
      <c r="AB178" s="69" t="s">
        <v>46</v>
      </c>
      <c r="AC178" s="215" t="s">
        <v>280</v>
      </c>
      <c r="AG178" s="81"/>
      <c r="AJ178" s="87" t="s">
        <v>87</v>
      </c>
      <c r="AK178" s="87">
        <v>1</v>
      </c>
      <c r="BB178" s="216" t="s">
        <v>120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1"/>
      <c r="P179" s="367" t="s">
        <v>40</v>
      </c>
      <c r="Q179" s="368"/>
      <c r="R179" s="368"/>
      <c r="S179" s="368"/>
      <c r="T179" s="368"/>
      <c r="U179" s="368"/>
      <c r="V179" s="369"/>
      <c r="W179" s="42" t="s">
        <v>39</v>
      </c>
      <c r="X179" s="43">
        <f>IFERROR(SUM(X178:X178),"0")</f>
        <v>0</v>
      </c>
      <c r="Y179" s="43">
        <f>IFERROR(SUM(Y178:Y178),"0")</f>
        <v>0</v>
      </c>
      <c r="Z179" s="43">
        <f>IFERROR(IF(Z178="",0,Z178),"0")</f>
        <v>0</v>
      </c>
      <c r="AA179" s="67"/>
      <c r="AB179" s="67"/>
      <c r="AC179" s="67"/>
    </row>
    <row r="180" spans="1:68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0</v>
      </c>
      <c r="X180" s="43">
        <f>IFERROR(SUMPRODUCT(X178:X178*H178:H178),"0")</f>
        <v>0</v>
      </c>
      <c r="Y180" s="43">
        <f>IFERROR(SUMPRODUCT(Y178:Y178*H178:H178),"0")</f>
        <v>0</v>
      </c>
      <c r="Z180" s="42"/>
      <c r="AA180" s="67"/>
      <c r="AB180" s="67"/>
      <c r="AC180" s="67"/>
    </row>
    <row r="181" spans="1:68" ht="14.25" customHeight="1" x14ac:dyDescent="0.25">
      <c r="A181" s="355" t="s">
        <v>167</v>
      </c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  <c r="T181" s="355"/>
      <c r="U181" s="355"/>
      <c r="V181" s="355"/>
      <c r="W181" s="355"/>
      <c r="X181" s="355"/>
      <c r="Y181" s="355"/>
      <c r="Z181" s="355"/>
      <c r="AA181" s="66"/>
      <c r="AB181" s="66"/>
      <c r="AC181" s="83"/>
    </row>
    <row r="182" spans="1:68" ht="27" customHeight="1" x14ac:dyDescent="0.25">
      <c r="A182" s="63" t="s">
        <v>281</v>
      </c>
      <c r="B182" s="63" t="s">
        <v>282</v>
      </c>
      <c r="C182" s="36">
        <v>4301135392</v>
      </c>
      <c r="D182" s="356">
        <v>4607111039132</v>
      </c>
      <c r="E182" s="356"/>
      <c r="F182" s="62">
        <v>3.7</v>
      </c>
      <c r="G182" s="37">
        <v>1</v>
      </c>
      <c r="H182" s="62">
        <v>3.7</v>
      </c>
      <c r="I182" s="62">
        <v>3.8919999999999999</v>
      </c>
      <c r="J182" s="37">
        <v>126</v>
      </c>
      <c r="K182" s="37" t="s">
        <v>121</v>
      </c>
      <c r="L182" s="37" t="s">
        <v>86</v>
      </c>
      <c r="M182" s="38" t="s">
        <v>84</v>
      </c>
      <c r="N182" s="38"/>
      <c r="O182" s="37">
        <v>180</v>
      </c>
      <c r="P182" s="428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358"/>
      <c r="R182" s="358"/>
      <c r="S182" s="358"/>
      <c r="T182" s="359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IFERROR(IF(X182="","",X182*0.00936),"")</f>
        <v>0</v>
      </c>
      <c r="AA182" s="68" t="s">
        <v>46</v>
      </c>
      <c r="AB182" s="69" t="s">
        <v>46</v>
      </c>
      <c r="AC182" s="217" t="s">
        <v>283</v>
      </c>
      <c r="AG182" s="81"/>
      <c r="AJ182" s="87" t="s">
        <v>87</v>
      </c>
      <c r="AK182" s="87">
        <v>1</v>
      </c>
      <c r="BB182" s="218" t="s">
        <v>120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70"/>
      <c r="B183" s="370"/>
      <c r="C183" s="370"/>
      <c r="D183" s="370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1"/>
      <c r="P183" s="367" t="s">
        <v>40</v>
      </c>
      <c r="Q183" s="368"/>
      <c r="R183" s="368"/>
      <c r="S183" s="368"/>
      <c r="T183" s="368"/>
      <c r="U183" s="368"/>
      <c r="V183" s="369"/>
      <c r="W183" s="42" t="s">
        <v>39</v>
      </c>
      <c r="X183" s="43">
        <f>IFERROR(SUM(X182:X182),"0")</f>
        <v>0</v>
      </c>
      <c r="Y183" s="43">
        <f>IFERROR(SUM(Y182:Y182),"0")</f>
        <v>0</v>
      </c>
      <c r="Z183" s="43">
        <f>IFERROR(IF(Z182="",0,Z182),"0")</f>
        <v>0</v>
      </c>
      <c r="AA183" s="67"/>
      <c r="AB183" s="67"/>
      <c r="AC183" s="67"/>
    </row>
    <row r="184" spans="1:68" x14ac:dyDescent="0.2">
      <c r="A184" s="370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1"/>
      <c r="P184" s="367" t="s">
        <v>40</v>
      </c>
      <c r="Q184" s="368"/>
      <c r="R184" s="368"/>
      <c r="S184" s="368"/>
      <c r="T184" s="368"/>
      <c r="U184" s="368"/>
      <c r="V184" s="369"/>
      <c r="W184" s="42" t="s">
        <v>0</v>
      </c>
      <c r="X184" s="43">
        <f>IFERROR(SUMPRODUCT(X182:X182*H182:H182),"0")</f>
        <v>0</v>
      </c>
      <c r="Y184" s="43">
        <f>IFERROR(SUMPRODUCT(Y182:Y182*H182:H182),"0")</f>
        <v>0</v>
      </c>
      <c r="Z184" s="42"/>
      <c r="AA184" s="67"/>
      <c r="AB184" s="67"/>
      <c r="AC184" s="67"/>
    </row>
    <row r="185" spans="1:68" ht="16.5" customHeight="1" x14ac:dyDescent="0.25">
      <c r="A185" s="354" t="s">
        <v>284</v>
      </c>
      <c r="B185" s="354"/>
      <c r="C185" s="354"/>
      <c r="D185" s="354"/>
      <c r="E185" s="354"/>
      <c r="F185" s="354"/>
      <c r="G185" s="354"/>
      <c r="H185" s="354"/>
      <c r="I185" s="354"/>
      <c r="J185" s="354"/>
      <c r="K185" s="354"/>
      <c r="L185" s="354"/>
      <c r="M185" s="354"/>
      <c r="N185" s="354"/>
      <c r="O185" s="354"/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  <c r="Z185" s="354"/>
      <c r="AA185" s="65"/>
      <c r="AB185" s="65"/>
      <c r="AC185" s="82"/>
    </row>
    <row r="186" spans="1:68" ht="14.25" customHeight="1" x14ac:dyDescent="0.25">
      <c r="A186" s="355" t="s">
        <v>80</v>
      </c>
      <c r="B186" s="355"/>
      <c r="C186" s="355"/>
      <c r="D186" s="355"/>
      <c r="E186" s="355"/>
      <c r="F186" s="355"/>
      <c r="G186" s="355"/>
      <c r="H186" s="355"/>
      <c r="I186" s="355"/>
      <c r="J186" s="355"/>
      <c r="K186" s="355"/>
      <c r="L186" s="355"/>
      <c r="M186" s="355"/>
      <c r="N186" s="355"/>
      <c r="O186" s="355"/>
      <c r="P186" s="355"/>
      <c r="Q186" s="355"/>
      <c r="R186" s="355"/>
      <c r="S186" s="355"/>
      <c r="T186" s="355"/>
      <c r="U186" s="355"/>
      <c r="V186" s="355"/>
      <c r="W186" s="355"/>
      <c r="X186" s="355"/>
      <c r="Y186" s="355"/>
      <c r="Z186" s="355"/>
      <c r="AA186" s="66"/>
      <c r="AB186" s="66"/>
      <c r="AC186" s="83"/>
    </row>
    <row r="187" spans="1:68" ht="16.5" customHeight="1" x14ac:dyDescent="0.25">
      <c r="A187" s="63" t="s">
        <v>285</v>
      </c>
      <c r="B187" s="63" t="s">
        <v>286</v>
      </c>
      <c r="C187" s="36">
        <v>4301071062</v>
      </c>
      <c r="D187" s="356">
        <v>4607111036384</v>
      </c>
      <c r="E187" s="356"/>
      <c r="F187" s="62">
        <v>5</v>
      </c>
      <c r="G187" s="37">
        <v>1</v>
      </c>
      <c r="H187" s="62">
        <v>5</v>
      </c>
      <c r="I187" s="62">
        <v>5.2106000000000003</v>
      </c>
      <c r="J187" s="37">
        <v>144</v>
      </c>
      <c r="K187" s="37" t="s">
        <v>85</v>
      </c>
      <c r="L187" s="37" t="s">
        <v>86</v>
      </c>
      <c r="M187" s="38" t="s">
        <v>84</v>
      </c>
      <c r="N187" s="38"/>
      <c r="O187" s="37">
        <v>180</v>
      </c>
      <c r="P187" s="42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358"/>
      <c r="R187" s="358"/>
      <c r="S187" s="358"/>
      <c r="T187" s="359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19" t="s">
        <v>287</v>
      </c>
      <c r="AG187" s="81"/>
      <c r="AJ187" s="87" t="s">
        <v>87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288</v>
      </c>
      <c r="B188" s="63" t="s">
        <v>289</v>
      </c>
      <c r="C188" s="36">
        <v>4301071050</v>
      </c>
      <c r="D188" s="356">
        <v>4607111036216</v>
      </c>
      <c r="E188" s="356"/>
      <c r="F188" s="62">
        <v>5</v>
      </c>
      <c r="G188" s="37">
        <v>1</v>
      </c>
      <c r="H188" s="62">
        <v>5</v>
      </c>
      <c r="I188" s="62">
        <v>5.2131999999999996</v>
      </c>
      <c r="J188" s="37">
        <v>144</v>
      </c>
      <c r="K188" s="37" t="s">
        <v>85</v>
      </c>
      <c r="L188" s="37" t="s">
        <v>122</v>
      </c>
      <c r="M188" s="38" t="s">
        <v>84</v>
      </c>
      <c r="N188" s="38"/>
      <c r="O188" s="37">
        <v>180</v>
      </c>
      <c r="P188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358"/>
      <c r="R188" s="358"/>
      <c r="S188" s="358"/>
      <c r="T188" s="359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1" t="s">
        <v>290</v>
      </c>
      <c r="AG188" s="81"/>
      <c r="AJ188" s="87" t="s">
        <v>123</v>
      </c>
      <c r="AK188" s="87">
        <v>12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70"/>
      <c r="B189" s="370"/>
      <c r="C189" s="370"/>
      <c r="D189" s="370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1"/>
      <c r="P189" s="367" t="s">
        <v>40</v>
      </c>
      <c r="Q189" s="368"/>
      <c r="R189" s="368"/>
      <c r="S189" s="368"/>
      <c r="T189" s="368"/>
      <c r="U189" s="368"/>
      <c r="V189" s="369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370"/>
      <c r="B190" s="370"/>
      <c r="C190" s="370"/>
      <c r="D190" s="370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1"/>
      <c r="P190" s="367" t="s">
        <v>40</v>
      </c>
      <c r="Q190" s="368"/>
      <c r="R190" s="368"/>
      <c r="S190" s="368"/>
      <c r="T190" s="368"/>
      <c r="U190" s="368"/>
      <c r="V190" s="369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16.5" customHeight="1" x14ac:dyDescent="0.25">
      <c r="A191" s="354" t="s">
        <v>291</v>
      </c>
      <c r="B191" s="354"/>
      <c r="C191" s="354"/>
      <c r="D191" s="354"/>
      <c r="E191" s="354"/>
      <c r="F191" s="354"/>
      <c r="G191" s="354"/>
      <c r="H191" s="354"/>
      <c r="I191" s="354"/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  <c r="Z191" s="354"/>
      <c r="AA191" s="65"/>
      <c r="AB191" s="65"/>
      <c r="AC191" s="82"/>
    </row>
    <row r="192" spans="1:68" ht="14.25" customHeight="1" x14ac:dyDescent="0.25">
      <c r="A192" s="355" t="s">
        <v>80</v>
      </c>
      <c r="B192" s="355"/>
      <c r="C192" s="355"/>
      <c r="D192" s="355"/>
      <c r="E192" s="355"/>
      <c r="F192" s="355"/>
      <c r="G192" s="355"/>
      <c r="H192" s="355"/>
      <c r="I192" s="355"/>
      <c r="J192" s="355"/>
      <c r="K192" s="355"/>
      <c r="L192" s="355"/>
      <c r="M192" s="355"/>
      <c r="N192" s="355"/>
      <c r="O192" s="355"/>
      <c r="P192" s="355"/>
      <c r="Q192" s="355"/>
      <c r="R192" s="355"/>
      <c r="S192" s="355"/>
      <c r="T192" s="355"/>
      <c r="U192" s="355"/>
      <c r="V192" s="355"/>
      <c r="W192" s="355"/>
      <c r="X192" s="355"/>
      <c r="Y192" s="355"/>
      <c r="Z192" s="355"/>
      <c r="AA192" s="66"/>
      <c r="AB192" s="66"/>
      <c r="AC192" s="83"/>
    </row>
    <row r="193" spans="1:68" ht="27" customHeight="1" x14ac:dyDescent="0.25">
      <c r="A193" s="63" t="s">
        <v>292</v>
      </c>
      <c r="B193" s="63" t="s">
        <v>293</v>
      </c>
      <c r="C193" s="36">
        <v>4301071117</v>
      </c>
      <c r="D193" s="356">
        <v>4620207491737</v>
      </c>
      <c r="E193" s="356"/>
      <c r="F193" s="62">
        <v>1</v>
      </c>
      <c r="G193" s="37">
        <v>5</v>
      </c>
      <c r="H193" s="62">
        <v>5</v>
      </c>
      <c r="I193" s="62">
        <v>5.2619999999999996</v>
      </c>
      <c r="J193" s="37">
        <v>84</v>
      </c>
      <c r="K193" s="37" t="s">
        <v>85</v>
      </c>
      <c r="L193" s="37" t="s">
        <v>86</v>
      </c>
      <c r="M193" s="38" t="s">
        <v>84</v>
      </c>
      <c r="N193" s="38"/>
      <c r="O193" s="37">
        <v>180</v>
      </c>
      <c r="P193" s="4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358"/>
      <c r="R193" s="358"/>
      <c r="S193" s="358"/>
      <c r="T193" s="35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23" t="s">
        <v>290</v>
      </c>
      <c r="AG193" s="81"/>
      <c r="AJ193" s="87" t="s">
        <v>87</v>
      </c>
      <c r="AK193" s="87">
        <v>1</v>
      </c>
      <c r="BB193" s="22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370"/>
      <c r="B195" s="370"/>
      <c r="C195" s="370"/>
      <c r="D195" s="370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1"/>
      <c r="P195" s="367" t="s">
        <v>40</v>
      </c>
      <c r="Q195" s="368"/>
      <c r="R195" s="368"/>
      <c r="S195" s="368"/>
      <c r="T195" s="368"/>
      <c r="U195" s="368"/>
      <c r="V195" s="369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27.75" customHeight="1" x14ac:dyDescent="0.2">
      <c r="A196" s="353" t="s">
        <v>294</v>
      </c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  <c r="AA196" s="54"/>
      <c r="AB196" s="54"/>
      <c r="AC196" s="54"/>
    </row>
    <row r="197" spans="1:68" ht="16.5" customHeight="1" x14ac:dyDescent="0.25">
      <c r="A197" s="354" t="s">
        <v>295</v>
      </c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65"/>
      <c r="AB197" s="65"/>
      <c r="AC197" s="82"/>
    </row>
    <row r="198" spans="1:68" ht="14.25" customHeight="1" x14ac:dyDescent="0.25">
      <c r="A198" s="355" t="s">
        <v>116</v>
      </c>
      <c r="B198" s="355"/>
      <c r="C198" s="355"/>
      <c r="D198" s="355"/>
      <c r="E198" s="355"/>
      <c r="F198" s="355"/>
      <c r="G198" s="355"/>
      <c r="H198" s="355"/>
      <c r="I198" s="355"/>
      <c r="J198" s="355"/>
      <c r="K198" s="355"/>
      <c r="L198" s="355"/>
      <c r="M198" s="355"/>
      <c r="N198" s="355"/>
      <c r="O198" s="355"/>
      <c r="P198" s="355"/>
      <c r="Q198" s="355"/>
      <c r="R198" s="355"/>
      <c r="S198" s="355"/>
      <c r="T198" s="355"/>
      <c r="U198" s="355"/>
      <c r="V198" s="355"/>
      <c r="W198" s="355"/>
      <c r="X198" s="355"/>
      <c r="Y198" s="355"/>
      <c r="Z198" s="355"/>
      <c r="AA198" s="66"/>
      <c r="AB198" s="66"/>
      <c r="AC198" s="83"/>
    </row>
    <row r="199" spans="1:68" ht="16.5" customHeight="1" x14ac:dyDescent="0.25">
      <c r="A199" s="63" t="s">
        <v>296</v>
      </c>
      <c r="B199" s="63" t="s">
        <v>297</v>
      </c>
      <c r="C199" s="36">
        <v>4301132179</v>
      </c>
      <c r="D199" s="356">
        <v>4607111035691</v>
      </c>
      <c r="E199" s="356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121</v>
      </c>
      <c r="L199" s="37" t="s">
        <v>122</v>
      </c>
      <c r="M199" s="38" t="s">
        <v>84</v>
      </c>
      <c r="N199" s="38"/>
      <c r="O199" s="37">
        <v>365</v>
      </c>
      <c r="P199" s="4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358"/>
      <c r="R199" s="358"/>
      <c r="S199" s="358"/>
      <c r="T199" s="359"/>
      <c r="U199" s="39" t="s">
        <v>46</v>
      </c>
      <c r="V199" s="39" t="s">
        <v>46</v>
      </c>
      <c r="W199" s="40" t="s">
        <v>39</v>
      </c>
      <c r="X199" s="58">
        <v>70</v>
      </c>
      <c r="Y199" s="55">
        <f>IFERROR(IF(X199="","",X199),"")</f>
        <v>70</v>
      </c>
      <c r="Z199" s="41">
        <f>IFERROR(IF(X199="","",X199*0.01788),"")</f>
        <v>1.2516</v>
      </c>
      <c r="AA199" s="68" t="s">
        <v>46</v>
      </c>
      <c r="AB199" s="69" t="s">
        <v>46</v>
      </c>
      <c r="AC199" s="225" t="s">
        <v>298</v>
      </c>
      <c r="AG199" s="81"/>
      <c r="AJ199" s="87" t="s">
        <v>123</v>
      </c>
      <c r="AK199" s="87">
        <v>14</v>
      </c>
      <c r="BB199" s="226" t="s">
        <v>120</v>
      </c>
      <c r="BM199" s="81">
        <f>IFERROR(X199*I199,"0")</f>
        <v>237.16</v>
      </c>
      <c r="BN199" s="81">
        <f>IFERROR(Y199*I199,"0")</f>
        <v>237.16</v>
      </c>
      <c r="BO199" s="81">
        <f>IFERROR(X199/J199,"0")</f>
        <v>1</v>
      </c>
      <c r="BP199" s="81">
        <f>IFERROR(Y199/J199,"0")</f>
        <v>1</v>
      </c>
    </row>
    <row r="200" spans="1:68" ht="27" customHeight="1" x14ac:dyDescent="0.25">
      <c r="A200" s="63" t="s">
        <v>299</v>
      </c>
      <c r="B200" s="63" t="s">
        <v>300</v>
      </c>
      <c r="C200" s="36">
        <v>4301132182</v>
      </c>
      <c r="D200" s="356">
        <v>4607111035721</v>
      </c>
      <c r="E200" s="356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121</v>
      </c>
      <c r="L200" s="37" t="s">
        <v>122</v>
      </c>
      <c r="M200" s="38" t="s">
        <v>84</v>
      </c>
      <c r="N200" s="38"/>
      <c r="O200" s="37">
        <v>365</v>
      </c>
      <c r="P200" s="4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358"/>
      <c r="R200" s="358"/>
      <c r="S200" s="358"/>
      <c r="T200" s="359"/>
      <c r="U200" s="39" t="s">
        <v>46</v>
      </c>
      <c r="V200" s="39" t="s">
        <v>46</v>
      </c>
      <c r="W200" s="40" t="s">
        <v>39</v>
      </c>
      <c r="X200" s="58">
        <v>70</v>
      </c>
      <c r="Y200" s="55">
        <f>IFERROR(IF(X200="","",X200),"")</f>
        <v>70</v>
      </c>
      <c r="Z200" s="41">
        <f>IFERROR(IF(X200="","",X200*0.01788),"")</f>
        <v>1.2516</v>
      </c>
      <c r="AA200" s="68" t="s">
        <v>46</v>
      </c>
      <c r="AB200" s="69" t="s">
        <v>46</v>
      </c>
      <c r="AC200" s="227" t="s">
        <v>301</v>
      </c>
      <c r="AG200" s="81"/>
      <c r="AJ200" s="87" t="s">
        <v>123</v>
      </c>
      <c r="AK200" s="87">
        <v>14</v>
      </c>
      <c r="BB200" s="228" t="s">
        <v>120</v>
      </c>
      <c r="BM200" s="81">
        <f>IFERROR(X200*I200,"0")</f>
        <v>237.16</v>
      </c>
      <c r="BN200" s="81">
        <f>IFERROR(Y200*I200,"0")</f>
        <v>237.16</v>
      </c>
      <c r="BO200" s="81">
        <f>IFERROR(X200/J200,"0")</f>
        <v>1</v>
      </c>
      <c r="BP200" s="81">
        <f>IFERROR(Y200/J200,"0")</f>
        <v>1</v>
      </c>
    </row>
    <row r="201" spans="1:68" ht="27" customHeight="1" x14ac:dyDescent="0.25">
      <c r="A201" s="63" t="s">
        <v>302</v>
      </c>
      <c r="B201" s="63" t="s">
        <v>303</v>
      </c>
      <c r="C201" s="36">
        <v>4301132170</v>
      </c>
      <c r="D201" s="356">
        <v>4607111038487</v>
      </c>
      <c r="E201" s="356"/>
      <c r="F201" s="62">
        <v>0.25</v>
      </c>
      <c r="G201" s="37">
        <v>12</v>
      </c>
      <c r="H201" s="62">
        <v>3</v>
      </c>
      <c r="I201" s="62">
        <v>3.7360000000000002</v>
      </c>
      <c r="J201" s="37">
        <v>70</v>
      </c>
      <c r="K201" s="37" t="s">
        <v>121</v>
      </c>
      <c r="L201" s="37" t="s">
        <v>122</v>
      </c>
      <c r="M201" s="38" t="s">
        <v>84</v>
      </c>
      <c r="N201" s="38"/>
      <c r="O201" s="37">
        <v>180</v>
      </c>
      <c r="P201" s="4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358"/>
      <c r="R201" s="358"/>
      <c r="S201" s="358"/>
      <c r="T201" s="359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304</v>
      </c>
      <c r="AG201" s="81"/>
      <c r="AJ201" s="87" t="s">
        <v>123</v>
      </c>
      <c r="AK201" s="87">
        <v>14</v>
      </c>
      <c r="BB201" s="230" t="s">
        <v>120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305</v>
      </c>
      <c r="B202" s="63" t="s">
        <v>306</v>
      </c>
      <c r="C202" s="36">
        <v>4301132243</v>
      </c>
      <c r="D202" s="356">
        <v>4620207491195</v>
      </c>
      <c r="E202" s="356"/>
      <c r="F202" s="62">
        <v>0.23</v>
      </c>
      <c r="G202" s="37">
        <v>12</v>
      </c>
      <c r="H202" s="62">
        <v>2.76</v>
      </c>
      <c r="I202" s="62">
        <v>3.1480000000000001</v>
      </c>
      <c r="J202" s="37">
        <v>70</v>
      </c>
      <c r="K202" s="37" t="s">
        <v>121</v>
      </c>
      <c r="L202" s="37" t="s">
        <v>86</v>
      </c>
      <c r="M202" s="38" t="s">
        <v>84</v>
      </c>
      <c r="N202" s="38"/>
      <c r="O202" s="37">
        <v>180</v>
      </c>
      <c r="P202" s="43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358"/>
      <c r="R202" s="358"/>
      <c r="S202" s="358"/>
      <c r="T202" s="359"/>
      <c r="U202" s="39" t="s">
        <v>46</v>
      </c>
      <c r="V202" s="39" t="s">
        <v>46</v>
      </c>
      <c r="W202" s="40" t="s">
        <v>39</v>
      </c>
      <c r="X202" s="58">
        <v>28</v>
      </c>
      <c r="Y202" s="55">
        <f>IFERROR(IF(X202="","",X202),"")</f>
        <v>28</v>
      </c>
      <c r="Z202" s="41">
        <f>IFERROR(IF(X202="","",X202*0.01788),"")</f>
        <v>0.50063999999999997</v>
      </c>
      <c r="AA202" s="68" t="s">
        <v>46</v>
      </c>
      <c r="AB202" s="69" t="s">
        <v>46</v>
      </c>
      <c r="AC202" s="231" t="s">
        <v>307</v>
      </c>
      <c r="AG202" s="81"/>
      <c r="AJ202" s="87" t="s">
        <v>87</v>
      </c>
      <c r="AK202" s="87">
        <v>1</v>
      </c>
      <c r="BB202" s="232" t="s">
        <v>120</v>
      </c>
      <c r="BM202" s="81">
        <f>IFERROR(X202*I202,"0")</f>
        <v>88.144000000000005</v>
      </c>
      <c r="BN202" s="81">
        <f>IFERROR(Y202*I202,"0")</f>
        <v>88.144000000000005</v>
      </c>
      <c r="BO202" s="81">
        <f>IFERROR(X202/J202,"0")</f>
        <v>0.4</v>
      </c>
      <c r="BP202" s="81">
        <f>IFERROR(Y202/J202,"0")</f>
        <v>0.4</v>
      </c>
    </row>
    <row r="203" spans="1:68" x14ac:dyDescent="0.2">
      <c r="A203" s="370"/>
      <c r="B203" s="370"/>
      <c r="C203" s="370"/>
      <c r="D203" s="370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1"/>
      <c r="P203" s="367" t="s">
        <v>40</v>
      </c>
      <c r="Q203" s="368"/>
      <c r="R203" s="368"/>
      <c r="S203" s="368"/>
      <c r="T203" s="368"/>
      <c r="U203" s="368"/>
      <c r="V203" s="369"/>
      <c r="W203" s="42" t="s">
        <v>39</v>
      </c>
      <c r="X203" s="43">
        <f>IFERROR(SUM(X199:X202),"0")</f>
        <v>168</v>
      </c>
      <c r="Y203" s="43">
        <f>IFERROR(SUM(Y199:Y202),"0")</f>
        <v>168</v>
      </c>
      <c r="Z203" s="43">
        <f>IFERROR(IF(Z199="",0,Z199),"0")+IFERROR(IF(Z200="",0,Z200),"0")+IFERROR(IF(Z201="",0,Z201),"0")+IFERROR(IF(Z202="",0,Z202),"0")</f>
        <v>3.0038400000000003</v>
      </c>
      <c r="AA203" s="67"/>
      <c r="AB203" s="67"/>
      <c r="AC203" s="67"/>
    </row>
    <row r="204" spans="1:68" x14ac:dyDescent="0.2">
      <c r="A204" s="370"/>
      <c r="B204" s="370"/>
      <c r="C204" s="370"/>
      <c r="D204" s="370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1"/>
      <c r="P204" s="367" t="s">
        <v>40</v>
      </c>
      <c r="Q204" s="368"/>
      <c r="R204" s="368"/>
      <c r="S204" s="368"/>
      <c r="T204" s="368"/>
      <c r="U204" s="368"/>
      <c r="V204" s="369"/>
      <c r="W204" s="42" t="s">
        <v>0</v>
      </c>
      <c r="X204" s="43">
        <f>IFERROR(SUMPRODUCT(X199:X202*H199:H202),"0")</f>
        <v>497.28</v>
      </c>
      <c r="Y204" s="43">
        <f>IFERROR(SUMPRODUCT(Y199:Y202*H199:H202),"0")</f>
        <v>497.28</v>
      </c>
      <c r="Z204" s="42"/>
      <c r="AA204" s="67"/>
      <c r="AB204" s="67"/>
      <c r="AC204" s="67"/>
    </row>
    <row r="205" spans="1:68" ht="27.75" customHeight="1" x14ac:dyDescent="0.2">
      <c r="A205" s="353" t="s">
        <v>308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  <c r="AA205" s="54"/>
      <c r="AB205" s="54"/>
      <c r="AC205" s="54"/>
    </row>
    <row r="206" spans="1:68" ht="16.5" customHeight="1" x14ac:dyDescent="0.25">
      <c r="A206" s="354" t="s">
        <v>309</v>
      </c>
      <c r="B206" s="354"/>
      <c r="C206" s="354"/>
      <c r="D206" s="354"/>
      <c r="E206" s="354"/>
      <c r="F206" s="354"/>
      <c r="G206" s="354"/>
      <c r="H206" s="354"/>
      <c r="I206" s="354"/>
      <c r="J206" s="354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  <c r="Z206" s="354"/>
      <c r="AA206" s="65"/>
      <c r="AB206" s="65"/>
      <c r="AC206" s="82"/>
    </row>
    <row r="207" spans="1:68" ht="14.25" customHeight="1" x14ac:dyDescent="0.25">
      <c r="A207" s="355" t="s">
        <v>116</v>
      </c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5"/>
      <c r="P207" s="355"/>
      <c r="Q207" s="355"/>
      <c r="R207" s="355"/>
      <c r="S207" s="355"/>
      <c r="T207" s="355"/>
      <c r="U207" s="355"/>
      <c r="V207" s="355"/>
      <c r="W207" s="355"/>
      <c r="X207" s="355"/>
      <c r="Y207" s="355"/>
      <c r="Z207" s="355"/>
      <c r="AA207" s="66"/>
      <c r="AB207" s="66"/>
      <c r="AC207" s="83"/>
    </row>
    <row r="208" spans="1:68" ht="27" customHeight="1" x14ac:dyDescent="0.25">
      <c r="A208" s="63" t="s">
        <v>310</v>
      </c>
      <c r="B208" s="63" t="s">
        <v>311</v>
      </c>
      <c r="C208" s="36">
        <v>4301132227</v>
      </c>
      <c r="D208" s="356">
        <v>4620207491133</v>
      </c>
      <c r="E208" s="356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121</v>
      </c>
      <c r="L208" s="37" t="s">
        <v>122</v>
      </c>
      <c r="M208" s="38" t="s">
        <v>84</v>
      </c>
      <c r="N208" s="38"/>
      <c r="O208" s="37">
        <v>180</v>
      </c>
      <c r="P208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58"/>
      <c r="R208" s="358"/>
      <c r="S208" s="358"/>
      <c r="T208" s="359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3" t="s">
        <v>312</v>
      </c>
      <c r="AG208" s="81"/>
      <c r="AJ208" s="87" t="s">
        <v>123</v>
      </c>
      <c r="AK208" s="87">
        <v>14</v>
      </c>
      <c r="BB208" s="234" t="s">
        <v>120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70"/>
      <c r="B209" s="370"/>
      <c r="C209" s="370"/>
      <c r="D209" s="370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1"/>
      <c r="P209" s="367" t="s">
        <v>40</v>
      </c>
      <c r="Q209" s="368"/>
      <c r="R209" s="368"/>
      <c r="S209" s="368"/>
      <c r="T209" s="368"/>
      <c r="U209" s="368"/>
      <c r="V209" s="369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x14ac:dyDescent="0.2">
      <c r="A210" s="370"/>
      <c r="B210" s="370"/>
      <c r="C210" s="370"/>
      <c r="D210" s="370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1"/>
      <c r="P210" s="367" t="s">
        <v>40</v>
      </c>
      <c r="Q210" s="368"/>
      <c r="R210" s="368"/>
      <c r="S210" s="368"/>
      <c r="T210" s="368"/>
      <c r="U210" s="368"/>
      <c r="V210" s="369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customHeight="1" x14ac:dyDescent="0.25">
      <c r="A211" s="355" t="s">
        <v>167</v>
      </c>
      <c r="B211" s="355"/>
      <c r="C211" s="355"/>
      <c r="D211" s="355"/>
      <c r="E211" s="355"/>
      <c r="F211" s="355"/>
      <c r="G211" s="355"/>
      <c r="H211" s="355"/>
      <c r="I211" s="355"/>
      <c r="J211" s="355"/>
      <c r="K211" s="355"/>
      <c r="L211" s="355"/>
      <c r="M211" s="355"/>
      <c r="N211" s="355"/>
      <c r="O211" s="355"/>
      <c r="P211" s="355"/>
      <c r="Q211" s="355"/>
      <c r="R211" s="355"/>
      <c r="S211" s="355"/>
      <c r="T211" s="355"/>
      <c r="U211" s="355"/>
      <c r="V211" s="355"/>
      <c r="W211" s="355"/>
      <c r="X211" s="355"/>
      <c r="Y211" s="355"/>
      <c r="Z211" s="355"/>
      <c r="AA211" s="66"/>
      <c r="AB211" s="66"/>
      <c r="AC211" s="83"/>
    </row>
    <row r="212" spans="1:68" ht="27" customHeight="1" x14ac:dyDescent="0.25">
      <c r="A212" s="63" t="s">
        <v>313</v>
      </c>
      <c r="B212" s="63" t="s">
        <v>314</v>
      </c>
      <c r="C212" s="36">
        <v>4301135834</v>
      </c>
      <c r="D212" s="356">
        <v>4620207491188</v>
      </c>
      <c r="E212" s="356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121</v>
      </c>
      <c r="L212" s="37" t="s">
        <v>86</v>
      </c>
      <c r="M212" s="38" t="s">
        <v>84</v>
      </c>
      <c r="N212" s="38"/>
      <c r="O212" s="37">
        <v>180</v>
      </c>
      <c r="P212" s="43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58"/>
      <c r="R212" s="358"/>
      <c r="S212" s="358"/>
      <c r="T212" s="359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315</v>
      </c>
      <c r="AG212" s="81"/>
      <c r="AJ212" s="87" t="s">
        <v>87</v>
      </c>
      <c r="AK212" s="87">
        <v>1</v>
      </c>
      <c r="BB212" s="236" t="s">
        <v>120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316</v>
      </c>
      <c r="B213" s="63" t="s">
        <v>317</v>
      </c>
      <c r="C213" s="36">
        <v>4301135697</v>
      </c>
      <c r="D213" s="356">
        <v>4620207490259</v>
      </c>
      <c r="E213" s="356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121</v>
      </c>
      <c r="L213" s="37" t="s">
        <v>122</v>
      </c>
      <c r="M213" s="38" t="s">
        <v>84</v>
      </c>
      <c r="N213" s="38"/>
      <c r="O213" s="37">
        <v>180</v>
      </c>
      <c r="P213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358"/>
      <c r="R213" s="358"/>
      <c r="S213" s="358"/>
      <c r="T213" s="359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318</v>
      </c>
      <c r="AG213" s="81"/>
      <c r="AJ213" s="87" t="s">
        <v>123</v>
      </c>
      <c r="AK213" s="87">
        <v>14</v>
      </c>
      <c r="BB213" s="238" t="s">
        <v>120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x14ac:dyDescent="0.2">
      <c r="A214" s="370"/>
      <c r="B214" s="370"/>
      <c r="C214" s="370"/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1"/>
      <c r="P214" s="367" t="s">
        <v>40</v>
      </c>
      <c r="Q214" s="368"/>
      <c r="R214" s="368"/>
      <c r="S214" s="368"/>
      <c r="T214" s="368"/>
      <c r="U214" s="368"/>
      <c r="V214" s="369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x14ac:dyDescent="0.2">
      <c r="A215" s="370"/>
      <c r="B215" s="370"/>
      <c r="C215" s="370"/>
      <c r="D215" s="370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1"/>
      <c r="P215" s="367" t="s">
        <v>40</v>
      </c>
      <c r="Q215" s="368"/>
      <c r="R215" s="368"/>
      <c r="S215" s="368"/>
      <c r="T215" s="368"/>
      <c r="U215" s="368"/>
      <c r="V215" s="369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16.5" customHeight="1" x14ac:dyDescent="0.25">
      <c r="A216" s="354" t="s">
        <v>319</v>
      </c>
      <c r="B216" s="354"/>
      <c r="C216" s="354"/>
      <c r="D216" s="354"/>
      <c r="E216" s="354"/>
      <c r="F216" s="354"/>
      <c r="G216" s="354"/>
      <c r="H216" s="354"/>
      <c r="I216" s="354"/>
      <c r="J216" s="354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  <c r="Z216" s="354"/>
      <c r="AA216" s="65"/>
      <c r="AB216" s="65"/>
      <c r="AC216" s="82"/>
    </row>
    <row r="217" spans="1:68" ht="14.25" customHeight="1" x14ac:dyDescent="0.25">
      <c r="A217" s="355" t="s">
        <v>167</v>
      </c>
      <c r="B217" s="355"/>
      <c r="C217" s="355"/>
      <c r="D217" s="355"/>
      <c r="E217" s="355"/>
      <c r="F217" s="355"/>
      <c r="G217" s="355"/>
      <c r="H217" s="355"/>
      <c r="I217" s="355"/>
      <c r="J217" s="355"/>
      <c r="K217" s="355"/>
      <c r="L217" s="355"/>
      <c r="M217" s="355"/>
      <c r="N217" s="355"/>
      <c r="O217" s="355"/>
      <c r="P217" s="355"/>
      <c r="Q217" s="355"/>
      <c r="R217" s="355"/>
      <c r="S217" s="355"/>
      <c r="T217" s="355"/>
      <c r="U217" s="355"/>
      <c r="V217" s="355"/>
      <c r="W217" s="355"/>
      <c r="X217" s="355"/>
      <c r="Y217" s="355"/>
      <c r="Z217" s="355"/>
      <c r="AA217" s="66"/>
      <c r="AB217" s="66"/>
      <c r="AC217" s="83"/>
    </row>
    <row r="218" spans="1:68" ht="27" customHeight="1" x14ac:dyDescent="0.25">
      <c r="A218" s="63" t="s">
        <v>320</v>
      </c>
      <c r="B218" s="63" t="s">
        <v>321</v>
      </c>
      <c r="C218" s="36">
        <v>4301135854</v>
      </c>
      <c r="D218" s="356">
        <v>4620207491706</v>
      </c>
      <c r="E218" s="356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121</v>
      </c>
      <c r="L218" s="37" t="s">
        <v>86</v>
      </c>
      <c r="M218" s="38" t="s">
        <v>84</v>
      </c>
      <c r="N218" s="38"/>
      <c r="O218" s="37">
        <v>180</v>
      </c>
      <c r="P218" s="43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358"/>
      <c r="R218" s="358"/>
      <c r="S218" s="358"/>
      <c r="T218" s="359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322</v>
      </c>
      <c r="AG218" s="81"/>
      <c r="AJ218" s="87" t="s">
        <v>87</v>
      </c>
      <c r="AK218" s="87">
        <v>1</v>
      </c>
      <c r="BB218" s="240" t="s">
        <v>120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323</v>
      </c>
      <c r="B219" s="63" t="s">
        <v>324</v>
      </c>
      <c r="C219" s="36">
        <v>4301135895</v>
      </c>
      <c r="D219" s="356">
        <v>4620207491522</v>
      </c>
      <c r="E219" s="356"/>
      <c r="F219" s="62">
        <v>0.28000000000000003</v>
      </c>
      <c r="G219" s="37">
        <v>12</v>
      </c>
      <c r="H219" s="62">
        <v>3.36</v>
      </c>
      <c r="I219" s="62">
        <v>4.0636000000000001</v>
      </c>
      <c r="J219" s="37">
        <v>70</v>
      </c>
      <c r="K219" s="37" t="s">
        <v>121</v>
      </c>
      <c r="L219" s="37" t="s">
        <v>86</v>
      </c>
      <c r="M219" s="38" t="s">
        <v>84</v>
      </c>
      <c r="N219" s="38"/>
      <c r="O219" s="37">
        <v>180</v>
      </c>
      <c r="P219" s="44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358"/>
      <c r="R219" s="358"/>
      <c r="S219" s="358"/>
      <c r="T219" s="359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325</v>
      </c>
      <c r="AG219" s="81"/>
      <c r="AJ219" s="87" t="s">
        <v>87</v>
      </c>
      <c r="AK219" s="87">
        <v>1</v>
      </c>
      <c r="BB219" s="242" t="s">
        <v>120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">
      <c r="A220" s="370"/>
      <c r="B220" s="370"/>
      <c r="C220" s="370"/>
      <c r="D220" s="370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1"/>
      <c r="P220" s="367" t="s">
        <v>40</v>
      </c>
      <c r="Q220" s="368"/>
      <c r="R220" s="368"/>
      <c r="S220" s="368"/>
      <c r="T220" s="368"/>
      <c r="U220" s="368"/>
      <c r="V220" s="369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1"/>
      <c r="P221" s="367" t="s">
        <v>40</v>
      </c>
      <c r="Q221" s="368"/>
      <c r="R221" s="368"/>
      <c r="S221" s="368"/>
      <c r="T221" s="368"/>
      <c r="U221" s="368"/>
      <c r="V221" s="369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16.5" customHeight="1" x14ac:dyDescent="0.25">
      <c r="A222" s="354" t="s">
        <v>326</v>
      </c>
      <c r="B222" s="354"/>
      <c r="C222" s="354"/>
      <c r="D222" s="354"/>
      <c r="E222" s="354"/>
      <c r="F222" s="354"/>
      <c r="G222" s="354"/>
      <c r="H222" s="354"/>
      <c r="I222" s="354"/>
      <c r="J222" s="354"/>
      <c r="K222" s="354"/>
      <c r="L222" s="354"/>
      <c r="M222" s="354"/>
      <c r="N222" s="354"/>
      <c r="O222" s="354"/>
      <c r="P222" s="354"/>
      <c r="Q222" s="354"/>
      <c r="R222" s="354"/>
      <c r="S222" s="354"/>
      <c r="T222" s="354"/>
      <c r="U222" s="354"/>
      <c r="V222" s="354"/>
      <c r="W222" s="354"/>
      <c r="X222" s="354"/>
      <c r="Y222" s="354"/>
      <c r="Z222" s="354"/>
      <c r="AA222" s="65"/>
      <c r="AB222" s="65"/>
      <c r="AC222" s="82"/>
    </row>
    <row r="223" spans="1:68" ht="14.25" customHeight="1" x14ac:dyDescent="0.25">
      <c r="A223" s="355" t="s">
        <v>80</v>
      </c>
      <c r="B223" s="355"/>
      <c r="C223" s="355"/>
      <c r="D223" s="355"/>
      <c r="E223" s="355"/>
      <c r="F223" s="355"/>
      <c r="G223" s="355"/>
      <c r="H223" s="355"/>
      <c r="I223" s="355"/>
      <c r="J223" s="355"/>
      <c r="K223" s="355"/>
      <c r="L223" s="355"/>
      <c r="M223" s="355"/>
      <c r="N223" s="355"/>
      <c r="O223" s="355"/>
      <c r="P223" s="355"/>
      <c r="Q223" s="355"/>
      <c r="R223" s="355"/>
      <c r="S223" s="355"/>
      <c r="T223" s="355"/>
      <c r="U223" s="355"/>
      <c r="V223" s="355"/>
      <c r="W223" s="355"/>
      <c r="X223" s="355"/>
      <c r="Y223" s="355"/>
      <c r="Z223" s="355"/>
      <c r="AA223" s="66"/>
      <c r="AB223" s="66"/>
      <c r="AC223" s="83"/>
    </row>
    <row r="224" spans="1:68" ht="27" customHeight="1" x14ac:dyDescent="0.25">
      <c r="A224" s="63" t="s">
        <v>327</v>
      </c>
      <c r="B224" s="63" t="s">
        <v>328</v>
      </c>
      <c r="C224" s="36">
        <v>4301071097</v>
      </c>
      <c r="D224" s="356">
        <v>4620207491096</v>
      </c>
      <c r="E224" s="356"/>
      <c r="F224" s="62">
        <v>1</v>
      </c>
      <c r="G224" s="37">
        <v>5</v>
      </c>
      <c r="H224" s="62">
        <v>5</v>
      </c>
      <c r="I224" s="62">
        <v>5.23</v>
      </c>
      <c r="J224" s="37">
        <v>84</v>
      </c>
      <c r="K224" s="37" t="s">
        <v>85</v>
      </c>
      <c r="L224" s="37" t="s">
        <v>122</v>
      </c>
      <c r="M224" s="38" t="s">
        <v>84</v>
      </c>
      <c r="N224" s="38"/>
      <c r="O224" s="37">
        <v>180</v>
      </c>
      <c r="P224" s="4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358"/>
      <c r="R224" s="358"/>
      <c r="S224" s="358"/>
      <c r="T224" s="359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43" t="s">
        <v>329</v>
      </c>
      <c r="AG224" s="81"/>
      <c r="AJ224" s="87" t="s">
        <v>123</v>
      </c>
      <c r="AK224" s="87">
        <v>12</v>
      </c>
      <c r="BB224" s="244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370"/>
      <c r="B225" s="370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1"/>
      <c r="P225" s="367" t="s">
        <v>40</v>
      </c>
      <c r="Q225" s="368"/>
      <c r="R225" s="368"/>
      <c r="S225" s="368"/>
      <c r="T225" s="368"/>
      <c r="U225" s="368"/>
      <c r="V225" s="369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370"/>
      <c r="B226" s="370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1"/>
      <c r="P226" s="367" t="s">
        <v>40</v>
      </c>
      <c r="Q226" s="368"/>
      <c r="R226" s="368"/>
      <c r="S226" s="368"/>
      <c r="T226" s="368"/>
      <c r="U226" s="368"/>
      <c r="V226" s="369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53" t="s">
        <v>330</v>
      </c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3"/>
      <c r="M227" s="353"/>
      <c r="N227" s="353"/>
      <c r="O227" s="353"/>
      <c r="P227" s="353"/>
      <c r="Q227" s="353"/>
      <c r="R227" s="353"/>
      <c r="S227" s="353"/>
      <c r="T227" s="353"/>
      <c r="U227" s="353"/>
      <c r="V227" s="353"/>
      <c r="W227" s="353"/>
      <c r="X227" s="353"/>
      <c r="Y227" s="353"/>
      <c r="Z227" s="353"/>
      <c r="AA227" s="54"/>
      <c r="AB227" s="54"/>
      <c r="AC227" s="54"/>
    </row>
    <row r="228" spans="1:68" ht="16.5" customHeight="1" x14ac:dyDescent="0.25">
      <c r="A228" s="354" t="s">
        <v>331</v>
      </c>
      <c r="B228" s="354"/>
      <c r="C228" s="354"/>
      <c r="D228" s="354"/>
      <c r="E228" s="354"/>
      <c r="F228" s="354"/>
      <c r="G228" s="354"/>
      <c r="H228" s="354"/>
      <c r="I228" s="354"/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  <c r="AA228" s="65"/>
      <c r="AB228" s="65"/>
      <c r="AC228" s="82"/>
    </row>
    <row r="229" spans="1:68" ht="14.25" customHeight="1" x14ac:dyDescent="0.25">
      <c r="A229" s="355" t="s">
        <v>80</v>
      </c>
      <c r="B229" s="355"/>
      <c r="C229" s="355"/>
      <c r="D229" s="355"/>
      <c r="E229" s="355"/>
      <c r="F229" s="355"/>
      <c r="G229" s="355"/>
      <c r="H229" s="355"/>
      <c r="I229" s="355"/>
      <c r="J229" s="355"/>
      <c r="K229" s="355"/>
      <c r="L229" s="355"/>
      <c r="M229" s="355"/>
      <c r="N229" s="355"/>
      <c r="O229" s="355"/>
      <c r="P229" s="355"/>
      <c r="Q229" s="355"/>
      <c r="R229" s="355"/>
      <c r="S229" s="355"/>
      <c r="T229" s="355"/>
      <c r="U229" s="355"/>
      <c r="V229" s="355"/>
      <c r="W229" s="355"/>
      <c r="X229" s="355"/>
      <c r="Y229" s="355"/>
      <c r="Z229" s="355"/>
      <c r="AA229" s="66"/>
      <c r="AB229" s="66"/>
      <c r="AC229" s="83"/>
    </row>
    <row r="230" spans="1:68" ht="27" customHeight="1" x14ac:dyDescent="0.25">
      <c r="A230" s="63" t="s">
        <v>332</v>
      </c>
      <c r="B230" s="63" t="s">
        <v>333</v>
      </c>
      <c r="C230" s="36">
        <v>4301071036</v>
      </c>
      <c r="D230" s="356">
        <v>4607111036162</v>
      </c>
      <c r="E230" s="356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85</v>
      </c>
      <c r="L230" s="37" t="s">
        <v>86</v>
      </c>
      <c r="M230" s="38" t="s">
        <v>84</v>
      </c>
      <c r="N230" s="38"/>
      <c r="O230" s="37">
        <v>90</v>
      </c>
      <c r="P230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58"/>
      <c r="R230" s="358"/>
      <c r="S230" s="358"/>
      <c r="T230" s="359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5" t="s">
        <v>334</v>
      </c>
      <c r="AG230" s="81"/>
      <c r="AJ230" s="87" t="s">
        <v>87</v>
      </c>
      <c r="AK230" s="87">
        <v>1</v>
      </c>
      <c r="BB230" s="246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370"/>
      <c r="B231" s="370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1"/>
      <c r="P231" s="367" t="s">
        <v>40</v>
      </c>
      <c r="Q231" s="368"/>
      <c r="R231" s="368"/>
      <c r="S231" s="368"/>
      <c r="T231" s="368"/>
      <c r="U231" s="368"/>
      <c r="V231" s="369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370"/>
      <c r="B232" s="370"/>
      <c r="C232" s="370"/>
      <c r="D232" s="370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1"/>
      <c r="P232" s="367" t="s">
        <v>40</v>
      </c>
      <c r="Q232" s="368"/>
      <c r="R232" s="368"/>
      <c r="S232" s="368"/>
      <c r="T232" s="368"/>
      <c r="U232" s="368"/>
      <c r="V232" s="369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customHeight="1" x14ac:dyDescent="0.2">
      <c r="A233" s="353" t="s">
        <v>335</v>
      </c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  <c r="AA233" s="54"/>
      <c r="AB233" s="54"/>
      <c r="AC233" s="54"/>
    </row>
    <row r="234" spans="1:68" ht="16.5" customHeight="1" x14ac:dyDescent="0.25">
      <c r="A234" s="354" t="s">
        <v>336</v>
      </c>
      <c r="B234" s="354"/>
      <c r="C234" s="354"/>
      <c r="D234" s="354"/>
      <c r="E234" s="354"/>
      <c r="F234" s="354"/>
      <c r="G234" s="354"/>
      <c r="H234" s="354"/>
      <c r="I234" s="354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  <c r="AA234" s="65"/>
      <c r="AB234" s="65"/>
      <c r="AC234" s="82"/>
    </row>
    <row r="235" spans="1:68" ht="14.25" customHeight="1" x14ac:dyDescent="0.25">
      <c r="A235" s="355" t="s">
        <v>337</v>
      </c>
      <c r="B235" s="355"/>
      <c r="C235" s="355"/>
      <c r="D235" s="355"/>
      <c r="E235" s="355"/>
      <c r="F235" s="355"/>
      <c r="G235" s="355"/>
      <c r="H235" s="355"/>
      <c r="I235" s="355"/>
      <c r="J235" s="355"/>
      <c r="K235" s="355"/>
      <c r="L235" s="355"/>
      <c r="M235" s="355"/>
      <c r="N235" s="355"/>
      <c r="O235" s="355"/>
      <c r="P235" s="355"/>
      <c r="Q235" s="355"/>
      <c r="R235" s="355"/>
      <c r="S235" s="355"/>
      <c r="T235" s="355"/>
      <c r="U235" s="355"/>
      <c r="V235" s="355"/>
      <c r="W235" s="355"/>
      <c r="X235" s="355"/>
      <c r="Y235" s="355"/>
      <c r="Z235" s="355"/>
      <c r="AA235" s="66"/>
      <c r="AB235" s="66"/>
      <c r="AC235" s="83"/>
    </row>
    <row r="236" spans="1:68" ht="27" customHeight="1" x14ac:dyDescent="0.25">
      <c r="A236" s="63" t="s">
        <v>338</v>
      </c>
      <c r="B236" s="63" t="s">
        <v>339</v>
      </c>
      <c r="C236" s="36">
        <v>4301133004</v>
      </c>
      <c r="D236" s="356">
        <v>4607111039774</v>
      </c>
      <c r="E236" s="356"/>
      <c r="F236" s="62">
        <v>0.25</v>
      </c>
      <c r="G236" s="37">
        <v>12</v>
      </c>
      <c r="H236" s="62">
        <v>3</v>
      </c>
      <c r="I236" s="62">
        <v>3.22</v>
      </c>
      <c r="J236" s="37">
        <v>70</v>
      </c>
      <c r="K236" s="37" t="s">
        <v>121</v>
      </c>
      <c r="L236" s="37" t="s">
        <v>86</v>
      </c>
      <c r="M236" s="38" t="s">
        <v>84</v>
      </c>
      <c r="N236" s="38"/>
      <c r="O236" s="37">
        <v>180</v>
      </c>
      <c r="P236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358"/>
      <c r="R236" s="358"/>
      <c r="S236" s="358"/>
      <c r="T236" s="359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340</v>
      </c>
      <c r="AG236" s="81"/>
      <c r="AJ236" s="87" t="s">
        <v>87</v>
      </c>
      <c r="AK236" s="87">
        <v>1</v>
      </c>
      <c r="BB236" s="248" t="s">
        <v>120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1"/>
      <c r="P237" s="367" t="s">
        <v>40</v>
      </c>
      <c r="Q237" s="368"/>
      <c r="R237" s="368"/>
      <c r="S237" s="368"/>
      <c r="T237" s="368"/>
      <c r="U237" s="368"/>
      <c r="V237" s="36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14.25" customHeight="1" x14ac:dyDescent="0.25">
      <c r="A239" s="355" t="s">
        <v>167</v>
      </c>
      <c r="B239" s="355"/>
      <c r="C239" s="355"/>
      <c r="D239" s="355"/>
      <c r="E239" s="355"/>
      <c r="F239" s="355"/>
      <c r="G239" s="355"/>
      <c r="H239" s="355"/>
      <c r="I239" s="355"/>
      <c r="J239" s="355"/>
      <c r="K239" s="355"/>
      <c r="L239" s="355"/>
      <c r="M239" s="355"/>
      <c r="N239" s="355"/>
      <c r="O239" s="355"/>
      <c r="P239" s="355"/>
      <c r="Q239" s="355"/>
      <c r="R239" s="355"/>
      <c r="S239" s="355"/>
      <c r="T239" s="355"/>
      <c r="U239" s="355"/>
      <c r="V239" s="355"/>
      <c r="W239" s="355"/>
      <c r="X239" s="355"/>
      <c r="Y239" s="355"/>
      <c r="Z239" s="355"/>
      <c r="AA239" s="66"/>
      <c r="AB239" s="66"/>
      <c r="AC239" s="83"/>
    </row>
    <row r="240" spans="1:68" ht="37.5" customHeight="1" x14ac:dyDescent="0.25">
      <c r="A240" s="63" t="s">
        <v>341</v>
      </c>
      <c r="B240" s="63" t="s">
        <v>342</v>
      </c>
      <c r="C240" s="36">
        <v>4301135400</v>
      </c>
      <c r="D240" s="356">
        <v>4607111039361</v>
      </c>
      <c r="E240" s="356"/>
      <c r="F240" s="62">
        <v>0.25</v>
      </c>
      <c r="G240" s="37">
        <v>12</v>
      </c>
      <c r="H240" s="62">
        <v>3</v>
      </c>
      <c r="I240" s="62">
        <v>3.7035999999999998</v>
      </c>
      <c r="J240" s="37">
        <v>70</v>
      </c>
      <c r="K240" s="37" t="s">
        <v>121</v>
      </c>
      <c r="L240" s="37" t="s">
        <v>86</v>
      </c>
      <c r="M240" s="38" t="s">
        <v>84</v>
      </c>
      <c r="N240" s="38"/>
      <c r="O240" s="37">
        <v>180</v>
      </c>
      <c r="P240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358"/>
      <c r="R240" s="358"/>
      <c r="S240" s="358"/>
      <c r="T240" s="359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9" t="s">
        <v>340</v>
      </c>
      <c r="AG240" s="81"/>
      <c r="AJ240" s="87" t="s">
        <v>87</v>
      </c>
      <c r="AK240" s="87">
        <v>1</v>
      </c>
      <c r="BB240" s="250" t="s">
        <v>120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70"/>
      <c r="B241" s="370"/>
      <c r="C241" s="370"/>
      <c r="D241" s="370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1"/>
      <c r="P241" s="367" t="s">
        <v>40</v>
      </c>
      <c r="Q241" s="368"/>
      <c r="R241" s="368"/>
      <c r="S241" s="368"/>
      <c r="T241" s="368"/>
      <c r="U241" s="368"/>
      <c r="V241" s="369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370"/>
      <c r="B242" s="370"/>
      <c r="C242" s="370"/>
      <c r="D242" s="370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1"/>
      <c r="P242" s="367" t="s">
        <v>40</v>
      </c>
      <c r="Q242" s="368"/>
      <c r="R242" s="368"/>
      <c r="S242" s="368"/>
      <c r="T242" s="368"/>
      <c r="U242" s="368"/>
      <c r="V242" s="369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27.75" customHeight="1" x14ac:dyDescent="0.2">
      <c r="A243" s="353" t="s">
        <v>343</v>
      </c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  <c r="AA243" s="54"/>
      <c r="AB243" s="54"/>
      <c r="AC243" s="54"/>
    </row>
    <row r="244" spans="1:68" ht="16.5" customHeight="1" x14ac:dyDescent="0.25">
      <c r="A244" s="354" t="s">
        <v>343</v>
      </c>
      <c r="B244" s="354"/>
      <c r="C244" s="354"/>
      <c r="D244" s="354"/>
      <c r="E244" s="354"/>
      <c r="F244" s="354"/>
      <c r="G244" s="354"/>
      <c r="H244" s="354"/>
      <c r="I244" s="354"/>
      <c r="J244" s="354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  <c r="Z244" s="354"/>
      <c r="AA244" s="65"/>
      <c r="AB244" s="65"/>
      <c r="AC244" s="82"/>
    </row>
    <row r="245" spans="1:68" ht="14.25" customHeight="1" x14ac:dyDescent="0.25">
      <c r="A245" s="355" t="s">
        <v>116</v>
      </c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  <c r="L245" s="355"/>
      <c r="M245" s="355"/>
      <c r="N245" s="355"/>
      <c r="O245" s="355"/>
      <c r="P245" s="355"/>
      <c r="Q245" s="355"/>
      <c r="R245" s="355"/>
      <c r="S245" s="355"/>
      <c r="T245" s="355"/>
      <c r="U245" s="355"/>
      <c r="V245" s="355"/>
      <c r="W245" s="355"/>
      <c r="X245" s="355"/>
      <c r="Y245" s="355"/>
      <c r="Z245" s="355"/>
      <c r="AA245" s="66"/>
      <c r="AB245" s="66"/>
      <c r="AC245" s="83"/>
    </row>
    <row r="246" spans="1:68" ht="27" customHeight="1" x14ac:dyDescent="0.25">
      <c r="A246" s="63" t="s">
        <v>344</v>
      </c>
      <c r="B246" s="63" t="s">
        <v>345</v>
      </c>
      <c r="C246" s="36">
        <v>4301132228</v>
      </c>
      <c r="D246" s="356">
        <v>4640242181950</v>
      </c>
      <c r="E246" s="356"/>
      <c r="F246" s="62">
        <v>0.23</v>
      </c>
      <c r="G246" s="37">
        <v>12</v>
      </c>
      <c r="H246" s="62">
        <v>2.76</v>
      </c>
      <c r="I246" s="62">
        <v>3.22</v>
      </c>
      <c r="J246" s="37">
        <v>70</v>
      </c>
      <c r="K246" s="37" t="s">
        <v>121</v>
      </c>
      <c r="L246" s="37" t="s">
        <v>86</v>
      </c>
      <c r="M246" s="38" t="s">
        <v>84</v>
      </c>
      <c r="N246" s="38"/>
      <c r="O246" s="37">
        <v>365</v>
      </c>
      <c r="P246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358"/>
      <c r="R246" s="358"/>
      <c r="S246" s="358"/>
      <c r="T246" s="359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1" t="s">
        <v>346</v>
      </c>
      <c r="AG246" s="81"/>
      <c r="AJ246" s="87" t="s">
        <v>87</v>
      </c>
      <c r="AK246" s="87">
        <v>1</v>
      </c>
      <c r="BB246" s="252" t="s">
        <v>120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1"/>
      <c r="P247" s="367" t="s">
        <v>40</v>
      </c>
      <c r="Q247" s="368"/>
      <c r="R247" s="368"/>
      <c r="S247" s="368"/>
      <c r="T247" s="368"/>
      <c r="U247" s="368"/>
      <c r="V247" s="369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1"/>
      <c r="P248" s="367" t="s">
        <v>40</v>
      </c>
      <c r="Q248" s="368"/>
      <c r="R248" s="368"/>
      <c r="S248" s="368"/>
      <c r="T248" s="368"/>
      <c r="U248" s="368"/>
      <c r="V248" s="369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14.25" customHeight="1" x14ac:dyDescent="0.25">
      <c r="A249" s="355" t="s">
        <v>195</v>
      </c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5"/>
      <c r="P249" s="355"/>
      <c r="Q249" s="355"/>
      <c r="R249" s="355"/>
      <c r="S249" s="355"/>
      <c r="T249" s="355"/>
      <c r="U249" s="355"/>
      <c r="V249" s="355"/>
      <c r="W249" s="355"/>
      <c r="X249" s="355"/>
      <c r="Y249" s="355"/>
      <c r="Z249" s="355"/>
      <c r="AA249" s="66"/>
      <c r="AB249" s="66"/>
      <c r="AC249" s="83"/>
    </row>
    <row r="250" spans="1:68" ht="27" customHeight="1" x14ac:dyDescent="0.25">
      <c r="A250" s="63" t="s">
        <v>347</v>
      </c>
      <c r="B250" s="63" t="s">
        <v>348</v>
      </c>
      <c r="C250" s="36">
        <v>4301136098</v>
      </c>
      <c r="D250" s="356">
        <v>4640242181943</v>
      </c>
      <c r="E250" s="356"/>
      <c r="F250" s="62">
        <v>0.09</v>
      </c>
      <c r="G250" s="37">
        <v>24</v>
      </c>
      <c r="H250" s="62">
        <v>2.16</v>
      </c>
      <c r="I250" s="62">
        <v>2.34</v>
      </c>
      <c r="J250" s="37">
        <v>126</v>
      </c>
      <c r="K250" s="37" t="s">
        <v>121</v>
      </c>
      <c r="L250" s="37" t="s">
        <v>86</v>
      </c>
      <c r="M250" s="38" t="s">
        <v>84</v>
      </c>
      <c r="N250" s="38"/>
      <c r="O250" s="37">
        <v>180</v>
      </c>
      <c r="P250" s="44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358"/>
      <c r="R250" s="358"/>
      <c r="S250" s="358"/>
      <c r="T250" s="35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349</v>
      </c>
      <c r="AG250" s="81"/>
      <c r="AJ250" s="87" t="s">
        <v>87</v>
      </c>
      <c r="AK250" s="87">
        <v>1</v>
      </c>
      <c r="BB250" s="254" t="s">
        <v>120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70"/>
      <c r="B251" s="370"/>
      <c r="C251" s="370"/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1"/>
      <c r="P251" s="367" t="s">
        <v>40</v>
      </c>
      <c r="Q251" s="368"/>
      <c r="R251" s="368"/>
      <c r="S251" s="368"/>
      <c r="T251" s="368"/>
      <c r="U251" s="368"/>
      <c r="V251" s="369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370"/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1"/>
      <c r="P252" s="367" t="s">
        <v>40</v>
      </c>
      <c r="Q252" s="368"/>
      <c r="R252" s="368"/>
      <c r="S252" s="368"/>
      <c r="T252" s="368"/>
      <c r="U252" s="368"/>
      <c r="V252" s="369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customHeight="1" x14ac:dyDescent="0.2">
      <c r="A253" s="353" t="s">
        <v>277</v>
      </c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  <c r="AA253" s="54"/>
      <c r="AB253" s="54"/>
      <c r="AC253" s="54"/>
    </row>
    <row r="254" spans="1:68" ht="16.5" customHeight="1" x14ac:dyDescent="0.25">
      <c r="A254" s="354" t="s">
        <v>277</v>
      </c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  <c r="AA254" s="65"/>
      <c r="AB254" s="65"/>
      <c r="AC254" s="82"/>
    </row>
    <row r="255" spans="1:68" ht="14.25" customHeight="1" x14ac:dyDescent="0.25">
      <c r="A255" s="355" t="s">
        <v>80</v>
      </c>
      <c r="B255" s="355"/>
      <c r="C255" s="355"/>
      <c r="D255" s="355"/>
      <c r="E255" s="355"/>
      <c r="F255" s="355"/>
      <c r="G255" s="355"/>
      <c r="H255" s="355"/>
      <c r="I255" s="355"/>
      <c r="J255" s="355"/>
      <c r="K255" s="355"/>
      <c r="L255" s="355"/>
      <c r="M255" s="355"/>
      <c r="N255" s="355"/>
      <c r="O255" s="355"/>
      <c r="P255" s="355"/>
      <c r="Q255" s="355"/>
      <c r="R255" s="355"/>
      <c r="S255" s="355"/>
      <c r="T255" s="355"/>
      <c r="U255" s="355"/>
      <c r="V255" s="355"/>
      <c r="W255" s="355"/>
      <c r="X255" s="355"/>
      <c r="Y255" s="355"/>
      <c r="Z255" s="355"/>
      <c r="AA255" s="66"/>
      <c r="AB255" s="66"/>
      <c r="AC255" s="83"/>
    </row>
    <row r="256" spans="1:68" ht="27" customHeight="1" x14ac:dyDescent="0.25">
      <c r="A256" s="63" t="s">
        <v>350</v>
      </c>
      <c r="B256" s="63" t="s">
        <v>351</v>
      </c>
      <c r="C256" s="36">
        <v>4301071014</v>
      </c>
      <c r="D256" s="356">
        <v>4640242181264</v>
      </c>
      <c r="E256" s="356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85</v>
      </c>
      <c r="L256" s="37" t="s">
        <v>86</v>
      </c>
      <c r="M256" s="38" t="s">
        <v>84</v>
      </c>
      <c r="N256" s="38"/>
      <c r="O256" s="37">
        <v>180</v>
      </c>
      <c r="P256" s="4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58"/>
      <c r="R256" s="358"/>
      <c r="S256" s="358"/>
      <c r="T256" s="359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5" t="s">
        <v>352</v>
      </c>
      <c r="AG256" s="81"/>
      <c r="AJ256" s="87" t="s">
        <v>87</v>
      </c>
      <c r="AK256" s="87">
        <v>1</v>
      </c>
      <c r="BB256" s="256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353</v>
      </c>
      <c r="B257" s="63" t="s">
        <v>354</v>
      </c>
      <c r="C257" s="36">
        <v>4301071141</v>
      </c>
      <c r="D257" s="356">
        <v>4620207491980</v>
      </c>
      <c r="E257" s="356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85</v>
      </c>
      <c r="L257" s="37" t="s">
        <v>86</v>
      </c>
      <c r="M257" s="38" t="s">
        <v>84</v>
      </c>
      <c r="N257" s="38"/>
      <c r="O257" s="37">
        <v>180</v>
      </c>
      <c r="P257" s="448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358"/>
      <c r="R257" s="358"/>
      <c r="S257" s="358"/>
      <c r="T257" s="359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355</v>
      </c>
      <c r="AG257" s="81"/>
      <c r="AJ257" s="87" t="s">
        <v>87</v>
      </c>
      <c r="AK257" s="87">
        <v>1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1"/>
      <c r="P258" s="367" t="s">
        <v>40</v>
      </c>
      <c r="Q258" s="368"/>
      <c r="R258" s="368"/>
      <c r="S258" s="368"/>
      <c r="T258" s="368"/>
      <c r="U258" s="368"/>
      <c r="V258" s="369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1"/>
      <c r="P259" s="367" t="s">
        <v>40</v>
      </c>
      <c r="Q259" s="368"/>
      <c r="R259" s="368"/>
      <c r="S259" s="368"/>
      <c r="T259" s="368"/>
      <c r="U259" s="368"/>
      <c r="V259" s="369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customHeight="1" x14ac:dyDescent="0.25">
      <c r="A260" s="355" t="s">
        <v>195</v>
      </c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66"/>
      <c r="AB260" s="66"/>
      <c r="AC260" s="83"/>
    </row>
    <row r="261" spans="1:68" ht="27" customHeight="1" x14ac:dyDescent="0.25">
      <c r="A261" s="63" t="s">
        <v>356</v>
      </c>
      <c r="B261" s="63" t="s">
        <v>357</v>
      </c>
      <c r="C261" s="36">
        <v>4301136116</v>
      </c>
      <c r="D261" s="356">
        <v>4620207492147</v>
      </c>
      <c r="E261" s="356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121</v>
      </c>
      <c r="L261" s="37" t="s">
        <v>86</v>
      </c>
      <c r="M261" s="38" t="s">
        <v>84</v>
      </c>
      <c r="N261" s="38"/>
      <c r="O261" s="37">
        <v>180</v>
      </c>
      <c r="P261" s="449" t="s">
        <v>358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198</v>
      </c>
      <c r="AG261" s="81"/>
      <c r="AJ261" s="87" t="s">
        <v>87</v>
      </c>
      <c r="AK261" s="87">
        <v>1</v>
      </c>
      <c r="BB261" s="260" t="s">
        <v>120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customHeight="1" x14ac:dyDescent="0.25">
      <c r="A262" s="63" t="s">
        <v>359</v>
      </c>
      <c r="B262" s="63" t="s">
        <v>360</v>
      </c>
      <c r="C262" s="36">
        <v>4301136112</v>
      </c>
      <c r="D262" s="356">
        <v>4620207492154</v>
      </c>
      <c r="E262" s="356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86</v>
      </c>
      <c r="M262" s="38" t="s">
        <v>84</v>
      </c>
      <c r="N262" s="38"/>
      <c r="O262" s="37">
        <v>180</v>
      </c>
      <c r="P262" s="450" t="s">
        <v>361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198</v>
      </c>
      <c r="AG262" s="81"/>
      <c r="AJ262" s="87" t="s">
        <v>87</v>
      </c>
      <c r="AK262" s="87">
        <v>1</v>
      </c>
      <c r="BB262" s="262" t="s">
        <v>120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362</v>
      </c>
      <c r="B263" s="63" t="s">
        <v>363</v>
      </c>
      <c r="C263" s="36">
        <v>4301136114</v>
      </c>
      <c r="D263" s="356">
        <v>4620207492086</v>
      </c>
      <c r="E263" s="356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121</v>
      </c>
      <c r="L263" s="37" t="s">
        <v>86</v>
      </c>
      <c r="M263" s="38" t="s">
        <v>84</v>
      </c>
      <c r="N263" s="38"/>
      <c r="O263" s="37">
        <v>180</v>
      </c>
      <c r="P263" s="451" t="s">
        <v>364</v>
      </c>
      <c r="Q263" s="358"/>
      <c r="R263" s="358"/>
      <c r="S263" s="358"/>
      <c r="T263" s="35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198</v>
      </c>
      <c r="AG263" s="81"/>
      <c r="AJ263" s="87" t="s">
        <v>87</v>
      </c>
      <c r="AK263" s="87">
        <v>1</v>
      </c>
      <c r="BB263" s="264" t="s">
        <v>120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x14ac:dyDescent="0.2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1"/>
      <c r="P264" s="367" t="s">
        <v>40</v>
      </c>
      <c r="Q264" s="368"/>
      <c r="R264" s="368"/>
      <c r="S264" s="368"/>
      <c r="T264" s="368"/>
      <c r="U264" s="368"/>
      <c r="V264" s="369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1"/>
      <c r="P265" s="367" t="s">
        <v>40</v>
      </c>
      <c r="Q265" s="368"/>
      <c r="R265" s="368"/>
      <c r="S265" s="368"/>
      <c r="T265" s="368"/>
      <c r="U265" s="368"/>
      <c r="V265" s="369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customHeight="1" x14ac:dyDescent="0.25">
      <c r="A266" s="355" t="s">
        <v>167</v>
      </c>
      <c r="B266" s="355"/>
      <c r="C266" s="355"/>
      <c r="D266" s="355"/>
      <c r="E266" s="355"/>
      <c r="F266" s="355"/>
      <c r="G266" s="355"/>
      <c r="H266" s="355"/>
      <c r="I266" s="355"/>
      <c r="J266" s="355"/>
      <c r="K266" s="355"/>
      <c r="L266" s="355"/>
      <c r="M266" s="355"/>
      <c r="N266" s="355"/>
      <c r="O266" s="355"/>
      <c r="P266" s="355"/>
      <c r="Q266" s="355"/>
      <c r="R266" s="355"/>
      <c r="S266" s="355"/>
      <c r="T266" s="355"/>
      <c r="U266" s="355"/>
      <c r="V266" s="355"/>
      <c r="W266" s="355"/>
      <c r="X266" s="355"/>
      <c r="Y266" s="355"/>
      <c r="Z266" s="355"/>
      <c r="AA266" s="66"/>
      <c r="AB266" s="66"/>
      <c r="AC266" s="83"/>
    </row>
    <row r="267" spans="1:68" ht="16.5" customHeight="1" x14ac:dyDescent="0.25">
      <c r="A267" s="63" t="s">
        <v>365</v>
      </c>
      <c r="B267" s="63" t="s">
        <v>366</v>
      </c>
      <c r="C267" s="36">
        <v>4301137066</v>
      </c>
      <c r="D267" s="356">
        <v>4620207492109</v>
      </c>
      <c r="E267" s="356"/>
      <c r="F267" s="62">
        <v>5.5</v>
      </c>
      <c r="G267" s="37">
        <v>1</v>
      </c>
      <c r="H267" s="62">
        <v>5.5</v>
      </c>
      <c r="I267" s="62">
        <v>5.7350000000000003</v>
      </c>
      <c r="J267" s="37">
        <v>84</v>
      </c>
      <c r="K267" s="37" t="s">
        <v>85</v>
      </c>
      <c r="L267" s="37" t="s">
        <v>86</v>
      </c>
      <c r="M267" s="38" t="s">
        <v>84</v>
      </c>
      <c r="N267" s="38"/>
      <c r="O267" s="37">
        <v>180</v>
      </c>
      <c r="P267" s="452" t="s">
        <v>367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65" t="s">
        <v>368</v>
      </c>
      <c r="AG267" s="81"/>
      <c r="AJ267" s="87" t="s">
        <v>87</v>
      </c>
      <c r="AK267" s="87">
        <v>1</v>
      </c>
      <c r="BB267" s="266" t="s">
        <v>120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37.5" customHeight="1" x14ac:dyDescent="0.25">
      <c r="A268" s="63" t="s">
        <v>369</v>
      </c>
      <c r="B268" s="63" t="s">
        <v>370</v>
      </c>
      <c r="C268" s="36">
        <v>4301137068</v>
      </c>
      <c r="D268" s="356">
        <v>4620207492161</v>
      </c>
      <c r="E268" s="356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121</v>
      </c>
      <c r="L268" s="37" t="s">
        <v>86</v>
      </c>
      <c r="M268" s="38" t="s">
        <v>84</v>
      </c>
      <c r="N268" s="38"/>
      <c r="O268" s="37">
        <v>180</v>
      </c>
      <c r="P268" s="453" t="s">
        <v>371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372</v>
      </c>
      <c r="AG268" s="81"/>
      <c r="AJ268" s="87" t="s">
        <v>87</v>
      </c>
      <c r="AK268" s="87">
        <v>1</v>
      </c>
      <c r="BB268" s="268" t="s">
        <v>120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373</v>
      </c>
      <c r="B269" s="63" t="s">
        <v>374</v>
      </c>
      <c r="C269" s="36">
        <v>4301137046</v>
      </c>
      <c r="D269" s="356">
        <v>4620207492093</v>
      </c>
      <c r="E269" s="35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121</v>
      </c>
      <c r="L269" s="37" t="s">
        <v>86</v>
      </c>
      <c r="M269" s="38" t="s">
        <v>84</v>
      </c>
      <c r="N269" s="38"/>
      <c r="O269" s="37">
        <v>180</v>
      </c>
      <c r="P269" s="454" t="s">
        <v>375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376</v>
      </c>
      <c r="AG269" s="81"/>
      <c r="AJ269" s="87" t="s">
        <v>87</v>
      </c>
      <c r="AK269" s="87">
        <v>1</v>
      </c>
      <c r="BB269" s="270" t="s">
        <v>120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377</v>
      </c>
      <c r="B270" s="63" t="s">
        <v>378</v>
      </c>
      <c r="C270" s="36">
        <v>4301137072</v>
      </c>
      <c r="D270" s="356">
        <v>4620207492222</v>
      </c>
      <c r="E270" s="356"/>
      <c r="F270" s="62">
        <v>5</v>
      </c>
      <c r="G270" s="37">
        <v>1</v>
      </c>
      <c r="H270" s="62">
        <v>5</v>
      </c>
      <c r="I270" s="62">
        <v>5.23</v>
      </c>
      <c r="J270" s="37">
        <v>84</v>
      </c>
      <c r="K270" s="37" t="s">
        <v>85</v>
      </c>
      <c r="L270" s="37" t="s">
        <v>86</v>
      </c>
      <c r="M270" s="38" t="s">
        <v>84</v>
      </c>
      <c r="N270" s="38"/>
      <c r="O270" s="37">
        <v>180</v>
      </c>
      <c r="P270" s="455" t="s">
        <v>379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87</v>
      </c>
      <c r="AK270" s="87">
        <v>1</v>
      </c>
      <c r="BB270" s="272" t="s">
        <v>120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4301137074</v>
      </c>
      <c r="D271" s="356">
        <v>4620207492116</v>
      </c>
      <c r="E271" s="356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121</v>
      </c>
      <c r="L271" s="37" t="s">
        <v>86</v>
      </c>
      <c r="M271" s="38" t="s">
        <v>84</v>
      </c>
      <c r="N271" s="38"/>
      <c r="O271" s="37">
        <v>180</v>
      </c>
      <c r="P271" s="456" t="s">
        <v>382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368</v>
      </c>
      <c r="AG271" s="81"/>
      <c r="AJ271" s="87" t="s">
        <v>87</v>
      </c>
      <c r="AK271" s="87">
        <v>1</v>
      </c>
      <c r="BB271" s="274" t="s">
        <v>120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customHeight="1" x14ac:dyDescent="0.25">
      <c r="A272" s="63" t="s">
        <v>383</v>
      </c>
      <c r="B272" s="63" t="s">
        <v>384</v>
      </c>
      <c r="C272" s="36">
        <v>4301137070</v>
      </c>
      <c r="D272" s="356">
        <v>4620207492123</v>
      </c>
      <c r="E272" s="35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121</v>
      </c>
      <c r="L272" s="37" t="s">
        <v>86</v>
      </c>
      <c r="M272" s="38" t="s">
        <v>84</v>
      </c>
      <c r="N272" s="38"/>
      <c r="O272" s="37">
        <v>180</v>
      </c>
      <c r="P272" s="457" t="s">
        <v>385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14</v>
      </c>
      <c r="Y272" s="55">
        <f t="shared" si="18"/>
        <v>14</v>
      </c>
      <c r="Z272" s="41">
        <f t="shared" si="23"/>
        <v>0.13103999999999999</v>
      </c>
      <c r="AA272" s="68" t="s">
        <v>46</v>
      </c>
      <c r="AB272" s="69" t="s">
        <v>46</v>
      </c>
      <c r="AC272" s="275" t="s">
        <v>372</v>
      </c>
      <c r="AG272" s="81"/>
      <c r="AJ272" s="87" t="s">
        <v>87</v>
      </c>
      <c r="AK272" s="87">
        <v>1</v>
      </c>
      <c r="BB272" s="276" t="s">
        <v>120</v>
      </c>
      <c r="BM272" s="81">
        <f t="shared" si="19"/>
        <v>54.488</v>
      </c>
      <c r="BN272" s="81">
        <f t="shared" si="20"/>
        <v>54.488</v>
      </c>
      <c r="BO272" s="81">
        <f t="shared" si="21"/>
        <v>0.1111111111111111</v>
      </c>
      <c r="BP272" s="81">
        <f t="shared" si="22"/>
        <v>0.1111111111111111</v>
      </c>
    </row>
    <row r="273" spans="1:68" ht="37.5" customHeight="1" x14ac:dyDescent="0.25">
      <c r="A273" s="63" t="s">
        <v>386</v>
      </c>
      <c r="B273" s="63" t="s">
        <v>387</v>
      </c>
      <c r="C273" s="36">
        <v>4301137078</v>
      </c>
      <c r="D273" s="356">
        <v>4620207492130</v>
      </c>
      <c r="E273" s="35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121</v>
      </c>
      <c r="L273" s="37" t="s">
        <v>86</v>
      </c>
      <c r="M273" s="38" t="s">
        <v>84</v>
      </c>
      <c r="N273" s="38"/>
      <c r="O273" s="37">
        <v>180</v>
      </c>
      <c r="P273" s="458" t="s">
        <v>388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372</v>
      </c>
      <c r="AG273" s="81"/>
      <c r="AJ273" s="87" t="s">
        <v>87</v>
      </c>
      <c r="AK273" s="87">
        <v>1</v>
      </c>
      <c r="BB273" s="278" t="s">
        <v>120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389</v>
      </c>
      <c r="B274" s="63" t="s">
        <v>390</v>
      </c>
      <c r="C274" s="36">
        <v>4301137092</v>
      </c>
      <c r="D274" s="356">
        <v>4620207491942</v>
      </c>
      <c r="E274" s="356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121</v>
      </c>
      <c r="L274" s="37" t="s">
        <v>86</v>
      </c>
      <c r="M274" s="38" t="s">
        <v>84</v>
      </c>
      <c r="N274" s="38"/>
      <c r="O274" s="37">
        <v>180</v>
      </c>
      <c r="P274" s="45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358"/>
      <c r="R274" s="358"/>
      <c r="S274" s="358"/>
      <c r="T274" s="35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87</v>
      </c>
      <c r="AK274" s="87">
        <v>1</v>
      </c>
      <c r="BB274" s="280" t="s">
        <v>120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391</v>
      </c>
      <c r="B275" s="63" t="s">
        <v>392</v>
      </c>
      <c r="C275" s="36">
        <v>4301137014</v>
      </c>
      <c r="D275" s="356">
        <v>4620207491911</v>
      </c>
      <c r="E275" s="356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121</v>
      </c>
      <c r="L275" s="37" t="s">
        <v>86</v>
      </c>
      <c r="M275" s="38" t="s">
        <v>84</v>
      </c>
      <c r="N275" s="38"/>
      <c r="O275" s="37">
        <v>180</v>
      </c>
      <c r="P275" s="460" t="s">
        <v>393</v>
      </c>
      <c r="Q275" s="358"/>
      <c r="R275" s="358"/>
      <c r="S275" s="358"/>
      <c r="T275" s="35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376</v>
      </c>
      <c r="AG275" s="81"/>
      <c r="AJ275" s="87" t="s">
        <v>87</v>
      </c>
      <c r="AK275" s="87">
        <v>1</v>
      </c>
      <c r="BB275" s="282" t="s">
        <v>120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394</v>
      </c>
      <c r="B276" s="63" t="s">
        <v>395</v>
      </c>
      <c r="C276" s="36">
        <v>4301137012</v>
      </c>
      <c r="D276" s="356">
        <v>4620207491935</v>
      </c>
      <c r="E276" s="356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121</v>
      </c>
      <c r="L276" s="37" t="s">
        <v>86</v>
      </c>
      <c r="M276" s="38" t="s">
        <v>84</v>
      </c>
      <c r="N276" s="38"/>
      <c r="O276" s="37">
        <v>180</v>
      </c>
      <c r="P276" s="46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8"/>
      <c r="R276" s="358"/>
      <c r="S276" s="358"/>
      <c r="T276" s="35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87</v>
      </c>
      <c r="AK276" s="87">
        <v>1</v>
      </c>
      <c r="BB276" s="284" t="s">
        <v>120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1"/>
      <c r="P277" s="367" t="s">
        <v>40</v>
      </c>
      <c r="Q277" s="368"/>
      <c r="R277" s="368"/>
      <c r="S277" s="368"/>
      <c r="T277" s="368"/>
      <c r="U277" s="368"/>
      <c r="V277" s="369"/>
      <c r="W277" s="42" t="s">
        <v>39</v>
      </c>
      <c r="X277" s="43">
        <f>IFERROR(SUM(X267:X276),"0")</f>
        <v>14</v>
      </c>
      <c r="Y277" s="43">
        <f>IFERROR(SUM(Y267:Y276),"0")</f>
        <v>14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0.13103999999999999</v>
      </c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1"/>
      <c r="P278" s="367" t="s">
        <v>40</v>
      </c>
      <c r="Q278" s="368"/>
      <c r="R278" s="368"/>
      <c r="S278" s="368"/>
      <c r="T278" s="368"/>
      <c r="U278" s="368"/>
      <c r="V278" s="369"/>
      <c r="W278" s="42" t="s">
        <v>0</v>
      </c>
      <c r="X278" s="43">
        <f>IFERROR(SUMPRODUCT(X267:X276*H267:H276),"0")</f>
        <v>51.800000000000004</v>
      </c>
      <c r="Y278" s="43">
        <f>IFERROR(SUMPRODUCT(Y267:Y276*H267:H276),"0")</f>
        <v>51.800000000000004</v>
      </c>
      <c r="Z278" s="42"/>
      <c r="AA278" s="67"/>
      <c r="AB278" s="67"/>
      <c r="AC278" s="67"/>
    </row>
    <row r="279" spans="1:68" ht="15" customHeight="1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6"/>
      <c r="P279" s="463" t="s">
        <v>33</v>
      </c>
      <c r="Q279" s="464"/>
      <c r="R279" s="464"/>
      <c r="S279" s="464"/>
      <c r="T279" s="464"/>
      <c r="U279" s="464"/>
      <c r="V279" s="465"/>
      <c r="W279" s="42" t="s">
        <v>0</v>
      </c>
      <c r="X279" s="43">
        <f>IFERROR(X31+X35+X41+X48+X54+X62+X71+X77+X82+X88+X98+X104+X115+X119+X123+X128+X135+X141+X147+X153+X159+X164+X169+X174+X180+X184+X190+X195+X204+X210+X215+X221+X226+X232+X238+X242+X248+X252+X259+X265+X278,"0")</f>
        <v>7898.24</v>
      </c>
      <c r="Y279" s="43">
        <f>IFERROR(Y31+Y35+Y41+Y48+Y54+Y62+Y71+Y77+Y82+Y88+Y98+Y104+Y115+Y119+Y123+Y128+Y135+Y141+Y147+Y153+Y159+Y164+Y169+Y174+Y180+Y184+Y190+Y195+Y204+Y210+Y215+Y221+Y226+Y232+Y238+Y242+Y248+Y252+Y259+Y265+Y278,"0")</f>
        <v>7898.24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6"/>
      <c r="P280" s="463" t="s">
        <v>34</v>
      </c>
      <c r="Q280" s="464"/>
      <c r="R280" s="464"/>
      <c r="S280" s="464"/>
      <c r="T280" s="464"/>
      <c r="U280" s="464"/>
      <c r="V280" s="465"/>
      <c r="W280" s="42" t="s">
        <v>0</v>
      </c>
      <c r="X280" s="43">
        <f>IFERROR(SUM(BM22:BM276),"0")</f>
        <v>9189.4560000000001</v>
      </c>
      <c r="Y280" s="43">
        <f>IFERROR(SUM(BN22:BN276),"0")</f>
        <v>9189.4560000000001</v>
      </c>
      <c r="Z280" s="42"/>
      <c r="AA280" s="67"/>
      <c r="AB280" s="67"/>
      <c r="AC280" s="67"/>
    </row>
    <row r="281" spans="1:68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6"/>
      <c r="P281" s="463" t="s">
        <v>35</v>
      </c>
      <c r="Q281" s="464"/>
      <c r="R281" s="464"/>
      <c r="S281" s="464"/>
      <c r="T281" s="464"/>
      <c r="U281" s="464"/>
      <c r="V281" s="465"/>
      <c r="W281" s="42" t="s">
        <v>20</v>
      </c>
      <c r="X281" s="44">
        <f>ROUNDUP(SUM(BO22:BO276),0)</f>
        <v>31</v>
      </c>
      <c r="Y281" s="44">
        <f>ROUNDUP(SUM(BP22:BP276),0)</f>
        <v>31</v>
      </c>
      <c r="Z281" s="42"/>
      <c r="AA281" s="67"/>
      <c r="AB281" s="67"/>
      <c r="AC281" s="67"/>
    </row>
    <row r="282" spans="1:68" x14ac:dyDescent="0.2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466"/>
      <c r="P282" s="463" t="s">
        <v>36</v>
      </c>
      <c r="Q282" s="464"/>
      <c r="R282" s="464"/>
      <c r="S282" s="464"/>
      <c r="T282" s="464"/>
      <c r="U282" s="464"/>
      <c r="V282" s="465"/>
      <c r="W282" s="42" t="s">
        <v>0</v>
      </c>
      <c r="X282" s="43">
        <f>GrossWeightTotal+PalletQtyTotal*25</f>
        <v>9964.4560000000001</v>
      </c>
      <c r="Y282" s="43">
        <f>GrossWeightTotalR+PalletQtyTotalR*25</f>
        <v>9964.4560000000001</v>
      </c>
      <c r="Z282" s="42"/>
      <c r="AA282" s="67"/>
      <c r="AB282" s="67"/>
      <c r="AC282" s="67"/>
    </row>
    <row r="283" spans="1:68" x14ac:dyDescent="0.2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466"/>
      <c r="P283" s="463" t="s">
        <v>37</v>
      </c>
      <c r="Q283" s="464"/>
      <c r="R283" s="464"/>
      <c r="S283" s="464"/>
      <c r="T283" s="464"/>
      <c r="U283" s="464"/>
      <c r="V283" s="465"/>
      <c r="W283" s="42" t="s">
        <v>20</v>
      </c>
      <c r="X283" s="43">
        <f>IFERROR(X30+X34+X40+X47+X53+X61+X70+X76+X81+X87+X97+X103+X114+X118+X122+X127+X134+X140+X146+X152+X158+X163+X168+X173+X179+X183+X189+X194+X203+X209+X214+X220+X225+X231+X237+X241+X247+X251+X258+X264+X277,"0")</f>
        <v>2500</v>
      </c>
      <c r="Y283" s="43">
        <f>IFERROR(Y30+Y34+Y40+Y47+Y53+Y61+Y70+Y76+Y81+Y87+Y97+Y103+Y114+Y118+Y122+Y127+Y134+Y140+Y146+Y152+Y158+Y163+Y168+Y173+Y179+Y183+Y189+Y194+Y203+Y209+Y214+Y220+Y225+Y231+Y237+Y241+Y247+Y251+Y258+Y264+Y277,"0")</f>
        <v>2500</v>
      </c>
      <c r="Z283" s="42"/>
      <c r="AA283" s="67"/>
      <c r="AB283" s="67"/>
      <c r="AC283" s="67"/>
    </row>
    <row r="284" spans="1:68" ht="14.25" x14ac:dyDescent="0.2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466"/>
      <c r="P284" s="463" t="s">
        <v>38</v>
      </c>
      <c r="Q284" s="464"/>
      <c r="R284" s="464"/>
      <c r="S284" s="464"/>
      <c r="T284" s="464"/>
      <c r="U284" s="464"/>
      <c r="V284" s="465"/>
      <c r="W284" s="45" t="s">
        <v>52</v>
      </c>
      <c r="X284" s="42"/>
      <c r="Y284" s="42"/>
      <c r="Z284" s="42">
        <f>IFERROR(Z30+Z34+Z40+Z47+Z53+Z61+Z70+Z76+Z81+Z87+Z97+Z103+Z114+Z118+Z122+Z127+Z134+Z140+Z146+Z152+Z158+Z163+Z168+Z173+Z179+Z183+Z189+Z194+Z203+Z209+Z214+Z220+Z225+Z231+Z237+Z241+Z247+Z251+Z258+Z264+Z277,"0")</f>
        <v>38.120699999999999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2" t="s">
        <v>79</v>
      </c>
      <c r="C286" s="462" t="s">
        <v>79</v>
      </c>
      <c r="D286" s="462" t="s">
        <v>45</v>
      </c>
      <c r="E286" s="462" t="s">
        <v>45</v>
      </c>
      <c r="F286" s="462" t="s">
        <v>45</v>
      </c>
      <c r="G286" s="462" t="s">
        <v>45</v>
      </c>
      <c r="H286" s="462" t="s">
        <v>45</v>
      </c>
      <c r="I286" s="462" t="s">
        <v>45</v>
      </c>
      <c r="J286" s="462" t="s">
        <v>45</v>
      </c>
      <c r="K286" s="462" t="s">
        <v>45</v>
      </c>
      <c r="L286" s="462" t="s">
        <v>45</v>
      </c>
      <c r="M286" s="462" t="s">
        <v>45</v>
      </c>
      <c r="N286" s="467"/>
      <c r="O286" s="462" t="s">
        <v>45</v>
      </c>
      <c r="P286" s="462" t="s">
        <v>45</v>
      </c>
      <c r="Q286" s="462" t="s">
        <v>45</v>
      </c>
      <c r="R286" s="462" t="s">
        <v>45</v>
      </c>
      <c r="S286" s="462" t="s">
        <v>45</v>
      </c>
      <c r="T286" s="462" t="s">
        <v>45</v>
      </c>
      <c r="U286" s="462" t="s">
        <v>45</v>
      </c>
      <c r="V286" s="462" t="s">
        <v>276</v>
      </c>
      <c r="W286" s="462" t="s">
        <v>276</v>
      </c>
      <c r="X286" s="462" t="s">
        <v>276</v>
      </c>
      <c r="Y286" s="88" t="s">
        <v>294</v>
      </c>
      <c r="Z286" s="462" t="s">
        <v>308</v>
      </c>
      <c r="AA286" s="462" t="s">
        <v>308</v>
      </c>
      <c r="AB286" s="462" t="s">
        <v>308</v>
      </c>
      <c r="AC286" s="88" t="s">
        <v>330</v>
      </c>
      <c r="AD286" s="88" t="s">
        <v>335</v>
      </c>
      <c r="AE286" s="88" t="s">
        <v>343</v>
      </c>
      <c r="AF286" s="88" t="s">
        <v>277</v>
      </c>
    </row>
    <row r="287" spans="1:68" ht="14.25" customHeight="1" thickTop="1" x14ac:dyDescent="0.2">
      <c r="A287" s="468" t="s">
        <v>10</v>
      </c>
      <c r="B287" s="462" t="s">
        <v>79</v>
      </c>
      <c r="C287" s="462" t="s">
        <v>109</v>
      </c>
      <c r="D287" s="462" t="s">
        <v>115</v>
      </c>
      <c r="E287" s="462" t="s">
        <v>126</v>
      </c>
      <c r="F287" s="462" t="s">
        <v>133</v>
      </c>
      <c r="G287" s="462" t="s">
        <v>144</v>
      </c>
      <c r="H287" s="462" t="s">
        <v>159</v>
      </c>
      <c r="I287" s="462" t="s">
        <v>166</v>
      </c>
      <c r="J287" s="462" t="s">
        <v>171</v>
      </c>
      <c r="K287" s="462" t="s">
        <v>179</v>
      </c>
      <c r="L287" s="462" t="s">
        <v>194</v>
      </c>
      <c r="M287" s="462" t="s">
        <v>201</v>
      </c>
      <c r="N287" s="1"/>
      <c r="O287" s="462" t="s">
        <v>227</v>
      </c>
      <c r="P287" s="462" t="s">
        <v>248</v>
      </c>
      <c r="Q287" s="462" t="s">
        <v>254</v>
      </c>
      <c r="R287" s="462" t="s">
        <v>260</v>
      </c>
      <c r="S287" s="462" t="s">
        <v>266</v>
      </c>
      <c r="T287" s="462" t="s">
        <v>269</v>
      </c>
      <c r="U287" s="462" t="s">
        <v>273</v>
      </c>
      <c r="V287" s="462" t="s">
        <v>277</v>
      </c>
      <c r="W287" s="462" t="s">
        <v>284</v>
      </c>
      <c r="X287" s="462" t="s">
        <v>291</v>
      </c>
      <c r="Y287" s="462" t="s">
        <v>295</v>
      </c>
      <c r="Z287" s="462" t="s">
        <v>309</v>
      </c>
      <c r="AA287" s="462" t="s">
        <v>319</v>
      </c>
      <c r="AB287" s="462" t="s">
        <v>326</v>
      </c>
      <c r="AC287" s="462" t="s">
        <v>331</v>
      </c>
      <c r="AD287" s="462" t="s">
        <v>336</v>
      </c>
      <c r="AE287" s="462" t="s">
        <v>343</v>
      </c>
      <c r="AF287" s="462" t="s">
        <v>277</v>
      </c>
    </row>
    <row r="288" spans="1:68" ht="13.5" thickBot="1" x14ac:dyDescent="0.25">
      <c r="A288" s="469"/>
      <c r="B288" s="462"/>
      <c r="C288" s="462"/>
      <c r="D288" s="462"/>
      <c r="E288" s="462"/>
      <c r="F288" s="462"/>
      <c r="G288" s="462"/>
      <c r="H288" s="462"/>
      <c r="I288" s="462"/>
      <c r="J288" s="462"/>
      <c r="K288" s="462"/>
      <c r="L288" s="462"/>
      <c r="M288" s="462"/>
      <c r="N288" s="1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IFERROR(X22*H22,"0")+IFERROR(X23*H23,"0")+IFERROR(X24*H24,"0")+IFERROR(X25*H25,"0")+IFERROR(X26*H26,"0")+IFERROR(X27*H27,"0")+IFERROR(X28*H28,"0")+IFERROR(X29*H29,"0")+IFERROR(X33*H33,"0")</f>
        <v>0</v>
      </c>
      <c r="C289" s="52">
        <f>IFERROR(X38*H38,"0")+IFERROR(X39*H39,"0")</f>
        <v>0</v>
      </c>
      <c r="D289" s="52">
        <f>IFERROR(X45*H45,"0")+IFERROR(X46*H46,"0")</f>
        <v>420</v>
      </c>
      <c r="E289" s="52">
        <f>IFERROR(X51*H51,"0")+IFERROR(X52*H52,"0")</f>
        <v>537.59999999999991</v>
      </c>
      <c r="F289" s="52">
        <f>IFERROR(X57*H57,"0")+IFERROR(X58*H58,"0")+IFERROR(X59*H59,"0")+IFERROR(X60*H60,"0")</f>
        <v>321.60000000000002</v>
      </c>
      <c r="G289" s="52">
        <f>IFERROR(X65*H65,"0")+IFERROR(X66*H66,"0")+IFERROR(X67*H67,"0")+IFERROR(X68*H68,"0")+IFERROR(X69*H69,"0")</f>
        <v>0</v>
      </c>
      <c r="H289" s="52">
        <f>IFERROR(X74*H74,"0")+IFERROR(X75*H75,"0")</f>
        <v>0</v>
      </c>
      <c r="I289" s="52">
        <f>IFERROR(X80*H80,"0")</f>
        <v>252</v>
      </c>
      <c r="J289" s="52">
        <f>IFERROR(X85*H85,"0")+IFERROR(X86*H86,"0")</f>
        <v>756</v>
      </c>
      <c r="K289" s="52">
        <f>IFERROR(X91*H91,"0")+IFERROR(X92*H92,"0")+IFERROR(X93*H93,"0")+IFERROR(X94*H94,"0")+IFERROR(X95*H95,"0")+IFERROR(X96*H96,"0")</f>
        <v>1120.56</v>
      </c>
      <c r="L289" s="52">
        <f>IFERROR(X101*H101,"0")+IFERROR(X102*H102,"0")</f>
        <v>0</v>
      </c>
      <c r="M289" s="52">
        <f>IFERROR(X107*H107,"0")+IFERROR(X108*H108,"0")+IFERROR(X109*H109,"0")+IFERROR(X110*H110,"0")+IFERROR(X111*H111,"0")+IFERROR(X112*H112,"0")+IFERROR(X113*H113,"0")+IFERROR(X117*H117,"0")+IFERROR(X121*H121,"0")</f>
        <v>1633.92</v>
      </c>
      <c r="N289" s="1"/>
      <c r="O289" s="52">
        <f>IFERROR(X126*H126,"0")+IFERROR(X130*H130,"0")+IFERROR(X131*H131,"0")+IFERROR(X132*H132,"0")+IFERROR(X133*H133,"0")+IFERROR(X137*H137,"0")+IFERROR(X138*H138,"0")+IFERROR(X139*H139,"0")</f>
        <v>274.68</v>
      </c>
      <c r="P289" s="52">
        <f>IFERROR(X144*H144,"0")+IFERROR(X145*H145,"0")</f>
        <v>1050</v>
      </c>
      <c r="Q289" s="52">
        <f>IFERROR(X150*H150,"0")+IFERROR(X151*H151,"0")</f>
        <v>252</v>
      </c>
      <c r="R289" s="52">
        <f>IFERROR(X156*H156,"0")+IFERROR(X157*H157,"0")</f>
        <v>336</v>
      </c>
      <c r="S289" s="52">
        <f>IFERROR(X162*H162,"0")</f>
        <v>84</v>
      </c>
      <c r="T289" s="52">
        <f>IFERROR(X167*H167,"0")</f>
        <v>75.600000000000009</v>
      </c>
      <c r="U289" s="52">
        <f>IFERROR(X172*H172,"0")</f>
        <v>235.2</v>
      </c>
      <c r="V289" s="52">
        <f>IFERROR(X178*H178,"0")+IFERROR(X182*H182,"0")</f>
        <v>0</v>
      </c>
      <c r="W289" s="52">
        <f>IFERROR(X187*H187,"0")+IFERROR(X188*H188,"0")</f>
        <v>0</v>
      </c>
      <c r="X289" s="52">
        <f>IFERROR(X193*H193,"0")</f>
        <v>0</v>
      </c>
      <c r="Y289" s="52">
        <f>IFERROR(X199*H199,"0")+IFERROR(X200*H200,"0")+IFERROR(X201*H201,"0")+IFERROR(X202*H202,"0")</f>
        <v>497.28</v>
      </c>
      <c r="Z289" s="52">
        <f>IFERROR(X208*H208,"0")+IFERROR(X212*H212,"0")+IFERROR(X213*H213,"0")</f>
        <v>0</v>
      </c>
      <c r="AA289" s="52">
        <f>IFERROR(X218*H218,"0")+IFERROR(X219*H219,"0")</f>
        <v>0</v>
      </c>
      <c r="AB289" s="52">
        <f>IFERROR(X224*H224,"0")</f>
        <v>0</v>
      </c>
      <c r="AC289" s="52">
        <f>IFERROR(X230*H230,"0")</f>
        <v>0</v>
      </c>
      <c r="AD289" s="52">
        <f>IFERROR(X236*H236,"0")+IFERROR(X240*H240,"0")</f>
        <v>0</v>
      </c>
      <c r="AE289" s="52">
        <f>IFERROR(X246*H246,"0")+IFERROR(X250*H250,"0")</f>
        <v>0</v>
      </c>
      <c r="AF289" s="52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51.800000000000004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2419.1999999999998</v>
      </c>
      <c r="B292" s="72">
        <f>SUMPRODUCT(--(BB:BB="ПГП"),--(W:W="кор"),H:H,Y:Y)+SUMPRODUCT(--(BB:BB="ПГП"),--(W:W="кг"),Y:Y)</f>
        <v>5479.04</v>
      </c>
      <c r="C292" s="72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7">
    <mergeCell ref="Y287:Y288"/>
    <mergeCell ref="Z287:Z288"/>
    <mergeCell ref="AA287:AA288"/>
    <mergeCell ref="AB287:AB288"/>
    <mergeCell ref="AC287:AC288"/>
    <mergeCell ref="AD287:AD288"/>
    <mergeCell ref="AE287:AE288"/>
    <mergeCell ref="AF287:AF288"/>
    <mergeCell ref="Z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T287:T288"/>
    <mergeCell ref="U287:U288"/>
    <mergeCell ref="V287:V288"/>
    <mergeCell ref="W287:W288"/>
    <mergeCell ref="X287:X28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X286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50:E250"/>
    <mergeCell ref="P250:T250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A243:Z243"/>
    <mergeCell ref="A244:Z244"/>
    <mergeCell ref="A245:Z245"/>
    <mergeCell ref="D246:E246"/>
    <mergeCell ref="P246:T246"/>
    <mergeCell ref="P247:V247"/>
    <mergeCell ref="A247:O248"/>
    <mergeCell ref="P248:V248"/>
    <mergeCell ref="A249:Z249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11:Z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P209:V209"/>
    <mergeCell ref="A209:O210"/>
    <mergeCell ref="P210:V210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85:Z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A125:Z125"/>
    <mergeCell ref="D126:E126"/>
    <mergeCell ref="P126:T126"/>
    <mergeCell ref="P127:V127"/>
    <mergeCell ref="A127:O128"/>
    <mergeCell ref="P128:V128"/>
    <mergeCell ref="A116:Z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05:Z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A99:Z99"/>
    <mergeCell ref="A100:Z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7:X276 X261:X263 X256:X257 X250 X246 X240 X236 X230 X218:X219 X212 X202 X193 X187 X182 X178 X172 X162 X156:X157 X150:X151 X144:X145 X137:X139 X130:X133 X126 X121 X117 X111:X113 X108 X101:X102 X92:X96 X80 X74 X65:X69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4 X213 X208 X199:X201 X188 X167 X109:X110 X107 X91 X85:X86 X75 X57:X60 X51:X52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3" t="s">
        <v>397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399</v>
      </c>
      <c r="C6" s="53" t="s">
        <v>400</v>
      </c>
      <c r="D6" s="53" t="s">
        <v>401</v>
      </c>
      <c r="E6" s="53" t="s">
        <v>46</v>
      </c>
    </row>
    <row r="7" spans="2:8" x14ac:dyDescent="0.2">
      <c r="B7" s="53" t="s">
        <v>402</v>
      </c>
      <c r="C7" s="53" t="s">
        <v>403</v>
      </c>
      <c r="D7" s="53" t="s">
        <v>404</v>
      </c>
      <c r="E7" s="53" t="s">
        <v>46</v>
      </c>
    </row>
    <row r="8" spans="2:8" x14ac:dyDescent="0.2">
      <c r="B8" s="53" t="s">
        <v>405</v>
      </c>
      <c r="C8" s="53" t="s">
        <v>406</v>
      </c>
      <c r="D8" s="53" t="s">
        <v>407</v>
      </c>
      <c r="E8" s="53" t="s">
        <v>46</v>
      </c>
    </row>
    <row r="9" spans="2:8" x14ac:dyDescent="0.2">
      <c r="B9" s="53" t="s">
        <v>408</v>
      </c>
      <c r="C9" s="53" t="s">
        <v>409</v>
      </c>
      <c r="D9" s="53" t="s">
        <v>410</v>
      </c>
      <c r="E9" s="53" t="s">
        <v>46</v>
      </c>
    </row>
    <row r="10" spans="2:8" x14ac:dyDescent="0.2">
      <c r="B10" s="53" t="s">
        <v>411</v>
      </c>
      <c r="C10" s="53" t="s">
        <v>412</v>
      </c>
      <c r="D10" s="53" t="s">
        <v>413</v>
      </c>
      <c r="E10" s="53" t="s">
        <v>46</v>
      </c>
    </row>
    <row r="11" spans="2:8" x14ac:dyDescent="0.2">
      <c r="B11" s="53" t="s">
        <v>414</v>
      </c>
      <c r="C11" s="53" t="s">
        <v>415</v>
      </c>
      <c r="D11" s="53" t="s">
        <v>416</v>
      </c>
      <c r="E11" s="53" t="s">
        <v>46</v>
      </c>
    </row>
    <row r="13" spans="2:8" x14ac:dyDescent="0.2">
      <c r="B13" s="53" t="s">
        <v>417</v>
      </c>
      <c r="C13" s="53" t="s">
        <v>400</v>
      </c>
      <c r="D13" s="53" t="s">
        <v>46</v>
      </c>
      <c r="E13" s="53" t="s">
        <v>46</v>
      </c>
    </row>
    <row r="15" spans="2:8" x14ac:dyDescent="0.2">
      <c r="B15" s="53" t="s">
        <v>418</v>
      </c>
      <c r="C15" s="53" t="s">
        <v>403</v>
      </c>
      <c r="D15" s="53" t="s">
        <v>46</v>
      </c>
      <c r="E15" s="53" t="s">
        <v>46</v>
      </c>
    </row>
    <row r="17" spans="2:5" x14ac:dyDescent="0.2">
      <c r="B17" s="53" t="s">
        <v>419</v>
      </c>
      <c r="C17" s="53" t="s">
        <v>406</v>
      </c>
      <c r="D17" s="53" t="s">
        <v>46</v>
      </c>
      <c r="E17" s="53" t="s">
        <v>46</v>
      </c>
    </row>
    <row r="19" spans="2:5" x14ac:dyDescent="0.2">
      <c r="B19" s="53" t="s">
        <v>420</v>
      </c>
      <c r="C19" s="53" t="s">
        <v>409</v>
      </c>
      <c r="D19" s="53" t="s">
        <v>46</v>
      </c>
      <c r="E19" s="53" t="s">
        <v>46</v>
      </c>
    </row>
    <row r="21" spans="2:5" x14ac:dyDescent="0.2">
      <c r="B21" s="53" t="s">
        <v>421</v>
      </c>
      <c r="C21" s="53" t="s">
        <v>412</v>
      </c>
      <c r="D21" s="53" t="s">
        <v>46</v>
      </c>
      <c r="E21" s="53" t="s">
        <v>46</v>
      </c>
    </row>
    <row r="23" spans="2:5" x14ac:dyDescent="0.2">
      <c r="B23" s="53" t="s">
        <v>422</v>
      </c>
      <c r="C23" s="53" t="s">
        <v>415</v>
      </c>
      <c r="D23" s="53" t="s">
        <v>46</v>
      </c>
      <c r="E23" s="53" t="s">
        <v>46</v>
      </c>
    </row>
    <row r="25" spans="2:5" x14ac:dyDescent="0.2">
      <c r="B25" s="53" t="s">
        <v>423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428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429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433</v>
      </c>
      <c r="C35" s="53" t="s">
        <v>46</v>
      </c>
      <c r="D35" s="53" t="s">
        <v>46</v>
      </c>
      <c r="E35" s="53" t="s">
        <v>46</v>
      </c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444</vt:i4>
      </vt:variant>
    </vt:vector>
  </HeadingPairs>
  <TitlesOfParts>
    <vt:vector size="44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2026-10-26T05:41:20Z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