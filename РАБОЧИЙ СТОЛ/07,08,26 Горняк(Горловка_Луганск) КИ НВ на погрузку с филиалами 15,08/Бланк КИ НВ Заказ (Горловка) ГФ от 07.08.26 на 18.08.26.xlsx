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X:\Отдел логистики\Бобух Е.П\Бобух Лена\Заявки для заказов\КП Черкизово, Стародворье\КП Стародворье\"/>
    </mc:Choice>
  </mc:AlternateContent>
  <bookViews>
    <workbookView xWindow="0" yWindow="0" windowWidth="23040" windowHeight="91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62913"/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<sst xmlns="http://schemas.openxmlformats.org/spreadsheetml/2006/main" count="3643" uniqueCount="787">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</sst>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8"/>
  <sheetViews>
    <sheetView showGridLines="0" tabSelected="1" topLeftCell="D1" zoomScale="69" zoomScaleNormal="69" zoomScaleSheetLayoutView="100" workbookViewId="0">
      <selection activeCell="P489" sqref="P489:V48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>
        <v>46083</v>
      </c>
      <c r="R5" s="870"/>
      <c r="T5" s="871" t="s">
        <v>3</v>
      </c>
      <c r="U5" s="872"/>
      <c r="V5" s="873" t="s">
        <v>751</v>
      </c>
      <c r="W5" s="874"/>
      <c r="AB5" s="59"/>
      <c r="AC5" s="59"/>
      <c r="AD5" s="59"/>
      <c r="AE5" s="59"/>
    </row>
    <row r="6" spans="1:32" s="17" customFormat="1" ht="24" customHeight="1" x14ac:dyDescent="0.25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5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>
        <v>0.41666666666666669</v>
      </c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" customHeight="1" x14ac:dyDescent="0.25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/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/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5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5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5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5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5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5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5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5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/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5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5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5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5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5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5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5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5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5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5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5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5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5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5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5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5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5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5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5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5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5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5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5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5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5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5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5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5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5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5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5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5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5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5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5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5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5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5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5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5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5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5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5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5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5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5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5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5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5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5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5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5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5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5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5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5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5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5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5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5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5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5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5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5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5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5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5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5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5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5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5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5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/>
      <c r="Y350" s="55">
        <f t="shared" ref="Y350:Y356" si="37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0</v>
      </c>
      <c r="BN350" s="78">
        <f t="shared" ref="BN350:BN356" si="39">IFERROR(Y350*I350/H350,"0")</f>
        <v>0</v>
      </c>
      <c r="BO350" s="78">
        <f t="shared" ref="BO350:BO356" si="40">IFERROR(1/J350*(X350/H350),"0")</f>
        <v>0</v>
      </c>
      <c r="BP350" s="78">
        <f t="shared" ref="BP350:BP356" si="41">IFERROR(1/J350*(Y350/H350),"0")</f>
        <v>0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5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8</v>
      </c>
      <c r="Y357" s="43">
        <f>IFERROR(Y350/H350,"0")+IFERROR(Y351/H351,"0")+IFERROR(Y352/H352,"0")+IFERROR(Y353/H353,"0")+IFERROR(Y354/H354,"0")+IFERROR(Y355/H355,"0")+IFERROR(Y356/H356,"0")</f>
        <v>8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0.17399999999999999</v>
      </c>
      <c r="AA357" s="67"/>
      <c r="AB357" s="67"/>
      <c r="AC357" s="67"/>
    </row>
    <row r="358" spans="1:68" x14ac:dyDescent="0.25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120</v>
      </c>
      <c r="Y358" s="43">
        <f>IFERROR(SUM(Y350:Y356),"0")</f>
        <v>120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5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5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5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5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5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5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5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5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5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5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5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5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customHeight="1" x14ac:dyDescent="0.25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5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5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5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5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5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5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5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5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5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5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42.24</v>
      </c>
      <c r="Y433" s="55">
        <f t="shared" si="48"/>
        <v>42.24</v>
      </c>
      <c r="Z433" s="41">
        <f t="shared" si="49"/>
        <v>9.5680000000000001E-2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45.04</v>
      </c>
      <c r="BN433" s="78">
        <f t="shared" si="51"/>
        <v>45.04</v>
      </c>
      <c r="BO433" s="78">
        <f t="shared" si="52"/>
        <v>7.6923076923076927E-2</v>
      </c>
      <c r="BP433" s="78">
        <f t="shared" si="53"/>
        <v>7.6923076923076927E-2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5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5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5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5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customHeight="1" x14ac:dyDescent="0.25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5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5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5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5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5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5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5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5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5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5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5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593.28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593.28</v>
      </c>
      <c r="Z488" s="42"/>
      <c r="AA488" s="67"/>
      <c r="AB488" s="67"/>
      <c r="AC488" s="67"/>
    </row>
    <row r="489" spans="1:68" x14ac:dyDescent="0.25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625.42399999999998</v>
      </c>
      <c r="Y489" s="43">
        <f>IFERROR(SUM(BN22:BN485),"0")</f>
        <v>625.42399999999998</v>
      </c>
      <c r="Z489" s="42"/>
      <c r="AA489" s="67"/>
      <c r="AB489" s="67"/>
      <c r="AC489" s="67"/>
    </row>
    <row r="490" spans="1:68" x14ac:dyDescent="0.25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5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675.42399999999998</v>
      </c>
      <c r="Y491" s="43">
        <f>GrossWeightTotalR+PalletQtyTotalR*25</f>
        <v>675.42399999999998</v>
      </c>
      <c r="Z491" s="42"/>
      <c r="AA491" s="67"/>
      <c r="AB491" s="67"/>
      <c r="AC491" s="67"/>
    </row>
    <row r="492" spans="1:68" x14ac:dyDescent="0.25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78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78</v>
      </c>
      <c r="Z492" s="42"/>
      <c r="AA492" s="67"/>
      <c r="AB492" s="67"/>
      <c r="AC492" s="67"/>
    </row>
    <row r="493" spans="1:68" ht="15.6" x14ac:dyDescent="0.25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1.2157</v>
      </c>
      <c r="AA493" s="67"/>
      <c r="AB493" s="67"/>
      <c r="AC493" s="67"/>
    </row>
    <row r="494" spans="1:68" ht="13.8" thickBot="1" x14ac:dyDescent="0.3"/>
    <row r="495" spans="1:68" ht="28.8" thickTop="1" thickBot="1" x14ac:dyDescent="0.3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5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8" thickBot="1" x14ac:dyDescent="0.3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5" thickTop="1" thickBot="1" x14ac:dyDescent="0.3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120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84.48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749</v>
      </c>
      <c r="H1" s="9"/>
    </row>
    <row r="3" spans="2:8" x14ac:dyDescent="0.25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5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5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5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5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5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5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5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5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5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5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5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5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5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5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5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5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5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5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5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5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5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5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5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5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Елена Бобух</cp:lastModifiedBy>
  <dcterms:created xsi:type="dcterms:W3CDTF">2021-11-12T12:13:19Z</dcterms:created>
  <dcterms:modified xsi:type="dcterms:W3CDTF">2026-08-07T08:38:02Z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