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Y:\ЛОГИСТЫ\ВТМ\СТАРОДВОРЬЕ\18.08.26 КИ\"/>
    </mc:Choice>
  </mc:AlternateContent>
  <xr:revisionPtr revIDLastSave="0" documentId="13_ncr:1_{9402EC25-FB2D-49FB-82FC-7392386E573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<sst xmlns="http://schemas.openxmlformats.org/spreadsheetml/2006/main" count="3643" uniqueCount="787">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</sst>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Q13" sqref="Q13:R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>
        <v>46083</v>
      </c>
      <c r="R5" s="865"/>
      <c r="T5" s="866" t="s">
        <v>3</v>
      </c>
      <c r="U5" s="867"/>
      <c r="V5" s="868" t="s">
        <v>751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Понедельник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/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/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614.40000000000009</v>
      </c>
      <c r="Y60" s="41">
        <f>IFERROR(SUM(Y53:Y58),"0")</f>
        <v>614.4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56</v>
      </c>
      <c r="Y120" s="41">
        <f>IFERROR(Y116/H116,"0")+IFERROR(Y117/H117,"0")+IFERROR(Y118/H118,"0")+IFERROR(Y119/H119,"0")</f>
        <v>56</v>
      </c>
      <c r="Z120" s="41">
        <f>IFERROR(IF(Z116="",0,Z116),"0")+IFERROR(IF(Z117="",0,Z117),"0")+IFERROR(IF(Z118="",0,Z118),"0")+IFERROR(IF(Z119="",0,Z119),"0")</f>
        <v>0.76360000000000006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324</v>
      </c>
      <c r="Y121" s="41">
        <f>IFERROR(SUM(Y116:Y119),"0")</f>
        <v>324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90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90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0.5958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264.60000000000002</v>
      </c>
      <c r="Y183" s="41">
        <f>IFERROR(SUM(Y167:Y181),"0")</f>
        <v>264.60000000000002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144</v>
      </c>
      <c r="Y214" s="41">
        <f>IFERROR(Y206/H206,"0")+IFERROR(Y207/H207,"0")+IFERROR(Y208/H208,"0")+IFERROR(Y209/H209,"0")+IFERROR(Y210/H210,"0")+IFERROR(Y211/H211,"0")+IFERROR(Y212/H212,"0")+IFERROR(Y213/H213,"0")</f>
        <v>144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1.29888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777.6</v>
      </c>
      <c r="Y215" s="41">
        <f>IFERROR(SUM(Y206:Y213),"0")</f>
        <v>777.6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196</v>
      </c>
      <c r="Y226" s="41">
        <f>IFERROR(Y217/H217,"0")+IFERROR(Y218/H218,"0")+IFERROR(Y219/H219,"0")+IFERROR(Y220/H220,"0")+IFERROR(Y221/H221,"0")+IFERROR(Y222/H222,"0")+IFERROR(Y223/H223,"0")+IFERROR(Y224/H224,"0")+IFERROR(Y225/H225,"0")</f>
        <v>196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1.7747600000000001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722.4</v>
      </c>
      <c r="Y227" s="41">
        <f>IFERROR(SUM(Y217:Y225),"0")</f>
        <v>722.4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60.000000000000007</v>
      </c>
      <c r="Y282" s="41">
        <f>IFERROR(Y279/H279,"0")+IFERROR(Y280/H280,"0")+IFERROR(Y281/H281,"0")</f>
        <v>60</v>
      </c>
      <c r="Z282" s="41">
        <f>IFERROR(IF(Z279="",0,Z279),"0")+IFERROR(IF(Z280="",0,Z280),"0")+IFERROR(IF(Z281="",0,Z281),"0")</f>
        <v>0.3906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144</v>
      </c>
      <c r="Y283" s="41">
        <f>IFERROR(SUM(Y279:Y281),"0")</f>
        <v>144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648</v>
      </c>
      <c r="Y326" s="41">
        <f>IFERROR(SUM(Y322:Y324),"0")</f>
        <v>648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240</v>
      </c>
      <c r="Y350" s="53">
        <f t="shared" ref="Y350:Y356" si="37">IFERROR(IF(X350="",0,CEILING((X350/$H350),1)*$H350),"")</f>
        <v>240</v>
      </c>
      <c r="Z350" s="39">
        <f>IFERROR(IF(Y350=0,"",ROUNDUP(Y350/H350,0)*0.02175),"")</f>
        <v>0.34799999999999998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247.52</v>
      </c>
      <c r="BN350" s="75">
        <f t="shared" ref="BN350:BN356" si="39">IFERROR(Y350*I350/H350,"0")</f>
        <v>247.52</v>
      </c>
      <c r="BO350" s="75">
        <f t="shared" ref="BO350:BO356" si="40">IFERROR(1/J350*(X350/H350),"0")</f>
        <v>0.33333333333333331</v>
      </c>
      <c r="BP350" s="75">
        <f t="shared" ref="BP350:BP356" si="41">IFERROR(1/J350*(Y350/H350),"0")</f>
        <v>0.33333333333333331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405</v>
      </c>
      <c r="Y352" s="53">
        <f t="shared" si="37"/>
        <v>405</v>
      </c>
      <c r="Z352" s="39">
        <f>IFERROR(IF(Y352=0,"",ROUNDUP(Y352/H352,0)*0.02175),"")</f>
        <v>0.58724999999999994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417.69</v>
      </c>
      <c r="BN352" s="75">
        <f t="shared" si="39"/>
        <v>417.69</v>
      </c>
      <c r="BO352" s="75">
        <f t="shared" si="40"/>
        <v>0.5625</v>
      </c>
      <c r="BP352" s="75">
        <f t="shared" si="41"/>
        <v>0.5625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67</v>
      </c>
      <c r="Y357" s="41">
        <f>IFERROR(Y350/H350,"0")+IFERROR(Y351/H351,"0")+IFERROR(Y352/H352,"0")+IFERROR(Y353/H353,"0")+IFERROR(Y354/H354,"0")+IFERROR(Y355/H355,"0")+IFERROR(Y356/H356,"0")</f>
        <v>67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1.4572499999999999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1005</v>
      </c>
      <c r="Y358" s="41">
        <f>IFERROR(SUM(Y350:Y356),"0")</f>
        <v>1005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95.460000000000008</v>
      </c>
      <c r="BN385" s="75">
        <f>IFERROR(Y385*I385/H385,"0")</f>
        <v>95.904000000000011</v>
      </c>
      <c r="BO385" s="75">
        <f>IFERROR(1/J385*(X385/H385),"0")</f>
        <v>0.19688644688644691</v>
      </c>
      <c r="BP385" s="75">
        <f>IFERROR(1/J385*(Y385/H385),"0")</f>
        <v>0.19780219780219782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51.833333333333336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230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211.2</v>
      </c>
      <c r="Y431" s="53">
        <f t="shared" si="48"/>
        <v>211.20000000000002</v>
      </c>
      <c r="Z431" s="39">
        <f t="shared" si="49"/>
        <v>0.47839999999999999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225.19999999999996</v>
      </c>
      <c r="BN431" s="75">
        <f t="shared" si="51"/>
        <v>225.2</v>
      </c>
      <c r="BO431" s="75">
        <f t="shared" si="52"/>
        <v>0.38461538461538458</v>
      </c>
      <c r="BP431" s="75">
        <f t="shared" si="53"/>
        <v>0.38461538461538464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253.44</v>
      </c>
      <c r="Y433" s="53">
        <f t="shared" si="48"/>
        <v>253.44</v>
      </c>
      <c r="Z433" s="39">
        <f t="shared" si="49"/>
        <v>0.57408000000000003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270.23999999999995</v>
      </c>
      <c r="BN433" s="75">
        <f t="shared" si="51"/>
        <v>270.23999999999995</v>
      </c>
      <c r="BO433" s="75">
        <f t="shared" si="52"/>
        <v>0.46153846153846156</v>
      </c>
      <c r="BP433" s="75">
        <f t="shared" si="53"/>
        <v>0.46153846153846156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0</v>
      </c>
      <c r="Y450" s="53">
        <f t="shared" si="54"/>
        <v>0</v>
      </c>
      <c r="Z450" s="39" t="str">
        <f>IFERROR(IF(Y450=0,"",ROUNDUP(Y450/H450,0)*0.01196),"")</f>
        <v/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0</v>
      </c>
      <c r="BN450" s="75">
        <f t="shared" si="56"/>
        <v>0</v>
      </c>
      <c r="BO450" s="75">
        <f t="shared" si="57"/>
        <v>0</v>
      </c>
      <c r="BP450" s="75">
        <f t="shared" si="58"/>
        <v>0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8360.44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8360.8799999999992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8776.3513484848481</v>
      </c>
      <c r="Y489" s="41">
        <f>IFERROR(SUM(BN22:BN485),"0")</f>
        <v>8776.8380000000016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9126.3513484848481</v>
      </c>
      <c r="Y491" s="41">
        <f>GrossWeightTotalR+PalletQtyTotalR*25</f>
        <v>9126.8380000000016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1228.8257575757575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1229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16.286249999999999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873.6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1015.2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264.60000000000002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1500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144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648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1509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718.08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Ирина Забулонова</cp:lastModifiedBy>
  <cp:lastPrinted>2026-05-07T10:03:18Z</cp:lastPrinted>
  <dcterms:created xsi:type="dcterms:W3CDTF">2021-11-12T12:13:19Z</dcterms:created>
  <dcterms:modified xsi:type="dcterms:W3CDTF">2026-08-07T08:41:19Z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