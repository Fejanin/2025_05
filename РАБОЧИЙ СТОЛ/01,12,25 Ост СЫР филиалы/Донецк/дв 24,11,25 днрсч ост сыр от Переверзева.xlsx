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883C03F3-80C6-43D1-84B1-87F821A461B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3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V43" i="1"/>
  <c r="R7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8" i="1"/>
  <c r="R39" i="1"/>
  <c r="R40" i="1"/>
  <c r="R41" i="1"/>
  <c r="R6" i="1"/>
  <c r="R5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45" i="1"/>
  <c r="AG46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4" i="1"/>
  <c r="V45" i="1"/>
  <c r="V46" i="1"/>
  <c r="V6" i="1"/>
  <c r="Q29" i="1" l="1"/>
  <c r="P11" i="1" l="1"/>
  <c r="W11" i="1" l="1"/>
  <c r="Q23" i="1" l="1"/>
  <c r="Q43" i="1"/>
  <c r="Q15" i="1"/>
  <c r="Q8" i="1"/>
  <c r="W43" i="1"/>
  <c r="P46" i="1"/>
  <c r="W46" i="1" s="1"/>
  <c r="P45" i="1"/>
  <c r="W45" i="1" s="1"/>
  <c r="P44" i="1"/>
  <c r="W44" i="1" s="1"/>
  <c r="P43" i="1"/>
  <c r="P7" i="1"/>
  <c r="P8" i="1"/>
  <c r="P9" i="1"/>
  <c r="P10" i="1"/>
  <c r="P12" i="1"/>
  <c r="P13" i="1"/>
  <c r="P14" i="1"/>
  <c r="Q14" i="1" s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Q27" i="1" s="1"/>
  <c r="P28" i="1"/>
  <c r="P29" i="1"/>
  <c r="P30" i="1"/>
  <c r="Q30" i="1" s="1"/>
  <c r="P31" i="1"/>
  <c r="Q31" i="1" s="1"/>
  <c r="P32" i="1"/>
  <c r="P33" i="1"/>
  <c r="P34" i="1"/>
  <c r="P35" i="1"/>
  <c r="P36" i="1"/>
  <c r="P37" i="1"/>
  <c r="P38" i="1"/>
  <c r="P39" i="1"/>
  <c r="P40" i="1"/>
  <c r="Q40" i="1" s="1"/>
  <c r="P41" i="1"/>
  <c r="P6" i="1"/>
  <c r="W6" i="1" s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0" i="1"/>
  <c r="L9" i="1"/>
  <c r="L8" i="1"/>
  <c r="L44" i="1"/>
  <c r="L43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19" i="1" l="1"/>
  <c r="Q9" i="1"/>
  <c r="Q6" i="1"/>
  <c r="AG5" i="1" s="1"/>
  <c r="Q28" i="1"/>
  <c r="W38" i="1"/>
  <c r="W30" i="1"/>
  <c r="W22" i="1"/>
  <c r="W14" i="1"/>
  <c r="W34" i="1"/>
  <c r="W26" i="1"/>
  <c r="W18" i="1"/>
  <c r="W9" i="1"/>
  <c r="W40" i="1"/>
  <c r="W36" i="1"/>
  <c r="W32" i="1"/>
  <c r="W28" i="1"/>
  <c r="W24" i="1"/>
  <c r="W20" i="1"/>
  <c r="W16" i="1"/>
  <c r="W12" i="1"/>
  <c r="W7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0" i="1"/>
  <c r="W8" i="1"/>
  <c r="L5" i="1"/>
  <c r="P5" i="1"/>
  <c r="Q5" i="1" l="1"/>
</calcChain>
</file>

<file path=xl/sharedStrings.xml><?xml version="1.0" encoding="utf-8"?>
<sst xmlns="http://schemas.openxmlformats.org/spreadsheetml/2006/main" count="180" uniqueCount="103">
  <si>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</si>
  <si>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</si>
  <si>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</si>
  <si>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</si>
  <si>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</si>
  <si>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</si>
  <si>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</si>
  <si>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</si>
  <si>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</si>
  <si>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</si>
  <si>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</si>
  <si>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</si>
  <si>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</si>
  <si>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</si>
  <si>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</si>
  <si>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</si>
  <si>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</si>
  <si>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</si>
  <si>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</si>
  <si>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</si>
  <si>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</si>
  <si>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</si>
  <si>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</si>
  <si>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</si>
  <si>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</si>
  <si>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</si>
  <si>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</si>
  <si>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</si>
  <si>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</si>
  <si>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</si>
  <si>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</si>
  <si>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</si>
  <si>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</si>
  <si>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</si>
  <si>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</si>
  <si>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</si>
  <si>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</si>
  <si>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</si>
  <si>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</si>
  <si>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</si>
  <si>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</si>
  <si>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</si>
  <si>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</si>
  <si>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</si>
  <si>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</si>
  <si>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</si>
  <si>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</si>
  <si>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</si>
  <si>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</si>
  <si>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</si>
  <si>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</si>
  <si>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</si>
  <si>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</si>
  <si>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</si>
  <si>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</si>
  <si>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</si>
  <si>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</si>
  <si>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</si>
  <si>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</si>
  <si>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</si>
  <si>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</si>
  <si>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</si>
  <si>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</si>
  <si>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</si>
  <si>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</si>
  <si>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</si>
  <si>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</si>
  <si>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</si>
  <si>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</si>
  <si>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</si>
  <si>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</si>
  <si>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</si>
  <si>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</si>
  <si>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</si>
  <si>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</si>
  <si>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</si>
  <si>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</si>
  <si>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</si>
  <si>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</si>
  <si>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</si>
  <si>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</si>
  <si>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</si>
  <si>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</si>
  <si>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</si>
  <si>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</si>
  <si>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</si>
  <si>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</si>
  <si>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</si>
  <si>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</si>
  <si>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</si>
  <si>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</si>
  <si>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</si>
  <si>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</si>
  <si>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</si>
  <si>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</si>
  <si>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</si>
  <si>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</si>
  <si>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</si>
  <si>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есть потребность</t>
  </si>
  <si>
    <t>увеличена заявка,нет спроса на данное количество</t>
  </si>
  <si>
    <t>итого</t>
  </si>
  <si>
    <t>заказ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</si>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</sst>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0" fontId="0" fillId="0" borderId="1" xfId="0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35" customWidth="1"/>
    <col min="20" max="20" width="7" customWidth="1"/>
    <col min="21" max="21" width="21" customWidth="1"/>
    <col min="22" max="23" width="5" customWidth="1"/>
    <col min="24" max="31" width="6" customWidth="1"/>
    <col min="32" max="32" width="43.140625" customWidth="1"/>
    <col min="33" max="33" width="7" customWidth="1"/>
    <col min="34" max="52" width="3" customWidth="1"/>
  </cols>
  <sheetData>
    <row r="1" spans="1:52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100</v>
      </c>
      <c r="S3" s="2" t="s">
        <v>101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 t="s">
        <v>102</v>
      </c>
      <c r="T4" s="4"/>
      <c r="U4" s="4"/>
      <c r="V4" s="4"/>
      <c r="W4" s="4"/>
      <c r="X4" s="4" t="s">
        <v>24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SUM(E6:E495)</f>
        <v>1536.8570000000002</v>
      </c>
      <c r="F5" s="3">
        <f>SUM(F6:F495)</f>
        <v>2543.9680000000003</v>
      </c>
      <c r="G5" s="7"/>
      <c r="H5" s="4"/>
      <c r="I5" s="4"/>
      <c r="J5" s="4"/>
      <c r="K5" s="3">
        <f t="shared" ref="K5:T5" si="0">SUM(K6:K495)</f>
        <v>1575.662</v>
      </c>
      <c r="L5" s="3">
        <f t="shared" si="0"/>
        <v>-38.805</v>
      </c>
      <c r="M5" s="3">
        <f t="shared" si="0"/>
        <v>0</v>
      </c>
      <c r="N5" s="3">
        <f t="shared" si="0"/>
        <v>0</v>
      </c>
      <c r="O5" s="3">
        <f t="shared" si="0"/>
        <v>2865</v>
      </c>
      <c r="P5" s="3">
        <f t="shared" si="0"/>
        <v>307.37139999999999</v>
      </c>
      <c r="Q5" s="3">
        <f t="shared" si="0"/>
        <v>1366.2650000000001</v>
      </c>
      <c r="R5" s="3">
        <f t="shared" si="0"/>
        <v>1354.4010000000001</v>
      </c>
      <c r="S5" s="3">
        <f t="shared" si="0"/>
        <v>1371</v>
      </c>
      <c r="T5" s="3">
        <f t="shared" si="0"/>
        <v>210</v>
      </c>
      <c r="U5" s="4"/>
      <c r="V5" s="4"/>
      <c r="W5" s="4"/>
      <c r="X5" s="3">
        <f t="shared" ref="X5:AE5" si="1">SUM(X6:X495)</f>
        <v>343.51500000000004</v>
      </c>
      <c r="Y5" s="3">
        <f t="shared" si="1"/>
        <v>287.59940000000006</v>
      </c>
      <c r="Z5" s="3">
        <f t="shared" si="1"/>
        <v>285.67779999999999</v>
      </c>
      <c r="AA5" s="3">
        <f t="shared" si="1"/>
        <v>244.01059999999998</v>
      </c>
      <c r="AB5" s="3">
        <f t="shared" si="1"/>
        <v>285.69160000000005</v>
      </c>
      <c r="AC5" s="3">
        <f t="shared" si="1"/>
        <v>307.16539999999998</v>
      </c>
      <c r="AD5" s="3">
        <f t="shared" si="1"/>
        <v>230.56820000000002</v>
      </c>
      <c r="AE5" s="3">
        <f t="shared" si="1"/>
        <v>193.3862</v>
      </c>
      <c r="AF5" s="4"/>
      <c r="AG5" s="3">
        <f>SUM(AG6:AG495)</f>
        <v>541.90100000000007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37</v>
      </c>
      <c r="B6" s="4" t="s">
        <v>34</v>
      </c>
      <c r="C6" s="4">
        <v>178</v>
      </c>
      <c r="D6" s="4">
        <v>8</v>
      </c>
      <c r="E6" s="4">
        <v>42</v>
      </c>
      <c r="F6" s="4">
        <v>138</v>
      </c>
      <c r="G6" s="7">
        <v>0.18</v>
      </c>
      <c r="H6" s="4">
        <v>270</v>
      </c>
      <c r="I6" s="4">
        <v>9988438</v>
      </c>
      <c r="J6" s="4"/>
      <c r="K6" s="4">
        <v>46</v>
      </c>
      <c r="L6" s="4">
        <f t="shared" ref="L6:L41" si="2">E6-K6</f>
        <v>-4</v>
      </c>
      <c r="M6" s="4"/>
      <c r="N6" s="4"/>
      <c r="O6" s="4">
        <v>0</v>
      </c>
      <c r="P6" s="4">
        <f>E6/5</f>
        <v>8.4</v>
      </c>
      <c r="Q6" s="9">
        <f>20*P6-O6-F6</f>
        <v>30</v>
      </c>
      <c r="R6" s="9">
        <f>Q6</f>
        <v>30</v>
      </c>
      <c r="S6" s="9">
        <f>IFERROR(VLOOKUP(A6,заказ!A:B,2,0),0)</f>
        <v>32</v>
      </c>
      <c r="T6" s="9"/>
      <c r="U6" s="4"/>
      <c r="V6" s="4">
        <f>(F6+O6+R6)/P6</f>
        <v>20</v>
      </c>
      <c r="W6" s="4">
        <f>(F6+O6)/P6</f>
        <v>16.428571428571427</v>
      </c>
      <c r="X6" s="4">
        <v>5.2</v>
      </c>
      <c r="Y6" s="4">
        <v>8.6</v>
      </c>
      <c r="Z6" s="4">
        <v>8.6</v>
      </c>
      <c r="AA6" s="4">
        <v>4</v>
      </c>
      <c r="AB6" s="4">
        <v>5.2</v>
      </c>
      <c r="AC6" s="4">
        <v>5</v>
      </c>
      <c r="AD6" s="4">
        <v>5.6</v>
      </c>
      <c r="AE6" s="4">
        <v>4.4000000000000004</v>
      </c>
      <c r="AF6" s="4"/>
      <c r="AG6" s="4">
        <f>G6*R6</f>
        <v>5.3999999999999995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38</v>
      </c>
      <c r="B7" s="4" t="s">
        <v>34</v>
      </c>
      <c r="C7" s="4">
        <v>195</v>
      </c>
      <c r="D7" s="4">
        <v>6</v>
      </c>
      <c r="E7" s="4">
        <v>28</v>
      </c>
      <c r="F7" s="4">
        <v>165</v>
      </c>
      <c r="G7" s="7">
        <v>0.18</v>
      </c>
      <c r="H7" s="4">
        <v>270</v>
      </c>
      <c r="I7" s="4">
        <v>9988445</v>
      </c>
      <c r="J7" s="4"/>
      <c r="K7" s="4">
        <v>32</v>
      </c>
      <c r="L7" s="4">
        <f t="shared" si="2"/>
        <v>-4</v>
      </c>
      <c r="M7" s="4"/>
      <c r="N7" s="4"/>
      <c r="O7" s="4">
        <v>0</v>
      </c>
      <c r="P7" s="4">
        <f t="shared" ref="P7:P46" si="3">E7/5</f>
        <v>5.6</v>
      </c>
      <c r="Q7" s="9"/>
      <c r="R7" s="9">
        <f t="shared" ref="R7:R41" si="4">Q7</f>
        <v>0</v>
      </c>
      <c r="S7" s="9">
        <f>IFERROR(VLOOKUP(A7,заказ!A:B,2,0),0)</f>
        <v>0</v>
      </c>
      <c r="T7" s="9"/>
      <c r="U7" s="4"/>
      <c r="V7" s="4">
        <f t="shared" ref="V7:V46" si="5">(F7+O7+R7)/P7</f>
        <v>29.464285714285715</v>
      </c>
      <c r="W7" s="4">
        <f t="shared" ref="W7:W41" si="6">(F7+O7)/P7</f>
        <v>29.464285714285715</v>
      </c>
      <c r="X7" s="4">
        <v>3.6</v>
      </c>
      <c r="Y7" s="4">
        <v>7.2</v>
      </c>
      <c r="Z7" s="4">
        <v>7.8</v>
      </c>
      <c r="AA7" s="4">
        <v>4.2</v>
      </c>
      <c r="AB7" s="4">
        <v>4.8</v>
      </c>
      <c r="AC7" s="4">
        <v>4.2</v>
      </c>
      <c r="AD7" s="4">
        <v>5</v>
      </c>
      <c r="AE7" s="4">
        <v>4.2</v>
      </c>
      <c r="AF7" s="24" t="s">
        <v>44</v>
      </c>
      <c r="AG7" s="4">
        <f t="shared" ref="AG7:AG46" si="7">G7*R7</f>
        <v>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41</v>
      </c>
      <c r="B8" s="4" t="s">
        <v>34</v>
      </c>
      <c r="C8" s="4">
        <v>34</v>
      </c>
      <c r="D8" s="4">
        <v>9</v>
      </c>
      <c r="E8" s="4">
        <v>28</v>
      </c>
      <c r="F8" s="4">
        <v>14</v>
      </c>
      <c r="G8" s="7">
        <v>0.4</v>
      </c>
      <c r="H8" s="4">
        <v>270</v>
      </c>
      <c r="I8" s="4">
        <v>9988452</v>
      </c>
      <c r="J8" s="4"/>
      <c r="K8" s="4">
        <v>28</v>
      </c>
      <c r="L8" s="4">
        <f t="shared" si="2"/>
        <v>0</v>
      </c>
      <c r="M8" s="4"/>
      <c r="N8" s="4"/>
      <c r="O8" s="4">
        <v>48</v>
      </c>
      <c r="P8" s="4">
        <f t="shared" si="3"/>
        <v>5.6</v>
      </c>
      <c r="Q8" s="9">
        <f t="shared" ref="Q8:Q15" si="8">20*P8-O8-F8</f>
        <v>50</v>
      </c>
      <c r="R8" s="9">
        <f t="shared" si="4"/>
        <v>50</v>
      </c>
      <c r="S8" s="9">
        <f>IFERROR(VLOOKUP(A8,заказ!A:B,2,0),0)</f>
        <v>48</v>
      </c>
      <c r="T8" s="9"/>
      <c r="U8" s="4"/>
      <c r="V8" s="4">
        <f t="shared" si="5"/>
        <v>20</v>
      </c>
      <c r="W8" s="4">
        <f t="shared" si="6"/>
        <v>11.071428571428573</v>
      </c>
      <c r="X8" s="4">
        <v>4.4000000000000004</v>
      </c>
      <c r="Y8" s="4">
        <v>3.4</v>
      </c>
      <c r="Z8" s="4">
        <v>4</v>
      </c>
      <c r="AA8" s="4">
        <v>3</v>
      </c>
      <c r="AB8" s="4">
        <v>5.4</v>
      </c>
      <c r="AC8" s="4">
        <v>1.6</v>
      </c>
      <c r="AD8" s="4">
        <v>4.8</v>
      </c>
      <c r="AE8" s="4">
        <v>3.8</v>
      </c>
      <c r="AF8" s="4" t="s">
        <v>42</v>
      </c>
      <c r="AG8" s="4">
        <f t="shared" si="7"/>
        <v>20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43</v>
      </c>
      <c r="B9" s="4" t="s">
        <v>34</v>
      </c>
      <c r="C9" s="4">
        <v>43</v>
      </c>
      <c r="D9" s="4"/>
      <c r="E9" s="4">
        <v>24</v>
      </c>
      <c r="F9" s="4">
        <v>19</v>
      </c>
      <c r="G9" s="7">
        <v>0.4</v>
      </c>
      <c r="H9" s="4">
        <v>270</v>
      </c>
      <c r="I9" s="4">
        <v>9988476</v>
      </c>
      <c r="J9" s="4"/>
      <c r="K9" s="4">
        <v>24</v>
      </c>
      <c r="L9" s="4">
        <f t="shared" si="2"/>
        <v>0</v>
      </c>
      <c r="M9" s="4"/>
      <c r="N9" s="4"/>
      <c r="O9" s="4">
        <v>0</v>
      </c>
      <c r="P9" s="4">
        <f t="shared" si="3"/>
        <v>4.8</v>
      </c>
      <c r="Q9" s="9">
        <f>18*P9-O9-F9</f>
        <v>67.399999999999991</v>
      </c>
      <c r="R9" s="9">
        <f t="shared" si="4"/>
        <v>67.399999999999991</v>
      </c>
      <c r="S9" s="9">
        <f>IFERROR(VLOOKUP(A9,заказ!A:B,2,0),0)</f>
        <v>56</v>
      </c>
      <c r="T9" s="9"/>
      <c r="U9" s="4"/>
      <c r="V9" s="4">
        <f t="shared" si="5"/>
        <v>18</v>
      </c>
      <c r="W9" s="4">
        <f t="shared" si="6"/>
        <v>3.9583333333333335</v>
      </c>
      <c r="X9" s="4">
        <v>1.4</v>
      </c>
      <c r="Y9" s="4">
        <v>2.2000000000000002</v>
      </c>
      <c r="Z9" s="4">
        <v>2.8</v>
      </c>
      <c r="AA9" s="4">
        <v>4.4000000000000004</v>
      </c>
      <c r="AB9" s="4">
        <v>3</v>
      </c>
      <c r="AC9" s="4">
        <v>2.4</v>
      </c>
      <c r="AD9" s="4">
        <v>2.2000000000000002</v>
      </c>
      <c r="AE9" s="4">
        <v>0.8</v>
      </c>
      <c r="AF9" s="4"/>
      <c r="AG9" s="4">
        <f t="shared" si="7"/>
        <v>26.959999999999997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45</v>
      </c>
      <c r="B10" s="4" t="s">
        <v>34</v>
      </c>
      <c r="C10" s="4">
        <v>46</v>
      </c>
      <c r="D10" s="4">
        <v>21</v>
      </c>
      <c r="E10" s="4">
        <v>33</v>
      </c>
      <c r="F10" s="4">
        <v>25</v>
      </c>
      <c r="G10" s="7">
        <v>0.18</v>
      </c>
      <c r="H10" s="4">
        <v>150</v>
      </c>
      <c r="I10" s="4">
        <v>5034819</v>
      </c>
      <c r="J10" s="4"/>
      <c r="K10" s="4">
        <v>39</v>
      </c>
      <c r="L10" s="4">
        <f t="shared" si="2"/>
        <v>-6</v>
      </c>
      <c r="M10" s="4"/>
      <c r="N10" s="4"/>
      <c r="O10" s="4">
        <v>120</v>
      </c>
      <c r="P10" s="4">
        <f t="shared" si="3"/>
        <v>6.6</v>
      </c>
      <c r="Q10" s="9"/>
      <c r="R10" s="9">
        <f t="shared" si="4"/>
        <v>0</v>
      </c>
      <c r="S10" s="9">
        <f>IFERROR(VLOOKUP(A10,заказ!A:B,2,0),0)</f>
        <v>0</v>
      </c>
      <c r="T10" s="9"/>
      <c r="U10" s="4"/>
      <c r="V10" s="4">
        <f t="shared" si="5"/>
        <v>21.969696969696972</v>
      </c>
      <c r="W10" s="4">
        <f t="shared" si="6"/>
        <v>21.969696969696972</v>
      </c>
      <c r="X10" s="4">
        <v>9</v>
      </c>
      <c r="Y10" s="4">
        <v>5.6</v>
      </c>
      <c r="Z10" s="4">
        <v>5.4</v>
      </c>
      <c r="AA10" s="4">
        <v>8.1999999999999993</v>
      </c>
      <c r="AB10" s="4">
        <v>7.2</v>
      </c>
      <c r="AC10" s="4">
        <v>6.4</v>
      </c>
      <c r="AD10" s="4">
        <v>4</v>
      </c>
      <c r="AE10" s="4">
        <v>0</v>
      </c>
      <c r="AF10" s="4" t="s">
        <v>46</v>
      </c>
      <c r="AG10" s="4">
        <f t="shared" si="7"/>
        <v>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s="33" customFormat="1" x14ac:dyDescent="0.25">
      <c r="A11" s="29" t="s">
        <v>95</v>
      </c>
      <c r="B11" s="30" t="s">
        <v>34</v>
      </c>
      <c r="C11" s="30"/>
      <c r="D11" s="30"/>
      <c r="E11" s="30"/>
      <c r="F11" s="30"/>
      <c r="G11" s="31">
        <v>0.14000000000000001</v>
      </c>
      <c r="H11" s="29">
        <v>180</v>
      </c>
      <c r="I11" s="30">
        <v>9988377</v>
      </c>
      <c r="J11" s="30"/>
      <c r="K11" s="30"/>
      <c r="L11" s="30"/>
      <c r="M11" s="30"/>
      <c r="N11" s="30"/>
      <c r="O11" s="30"/>
      <c r="P11" s="30">
        <f t="shared" si="3"/>
        <v>0</v>
      </c>
      <c r="Q11" s="32"/>
      <c r="R11" s="9">
        <v>50</v>
      </c>
      <c r="S11" s="9">
        <f>IFERROR(VLOOKUP(A11,заказ!A:B,2,0),0)</f>
        <v>48</v>
      </c>
      <c r="T11" s="32">
        <v>50</v>
      </c>
      <c r="U11" s="30" t="s">
        <v>98</v>
      </c>
      <c r="V11" s="4" t="e">
        <f t="shared" si="5"/>
        <v>#DIV/0!</v>
      </c>
      <c r="W11" s="30" t="e">
        <f t="shared" si="6"/>
        <v>#DIV/0!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29" t="s">
        <v>96</v>
      </c>
      <c r="AG11" s="4">
        <f t="shared" si="7"/>
        <v>7.0000000000000009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47</v>
      </c>
      <c r="B12" s="4" t="s">
        <v>34</v>
      </c>
      <c r="C12" s="4">
        <v>305</v>
      </c>
      <c r="D12" s="4">
        <v>16</v>
      </c>
      <c r="E12" s="4">
        <v>128</v>
      </c>
      <c r="F12" s="4">
        <v>193</v>
      </c>
      <c r="G12" s="7">
        <v>0.1</v>
      </c>
      <c r="H12" s="4">
        <v>90</v>
      </c>
      <c r="I12" s="4">
        <v>8444163</v>
      </c>
      <c r="J12" s="4"/>
      <c r="K12" s="4">
        <v>128</v>
      </c>
      <c r="L12" s="4">
        <f t="shared" si="2"/>
        <v>0</v>
      </c>
      <c r="M12" s="4"/>
      <c r="N12" s="4"/>
      <c r="O12" s="4">
        <v>456</v>
      </c>
      <c r="P12" s="4">
        <f t="shared" si="3"/>
        <v>25.6</v>
      </c>
      <c r="Q12" s="9"/>
      <c r="R12" s="9">
        <f t="shared" si="4"/>
        <v>0</v>
      </c>
      <c r="S12" s="9">
        <f>IFERROR(VLOOKUP(A12,заказ!A:B,2,0),0)</f>
        <v>0</v>
      </c>
      <c r="T12" s="9"/>
      <c r="U12" s="4"/>
      <c r="V12" s="4">
        <f t="shared" si="5"/>
        <v>25.3515625</v>
      </c>
      <c r="W12" s="4">
        <f t="shared" si="6"/>
        <v>25.3515625</v>
      </c>
      <c r="X12" s="4">
        <v>38.799999999999997</v>
      </c>
      <c r="Y12" s="4">
        <v>25.8</v>
      </c>
      <c r="Z12" s="4">
        <v>32.200000000000003</v>
      </c>
      <c r="AA12" s="4">
        <v>36.200000000000003</v>
      </c>
      <c r="AB12" s="4">
        <v>25.6</v>
      </c>
      <c r="AC12" s="4">
        <v>34.6</v>
      </c>
      <c r="AD12" s="4">
        <v>22.4</v>
      </c>
      <c r="AE12" s="4">
        <v>23.6</v>
      </c>
      <c r="AF12" s="4" t="s">
        <v>48</v>
      </c>
      <c r="AG12" s="4">
        <f t="shared" si="7"/>
        <v>0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49</v>
      </c>
      <c r="B13" s="4" t="s">
        <v>34</v>
      </c>
      <c r="C13" s="4"/>
      <c r="D13" s="4">
        <v>100</v>
      </c>
      <c r="E13" s="4">
        <v>14</v>
      </c>
      <c r="F13" s="4">
        <v>86</v>
      </c>
      <c r="G13" s="7">
        <v>0.18</v>
      </c>
      <c r="H13" s="4">
        <v>150</v>
      </c>
      <c r="I13" s="4">
        <v>5038411</v>
      </c>
      <c r="J13" s="4"/>
      <c r="K13" s="4">
        <v>14</v>
      </c>
      <c r="L13" s="4">
        <f t="shared" si="2"/>
        <v>0</v>
      </c>
      <c r="M13" s="4"/>
      <c r="N13" s="4"/>
      <c r="O13" s="4">
        <v>160</v>
      </c>
      <c r="P13" s="4">
        <f t="shared" si="3"/>
        <v>2.8</v>
      </c>
      <c r="Q13" s="9"/>
      <c r="R13" s="9">
        <f t="shared" si="4"/>
        <v>0</v>
      </c>
      <c r="S13" s="9">
        <f>IFERROR(VLOOKUP(A13,заказ!A:B,2,0),0)</f>
        <v>0</v>
      </c>
      <c r="T13" s="9"/>
      <c r="U13" s="4"/>
      <c r="V13" s="4">
        <f t="shared" si="5"/>
        <v>87.857142857142861</v>
      </c>
      <c r="W13" s="4">
        <f t="shared" si="6"/>
        <v>87.857142857142861</v>
      </c>
      <c r="X13" s="4">
        <v>8.1999999999999993</v>
      </c>
      <c r="Y13" s="4">
        <v>7.4</v>
      </c>
      <c r="Z13" s="4">
        <v>6.2</v>
      </c>
      <c r="AA13" s="4">
        <v>8.6</v>
      </c>
      <c r="AB13" s="4">
        <v>8</v>
      </c>
      <c r="AC13" s="4">
        <v>6.8</v>
      </c>
      <c r="AD13" s="4">
        <v>4.2</v>
      </c>
      <c r="AE13" s="4">
        <v>7</v>
      </c>
      <c r="AF13" s="4"/>
      <c r="AG13" s="4">
        <f t="shared" si="7"/>
        <v>0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50</v>
      </c>
      <c r="B14" s="4" t="s">
        <v>34</v>
      </c>
      <c r="C14" s="4">
        <v>63</v>
      </c>
      <c r="D14" s="4">
        <v>36</v>
      </c>
      <c r="E14" s="4">
        <v>64</v>
      </c>
      <c r="F14" s="4">
        <v>31</v>
      </c>
      <c r="G14" s="7">
        <v>0.18</v>
      </c>
      <c r="H14" s="4">
        <v>150</v>
      </c>
      <c r="I14" s="4">
        <v>5038459</v>
      </c>
      <c r="J14" s="4"/>
      <c r="K14" s="4">
        <v>66</v>
      </c>
      <c r="L14" s="4">
        <f t="shared" si="2"/>
        <v>-2</v>
      </c>
      <c r="M14" s="4"/>
      <c r="N14" s="4"/>
      <c r="O14" s="4">
        <v>140</v>
      </c>
      <c r="P14" s="4">
        <f t="shared" si="3"/>
        <v>12.8</v>
      </c>
      <c r="Q14" s="9">
        <f t="shared" si="8"/>
        <v>85</v>
      </c>
      <c r="R14" s="9">
        <f t="shared" si="4"/>
        <v>85</v>
      </c>
      <c r="S14" s="9">
        <f>IFERROR(VLOOKUP(A14,заказ!A:B,2,0),0)</f>
        <v>80</v>
      </c>
      <c r="T14" s="9"/>
      <c r="U14" s="4"/>
      <c r="V14" s="4">
        <f t="shared" si="5"/>
        <v>20</v>
      </c>
      <c r="W14" s="4">
        <f t="shared" si="6"/>
        <v>13.359375</v>
      </c>
      <c r="X14" s="4">
        <v>11.6</v>
      </c>
      <c r="Y14" s="4">
        <v>8</v>
      </c>
      <c r="Z14" s="4">
        <v>7.2</v>
      </c>
      <c r="AA14" s="4">
        <v>10.8</v>
      </c>
      <c r="AB14" s="4">
        <v>8.4</v>
      </c>
      <c r="AC14" s="4">
        <v>9.1999999999999993</v>
      </c>
      <c r="AD14" s="4">
        <v>8.6</v>
      </c>
      <c r="AE14" s="4">
        <v>8.4</v>
      </c>
      <c r="AF14" s="4"/>
      <c r="AG14" s="4">
        <f t="shared" si="7"/>
        <v>15.299999999999999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51</v>
      </c>
      <c r="B15" s="4" t="s">
        <v>34</v>
      </c>
      <c r="C15" s="4">
        <v>34</v>
      </c>
      <c r="D15" s="4">
        <v>47</v>
      </c>
      <c r="E15" s="4">
        <v>34</v>
      </c>
      <c r="F15" s="4">
        <v>43</v>
      </c>
      <c r="G15" s="7">
        <v>0.18</v>
      </c>
      <c r="H15" s="4">
        <v>150</v>
      </c>
      <c r="I15" s="4">
        <v>5038831</v>
      </c>
      <c r="J15" s="4"/>
      <c r="K15" s="4">
        <v>35</v>
      </c>
      <c r="L15" s="4">
        <f t="shared" si="2"/>
        <v>-1</v>
      </c>
      <c r="M15" s="4"/>
      <c r="N15" s="4"/>
      <c r="O15" s="4">
        <v>30</v>
      </c>
      <c r="P15" s="4">
        <f t="shared" si="3"/>
        <v>6.8</v>
      </c>
      <c r="Q15" s="9">
        <f t="shared" si="8"/>
        <v>63</v>
      </c>
      <c r="R15" s="9">
        <f t="shared" si="4"/>
        <v>63</v>
      </c>
      <c r="S15" s="9">
        <f>IFERROR(VLOOKUP(A15,заказ!A:B,2,0),0)</f>
        <v>60</v>
      </c>
      <c r="T15" s="9"/>
      <c r="U15" s="4"/>
      <c r="V15" s="4">
        <f t="shared" si="5"/>
        <v>20</v>
      </c>
      <c r="W15" s="4">
        <f t="shared" si="6"/>
        <v>10.73529411764706</v>
      </c>
      <c r="X15" s="4">
        <v>5.6</v>
      </c>
      <c r="Y15" s="4">
        <v>5.8</v>
      </c>
      <c r="Z15" s="4">
        <v>4.8</v>
      </c>
      <c r="AA15" s="4">
        <v>6.6</v>
      </c>
      <c r="AB15" s="4">
        <v>5.2</v>
      </c>
      <c r="AC15" s="4">
        <v>4.8</v>
      </c>
      <c r="AD15" s="4">
        <v>5.6</v>
      </c>
      <c r="AE15" s="4">
        <v>4.4000000000000004</v>
      </c>
      <c r="AF15" s="4" t="s">
        <v>52</v>
      </c>
      <c r="AG15" s="4">
        <f t="shared" si="7"/>
        <v>11.34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53</v>
      </c>
      <c r="B16" s="4" t="s">
        <v>34</v>
      </c>
      <c r="C16" s="4"/>
      <c r="D16" s="4"/>
      <c r="E16" s="4"/>
      <c r="F16" s="4"/>
      <c r="G16" s="7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4">
        <v>70</v>
      </c>
      <c r="P16" s="4">
        <f t="shared" si="3"/>
        <v>0</v>
      </c>
      <c r="Q16" s="9"/>
      <c r="R16" s="9">
        <f t="shared" si="4"/>
        <v>0</v>
      </c>
      <c r="S16" s="9">
        <f>IFERROR(VLOOKUP(A16,заказ!A:B,2,0),0)</f>
        <v>0</v>
      </c>
      <c r="T16" s="9"/>
      <c r="U16" s="4"/>
      <c r="V16" s="4" t="e">
        <f t="shared" si="5"/>
        <v>#DIV/0!</v>
      </c>
      <c r="W16" s="4" t="e">
        <f t="shared" si="6"/>
        <v>#DIV/0!</v>
      </c>
      <c r="X16" s="4">
        <v>0</v>
      </c>
      <c r="Y16" s="4">
        <v>0</v>
      </c>
      <c r="Z16" s="4">
        <v>0</v>
      </c>
      <c r="AA16" s="4">
        <v>0</v>
      </c>
      <c r="AB16" s="4">
        <v>1.4</v>
      </c>
      <c r="AC16" s="4">
        <v>5.6</v>
      </c>
      <c r="AD16" s="4">
        <v>5.8</v>
      </c>
      <c r="AE16" s="4">
        <v>4.5999999999999996</v>
      </c>
      <c r="AF16" s="4" t="s">
        <v>54</v>
      </c>
      <c r="AG16" s="4">
        <f t="shared" si="7"/>
        <v>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55</v>
      </c>
      <c r="B17" s="4" t="s">
        <v>34</v>
      </c>
      <c r="C17" s="4">
        <v>57</v>
      </c>
      <c r="D17" s="4">
        <v>104</v>
      </c>
      <c r="E17" s="4">
        <v>92</v>
      </c>
      <c r="F17" s="4">
        <v>64</v>
      </c>
      <c r="G17" s="7">
        <v>0.18</v>
      </c>
      <c r="H17" s="4">
        <v>150</v>
      </c>
      <c r="I17" s="4">
        <v>5038435</v>
      </c>
      <c r="J17" s="4"/>
      <c r="K17" s="4">
        <v>93</v>
      </c>
      <c r="L17" s="4">
        <f t="shared" si="2"/>
        <v>-1</v>
      </c>
      <c r="M17" s="4"/>
      <c r="N17" s="4"/>
      <c r="O17" s="4">
        <v>430</v>
      </c>
      <c r="P17" s="4">
        <f t="shared" si="3"/>
        <v>18.399999999999999</v>
      </c>
      <c r="Q17" s="9"/>
      <c r="R17" s="9">
        <f t="shared" si="4"/>
        <v>0</v>
      </c>
      <c r="S17" s="9">
        <f>IFERROR(VLOOKUP(A17,заказ!A:B,2,0),0)</f>
        <v>0</v>
      </c>
      <c r="T17" s="9"/>
      <c r="U17" s="4"/>
      <c r="V17" s="4">
        <f t="shared" si="5"/>
        <v>26.847826086956523</v>
      </c>
      <c r="W17" s="4">
        <f t="shared" si="6"/>
        <v>26.847826086956523</v>
      </c>
      <c r="X17" s="4">
        <v>23.8</v>
      </c>
      <c r="Y17" s="4">
        <v>11.6</v>
      </c>
      <c r="Z17" s="4">
        <v>8.8000000000000007</v>
      </c>
      <c r="AA17" s="4">
        <v>14.6</v>
      </c>
      <c r="AB17" s="4">
        <v>13</v>
      </c>
      <c r="AC17" s="4">
        <v>8.4</v>
      </c>
      <c r="AD17" s="4">
        <v>13.6</v>
      </c>
      <c r="AE17" s="4">
        <v>11.2</v>
      </c>
      <c r="AF17" s="4"/>
      <c r="AG17" s="4">
        <f t="shared" si="7"/>
        <v>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5.75" thickBot="1" x14ac:dyDescent="0.3">
      <c r="A18" s="4" t="s">
        <v>56</v>
      </c>
      <c r="B18" s="4" t="s">
        <v>34</v>
      </c>
      <c r="C18" s="4">
        <v>33</v>
      </c>
      <c r="D18" s="4">
        <v>91</v>
      </c>
      <c r="E18" s="4">
        <v>55</v>
      </c>
      <c r="F18" s="4">
        <v>64</v>
      </c>
      <c r="G18" s="7">
        <v>0.18</v>
      </c>
      <c r="H18" s="4">
        <v>120</v>
      </c>
      <c r="I18" s="4">
        <v>5038398</v>
      </c>
      <c r="J18" s="4"/>
      <c r="K18" s="4">
        <v>62</v>
      </c>
      <c r="L18" s="4">
        <f t="shared" si="2"/>
        <v>-7</v>
      </c>
      <c r="M18" s="4"/>
      <c r="N18" s="4"/>
      <c r="O18" s="4">
        <v>180</v>
      </c>
      <c r="P18" s="4">
        <f t="shared" si="3"/>
        <v>11</v>
      </c>
      <c r="Q18" s="9"/>
      <c r="R18" s="9">
        <f t="shared" si="4"/>
        <v>0</v>
      </c>
      <c r="S18" s="9">
        <f>IFERROR(VLOOKUP(A18,заказ!A:B,2,0),0)</f>
        <v>0</v>
      </c>
      <c r="T18" s="9"/>
      <c r="U18" s="4"/>
      <c r="V18" s="4">
        <f t="shared" si="5"/>
        <v>22.181818181818183</v>
      </c>
      <c r="W18" s="4">
        <f t="shared" si="6"/>
        <v>22.181818181818183</v>
      </c>
      <c r="X18" s="4">
        <v>14.8</v>
      </c>
      <c r="Y18" s="4">
        <v>9.1999999999999993</v>
      </c>
      <c r="Z18" s="4">
        <v>6.2</v>
      </c>
      <c r="AA18" s="4">
        <v>4.8</v>
      </c>
      <c r="AB18" s="4">
        <v>9</v>
      </c>
      <c r="AC18" s="4">
        <v>9.4</v>
      </c>
      <c r="AD18" s="4">
        <v>6.2</v>
      </c>
      <c r="AE18" s="4">
        <v>5.8</v>
      </c>
      <c r="AF18" s="4"/>
      <c r="AG18" s="4">
        <f t="shared" si="7"/>
        <v>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12" t="s">
        <v>57</v>
      </c>
      <c r="B19" s="13" t="s">
        <v>58</v>
      </c>
      <c r="C19" s="13"/>
      <c r="D19" s="13"/>
      <c r="E19" s="13"/>
      <c r="F19" s="14"/>
      <c r="G19" s="7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50</v>
      </c>
      <c r="P19" s="4">
        <f t="shared" si="3"/>
        <v>0</v>
      </c>
      <c r="Q19" s="9">
        <f>20*(P19+P20)-O19-O20-F19-F20</f>
        <v>3.8239999999999981</v>
      </c>
      <c r="R19" s="9">
        <f t="shared" si="4"/>
        <v>3.8239999999999981</v>
      </c>
      <c r="S19" s="9">
        <f>IFERROR(VLOOKUP(A19,заказ!A:B,2,0),0)</f>
        <v>16</v>
      </c>
      <c r="T19" s="9"/>
      <c r="U19" s="4"/>
      <c r="V19" s="4" t="e">
        <f t="shared" si="5"/>
        <v>#DIV/0!</v>
      </c>
      <c r="W19" s="4" t="e">
        <f t="shared" si="6"/>
        <v>#DIV/0!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/>
      <c r="AG19" s="4">
        <f t="shared" si="7"/>
        <v>3.8239999999999981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5.75" thickBot="1" x14ac:dyDescent="0.3">
      <c r="A20" s="15" t="s">
        <v>59</v>
      </c>
      <c r="B20" s="16" t="s">
        <v>58</v>
      </c>
      <c r="C20" s="16">
        <v>13.456</v>
      </c>
      <c r="D20" s="16"/>
      <c r="E20" s="16">
        <v>13.456</v>
      </c>
      <c r="F20" s="17"/>
      <c r="G20" s="18">
        <v>0</v>
      </c>
      <c r="H20" s="19" t="e">
        <v>#N/A</v>
      </c>
      <c r="I20" s="19" t="s">
        <v>60</v>
      </c>
      <c r="J20" s="19" t="s">
        <v>57</v>
      </c>
      <c r="K20" s="19">
        <v>12</v>
      </c>
      <c r="L20" s="19">
        <f t="shared" si="2"/>
        <v>1.4559999999999995</v>
      </c>
      <c r="M20" s="19"/>
      <c r="N20" s="19"/>
      <c r="O20" s="19">
        <v>0</v>
      </c>
      <c r="P20" s="19">
        <f t="shared" si="3"/>
        <v>2.6911999999999998</v>
      </c>
      <c r="Q20" s="20"/>
      <c r="R20" s="9">
        <f t="shared" si="4"/>
        <v>0</v>
      </c>
      <c r="S20" s="9">
        <f>IFERROR(VLOOKUP(A20,заказ!A:B,2,0),0)</f>
        <v>0</v>
      </c>
      <c r="T20" s="20"/>
      <c r="U20" s="19"/>
      <c r="V20" s="4">
        <f t="shared" si="5"/>
        <v>0</v>
      </c>
      <c r="W20" s="19">
        <f t="shared" si="6"/>
        <v>0</v>
      </c>
      <c r="X20" s="19">
        <v>3.3816000000000002</v>
      </c>
      <c r="Y20" s="19">
        <v>0.74560000000000004</v>
      </c>
      <c r="Z20" s="19">
        <v>0.6956</v>
      </c>
      <c r="AA20" s="19">
        <v>0</v>
      </c>
      <c r="AB20" s="19">
        <v>0</v>
      </c>
      <c r="AC20" s="19">
        <v>1.9572000000000001</v>
      </c>
      <c r="AD20" s="19">
        <v>0.69900000000000007</v>
      </c>
      <c r="AE20" s="19">
        <v>0.64640000000000009</v>
      </c>
      <c r="AF20" s="19"/>
      <c r="AG20" s="4">
        <f t="shared" si="7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12" t="s">
        <v>61</v>
      </c>
      <c r="B21" s="13" t="s">
        <v>58</v>
      </c>
      <c r="C21" s="13"/>
      <c r="D21" s="13"/>
      <c r="E21" s="13"/>
      <c r="F21" s="14"/>
      <c r="G21" s="7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50</v>
      </c>
      <c r="P21" s="4">
        <f t="shared" si="3"/>
        <v>0</v>
      </c>
      <c r="Q21" s="9"/>
      <c r="R21" s="9">
        <f t="shared" si="4"/>
        <v>0</v>
      </c>
      <c r="S21" s="9">
        <f>IFERROR(VLOOKUP(A21,заказ!A:B,2,0),0)</f>
        <v>0</v>
      </c>
      <c r="T21" s="9"/>
      <c r="U21" s="4"/>
      <c r="V21" s="4" t="e">
        <f t="shared" si="5"/>
        <v>#DIV/0!</v>
      </c>
      <c r="W21" s="4" t="e">
        <f t="shared" si="6"/>
        <v>#DIV/0!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 t="s">
        <v>62</v>
      </c>
      <c r="AG21" s="4">
        <f t="shared" si="7"/>
        <v>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15" t="s">
        <v>63</v>
      </c>
      <c r="B22" s="16" t="s">
        <v>58</v>
      </c>
      <c r="C22" s="16">
        <v>13.394</v>
      </c>
      <c r="D22" s="16">
        <v>18.172000000000001</v>
      </c>
      <c r="E22" s="16">
        <v>6.35</v>
      </c>
      <c r="F22" s="17">
        <v>22.916</v>
      </c>
      <c r="G22" s="18">
        <v>0</v>
      </c>
      <c r="H22" s="19" t="e">
        <v>#N/A</v>
      </c>
      <c r="I22" s="19" t="s">
        <v>60</v>
      </c>
      <c r="J22" s="19" t="s">
        <v>61</v>
      </c>
      <c r="K22" s="19">
        <v>9</v>
      </c>
      <c r="L22" s="19">
        <f t="shared" si="2"/>
        <v>-2.6500000000000004</v>
      </c>
      <c r="M22" s="19"/>
      <c r="N22" s="19"/>
      <c r="O22" s="19">
        <v>0</v>
      </c>
      <c r="P22" s="19">
        <f t="shared" si="3"/>
        <v>1.27</v>
      </c>
      <c r="Q22" s="20"/>
      <c r="R22" s="9">
        <f t="shared" si="4"/>
        <v>0</v>
      </c>
      <c r="S22" s="9">
        <f>IFERROR(VLOOKUP(A22,заказ!A:B,2,0),0)</f>
        <v>0</v>
      </c>
      <c r="T22" s="20"/>
      <c r="U22" s="19"/>
      <c r="V22" s="4">
        <f t="shared" si="5"/>
        <v>18.044094488188975</v>
      </c>
      <c r="W22" s="19">
        <f t="shared" si="6"/>
        <v>18.044094488188975</v>
      </c>
      <c r="X22" s="19">
        <v>4.7476000000000003</v>
      </c>
      <c r="Y22" s="19">
        <v>2.7551999999999999</v>
      </c>
      <c r="Z22" s="19">
        <v>1.3755999999999999</v>
      </c>
      <c r="AA22" s="19">
        <v>2.6484000000000001</v>
      </c>
      <c r="AB22" s="19">
        <v>1.2607999999999999</v>
      </c>
      <c r="AC22" s="19">
        <v>4.1223999999999998</v>
      </c>
      <c r="AD22" s="19">
        <v>0</v>
      </c>
      <c r="AE22" s="19">
        <v>1.972</v>
      </c>
      <c r="AF22" s="19"/>
      <c r="AG22" s="4">
        <f t="shared" si="7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2" t="s">
        <v>64</v>
      </c>
      <c r="B23" s="13" t="s">
        <v>58</v>
      </c>
      <c r="C23" s="13"/>
      <c r="D23" s="13"/>
      <c r="E23" s="13"/>
      <c r="F23" s="14"/>
      <c r="G23" s="7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16</v>
      </c>
      <c r="P23" s="4">
        <f t="shared" si="3"/>
        <v>0</v>
      </c>
      <c r="Q23" s="9">
        <f>20*(P23+P24)-O23-O24-F23-F24</f>
        <v>63.038000000000011</v>
      </c>
      <c r="R23" s="9">
        <f t="shared" si="4"/>
        <v>63.038000000000011</v>
      </c>
      <c r="S23" s="9">
        <f>IFERROR(VLOOKUP(A23,заказ!A:B,2,0),0)</f>
        <v>66</v>
      </c>
      <c r="T23" s="9"/>
      <c r="U23" s="4"/>
      <c r="V23" s="4" t="e">
        <f t="shared" si="5"/>
        <v>#DIV/0!</v>
      </c>
      <c r="W23" s="4" t="e">
        <f t="shared" si="6"/>
        <v>#DIV/0!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/>
      <c r="AG23" s="4">
        <f t="shared" si="7"/>
        <v>63.038000000000011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5" t="s">
        <v>65</v>
      </c>
      <c r="B24" s="16" t="s">
        <v>58</v>
      </c>
      <c r="C24" s="16">
        <v>23.731999999999999</v>
      </c>
      <c r="D24" s="16">
        <v>33.69</v>
      </c>
      <c r="E24" s="16">
        <v>27.292000000000002</v>
      </c>
      <c r="F24" s="17">
        <v>30.13</v>
      </c>
      <c r="G24" s="18">
        <v>0</v>
      </c>
      <c r="H24" s="19" t="e">
        <v>#N/A</v>
      </c>
      <c r="I24" s="19" t="s">
        <v>60</v>
      </c>
      <c r="J24" s="19" t="s">
        <v>64</v>
      </c>
      <c r="K24" s="19">
        <v>29.173999999999999</v>
      </c>
      <c r="L24" s="19">
        <f t="shared" si="2"/>
        <v>-1.8819999999999979</v>
      </c>
      <c r="M24" s="19"/>
      <c r="N24" s="19"/>
      <c r="O24" s="19">
        <v>0</v>
      </c>
      <c r="P24" s="19">
        <f t="shared" si="3"/>
        <v>5.4584000000000001</v>
      </c>
      <c r="Q24" s="20"/>
      <c r="R24" s="9">
        <f t="shared" si="4"/>
        <v>0</v>
      </c>
      <c r="S24" s="9">
        <f>IFERROR(VLOOKUP(A24,заказ!A:B,2,0),0)</f>
        <v>0</v>
      </c>
      <c r="T24" s="20"/>
      <c r="U24" s="19"/>
      <c r="V24" s="4">
        <f t="shared" si="5"/>
        <v>5.5199325809761097</v>
      </c>
      <c r="W24" s="19">
        <f t="shared" si="6"/>
        <v>5.5199325809761097</v>
      </c>
      <c r="X24" s="19">
        <v>3.2364000000000002</v>
      </c>
      <c r="Y24" s="19">
        <v>3.2372000000000001</v>
      </c>
      <c r="Z24" s="19">
        <v>2.5672000000000001</v>
      </c>
      <c r="AA24" s="19">
        <v>1.1992</v>
      </c>
      <c r="AB24" s="19">
        <v>3.2320000000000002</v>
      </c>
      <c r="AC24" s="19">
        <v>3.0531999999999999</v>
      </c>
      <c r="AD24" s="19">
        <v>3.173</v>
      </c>
      <c r="AE24" s="19">
        <v>2.5344000000000002</v>
      </c>
      <c r="AF24" s="19"/>
      <c r="AG24" s="4">
        <f t="shared" si="7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26" t="s">
        <v>66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3</v>
      </c>
      <c r="L25" s="26">
        <f t="shared" si="2"/>
        <v>-3</v>
      </c>
      <c r="M25" s="26"/>
      <c r="N25" s="26"/>
      <c r="O25" s="26">
        <v>0</v>
      </c>
      <c r="P25" s="26">
        <f t="shared" si="3"/>
        <v>0</v>
      </c>
      <c r="Q25" s="28"/>
      <c r="R25" s="9">
        <f t="shared" si="4"/>
        <v>0</v>
      </c>
      <c r="S25" s="9">
        <f>IFERROR(VLOOKUP(A25,заказ!A:B,2,0),0)</f>
        <v>0</v>
      </c>
      <c r="T25" s="28"/>
      <c r="U25" s="26"/>
      <c r="V25" s="4" t="e">
        <f t="shared" si="5"/>
        <v>#DIV/0!</v>
      </c>
      <c r="W25" s="26" t="e">
        <f t="shared" si="6"/>
        <v>#DIV/0!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-0.4</v>
      </c>
      <c r="AE25" s="26">
        <v>-0.6</v>
      </c>
      <c r="AF25" s="26" t="s">
        <v>67</v>
      </c>
      <c r="AG25" s="4">
        <f t="shared" si="7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x14ac:dyDescent="0.25">
      <c r="A26" s="19" t="s">
        <v>68</v>
      </c>
      <c r="B26" s="19" t="s">
        <v>58</v>
      </c>
      <c r="C26" s="19"/>
      <c r="D26" s="19">
        <v>49.707999999999998</v>
      </c>
      <c r="E26" s="19">
        <v>9.7889999999999997</v>
      </c>
      <c r="F26" s="19">
        <v>39.918999999999997</v>
      </c>
      <c r="G26" s="18">
        <v>0</v>
      </c>
      <c r="H26" s="19">
        <v>120</v>
      </c>
      <c r="I26" s="19" t="s">
        <v>69</v>
      </c>
      <c r="J26" s="19"/>
      <c r="K26" s="19">
        <v>9.5</v>
      </c>
      <c r="L26" s="19">
        <f t="shared" si="2"/>
        <v>0.2889999999999997</v>
      </c>
      <c r="M26" s="19"/>
      <c r="N26" s="19"/>
      <c r="O26" s="19">
        <v>0</v>
      </c>
      <c r="P26" s="19">
        <f t="shared" si="3"/>
        <v>1.9578</v>
      </c>
      <c r="Q26" s="20"/>
      <c r="R26" s="9">
        <f t="shared" si="4"/>
        <v>0</v>
      </c>
      <c r="S26" s="9">
        <f>IFERROR(VLOOKUP(A26,заказ!A:B,2,0),0)</f>
        <v>0</v>
      </c>
      <c r="T26" s="20"/>
      <c r="U26" s="19"/>
      <c r="V26" s="4">
        <f t="shared" si="5"/>
        <v>20.38972315864746</v>
      </c>
      <c r="W26" s="19">
        <f t="shared" si="6"/>
        <v>20.38972315864746</v>
      </c>
      <c r="X26" s="19">
        <v>1.2791999999999999</v>
      </c>
      <c r="Y26" s="19">
        <v>3.0859999999999999</v>
      </c>
      <c r="Z26" s="19">
        <v>0.55459999999999998</v>
      </c>
      <c r="AA26" s="19">
        <v>3.024</v>
      </c>
      <c r="AB26" s="19">
        <v>1.8468</v>
      </c>
      <c r="AC26" s="19">
        <v>0.58560000000000001</v>
      </c>
      <c r="AD26" s="19">
        <v>3.044</v>
      </c>
      <c r="AE26" s="19">
        <v>1.7718</v>
      </c>
      <c r="AF26" s="19"/>
      <c r="AG26" s="4">
        <f t="shared" si="7"/>
        <v>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4" t="s">
        <v>70</v>
      </c>
      <c r="B27" s="4" t="s">
        <v>34</v>
      </c>
      <c r="C27" s="4">
        <v>177</v>
      </c>
      <c r="D27" s="4">
        <v>11</v>
      </c>
      <c r="E27" s="4">
        <v>60</v>
      </c>
      <c r="F27" s="4">
        <v>115</v>
      </c>
      <c r="G27" s="7">
        <v>0.14000000000000001</v>
      </c>
      <c r="H27" s="4">
        <v>180</v>
      </c>
      <c r="I27" s="4">
        <v>9988391</v>
      </c>
      <c r="J27" s="4"/>
      <c r="K27" s="4">
        <v>60</v>
      </c>
      <c r="L27" s="4">
        <f t="shared" si="2"/>
        <v>0</v>
      </c>
      <c r="M27" s="4"/>
      <c r="N27" s="4"/>
      <c r="O27" s="4">
        <v>48</v>
      </c>
      <c r="P27" s="4">
        <f t="shared" si="3"/>
        <v>12</v>
      </c>
      <c r="Q27" s="9">
        <f t="shared" ref="Q27:Q29" si="9">20*P27-O27-F27</f>
        <v>77</v>
      </c>
      <c r="R27" s="9">
        <f t="shared" si="4"/>
        <v>77</v>
      </c>
      <c r="S27" s="9">
        <f>IFERROR(VLOOKUP(A27,заказ!A:B,2,0),0)</f>
        <v>80</v>
      </c>
      <c r="T27" s="9"/>
      <c r="U27" s="4"/>
      <c r="V27" s="4">
        <f t="shared" si="5"/>
        <v>20</v>
      </c>
      <c r="W27" s="4">
        <f t="shared" si="6"/>
        <v>13.583333333333334</v>
      </c>
      <c r="X27" s="4">
        <v>11.2</v>
      </c>
      <c r="Y27" s="4">
        <v>8</v>
      </c>
      <c r="Z27" s="4">
        <v>10.199999999999999</v>
      </c>
      <c r="AA27" s="4">
        <v>6.4</v>
      </c>
      <c r="AB27" s="4">
        <v>7.4</v>
      </c>
      <c r="AC27" s="4">
        <v>6.2</v>
      </c>
      <c r="AD27" s="4">
        <v>7</v>
      </c>
      <c r="AE27" s="4">
        <v>5.6</v>
      </c>
      <c r="AF27" s="4"/>
      <c r="AG27" s="4">
        <f t="shared" si="7"/>
        <v>10.780000000000001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25">
      <c r="A28" s="4" t="s">
        <v>71</v>
      </c>
      <c r="B28" s="4" t="s">
        <v>34</v>
      </c>
      <c r="C28" s="4">
        <v>200</v>
      </c>
      <c r="D28" s="4">
        <v>2</v>
      </c>
      <c r="E28" s="4">
        <v>41</v>
      </c>
      <c r="F28" s="4">
        <v>159</v>
      </c>
      <c r="G28" s="7">
        <v>0.18</v>
      </c>
      <c r="H28" s="4">
        <v>270</v>
      </c>
      <c r="I28" s="4">
        <v>9988681</v>
      </c>
      <c r="J28" s="4"/>
      <c r="K28" s="4">
        <v>41</v>
      </c>
      <c r="L28" s="4">
        <f t="shared" si="2"/>
        <v>0</v>
      </c>
      <c r="M28" s="4"/>
      <c r="N28" s="4"/>
      <c r="O28" s="4">
        <v>0</v>
      </c>
      <c r="P28" s="4">
        <f t="shared" si="3"/>
        <v>8.1999999999999993</v>
      </c>
      <c r="Q28" s="9">
        <f t="shared" si="9"/>
        <v>5</v>
      </c>
      <c r="R28" s="9">
        <f t="shared" si="4"/>
        <v>5</v>
      </c>
      <c r="S28" s="9">
        <f>IFERROR(VLOOKUP(A28,заказ!A:B,2,0),0)</f>
        <v>16</v>
      </c>
      <c r="T28" s="9"/>
      <c r="U28" s="4"/>
      <c r="V28" s="4">
        <f t="shared" si="5"/>
        <v>20</v>
      </c>
      <c r="W28" s="4">
        <f t="shared" si="6"/>
        <v>19.390243902439025</v>
      </c>
      <c r="X28" s="4">
        <v>9.8000000000000007</v>
      </c>
      <c r="Y28" s="4">
        <v>8</v>
      </c>
      <c r="Z28" s="4">
        <v>10.8</v>
      </c>
      <c r="AA28" s="4">
        <v>6</v>
      </c>
      <c r="AB28" s="4">
        <v>8.8000000000000007</v>
      </c>
      <c r="AC28" s="4">
        <v>7.2</v>
      </c>
      <c r="AD28" s="4">
        <v>6.2</v>
      </c>
      <c r="AE28" s="4">
        <v>8.8000000000000007</v>
      </c>
      <c r="AF28" s="4"/>
      <c r="AG28" s="4">
        <f t="shared" si="7"/>
        <v>0.89999999999999991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4" t="s">
        <v>72</v>
      </c>
      <c r="B29" s="4" t="s">
        <v>58</v>
      </c>
      <c r="C29" s="4">
        <v>55.466000000000001</v>
      </c>
      <c r="D29" s="4"/>
      <c r="E29" s="4">
        <v>55.466000000000001</v>
      </c>
      <c r="F29" s="4"/>
      <c r="G29" s="7">
        <v>1</v>
      </c>
      <c r="H29" s="4">
        <v>120</v>
      </c>
      <c r="I29" s="4">
        <v>8785198</v>
      </c>
      <c r="J29" s="4"/>
      <c r="K29" s="4">
        <v>60.988</v>
      </c>
      <c r="L29" s="4">
        <f t="shared" si="2"/>
        <v>-5.5219999999999985</v>
      </c>
      <c r="M29" s="4"/>
      <c r="N29" s="4"/>
      <c r="O29" s="4">
        <v>0</v>
      </c>
      <c r="P29" s="4">
        <f t="shared" si="3"/>
        <v>11.0932</v>
      </c>
      <c r="Q29" s="9">
        <f t="shared" si="9"/>
        <v>221.86399999999998</v>
      </c>
      <c r="R29" s="9">
        <v>160</v>
      </c>
      <c r="S29" s="9">
        <f>IFERROR(VLOOKUP(A29,заказ!A:B,2,0),0)</f>
        <v>165</v>
      </c>
      <c r="T29" s="9">
        <v>160</v>
      </c>
      <c r="U29" s="4" t="s">
        <v>99</v>
      </c>
      <c r="V29" s="4">
        <f t="shared" si="5"/>
        <v>14.423250279450475</v>
      </c>
      <c r="W29" s="4">
        <f t="shared" si="6"/>
        <v>0</v>
      </c>
      <c r="X29" s="4">
        <v>1.9623999999999999</v>
      </c>
      <c r="Y29" s="4">
        <v>3.2749999999999999</v>
      </c>
      <c r="Z29" s="4">
        <v>3.3163999999999998</v>
      </c>
      <c r="AA29" s="4">
        <v>1.24</v>
      </c>
      <c r="AB29" s="4">
        <v>1.2891999999999999</v>
      </c>
      <c r="AC29" s="4">
        <v>2.4512</v>
      </c>
      <c r="AD29" s="4">
        <v>2.0112000000000001</v>
      </c>
      <c r="AE29" s="4">
        <v>1.3160000000000001</v>
      </c>
      <c r="AF29" s="4" t="s">
        <v>73</v>
      </c>
      <c r="AG29" s="4">
        <f t="shared" si="7"/>
        <v>160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x14ac:dyDescent="0.25">
      <c r="A30" s="4" t="s">
        <v>74</v>
      </c>
      <c r="B30" s="4" t="s">
        <v>34</v>
      </c>
      <c r="C30" s="4">
        <v>399</v>
      </c>
      <c r="D30" s="4">
        <v>151</v>
      </c>
      <c r="E30" s="4">
        <v>262</v>
      </c>
      <c r="F30" s="4">
        <v>270</v>
      </c>
      <c r="G30" s="7">
        <v>0.1</v>
      </c>
      <c r="H30" s="4">
        <v>60</v>
      </c>
      <c r="I30" s="4">
        <v>8444187</v>
      </c>
      <c r="J30" s="4"/>
      <c r="K30" s="4">
        <v>262</v>
      </c>
      <c r="L30" s="4">
        <f t="shared" si="2"/>
        <v>0</v>
      </c>
      <c r="M30" s="4"/>
      <c r="N30" s="4"/>
      <c r="O30" s="4">
        <v>258</v>
      </c>
      <c r="P30" s="4">
        <f t="shared" si="3"/>
        <v>52.4</v>
      </c>
      <c r="Q30" s="9">
        <f>16*P30-O30-F30</f>
        <v>310.39999999999998</v>
      </c>
      <c r="R30" s="9">
        <f t="shared" si="4"/>
        <v>310.39999999999998</v>
      </c>
      <c r="S30" s="9">
        <f>IFERROR(VLOOKUP(A30,заказ!A:B,2,0),0)</f>
        <v>312</v>
      </c>
      <c r="T30" s="9"/>
      <c r="U30" s="4"/>
      <c r="V30" s="4">
        <f t="shared" si="5"/>
        <v>16</v>
      </c>
      <c r="W30" s="4">
        <f t="shared" si="6"/>
        <v>10.076335877862595</v>
      </c>
      <c r="X30" s="4">
        <v>50.2</v>
      </c>
      <c r="Y30" s="4">
        <v>40</v>
      </c>
      <c r="Z30" s="4">
        <v>49.8</v>
      </c>
      <c r="AA30" s="4">
        <v>31.6</v>
      </c>
      <c r="AB30" s="4">
        <v>49.6</v>
      </c>
      <c r="AC30" s="4">
        <v>47</v>
      </c>
      <c r="AD30" s="4">
        <v>27.6</v>
      </c>
      <c r="AE30" s="4">
        <v>30</v>
      </c>
      <c r="AF30" s="4"/>
      <c r="AG30" s="4">
        <f t="shared" si="7"/>
        <v>31.04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4" t="s">
        <v>75</v>
      </c>
      <c r="B31" s="4" t="s">
        <v>34</v>
      </c>
      <c r="C31" s="4">
        <v>322</v>
      </c>
      <c r="D31" s="4">
        <v>241</v>
      </c>
      <c r="E31" s="4">
        <v>163</v>
      </c>
      <c r="F31" s="4">
        <v>279</v>
      </c>
      <c r="G31" s="7">
        <v>0.1</v>
      </c>
      <c r="H31" s="4">
        <v>90</v>
      </c>
      <c r="I31" s="4">
        <v>8444194</v>
      </c>
      <c r="J31" s="4"/>
      <c r="K31" s="4">
        <v>163</v>
      </c>
      <c r="L31" s="4">
        <f t="shared" si="2"/>
        <v>0</v>
      </c>
      <c r="M31" s="4"/>
      <c r="N31" s="4"/>
      <c r="O31" s="4">
        <v>264</v>
      </c>
      <c r="P31" s="4">
        <f t="shared" si="3"/>
        <v>32.6</v>
      </c>
      <c r="Q31" s="9">
        <f>18*P31-O31-F31</f>
        <v>43.800000000000068</v>
      </c>
      <c r="R31" s="9">
        <f t="shared" si="4"/>
        <v>43.800000000000068</v>
      </c>
      <c r="S31" s="9">
        <f>IFERROR(VLOOKUP(A31,заказ!A:B,2,0),0)</f>
        <v>42</v>
      </c>
      <c r="T31" s="9"/>
      <c r="U31" s="4"/>
      <c r="V31" s="4">
        <f t="shared" si="5"/>
        <v>18</v>
      </c>
      <c r="W31" s="4">
        <f t="shared" si="6"/>
        <v>16.656441717791409</v>
      </c>
      <c r="X31" s="4">
        <v>40</v>
      </c>
      <c r="Y31" s="4">
        <v>32.6</v>
      </c>
      <c r="Z31" s="4">
        <v>38.4</v>
      </c>
      <c r="AA31" s="4">
        <v>7</v>
      </c>
      <c r="AB31" s="4">
        <v>29.2</v>
      </c>
      <c r="AC31" s="4">
        <v>37.4</v>
      </c>
      <c r="AD31" s="4">
        <v>15</v>
      </c>
      <c r="AE31" s="4">
        <v>-0.2</v>
      </c>
      <c r="AF31" s="4" t="s">
        <v>76</v>
      </c>
      <c r="AG31" s="4">
        <f t="shared" si="7"/>
        <v>4.380000000000007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5.75" thickBot="1" x14ac:dyDescent="0.3">
      <c r="A32" s="4" t="s">
        <v>77</v>
      </c>
      <c r="B32" s="4" t="s">
        <v>58</v>
      </c>
      <c r="C32" s="4">
        <v>34.027999999999999</v>
      </c>
      <c r="D32" s="4"/>
      <c r="E32" s="4"/>
      <c r="F32" s="4">
        <v>33.968000000000004</v>
      </c>
      <c r="G32" s="7">
        <v>1</v>
      </c>
      <c r="H32" s="4">
        <v>150</v>
      </c>
      <c r="I32" s="4">
        <v>8786928</v>
      </c>
      <c r="J32" s="4"/>
      <c r="K32" s="4"/>
      <c r="L32" s="4">
        <f t="shared" si="2"/>
        <v>0</v>
      </c>
      <c r="M32" s="4"/>
      <c r="N32" s="4"/>
      <c r="O32" s="4">
        <v>0</v>
      </c>
      <c r="P32" s="4">
        <f t="shared" si="3"/>
        <v>0</v>
      </c>
      <c r="Q32" s="9"/>
      <c r="R32" s="9">
        <f t="shared" si="4"/>
        <v>0</v>
      </c>
      <c r="S32" s="9">
        <f>IFERROR(VLOOKUP(A32,заказ!A:B,2,0),0)</f>
        <v>0</v>
      </c>
      <c r="T32" s="9"/>
      <c r="U32" s="4"/>
      <c r="V32" s="4" t="e">
        <f t="shared" si="5"/>
        <v>#DIV/0!</v>
      </c>
      <c r="W32" s="4" t="e">
        <f t="shared" si="6"/>
        <v>#DIV/0!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34" t="s">
        <v>97</v>
      </c>
      <c r="AG32" s="4">
        <f t="shared" si="7"/>
        <v>0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12" t="s">
        <v>78</v>
      </c>
      <c r="B33" s="13" t="s">
        <v>34</v>
      </c>
      <c r="C33" s="13"/>
      <c r="D33" s="13">
        <v>30</v>
      </c>
      <c r="E33" s="13">
        <v>30</v>
      </c>
      <c r="F33" s="14"/>
      <c r="G33" s="7">
        <v>0.2</v>
      </c>
      <c r="H33" s="4">
        <v>120</v>
      </c>
      <c r="I33" s="4" t="s">
        <v>79</v>
      </c>
      <c r="J33" s="4"/>
      <c r="K33" s="4">
        <v>30</v>
      </c>
      <c r="L33" s="4">
        <f t="shared" si="2"/>
        <v>0</v>
      </c>
      <c r="M33" s="4"/>
      <c r="N33" s="4"/>
      <c r="O33" s="4">
        <v>160</v>
      </c>
      <c r="P33" s="4">
        <f t="shared" si="3"/>
        <v>6</v>
      </c>
      <c r="Q33" s="9"/>
      <c r="R33" s="9">
        <f t="shared" si="4"/>
        <v>0</v>
      </c>
      <c r="S33" s="9">
        <f>IFERROR(VLOOKUP(A33,заказ!A:B,2,0),0)</f>
        <v>0</v>
      </c>
      <c r="T33" s="9"/>
      <c r="U33" s="4"/>
      <c r="V33" s="4">
        <f t="shared" si="5"/>
        <v>26.666666666666668</v>
      </c>
      <c r="W33" s="4">
        <f t="shared" si="6"/>
        <v>26.666666666666668</v>
      </c>
      <c r="X33" s="4">
        <v>6</v>
      </c>
      <c r="Y33" s="4">
        <v>6</v>
      </c>
      <c r="Z33" s="4">
        <v>8</v>
      </c>
      <c r="AA33" s="4">
        <v>8.6</v>
      </c>
      <c r="AB33" s="4">
        <v>2</v>
      </c>
      <c r="AC33" s="4">
        <v>-0.2</v>
      </c>
      <c r="AD33" s="4">
        <v>0</v>
      </c>
      <c r="AE33" s="4">
        <v>0</v>
      </c>
      <c r="AF33" s="4" t="s">
        <v>80</v>
      </c>
      <c r="AG33" s="4">
        <f t="shared" si="7"/>
        <v>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5.75" thickBot="1" x14ac:dyDescent="0.3">
      <c r="A34" s="15" t="s">
        <v>81</v>
      </c>
      <c r="B34" s="16" t="s">
        <v>34</v>
      </c>
      <c r="C34" s="16">
        <v>181</v>
      </c>
      <c r="D34" s="16"/>
      <c r="E34" s="16">
        <v>26</v>
      </c>
      <c r="F34" s="17">
        <v>123</v>
      </c>
      <c r="G34" s="18">
        <v>0</v>
      </c>
      <c r="H34" s="19" t="e">
        <v>#N/A</v>
      </c>
      <c r="I34" s="19" t="s">
        <v>60</v>
      </c>
      <c r="J34" s="19" t="s">
        <v>78</v>
      </c>
      <c r="K34" s="19">
        <v>26</v>
      </c>
      <c r="L34" s="19">
        <f t="shared" si="2"/>
        <v>0</v>
      </c>
      <c r="M34" s="19"/>
      <c r="N34" s="19"/>
      <c r="O34" s="19">
        <v>0</v>
      </c>
      <c r="P34" s="19">
        <f t="shared" si="3"/>
        <v>5.2</v>
      </c>
      <c r="Q34" s="20"/>
      <c r="R34" s="9">
        <f t="shared" si="4"/>
        <v>0</v>
      </c>
      <c r="S34" s="9">
        <f>IFERROR(VLOOKUP(A34,заказ!A:B,2,0),0)</f>
        <v>0</v>
      </c>
      <c r="T34" s="20"/>
      <c r="U34" s="19"/>
      <c r="V34" s="4">
        <f t="shared" si="5"/>
        <v>23.653846153846153</v>
      </c>
      <c r="W34" s="19">
        <f t="shared" si="6"/>
        <v>23.653846153846153</v>
      </c>
      <c r="X34" s="19">
        <v>11</v>
      </c>
      <c r="Y34" s="19">
        <v>5.4</v>
      </c>
      <c r="Z34" s="19">
        <v>6</v>
      </c>
      <c r="AA34" s="19">
        <v>9.6</v>
      </c>
      <c r="AB34" s="19">
        <v>13.4</v>
      </c>
      <c r="AC34" s="19">
        <v>22.2</v>
      </c>
      <c r="AD34" s="19">
        <v>12.2</v>
      </c>
      <c r="AE34" s="19">
        <v>0</v>
      </c>
      <c r="AF34" s="19"/>
      <c r="AG34" s="4">
        <f t="shared" si="7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12" t="s">
        <v>82</v>
      </c>
      <c r="B35" s="13" t="s">
        <v>58</v>
      </c>
      <c r="C35" s="13">
        <v>21.826000000000001</v>
      </c>
      <c r="D35" s="13"/>
      <c r="E35" s="13"/>
      <c r="F35" s="14">
        <v>21.826000000000001</v>
      </c>
      <c r="G35" s="7">
        <v>1</v>
      </c>
      <c r="H35" s="4">
        <v>120</v>
      </c>
      <c r="I35" s="4" t="s">
        <v>83</v>
      </c>
      <c r="J35" s="4"/>
      <c r="K35" s="4"/>
      <c r="L35" s="4">
        <f t="shared" si="2"/>
        <v>0</v>
      </c>
      <c r="M35" s="4"/>
      <c r="N35" s="4"/>
      <c r="O35" s="4">
        <v>15</v>
      </c>
      <c r="P35" s="4">
        <f t="shared" si="3"/>
        <v>0</v>
      </c>
      <c r="Q35" s="9"/>
      <c r="R35" s="9">
        <f t="shared" si="4"/>
        <v>0</v>
      </c>
      <c r="S35" s="9">
        <f>IFERROR(VLOOKUP(A35,заказ!A:B,2,0),0)</f>
        <v>0</v>
      </c>
      <c r="T35" s="9"/>
      <c r="U35" s="4"/>
      <c r="V35" s="4" t="e">
        <f t="shared" si="5"/>
        <v>#DIV/0!</v>
      </c>
      <c r="W35" s="4" t="e">
        <f t="shared" si="6"/>
        <v>#DIV/0!</v>
      </c>
      <c r="X35" s="4">
        <v>1.9683999999999999</v>
      </c>
      <c r="Y35" s="4">
        <v>0</v>
      </c>
      <c r="Z35" s="4">
        <v>2.6019999999999999</v>
      </c>
      <c r="AA35" s="4">
        <v>2.5762</v>
      </c>
      <c r="AB35" s="4">
        <v>2.62</v>
      </c>
      <c r="AC35" s="4">
        <v>0</v>
      </c>
      <c r="AD35" s="4">
        <v>1.2569999999999999</v>
      </c>
      <c r="AE35" s="4">
        <v>0.6</v>
      </c>
      <c r="AF35" s="4" t="s">
        <v>84</v>
      </c>
      <c r="AG35" s="4">
        <f t="shared" si="7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21" t="s">
        <v>85</v>
      </c>
      <c r="B36" s="22" t="s">
        <v>58</v>
      </c>
      <c r="C36" s="22"/>
      <c r="D36" s="22">
        <v>3</v>
      </c>
      <c r="E36" s="22">
        <v>6.3940000000000001</v>
      </c>
      <c r="F36" s="23">
        <v>-6.3940000000000001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6</v>
      </c>
      <c r="L36" s="19">
        <f t="shared" si="2"/>
        <v>0.39400000000000013</v>
      </c>
      <c r="M36" s="19"/>
      <c r="N36" s="19"/>
      <c r="O36" s="19"/>
      <c r="P36" s="19">
        <f t="shared" si="3"/>
        <v>1.2787999999999999</v>
      </c>
      <c r="Q36" s="20"/>
      <c r="R36" s="9">
        <f t="shared" si="4"/>
        <v>0</v>
      </c>
      <c r="S36" s="9">
        <f>IFERROR(VLOOKUP(A36,заказ!A:B,2,0),0)</f>
        <v>0</v>
      </c>
      <c r="T36" s="20"/>
      <c r="U36" s="19"/>
      <c r="V36" s="4">
        <f t="shared" si="5"/>
        <v>-5</v>
      </c>
      <c r="W36" s="19">
        <f t="shared" si="6"/>
        <v>-5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/>
      <c r="AG36" s="4">
        <f t="shared" si="7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5.75" thickBot="1" x14ac:dyDescent="0.3">
      <c r="A37" s="15" t="s">
        <v>86</v>
      </c>
      <c r="B37" s="16" t="s">
        <v>58</v>
      </c>
      <c r="C37" s="16">
        <v>41.281999999999996</v>
      </c>
      <c r="D37" s="16"/>
      <c r="E37" s="16">
        <v>6.0359999999999996</v>
      </c>
      <c r="F37" s="17">
        <v>35.246000000000002</v>
      </c>
      <c r="G37" s="18">
        <v>0</v>
      </c>
      <c r="H37" s="19" t="e">
        <v>#N/A</v>
      </c>
      <c r="I37" s="19" t="s">
        <v>60</v>
      </c>
      <c r="J37" s="19" t="s">
        <v>82</v>
      </c>
      <c r="K37" s="19">
        <v>5</v>
      </c>
      <c r="L37" s="19">
        <f t="shared" si="2"/>
        <v>1.0359999999999996</v>
      </c>
      <c r="M37" s="19"/>
      <c r="N37" s="19"/>
      <c r="O37" s="19">
        <v>0</v>
      </c>
      <c r="P37" s="19">
        <f t="shared" si="3"/>
        <v>1.2071999999999998</v>
      </c>
      <c r="Q37" s="20"/>
      <c r="R37" s="9">
        <f t="shared" si="4"/>
        <v>0</v>
      </c>
      <c r="S37" s="9">
        <f>IFERROR(VLOOKUP(A37,заказ!A:B,2,0),0)</f>
        <v>0</v>
      </c>
      <c r="T37" s="20"/>
      <c r="U37" s="19"/>
      <c r="V37" s="4">
        <f t="shared" si="5"/>
        <v>29.196487740225322</v>
      </c>
      <c r="W37" s="19">
        <f t="shared" si="6"/>
        <v>29.196487740225322</v>
      </c>
      <c r="X37" s="19">
        <v>0</v>
      </c>
      <c r="Y37" s="19">
        <v>1.3788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25" t="s">
        <v>87</v>
      </c>
      <c r="AG37" s="4">
        <f t="shared" si="7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x14ac:dyDescent="0.25">
      <c r="A38" s="12" t="s">
        <v>88</v>
      </c>
      <c r="B38" s="13" t="s">
        <v>34</v>
      </c>
      <c r="C38" s="13"/>
      <c r="D38" s="13">
        <v>10</v>
      </c>
      <c r="E38" s="13">
        <v>5</v>
      </c>
      <c r="F38" s="14">
        <v>-5</v>
      </c>
      <c r="G38" s="7">
        <v>0.2</v>
      </c>
      <c r="H38" s="4">
        <v>120</v>
      </c>
      <c r="I38" s="4" t="s">
        <v>89</v>
      </c>
      <c r="J38" s="4"/>
      <c r="K38" s="4">
        <v>5</v>
      </c>
      <c r="L38" s="4">
        <f t="shared" si="2"/>
        <v>0</v>
      </c>
      <c r="M38" s="4"/>
      <c r="N38" s="4"/>
      <c r="O38" s="4">
        <v>170</v>
      </c>
      <c r="P38" s="4">
        <f t="shared" si="3"/>
        <v>1</v>
      </c>
      <c r="Q38" s="9"/>
      <c r="R38" s="9">
        <f t="shared" si="4"/>
        <v>0</v>
      </c>
      <c r="S38" s="9">
        <f>IFERROR(VLOOKUP(A38,заказ!A:B,2,0),0)</f>
        <v>0</v>
      </c>
      <c r="T38" s="9"/>
      <c r="U38" s="4"/>
      <c r="V38" s="4">
        <f t="shared" si="5"/>
        <v>165</v>
      </c>
      <c r="W38" s="4">
        <f t="shared" si="6"/>
        <v>165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0.4</v>
      </c>
      <c r="AD38" s="4">
        <v>0</v>
      </c>
      <c r="AE38" s="4">
        <v>0</v>
      </c>
      <c r="AF38" s="4" t="s">
        <v>76</v>
      </c>
      <c r="AG38" s="4">
        <f t="shared" si="7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ht="15.75" thickBot="1" x14ac:dyDescent="0.3">
      <c r="A39" s="15" t="s">
        <v>90</v>
      </c>
      <c r="B39" s="16" t="s">
        <v>34</v>
      </c>
      <c r="C39" s="16">
        <v>209</v>
      </c>
      <c r="D39" s="16">
        <v>15</v>
      </c>
      <c r="E39" s="16">
        <v>56</v>
      </c>
      <c r="F39" s="17">
        <v>168</v>
      </c>
      <c r="G39" s="18">
        <v>0</v>
      </c>
      <c r="H39" s="19" t="e">
        <v>#N/A</v>
      </c>
      <c r="I39" s="19" t="s">
        <v>60</v>
      </c>
      <c r="J39" s="19" t="s">
        <v>88</v>
      </c>
      <c r="K39" s="19">
        <v>56</v>
      </c>
      <c r="L39" s="19">
        <f t="shared" si="2"/>
        <v>0</v>
      </c>
      <c r="M39" s="19"/>
      <c r="N39" s="19"/>
      <c r="O39" s="19">
        <v>0</v>
      </c>
      <c r="P39" s="19">
        <f t="shared" si="3"/>
        <v>11.2</v>
      </c>
      <c r="Q39" s="20"/>
      <c r="R39" s="9">
        <f t="shared" si="4"/>
        <v>0</v>
      </c>
      <c r="S39" s="9">
        <f>IFERROR(VLOOKUP(A39,заказ!A:B,2,0),0)</f>
        <v>0</v>
      </c>
      <c r="T39" s="20"/>
      <c r="U39" s="19"/>
      <c r="V39" s="4">
        <f t="shared" si="5"/>
        <v>15.000000000000002</v>
      </c>
      <c r="W39" s="19">
        <f t="shared" si="6"/>
        <v>15.000000000000002</v>
      </c>
      <c r="X39" s="19">
        <v>19.600000000000001</v>
      </c>
      <c r="Y39" s="19">
        <v>16.600000000000001</v>
      </c>
      <c r="Z39" s="19">
        <v>12.2</v>
      </c>
      <c r="AA39" s="19">
        <v>20</v>
      </c>
      <c r="AB39" s="19">
        <v>21.6</v>
      </c>
      <c r="AC39" s="19">
        <v>28</v>
      </c>
      <c r="AD39" s="19">
        <v>10.4</v>
      </c>
      <c r="AE39" s="19">
        <v>12</v>
      </c>
      <c r="AF39" s="19"/>
      <c r="AG39" s="4">
        <f t="shared" si="7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x14ac:dyDescent="0.25">
      <c r="A40" s="12" t="s">
        <v>91</v>
      </c>
      <c r="B40" s="13" t="s">
        <v>58</v>
      </c>
      <c r="C40" s="13">
        <v>45.154000000000003</v>
      </c>
      <c r="D40" s="13"/>
      <c r="E40" s="13">
        <v>24.352</v>
      </c>
      <c r="F40" s="14">
        <v>20.802</v>
      </c>
      <c r="G40" s="7">
        <v>1</v>
      </c>
      <c r="H40" s="4">
        <v>120</v>
      </c>
      <c r="I40" s="4" t="s">
        <v>92</v>
      </c>
      <c r="J40" s="4"/>
      <c r="K40" s="4">
        <v>24.5</v>
      </c>
      <c r="L40" s="4">
        <f t="shared" si="2"/>
        <v>-0.14799999999999969</v>
      </c>
      <c r="M40" s="4"/>
      <c r="N40" s="4"/>
      <c r="O40" s="4">
        <v>0</v>
      </c>
      <c r="P40" s="4">
        <f t="shared" si="3"/>
        <v>4.8704000000000001</v>
      </c>
      <c r="Q40" s="9">
        <f>20*(P40+P41)-O40-O41-F40-F41</f>
        <v>145.93899999999999</v>
      </c>
      <c r="R40" s="9">
        <f t="shared" si="4"/>
        <v>145.93899999999999</v>
      </c>
      <c r="S40" s="9">
        <f>IFERROR(VLOOKUP(A40,заказ!A:B,2,0),0)</f>
        <v>150</v>
      </c>
      <c r="T40" s="9"/>
      <c r="U40" s="4"/>
      <c r="V40" s="4">
        <f t="shared" si="5"/>
        <v>34.235586399474371</v>
      </c>
      <c r="W40" s="4">
        <f t="shared" si="6"/>
        <v>4.2711070959264124</v>
      </c>
      <c r="X40" s="4">
        <v>7.1763999999999992</v>
      </c>
      <c r="Y40" s="4">
        <v>7.2352000000000007</v>
      </c>
      <c r="Z40" s="4">
        <v>9.1239999999999988</v>
      </c>
      <c r="AA40" s="4">
        <v>19.922799999999999</v>
      </c>
      <c r="AB40" s="4">
        <v>15.122400000000001</v>
      </c>
      <c r="AC40" s="4">
        <v>15.285399999999999</v>
      </c>
      <c r="AD40" s="4">
        <v>6.5324</v>
      </c>
      <c r="AE40" s="4">
        <v>6.6391999999999998</v>
      </c>
      <c r="AF40" s="4" t="s">
        <v>93</v>
      </c>
      <c r="AG40" s="4">
        <f t="shared" si="7"/>
        <v>145.93899999999999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ht="15.75" thickBot="1" x14ac:dyDescent="0.3">
      <c r="A41" s="15" t="s">
        <v>94</v>
      </c>
      <c r="B41" s="16" t="s">
        <v>58</v>
      </c>
      <c r="C41" s="16">
        <v>119.277</v>
      </c>
      <c r="D41" s="16">
        <v>3.3759999999999999</v>
      </c>
      <c r="E41" s="16">
        <v>37.722000000000001</v>
      </c>
      <c r="F41" s="17">
        <v>81.555000000000007</v>
      </c>
      <c r="G41" s="18">
        <v>0</v>
      </c>
      <c r="H41" s="19" t="e">
        <v>#N/A</v>
      </c>
      <c r="I41" s="19" t="s">
        <v>60</v>
      </c>
      <c r="J41" s="19" t="s">
        <v>91</v>
      </c>
      <c r="K41" s="19">
        <v>41.5</v>
      </c>
      <c r="L41" s="19">
        <f t="shared" si="2"/>
        <v>-3.7779999999999987</v>
      </c>
      <c r="M41" s="19"/>
      <c r="N41" s="19"/>
      <c r="O41" s="19">
        <v>0</v>
      </c>
      <c r="P41" s="19">
        <f t="shared" si="3"/>
        <v>7.5444000000000004</v>
      </c>
      <c r="Q41" s="20"/>
      <c r="R41" s="9">
        <f t="shared" si="4"/>
        <v>0</v>
      </c>
      <c r="S41" s="9">
        <f>IFERROR(VLOOKUP(A41,заказ!A:B,2,0),0)</f>
        <v>0</v>
      </c>
      <c r="T41" s="20"/>
      <c r="U41" s="19"/>
      <c r="V41" s="4">
        <f t="shared" si="5"/>
        <v>10.810004771751233</v>
      </c>
      <c r="W41" s="19">
        <f t="shared" si="6"/>
        <v>10.810004771751233</v>
      </c>
      <c r="X41" s="19">
        <v>13.962999999999999</v>
      </c>
      <c r="Y41" s="19">
        <v>23.2864</v>
      </c>
      <c r="Z41" s="19">
        <v>7.8423999999999996</v>
      </c>
      <c r="AA41" s="19">
        <v>0</v>
      </c>
      <c r="AB41" s="19">
        <v>2.9203999999999999</v>
      </c>
      <c r="AC41" s="19">
        <v>1.5104</v>
      </c>
      <c r="AD41" s="19">
        <v>11.051600000000001</v>
      </c>
      <c r="AE41" s="19">
        <v>11.106400000000001</v>
      </c>
      <c r="AF41" s="19"/>
      <c r="AG41" s="4">
        <f t="shared" si="7"/>
        <v>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x14ac:dyDescent="0.25">
      <c r="A43" s="4" t="s">
        <v>39</v>
      </c>
      <c r="B43" s="4" t="s">
        <v>34</v>
      </c>
      <c r="C43" s="4">
        <v>235</v>
      </c>
      <c r="D43" s="4">
        <v>50</v>
      </c>
      <c r="E43" s="4">
        <v>127</v>
      </c>
      <c r="F43" s="4">
        <v>158</v>
      </c>
      <c r="G43" s="7">
        <v>0.18</v>
      </c>
      <c r="H43" s="4">
        <v>120</v>
      </c>
      <c r="I43" s="4"/>
      <c r="J43" s="4"/>
      <c r="K43" s="4">
        <v>127</v>
      </c>
      <c r="L43" s="4">
        <f>E43-K43</f>
        <v>0</v>
      </c>
      <c r="M43" s="4"/>
      <c r="N43" s="4"/>
      <c r="O43" s="4">
        <v>150</v>
      </c>
      <c r="P43" s="4">
        <f t="shared" si="3"/>
        <v>25.4</v>
      </c>
      <c r="Q43" s="9">
        <f t="shared" ref="Q43" si="10">20*P43-O43-F43</f>
        <v>200</v>
      </c>
      <c r="R43" s="9">
        <v>200</v>
      </c>
      <c r="S43" s="9">
        <f>R43</f>
        <v>200</v>
      </c>
      <c r="T43" s="9"/>
      <c r="U43" s="4"/>
      <c r="V43" s="4">
        <f>(F43+O43+R43)/P43</f>
        <v>20</v>
      </c>
      <c r="W43" s="4">
        <f t="shared" ref="W43:W46" si="11">(F43+O43)/P43</f>
        <v>12.125984251968505</v>
      </c>
      <c r="X43" s="4">
        <v>20.6</v>
      </c>
      <c r="Y43" s="4">
        <v>18.600000000000001</v>
      </c>
      <c r="Z43" s="4">
        <v>24.8</v>
      </c>
      <c r="AA43" s="4">
        <v>12</v>
      </c>
      <c r="AB43" s="4">
        <v>18.600000000000001</v>
      </c>
      <c r="AC43" s="4">
        <v>17.399999999999999</v>
      </c>
      <c r="AD43" s="4">
        <v>26.4</v>
      </c>
      <c r="AE43" s="4">
        <v>21.6</v>
      </c>
      <c r="AF43" s="4"/>
      <c r="AG43" s="4">
        <f t="shared" si="7"/>
        <v>36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4" t="s">
        <v>40</v>
      </c>
      <c r="B44" s="4" t="s">
        <v>34</v>
      </c>
      <c r="C44" s="4">
        <v>43</v>
      </c>
      <c r="D44" s="4">
        <v>150</v>
      </c>
      <c r="E44" s="4">
        <v>38</v>
      </c>
      <c r="F44" s="4">
        <v>155</v>
      </c>
      <c r="G44" s="7">
        <v>0.18</v>
      </c>
      <c r="H44" s="4">
        <v>120</v>
      </c>
      <c r="I44" s="4"/>
      <c r="J44" s="4"/>
      <c r="K44" s="4">
        <v>38</v>
      </c>
      <c r="L44" s="4">
        <f>E44-K44</f>
        <v>0</v>
      </c>
      <c r="M44" s="4"/>
      <c r="N44" s="4"/>
      <c r="O44" s="4">
        <v>50</v>
      </c>
      <c r="P44" s="4">
        <f t="shared" si="3"/>
        <v>7.6</v>
      </c>
      <c r="Q44" s="9"/>
      <c r="R44" s="9"/>
      <c r="S44" s="9"/>
      <c r="T44" s="9"/>
      <c r="U44" s="4"/>
      <c r="V44" s="4">
        <f t="shared" si="5"/>
        <v>26.973684210526319</v>
      </c>
      <c r="W44" s="4">
        <f t="shared" si="11"/>
        <v>26.973684210526319</v>
      </c>
      <c r="X44" s="4">
        <v>11</v>
      </c>
      <c r="Y44" s="4">
        <v>12.6</v>
      </c>
      <c r="Z44" s="4">
        <v>3.4</v>
      </c>
      <c r="AA44" s="4">
        <v>6.8</v>
      </c>
      <c r="AB44" s="4">
        <v>10.6</v>
      </c>
      <c r="AC44" s="4">
        <v>14.2</v>
      </c>
      <c r="AD44" s="4">
        <v>10.4</v>
      </c>
      <c r="AE44" s="4">
        <v>11.4</v>
      </c>
      <c r="AF44" s="4"/>
      <c r="AG44" s="4">
        <f t="shared" si="7"/>
        <v>0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x14ac:dyDescent="0.25">
      <c r="A45" s="26" t="s">
        <v>33</v>
      </c>
      <c r="B45" s="26" t="s">
        <v>34</v>
      </c>
      <c r="C45" s="26"/>
      <c r="D45" s="26"/>
      <c r="E45" s="26"/>
      <c r="F45" s="26"/>
      <c r="G45" s="27">
        <v>0</v>
      </c>
      <c r="H45" s="26"/>
      <c r="I45" s="26">
        <v>4421577</v>
      </c>
      <c r="J45" s="26"/>
      <c r="K45" s="26"/>
      <c r="L45" s="26">
        <f>E45-K45</f>
        <v>0</v>
      </c>
      <c r="M45" s="26"/>
      <c r="N45" s="26"/>
      <c r="O45" s="26"/>
      <c r="P45" s="26">
        <f t="shared" si="3"/>
        <v>0</v>
      </c>
      <c r="Q45" s="28"/>
      <c r="R45" s="28"/>
      <c r="S45" s="28"/>
      <c r="T45" s="28"/>
      <c r="U45" s="26"/>
      <c r="V45" s="4" t="e">
        <f t="shared" si="5"/>
        <v>#DIV/0!</v>
      </c>
      <c r="W45" s="26" t="e">
        <f t="shared" si="11"/>
        <v>#DIV/0!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 t="s">
        <v>35</v>
      </c>
      <c r="AG45" s="4">
        <f t="shared" si="7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26" t="s">
        <v>36</v>
      </c>
      <c r="B46" s="26" t="s">
        <v>34</v>
      </c>
      <c r="C46" s="26"/>
      <c r="D46" s="26"/>
      <c r="E46" s="26"/>
      <c r="F46" s="26"/>
      <c r="G46" s="27">
        <v>0</v>
      </c>
      <c r="H46" s="26"/>
      <c r="I46" s="26">
        <v>4421584</v>
      </c>
      <c r="J46" s="26"/>
      <c r="K46" s="26"/>
      <c r="L46" s="26">
        <f>E46-K46</f>
        <v>0</v>
      </c>
      <c r="M46" s="26"/>
      <c r="N46" s="26"/>
      <c r="O46" s="26"/>
      <c r="P46" s="26">
        <f t="shared" si="3"/>
        <v>0</v>
      </c>
      <c r="Q46" s="28"/>
      <c r="R46" s="28"/>
      <c r="S46" s="28"/>
      <c r="T46" s="28"/>
      <c r="U46" s="26"/>
      <c r="V46" s="4" t="e">
        <f t="shared" si="5"/>
        <v>#DIV/0!</v>
      </c>
      <c r="W46" s="26" t="e">
        <f t="shared" si="11"/>
        <v>#DIV/0!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 t="s">
        <v>35</v>
      </c>
      <c r="AG46" s="4">
        <f t="shared" si="7"/>
        <v>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4"/>
      <c r="B47" s="4"/>
      <c r="C47" s="4"/>
      <c r="D47" s="4"/>
      <c r="E47" s="4"/>
      <c r="F47" s="4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4"/>
      <c r="B48" s="4"/>
      <c r="C48" s="4"/>
      <c r="D48" s="4"/>
      <c r="E48" s="4"/>
      <c r="F48" s="4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1:52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1:52" x14ac:dyDescent="0.25">
      <c r="A450" s="4"/>
      <c r="B450" s="4"/>
      <c r="C450" s="4"/>
      <c r="D450" s="4"/>
      <c r="E450" s="4"/>
      <c r="F450" s="4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1:52" x14ac:dyDescent="0.25">
      <c r="A451" s="4"/>
      <c r="B451" s="4"/>
      <c r="C451" s="4"/>
      <c r="D451" s="4"/>
      <c r="E451" s="4"/>
      <c r="F451" s="4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1:52" x14ac:dyDescent="0.25">
      <c r="A452" s="4"/>
      <c r="B452" s="4"/>
      <c r="C452" s="4"/>
      <c r="D452" s="4"/>
      <c r="E452" s="4"/>
      <c r="F452" s="4"/>
      <c r="G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</sheetData>
  <autoFilter ref="A3:AG41" xr:uid="{28237A56-1370-40B3-AB56-987D70DEA73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2ED5-DF0D-4ECA-9362-E046226569BF}">
  <dimension ref="A1:B1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32</v>
      </c>
    </row>
    <row r="2" spans="1:2" x14ac:dyDescent="0.25">
      <c r="A2" t="s">
        <v>41</v>
      </c>
      <c r="B2">
        <v>48</v>
      </c>
    </row>
    <row r="3" spans="1:2" x14ac:dyDescent="0.25">
      <c r="A3" t="s">
        <v>43</v>
      </c>
      <c r="B3">
        <v>56</v>
      </c>
    </row>
    <row r="4" spans="1:2" x14ac:dyDescent="0.25">
      <c r="A4" t="s">
        <v>95</v>
      </c>
      <c r="B4">
        <v>48</v>
      </c>
    </row>
    <row r="5" spans="1:2" x14ac:dyDescent="0.25">
      <c r="A5" t="s">
        <v>50</v>
      </c>
      <c r="B5">
        <v>80</v>
      </c>
    </row>
    <row r="6" spans="1:2" x14ac:dyDescent="0.25">
      <c r="A6" t="s">
        <v>51</v>
      </c>
      <c r="B6">
        <v>60</v>
      </c>
    </row>
    <row r="7" spans="1:2" x14ac:dyDescent="0.25">
      <c r="A7" t="s">
        <v>57</v>
      </c>
      <c r="B7">
        <v>16</v>
      </c>
    </row>
    <row r="8" spans="1:2" x14ac:dyDescent="0.25">
      <c r="A8" t="s">
        <v>64</v>
      </c>
      <c r="B8">
        <v>66</v>
      </c>
    </row>
    <row r="9" spans="1:2" x14ac:dyDescent="0.25">
      <c r="A9" t="s">
        <v>70</v>
      </c>
      <c r="B9">
        <v>80</v>
      </c>
    </row>
    <row r="10" spans="1:2" x14ac:dyDescent="0.25">
      <c r="A10" t="s">
        <v>71</v>
      </c>
      <c r="B10">
        <v>16</v>
      </c>
    </row>
    <row r="11" spans="1:2" x14ac:dyDescent="0.25">
      <c r="A11" t="s">
        <v>72</v>
      </c>
      <c r="B11">
        <v>165</v>
      </c>
    </row>
    <row r="12" spans="1:2" x14ac:dyDescent="0.25">
      <c r="A12" t="s">
        <v>74</v>
      </c>
      <c r="B12">
        <v>312</v>
      </c>
    </row>
    <row r="13" spans="1:2" x14ac:dyDescent="0.25">
      <c r="A13" t="s">
        <v>75</v>
      </c>
      <c r="B13">
        <v>42</v>
      </c>
    </row>
    <row r="14" spans="1:2" x14ac:dyDescent="0.25">
      <c r="A14" t="s">
        <v>91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2025-11-24T11:32:00Z</dcterms:created>
  <dcterms:modified xsi:type="dcterms:W3CDTF">2025-11-26T09:40:33Z</dcterms:modified>
</cp:coreProperties>
</file>