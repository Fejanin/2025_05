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КИ Ташкент\"/>
    </mc:Choice>
  </mc:AlternateContent>
  <xr:revisionPtr revIDLastSave="0" documentId="13_ncr:1_{EA68C18F-C0B7-49DA-B9EA-E2116B09E7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Q37" i="1"/>
  <c r="L37" i="1"/>
  <c r="Q36" i="1"/>
  <c r="V36" i="1" s="1"/>
  <c r="L36" i="1"/>
  <c r="Q35" i="1"/>
  <c r="L35" i="1"/>
  <c r="Q34" i="1"/>
  <c r="V34" i="1" s="1"/>
  <c r="L34" i="1"/>
  <c r="Q33" i="1"/>
  <c r="L33" i="1"/>
  <c r="AF32" i="1"/>
  <c r="Q32" i="1"/>
  <c r="V32" i="1" s="1"/>
  <c r="L32" i="1"/>
  <c r="Q31" i="1"/>
  <c r="AF31" i="1" s="1"/>
  <c r="L31" i="1"/>
  <c r="F31" i="1"/>
  <c r="Q30" i="1"/>
  <c r="AF30" i="1" s="1"/>
  <c r="L30" i="1"/>
  <c r="Q29" i="1"/>
  <c r="V29" i="1" s="1"/>
  <c r="L29" i="1"/>
  <c r="Q28" i="1"/>
  <c r="AF28" i="1" s="1"/>
  <c r="L28" i="1"/>
  <c r="Q27" i="1"/>
  <c r="V27" i="1" s="1"/>
  <c r="L27" i="1"/>
  <c r="Q26" i="1"/>
  <c r="AF26" i="1" s="1"/>
  <c r="L26" i="1"/>
  <c r="Q25" i="1"/>
  <c r="V25" i="1" s="1"/>
  <c r="L25" i="1"/>
  <c r="Q24" i="1"/>
  <c r="AF24" i="1" s="1"/>
  <c r="L24" i="1"/>
  <c r="F24" i="1"/>
  <c r="Q23" i="1"/>
  <c r="V23" i="1" s="1"/>
  <c r="L23" i="1"/>
  <c r="Q22" i="1"/>
  <c r="L22" i="1"/>
  <c r="Q21" i="1"/>
  <c r="V21" i="1" s="1"/>
  <c r="L21" i="1"/>
  <c r="Q20" i="1"/>
  <c r="L20" i="1"/>
  <c r="AF19" i="1"/>
  <c r="Q19" i="1"/>
  <c r="V19" i="1" s="1"/>
  <c r="L19" i="1"/>
  <c r="Q18" i="1"/>
  <c r="L18" i="1"/>
  <c r="Q17" i="1"/>
  <c r="V17" i="1" s="1"/>
  <c r="L17" i="1"/>
  <c r="Q16" i="1"/>
  <c r="L16" i="1"/>
  <c r="Q15" i="1"/>
  <c r="U15" i="1" s="1"/>
  <c r="L15" i="1"/>
  <c r="AF14" i="1"/>
  <c r="Q14" i="1"/>
  <c r="V14" i="1" s="1"/>
  <c r="L14" i="1"/>
  <c r="Q13" i="1"/>
  <c r="L13" i="1"/>
  <c r="AF12" i="1"/>
  <c r="Q12" i="1"/>
  <c r="V12" i="1" s="1"/>
  <c r="L12" i="1"/>
  <c r="Q11" i="1"/>
  <c r="L11" i="1"/>
  <c r="Q10" i="1"/>
  <c r="V10" i="1" s="1"/>
  <c r="L10" i="1"/>
  <c r="Q9" i="1"/>
  <c r="L9" i="1"/>
  <c r="Q8" i="1"/>
  <c r="V8" i="1" s="1"/>
  <c r="L8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E5" i="1"/>
  <c r="U12" i="1" l="1"/>
  <c r="AF34" i="1"/>
  <c r="AF17" i="1"/>
  <c r="AF36" i="1"/>
  <c r="U31" i="1"/>
  <c r="AF6" i="1"/>
  <c r="AF10" i="1"/>
  <c r="Q5" i="1"/>
  <c r="U9" i="1"/>
  <c r="U30" i="1"/>
  <c r="AF7" i="1"/>
  <c r="AF9" i="1"/>
  <c r="AF11" i="1"/>
  <c r="AF13" i="1"/>
  <c r="AF16" i="1"/>
  <c r="AF18" i="1"/>
  <c r="AF20" i="1"/>
  <c r="AF22" i="1"/>
  <c r="AF25" i="1"/>
  <c r="AF27" i="1"/>
  <c r="AF33" i="1"/>
  <c r="AF35" i="1"/>
  <c r="AF37" i="1"/>
  <c r="U24" i="1"/>
  <c r="U26" i="1"/>
  <c r="U28" i="1"/>
  <c r="U8" i="1"/>
  <c r="U34" i="1"/>
  <c r="L5" i="1"/>
  <c r="U6" i="1"/>
  <c r="U14" i="1"/>
  <c r="U19" i="1"/>
  <c r="U23" i="1"/>
  <c r="U32" i="1"/>
  <c r="V7" i="1"/>
  <c r="V9" i="1"/>
  <c r="V11" i="1"/>
  <c r="V13" i="1"/>
  <c r="V15" i="1"/>
  <c r="V16" i="1"/>
  <c r="V18" i="1"/>
  <c r="V20" i="1"/>
  <c r="V22" i="1"/>
  <c r="V24" i="1"/>
  <c r="V26" i="1"/>
  <c r="V28" i="1"/>
  <c r="V30" i="1"/>
  <c r="V31" i="1"/>
  <c r="V33" i="1"/>
  <c r="V35" i="1"/>
  <c r="V37" i="1"/>
  <c r="F5" i="1"/>
  <c r="U36" i="1" l="1"/>
  <c r="U17" i="1"/>
  <c r="U18" i="1"/>
  <c r="U27" i="1"/>
  <c r="U37" i="1"/>
  <c r="U33" i="1"/>
  <c r="U22" i="1"/>
  <c r="U13" i="1"/>
  <c r="AF21" i="1"/>
  <c r="U21" i="1"/>
  <c r="AF29" i="1"/>
  <c r="U29" i="1"/>
  <c r="U7" i="1"/>
  <c r="U10" i="1"/>
  <c r="U25" i="1"/>
  <c r="R5" i="1"/>
  <c r="U35" i="1"/>
  <c r="U20" i="1"/>
  <c r="U16" i="1"/>
  <c r="U11" i="1"/>
  <c r="AF5" i="1" l="1"/>
</calcChain>
</file>

<file path=xl/sharedStrings.xml><?xml version="1.0" encoding="utf-8"?>
<sst xmlns="http://schemas.openxmlformats.org/spreadsheetml/2006/main" count="150" uniqueCount="78">
  <si>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</si>
  <si>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</si>
  <si>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</si>
  <si>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</si>
  <si>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</si>
  <si>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</si>
  <si>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</si>
  <si>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</si>
  <si>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</si>
  <si>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</si>
  <si>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</si>
  <si>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</si>
  <si>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</si>
  <si>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</si>
  <si>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</si>
  <si>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</si>
  <si>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</si>
  <si>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</si>
  <si>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</si>
  <si>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</si>
  <si>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</si>
  <si>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</si>
  <si>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</si>
  <si>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28,10,</t>
  </si>
  <si>
    <t>04,11,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</si>
  <si>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</si>
  <si>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</si>
  <si>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</si>
  <si>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</si>
  <si>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</si>
  <si>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</si>
  <si>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</si>
  <si>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</si>
  <si>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</si>
  <si>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</si>
  <si>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</si>
  <si>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</si>
  <si>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</si>
  <si>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</si>
  <si>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необходимо увеличить продажи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</si>
  <si>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</si>
  <si>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</si>
  <si>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</si>
  <si>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</si>
  <si>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</si>
  <si>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необходимо увеличить продажи!!!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</si>
  <si>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</si>
  <si>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</si>
  <si>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</si>
  <si>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</si>
  <si>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</si>
  <si>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</si>
  <si>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</si>
  <si>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</si>
  <si>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</si>
  <si>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</si>
  <si>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</si>
  <si>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</si>
  <si>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</si>
  <si>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</si>
  <si>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</si>
  <si>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</si>
  <si>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</si>
  <si>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</si>
  <si>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</si>
  <si>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</si>
  <si>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</si>
  <si>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</si>
  <si>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</si>
  <si>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</si>
  <si>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</si>
  <si>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</si>
  <si>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необходимо увеличить продажи / 26,08,25 завод не отгрузил</t>
  </si>
  <si>
    <t>необходимо увеличить продажи / НОВЫЙ КОД 6345</t>
  </si>
  <si>
    <t>Вывод из ассортимента с 06.10.25 (завод)</t>
  </si>
  <si>
    <t>Вывод из ассортимента с 26.09.25 (завод)</t>
  </si>
  <si>
    <t>заказ</t>
  </si>
  <si>
    <t>11,11,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</si>
</sst>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40.71093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5.7109375" customWidth="1"/>
    <col min="21" max="22" width="5" customWidth="1"/>
    <col min="23" max="30" width="6" customWidth="1"/>
    <col min="31" max="31" width="51.710937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76</v>
      </c>
      <c r="S3" s="7" t="s">
        <v>16</v>
      </c>
      <c r="T3" s="7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77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7073.424</v>
      </c>
      <c r="F5" s="4">
        <f>SUM(F6:F499)</f>
        <v>13600.386999999997</v>
      </c>
      <c r="G5" s="8"/>
      <c r="H5" s="1"/>
      <c r="I5" s="1"/>
      <c r="J5" s="1"/>
      <c r="K5" s="4">
        <f t="shared" ref="K5:S5" si="0">SUM(K6:K499)</f>
        <v>0</v>
      </c>
      <c r="L5" s="4">
        <f t="shared" si="0"/>
        <v>7073.424</v>
      </c>
      <c r="M5" s="4">
        <f t="shared" si="0"/>
        <v>0</v>
      </c>
      <c r="N5" s="4">
        <f t="shared" si="0"/>
        <v>0</v>
      </c>
      <c r="O5" s="4">
        <f t="shared" si="0"/>
        <v>6000</v>
      </c>
      <c r="P5" s="4">
        <f t="shared" si="0"/>
        <v>4920</v>
      </c>
      <c r="Q5" s="4">
        <f t="shared" si="0"/>
        <v>1414.6848</v>
      </c>
      <c r="R5" s="4">
        <f t="shared" si="0"/>
        <v>6610</v>
      </c>
      <c r="S5" s="4">
        <f t="shared" si="0"/>
        <v>5056.5679999999993</v>
      </c>
      <c r="T5" s="1"/>
      <c r="U5" s="1"/>
      <c r="V5" s="1"/>
      <c r="W5" s="4">
        <f t="shared" ref="W5:AD5" si="1">SUM(W6:W499)</f>
        <v>992.18959999999993</v>
      </c>
      <c r="X5" s="4">
        <f t="shared" si="1"/>
        <v>1452.8553999999999</v>
      </c>
      <c r="Y5" s="4">
        <f t="shared" si="1"/>
        <v>1416.2003999999999</v>
      </c>
      <c r="Z5" s="4">
        <f t="shared" si="1"/>
        <v>1287.1432</v>
      </c>
      <c r="AA5" s="4">
        <f t="shared" si="1"/>
        <v>1088.5380000000002</v>
      </c>
      <c r="AB5" s="4">
        <f t="shared" si="1"/>
        <v>939.43639999999994</v>
      </c>
      <c r="AC5" s="4">
        <f t="shared" si="1"/>
        <v>1077.2595999999999</v>
      </c>
      <c r="AD5" s="4">
        <f t="shared" si="1"/>
        <v>1089.3878</v>
      </c>
      <c r="AE5" s="1"/>
      <c r="AF5" s="4">
        <f>SUM(AF6:AF499)</f>
        <v>2664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253.857</v>
      </c>
      <c r="D6" s="1">
        <v>110.78400000000001</v>
      </c>
      <c r="E6" s="1">
        <v>84.317999999999998</v>
      </c>
      <c r="F6" s="1">
        <v>278.23700000000002</v>
      </c>
      <c r="G6" s="8">
        <v>1</v>
      </c>
      <c r="H6" s="1">
        <v>45</v>
      </c>
      <c r="I6" s="1" t="s">
        <v>36</v>
      </c>
      <c r="J6" s="1"/>
      <c r="K6" s="1"/>
      <c r="L6" s="1">
        <f t="shared" ref="L6:L37" si="2">E6-K6</f>
        <v>84.317999999999998</v>
      </c>
      <c r="M6" s="1"/>
      <c r="N6" s="1"/>
      <c r="O6" s="1"/>
      <c r="P6" s="1">
        <v>150</v>
      </c>
      <c r="Q6" s="1">
        <f t="shared" ref="Q6:Q37" si="3">E6/5</f>
        <v>16.863599999999998</v>
      </c>
      <c r="R6" s="5">
        <v>50</v>
      </c>
      <c r="S6" s="5"/>
      <c r="T6" s="1"/>
      <c r="U6" s="1">
        <f t="shared" ref="U6:U37" si="4">(F6+O6+P6+R6)/Q6</f>
        <v>28.359128537204398</v>
      </c>
      <c r="V6" s="1">
        <f t="shared" ref="V6:V37" si="5">(F6+O6+P6)/Q6</f>
        <v>25.394162575013642</v>
      </c>
      <c r="W6" s="1">
        <v>22.165800000000001</v>
      </c>
      <c r="X6" s="1">
        <v>22.668399999999998</v>
      </c>
      <c r="Y6" s="1">
        <v>28.996400000000001</v>
      </c>
      <c r="Z6" s="1">
        <v>30.9406</v>
      </c>
      <c r="AA6" s="1">
        <v>26.750599999999999</v>
      </c>
      <c r="AB6" s="1">
        <v>30.160399999999999</v>
      </c>
      <c r="AC6" s="1">
        <v>28.335000000000001</v>
      </c>
      <c r="AD6" s="1">
        <v>29.2254</v>
      </c>
      <c r="AE6" s="14" t="s">
        <v>39</v>
      </c>
      <c r="AF6" s="1">
        <f t="shared" ref="AF6:AF14" si="6">G6*R6</f>
        <v>50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690.81100000000004</v>
      </c>
      <c r="D7" s="1">
        <v>520</v>
      </c>
      <c r="E7" s="1">
        <v>416</v>
      </c>
      <c r="F7" s="1">
        <v>786.81100000000004</v>
      </c>
      <c r="G7" s="8">
        <v>0.35</v>
      </c>
      <c r="H7" s="1">
        <v>45</v>
      </c>
      <c r="I7" s="1" t="s">
        <v>36</v>
      </c>
      <c r="J7" s="1"/>
      <c r="K7" s="1"/>
      <c r="L7" s="1">
        <f t="shared" si="2"/>
        <v>416</v>
      </c>
      <c r="M7" s="1"/>
      <c r="N7" s="1"/>
      <c r="O7" s="1">
        <v>400</v>
      </c>
      <c r="P7" s="1">
        <v>200</v>
      </c>
      <c r="Q7" s="1">
        <f t="shared" si="3"/>
        <v>83.2</v>
      </c>
      <c r="R7" s="5">
        <v>440</v>
      </c>
      <c r="S7" s="5">
        <v>277.18899999999996</v>
      </c>
      <c r="T7" s="1"/>
      <c r="U7" s="1">
        <f t="shared" si="4"/>
        <v>21.95686298076923</v>
      </c>
      <c r="V7" s="1">
        <f t="shared" si="5"/>
        <v>16.668401442307694</v>
      </c>
      <c r="W7" s="1">
        <v>64.2</v>
      </c>
      <c r="X7" s="1">
        <v>100.4</v>
      </c>
      <c r="Y7" s="1">
        <v>123.8</v>
      </c>
      <c r="Z7" s="1">
        <v>113.4378</v>
      </c>
      <c r="AA7" s="1">
        <v>114.4</v>
      </c>
      <c r="AB7" s="1">
        <v>93.8</v>
      </c>
      <c r="AC7" s="1">
        <v>117</v>
      </c>
      <c r="AD7" s="1">
        <v>132.80000000000001</v>
      </c>
      <c r="AE7" s="1"/>
      <c r="AF7" s="1">
        <f t="shared" si="6"/>
        <v>154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35</v>
      </c>
      <c r="C8" s="1">
        <v>304.267</v>
      </c>
      <c r="D8" s="1">
        <v>51.39</v>
      </c>
      <c r="E8" s="1">
        <v>74.801000000000002</v>
      </c>
      <c r="F8" s="1">
        <v>273.17200000000003</v>
      </c>
      <c r="G8" s="8">
        <v>1</v>
      </c>
      <c r="H8" s="1">
        <v>45</v>
      </c>
      <c r="I8" s="1" t="s">
        <v>36</v>
      </c>
      <c r="J8" s="1"/>
      <c r="K8" s="1"/>
      <c r="L8" s="1">
        <f t="shared" si="2"/>
        <v>74.801000000000002</v>
      </c>
      <c r="M8" s="1"/>
      <c r="N8" s="1"/>
      <c r="O8" s="1"/>
      <c r="P8" s="1">
        <v>50</v>
      </c>
      <c r="Q8" s="1">
        <f t="shared" si="3"/>
        <v>14.9602</v>
      </c>
      <c r="R8" s="5">
        <v>30</v>
      </c>
      <c r="S8" s="5"/>
      <c r="T8" s="1"/>
      <c r="U8" s="1">
        <f t="shared" si="4"/>
        <v>23.607438403229903</v>
      </c>
      <c r="V8" s="1">
        <f t="shared" si="5"/>
        <v>21.602117618748412</v>
      </c>
      <c r="W8" s="1">
        <v>14.5648</v>
      </c>
      <c r="X8" s="1">
        <v>15.2286</v>
      </c>
      <c r="Y8" s="1">
        <v>14.629799999999999</v>
      </c>
      <c r="Z8" s="1">
        <v>28.49</v>
      </c>
      <c r="AA8" s="1">
        <v>18.126200000000001</v>
      </c>
      <c r="AB8" s="1">
        <v>15.042400000000001</v>
      </c>
      <c r="AC8" s="1">
        <v>15.217599999999999</v>
      </c>
      <c r="AD8" s="1">
        <v>19.008800000000001</v>
      </c>
      <c r="AE8" s="14" t="s">
        <v>72</v>
      </c>
      <c r="AF8" s="1">
        <f t="shared" si="6"/>
        <v>30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38</v>
      </c>
      <c r="C9" s="1">
        <v>499</v>
      </c>
      <c r="D9" s="1">
        <v>360</v>
      </c>
      <c r="E9" s="1">
        <v>259</v>
      </c>
      <c r="F9" s="1">
        <v>586</v>
      </c>
      <c r="G9" s="8">
        <v>0.35</v>
      </c>
      <c r="H9" s="1">
        <v>45</v>
      </c>
      <c r="I9" s="1" t="s">
        <v>36</v>
      </c>
      <c r="J9" s="1"/>
      <c r="K9" s="1"/>
      <c r="L9" s="1">
        <f t="shared" si="2"/>
        <v>259</v>
      </c>
      <c r="M9" s="1"/>
      <c r="N9" s="1"/>
      <c r="O9" s="1">
        <v>480</v>
      </c>
      <c r="P9" s="1"/>
      <c r="Q9" s="1">
        <f t="shared" si="3"/>
        <v>51.8</v>
      </c>
      <c r="R9" s="5">
        <v>160</v>
      </c>
      <c r="S9" s="5"/>
      <c r="T9" s="1"/>
      <c r="U9" s="1">
        <f t="shared" si="4"/>
        <v>23.667953667953668</v>
      </c>
      <c r="V9" s="1">
        <f t="shared" si="5"/>
        <v>20.579150579150582</v>
      </c>
      <c r="W9" s="1">
        <v>47.4</v>
      </c>
      <c r="X9" s="1">
        <v>86.6</v>
      </c>
      <c r="Y9" s="1">
        <v>98.8</v>
      </c>
      <c r="Z9" s="1">
        <v>85.8</v>
      </c>
      <c r="AA9" s="1">
        <v>79.400000000000006</v>
      </c>
      <c r="AB9" s="1">
        <v>69.8</v>
      </c>
      <c r="AC9" s="1">
        <v>96.8</v>
      </c>
      <c r="AD9" s="1">
        <v>97.6</v>
      </c>
      <c r="AE9" s="1"/>
      <c r="AF9" s="1">
        <f t="shared" si="6"/>
        <v>56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35</v>
      </c>
      <c r="C10" s="1">
        <v>7.08</v>
      </c>
      <c r="D10" s="1"/>
      <c r="E10" s="1">
        <v>6.7380000000000004</v>
      </c>
      <c r="F10" s="1">
        <v>0.34200000000000003</v>
      </c>
      <c r="G10" s="8">
        <v>1</v>
      </c>
      <c r="H10" s="1">
        <v>60</v>
      </c>
      <c r="I10" s="1" t="s">
        <v>36</v>
      </c>
      <c r="J10" s="1"/>
      <c r="K10" s="1"/>
      <c r="L10" s="1">
        <f t="shared" si="2"/>
        <v>6.7380000000000004</v>
      </c>
      <c r="M10" s="1"/>
      <c r="N10" s="1"/>
      <c r="O10" s="1">
        <v>30</v>
      </c>
      <c r="P10" s="1">
        <v>30</v>
      </c>
      <c r="Q10" s="1">
        <f t="shared" si="3"/>
        <v>1.3476000000000001</v>
      </c>
      <c r="R10" s="5"/>
      <c r="S10" s="5"/>
      <c r="T10" s="1"/>
      <c r="U10" s="1">
        <f t="shared" si="4"/>
        <v>44.777382012466603</v>
      </c>
      <c r="V10" s="1">
        <f t="shared" si="5"/>
        <v>44.777382012466603</v>
      </c>
      <c r="W10" s="1">
        <v>1.0840000000000001</v>
      </c>
      <c r="X10" s="1">
        <v>2.9575999999999998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/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38</v>
      </c>
      <c r="C11" s="1">
        <v>1097</v>
      </c>
      <c r="D11" s="1">
        <v>1200</v>
      </c>
      <c r="E11" s="1">
        <v>587</v>
      </c>
      <c r="F11" s="1">
        <v>1709</v>
      </c>
      <c r="G11" s="8">
        <v>0.4</v>
      </c>
      <c r="H11" s="1">
        <v>60</v>
      </c>
      <c r="I11" s="1" t="s">
        <v>36</v>
      </c>
      <c r="J11" s="1"/>
      <c r="K11" s="1"/>
      <c r="L11" s="1">
        <f t="shared" si="2"/>
        <v>587</v>
      </c>
      <c r="M11" s="1"/>
      <c r="N11" s="1"/>
      <c r="O11" s="1">
        <v>320</v>
      </c>
      <c r="P11" s="1"/>
      <c r="Q11" s="1">
        <f t="shared" si="3"/>
        <v>117.4</v>
      </c>
      <c r="R11" s="5">
        <v>600</v>
      </c>
      <c r="S11" s="5">
        <v>319</v>
      </c>
      <c r="T11" s="1"/>
      <c r="U11" s="1">
        <f t="shared" si="4"/>
        <v>22.393526405451446</v>
      </c>
      <c r="V11" s="1">
        <f t="shared" si="5"/>
        <v>17.282793867120954</v>
      </c>
      <c r="W11" s="1">
        <v>80.599999999999994</v>
      </c>
      <c r="X11" s="1">
        <v>123.2</v>
      </c>
      <c r="Y11" s="1">
        <v>95.2</v>
      </c>
      <c r="Z11" s="1">
        <v>106</v>
      </c>
      <c r="AA11" s="1">
        <v>57.8</v>
      </c>
      <c r="AB11" s="1">
        <v>63.6</v>
      </c>
      <c r="AC11" s="1">
        <v>66.8</v>
      </c>
      <c r="AD11" s="1">
        <v>83</v>
      </c>
      <c r="AE11" s="1"/>
      <c r="AF11" s="1">
        <f t="shared" si="6"/>
        <v>240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35</v>
      </c>
      <c r="C12" s="1">
        <v>179.697</v>
      </c>
      <c r="D12" s="1"/>
      <c r="E12" s="1">
        <v>36.622999999999998</v>
      </c>
      <c r="F12" s="1">
        <v>139.03399999999999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36.622999999999998</v>
      </c>
      <c r="M12" s="1"/>
      <c r="N12" s="1"/>
      <c r="O12" s="1">
        <v>30</v>
      </c>
      <c r="P12" s="1"/>
      <c r="Q12" s="1">
        <f t="shared" si="3"/>
        <v>7.3245999999999993</v>
      </c>
      <c r="R12" s="5"/>
      <c r="S12" s="5"/>
      <c r="T12" s="1"/>
      <c r="U12" s="1">
        <f t="shared" si="4"/>
        <v>23.077574202004207</v>
      </c>
      <c r="V12" s="1">
        <f t="shared" si="5"/>
        <v>23.077574202004207</v>
      </c>
      <c r="W12" s="1">
        <v>3.8149999999999999</v>
      </c>
      <c r="X12" s="1">
        <v>11.121600000000001</v>
      </c>
      <c r="Y12" s="1">
        <v>10.275399999999999</v>
      </c>
      <c r="Z12" s="1">
        <v>15.8506</v>
      </c>
      <c r="AA12" s="1">
        <v>6.383</v>
      </c>
      <c r="AB12" s="1">
        <v>8.5988000000000007</v>
      </c>
      <c r="AC12" s="1">
        <v>14.6876</v>
      </c>
      <c r="AD12" s="1">
        <v>18.228400000000001</v>
      </c>
      <c r="AE12" s="14" t="s">
        <v>39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38</v>
      </c>
      <c r="C13" s="1">
        <v>518</v>
      </c>
      <c r="D13" s="1">
        <v>440</v>
      </c>
      <c r="E13" s="1">
        <v>324</v>
      </c>
      <c r="F13" s="1">
        <v>631</v>
      </c>
      <c r="G13" s="8">
        <v>0.4</v>
      </c>
      <c r="H13" s="1">
        <v>60</v>
      </c>
      <c r="I13" s="1" t="s">
        <v>36</v>
      </c>
      <c r="J13" s="1"/>
      <c r="K13" s="1"/>
      <c r="L13" s="1">
        <f t="shared" si="2"/>
        <v>324</v>
      </c>
      <c r="M13" s="1"/>
      <c r="N13" s="1"/>
      <c r="O13" s="1">
        <v>280</v>
      </c>
      <c r="P13" s="1">
        <v>200</v>
      </c>
      <c r="Q13" s="1">
        <f t="shared" si="3"/>
        <v>64.8</v>
      </c>
      <c r="R13" s="5">
        <v>320</v>
      </c>
      <c r="S13" s="5">
        <v>185</v>
      </c>
      <c r="T13" s="1"/>
      <c r="U13" s="1">
        <f t="shared" si="4"/>
        <v>22.083333333333336</v>
      </c>
      <c r="V13" s="1">
        <f t="shared" si="5"/>
        <v>17.145061728395063</v>
      </c>
      <c r="W13" s="1">
        <v>50.2</v>
      </c>
      <c r="X13" s="1">
        <v>77.400000000000006</v>
      </c>
      <c r="Y13" s="1">
        <v>82</v>
      </c>
      <c r="Z13" s="1">
        <v>66.8</v>
      </c>
      <c r="AA13" s="1">
        <v>63.2</v>
      </c>
      <c r="AB13" s="1">
        <v>51.4</v>
      </c>
      <c r="AC13" s="1">
        <v>64.400000000000006</v>
      </c>
      <c r="AD13" s="1">
        <v>79.599999999999994</v>
      </c>
      <c r="AE13" s="1"/>
      <c r="AF13" s="1">
        <f t="shared" si="6"/>
        <v>128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35</v>
      </c>
      <c r="C14" s="1">
        <v>62.603000000000002</v>
      </c>
      <c r="D14" s="1"/>
      <c r="E14" s="1">
        <v>19.902999999999999</v>
      </c>
      <c r="F14" s="1">
        <v>33.137</v>
      </c>
      <c r="G14" s="8">
        <v>1</v>
      </c>
      <c r="H14" s="1">
        <v>60</v>
      </c>
      <c r="I14" s="1" t="s">
        <v>36</v>
      </c>
      <c r="J14" s="1"/>
      <c r="K14" s="1"/>
      <c r="L14" s="1">
        <f t="shared" si="2"/>
        <v>19.902999999999999</v>
      </c>
      <c r="M14" s="1"/>
      <c r="N14" s="1"/>
      <c r="O14" s="1">
        <v>100</v>
      </c>
      <c r="P14" s="1">
        <v>50</v>
      </c>
      <c r="Q14" s="1">
        <f t="shared" si="3"/>
        <v>3.9805999999999999</v>
      </c>
      <c r="R14" s="5">
        <v>30</v>
      </c>
      <c r="S14" s="5"/>
      <c r="T14" s="1"/>
      <c r="U14" s="1">
        <f t="shared" si="4"/>
        <v>53.543938099783951</v>
      </c>
      <c r="V14" s="1">
        <f t="shared" si="5"/>
        <v>46.00738582123298</v>
      </c>
      <c r="W14" s="1">
        <v>4.4265999999999996</v>
      </c>
      <c r="X14" s="1">
        <v>14.9488</v>
      </c>
      <c r="Y14" s="1">
        <v>15.698600000000001</v>
      </c>
      <c r="Z14" s="1">
        <v>13.7072</v>
      </c>
      <c r="AA14" s="1">
        <v>4.3572000000000006</v>
      </c>
      <c r="AB14" s="1">
        <v>10.7782</v>
      </c>
      <c r="AC14" s="1">
        <v>13.700200000000001</v>
      </c>
      <c r="AD14" s="1">
        <v>9.3521999999999998</v>
      </c>
      <c r="AE14" s="15" t="s">
        <v>45</v>
      </c>
      <c r="AF14" s="1">
        <f t="shared" si="6"/>
        <v>30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0" t="s">
        <v>48</v>
      </c>
      <c r="B15" s="10"/>
      <c r="C15" s="10">
        <v>-3</v>
      </c>
      <c r="D15" s="10"/>
      <c r="E15" s="10"/>
      <c r="F15" s="13">
        <v>-3</v>
      </c>
      <c r="G15" s="11">
        <v>0</v>
      </c>
      <c r="H15" s="10"/>
      <c r="I15" s="10" t="s">
        <v>49</v>
      </c>
      <c r="J15" s="10" t="s">
        <v>50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3"/>
        <v>0</v>
      </c>
      <c r="R15" s="5"/>
      <c r="S15" s="12"/>
      <c r="T15" s="10"/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0.6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35</v>
      </c>
      <c r="C16" s="1">
        <v>262.72399999999999</v>
      </c>
      <c r="D16" s="1"/>
      <c r="E16" s="1">
        <v>11.374000000000001</v>
      </c>
      <c r="F16" s="1">
        <v>251.35</v>
      </c>
      <c r="G16" s="8">
        <v>1</v>
      </c>
      <c r="H16" s="1">
        <v>120</v>
      </c>
      <c r="I16" s="1" t="s">
        <v>36</v>
      </c>
      <c r="J16" s="1"/>
      <c r="K16" s="1"/>
      <c r="L16" s="1">
        <f t="shared" si="2"/>
        <v>11.374000000000001</v>
      </c>
      <c r="M16" s="1"/>
      <c r="N16" s="1"/>
      <c r="O16" s="1"/>
      <c r="P16" s="1"/>
      <c r="Q16" s="1">
        <f t="shared" si="3"/>
        <v>2.2747999999999999</v>
      </c>
      <c r="R16" s="5"/>
      <c r="S16" s="5"/>
      <c r="T16" s="1"/>
      <c r="U16" s="1">
        <f t="shared" si="4"/>
        <v>110.49323017408123</v>
      </c>
      <c r="V16" s="1">
        <f t="shared" si="5"/>
        <v>110.49323017408123</v>
      </c>
      <c r="W16" s="1">
        <v>3.871</v>
      </c>
      <c r="X16" s="1">
        <v>4.7553999999999998</v>
      </c>
      <c r="Y16" s="1">
        <v>3.657</v>
      </c>
      <c r="Z16" s="1">
        <v>7.6374000000000004</v>
      </c>
      <c r="AA16" s="1">
        <v>1.4505999999999999</v>
      </c>
      <c r="AB16" s="1">
        <v>5.3266</v>
      </c>
      <c r="AC16" s="1">
        <v>7.0133999999999999</v>
      </c>
      <c r="AD16" s="1">
        <v>7.2748000000000008</v>
      </c>
      <c r="AE16" s="15" t="s">
        <v>45</v>
      </c>
      <c r="AF16" s="1">
        <f t="shared" ref="AF16:AF22" si="7"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38</v>
      </c>
      <c r="C17" s="1">
        <v>710</v>
      </c>
      <c r="D17" s="1"/>
      <c r="E17" s="1">
        <v>207</v>
      </c>
      <c r="F17" s="1">
        <v>503</v>
      </c>
      <c r="G17" s="8">
        <v>0.25</v>
      </c>
      <c r="H17" s="1">
        <v>120</v>
      </c>
      <c r="I17" s="1" t="s">
        <v>36</v>
      </c>
      <c r="J17" s="1"/>
      <c r="K17" s="1"/>
      <c r="L17" s="1">
        <f t="shared" si="2"/>
        <v>207</v>
      </c>
      <c r="M17" s="1"/>
      <c r="N17" s="1"/>
      <c r="O17" s="1"/>
      <c r="P17" s="1">
        <v>120</v>
      </c>
      <c r="Q17" s="1">
        <f t="shared" si="3"/>
        <v>41.4</v>
      </c>
      <c r="R17" s="5">
        <v>240</v>
      </c>
      <c r="S17" s="5">
        <v>205</v>
      </c>
      <c r="T17" s="1"/>
      <c r="U17" s="1">
        <f t="shared" si="4"/>
        <v>20.845410628019323</v>
      </c>
      <c r="V17" s="1">
        <f t="shared" si="5"/>
        <v>15.048309178743962</v>
      </c>
      <c r="W17" s="1">
        <v>30.6</v>
      </c>
      <c r="X17" s="1">
        <v>22.6</v>
      </c>
      <c r="Y17" s="1">
        <v>27</v>
      </c>
      <c r="Z17" s="1">
        <v>36</v>
      </c>
      <c r="AA17" s="1">
        <v>18.2</v>
      </c>
      <c r="AB17" s="1">
        <v>35.4</v>
      </c>
      <c r="AC17" s="1">
        <v>37.6</v>
      </c>
      <c r="AD17" s="1">
        <v>30.8</v>
      </c>
      <c r="AE17" s="16" t="s">
        <v>74</v>
      </c>
      <c r="AF17" s="1">
        <f t="shared" si="7"/>
        <v>60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38</v>
      </c>
      <c r="C18" s="1">
        <v>514</v>
      </c>
      <c r="D18" s="1">
        <v>160</v>
      </c>
      <c r="E18" s="1">
        <v>343</v>
      </c>
      <c r="F18" s="1">
        <v>331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2"/>
        <v>343</v>
      </c>
      <c r="M18" s="1"/>
      <c r="N18" s="1"/>
      <c r="O18" s="1"/>
      <c r="P18" s="1">
        <v>360</v>
      </c>
      <c r="Q18" s="1">
        <f t="shared" si="3"/>
        <v>68.599999999999994</v>
      </c>
      <c r="R18" s="5">
        <v>440</v>
      </c>
      <c r="S18" s="5">
        <v>543.79999999999995</v>
      </c>
      <c r="T18" s="1"/>
      <c r="U18" s="1">
        <f t="shared" si="4"/>
        <v>16.486880466472304</v>
      </c>
      <c r="V18" s="1">
        <f t="shared" si="5"/>
        <v>10.072886297376094</v>
      </c>
      <c r="W18" s="1">
        <v>48</v>
      </c>
      <c r="X18" s="1">
        <v>47.2</v>
      </c>
      <c r="Y18" s="1">
        <v>58.4</v>
      </c>
      <c r="Z18" s="1">
        <v>75.599999999999994</v>
      </c>
      <c r="AA18" s="1">
        <v>47.4</v>
      </c>
      <c r="AB18" s="1">
        <v>43.4</v>
      </c>
      <c r="AC18" s="1">
        <v>52</v>
      </c>
      <c r="AD18" s="1">
        <v>49</v>
      </c>
      <c r="AE18" s="1"/>
      <c r="AF18" s="1">
        <f t="shared" si="7"/>
        <v>110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35</v>
      </c>
      <c r="C19" s="1">
        <v>120.173</v>
      </c>
      <c r="D19" s="1"/>
      <c r="E19" s="1">
        <v>20.434000000000001</v>
      </c>
      <c r="F19" s="1">
        <v>99.739000000000004</v>
      </c>
      <c r="G19" s="8">
        <v>1</v>
      </c>
      <c r="H19" s="1">
        <v>120</v>
      </c>
      <c r="I19" s="1" t="s">
        <v>36</v>
      </c>
      <c r="J19" s="1"/>
      <c r="K19" s="1"/>
      <c r="L19" s="1">
        <f t="shared" si="2"/>
        <v>20.434000000000001</v>
      </c>
      <c r="M19" s="1"/>
      <c r="N19" s="1"/>
      <c r="O19" s="1"/>
      <c r="P19" s="1">
        <v>50</v>
      </c>
      <c r="Q19" s="1">
        <f t="shared" si="3"/>
        <v>4.0868000000000002</v>
      </c>
      <c r="R19" s="5">
        <v>30</v>
      </c>
      <c r="S19" s="5"/>
      <c r="T19" s="1"/>
      <c r="U19" s="1">
        <f t="shared" si="4"/>
        <v>43.980375844181268</v>
      </c>
      <c r="V19" s="1">
        <f t="shared" si="5"/>
        <v>36.639669178819616</v>
      </c>
      <c r="W19" s="1">
        <v>6.3287999999999993</v>
      </c>
      <c r="X19" s="1">
        <v>5.9488000000000003</v>
      </c>
      <c r="Y19" s="1">
        <v>7.6367999999999991</v>
      </c>
      <c r="Z19" s="1">
        <v>10.076000000000001</v>
      </c>
      <c r="AA19" s="1">
        <v>4.7776000000000014</v>
      </c>
      <c r="AB19" s="1">
        <v>6.0907999999999998</v>
      </c>
      <c r="AC19" s="1">
        <v>12.417999999999999</v>
      </c>
      <c r="AD19" s="1">
        <v>9.0924000000000014</v>
      </c>
      <c r="AE19" s="15" t="s">
        <v>45</v>
      </c>
      <c r="AF19" s="1">
        <f t="shared" si="7"/>
        <v>30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>
        <v>690</v>
      </c>
      <c r="D20" s="1"/>
      <c r="E20" s="1">
        <v>191</v>
      </c>
      <c r="F20" s="1">
        <v>498</v>
      </c>
      <c r="G20" s="8">
        <v>0.25</v>
      </c>
      <c r="H20" s="1">
        <v>120</v>
      </c>
      <c r="I20" s="1" t="s">
        <v>36</v>
      </c>
      <c r="J20" s="1"/>
      <c r="K20" s="1"/>
      <c r="L20" s="1">
        <f t="shared" si="2"/>
        <v>191</v>
      </c>
      <c r="M20" s="1"/>
      <c r="N20" s="1"/>
      <c r="O20" s="1"/>
      <c r="P20" s="1">
        <v>120</v>
      </c>
      <c r="Q20" s="1">
        <f t="shared" si="3"/>
        <v>38.200000000000003</v>
      </c>
      <c r="R20" s="5">
        <v>240</v>
      </c>
      <c r="S20" s="5">
        <v>146</v>
      </c>
      <c r="T20" s="1"/>
      <c r="U20" s="1">
        <f t="shared" si="4"/>
        <v>22.460732984293191</v>
      </c>
      <c r="V20" s="1">
        <f t="shared" si="5"/>
        <v>16.178010471204189</v>
      </c>
      <c r="W20" s="1">
        <v>31.6</v>
      </c>
      <c r="X20" s="1">
        <v>24.2</v>
      </c>
      <c r="Y20" s="1">
        <v>36</v>
      </c>
      <c r="Z20" s="1">
        <v>51.2</v>
      </c>
      <c r="AA20" s="1">
        <v>26.8</v>
      </c>
      <c r="AB20" s="1">
        <v>31.4</v>
      </c>
      <c r="AC20" s="1">
        <v>43.4</v>
      </c>
      <c r="AD20" s="1">
        <v>37</v>
      </c>
      <c r="AE20" s="16" t="s">
        <v>75</v>
      </c>
      <c r="AF20" s="1">
        <f t="shared" si="7"/>
        <v>60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35</v>
      </c>
      <c r="C21" s="1">
        <v>43.026000000000003</v>
      </c>
      <c r="D21" s="1">
        <v>48.253999999999998</v>
      </c>
      <c r="E21" s="1">
        <v>40.037999999999997</v>
      </c>
      <c r="F21" s="1">
        <v>51.241999999999997</v>
      </c>
      <c r="G21" s="8">
        <v>1</v>
      </c>
      <c r="H21" s="1">
        <v>60</v>
      </c>
      <c r="I21" s="1" t="s">
        <v>36</v>
      </c>
      <c r="J21" s="1"/>
      <c r="K21" s="1"/>
      <c r="L21" s="1">
        <f t="shared" si="2"/>
        <v>40.037999999999997</v>
      </c>
      <c r="M21" s="1"/>
      <c r="N21" s="1"/>
      <c r="O21" s="1">
        <v>50</v>
      </c>
      <c r="P21" s="1">
        <v>50</v>
      </c>
      <c r="Q21" s="1">
        <f t="shared" si="3"/>
        <v>8.0076000000000001</v>
      </c>
      <c r="R21" s="5">
        <v>30</v>
      </c>
      <c r="S21" s="5">
        <v>8.9099999999999895</v>
      </c>
      <c r="T21" s="1"/>
      <c r="U21" s="1">
        <f t="shared" si="4"/>
        <v>22.633747939457514</v>
      </c>
      <c r="V21" s="1">
        <f t="shared" si="5"/>
        <v>18.887307058294621</v>
      </c>
      <c r="W21" s="1">
        <v>1.0691999999999999</v>
      </c>
      <c r="X21" s="1">
        <v>0.79239999999999999</v>
      </c>
      <c r="Y21" s="1">
        <v>0.53120000000000001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/>
      <c r="AF21" s="1">
        <f t="shared" si="7"/>
        <v>30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38</v>
      </c>
      <c r="C22" s="1">
        <v>290</v>
      </c>
      <c r="D22" s="1">
        <v>320</v>
      </c>
      <c r="E22" s="1">
        <v>294</v>
      </c>
      <c r="F22" s="1">
        <v>316</v>
      </c>
      <c r="G22" s="8">
        <v>0.4</v>
      </c>
      <c r="H22" s="1">
        <v>60</v>
      </c>
      <c r="I22" s="1" t="s">
        <v>36</v>
      </c>
      <c r="J22" s="1"/>
      <c r="K22" s="1"/>
      <c r="L22" s="1">
        <f t="shared" si="2"/>
        <v>294</v>
      </c>
      <c r="M22" s="1"/>
      <c r="N22" s="1"/>
      <c r="O22" s="1"/>
      <c r="P22" s="1">
        <v>200</v>
      </c>
      <c r="Q22" s="1">
        <f t="shared" si="3"/>
        <v>58.8</v>
      </c>
      <c r="R22" s="5">
        <v>400</v>
      </c>
      <c r="S22" s="5">
        <v>483.59999999999991</v>
      </c>
      <c r="T22" s="1"/>
      <c r="U22" s="1">
        <f t="shared" si="4"/>
        <v>15.578231292517007</v>
      </c>
      <c r="V22" s="1">
        <f t="shared" si="5"/>
        <v>8.775510204081634</v>
      </c>
      <c r="W22" s="1">
        <v>6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7"/>
        <v>160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58</v>
      </c>
      <c r="B23" s="10"/>
      <c r="C23" s="10">
        <v>-3</v>
      </c>
      <c r="D23" s="10"/>
      <c r="E23" s="10"/>
      <c r="F23" s="13">
        <v>-3</v>
      </c>
      <c r="G23" s="11">
        <v>0</v>
      </c>
      <c r="H23" s="10"/>
      <c r="I23" s="10" t="s">
        <v>49</v>
      </c>
      <c r="J23" s="10" t="s">
        <v>59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3"/>
        <v>0</v>
      </c>
      <c r="R23" s="5"/>
      <c r="S23" s="12"/>
      <c r="T23" s="10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0.6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38</v>
      </c>
      <c r="C24" s="1">
        <v>1933</v>
      </c>
      <c r="D24" s="1">
        <v>624</v>
      </c>
      <c r="E24" s="1">
        <v>413</v>
      </c>
      <c r="F24" s="13">
        <f>2143+F23</f>
        <v>2140</v>
      </c>
      <c r="G24" s="8">
        <v>0.5</v>
      </c>
      <c r="H24" s="1">
        <v>60</v>
      </c>
      <c r="I24" s="1" t="s">
        <v>36</v>
      </c>
      <c r="J24" s="1"/>
      <c r="K24" s="1"/>
      <c r="L24" s="1">
        <f t="shared" si="2"/>
        <v>413</v>
      </c>
      <c r="M24" s="1"/>
      <c r="N24" s="1"/>
      <c r="O24" s="1"/>
      <c r="P24" s="1"/>
      <c r="Q24" s="1">
        <f t="shared" si="3"/>
        <v>82.6</v>
      </c>
      <c r="R24" s="5"/>
      <c r="S24" s="5"/>
      <c r="T24" s="1"/>
      <c r="U24" s="1">
        <f t="shared" si="4"/>
        <v>25.907990314769979</v>
      </c>
      <c r="V24" s="1">
        <f t="shared" si="5"/>
        <v>25.907990314769979</v>
      </c>
      <c r="W24" s="1">
        <v>68.2</v>
      </c>
      <c r="X24" s="1">
        <v>110.6</v>
      </c>
      <c r="Y24" s="1">
        <v>76.400000000000006</v>
      </c>
      <c r="Z24" s="1">
        <v>108</v>
      </c>
      <c r="AA24" s="1">
        <v>68.8</v>
      </c>
      <c r="AB24" s="1">
        <v>77.599999999999994</v>
      </c>
      <c r="AC24" s="1">
        <v>65.400000000000006</v>
      </c>
      <c r="AD24" s="1">
        <v>85.4</v>
      </c>
      <c r="AE24" s="17" t="s">
        <v>73</v>
      </c>
      <c r="AF24" s="1">
        <f t="shared" ref="AF24:AF37" si="8"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38</v>
      </c>
      <c r="C25" s="1">
        <v>285</v>
      </c>
      <c r="D25" s="1">
        <v>210</v>
      </c>
      <c r="E25" s="1">
        <v>169</v>
      </c>
      <c r="F25" s="1">
        <v>325</v>
      </c>
      <c r="G25" s="8">
        <v>0.36</v>
      </c>
      <c r="H25" s="1">
        <v>45</v>
      </c>
      <c r="I25" s="1" t="s">
        <v>36</v>
      </c>
      <c r="J25" s="1"/>
      <c r="K25" s="1"/>
      <c r="L25" s="1">
        <f t="shared" si="2"/>
        <v>169</v>
      </c>
      <c r="M25" s="1"/>
      <c r="N25" s="1"/>
      <c r="O25" s="1">
        <v>200</v>
      </c>
      <c r="P25" s="1"/>
      <c r="Q25" s="1">
        <f t="shared" si="3"/>
        <v>33.799999999999997</v>
      </c>
      <c r="R25" s="5">
        <v>160</v>
      </c>
      <c r="S25" s="5">
        <v>151</v>
      </c>
      <c r="T25" s="1"/>
      <c r="U25" s="1">
        <f t="shared" si="4"/>
        <v>20.266272189349113</v>
      </c>
      <c r="V25" s="1">
        <f t="shared" si="5"/>
        <v>15.532544378698226</v>
      </c>
      <c r="W25" s="1">
        <v>7.8</v>
      </c>
      <c r="X25" s="1">
        <v>34.200000000000003</v>
      </c>
      <c r="Y25" s="1">
        <v>39.6</v>
      </c>
      <c r="Z25" s="1">
        <v>0</v>
      </c>
      <c r="AA25" s="1">
        <v>15</v>
      </c>
      <c r="AB25" s="1">
        <v>0</v>
      </c>
      <c r="AC25" s="1">
        <v>0</v>
      </c>
      <c r="AD25" s="1">
        <v>0</v>
      </c>
      <c r="AE25" s="1"/>
      <c r="AF25" s="1">
        <f t="shared" si="8"/>
        <v>57.599999999999994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38</v>
      </c>
      <c r="C26" s="1">
        <v>282</v>
      </c>
      <c r="D26" s="1">
        <v>320</v>
      </c>
      <c r="E26" s="1">
        <v>258</v>
      </c>
      <c r="F26" s="1">
        <v>342</v>
      </c>
      <c r="G26" s="8">
        <v>0.33</v>
      </c>
      <c r="H26" s="1">
        <v>45</v>
      </c>
      <c r="I26" s="1" t="s">
        <v>36</v>
      </c>
      <c r="J26" s="1"/>
      <c r="K26" s="1"/>
      <c r="L26" s="1">
        <f t="shared" si="2"/>
        <v>258</v>
      </c>
      <c r="M26" s="1"/>
      <c r="N26" s="1"/>
      <c r="O26" s="1">
        <v>300</v>
      </c>
      <c r="P26" s="1">
        <v>200</v>
      </c>
      <c r="Q26" s="1">
        <f t="shared" si="3"/>
        <v>51.6</v>
      </c>
      <c r="R26" s="5">
        <v>240</v>
      </c>
      <c r="S26" s="5">
        <v>190</v>
      </c>
      <c r="T26" s="1"/>
      <c r="U26" s="1">
        <f t="shared" si="4"/>
        <v>20.968992248062015</v>
      </c>
      <c r="V26" s="1">
        <f t="shared" si="5"/>
        <v>16.31782945736434</v>
      </c>
      <c r="W26" s="1">
        <v>29.2</v>
      </c>
      <c r="X26" s="1">
        <v>57.6</v>
      </c>
      <c r="Y26" s="1">
        <v>0</v>
      </c>
      <c r="Z26" s="1">
        <v>-0.2</v>
      </c>
      <c r="AA26" s="1">
        <v>31.4</v>
      </c>
      <c r="AB26" s="1">
        <v>0</v>
      </c>
      <c r="AC26" s="1">
        <v>0</v>
      </c>
      <c r="AD26" s="1">
        <v>0</v>
      </c>
      <c r="AE26" s="1"/>
      <c r="AF26" s="1">
        <f t="shared" si="8"/>
        <v>79.2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38</v>
      </c>
      <c r="C27" s="1">
        <v>313</v>
      </c>
      <c r="D27" s="1">
        <v>240</v>
      </c>
      <c r="E27" s="1">
        <v>238</v>
      </c>
      <c r="F27" s="1">
        <v>308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2"/>
        <v>238</v>
      </c>
      <c r="M27" s="1"/>
      <c r="N27" s="1"/>
      <c r="O27" s="1">
        <v>200</v>
      </c>
      <c r="P27" s="1">
        <v>200</v>
      </c>
      <c r="Q27" s="1">
        <f t="shared" si="3"/>
        <v>47.6</v>
      </c>
      <c r="R27" s="5">
        <v>240</v>
      </c>
      <c r="S27" s="5">
        <v>244</v>
      </c>
      <c r="T27" s="1"/>
      <c r="U27" s="1">
        <f t="shared" si="4"/>
        <v>19.915966386554622</v>
      </c>
      <c r="V27" s="1">
        <f t="shared" si="5"/>
        <v>14.873949579831931</v>
      </c>
      <c r="W27" s="1">
        <v>1.4</v>
      </c>
      <c r="X27" s="1">
        <v>0</v>
      </c>
      <c r="Y27" s="1">
        <v>30.8</v>
      </c>
      <c r="Z27" s="1">
        <v>0</v>
      </c>
      <c r="AA27" s="1">
        <v>0.6</v>
      </c>
      <c r="AB27" s="1">
        <v>0</v>
      </c>
      <c r="AC27" s="1">
        <v>0</v>
      </c>
      <c r="AD27" s="1">
        <v>0</v>
      </c>
      <c r="AE27" s="1"/>
      <c r="AF27" s="1">
        <f t="shared" si="8"/>
        <v>79.2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38</v>
      </c>
      <c r="C28" s="1">
        <v>190</v>
      </c>
      <c r="D28" s="1">
        <v>120</v>
      </c>
      <c r="E28" s="1">
        <v>162</v>
      </c>
      <c r="F28" s="1">
        <v>148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2"/>
        <v>162</v>
      </c>
      <c r="M28" s="1"/>
      <c r="N28" s="1"/>
      <c r="O28" s="1">
        <v>240</v>
      </c>
      <c r="P28" s="1">
        <v>200</v>
      </c>
      <c r="Q28" s="1">
        <f t="shared" si="3"/>
        <v>32.4</v>
      </c>
      <c r="R28" s="5">
        <v>100</v>
      </c>
      <c r="S28" s="5">
        <v>60</v>
      </c>
      <c r="T28" s="1"/>
      <c r="U28" s="1">
        <f t="shared" si="4"/>
        <v>21.23456790123457</v>
      </c>
      <c r="V28" s="1">
        <f t="shared" si="5"/>
        <v>18.148148148148149</v>
      </c>
      <c r="W28" s="1">
        <v>19.8</v>
      </c>
      <c r="X28" s="1">
        <v>36.799999999999997</v>
      </c>
      <c r="Y28" s="1">
        <v>30.2</v>
      </c>
      <c r="Z28" s="1">
        <v>0</v>
      </c>
      <c r="AA28" s="1">
        <v>14.8</v>
      </c>
      <c r="AB28" s="1">
        <v>0</v>
      </c>
      <c r="AC28" s="1">
        <v>0</v>
      </c>
      <c r="AD28" s="1">
        <v>0</v>
      </c>
      <c r="AE28" s="1"/>
      <c r="AF28" s="1">
        <f t="shared" si="8"/>
        <v>40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35</v>
      </c>
      <c r="C29" s="1">
        <v>422.11700000000002</v>
      </c>
      <c r="D29" s="1">
        <v>119.901</v>
      </c>
      <c r="E29" s="1">
        <v>160.142</v>
      </c>
      <c r="F29" s="1">
        <v>379.52600000000001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2"/>
        <v>160.142</v>
      </c>
      <c r="M29" s="1"/>
      <c r="N29" s="1"/>
      <c r="O29" s="1">
        <v>200</v>
      </c>
      <c r="P29" s="1">
        <v>200</v>
      </c>
      <c r="Q29" s="1">
        <f t="shared" si="3"/>
        <v>32.028399999999998</v>
      </c>
      <c r="R29" s="5">
        <v>100</v>
      </c>
      <c r="S29" s="5"/>
      <c r="T29" s="1"/>
      <c r="U29" s="1">
        <f t="shared" si="4"/>
        <v>27.460816025777127</v>
      </c>
      <c r="V29" s="1">
        <f t="shared" si="5"/>
        <v>24.338587004033922</v>
      </c>
      <c r="W29" s="1">
        <v>39.184199999999997</v>
      </c>
      <c r="X29" s="1">
        <v>48.998199999999997</v>
      </c>
      <c r="Y29" s="1">
        <v>46.230200000000004</v>
      </c>
      <c r="Z29" s="1">
        <v>54.262999999999998</v>
      </c>
      <c r="AA29" s="1">
        <v>45.597799999999999</v>
      </c>
      <c r="AB29" s="1">
        <v>44.827599999999997</v>
      </c>
      <c r="AC29" s="1">
        <v>45.760000000000012</v>
      </c>
      <c r="AD29" s="1">
        <v>53.6648</v>
      </c>
      <c r="AE29" s="1"/>
      <c r="AF29" s="1">
        <f t="shared" si="8"/>
        <v>100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38</v>
      </c>
      <c r="C30" s="1">
        <v>115</v>
      </c>
      <c r="D30" s="1">
        <v>120</v>
      </c>
      <c r="E30" s="1">
        <v>98</v>
      </c>
      <c r="F30" s="1">
        <v>137</v>
      </c>
      <c r="G30" s="8">
        <v>0.3</v>
      </c>
      <c r="H30" s="1">
        <v>60</v>
      </c>
      <c r="I30" s="1" t="s">
        <v>36</v>
      </c>
      <c r="J30" s="1"/>
      <c r="K30" s="1"/>
      <c r="L30" s="1">
        <f t="shared" si="2"/>
        <v>98</v>
      </c>
      <c r="M30" s="1"/>
      <c r="N30" s="1"/>
      <c r="O30" s="1">
        <v>150</v>
      </c>
      <c r="P30" s="1">
        <v>100</v>
      </c>
      <c r="Q30" s="1">
        <f t="shared" si="3"/>
        <v>19.600000000000001</v>
      </c>
      <c r="R30" s="5">
        <v>100</v>
      </c>
      <c r="S30" s="5">
        <v>5</v>
      </c>
      <c r="T30" s="1"/>
      <c r="U30" s="1">
        <f t="shared" si="4"/>
        <v>24.846938775510203</v>
      </c>
      <c r="V30" s="1">
        <f t="shared" si="5"/>
        <v>19.744897959183671</v>
      </c>
      <c r="W30" s="1">
        <v>16</v>
      </c>
      <c r="X30" s="1">
        <v>17.8</v>
      </c>
      <c r="Y30" s="1">
        <v>46.6</v>
      </c>
      <c r="Z30" s="1">
        <v>6.4</v>
      </c>
      <c r="AA30" s="1">
        <v>21.6</v>
      </c>
      <c r="AB30" s="1">
        <v>0</v>
      </c>
      <c r="AC30" s="1">
        <v>0</v>
      </c>
      <c r="AD30" s="1">
        <v>0</v>
      </c>
      <c r="AE30" s="1"/>
      <c r="AF30" s="1">
        <f t="shared" si="8"/>
        <v>30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50</v>
      </c>
      <c r="B31" s="1" t="s">
        <v>38</v>
      </c>
      <c r="C31" s="1">
        <v>333</v>
      </c>
      <c r="D31" s="1">
        <v>300</v>
      </c>
      <c r="E31" s="1">
        <v>168</v>
      </c>
      <c r="F31" s="13">
        <f>453+F15</f>
        <v>450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2"/>
        <v>168</v>
      </c>
      <c r="M31" s="1"/>
      <c r="N31" s="1"/>
      <c r="O31" s="1">
        <v>200</v>
      </c>
      <c r="P31" s="1">
        <v>200</v>
      </c>
      <c r="Q31" s="1">
        <f t="shared" si="3"/>
        <v>33.6</v>
      </c>
      <c r="R31" s="5"/>
      <c r="S31" s="5"/>
      <c r="T31" s="1"/>
      <c r="U31" s="1">
        <f t="shared" si="4"/>
        <v>25.297619047619047</v>
      </c>
      <c r="V31" s="1">
        <f t="shared" si="5"/>
        <v>25.297619047619047</v>
      </c>
      <c r="W31" s="1">
        <v>20.8</v>
      </c>
      <c r="X31" s="1">
        <v>40.200000000000003</v>
      </c>
      <c r="Y31" s="1">
        <v>52.8</v>
      </c>
      <c r="Z31" s="1">
        <v>2</v>
      </c>
      <c r="AA31" s="1">
        <v>24.2</v>
      </c>
      <c r="AB31" s="1">
        <v>0</v>
      </c>
      <c r="AC31" s="1">
        <v>0</v>
      </c>
      <c r="AD31" s="1">
        <v>0</v>
      </c>
      <c r="AE31" s="14" t="s">
        <v>39</v>
      </c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35</v>
      </c>
      <c r="C32" s="1">
        <v>603.36699999999996</v>
      </c>
      <c r="D32" s="1">
        <v>248.37</v>
      </c>
      <c r="E32" s="1">
        <v>304.40499999999997</v>
      </c>
      <c r="F32" s="1">
        <v>537.274</v>
      </c>
      <c r="G32" s="8">
        <v>1</v>
      </c>
      <c r="H32" s="1">
        <v>50</v>
      </c>
      <c r="I32" s="1" t="s">
        <v>36</v>
      </c>
      <c r="J32" s="1"/>
      <c r="K32" s="1"/>
      <c r="L32" s="1">
        <f t="shared" si="2"/>
        <v>304.40499999999997</v>
      </c>
      <c r="M32" s="1"/>
      <c r="N32" s="1"/>
      <c r="O32" s="1">
        <v>500</v>
      </c>
      <c r="P32" s="1">
        <v>400</v>
      </c>
      <c r="Q32" s="1">
        <f t="shared" si="3"/>
        <v>60.880999999999993</v>
      </c>
      <c r="R32" s="5">
        <v>350</v>
      </c>
      <c r="S32" s="5"/>
      <c r="T32" s="1"/>
      <c r="U32" s="1">
        <f t="shared" si="4"/>
        <v>29.356843678651799</v>
      </c>
      <c r="V32" s="1">
        <f t="shared" si="5"/>
        <v>23.607923654342077</v>
      </c>
      <c r="W32" s="1">
        <v>81.591200000000001</v>
      </c>
      <c r="X32" s="1">
        <v>92.709400000000002</v>
      </c>
      <c r="Y32" s="1">
        <v>93.669000000000011</v>
      </c>
      <c r="Z32" s="1">
        <v>106.9704</v>
      </c>
      <c r="AA32" s="1">
        <v>72.168399999999991</v>
      </c>
      <c r="AB32" s="1">
        <v>88.650599999999997</v>
      </c>
      <c r="AC32" s="1">
        <v>98.237200000000001</v>
      </c>
      <c r="AD32" s="1">
        <v>97.492400000000004</v>
      </c>
      <c r="AE32" s="1"/>
      <c r="AF32" s="1">
        <f t="shared" si="8"/>
        <v>350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35</v>
      </c>
      <c r="C33" s="1">
        <v>140.77099999999999</v>
      </c>
      <c r="D33" s="1">
        <v>100.57</v>
      </c>
      <c r="E33" s="1">
        <v>130.648</v>
      </c>
      <c r="F33" s="1">
        <v>109.523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2"/>
        <v>130.648</v>
      </c>
      <c r="M33" s="1"/>
      <c r="N33" s="1"/>
      <c r="O33" s="1">
        <v>120</v>
      </c>
      <c r="P33" s="1">
        <v>120</v>
      </c>
      <c r="Q33" s="1">
        <f t="shared" si="3"/>
        <v>26.1296</v>
      </c>
      <c r="R33" s="5">
        <v>150</v>
      </c>
      <c r="S33" s="5">
        <v>173.06899999999999</v>
      </c>
      <c r="T33" s="1"/>
      <c r="U33" s="1">
        <f t="shared" si="4"/>
        <v>19.117131528993937</v>
      </c>
      <c r="V33" s="1">
        <f t="shared" si="5"/>
        <v>13.376515522625683</v>
      </c>
      <c r="W33" s="1">
        <v>25.888999999999999</v>
      </c>
      <c r="X33" s="1">
        <v>25.126200000000001</v>
      </c>
      <c r="Y33" s="1">
        <v>36.475999999999999</v>
      </c>
      <c r="Z33" s="1">
        <v>27.370200000000001</v>
      </c>
      <c r="AA33" s="1">
        <v>24.926600000000001</v>
      </c>
      <c r="AB33" s="1">
        <v>25.960999999999999</v>
      </c>
      <c r="AC33" s="1">
        <v>23.6906</v>
      </c>
      <c r="AD33" s="1">
        <v>36.248600000000003</v>
      </c>
      <c r="AE33" s="1"/>
      <c r="AF33" s="1">
        <f t="shared" si="8"/>
        <v>150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38</v>
      </c>
      <c r="C34" s="1">
        <v>200</v>
      </c>
      <c r="D34" s="1">
        <v>320</v>
      </c>
      <c r="E34" s="1">
        <v>255</v>
      </c>
      <c r="F34" s="1">
        <v>257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2"/>
        <v>255</v>
      </c>
      <c r="M34" s="1"/>
      <c r="N34" s="1"/>
      <c r="O34" s="1">
        <v>360</v>
      </c>
      <c r="P34" s="1">
        <v>280</v>
      </c>
      <c r="Q34" s="1">
        <f t="shared" si="3"/>
        <v>51</v>
      </c>
      <c r="R34" s="5">
        <v>160</v>
      </c>
      <c r="S34" s="5">
        <v>123</v>
      </c>
      <c r="T34" s="1"/>
      <c r="U34" s="1">
        <f t="shared" si="4"/>
        <v>20.725490196078432</v>
      </c>
      <c r="V34" s="1">
        <f t="shared" si="5"/>
        <v>17.588235294117649</v>
      </c>
      <c r="W34" s="1">
        <v>7.2</v>
      </c>
      <c r="X34" s="1">
        <v>49.8</v>
      </c>
      <c r="Y34" s="1">
        <v>41</v>
      </c>
      <c r="Z34" s="1">
        <v>0.2</v>
      </c>
      <c r="AA34" s="1">
        <v>22.2</v>
      </c>
      <c r="AB34" s="1">
        <v>0</v>
      </c>
      <c r="AC34" s="1">
        <v>0</v>
      </c>
      <c r="AD34" s="1">
        <v>0</v>
      </c>
      <c r="AE34" s="1"/>
      <c r="AF34" s="1">
        <f t="shared" si="8"/>
        <v>64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38</v>
      </c>
      <c r="C35" s="1">
        <v>564</v>
      </c>
      <c r="D35" s="1">
        <v>200</v>
      </c>
      <c r="E35" s="1">
        <v>177</v>
      </c>
      <c r="F35" s="1">
        <v>584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2"/>
        <v>177</v>
      </c>
      <c r="M35" s="1"/>
      <c r="N35" s="1"/>
      <c r="O35" s="1"/>
      <c r="P35" s="1"/>
      <c r="Q35" s="1">
        <f t="shared" si="3"/>
        <v>35.4</v>
      </c>
      <c r="R35" s="5">
        <v>160</v>
      </c>
      <c r="S35" s="5">
        <v>124</v>
      </c>
      <c r="T35" s="1"/>
      <c r="U35" s="1">
        <f t="shared" si="4"/>
        <v>21.016949152542374</v>
      </c>
      <c r="V35" s="1">
        <f t="shared" si="5"/>
        <v>16.497175141242938</v>
      </c>
      <c r="W35" s="1">
        <v>15.4</v>
      </c>
      <c r="X35" s="1">
        <v>37.6</v>
      </c>
      <c r="Y35" s="1">
        <v>38.200000000000003</v>
      </c>
      <c r="Z35" s="1">
        <v>9.8000000000000007</v>
      </c>
      <c r="AA35" s="1">
        <v>27.2</v>
      </c>
      <c r="AB35" s="1">
        <v>0</v>
      </c>
      <c r="AC35" s="1">
        <v>0</v>
      </c>
      <c r="AD35" s="1">
        <v>0</v>
      </c>
      <c r="AE35" s="1"/>
      <c r="AF35" s="1">
        <f t="shared" si="8"/>
        <v>28.799999999999997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38</v>
      </c>
      <c r="C36" s="1">
        <v>1214</v>
      </c>
      <c r="D36" s="1">
        <v>1500</v>
      </c>
      <c r="E36" s="1">
        <v>1417</v>
      </c>
      <c r="F36" s="1">
        <v>1282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2"/>
        <v>1417</v>
      </c>
      <c r="M36" s="1"/>
      <c r="N36" s="1"/>
      <c r="O36" s="1">
        <v>1600</v>
      </c>
      <c r="P36" s="1">
        <v>1200</v>
      </c>
      <c r="Q36" s="1">
        <f t="shared" si="3"/>
        <v>283.39999999999998</v>
      </c>
      <c r="R36" s="5">
        <v>1600</v>
      </c>
      <c r="S36" s="5">
        <v>1586</v>
      </c>
      <c r="T36" s="1"/>
      <c r="U36" s="1">
        <f t="shared" si="4"/>
        <v>20.049400141143263</v>
      </c>
      <c r="V36" s="1">
        <f t="shared" si="5"/>
        <v>14.403669724770644</v>
      </c>
      <c r="W36" s="1">
        <v>202.8</v>
      </c>
      <c r="X36" s="1">
        <v>293.39999999999998</v>
      </c>
      <c r="Y36" s="1">
        <v>239</v>
      </c>
      <c r="Z36" s="1">
        <v>330.8</v>
      </c>
      <c r="AA36" s="1">
        <v>219.8</v>
      </c>
      <c r="AB36" s="1">
        <v>237.6</v>
      </c>
      <c r="AC36" s="1">
        <v>274.8</v>
      </c>
      <c r="AD36" s="1">
        <v>214.6</v>
      </c>
      <c r="AE36" s="1"/>
      <c r="AF36" s="1">
        <f t="shared" si="8"/>
        <v>480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38</v>
      </c>
      <c r="C37" s="1">
        <v>267</v>
      </c>
      <c r="D37" s="1">
        <v>80</v>
      </c>
      <c r="E37" s="1">
        <v>208</v>
      </c>
      <c r="F37" s="1">
        <v>120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2"/>
        <v>208</v>
      </c>
      <c r="M37" s="1"/>
      <c r="N37" s="1"/>
      <c r="O37" s="1">
        <v>240</v>
      </c>
      <c r="P37" s="1">
        <v>240</v>
      </c>
      <c r="Q37" s="1">
        <f t="shared" si="3"/>
        <v>41.6</v>
      </c>
      <c r="R37" s="5">
        <v>240</v>
      </c>
      <c r="S37" s="5">
        <v>232</v>
      </c>
      <c r="T37" s="1"/>
      <c r="U37" s="1">
        <f t="shared" si="4"/>
        <v>20.19230769230769</v>
      </c>
      <c r="V37" s="1">
        <f t="shared" si="5"/>
        <v>14.423076923076923</v>
      </c>
      <c r="W37" s="1">
        <v>41</v>
      </c>
      <c r="X37" s="1">
        <v>48</v>
      </c>
      <c r="Y37" s="1">
        <v>40.4</v>
      </c>
      <c r="Z37" s="1">
        <v>0</v>
      </c>
      <c r="AA37" s="1">
        <v>31.2</v>
      </c>
      <c r="AB37" s="1">
        <v>0</v>
      </c>
      <c r="AC37" s="1">
        <v>0</v>
      </c>
      <c r="AD37" s="1">
        <v>0</v>
      </c>
      <c r="AE37" s="1"/>
      <c r="AF37" s="1">
        <f t="shared" si="8"/>
        <v>67.2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3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2025-11-03T10:49:51Z</dcterms:created>
  <dcterms:modified xsi:type="dcterms:W3CDTF">2025-11-05T13:09:36Z</dcterms:modified>
</cp:coreProperties>
</file>