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"/>
    </mc:Choice>
  </mc:AlternateContent>
  <xr:revisionPtr revIDLastSave="0" documentId="13_ncr:1_{0607774A-C8D3-483E-A655-BBC15B7E49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1" i="1" l="1"/>
  <c r="AF45" i="1"/>
  <c r="Q95" i="1"/>
  <c r="V95" i="1" s="1"/>
  <c r="L95" i="1"/>
  <c r="AF94" i="1"/>
  <c r="Q94" i="1"/>
  <c r="U94" i="1" s="1"/>
  <c r="L94" i="1"/>
  <c r="Q93" i="1"/>
  <c r="U93" i="1" s="1"/>
  <c r="L93" i="1"/>
  <c r="Q92" i="1"/>
  <c r="U92" i="1" s="1"/>
  <c r="L92" i="1"/>
  <c r="AF91" i="1"/>
  <c r="Q91" i="1"/>
  <c r="V91" i="1" s="1"/>
  <c r="L91" i="1"/>
  <c r="F90" i="1"/>
  <c r="E90" i="1"/>
  <c r="L90" i="1" s="1"/>
  <c r="Q89" i="1"/>
  <c r="V89" i="1" s="1"/>
  <c r="L89" i="1"/>
  <c r="Q88" i="1"/>
  <c r="L88" i="1"/>
  <c r="Q87" i="1"/>
  <c r="V87" i="1" s="1"/>
  <c r="L87" i="1"/>
  <c r="Q86" i="1"/>
  <c r="L86" i="1"/>
  <c r="AF85" i="1"/>
  <c r="Q85" i="1"/>
  <c r="V85" i="1" s="1"/>
  <c r="L85" i="1"/>
  <c r="Q84" i="1"/>
  <c r="L84" i="1"/>
  <c r="Q83" i="1"/>
  <c r="L83" i="1"/>
  <c r="Q82" i="1"/>
  <c r="L82" i="1"/>
  <c r="Q81" i="1"/>
  <c r="V81" i="1" s="1"/>
  <c r="L81" i="1"/>
  <c r="Q80" i="1"/>
  <c r="L80" i="1"/>
  <c r="Q79" i="1"/>
  <c r="V79" i="1" s="1"/>
  <c r="L79" i="1"/>
  <c r="Q78" i="1"/>
  <c r="R78" i="1" s="1"/>
  <c r="L78" i="1"/>
  <c r="Q77" i="1"/>
  <c r="V77" i="1" s="1"/>
  <c r="L77" i="1"/>
  <c r="Q76" i="1"/>
  <c r="R76" i="1" s="1"/>
  <c r="L76" i="1"/>
  <c r="Q75" i="1"/>
  <c r="V75" i="1" s="1"/>
  <c r="L75" i="1"/>
  <c r="Q74" i="1"/>
  <c r="V74" i="1" s="1"/>
  <c r="L74" i="1"/>
  <c r="Q73" i="1"/>
  <c r="L73" i="1"/>
  <c r="Q72" i="1"/>
  <c r="V72" i="1" s="1"/>
  <c r="L72" i="1"/>
  <c r="Q71" i="1"/>
  <c r="V71" i="1" s="1"/>
  <c r="L71" i="1"/>
  <c r="Q70" i="1"/>
  <c r="L70" i="1"/>
  <c r="Q69" i="1"/>
  <c r="V69" i="1" s="1"/>
  <c r="L69" i="1"/>
  <c r="Q68" i="1"/>
  <c r="L68" i="1"/>
  <c r="Q67" i="1"/>
  <c r="V67" i="1" s="1"/>
  <c r="L67" i="1"/>
  <c r="Q66" i="1"/>
  <c r="L66" i="1"/>
  <c r="Q65" i="1"/>
  <c r="V65" i="1" s="1"/>
  <c r="L65" i="1"/>
  <c r="Q64" i="1"/>
  <c r="L64" i="1"/>
  <c r="Q63" i="1"/>
  <c r="L63" i="1"/>
  <c r="F62" i="1"/>
  <c r="E62" i="1"/>
  <c r="L62" i="1" s="1"/>
  <c r="F61" i="1"/>
  <c r="E61" i="1"/>
  <c r="Q61" i="1" s="1"/>
  <c r="Q60" i="1"/>
  <c r="L60" i="1"/>
  <c r="Q59" i="1"/>
  <c r="L59" i="1"/>
  <c r="Q58" i="1"/>
  <c r="L58" i="1"/>
  <c r="Q57" i="1"/>
  <c r="V57" i="1" s="1"/>
  <c r="L57" i="1"/>
  <c r="Q56" i="1"/>
  <c r="L56" i="1"/>
  <c r="Q55" i="1"/>
  <c r="V55" i="1" s="1"/>
  <c r="L55" i="1"/>
  <c r="Q54" i="1"/>
  <c r="R54" i="1" s="1"/>
  <c r="L54" i="1"/>
  <c r="Q53" i="1"/>
  <c r="V53" i="1" s="1"/>
  <c r="L53" i="1"/>
  <c r="Q52" i="1"/>
  <c r="L52" i="1"/>
  <c r="Q51" i="1"/>
  <c r="V51" i="1" s="1"/>
  <c r="L51" i="1"/>
  <c r="Q50" i="1"/>
  <c r="L50" i="1"/>
  <c r="Q49" i="1"/>
  <c r="V49" i="1" s="1"/>
  <c r="L49" i="1"/>
  <c r="Q48" i="1"/>
  <c r="R48" i="1" s="1"/>
  <c r="L48" i="1"/>
  <c r="Q47" i="1"/>
  <c r="V47" i="1" s="1"/>
  <c r="L47" i="1"/>
  <c r="Q46" i="1"/>
  <c r="L46" i="1"/>
  <c r="Q45" i="1"/>
  <c r="V45" i="1" s="1"/>
  <c r="L45" i="1"/>
  <c r="Q44" i="1"/>
  <c r="L44" i="1"/>
  <c r="Q43" i="1"/>
  <c r="V43" i="1" s="1"/>
  <c r="L43" i="1"/>
  <c r="Q42" i="1"/>
  <c r="L42" i="1"/>
  <c r="Q41" i="1"/>
  <c r="V41" i="1" s="1"/>
  <c r="L41" i="1"/>
  <c r="Q40" i="1"/>
  <c r="L40" i="1"/>
  <c r="Q39" i="1"/>
  <c r="V39" i="1" s="1"/>
  <c r="L39" i="1"/>
  <c r="Q38" i="1"/>
  <c r="R38" i="1" s="1"/>
  <c r="L38" i="1"/>
  <c r="AF37" i="1"/>
  <c r="Q37" i="1"/>
  <c r="V37" i="1" s="1"/>
  <c r="L37" i="1"/>
  <c r="Q36" i="1"/>
  <c r="L36" i="1"/>
  <c r="Q35" i="1"/>
  <c r="V35" i="1" s="1"/>
  <c r="L35" i="1"/>
  <c r="Q34" i="1"/>
  <c r="L34" i="1"/>
  <c r="Q33" i="1"/>
  <c r="L33" i="1"/>
  <c r="Q32" i="1"/>
  <c r="L32" i="1"/>
  <c r="Q31" i="1"/>
  <c r="L31" i="1"/>
  <c r="Q30" i="1"/>
  <c r="L30" i="1"/>
  <c r="Q29" i="1"/>
  <c r="V29" i="1" s="1"/>
  <c r="L29" i="1"/>
  <c r="Q28" i="1"/>
  <c r="L28" i="1"/>
  <c r="Q27" i="1"/>
  <c r="V27" i="1" s="1"/>
  <c r="L27" i="1"/>
  <c r="Q26" i="1"/>
  <c r="L26" i="1"/>
  <c r="Q25" i="1"/>
  <c r="V25" i="1" s="1"/>
  <c r="L25" i="1"/>
  <c r="Q24" i="1"/>
  <c r="R24" i="1" s="1"/>
  <c r="L24" i="1"/>
  <c r="Q23" i="1"/>
  <c r="L23" i="1"/>
  <c r="Q22" i="1"/>
  <c r="L22" i="1"/>
  <c r="Q21" i="1"/>
  <c r="L21" i="1"/>
  <c r="Q20" i="1"/>
  <c r="L20" i="1"/>
  <c r="Q19" i="1"/>
  <c r="V19" i="1" s="1"/>
  <c r="L19" i="1"/>
  <c r="Q18" i="1"/>
  <c r="V18" i="1" s="1"/>
  <c r="L18" i="1"/>
  <c r="Q17" i="1"/>
  <c r="L17" i="1"/>
  <c r="Q16" i="1"/>
  <c r="L16" i="1"/>
  <c r="Q15" i="1"/>
  <c r="L15" i="1"/>
  <c r="Q14" i="1"/>
  <c r="V14" i="1" s="1"/>
  <c r="L14" i="1"/>
  <c r="Q13" i="1"/>
  <c r="L13" i="1"/>
  <c r="Q12" i="1"/>
  <c r="V12" i="1" s="1"/>
  <c r="L12" i="1"/>
  <c r="Q11" i="1"/>
  <c r="L11" i="1"/>
  <c r="Q10" i="1"/>
  <c r="V10" i="1" s="1"/>
  <c r="L10" i="1"/>
  <c r="Q9" i="1"/>
  <c r="L9" i="1"/>
  <c r="Q8" i="1"/>
  <c r="L8" i="1"/>
  <c r="Q7" i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V8" i="1" l="1"/>
  <c r="R8" i="1"/>
  <c r="V33" i="1"/>
  <c r="R33" i="1"/>
  <c r="AF33" i="1" s="1"/>
  <c r="V59" i="1"/>
  <c r="R59" i="1"/>
  <c r="V83" i="1"/>
  <c r="R83" i="1"/>
  <c r="U83" i="1" s="1"/>
  <c r="V16" i="1"/>
  <c r="R16" i="1"/>
  <c r="AF16" i="1" s="1"/>
  <c r="V31" i="1"/>
  <c r="R31" i="1"/>
  <c r="AF31" i="1" s="1"/>
  <c r="V63" i="1"/>
  <c r="R63" i="1"/>
  <c r="U63" i="1" s="1"/>
  <c r="V21" i="1"/>
  <c r="R21" i="1"/>
  <c r="V23" i="1"/>
  <c r="R23" i="1"/>
  <c r="AF23" i="1" s="1"/>
  <c r="V6" i="1"/>
  <c r="R6" i="1"/>
  <c r="U6" i="1" s="1"/>
  <c r="R35" i="1"/>
  <c r="E5" i="1"/>
  <c r="V61" i="1"/>
  <c r="R29" i="1"/>
  <c r="AF29" i="1" s="1"/>
  <c r="R87" i="1"/>
  <c r="AF87" i="1" s="1"/>
  <c r="AF21" i="1"/>
  <c r="R41" i="1"/>
  <c r="AF41" i="1" s="1"/>
  <c r="AF63" i="1"/>
  <c r="R67" i="1"/>
  <c r="AF67" i="1" s="1"/>
  <c r="AF83" i="1"/>
  <c r="U91" i="1"/>
  <c r="V92" i="1"/>
  <c r="AF25" i="1"/>
  <c r="R39" i="1"/>
  <c r="AF39" i="1" s="1"/>
  <c r="R43" i="1"/>
  <c r="R49" i="1"/>
  <c r="AF49" i="1" s="1"/>
  <c r="R65" i="1"/>
  <c r="AF65" i="1" s="1"/>
  <c r="U85" i="1"/>
  <c r="R89" i="1"/>
  <c r="AF89" i="1" s="1"/>
  <c r="AF7" i="1"/>
  <c r="R9" i="1"/>
  <c r="AF9" i="1" s="1"/>
  <c r="R13" i="1"/>
  <c r="AF13" i="1" s="1"/>
  <c r="R17" i="1"/>
  <c r="AF17" i="1" s="1"/>
  <c r="R20" i="1"/>
  <c r="AF20" i="1" s="1"/>
  <c r="AF22" i="1"/>
  <c r="R34" i="1"/>
  <c r="AF34" i="1" s="1"/>
  <c r="AF38" i="1"/>
  <c r="R42" i="1"/>
  <c r="AF42" i="1" s="1"/>
  <c r="AF48" i="1"/>
  <c r="R80" i="1"/>
  <c r="AF80" i="1" s="1"/>
  <c r="AF86" i="1"/>
  <c r="R12" i="1"/>
  <c r="AF12" i="1" s="1"/>
  <c r="AF53" i="1"/>
  <c r="AF57" i="1"/>
  <c r="R61" i="1"/>
  <c r="AF61" i="1" s="1"/>
  <c r="R75" i="1"/>
  <c r="AF75" i="1" s="1"/>
  <c r="AF79" i="1"/>
  <c r="R11" i="1"/>
  <c r="AF11" i="1" s="1"/>
  <c r="R15" i="1"/>
  <c r="AF15" i="1" s="1"/>
  <c r="U30" i="1"/>
  <c r="AF30" i="1"/>
  <c r="U36" i="1"/>
  <c r="AF36" i="1"/>
  <c r="R40" i="1"/>
  <c r="AF40" i="1" s="1"/>
  <c r="R44" i="1"/>
  <c r="AF44" i="1" s="1"/>
  <c r="R66" i="1"/>
  <c r="AF66" i="1" s="1"/>
  <c r="U84" i="1"/>
  <c r="AF84" i="1"/>
  <c r="U88" i="1"/>
  <c r="AF88" i="1"/>
  <c r="AF10" i="1"/>
  <c r="AF14" i="1"/>
  <c r="R27" i="1"/>
  <c r="R47" i="1"/>
  <c r="AF47" i="1" s="1"/>
  <c r="AF55" i="1"/>
  <c r="R72" i="1"/>
  <c r="AF72" i="1" s="1"/>
  <c r="AF24" i="1"/>
  <c r="R26" i="1"/>
  <c r="AF26" i="1" s="1"/>
  <c r="AF28" i="1"/>
  <c r="AF32" i="1"/>
  <c r="R46" i="1"/>
  <c r="AF46" i="1" s="1"/>
  <c r="AF50" i="1"/>
  <c r="AF52" i="1"/>
  <c r="AF54" i="1"/>
  <c r="R56" i="1"/>
  <c r="AF56" i="1" s="1"/>
  <c r="AF58" i="1"/>
  <c r="AF60" i="1"/>
  <c r="AF64" i="1"/>
  <c r="R68" i="1"/>
  <c r="AF68" i="1" s="1"/>
  <c r="AF70" i="1"/>
  <c r="AF73" i="1"/>
  <c r="AF76" i="1"/>
  <c r="AF78" i="1"/>
  <c r="R82" i="1"/>
  <c r="AF82" i="1" s="1"/>
  <c r="U55" i="1"/>
  <c r="V73" i="1"/>
  <c r="U74" i="1"/>
  <c r="U81" i="1"/>
  <c r="Q90" i="1"/>
  <c r="V90" i="1" s="1"/>
  <c r="U10" i="1"/>
  <c r="U14" i="1"/>
  <c r="V15" i="1"/>
  <c r="V17" i="1"/>
  <c r="U18" i="1"/>
  <c r="U25" i="1"/>
  <c r="U37" i="1"/>
  <c r="U45" i="1"/>
  <c r="U57" i="1"/>
  <c r="Q62" i="1"/>
  <c r="U71" i="1"/>
  <c r="U79" i="1"/>
  <c r="V94" i="1"/>
  <c r="U95" i="1"/>
  <c r="V7" i="1"/>
  <c r="V9" i="1"/>
  <c r="V11" i="1"/>
  <c r="V13" i="1"/>
  <c r="F5" i="1"/>
  <c r="V20" i="1"/>
  <c r="V22" i="1"/>
  <c r="V24" i="1"/>
  <c r="V26" i="1"/>
  <c r="V28" i="1"/>
  <c r="V30" i="1"/>
  <c r="V32" i="1"/>
  <c r="V34" i="1"/>
  <c r="V36" i="1"/>
  <c r="V38" i="1"/>
  <c r="V40" i="1"/>
  <c r="V42" i="1"/>
  <c r="V44" i="1"/>
  <c r="V46" i="1"/>
  <c r="V48" i="1"/>
  <c r="V50" i="1"/>
  <c r="V52" i="1"/>
  <c r="V54" i="1"/>
  <c r="V56" i="1"/>
  <c r="V58" i="1"/>
  <c r="V60" i="1"/>
  <c r="L61" i="1"/>
  <c r="L5" i="1" s="1"/>
  <c r="V64" i="1"/>
  <c r="V66" i="1"/>
  <c r="V68" i="1"/>
  <c r="V70" i="1"/>
  <c r="V76" i="1"/>
  <c r="V78" i="1"/>
  <c r="V80" i="1"/>
  <c r="V82" i="1"/>
  <c r="V84" i="1"/>
  <c r="V86" i="1"/>
  <c r="V88" i="1"/>
  <c r="V93" i="1"/>
  <c r="U31" i="1" l="1"/>
  <c r="U75" i="1"/>
  <c r="U33" i="1"/>
  <c r="U39" i="1"/>
  <c r="U12" i="1"/>
  <c r="U87" i="1"/>
  <c r="U49" i="1"/>
  <c r="U29" i="1"/>
  <c r="U21" i="1"/>
  <c r="U35" i="1"/>
  <c r="AF35" i="1"/>
  <c r="U67" i="1"/>
  <c r="U41" i="1"/>
  <c r="U16" i="1"/>
  <c r="U89" i="1"/>
  <c r="U72" i="1"/>
  <c r="AF43" i="1"/>
  <c r="U43" i="1"/>
  <c r="AF8" i="1"/>
  <c r="U8" i="1"/>
  <c r="U65" i="1"/>
  <c r="U23" i="1"/>
  <c r="U66" i="1"/>
  <c r="U44" i="1"/>
  <c r="U40" i="1"/>
  <c r="U15" i="1"/>
  <c r="U11" i="1"/>
  <c r="V62" i="1"/>
  <c r="R62" i="1"/>
  <c r="U78" i="1"/>
  <c r="U73" i="1"/>
  <c r="U68" i="1"/>
  <c r="U60" i="1"/>
  <c r="U56" i="1"/>
  <c r="U52" i="1"/>
  <c r="U46" i="1"/>
  <c r="U28" i="1"/>
  <c r="U24" i="1"/>
  <c r="AF6" i="1"/>
  <c r="U61" i="1"/>
  <c r="U53" i="1"/>
  <c r="U90" i="1"/>
  <c r="AF90" i="1"/>
  <c r="U47" i="1"/>
  <c r="U82" i="1"/>
  <c r="U76" i="1"/>
  <c r="U70" i="1"/>
  <c r="U64" i="1"/>
  <c r="U58" i="1"/>
  <c r="U54" i="1"/>
  <c r="U50" i="1"/>
  <c r="U32" i="1"/>
  <c r="U26" i="1"/>
  <c r="AF77" i="1"/>
  <c r="U77" i="1"/>
  <c r="AF59" i="1"/>
  <c r="U59" i="1"/>
  <c r="U51" i="1"/>
  <c r="AF51" i="1"/>
  <c r="AF27" i="1"/>
  <c r="U27" i="1"/>
  <c r="U19" i="1"/>
  <c r="AF19" i="1"/>
  <c r="U69" i="1"/>
  <c r="AF69" i="1"/>
  <c r="U86" i="1"/>
  <c r="U80" i="1"/>
  <c r="U48" i="1"/>
  <c r="U42" i="1"/>
  <c r="U38" i="1"/>
  <c r="U34" i="1"/>
  <c r="U22" i="1"/>
  <c r="U20" i="1"/>
  <c r="U17" i="1"/>
  <c r="U13" i="1"/>
  <c r="U9" i="1"/>
  <c r="U7" i="1"/>
  <c r="Q5" i="1"/>
  <c r="AF62" i="1" l="1"/>
  <c r="AF5" i="1" s="1"/>
  <c r="U62" i="1"/>
  <c r="R5" i="1"/>
</calcChain>
</file>

<file path=xl/sharedStrings.xml><?xml version="1.0" encoding="utf-8"?>
<sst xmlns="http://schemas.openxmlformats.org/spreadsheetml/2006/main" count="365" uniqueCount="152">
  <si>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</si>
  <si>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</si>
  <si>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</si>
  <si>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</si>
  <si>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</si>
  <si>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</si>
  <si>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</si>
  <si>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</si>
  <si>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</si>
  <si>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</si>
  <si>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</si>
  <si>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</si>
  <si>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</si>
  <si>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</si>
  <si>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</si>
  <si>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</si>
  <si>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</si>
  <si>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</si>
  <si>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</si>
  <si>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</si>
  <si>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</si>
  <si>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</si>
  <si>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</si>
  <si>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</si>
  <si>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11,01,</t>
  </si>
  <si>
    <t>12,01,</t>
  </si>
  <si>
    <t>13,01,</t>
  </si>
  <si>
    <t>29,12,</t>
  </si>
  <si>
    <t>22,12,</t>
  </si>
  <si>
    <t>15,12,</t>
  </si>
  <si>
    <t>09,12,</t>
  </si>
  <si>
    <t>02,12,</t>
  </si>
  <si>
    <t>25,11,</t>
  </si>
  <si>
    <t>18,11,</t>
  </si>
  <si>
    <t>11,11,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</si>
  <si>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</si>
  <si>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</si>
  <si>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</si>
  <si>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</si>
  <si>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</si>
  <si>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</si>
  <si>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нужно увеличить продажи!!!</t>
  </si>
  <si>
    <t>3986 Ароматная с/к в/у 1/250 ОСТАНКИНО</t>
  </si>
  <si>
    <t>ВНИМАНИЕ / в матрице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</si>
  <si>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</si>
  <si>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</si>
  <si>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</si>
  <si>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</si>
  <si>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</si>
  <si>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</si>
  <si>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</si>
  <si>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</si>
  <si>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</si>
  <si>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</si>
  <si>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</si>
  <si>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</si>
  <si>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</si>
  <si>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</si>
  <si>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</si>
  <si>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</si>
  <si>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</si>
  <si>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</si>
  <si>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</si>
  <si>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</si>
  <si>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19,12,25 списание 16шт. (сроки)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</si>
  <si>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</si>
  <si>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</si>
  <si>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</si>
  <si>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</si>
  <si>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</si>
  <si>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</si>
  <si>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</si>
  <si>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</si>
  <si>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</si>
  <si>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</si>
  <si>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</si>
  <si>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</si>
  <si>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</si>
  <si>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</si>
  <si>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</si>
  <si>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</si>
  <si>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</si>
  <si>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</si>
  <si>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</si>
  <si>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</si>
  <si>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</si>
  <si>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</si>
  <si>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</si>
  <si>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</si>
  <si>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</si>
  <si>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</si>
  <si>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</si>
  <si>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</si>
  <si>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</si>
  <si>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</si>
  <si>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</si>
  <si>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</si>
  <si>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</si>
  <si>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</si>
  <si>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</si>
  <si>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</si>
  <si>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</si>
  <si>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</si>
  <si>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</si>
  <si>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</si>
  <si>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</si>
  <si>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</si>
  <si>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</si>
  <si>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</si>
  <si>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</si>
  <si>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</si>
  <si>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</si>
  <si>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</si>
  <si>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</si>
  <si>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</si>
  <si>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</si>
  <si>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</si>
  <si>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</si>
  <si>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</si>
  <si>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не в матрице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</si>
  <si>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</si>
  <si>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</si>
  <si>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</si>
  <si>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</si>
  <si>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</si>
  <si>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</si>
  <si>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</si>
  <si>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</si>
  <si>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</si>
  <si>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</si>
  <si>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</si>
  <si>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</si>
  <si>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</si>
  <si>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</si>
  <si>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</si>
  <si>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</si>
  <si>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</si>
  <si>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</si>
  <si>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</si>
  <si>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вместо 5682</t>
  </si>
  <si>
    <t>БАЛЫК с/к с/н в/у 1/100 10шт. (7288)</t>
  </si>
  <si>
    <t>новинка / не расценена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</si>
  <si>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</si>
  <si>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</si>
  <si>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</si>
  <si>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</si>
  <si>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</si>
  <si>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 заказывали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</si>
  <si>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</si>
  <si>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Обжора / Паллет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</si>
  <si>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31,07,25 в уценку 25кг / 22,04,25 в уценку 25кг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</si>
  <si>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14,06,25 в уценку 55кг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</si>
</sst>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2" fontId="1" fillId="5" borderId="1" xfId="1" applyNumberFormat="1" applyFill="1"/>
    <xf numFmtId="164" fontId="1" fillId="5" borderId="2" xfId="1" applyNumberFormat="1" applyFill="1" applyBorder="1"/>
    <xf numFmtId="164" fontId="4" fillId="9" borderId="1" xfId="1" applyNumberFormat="1" applyFont="1" applyFill="1"/>
    <xf numFmtId="164" fontId="6" fillId="7" borderId="1" xfId="1" applyNumberFormat="1" applyFon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3.710937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SUM(E6:E494)</f>
        <v>15657.224</v>
      </c>
      <c r="F5" s="4">
        <f>SUM(F6:F494)</f>
        <v>10921.046999999999</v>
      </c>
      <c r="G5" s="8"/>
      <c r="H5" s="1"/>
      <c r="I5" s="1"/>
      <c r="J5" s="1"/>
      <c r="K5" s="4">
        <f t="shared" ref="K5:S5" si="0">SUM(K6:K494)</f>
        <v>17233.11</v>
      </c>
      <c r="L5" s="4">
        <f t="shared" si="0"/>
        <v>-1575.8860000000004</v>
      </c>
      <c r="M5" s="4">
        <f t="shared" si="0"/>
        <v>0</v>
      </c>
      <c r="N5" s="4">
        <f t="shared" si="0"/>
        <v>0</v>
      </c>
      <c r="O5" s="4">
        <f t="shared" si="0"/>
        <v>9624</v>
      </c>
      <c r="P5" s="4">
        <f t="shared" si="0"/>
        <v>7538</v>
      </c>
      <c r="Q5" s="4">
        <f t="shared" si="0"/>
        <v>3131.4447999999988</v>
      </c>
      <c r="R5" s="4">
        <f t="shared" si="0"/>
        <v>17441.147799999992</v>
      </c>
      <c r="S5" s="4">
        <f t="shared" si="0"/>
        <v>0</v>
      </c>
      <c r="T5" s="1"/>
      <c r="U5" s="1"/>
      <c r="V5" s="1"/>
      <c r="W5" s="4">
        <f t="shared" ref="W5:AD5" si="1">SUM(W6:W494)</f>
        <v>3595.029</v>
      </c>
      <c r="X5" s="4">
        <f t="shared" si="1"/>
        <v>3314.7034000000003</v>
      </c>
      <c r="Y5" s="4">
        <f t="shared" si="1"/>
        <v>3332.9950000000003</v>
      </c>
      <c r="Z5" s="4">
        <f t="shared" si="1"/>
        <v>2957.5501999999988</v>
      </c>
      <c r="AA5" s="4">
        <f t="shared" si="1"/>
        <v>3270.293200000001</v>
      </c>
      <c r="AB5" s="4">
        <f t="shared" si="1"/>
        <v>3001.1115999999997</v>
      </c>
      <c r="AC5" s="4">
        <f t="shared" si="1"/>
        <v>2900.1127999999999</v>
      </c>
      <c r="AD5" s="4">
        <f t="shared" si="1"/>
        <v>2944.8520000000003</v>
      </c>
      <c r="AE5" s="1"/>
      <c r="AF5" s="4">
        <f>SUM(AF6:AF494)</f>
        <v>10138.813799999993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211</v>
      </c>
      <c r="D6" s="1">
        <v>271</v>
      </c>
      <c r="E6" s="1">
        <v>309</v>
      </c>
      <c r="F6" s="1">
        <v>138</v>
      </c>
      <c r="G6" s="8">
        <v>0.4</v>
      </c>
      <c r="H6" s="1">
        <v>60</v>
      </c>
      <c r="I6" s="1" t="s">
        <v>37</v>
      </c>
      <c r="J6" s="1"/>
      <c r="K6" s="1">
        <v>312</v>
      </c>
      <c r="L6" s="1">
        <f t="shared" ref="L6:L37" si="2">E6-K6</f>
        <v>-3</v>
      </c>
      <c r="M6" s="1"/>
      <c r="N6" s="1"/>
      <c r="O6" s="1">
        <v>0</v>
      </c>
      <c r="P6" s="1"/>
      <c r="Q6" s="1">
        <f t="shared" ref="Q6:Q37" si="3">E6/5</f>
        <v>61.8</v>
      </c>
      <c r="R6" s="5">
        <f>11*Q6-P6-O6-F6</f>
        <v>541.79999999999995</v>
      </c>
      <c r="S6" s="5"/>
      <c r="T6" s="1"/>
      <c r="U6" s="1">
        <f t="shared" ref="U6:U37" si="4">(F6+O6+P6+R6)/Q6</f>
        <v>11</v>
      </c>
      <c r="V6" s="1">
        <f t="shared" ref="V6:V37" si="5">(F6+O6+P6)/Q6</f>
        <v>2.233009708737864</v>
      </c>
      <c r="W6" s="1">
        <v>34</v>
      </c>
      <c r="X6" s="1">
        <v>52.8</v>
      </c>
      <c r="Y6" s="1">
        <v>32</v>
      </c>
      <c r="Z6" s="1">
        <v>29.4</v>
      </c>
      <c r="AA6" s="1">
        <v>33.799999999999997</v>
      </c>
      <c r="AB6" s="1">
        <v>50.4</v>
      </c>
      <c r="AC6" s="1">
        <v>32.6</v>
      </c>
      <c r="AD6" s="1">
        <v>42.6</v>
      </c>
      <c r="AE6" s="1" t="s">
        <v>38</v>
      </c>
      <c r="AF6" s="1">
        <f t="shared" ref="AF6:AF17" si="6">G6*R6</f>
        <v>216.72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39</v>
      </c>
      <c r="B7" s="1" t="s">
        <v>40</v>
      </c>
      <c r="C7" s="1">
        <v>136.36600000000001</v>
      </c>
      <c r="D7" s="1">
        <v>41.22</v>
      </c>
      <c r="E7" s="1">
        <v>7.9909999999999997</v>
      </c>
      <c r="F7" s="1">
        <v>131.96600000000001</v>
      </c>
      <c r="G7" s="8">
        <v>1</v>
      </c>
      <c r="H7" s="1">
        <v>120</v>
      </c>
      <c r="I7" s="1" t="s">
        <v>37</v>
      </c>
      <c r="J7" s="1"/>
      <c r="K7" s="1">
        <v>8</v>
      </c>
      <c r="L7" s="1">
        <f t="shared" si="2"/>
        <v>-9.0000000000003411E-3</v>
      </c>
      <c r="M7" s="1"/>
      <c r="N7" s="1"/>
      <c r="O7" s="1">
        <v>0</v>
      </c>
      <c r="P7" s="1"/>
      <c r="Q7" s="1">
        <f t="shared" si="3"/>
        <v>1.5981999999999998</v>
      </c>
      <c r="R7" s="5"/>
      <c r="S7" s="5"/>
      <c r="T7" s="1"/>
      <c r="U7" s="1">
        <f t="shared" si="4"/>
        <v>82.571643098485808</v>
      </c>
      <c r="V7" s="1">
        <f t="shared" si="5"/>
        <v>82.571643098485808</v>
      </c>
      <c r="W7" s="1">
        <v>4.0932000000000004</v>
      </c>
      <c r="X7" s="1">
        <v>2.7690000000000001</v>
      </c>
      <c r="Y7" s="1">
        <v>2.3919999999999999</v>
      </c>
      <c r="Z7" s="1">
        <v>1.6881999999999999</v>
      </c>
      <c r="AA7" s="1">
        <v>0.79759999999999998</v>
      </c>
      <c r="AB7" s="1">
        <v>1.5882000000000001</v>
      </c>
      <c r="AC7" s="1">
        <v>0.90180000000000005</v>
      </c>
      <c r="AD7" s="1">
        <v>2.8984000000000001</v>
      </c>
      <c r="AE7" s="22" t="s">
        <v>41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42</v>
      </c>
      <c r="B8" s="1" t="s">
        <v>36</v>
      </c>
      <c r="C8" s="1">
        <v>368</v>
      </c>
      <c r="D8" s="1">
        <v>114</v>
      </c>
      <c r="E8" s="1">
        <v>186</v>
      </c>
      <c r="F8" s="1">
        <v>194</v>
      </c>
      <c r="G8" s="8">
        <v>0.25</v>
      </c>
      <c r="H8" s="1">
        <v>120</v>
      </c>
      <c r="I8" s="10" t="s">
        <v>43</v>
      </c>
      <c r="J8" s="1"/>
      <c r="K8" s="1">
        <v>186</v>
      </c>
      <c r="L8" s="1">
        <f t="shared" si="2"/>
        <v>0</v>
      </c>
      <c r="M8" s="1"/>
      <c r="N8" s="1"/>
      <c r="O8" s="1">
        <v>44</v>
      </c>
      <c r="P8" s="1">
        <v>36</v>
      </c>
      <c r="Q8" s="1">
        <f t="shared" si="3"/>
        <v>37.200000000000003</v>
      </c>
      <c r="R8" s="5">
        <f>12*Q8-P8-O8-F8</f>
        <v>172.40000000000003</v>
      </c>
      <c r="S8" s="5"/>
      <c r="T8" s="1"/>
      <c r="U8" s="1">
        <f t="shared" si="4"/>
        <v>12</v>
      </c>
      <c r="V8" s="1">
        <f t="shared" si="5"/>
        <v>7.365591397849462</v>
      </c>
      <c r="W8" s="1">
        <v>46.4</v>
      </c>
      <c r="X8" s="1">
        <v>16.600000000000001</v>
      </c>
      <c r="Y8" s="1">
        <v>10.8</v>
      </c>
      <c r="Z8" s="1">
        <v>12.6</v>
      </c>
      <c r="AA8" s="1">
        <v>18</v>
      </c>
      <c r="AB8" s="1">
        <v>11</v>
      </c>
      <c r="AC8" s="1">
        <v>5.2</v>
      </c>
      <c r="AD8" s="1">
        <v>0</v>
      </c>
      <c r="AE8" s="1" t="s">
        <v>44</v>
      </c>
      <c r="AF8" s="1">
        <f t="shared" si="6"/>
        <v>43.100000000000009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45</v>
      </c>
      <c r="B9" s="1" t="s">
        <v>40</v>
      </c>
      <c r="C9" s="1">
        <v>595.95399999999995</v>
      </c>
      <c r="D9" s="1">
        <v>580.93299999999999</v>
      </c>
      <c r="E9" s="1">
        <v>1130.751</v>
      </c>
      <c r="F9" s="1">
        <v>-6.2869999999999999</v>
      </c>
      <c r="G9" s="8">
        <v>1</v>
      </c>
      <c r="H9" s="1">
        <v>60</v>
      </c>
      <c r="I9" s="1" t="s">
        <v>37</v>
      </c>
      <c r="J9" s="1"/>
      <c r="K9" s="1">
        <v>1341.51</v>
      </c>
      <c r="L9" s="1">
        <f t="shared" si="2"/>
        <v>-210.75900000000001</v>
      </c>
      <c r="M9" s="1"/>
      <c r="N9" s="1"/>
      <c r="O9" s="1">
        <v>1141</v>
      </c>
      <c r="P9" s="1">
        <v>926</v>
      </c>
      <c r="Q9" s="1">
        <f t="shared" si="3"/>
        <v>226.15019999999998</v>
      </c>
      <c r="R9" s="5">
        <f t="shared" ref="R7:R17" si="7">14*Q9-P9-O9-F9</f>
        <v>1105.3897999999997</v>
      </c>
      <c r="S9" s="5"/>
      <c r="T9" s="1"/>
      <c r="U9" s="1">
        <f t="shared" si="4"/>
        <v>14</v>
      </c>
      <c r="V9" s="1">
        <f t="shared" si="5"/>
        <v>9.11214316856673</v>
      </c>
      <c r="W9" s="1">
        <v>324.24079999999998</v>
      </c>
      <c r="X9" s="1">
        <v>250.08840000000001</v>
      </c>
      <c r="Y9" s="1">
        <v>256.45600000000002</v>
      </c>
      <c r="Z9" s="1">
        <v>204.68299999999999</v>
      </c>
      <c r="AA9" s="1">
        <v>236.45500000000001</v>
      </c>
      <c r="AB9" s="1">
        <v>237.2988</v>
      </c>
      <c r="AC9" s="1">
        <v>246.49440000000001</v>
      </c>
      <c r="AD9" s="1">
        <v>222.0692</v>
      </c>
      <c r="AE9" s="1"/>
      <c r="AF9" s="1">
        <f t="shared" si="6"/>
        <v>1105.3897999999997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46</v>
      </c>
      <c r="B10" s="1" t="s">
        <v>40</v>
      </c>
      <c r="C10" s="1">
        <v>147.47399999999999</v>
      </c>
      <c r="D10" s="1">
        <v>81.126999999999995</v>
      </c>
      <c r="E10" s="1">
        <v>24.478000000000002</v>
      </c>
      <c r="F10" s="1">
        <v>119.702</v>
      </c>
      <c r="G10" s="8">
        <v>1</v>
      </c>
      <c r="H10" s="1">
        <v>120</v>
      </c>
      <c r="I10" s="1" t="s">
        <v>37</v>
      </c>
      <c r="J10" s="1"/>
      <c r="K10" s="1">
        <v>22.2</v>
      </c>
      <c r="L10" s="1">
        <f t="shared" si="2"/>
        <v>2.2780000000000022</v>
      </c>
      <c r="M10" s="1"/>
      <c r="N10" s="1"/>
      <c r="O10" s="1">
        <v>0</v>
      </c>
      <c r="P10" s="1"/>
      <c r="Q10" s="1">
        <f t="shared" si="3"/>
        <v>4.8956</v>
      </c>
      <c r="R10" s="5"/>
      <c r="S10" s="5"/>
      <c r="T10" s="1"/>
      <c r="U10" s="1">
        <f t="shared" si="4"/>
        <v>24.450935533948851</v>
      </c>
      <c r="V10" s="1">
        <f t="shared" si="5"/>
        <v>24.450935533948851</v>
      </c>
      <c r="W10" s="1">
        <v>10.2624</v>
      </c>
      <c r="X10" s="1">
        <v>7.0780000000000003</v>
      </c>
      <c r="Y10" s="1">
        <v>4.1928000000000001</v>
      </c>
      <c r="Z10" s="1">
        <v>3.2888000000000002</v>
      </c>
      <c r="AA10" s="1">
        <v>3.1044</v>
      </c>
      <c r="AB10" s="1">
        <v>4.9127999999999998</v>
      </c>
      <c r="AC10" s="1">
        <v>6.6876000000000007</v>
      </c>
      <c r="AD10" s="1">
        <v>2.3088000000000002</v>
      </c>
      <c r="AE10" s="14" t="s">
        <v>148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47</v>
      </c>
      <c r="B11" s="1" t="s">
        <v>40</v>
      </c>
      <c r="C11" s="1">
        <v>156.114</v>
      </c>
      <c r="D11" s="1">
        <v>156.54400000000001</v>
      </c>
      <c r="E11" s="1">
        <v>165.53899999999999</v>
      </c>
      <c r="F11" s="1">
        <v>163.316</v>
      </c>
      <c r="G11" s="8">
        <v>1</v>
      </c>
      <c r="H11" s="1">
        <v>60</v>
      </c>
      <c r="I11" s="1" t="s">
        <v>37</v>
      </c>
      <c r="J11" s="1"/>
      <c r="K11" s="1">
        <v>163.1</v>
      </c>
      <c r="L11" s="1">
        <f t="shared" si="2"/>
        <v>2.438999999999993</v>
      </c>
      <c r="M11" s="1"/>
      <c r="N11" s="1"/>
      <c r="O11" s="1">
        <v>55</v>
      </c>
      <c r="P11" s="1">
        <v>45</v>
      </c>
      <c r="Q11" s="1">
        <f t="shared" si="3"/>
        <v>33.107799999999997</v>
      </c>
      <c r="R11" s="5">
        <f t="shared" si="7"/>
        <v>200.19319999999996</v>
      </c>
      <c r="S11" s="5"/>
      <c r="T11" s="1"/>
      <c r="U11" s="1">
        <f t="shared" si="4"/>
        <v>14</v>
      </c>
      <c r="V11" s="1">
        <f t="shared" si="5"/>
        <v>7.9532919734926528</v>
      </c>
      <c r="W11" s="1">
        <v>32.992199999999997</v>
      </c>
      <c r="X11" s="1">
        <v>31.132400000000001</v>
      </c>
      <c r="Y11" s="1">
        <v>22.1144</v>
      </c>
      <c r="Z11" s="1">
        <v>22.3018</v>
      </c>
      <c r="AA11" s="1">
        <v>24.255800000000001</v>
      </c>
      <c r="AB11" s="1">
        <v>20.643799999999999</v>
      </c>
      <c r="AC11" s="1">
        <v>31.21</v>
      </c>
      <c r="AD11" s="1">
        <v>19.559799999999999</v>
      </c>
      <c r="AE11" s="1"/>
      <c r="AF11" s="1">
        <f t="shared" si="6"/>
        <v>200.19319999999996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48</v>
      </c>
      <c r="B12" s="1" t="s">
        <v>40</v>
      </c>
      <c r="C12" s="1">
        <v>415.678</v>
      </c>
      <c r="D12" s="1">
        <v>376.39800000000002</v>
      </c>
      <c r="E12" s="1">
        <v>601.97199999999998</v>
      </c>
      <c r="F12" s="1">
        <v>212.65799999999999</v>
      </c>
      <c r="G12" s="8">
        <v>1</v>
      </c>
      <c r="H12" s="1">
        <v>60</v>
      </c>
      <c r="I12" s="1" t="s">
        <v>37</v>
      </c>
      <c r="J12" s="1"/>
      <c r="K12" s="1">
        <v>587.9</v>
      </c>
      <c r="L12" s="1">
        <f t="shared" si="2"/>
        <v>14.072000000000003</v>
      </c>
      <c r="M12" s="1"/>
      <c r="N12" s="1"/>
      <c r="O12" s="1">
        <v>520</v>
      </c>
      <c r="P12" s="1">
        <v>423</v>
      </c>
      <c r="Q12" s="1">
        <f t="shared" si="3"/>
        <v>120.39439999999999</v>
      </c>
      <c r="R12" s="5">
        <f t="shared" si="7"/>
        <v>529.86359999999979</v>
      </c>
      <c r="S12" s="5"/>
      <c r="T12" s="1"/>
      <c r="U12" s="1">
        <f t="shared" si="4"/>
        <v>13.999999999999998</v>
      </c>
      <c r="V12" s="1">
        <f t="shared" si="5"/>
        <v>9.5989348341783334</v>
      </c>
      <c r="W12" s="1">
        <v>148.3912</v>
      </c>
      <c r="X12" s="1">
        <v>125.605</v>
      </c>
      <c r="Y12" s="1">
        <v>107.8034</v>
      </c>
      <c r="Z12" s="1">
        <v>103.0946</v>
      </c>
      <c r="AA12" s="1">
        <v>96.394800000000004</v>
      </c>
      <c r="AB12" s="1">
        <v>111.06619999999999</v>
      </c>
      <c r="AC12" s="1">
        <v>123.4286</v>
      </c>
      <c r="AD12" s="1">
        <v>124.7042</v>
      </c>
      <c r="AE12" s="1"/>
      <c r="AF12" s="1">
        <f t="shared" si="6"/>
        <v>529.86359999999979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49</v>
      </c>
      <c r="B13" s="1" t="s">
        <v>36</v>
      </c>
      <c r="C13" s="1">
        <v>231</v>
      </c>
      <c r="D13" s="1">
        <v>168</v>
      </c>
      <c r="E13" s="1">
        <v>144</v>
      </c>
      <c r="F13" s="1">
        <v>139</v>
      </c>
      <c r="G13" s="8">
        <v>0.25</v>
      </c>
      <c r="H13" s="1">
        <v>120</v>
      </c>
      <c r="I13" s="10" t="s">
        <v>43</v>
      </c>
      <c r="J13" s="1"/>
      <c r="K13" s="1">
        <v>144</v>
      </c>
      <c r="L13" s="1">
        <f t="shared" si="2"/>
        <v>0</v>
      </c>
      <c r="M13" s="1"/>
      <c r="N13" s="1"/>
      <c r="O13" s="1">
        <v>124</v>
      </c>
      <c r="P13" s="1">
        <v>101</v>
      </c>
      <c r="Q13" s="1">
        <f t="shared" si="3"/>
        <v>28.8</v>
      </c>
      <c r="R13" s="5">
        <f t="shared" si="7"/>
        <v>39.199999999999989</v>
      </c>
      <c r="S13" s="5"/>
      <c r="T13" s="1"/>
      <c r="U13" s="1">
        <f t="shared" si="4"/>
        <v>14</v>
      </c>
      <c r="V13" s="1">
        <f t="shared" si="5"/>
        <v>12.638888888888889</v>
      </c>
      <c r="W13" s="1">
        <v>44.8</v>
      </c>
      <c r="X13" s="1">
        <v>29.8</v>
      </c>
      <c r="Y13" s="1">
        <v>70.2</v>
      </c>
      <c r="Z13" s="1">
        <v>46.4</v>
      </c>
      <c r="AA13" s="1">
        <v>19.600000000000001</v>
      </c>
      <c r="AB13" s="1">
        <v>25.2</v>
      </c>
      <c r="AC13" s="1">
        <v>16.2</v>
      </c>
      <c r="AD13" s="1">
        <v>16.2</v>
      </c>
      <c r="AE13" s="1" t="s">
        <v>50</v>
      </c>
      <c r="AF13" s="1">
        <f t="shared" si="6"/>
        <v>9.7999999999999972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51</v>
      </c>
      <c r="B14" s="1" t="s">
        <v>40</v>
      </c>
      <c r="C14" s="1">
        <v>1.329</v>
      </c>
      <c r="D14" s="1">
        <v>16.247</v>
      </c>
      <c r="E14" s="1">
        <v>18.436</v>
      </c>
      <c r="F14" s="1">
        <v>-1.37</v>
      </c>
      <c r="G14" s="8">
        <v>1</v>
      </c>
      <c r="H14" s="1">
        <v>60</v>
      </c>
      <c r="I14" s="1" t="s">
        <v>37</v>
      </c>
      <c r="J14" s="1"/>
      <c r="K14" s="1">
        <v>24.9</v>
      </c>
      <c r="L14" s="1">
        <f t="shared" si="2"/>
        <v>-6.4639999999999986</v>
      </c>
      <c r="M14" s="1"/>
      <c r="N14" s="1"/>
      <c r="O14" s="1">
        <v>66</v>
      </c>
      <c r="P14" s="1">
        <v>54</v>
      </c>
      <c r="Q14" s="1">
        <f t="shared" si="3"/>
        <v>3.6871999999999998</v>
      </c>
      <c r="R14" s="5"/>
      <c r="S14" s="5"/>
      <c r="T14" s="1"/>
      <c r="U14" s="1">
        <f t="shared" si="4"/>
        <v>32.173464959861143</v>
      </c>
      <c r="V14" s="1">
        <f t="shared" si="5"/>
        <v>32.173464959861143</v>
      </c>
      <c r="W14" s="1">
        <v>17.729800000000001</v>
      </c>
      <c r="X14" s="1">
        <v>11.610799999999999</v>
      </c>
      <c r="Y14" s="1">
        <v>12.700200000000001</v>
      </c>
      <c r="Z14" s="1">
        <v>10.7972</v>
      </c>
      <c r="AA14" s="1">
        <v>10.301600000000001</v>
      </c>
      <c r="AB14" s="1">
        <v>11.914400000000001</v>
      </c>
      <c r="AC14" s="1">
        <v>14.9946</v>
      </c>
      <c r="AD14" s="1">
        <v>15.0844</v>
      </c>
      <c r="AE14" s="1"/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52</v>
      </c>
      <c r="B15" s="1" t="s">
        <v>36</v>
      </c>
      <c r="C15" s="1">
        <v>102</v>
      </c>
      <c r="D15" s="1">
        <v>64</v>
      </c>
      <c r="E15" s="1">
        <v>148</v>
      </c>
      <c r="F15" s="1">
        <v>36</v>
      </c>
      <c r="G15" s="8">
        <v>0.25</v>
      </c>
      <c r="H15" s="1">
        <v>120</v>
      </c>
      <c r="I15" s="1" t="s">
        <v>37</v>
      </c>
      <c r="J15" s="1"/>
      <c r="K15" s="1">
        <v>150</v>
      </c>
      <c r="L15" s="1">
        <f t="shared" si="2"/>
        <v>-2</v>
      </c>
      <c r="M15" s="1"/>
      <c r="N15" s="1"/>
      <c r="O15" s="1">
        <v>82</v>
      </c>
      <c r="P15" s="1">
        <v>67</v>
      </c>
      <c r="Q15" s="1">
        <f t="shared" si="3"/>
        <v>29.6</v>
      </c>
      <c r="R15" s="5">
        <f t="shared" si="7"/>
        <v>229.40000000000003</v>
      </c>
      <c r="S15" s="5"/>
      <c r="T15" s="1"/>
      <c r="U15" s="1">
        <f t="shared" si="4"/>
        <v>14</v>
      </c>
      <c r="V15" s="1">
        <f t="shared" si="5"/>
        <v>6.25</v>
      </c>
      <c r="W15" s="1">
        <v>28.4</v>
      </c>
      <c r="X15" s="1">
        <v>15.4</v>
      </c>
      <c r="Y15" s="1">
        <v>31.2</v>
      </c>
      <c r="Z15" s="1">
        <v>14.4</v>
      </c>
      <c r="AA15" s="1">
        <v>15.2</v>
      </c>
      <c r="AB15" s="1">
        <v>19.399999999999999</v>
      </c>
      <c r="AC15" s="1">
        <v>13.2</v>
      </c>
      <c r="AD15" s="1">
        <v>16</v>
      </c>
      <c r="AE15" s="1" t="s">
        <v>50</v>
      </c>
      <c r="AF15" s="1">
        <f t="shared" si="6"/>
        <v>57.350000000000009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53</v>
      </c>
      <c r="B16" s="1" t="s">
        <v>36</v>
      </c>
      <c r="C16" s="1">
        <v>300</v>
      </c>
      <c r="D16" s="1">
        <v>76</v>
      </c>
      <c r="E16" s="1">
        <v>269</v>
      </c>
      <c r="F16" s="1"/>
      <c r="G16" s="8">
        <v>0.4</v>
      </c>
      <c r="H16" s="1">
        <v>60</v>
      </c>
      <c r="I16" s="1" t="s">
        <v>37</v>
      </c>
      <c r="J16" s="1"/>
      <c r="K16" s="1">
        <v>300</v>
      </c>
      <c r="L16" s="1">
        <f t="shared" si="2"/>
        <v>-31</v>
      </c>
      <c r="M16" s="1"/>
      <c r="N16" s="1"/>
      <c r="O16" s="1">
        <v>110</v>
      </c>
      <c r="P16" s="1">
        <v>90</v>
      </c>
      <c r="Q16" s="1">
        <f t="shared" si="3"/>
        <v>53.8</v>
      </c>
      <c r="R16" s="5">
        <f>13*Q16-P16-O16-F16</f>
        <v>499.4</v>
      </c>
      <c r="S16" s="5"/>
      <c r="T16" s="1"/>
      <c r="U16" s="1">
        <f t="shared" si="4"/>
        <v>13</v>
      </c>
      <c r="V16" s="1">
        <f t="shared" si="5"/>
        <v>3.7174721189591078</v>
      </c>
      <c r="W16" s="1">
        <v>61.4</v>
      </c>
      <c r="X16" s="1">
        <v>58.6</v>
      </c>
      <c r="Y16" s="1">
        <v>45.8</v>
      </c>
      <c r="Z16" s="1">
        <v>42.8</v>
      </c>
      <c r="AA16" s="1">
        <v>38</v>
      </c>
      <c r="AB16" s="1">
        <v>44</v>
      </c>
      <c r="AC16" s="1">
        <v>34.6</v>
      </c>
      <c r="AD16" s="1">
        <v>40.4</v>
      </c>
      <c r="AE16" s="1" t="s">
        <v>50</v>
      </c>
      <c r="AF16" s="1">
        <f t="shared" si="6"/>
        <v>199.76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54</v>
      </c>
      <c r="B17" s="1" t="s">
        <v>40</v>
      </c>
      <c r="C17" s="1">
        <v>295.279</v>
      </c>
      <c r="D17" s="1">
        <v>108.205</v>
      </c>
      <c r="E17" s="1">
        <v>285.37299999999999</v>
      </c>
      <c r="F17" s="1">
        <v>117.28400000000001</v>
      </c>
      <c r="G17" s="8">
        <v>1</v>
      </c>
      <c r="H17" s="1">
        <v>45</v>
      </c>
      <c r="I17" s="1" t="s">
        <v>37</v>
      </c>
      <c r="J17" s="1"/>
      <c r="K17" s="1">
        <v>275.2</v>
      </c>
      <c r="L17" s="1">
        <f t="shared" si="2"/>
        <v>10.173000000000002</v>
      </c>
      <c r="M17" s="1"/>
      <c r="N17" s="1"/>
      <c r="O17" s="1">
        <v>343</v>
      </c>
      <c r="P17" s="1">
        <v>278</v>
      </c>
      <c r="Q17" s="1">
        <f t="shared" si="3"/>
        <v>57.074599999999997</v>
      </c>
      <c r="R17" s="5">
        <f t="shared" si="7"/>
        <v>60.76039999999999</v>
      </c>
      <c r="S17" s="5"/>
      <c r="T17" s="1"/>
      <c r="U17" s="1">
        <f t="shared" si="4"/>
        <v>14</v>
      </c>
      <c r="V17" s="1">
        <f t="shared" si="5"/>
        <v>12.935421360815495</v>
      </c>
      <c r="W17" s="1">
        <v>85.372600000000006</v>
      </c>
      <c r="X17" s="1">
        <v>65.17519999999999</v>
      </c>
      <c r="Y17" s="1">
        <v>77.885999999999996</v>
      </c>
      <c r="Z17" s="1">
        <v>59.581600000000002</v>
      </c>
      <c r="AA17" s="1">
        <v>61.841600000000007</v>
      </c>
      <c r="AB17" s="1">
        <v>79.148800000000008</v>
      </c>
      <c r="AC17" s="1">
        <v>65.013199999999998</v>
      </c>
      <c r="AD17" s="1">
        <v>67.158199999999994</v>
      </c>
      <c r="AE17" s="1"/>
      <c r="AF17" s="1">
        <f t="shared" si="6"/>
        <v>60.76039999999999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1" t="s">
        <v>55</v>
      </c>
      <c r="B18" s="11" t="s">
        <v>36</v>
      </c>
      <c r="C18" s="11"/>
      <c r="D18" s="11"/>
      <c r="E18" s="20">
        <v>3</v>
      </c>
      <c r="F18" s="20">
        <v>-3</v>
      </c>
      <c r="G18" s="12">
        <v>0</v>
      </c>
      <c r="H18" s="11">
        <v>60</v>
      </c>
      <c r="I18" s="11" t="s">
        <v>56</v>
      </c>
      <c r="J18" s="11" t="s">
        <v>57</v>
      </c>
      <c r="K18" s="11">
        <v>5</v>
      </c>
      <c r="L18" s="11">
        <f t="shared" si="2"/>
        <v>-2</v>
      </c>
      <c r="M18" s="11"/>
      <c r="N18" s="11"/>
      <c r="O18" s="11">
        <v>0</v>
      </c>
      <c r="P18" s="11"/>
      <c r="Q18" s="11">
        <f t="shared" si="3"/>
        <v>0.6</v>
      </c>
      <c r="R18" s="13"/>
      <c r="S18" s="13"/>
      <c r="T18" s="11"/>
      <c r="U18" s="11">
        <f t="shared" si="4"/>
        <v>-5</v>
      </c>
      <c r="V18" s="11">
        <f t="shared" si="5"/>
        <v>-5</v>
      </c>
      <c r="W18" s="11">
        <v>0</v>
      </c>
      <c r="X18" s="11">
        <v>3.8</v>
      </c>
      <c r="Y18" s="11">
        <v>1.6</v>
      </c>
      <c r="Z18" s="11">
        <v>4.2</v>
      </c>
      <c r="AA18" s="11">
        <v>17.8</v>
      </c>
      <c r="AB18" s="11">
        <v>38.200000000000003</v>
      </c>
      <c r="AC18" s="11">
        <v>29.8</v>
      </c>
      <c r="AD18" s="11">
        <v>31</v>
      </c>
      <c r="AE18" s="11" t="s">
        <v>58</v>
      </c>
      <c r="AF18" s="1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59</v>
      </c>
      <c r="B19" s="1" t="s">
        <v>40</v>
      </c>
      <c r="C19" s="1">
        <v>131.72200000000001</v>
      </c>
      <c r="D19" s="1"/>
      <c r="E19" s="1">
        <v>26.204000000000001</v>
      </c>
      <c r="F19" s="1">
        <v>105.518</v>
      </c>
      <c r="G19" s="8">
        <v>1</v>
      </c>
      <c r="H19" s="1">
        <v>120</v>
      </c>
      <c r="I19" s="1" t="s">
        <v>37</v>
      </c>
      <c r="J19" s="1"/>
      <c r="K19" s="1">
        <v>26.1</v>
      </c>
      <c r="L19" s="1">
        <f t="shared" si="2"/>
        <v>0.1039999999999992</v>
      </c>
      <c r="M19" s="1"/>
      <c r="N19" s="1"/>
      <c r="O19" s="1">
        <v>19</v>
      </c>
      <c r="P19" s="1"/>
      <c r="Q19" s="1">
        <f t="shared" si="3"/>
        <v>5.2408000000000001</v>
      </c>
      <c r="R19" s="5"/>
      <c r="S19" s="5"/>
      <c r="T19" s="1"/>
      <c r="U19" s="1">
        <f t="shared" si="4"/>
        <v>23.759349717600365</v>
      </c>
      <c r="V19" s="1">
        <f t="shared" si="5"/>
        <v>23.759349717600365</v>
      </c>
      <c r="W19" s="1">
        <v>11.192600000000001</v>
      </c>
      <c r="X19" s="1">
        <v>4.5442</v>
      </c>
      <c r="Y19" s="1">
        <v>2.9815999999999998</v>
      </c>
      <c r="Z19" s="1">
        <v>5.9537999999999993</v>
      </c>
      <c r="AA19" s="1">
        <v>4.5787999999999993</v>
      </c>
      <c r="AB19" s="1">
        <v>5.0129999999999999</v>
      </c>
      <c r="AC19" s="1">
        <v>5.8650000000000002</v>
      </c>
      <c r="AD19" s="1">
        <v>4.0956000000000001</v>
      </c>
      <c r="AE19" s="14" t="s">
        <v>148</v>
      </c>
      <c r="AF19" s="1">
        <f t="shared" ref="AF19:AF50" si="8">G19*R19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60</v>
      </c>
      <c r="B20" s="1" t="s">
        <v>36</v>
      </c>
      <c r="C20" s="1">
        <v>19</v>
      </c>
      <c r="D20" s="1">
        <v>144</v>
      </c>
      <c r="E20" s="1">
        <v>95</v>
      </c>
      <c r="F20" s="1">
        <v>67</v>
      </c>
      <c r="G20" s="8">
        <v>0.4</v>
      </c>
      <c r="H20" s="1">
        <v>45</v>
      </c>
      <c r="I20" s="1" t="s">
        <v>37</v>
      </c>
      <c r="J20" s="1"/>
      <c r="K20" s="1">
        <v>152</v>
      </c>
      <c r="L20" s="1">
        <f t="shared" si="2"/>
        <v>-57</v>
      </c>
      <c r="M20" s="1"/>
      <c r="N20" s="1"/>
      <c r="O20" s="1">
        <v>89</v>
      </c>
      <c r="P20" s="1">
        <v>72</v>
      </c>
      <c r="Q20" s="1">
        <f t="shared" si="3"/>
        <v>19</v>
      </c>
      <c r="R20" s="5">
        <f t="shared" ref="R19:R70" si="9">14*Q20-P20-O20-F20</f>
        <v>38</v>
      </c>
      <c r="S20" s="5"/>
      <c r="T20" s="1"/>
      <c r="U20" s="1">
        <f t="shared" si="4"/>
        <v>14</v>
      </c>
      <c r="V20" s="1">
        <f t="shared" si="5"/>
        <v>12</v>
      </c>
      <c r="W20" s="1">
        <v>23.6</v>
      </c>
      <c r="X20" s="1">
        <v>29.6</v>
      </c>
      <c r="Y20" s="1">
        <v>29.8</v>
      </c>
      <c r="Z20" s="1">
        <v>18.600000000000001</v>
      </c>
      <c r="AA20" s="1">
        <v>39.200000000000003</v>
      </c>
      <c r="AB20" s="1">
        <v>24</v>
      </c>
      <c r="AC20" s="1">
        <v>26.2</v>
      </c>
      <c r="AD20" s="1">
        <v>44</v>
      </c>
      <c r="AE20" s="1" t="s">
        <v>50</v>
      </c>
      <c r="AF20" s="1">
        <f t="shared" si="8"/>
        <v>15.200000000000001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61</v>
      </c>
      <c r="B21" s="1" t="s">
        <v>40</v>
      </c>
      <c r="C21" s="1">
        <v>168.17699999999999</v>
      </c>
      <c r="D21" s="1">
        <v>288.67</v>
      </c>
      <c r="E21" s="1">
        <v>344.55900000000003</v>
      </c>
      <c r="F21" s="1">
        <v>143.16999999999999</v>
      </c>
      <c r="G21" s="8">
        <v>1</v>
      </c>
      <c r="H21" s="1">
        <v>60</v>
      </c>
      <c r="I21" s="1" t="s">
        <v>37</v>
      </c>
      <c r="J21" s="1"/>
      <c r="K21" s="1">
        <v>335.2</v>
      </c>
      <c r="L21" s="1">
        <f t="shared" si="2"/>
        <v>9.3590000000000373</v>
      </c>
      <c r="M21" s="1"/>
      <c r="N21" s="1"/>
      <c r="O21" s="1">
        <v>50</v>
      </c>
      <c r="P21" s="1"/>
      <c r="Q21" s="1">
        <f t="shared" si="3"/>
        <v>68.911799999999999</v>
      </c>
      <c r="R21" s="5">
        <f>12*Q21-P21-O21-F21</f>
        <v>633.77160000000003</v>
      </c>
      <c r="S21" s="5"/>
      <c r="T21" s="1"/>
      <c r="U21" s="1">
        <f t="shared" si="4"/>
        <v>12</v>
      </c>
      <c r="V21" s="1">
        <f t="shared" si="5"/>
        <v>2.8031483722671586</v>
      </c>
      <c r="W21" s="1">
        <v>20.173400000000001</v>
      </c>
      <c r="X21" s="1">
        <v>59.791400000000003</v>
      </c>
      <c r="Y21" s="1">
        <v>37.095199999999998</v>
      </c>
      <c r="Z21" s="1">
        <v>30.107199999999999</v>
      </c>
      <c r="AA21" s="1">
        <v>48.545200000000001</v>
      </c>
      <c r="AB21" s="1">
        <v>40.4754</v>
      </c>
      <c r="AC21" s="1">
        <v>49.236600000000003</v>
      </c>
      <c r="AD21" s="1">
        <v>49.830199999999998</v>
      </c>
      <c r="AE21" s="1"/>
      <c r="AF21" s="1">
        <f t="shared" si="8"/>
        <v>633.77160000000003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62</v>
      </c>
      <c r="B22" s="1" t="s">
        <v>36</v>
      </c>
      <c r="C22" s="1">
        <v>92</v>
      </c>
      <c r="D22" s="1">
        <v>82</v>
      </c>
      <c r="E22" s="1">
        <v>77</v>
      </c>
      <c r="F22" s="1">
        <v>96</v>
      </c>
      <c r="G22" s="8">
        <v>0.22</v>
      </c>
      <c r="H22" s="1">
        <v>120</v>
      </c>
      <c r="I22" s="1" t="s">
        <v>37</v>
      </c>
      <c r="J22" s="1"/>
      <c r="K22" s="1">
        <v>79</v>
      </c>
      <c r="L22" s="1">
        <f t="shared" si="2"/>
        <v>-2</v>
      </c>
      <c r="M22" s="1"/>
      <c r="N22" s="1"/>
      <c r="O22" s="1">
        <v>81</v>
      </c>
      <c r="P22" s="1">
        <v>65</v>
      </c>
      <c r="Q22" s="1">
        <f t="shared" si="3"/>
        <v>15.4</v>
      </c>
      <c r="R22" s="5"/>
      <c r="S22" s="5"/>
      <c r="T22" s="1"/>
      <c r="U22" s="1">
        <f t="shared" si="4"/>
        <v>15.714285714285714</v>
      </c>
      <c r="V22" s="1">
        <f t="shared" si="5"/>
        <v>15.714285714285714</v>
      </c>
      <c r="W22" s="1">
        <v>24</v>
      </c>
      <c r="X22" s="1">
        <v>19.399999999999999</v>
      </c>
      <c r="Y22" s="1">
        <v>10.199999999999999</v>
      </c>
      <c r="Z22" s="1">
        <v>9.1999999999999993</v>
      </c>
      <c r="AA22" s="1">
        <v>17.399999999999999</v>
      </c>
      <c r="AB22" s="1">
        <v>9</v>
      </c>
      <c r="AC22" s="1">
        <v>13</v>
      </c>
      <c r="AD22" s="1">
        <v>13</v>
      </c>
      <c r="AE22" s="1"/>
      <c r="AF22" s="1">
        <f t="shared" si="8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63</v>
      </c>
      <c r="B23" s="1" t="s">
        <v>36</v>
      </c>
      <c r="C23" s="1">
        <v>16</v>
      </c>
      <c r="D23" s="1">
        <v>32</v>
      </c>
      <c r="E23" s="1">
        <v>27</v>
      </c>
      <c r="F23" s="1">
        <v>16</v>
      </c>
      <c r="G23" s="8">
        <v>0.15</v>
      </c>
      <c r="H23" s="1">
        <v>45</v>
      </c>
      <c r="I23" s="1" t="s">
        <v>37</v>
      </c>
      <c r="J23" s="1"/>
      <c r="K23" s="1">
        <v>33</v>
      </c>
      <c r="L23" s="1">
        <f t="shared" si="2"/>
        <v>-6</v>
      </c>
      <c r="M23" s="1"/>
      <c r="N23" s="1"/>
      <c r="O23" s="1">
        <v>0</v>
      </c>
      <c r="P23" s="1"/>
      <c r="Q23" s="1">
        <f t="shared" si="3"/>
        <v>5.4</v>
      </c>
      <c r="R23" s="5">
        <f>12*Q23-P23-O23-F23</f>
        <v>48.800000000000011</v>
      </c>
      <c r="S23" s="5"/>
      <c r="T23" s="1"/>
      <c r="U23" s="1">
        <f t="shared" si="4"/>
        <v>12.000000000000002</v>
      </c>
      <c r="V23" s="1">
        <f t="shared" si="5"/>
        <v>2.9629629629629628</v>
      </c>
      <c r="W23" s="1">
        <v>0.2</v>
      </c>
      <c r="X23" s="1">
        <v>3.2</v>
      </c>
      <c r="Y23" s="1">
        <v>1</v>
      </c>
      <c r="Z23" s="1">
        <v>3.6</v>
      </c>
      <c r="AA23" s="1">
        <v>2.4</v>
      </c>
      <c r="AB23" s="1">
        <v>4</v>
      </c>
      <c r="AC23" s="1">
        <v>6.2</v>
      </c>
      <c r="AD23" s="1">
        <v>5.2</v>
      </c>
      <c r="AE23" s="1" t="s">
        <v>64</v>
      </c>
      <c r="AF23" s="1">
        <f t="shared" si="8"/>
        <v>7.3200000000000012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65</v>
      </c>
      <c r="B24" s="1" t="s">
        <v>40</v>
      </c>
      <c r="C24" s="1">
        <v>200.762</v>
      </c>
      <c r="D24" s="1">
        <v>150.46</v>
      </c>
      <c r="E24" s="1">
        <v>214.458</v>
      </c>
      <c r="F24" s="1">
        <v>35.046999999999997</v>
      </c>
      <c r="G24" s="8">
        <v>1</v>
      </c>
      <c r="H24" s="1">
        <v>60</v>
      </c>
      <c r="I24" s="1" t="s">
        <v>37</v>
      </c>
      <c r="J24" s="1"/>
      <c r="K24" s="1">
        <v>208.3</v>
      </c>
      <c r="L24" s="1">
        <f t="shared" si="2"/>
        <v>6.157999999999987</v>
      </c>
      <c r="M24" s="1"/>
      <c r="N24" s="1"/>
      <c r="O24" s="1">
        <v>0</v>
      </c>
      <c r="P24" s="1"/>
      <c r="Q24" s="1">
        <f t="shared" si="3"/>
        <v>42.891599999999997</v>
      </c>
      <c r="R24" s="5">
        <f>10*Q24-P24-O24-F24</f>
        <v>393.86899999999991</v>
      </c>
      <c r="S24" s="5"/>
      <c r="T24" s="1"/>
      <c r="U24" s="1">
        <f t="shared" si="4"/>
        <v>10</v>
      </c>
      <c r="V24" s="1">
        <f t="shared" si="5"/>
        <v>0.81710637980397094</v>
      </c>
      <c r="W24" s="1">
        <v>31.2972</v>
      </c>
      <c r="X24" s="1">
        <v>40.098200000000013</v>
      </c>
      <c r="Y24" s="1">
        <v>28.8124</v>
      </c>
      <c r="Z24" s="1">
        <v>27.948399999999999</v>
      </c>
      <c r="AA24" s="1">
        <v>20.8858</v>
      </c>
      <c r="AB24" s="1">
        <v>13.021000000000001</v>
      </c>
      <c r="AC24" s="1">
        <v>20.262599999999999</v>
      </c>
      <c r="AD24" s="1">
        <v>29.521599999999999</v>
      </c>
      <c r="AE24" s="1" t="s">
        <v>66</v>
      </c>
      <c r="AF24" s="1">
        <f t="shared" si="8"/>
        <v>393.86899999999991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67</v>
      </c>
      <c r="B25" s="1" t="s">
        <v>36</v>
      </c>
      <c r="C25" s="1">
        <v>152</v>
      </c>
      <c r="D25" s="1">
        <v>80</v>
      </c>
      <c r="E25" s="1">
        <v>128</v>
      </c>
      <c r="F25" s="1">
        <v>103</v>
      </c>
      <c r="G25" s="8">
        <v>0.09</v>
      </c>
      <c r="H25" s="1">
        <v>60</v>
      </c>
      <c r="I25" s="10" t="s">
        <v>43</v>
      </c>
      <c r="J25" s="1"/>
      <c r="K25" s="1">
        <v>129</v>
      </c>
      <c r="L25" s="1">
        <f t="shared" si="2"/>
        <v>-1</v>
      </c>
      <c r="M25" s="1"/>
      <c r="N25" s="1"/>
      <c r="O25" s="1">
        <v>139</v>
      </c>
      <c r="P25" s="1">
        <v>112</v>
      </c>
      <c r="Q25" s="1">
        <f t="shared" si="3"/>
        <v>25.6</v>
      </c>
      <c r="R25" s="5"/>
      <c r="S25" s="5"/>
      <c r="T25" s="1"/>
      <c r="U25" s="1">
        <f t="shared" si="4"/>
        <v>13.828125</v>
      </c>
      <c r="V25" s="1">
        <f t="shared" si="5"/>
        <v>13.828125</v>
      </c>
      <c r="W25" s="1">
        <v>42</v>
      </c>
      <c r="X25" s="1">
        <v>37.6</v>
      </c>
      <c r="Y25" s="1">
        <v>91.4</v>
      </c>
      <c r="Z25" s="1">
        <v>42.6</v>
      </c>
      <c r="AA25" s="1">
        <v>96.2</v>
      </c>
      <c r="AB25" s="1">
        <v>19.2</v>
      </c>
      <c r="AC25" s="1">
        <v>9.1999999999999993</v>
      </c>
      <c r="AD25" s="1">
        <v>25.4</v>
      </c>
      <c r="AE25" s="1"/>
      <c r="AF25" s="1">
        <f t="shared" si="8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68</v>
      </c>
      <c r="B26" s="1" t="s">
        <v>36</v>
      </c>
      <c r="C26" s="1">
        <v>1</v>
      </c>
      <c r="D26" s="1">
        <v>134</v>
      </c>
      <c r="E26" s="1">
        <v>102</v>
      </c>
      <c r="F26" s="1">
        <v>30</v>
      </c>
      <c r="G26" s="8">
        <v>0.09</v>
      </c>
      <c r="H26" s="1">
        <v>45</v>
      </c>
      <c r="I26" s="1" t="s">
        <v>37</v>
      </c>
      <c r="J26" s="1"/>
      <c r="K26" s="1">
        <v>184</v>
      </c>
      <c r="L26" s="1">
        <f t="shared" si="2"/>
        <v>-82</v>
      </c>
      <c r="M26" s="1"/>
      <c r="N26" s="1"/>
      <c r="O26" s="1">
        <v>131</v>
      </c>
      <c r="P26" s="1">
        <v>107</v>
      </c>
      <c r="Q26" s="1">
        <f t="shared" si="3"/>
        <v>20.399999999999999</v>
      </c>
      <c r="R26" s="5">
        <f t="shared" si="9"/>
        <v>17.599999999999966</v>
      </c>
      <c r="S26" s="5"/>
      <c r="T26" s="1"/>
      <c r="U26" s="1">
        <f t="shared" si="4"/>
        <v>14</v>
      </c>
      <c r="V26" s="1">
        <f t="shared" si="5"/>
        <v>13.137254901960786</v>
      </c>
      <c r="W26" s="1">
        <v>39</v>
      </c>
      <c r="X26" s="1">
        <v>30.4</v>
      </c>
      <c r="Y26" s="1">
        <v>29.4</v>
      </c>
      <c r="Z26" s="1">
        <v>22.4</v>
      </c>
      <c r="AA26" s="1">
        <v>30.2</v>
      </c>
      <c r="AB26" s="1">
        <v>20.6</v>
      </c>
      <c r="AC26" s="1">
        <v>26.2</v>
      </c>
      <c r="AD26" s="1">
        <v>24.2</v>
      </c>
      <c r="AE26" s="1" t="s">
        <v>50</v>
      </c>
      <c r="AF26" s="1">
        <f t="shared" si="8"/>
        <v>1.583999999999997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69</v>
      </c>
      <c r="B27" s="1" t="s">
        <v>36</v>
      </c>
      <c r="C27" s="1">
        <v>137</v>
      </c>
      <c r="D27" s="1">
        <v>17</v>
      </c>
      <c r="E27" s="1">
        <v>164</v>
      </c>
      <c r="F27" s="1">
        <v>9</v>
      </c>
      <c r="G27" s="8">
        <v>0.4</v>
      </c>
      <c r="H27" s="1">
        <v>60</v>
      </c>
      <c r="I27" s="1" t="s">
        <v>37</v>
      </c>
      <c r="J27" s="1"/>
      <c r="K27" s="1">
        <v>206</v>
      </c>
      <c r="L27" s="1">
        <f t="shared" si="2"/>
        <v>-42</v>
      </c>
      <c r="M27" s="1"/>
      <c r="N27" s="1"/>
      <c r="O27" s="1">
        <v>153</v>
      </c>
      <c r="P27" s="1">
        <v>124</v>
      </c>
      <c r="Q27" s="1">
        <f t="shared" si="3"/>
        <v>32.799999999999997</v>
      </c>
      <c r="R27" s="5">
        <f t="shared" si="9"/>
        <v>173.19999999999993</v>
      </c>
      <c r="S27" s="5"/>
      <c r="T27" s="1"/>
      <c r="U27" s="1">
        <f t="shared" si="4"/>
        <v>14</v>
      </c>
      <c r="V27" s="1">
        <f t="shared" si="5"/>
        <v>8.7195121951219523</v>
      </c>
      <c r="W27" s="1">
        <v>42.6</v>
      </c>
      <c r="X27" s="1">
        <v>34.799999999999997</v>
      </c>
      <c r="Y27" s="1">
        <v>30.6</v>
      </c>
      <c r="Z27" s="1">
        <v>28.8</v>
      </c>
      <c r="AA27" s="1">
        <v>23.4</v>
      </c>
      <c r="AB27" s="1">
        <v>23.4</v>
      </c>
      <c r="AC27" s="1">
        <v>30.4</v>
      </c>
      <c r="AD27" s="1">
        <v>33.4</v>
      </c>
      <c r="AE27" s="1"/>
      <c r="AF27" s="1">
        <f t="shared" si="8"/>
        <v>69.279999999999973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70</v>
      </c>
      <c r="B28" s="1" t="s">
        <v>36</v>
      </c>
      <c r="C28" s="1">
        <v>28</v>
      </c>
      <c r="D28" s="1"/>
      <c r="E28" s="1">
        <v>28</v>
      </c>
      <c r="F28" s="1"/>
      <c r="G28" s="8">
        <v>0.15</v>
      </c>
      <c r="H28" s="1">
        <v>45</v>
      </c>
      <c r="I28" s="1" t="s">
        <v>37</v>
      </c>
      <c r="J28" s="1"/>
      <c r="K28" s="1">
        <v>148</v>
      </c>
      <c r="L28" s="1">
        <f t="shared" si="2"/>
        <v>-120</v>
      </c>
      <c r="M28" s="1"/>
      <c r="N28" s="1"/>
      <c r="O28" s="1">
        <v>57</v>
      </c>
      <c r="P28" s="1">
        <v>46</v>
      </c>
      <c r="Q28" s="1">
        <f t="shared" si="3"/>
        <v>5.6</v>
      </c>
      <c r="R28" s="5"/>
      <c r="S28" s="5"/>
      <c r="T28" s="1"/>
      <c r="U28" s="1">
        <f t="shared" si="4"/>
        <v>18.392857142857142</v>
      </c>
      <c r="V28" s="1">
        <f t="shared" si="5"/>
        <v>18.392857142857142</v>
      </c>
      <c r="W28" s="1">
        <v>18.600000000000001</v>
      </c>
      <c r="X28" s="1">
        <v>12.6</v>
      </c>
      <c r="Y28" s="1">
        <v>16.600000000000001</v>
      </c>
      <c r="Z28" s="1">
        <v>3.2</v>
      </c>
      <c r="AA28" s="1">
        <v>11.6</v>
      </c>
      <c r="AB28" s="1">
        <v>9.6</v>
      </c>
      <c r="AC28" s="1">
        <v>9</v>
      </c>
      <c r="AD28" s="1">
        <v>0</v>
      </c>
      <c r="AE28" s="1" t="s">
        <v>71</v>
      </c>
      <c r="AF28" s="1">
        <f t="shared" si="8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72</v>
      </c>
      <c r="B29" s="1" t="s">
        <v>40</v>
      </c>
      <c r="C29" s="1">
        <v>185.476</v>
      </c>
      <c r="D29" s="1">
        <v>420.416</v>
      </c>
      <c r="E29" s="1">
        <v>346.56599999999997</v>
      </c>
      <c r="F29" s="1">
        <v>329.37599999999998</v>
      </c>
      <c r="G29" s="8">
        <v>1</v>
      </c>
      <c r="H29" s="1">
        <v>45</v>
      </c>
      <c r="I29" s="1" t="s">
        <v>37</v>
      </c>
      <c r="J29" s="1"/>
      <c r="K29" s="1">
        <v>337.2</v>
      </c>
      <c r="L29" s="1">
        <f t="shared" si="2"/>
        <v>9.3659999999999854</v>
      </c>
      <c r="M29" s="1"/>
      <c r="N29" s="1"/>
      <c r="O29" s="1">
        <v>40</v>
      </c>
      <c r="P29" s="1">
        <v>33</v>
      </c>
      <c r="Q29" s="1">
        <f t="shared" si="3"/>
        <v>69.313199999999995</v>
      </c>
      <c r="R29" s="5">
        <f t="shared" si="9"/>
        <v>568.00879999999995</v>
      </c>
      <c r="S29" s="5"/>
      <c r="T29" s="1"/>
      <c r="U29" s="1">
        <f t="shared" si="4"/>
        <v>14</v>
      </c>
      <c r="V29" s="1">
        <f t="shared" si="5"/>
        <v>5.8051857366273669</v>
      </c>
      <c r="W29" s="1">
        <v>57.505200000000002</v>
      </c>
      <c r="X29" s="1">
        <v>71.171000000000006</v>
      </c>
      <c r="Y29" s="1">
        <v>46.645400000000002</v>
      </c>
      <c r="Z29" s="1">
        <v>47.6676</v>
      </c>
      <c r="AA29" s="1">
        <v>55.500800000000012</v>
      </c>
      <c r="AB29" s="1">
        <v>58.250199999999992</v>
      </c>
      <c r="AC29" s="1">
        <v>59.423400000000001</v>
      </c>
      <c r="AD29" s="1">
        <v>44.594200000000001</v>
      </c>
      <c r="AE29" s="1"/>
      <c r="AF29" s="1">
        <f t="shared" si="8"/>
        <v>568.00879999999995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73</v>
      </c>
      <c r="B30" s="1" t="s">
        <v>36</v>
      </c>
      <c r="C30" s="1">
        <v>53</v>
      </c>
      <c r="D30" s="1">
        <v>88</v>
      </c>
      <c r="E30" s="1">
        <v>120</v>
      </c>
      <c r="F30" s="1">
        <v>21</v>
      </c>
      <c r="G30" s="8">
        <v>0.4</v>
      </c>
      <c r="H30" s="1">
        <v>60</v>
      </c>
      <c r="I30" s="1" t="s">
        <v>37</v>
      </c>
      <c r="J30" s="1"/>
      <c r="K30" s="1">
        <v>141</v>
      </c>
      <c r="L30" s="1">
        <f t="shared" si="2"/>
        <v>-21</v>
      </c>
      <c r="M30" s="1"/>
      <c r="N30" s="1"/>
      <c r="O30" s="1">
        <v>189</v>
      </c>
      <c r="P30" s="1">
        <v>153</v>
      </c>
      <c r="Q30" s="1">
        <f t="shared" si="3"/>
        <v>24</v>
      </c>
      <c r="R30" s="5"/>
      <c r="S30" s="5"/>
      <c r="T30" s="1"/>
      <c r="U30" s="1">
        <f t="shared" si="4"/>
        <v>15.125</v>
      </c>
      <c r="V30" s="1">
        <f t="shared" si="5"/>
        <v>15.125</v>
      </c>
      <c r="W30" s="1">
        <v>50</v>
      </c>
      <c r="X30" s="1">
        <v>32.6</v>
      </c>
      <c r="Y30" s="1">
        <v>29.4</v>
      </c>
      <c r="Z30" s="1">
        <v>21.4</v>
      </c>
      <c r="AA30" s="1">
        <v>22.2</v>
      </c>
      <c r="AB30" s="1">
        <v>31</v>
      </c>
      <c r="AC30" s="1">
        <v>20.6</v>
      </c>
      <c r="AD30" s="1">
        <v>26.4</v>
      </c>
      <c r="AE30" s="1" t="s">
        <v>50</v>
      </c>
      <c r="AF30" s="1">
        <f t="shared" si="8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74</v>
      </c>
      <c r="B31" s="1" t="s">
        <v>36</v>
      </c>
      <c r="C31" s="1">
        <v>58</v>
      </c>
      <c r="D31" s="1">
        <v>48</v>
      </c>
      <c r="E31" s="1">
        <v>57</v>
      </c>
      <c r="F31" s="1">
        <v>46</v>
      </c>
      <c r="G31" s="8">
        <v>0.4</v>
      </c>
      <c r="H31" s="1">
        <v>60</v>
      </c>
      <c r="I31" s="1" t="s">
        <v>37</v>
      </c>
      <c r="J31" s="1"/>
      <c r="K31" s="1">
        <v>57</v>
      </c>
      <c r="L31" s="1">
        <f t="shared" si="2"/>
        <v>0</v>
      </c>
      <c r="M31" s="1"/>
      <c r="N31" s="1"/>
      <c r="O31" s="1">
        <v>0</v>
      </c>
      <c r="P31" s="1"/>
      <c r="Q31" s="1">
        <f t="shared" si="3"/>
        <v>11.4</v>
      </c>
      <c r="R31" s="5">
        <f>13*Q31-P31-O31-F31</f>
        <v>102.20000000000002</v>
      </c>
      <c r="S31" s="5"/>
      <c r="T31" s="1"/>
      <c r="U31" s="1">
        <f t="shared" si="4"/>
        <v>13.000000000000002</v>
      </c>
      <c r="V31" s="1">
        <f t="shared" si="5"/>
        <v>4.0350877192982457</v>
      </c>
      <c r="W31" s="1">
        <v>4.2</v>
      </c>
      <c r="X31" s="1">
        <v>11.2</v>
      </c>
      <c r="Y31" s="1">
        <v>3.8</v>
      </c>
      <c r="Z31" s="1">
        <v>9.4</v>
      </c>
      <c r="AA31" s="1">
        <v>3.6</v>
      </c>
      <c r="AB31" s="1">
        <v>4.4000000000000004</v>
      </c>
      <c r="AC31" s="1">
        <v>7</v>
      </c>
      <c r="AD31" s="1">
        <v>4.8</v>
      </c>
      <c r="AE31" s="1"/>
      <c r="AF31" s="1">
        <f t="shared" si="8"/>
        <v>40.88000000000001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75</v>
      </c>
      <c r="B32" s="1" t="s">
        <v>36</v>
      </c>
      <c r="C32" s="1">
        <v>287</v>
      </c>
      <c r="D32" s="1">
        <v>1205</v>
      </c>
      <c r="E32" s="1">
        <v>466</v>
      </c>
      <c r="F32" s="1">
        <v>993</v>
      </c>
      <c r="G32" s="8">
        <v>0.4</v>
      </c>
      <c r="H32" s="1">
        <v>60</v>
      </c>
      <c r="I32" s="10" t="s">
        <v>43</v>
      </c>
      <c r="J32" s="1"/>
      <c r="K32" s="1">
        <v>492</v>
      </c>
      <c r="L32" s="1">
        <f t="shared" si="2"/>
        <v>-26</v>
      </c>
      <c r="M32" s="1"/>
      <c r="N32" s="1"/>
      <c r="O32" s="1">
        <v>918</v>
      </c>
      <c r="P32" s="1">
        <v>746</v>
      </c>
      <c r="Q32" s="1">
        <f t="shared" si="3"/>
        <v>93.2</v>
      </c>
      <c r="R32" s="5"/>
      <c r="S32" s="5"/>
      <c r="T32" s="1"/>
      <c r="U32" s="1">
        <f t="shared" si="4"/>
        <v>28.508583690987123</v>
      </c>
      <c r="V32" s="1">
        <f t="shared" si="5"/>
        <v>28.508583690987123</v>
      </c>
      <c r="W32" s="1">
        <v>97.6</v>
      </c>
      <c r="X32" s="1">
        <v>71.599999999999994</v>
      </c>
      <c r="Y32" s="1">
        <v>67.2</v>
      </c>
      <c r="Z32" s="1">
        <v>70.8</v>
      </c>
      <c r="AA32" s="1">
        <v>57.8</v>
      </c>
      <c r="AB32" s="1">
        <v>63.6</v>
      </c>
      <c r="AC32" s="1">
        <v>73.8</v>
      </c>
      <c r="AD32" s="1">
        <v>74.400000000000006</v>
      </c>
      <c r="AE32" s="21" t="s">
        <v>149</v>
      </c>
      <c r="AF32" s="1">
        <f t="shared" si="8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76</v>
      </c>
      <c r="B33" s="1" t="s">
        <v>36</v>
      </c>
      <c r="C33" s="1">
        <v>554</v>
      </c>
      <c r="D33" s="1">
        <v>23</v>
      </c>
      <c r="E33" s="1">
        <v>383</v>
      </c>
      <c r="F33" s="1">
        <v>189</v>
      </c>
      <c r="G33" s="8">
        <v>0.4</v>
      </c>
      <c r="H33" s="1">
        <v>60</v>
      </c>
      <c r="I33" s="10" t="s">
        <v>43</v>
      </c>
      <c r="J33" s="1"/>
      <c r="K33" s="1">
        <v>386</v>
      </c>
      <c r="L33" s="1">
        <f t="shared" si="2"/>
        <v>-3</v>
      </c>
      <c r="M33" s="1"/>
      <c r="N33" s="1"/>
      <c r="O33" s="1">
        <v>206</v>
      </c>
      <c r="P33" s="1">
        <v>168</v>
      </c>
      <c r="Q33" s="1">
        <f t="shared" si="3"/>
        <v>76.599999999999994</v>
      </c>
      <c r="R33" s="5">
        <f>13*Q33-P33-O33-F33</f>
        <v>432.79999999999995</v>
      </c>
      <c r="S33" s="5"/>
      <c r="T33" s="1"/>
      <c r="U33" s="1">
        <f t="shared" si="4"/>
        <v>13</v>
      </c>
      <c r="V33" s="1">
        <f t="shared" si="5"/>
        <v>7.3498694516971286</v>
      </c>
      <c r="W33" s="1">
        <v>76.2</v>
      </c>
      <c r="X33" s="1">
        <v>68.400000000000006</v>
      </c>
      <c r="Y33" s="1">
        <v>49.2</v>
      </c>
      <c r="Z33" s="1">
        <v>43.8</v>
      </c>
      <c r="AA33" s="1">
        <v>49.6</v>
      </c>
      <c r="AB33" s="1">
        <v>57.8</v>
      </c>
      <c r="AC33" s="1">
        <v>45.8</v>
      </c>
      <c r="AD33" s="1">
        <v>43.4</v>
      </c>
      <c r="AE33" s="1" t="s">
        <v>50</v>
      </c>
      <c r="AF33" s="1">
        <f t="shared" si="8"/>
        <v>173.12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77</v>
      </c>
      <c r="B34" s="1" t="s">
        <v>36</v>
      </c>
      <c r="C34" s="1">
        <v>2069</v>
      </c>
      <c r="D34" s="1">
        <v>104</v>
      </c>
      <c r="E34" s="1">
        <v>790</v>
      </c>
      <c r="F34" s="1">
        <v>1409</v>
      </c>
      <c r="G34" s="8">
        <v>0.4</v>
      </c>
      <c r="H34" s="1">
        <v>60</v>
      </c>
      <c r="I34" s="10" t="s">
        <v>43</v>
      </c>
      <c r="J34" s="1"/>
      <c r="K34" s="1">
        <v>796</v>
      </c>
      <c r="L34" s="1">
        <f t="shared" si="2"/>
        <v>-6</v>
      </c>
      <c r="M34" s="1"/>
      <c r="N34" s="1"/>
      <c r="O34" s="1">
        <v>0</v>
      </c>
      <c r="P34" s="1"/>
      <c r="Q34" s="1">
        <f t="shared" si="3"/>
        <v>158</v>
      </c>
      <c r="R34" s="5">
        <f t="shared" si="9"/>
        <v>803</v>
      </c>
      <c r="S34" s="5"/>
      <c r="T34" s="1"/>
      <c r="U34" s="1">
        <f t="shared" si="4"/>
        <v>14</v>
      </c>
      <c r="V34" s="1">
        <f t="shared" si="5"/>
        <v>8.9177215189873422</v>
      </c>
      <c r="W34" s="1">
        <v>97.6</v>
      </c>
      <c r="X34" s="1">
        <v>163.80000000000001</v>
      </c>
      <c r="Y34" s="1">
        <v>186.6</v>
      </c>
      <c r="Z34" s="1">
        <v>100.8</v>
      </c>
      <c r="AA34" s="1">
        <v>322.39999999999998</v>
      </c>
      <c r="AB34" s="1">
        <v>131.19999999999999</v>
      </c>
      <c r="AC34" s="1">
        <v>86.2</v>
      </c>
      <c r="AD34" s="1">
        <v>100.2</v>
      </c>
      <c r="AE34" s="1" t="s">
        <v>50</v>
      </c>
      <c r="AF34" s="1">
        <f t="shared" si="8"/>
        <v>321.20000000000005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78</v>
      </c>
      <c r="B35" s="1" t="s">
        <v>36</v>
      </c>
      <c r="C35" s="1">
        <v>209</v>
      </c>
      <c r="D35" s="1">
        <v>94</v>
      </c>
      <c r="E35" s="1">
        <v>248</v>
      </c>
      <c r="F35" s="1">
        <v>55</v>
      </c>
      <c r="G35" s="8">
        <v>0.1</v>
      </c>
      <c r="H35" s="1">
        <v>60</v>
      </c>
      <c r="I35" s="1" t="s">
        <v>37</v>
      </c>
      <c r="J35" s="1"/>
      <c r="K35" s="1">
        <v>251</v>
      </c>
      <c r="L35" s="1">
        <f t="shared" si="2"/>
        <v>-3</v>
      </c>
      <c r="M35" s="1"/>
      <c r="N35" s="1"/>
      <c r="O35" s="1">
        <v>155</v>
      </c>
      <c r="P35" s="1">
        <v>125</v>
      </c>
      <c r="Q35" s="1">
        <f t="shared" si="3"/>
        <v>49.6</v>
      </c>
      <c r="R35" s="5">
        <f t="shared" si="9"/>
        <v>359.4</v>
      </c>
      <c r="S35" s="5"/>
      <c r="T35" s="1"/>
      <c r="U35" s="1">
        <f t="shared" si="4"/>
        <v>14</v>
      </c>
      <c r="V35" s="1">
        <f t="shared" si="5"/>
        <v>6.754032258064516</v>
      </c>
      <c r="W35" s="1">
        <v>54.4</v>
      </c>
      <c r="X35" s="1">
        <v>53.8</v>
      </c>
      <c r="Y35" s="1">
        <v>54.4</v>
      </c>
      <c r="Z35" s="1">
        <v>41</v>
      </c>
      <c r="AA35" s="1">
        <v>36.200000000000003</v>
      </c>
      <c r="AB35" s="1">
        <v>38.799999999999997</v>
      </c>
      <c r="AC35" s="1">
        <v>34.6</v>
      </c>
      <c r="AD35" s="1">
        <v>44.8</v>
      </c>
      <c r="AE35" s="1" t="s">
        <v>50</v>
      </c>
      <c r="AF35" s="1">
        <f t="shared" si="8"/>
        <v>35.94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79</v>
      </c>
      <c r="B36" s="1" t="s">
        <v>36</v>
      </c>
      <c r="C36" s="1">
        <v>59</v>
      </c>
      <c r="D36" s="1">
        <v>119</v>
      </c>
      <c r="E36" s="1">
        <v>179</v>
      </c>
      <c r="F36" s="1"/>
      <c r="G36" s="8">
        <v>0.1</v>
      </c>
      <c r="H36" s="1">
        <v>60</v>
      </c>
      <c r="I36" s="1" t="s">
        <v>37</v>
      </c>
      <c r="J36" s="1"/>
      <c r="K36" s="1">
        <v>285</v>
      </c>
      <c r="L36" s="1">
        <f t="shared" si="2"/>
        <v>-106</v>
      </c>
      <c r="M36" s="1"/>
      <c r="N36" s="1"/>
      <c r="O36" s="1">
        <v>301</v>
      </c>
      <c r="P36" s="1">
        <v>245</v>
      </c>
      <c r="Q36" s="1">
        <f t="shared" si="3"/>
        <v>35.799999999999997</v>
      </c>
      <c r="R36" s="5"/>
      <c r="S36" s="5"/>
      <c r="T36" s="1"/>
      <c r="U36" s="1">
        <f t="shared" si="4"/>
        <v>15.251396648044693</v>
      </c>
      <c r="V36" s="1">
        <f t="shared" si="5"/>
        <v>15.251396648044693</v>
      </c>
      <c r="W36" s="1">
        <v>83</v>
      </c>
      <c r="X36" s="1">
        <v>55</v>
      </c>
      <c r="Y36" s="1">
        <v>9.8000000000000007</v>
      </c>
      <c r="Z36" s="1">
        <v>86.4</v>
      </c>
      <c r="AA36" s="1">
        <v>37.200000000000003</v>
      </c>
      <c r="AB36" s="1">
        <v>51</v>
      </c>
      <c r="AC36" s="1">
        <v>31</v>
      </c>
      <c r="AD36" s="1">
        <v>37.4</v>
      </c>
      <c r="AE36" s="1" t="s">
        <v>50</v>
      </c>
      <c r="AF36" s="1">
        <f t="shared" si="8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80</v>
      </c>
      <c r="B37" s="1" t="s">
        <v>36</v>
      </c>
      <c r="C37" s="1">
        <v>75</v>
      </c>
      <c r="D37" s="1">
        <v>161</v>
      </c>
      <c r="E37" s="1">
        <v>86</v>
      </c>
      <c r="F37" s="1">
        <v>148</v>
      </c>
      <c r="G37" s="8">
        <v>0.1</v>
      </c>
      <c r="H37" s="1">
        <v>45</v>
      </c>
      <c r="I37" s="1" t="s">
        <v>37</v>
      </c>
      <c r="J37" s="1"/>
      <c r="K37" s="1">
        <v>177</v>
      </c>
      <c r="L37" s="1">
        <f t="shared" si="2"/>
        <v>-91</v>
      </c>
      <c r="M37" s="1"/>
      <c r="N37" s="1"/>
      <c r="O37" s="1">
        <v>114</v>
      </c>
      <c r="P37" s="1">
        <v>92</v>
      </c>
      <c r="Q37" s="1">
        <f t="shared" si="3"/>
        <v>17.2</v>
      </c>
      <c r="R37" s="5"/>
      <c r="S37" s="5"/>
      <c r="T37" s="1"/>
      <c r="U37" s="1">
        <f t="shared" si="4"/>
        <v>20.581395348837209</v>
      </c>
      <c r="V37" s="1">
        <f t="shared" si="5"/>
        <v>20.581395348837209</v>
      </c>
      <c r="W37" s="1">
        <v>35</v>
      </c>
      <c r="X37" s="1">
        <v>32.6</v>
      </c>
      <c r="Y37" s="1">
        <v>21.8</v>
      </c>
      <c r="Z37" s="1">
        <v>26.2</v>
      </c>
      <c r="AA37" s="1">
        <v>17.399999999999999</v>
      </c>
      <c r="AB37" s="1">
        <v>16.2</v>
      </c>
      <c r="AC37" s="1">
        <v>14.6</v>
      </c>
      <c r="AD37" s="1">
        <v>13</v>
      </c>
      <c r="AE37" s="1"/>
      <c r="AF37" s="1">
        <f t="shared" si="8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81</v>
      </c>
      <c r="B38" s="1" t="s">
        <v>36</v>
      </c>
      <c r="C38" s="1">
        <v>103</v>
      </c>
      <c r="D38" s="1">
        <v>264</v>
      </c>
      <c r="E38" s="1">
        <v>253</v>
      </c>
      <c r="F38" s="1">
        <v>118</v>
      </c>
      <c r="G38" s="8">
        <v>0.4</v>
      </c>
      <c r="H38" s="1">
        <v>45</v>
      </c>
      <c r="I38" s="1" t="s">
        <v>37</v>
      </c>
      <c r="J38" s="1"/>
      <c r="K38" s="1">
        <v>259</v>
      </c>
      <c r="L38" s="1">
        <f t="shared" ref="L38:L69" si="10">E38-K38</f>
        <v>-6</v>
      </c>
      <c r="M38" s="1"/>
      <c r="N38" s="1"/>
      <c r="O38" s="1">
        <v>0</v>
      </c>
      <c r="P38" s="1"/>
      <c r="Q38" s="1">
        <f t="shared" ref="Q38:Q69" si="11">E38/5</f>
        <v>50.6</v>
      </c>
      <c r="R38" s="5">
        <f>11*Q38-P38-O38-F38</f>
        <v>438.6</v>
      </c>
      <c r="S38" s="5"/>
      <c r="T38" s="1"/>
      <c r="U38" s="1">
        <f t="shared" ref="U38:U69" si="12">(F38+O38+P38+R38)/Q38</f>
        <v>11</v>
      </c>
      <c r="V38" s="1">
        <f t="shared" ref="V38:V69" si="13">(F38+O38+P38)/Q38</f>
        <v>2.3320158102766797</v>
      </c>
      <c r="W38" s="1">
        <v>24.2</v>
      </c>
      <c r="X38" s="1">
        <v>42.4</v>
      </c>
      <c r="Y38" s="1">
        <v>25.6</v>
      </c>
      <c r="Z38" s="1">
        <v>28.2</v>
      </c>
      <c r="AA38" s="1">
        <v>37.6</v>
      </c>
      <c r="AB38" s="1">
        <v>26.6</v>
      </c>
      <c r="AC38" s="1">
        <v>33.4</v>
      </c>
      <c r="AD38" s="1">
        <v>29.2</v>
      </c>
      <c r="AE38" s="1" t="s">
        <v>50</v>
      </c>
      <c r="AF38" s="1">
        <f t="shared" si="8"/>
        <v>175.44000000000003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82</v>
      </c>
      <c r="B39" s="1" t="s">
        <v>40</v>
      </c>
      <c r="C39" s="1">
        <v>50.71</v>
      </c>
      <c r="D39" s="1">
        <v>173.97499999999999</v>
      </c>
      <c r="E39" s="1">
        <v>122.05500000000001</v>
      </c>
      <c r="F39" s="1">
        <v>111.747</v>
      </c>
      <c r="G39" s="8">
        <v>1</v>
      </c>
      <c r="H39" s="1">
        <v>60</v>
      </c>
      <c r="I39" s="1" t="s">
        <v>37</v>
      </c>
      <c r="J39" s="1"/>
      <c r="K39" s="1">
        <v>121.2</v>
      </c>
      <c r="L39" s="1">
        <f t="shared" si="10"/>
        <v>0.85500000000000398</v>
      </c>
      <c r="M39" s="1"/>
      <c r="N39" s="1"/>
      <c r="O39" s="1">
        <v>0</v>
      </c>
      <c r="P39" s="1"/>
      <c r="Q39" s="1">
        <f t="shared" si="11"/>
        <v>24.411000000000001</v>
      </c>
      <c r="R39" s="5">
        <f t="shared" si="9"/>
        <v>230.00700000000001</v>
      </c>
      <c r="S39" s="5"/>
      <c r="T39" s="1"/>
      <c r="U39" s="1">
        <f t="shared" si="12"/>
        <v>14</v>
      </c>
      <c r="V39" s="1">
        <f t="shared" si="13"/>
        <v>4.5777313506206214</v>
      </c>
      <c r="W39" s="1">
        <v>27.631</v>
      </c>
      <c r="X39" s="1">
        <v>41.204599999999999</v>
      </c>
      <c r="Y39" s="1">
        <v>25.7394</v>
      </c>
      <c r="Z39" s="1">
        <v>26.0762</v>
      </c>
      <c r="AA39" s="1">
        <v>28.807600000000001</v>
      </c>
      <c r="AB39" s="1">
        <v>22.558800000000002</v>
      </c>
      <c r="AC39" s="1">
        <v>35.664200000000001</v>
      </c>
      <c r="AD39" s="1">
        <v>36.482399999999998</v>
      </c>
      <c r="AE39" s="1"/>
      <c r="AF39" s="1">
        <f t="shared" si="8"/>
        <v>230.00700000000001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83</v>
      </c>
      <c r="B40" s="1" t="s">
        <v>40</v>
      </c>
      <c r="C40" s="1">
        <v>89.718000000000004</v>
      </c>
      <c r="D40" s="1">
        <v>82.302000000000007</v>
      </c>
      <c r="E40" s="1">
        <v>58.98</v>
      </c>
      <c r="F40" s="1">
        <v>108.128</v>
      </c>
      <c r="G40" s="8">
        <v>1</v>
      </c>
      <c r="H40" s="1">
        <v>45</v>
      </c>
      <c r="I40" s="1" t="s">
        <v>37</v>
      </c>
      <c r="J40" s="1"/>
      <c r="K40" s="1">
        <v>59.1</v>
      </c>
      <c r="L40" s="1">
        <f t="shared" si="10"/>
        <v>-0.12000000000000455</v>
      </c>
      <c r="M40" s="1"/>
      <c r="N40" s="1"/>
      <c r="O40" s="1">
        <v>43</v>
      </c>
      <c r="P40" s="1"/>
      <c r="Q40" s="1">
        <f t="shared" si="11"/>
        <v>11.795999999999999</v>
      </c>
      <c r="R40" s="5">
        <f t="shared" si="9"/>
        <v>14.016000000000005</v>
      </c>
      <c r="S40" s="5"/>
      <c r="T40" s="1"/>
      <c r="U40" s="1">
        <f t="shared" si="12"/>
        <v>14.000000000000002</v>
      </c>
      <c r="V40" s="1">
        <f t="shared" si="13"/>
        <v>12.811800610376398</v>
      </c>
      <c r="W40" s="1">
        <v>16.171600000000002</v>
      </c>
      <c r="X40" s="1">
        <v>14.0792</v>
      </c>
      <c r="Y40" s="1">
        <v>13.600199999999999</v>
      </c>
      <c r="Z40" s="1">
        <v>13.547800000000001</v>
      </c>
      <c r="AA40" s="1">
        <v>15.1912</v>
      </c>
      <c r="AB40" s="1">
        <v>15.074</v>
      </c>
      <c r="AC40" s="1">
        <v>10.4932</v>
      </c>
      <c r="AD40" s="1">
        <v>13.145799999999999</v>
      </c>
      <c r="AE40" s="1"/>
      <c r="AF40" s="1">
        <f t="shared" si="8"/>
        <v>14.016000000000005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84</v>
      </c>
      <c r="B41" s="1" t="s">
        <v>40</v>
      </c>
      <c r="C41" s="1">
        <v>88.641000000000005</v>
      </c>
      <c r="D41" s="1">
        <v>97.787000000000006</v>
      </c>
      <c r="E41" s="1">
        <v>88.908000000000001</v>
      </c>
      <c r="F41" s="1">
        <v>108.03</v>
      </c>
      <c r="G41" s="8">
        <v>1</v>
      </c>
      <c r="H41" s="1">
        <v>45</v>
      </c>
      <c r="I41" s="1" t="s">
        <v>37</v>
      </c>
      <c r="J41" s="1"/>
      <c r="K41" s="1">
        <v>89.1</v>
      </c>
      <c r="L41" s="1">
        <f t="shared" si="10"/>
        <v>-0.19199999999999307</v>
      </c>
      <c r="M41" s="1"/>
      <c r="N41" s="1"/>
      <c r="O41" s="1">
        <v>0</v>
      </c>
      <c r="P41" s="1"/>
      <c r="Q41" s="1">
        <f t="shared" si="11"/>
        <v>17.781600000000001</v>
      </c>
      <c r="R41" s="5">
        <f t="shared" si="9"/>
        <v>140.91240000000002</v>
      </c>
      <c r="S41" s="5"/>
      <c r="T41" s="1"/>
      <c r="U41" s="1">
        <f t="shared" si="12"/>
        <v>14</v>
      </c>
      <c r="V41" s="1">
        <f t="shared" si="13"/>
        <v>6.0753812930219997</v>
      </c>
      <c r="W41" s="1">
        <v>14.003399999999999</v>
      </c>
      <c r="X41" s="1">
        <v>21.742000000000001</v>
      </c>
      <c r="Y41" s="1">
        <v>10.9964</v>
      </c>
      <c r="Z41" s="1">
        <v>10.7776</v>
      </c>
      <c r="AA41" s="1">
        <v>15.9596</v>
      </c>
      <c r="AB41" s="1">
        <v>14.294600000000001</v>
      </c>
      <c r="AC41" s="1">
        <v>18.706199999999999</v>
      </c>
      <c r="AD41" s="1">
        <v>14.135199999999999</v>
      </c>
      <c r="AE41" s="1"/>
      <c r="AF41" s="1">
        <f t="shared" si="8"/>
        <v>140.91240000000002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85</v>
      </c>
      <c r="B42" s="1" t="s">
        <v>36</v>
      </c>
      <c r="C42" s="1">
        <v>22</v>
      </c>
      <c r="D42" s="1">
        <v>16</v>
      </c>
      <c r="E42" s="1">
        <v>31</v>
      </c>
      <c r="F42" s="1">
        <v>14</v>
      </c>
      <c r="G42" s="8">
        <v>0.35</v>
      </c>
      <c r="H42" s="1">
        <v>45</v>
      </c>
      <c r="I42" s="1" t="s">
        <v>37</v>
      </c>
      <c r="J42" s="1"/>
      <c r="K42" s="1">
        <v>32</v>
      </c>
      <c r="L42" s="1">
        <f t="shared" si="10"/>
        <v>-1</v>
      </c>
      <c r="M42" s="1"/>
      <c r="N42" s="1"/>
      <c r="O42" s="1">
        <v>34</v>
      </c>
      <c r="P42" s="1">
        <v>28</v>
      </c>
      <c r="Q42" s="1">
        <f t="shared" si="11"/>
        <v>6.2</v>
      </c>
      <c r="R42" s="5">
        <f t="shared" si="9"/>
        <v>10.799999999999997</v>
      </c>
      <c r="S42" s="5"/>
      <c r="T42" s="1"/>
      <c r="U42" s="1">
        <f t="shared" si="12"/>
        <v>14</v>
      </c>
      <c r="V42" s="1">
        <f t="shared" si="13"/>
        <v>12.258064516129032</v>
      </c>
      <c r="W42" s="1">
        <v>9.8000000000000007</v>
      </c>
      <c r="X42" s="1">
        <v>8</v>
      </c>
      <c r="Y42" s="1">
        <v>9</v>
      </c>
      <c r="Z42" s="1">
        <v>9.1999999999999993</v>
      </c>
      <c r="AA42" s="1">
        <v>12.2</v>
      </c>
      <c r="AB42" s="1">
        <v>12.6</v>
      </c>
      <c r="AC42" s="1">
        <v>7.8</v>
      </c>
      <c r="AD42" s="1">
        <v>6.2</v>
      </c>
      <c r="AE42" s="1" t="s">
        <v>50</v>
      </c>
      <c r="AF42" s="1">
        <f t="shared" si="8"/>
        <v>3.7799999999999989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86</v>
      </c>
      <c r="B43" s="1" t="s">
        <v>40</v>
      </c>
      <c r="C43" s="1">
        <v>170.405</v>
      </c>
      <c r="D43" s="1">
        <v>34.015000000000001</v>
      </c>
      <c r="E43" s="1">
        <v>166.636</v>
      </c>
      <c r="F43" s="1">
        <v>50.043999999999997</v>
      </c>
      <c r="G43" s="8">
        <v>1</v>
      </c>
      <c r="H43" s="1">
        <v>45</v>
      </c>
      <c r="I43" s="1" t="s">
        <v>37</v>
      </c>
      <c r="J43" s="1"/>
      <c r="K43" s="1">
        <v>167.2</v>
      </c>
      <c r="L43" s="1">
        <f t="shared" si="10"/>
        <v>-0.56399999999999295</v>
      </c>
      <c r="M43" s="1"/>
      <c r="N43" s="1"/>
      <c r="O43" s="1">
        <v>148</v>
      </c>
      <c r="P43" s="1">
        <v>120</v>
      </c>
      <c r="Q43" s="1">
        <f t="shared" si="11"/>
        <v>33.327199999999998</v>
      </c>
      <c r="R43" s="5">
        <f t="shared" si="9"/>
        <v>148.53679999999997</v>
      </c>
      <c r="S43" s="5"/>
      <c r="T43" s="1"/>
      <c r="U43" s="1">
        <f t="shared" si="12"/>
        <v>14</v>
      </c>
      <c r="V43" s="1">
        <f t="shared" si="13"/>
        <v>9.5430759259703795</v>
      </c>
      <c r="W43" s="1">
        <v>39.2682</v>
      </c>
      <c r="X43" s="1">
        <v>30.984200000000001</v>
      </c>
      <c r="Y43" s="1">
        <v>37.989999999999988</v>
      </c>
      <c r="Z43" s="1">
        <v>39.400399999999998</v>
      </c>
      <c r="AA43" s="1">
        <v>27.084399999999999</v>
      </c>
      <c r="AB43" s="1">
        <v>22.139800000000001</v>
      </c>
      <c r="AC43" s="1">
        <v>41.870800000000003</v>
      </c>
      <c r="AD43" s="1">
        <v>26.984400000000001</v>
      </c>
      <c r="AE43" s="1"/>
      <c r="AF43" s="1">
        <f t="shared" si="8"/>
        <v>148.53679999999997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87</v>
      </c>
      <c r="B44" s="1" t="s">
        <v>36</v>
      </c>
      <c r="C44" s="1">
        <v>385</v>
      </c>
      <c r="D44" s="1">
        <v>5</v>
      </c>
      <c r="E44" s="1">
        <v>346</v>
      </c>
      <c r="F44" s="1">
        <v>36</v>
      </c>
      <c r="G44" s="8">
        <v>0.3</v>
      </c>
      <c r="H44" s="1">
        <v>45</v>
      </c>
      <c r="I44" s="1" t="s">
        <v>37</v>
      </c>
      <c r="J44" s="1"/>
      <c r="K44" s="1">
        <v>443</v>
      </c>
      <c r="L44" s="1">
        <f t="shared" si="10"/>
        <v>-97</v>
      </c>
      <c r="M44" s="1"/>
      <c r="N44" s="1"/>
      <c r="O44" s="1">
        <v>327</v>
      </c>
      <c r="P44" s="1">
        <v>265</v>
      </c>
      <c r="Q44" s="1">
        <f t="shared" si="11"/>
        <v>69.2</v>
      </c>
      <c r="R44" s="5">
        <f t="shared" si="9"/>
        <v>340.80000000000007</v>
      </c>
      <c r="S44" s="5"/>
      <c r="T44" s="1"/>
      <c r="U44" s="1">
        <f t="shared" si="12"/>
        <v>14</v>
      </c>
      <c r="V44" s="1">
        <f t="shared" si="13"/>
        <v>9.0751445086705207</v>
      </c>
      <c r="W44" s="1">
        <v>82.6</v>
      </c>
      <c r="X44" s="1">
        <v>59.2</v>
      </c>
      <c r="Y44" s="1">
        <v>79.400000000000006</v>
      </c>
      <c r="Z44" s="1">
        <v>70.8</v>
      </c>
      <c r="AA44" s="1">
        <v>61.4</v>
      </c>
      <c r="AB44" s="1">
        <v>66.599999999999994</v>
      </c>
      <c r="AC44" s="1">
        <v>65.599999999999994</v>
      </c>
      <c r="AD44" s="1">
        <v>89</v>
      </c>
      <c r="AE44" s="1"/>
      <c r="AF44" s="1">
        <f t="shared" si="8"/>
        <v>102.24000000000002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88</v>
      </c>
      <c r="B45" s="1" t="s">
        <v>40</v>
      </c>
      <c r="C45" s="1">
        <v>30.887</v>
      </c>
      <c r="D45" s="1">
        <v>31.632000000000001</v>
      </c>
      <c r="E45" s="1">
        <v>4.4000000000000004</v>
      </c>
      <c r="F45" s="1">
        <v>57.893999999999998</v>
      </c>
      <c r="G45" s="8">
        <v>1</v>
      </c>
      <c r="H45" s="1">
        <v>45</v>
      </c>
      <c r="I45" s="1" t="s">
        <v>37</v>
      </c>
      <c r="J45" s="1"/>
      <c r="K45" s="1">
        <v>4.5</v>
      </c>
      <c r="L45" s="1">
        <f t="shared" si="10"/>
        <v>-9.9999999999999645E-2</v>
      </c>
      <c r="M45" s="1"/>
      <c r="N45" s="1"/>
      <c r="O45" s="1">
        <v>0</v>
      </c>
      <c r="P45" s="1"/>
      <c r="Q45" s="1">
        <f t="shared" si="11"/>
        <v>0.88000000000000012</v>
      </c>
      <c r="R45" s="5"/>
      <c r="S45" s="5"/>
      <c r="T45" s="1"/>
      <c r="U45" s="1">
        <f t="shared" si="12"/>
        <v>65.788636363636357</v>
      </c>
      <c r="V45" s="1">
        <f t="shared" si="13"/>
        <v>65.788636363636357</v>
      </c>
      <c r="W45" s="1">
        <v>1.6761999999999999</v>
      </c>
      <c r="X45" s="1">
        <v>3.9973999999999998</v>
      </c>
      <c r="Y45" s="1">
        <v>2.5049999999999999</v>
      </c>
      <c r="Z45" s="1">
        <v>1.8540000000000001</v>
      </c>
      <c r="AA45" s="1">
        <v>3.1057999999999999</v>
      </c>
      <c r="AB45" s="1">
        <v>1.5598000000000001</v>
      </c>
      <c r="AC45" s="1">
        <v>2.7850000000000001</v>
      </c>
      <c r="AD45" s="1">
        <v>2.1678000000000002</v>
      </c>
      <c r="AE45" s="21" t="s">
        <v>150</v>
      </c>
      <c r="AF45" s="1">
        <f t="shared" si="8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89</v>
      </c>
      <c r="B46" s="1" t="s">
        <v>36</v>
      </c>
      <c r="C46" s="1">
        <v>1674</v>
      </c>
      <c r="D46" s="1">
        <v>60</v>
      </c>
      <c r="E46" s="1">
        <v>656</v>
      </c>
      <c r="F46" s="1">
        <v>1041</v>
      </c>
      <c r="G46" s="8">
        <v>0.35</v>
      </c>
      <c r="H46" s="1">
        <v>45</v>
      </c>
      <c r="I46" s="10" t="s">
        <v>43</v>
      </c>
      <c r="J46" s="1"/>
      <c r="K46" s="1">
        <v>671</v>
      </c>
      <c r="L46" s="1">
        <f t="shared" si="10"/>
        <v>-15</v>
      </c>
      <c r="M46" s="1"/>
      <c r="N46" s="1"/>
      <c r="O46" s="1">
        <v>264</v>
      </c>
      <c r="P46" s="1">
        <v>215</v>
      </c>
      <c r="Q46" s="1">
        <f t="shared" si="11"/>
        <v>131.19999999999999</v>
      </c>
      <c r="R46" s="5">
        <f t="shared" si="9"/>
        <v>316.79999999999973</v>
      </c>
      <c r="S46" s="5"/>
      <c r="T46" s="1"/>
      <c r="U46" s="1">
        <f t="shared" si="12"/>
        <v>14</v>
      </c>
      <c r="V46" s="1">
        <f t="shared" si="13"/>
        <v>11.585365853658537</v>
      </c>
      <c r="W46" s="1">
        <v>176.6</v>
      </c>
      <c r="X46" s="1">
        <v>154.19999999999999</v>
      </c>
      <c r="Y46" s="1">
        <v>214.6</v>
      </c>
      <c r="Z46" s="1">
        <v>135</v>
      </c>
      <c r="AA46" s="1">
        <v>124.2</v>
      </c>
      <c r="AB46" s="1">
        <v>149</v>
      </c>
      <c r="AC46" s="1">
        <v>205.8</v>
      </c>
      <c r="AD46" s="1">
        <v>227</v>
      </c>
      <c r="AE46" s="1" t="s">
        <v>38</v>
      </c>
      <c r="AF46" s="1">
        <f t="shared" si="8"/>
        <v>110.8799999999999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90</v>
      </c>
      <c r="B47" s="1" t="s">
        <v>36</v>
      </c>
      <c r="C47" s="1">
        <v>180</v>
      </c>
      <c r="D47" s="1">
        <v>296</v>
      </c>
      <c r="E47" s="1">
        <v>270</v>
      </c>
      <c r="F47" s="1">
        <v>183</v>
      </c>
      <c r="G47" s="8">
        <v>0.41</v>
      </c>
      <c r="H47" s="1">
        <v>45</v>
      </c>
      <c r="I47" s="1" t="s">
        <v>37</v>
      </c>
      <c r="J47" s="1"/>
      <c r="K47" s="1">
        <v>282</v>
      </c>
      <c r="L47" s="1">
        <f t="shared" si="10"/>
        <v>-12</v>
      </c>
      <c r="M47" s="1"/>
      <c r="N47" s="1"/>
      <c r="O47" s="1">
        <v>59</v>
      </c>
      <c r="P47" s="1">
        <v>48</v>
      </c>
      <c r="Q47" s="1">
        <f t="shared" si="11"/>
        <v>54</v>
      </c>
      <c r="R47" s="5">
        <f t="shared" si="9"/>
        <v>466</v>
      </c>
      <c r="S47" s="5"/>
      <c r="T47" s="1"/>
      <c r="U47" s="1">
        <f t="shared" si="12"/>
        <v>14</v>
      </c>
      <c r="V47" s="1">
        <f t="shared" si="13"/>
        <v>5.3703703703703702</v>
      </c>
      <c r="W47" s="1">
        <v>47.8</v>
      </c>
      <c r="X47" s="1">
        <v>56.4</v>
      </c>
      <c r="Y47" s="1">
        <v>46.6</v>
      </c>
      <c r="Z47" s="1">
        <v>60.6</v>
      </c>
      <c r="AA47" s="1">
        <v>46.6</v>
      </c>
      <c r="AB47" s="1">
        <v>50.8</v>
      </c>
      <c r="AC47" s="1">
        <v>54.6</v>
      </c>
      <c r="AD47" s="1">
        <v>58.4</v>
      </c>
      <c r="AE47" s="1" t="s">
        <v>50</v>
      </c>
      <c r="AF47" s="1">
        <f t="shared" si="8"/>
        <v>191.06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91</v>
      </c>
      <c r="B48" s="1" t="s">
        <v>36</v>
      </c>
      <c r="C48" s="1">
        <v>35</v>
      </c>
      <c r="D48" s="1">
        <v>80</v>
      </c>
      <c r="E48" s="1">
        <v>68</v>
      </c>
      <c r="F48" s="1">
        <v>39</v>
      </c>
      <c r="G48" s="8">
        <v>0.41</v>
      </c>
      <c r="H48" s="1">
        <v>45</v>
      </c>
      <c r="I48" s="1" t="s">
        <v>37</v>
      </c>
      <c r="J48" s="1"/>
      <c r="K48" s="1">
        <v>71</v>
      </c>
      <c r="L48" s="1">
        <f t="shared" si="10"/>
        <v>-3</v>
      </c>
      <c r="M48" s="1"/>
      <c r="N48" s="1"/>
      <c r="O48" s="1">
        <v>0</v>
      </c>
      <c r="P48" s="1"/>
      <c r="Q48" s="1">
        <f t="shared" si="11"/>
        <v>13.6</v>
      </c>
      <c r="R48" s="5">
        <f>12*Q48-P48-O48-F48</f>
        <v>124.19999999999999</v>
      </c>
      <c r="S48" s="5"/>
      <c r="T48" s="1"/>
      <c r="U48" s="1">
        <f t="shared" si="12"/>
        <v>12</v>
      </c>
      <c r="V48" s="1">
        <f t="shared" si="13"/>
        <v>2.8676470588235294</v>
      </c>
      <c r="W48" s="1">
        <v>2</v>
      </c>
      <c r="X48" s="1">
        <v>17</v>
      </c>
      <c r="Y48" s="1">
        <v>4.5999999999999996</v>
      </c>
      <c r="Z48" s="1">
        <v>8.6</v>
      </c>
      <c r="AA48" s="1">
        <v>11.2</v>
      </c>
      <c r="AB48" s="1">
        <v>4.4000000000000004</v>
      </c>
      <c r="AC48" s="1">
        <v>8.4</v>
      </c>
      <c r="AD48" s="1">
        <v>7.6</v>
      </c>
      <c r="AE48" s="1"/>
      <c r="AF48" s="1">
        <f t="shared" si="8"/>
        <v>50.92199999999999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92</v>
      </c>
      <c r="B49" s="1" t="s">
        <v>36</v>
      </c>
      <c r="C49" s="1">
        <v>174</v>
      </c>
      <c r="D49" s="1">
        <v>324</v>
      </c>
      <c r="E49" s="1">
        <v>280</v>
      </c>
      <c r="F49" s="1">
        <v>244</v>
      </c>
      <c r="G49" s="8">
        <v>0.36</v>
      </c>
      <c r="H49" s="1">
        <v>45</v>
      </c>
      <c r="I49" s="1" t="s">
        <v>37</v>
      </c>
      <c r="J49" s="1"/>
      <c r="K49" s="1">
        <v>292</v>
      </c>
      <c r="L49" s="1">
        <f t="shared" si="10"/>
        <v>-12</v>
      </c>
      <c r="M49" s="1"/>
      <c r="N49" s="1"/>
      <c r="O49" s="1">
        <v>10</v>
      </c>
      <c r="P49" s="1"/>
      <c r="Q49" s="1">
        <f t="shared" si="11"/>
        <v>56</v>
      </c>
      <c r="R49" s="5">
        <f t="shared" si="9"/>
        <v>530</v>
      </c>
      <c r="S49" s="5"/>
      <c r="T49" s="1"/>
      <c r="U49" s="1">
        <f t="shared" si="12"/>
        <v>14</v>
      </c>
      <c r="V49" s="1">
        <f t="shared" si="13"/>
        <v>4.5357142857142856</v>
      </c>
      <c r="W49" s="1">
        <v>50</v>
      </c>
      <c r="X49" s="1">
        <v>67</v>
      </c>
      <c r="Y49" s="1">
        <v>50.4</v>
      </c>
      <c r="Z49" s="1">
        <v>51</v>
      </c>
      <c r="AA49" s="1">
        <v>47.2</v>
      </c>
      <c r="AB49" s="1">
        <v>65.400000000000006</v>
      </c>
      <c r="AC49" s="1">
        <v>55.2</v>
      </c>
      <c r="AD49" s="1">
        <v>57.2</v>
      </c>
      <c r="AE49" s="1" t="s">
        <v>50</v>
      </c>
      <c r="AF49" s="1">
        <f t="shared" si="8"/>
        <v>190.79999999999998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93</v>
      </c>
      <c r="B50" s="1" t="s">
        <v>36</v>
      </c>
      <c r="C50" s="1">
        <v>13</v>
      </c>
      <c r="D50" s="1">
        <v>25</v>
      </c>
      <c r="E50" s="1">
        <v>34</v>
      </c>
      <c r="F50" s="1">
        <v>2</v>
      </c>
      <c r="G50" s="8">
        <v>0.33</v>
      </c>
      <c r="H50" s="1">
        <v>45</v>
      </c>
      <c r="I50" s="1" t="s">
        <v>37</v>
      </c>
      <c r="J50" s="1"/>
      <c r="K50" s="1">
        <v>54</v>
      </c>
      <c r="L50" s="1">
        <f t="shared" si="10"/>
        <v>-20</v>
      </c>
      <c r="M50" s="1"/>
      <c r="N50" s="1"/>
      <c r="O50" s="1">
        <v>80</v>
      </c>
      <c r="P50" s="1">
        <v>65</v>
      </c>
      <c r="Q50" s="1">
        <f t="shared" si="11"/>
        <v>6.8</v>
      </c>
      <c r="R50" s="5"/>
      <c r="S50" s="5"/>
      <c r="T50" s="1"/>
      <c r="U50" s="1">
        <f t="shared" si="12"/>
        <v>21.617647058823529</v>
      </c>
      <c r="V50" s="1">
        <f t="shared" si="13"/>
        <v>21.617647058823529</v>
      </c>
      <c r="W50" s="1">
        <v>24.2</v>
      </c>
      <c r="X50" s="1">
        <v>6.2</v>
      </c>
      <c r="Y50" s="1">
        <v>-0.8</v>
      </c>
      <c r="Z50" s="1">
        <v>19.600000000000001</v>
      </c>
      <c r="AA50" s="1">
        <v>3.4</v>
      </c>
      <c r="AB50" s="1">
        <v>8.8000000000000007</v>
      </c>
      <c r="AC50" s="1">
        <v>7</v>
      </c>
      <c r="AD50" s="1">
        <v>5.6</v>
      </c>
      <c r="AE50" s="1" t="s">
        <v>50</v>
      </c>
      <c r="AF50" s="1">
        <f t="shared" si="8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94</v>
      </c>
      <c r="B51" s="1" t="s">
        <v>36</v>
      </c>
      <c r="C51" s="1">
        <v>3</v>
      </c>
      <c r="D51" s="1"/>
      <c r="E51" s="1"/>
      <c r="F51" s="1">
        <v>3</v>
      </c>
      <c r="G51" s="8">
        <v>0.33</v>
      </c>
      <c r="H51" s="1">
        <v>45</v>
      </c>
      <c r="I51" s="1" t="s">
        <v>37</v>
      </c>
      <c r="J51" s="1"/>
      <c r="K51" s="1"/>
      <c r="L51" s="1">
        <f t="shared" si="10"/>
        <v>0</v>
      </c>
      <c r="M51" s="1"/>
      <c r="N51" s="1"/>
      <c r="O51" s="1">
        <v>28</v>
      </c>
      <c r="P51" s="1">
        <v>23</v>
      </c>
      <c r="Q51" s="1">
        <f t="shared" si="11"/>
        <v>0</v>
      </c>
      <c r="R51" s="5"/>
      <c r="S51" s="5"/>
      <c r="T51" s="1"/>
      <c r="U51" s="1" t="e">
        <f t="shared" si="12"/>
        <v>#DIV/0!</v>
      </c>
      <c r="V51" s="1" t="e">
        <f t="shared" si="13"/>
        <v>#DIV/0!</v>
      </c>
      <c r="W51" s="1">
        <v>8</v>
      </c>
      <c r="X51" s="1">
        <v>2</v>
      </c>
      <c r="Y51" s="1">
        <v>0.2</v>
      </c>
      <c r="Z51" s="1">
        <v>3.4</v>
      </c>
      <c r="AA51" s="1">
        <v>3</v>
      </c>
      <c r="AB51" s="1">
        <v>2</v>
      </c>
      <c r="AC51" s="1">
        <v>4.4000000000000004</v>
      </c>
      <c r="AD51" s="1">
        <v>2.8</v>
      </c>
      <c r="AE51" s="1" t="s">
        <v>50</v>
      </c>
      <c r="AF51" s="1">
        <f t="shared" ref="AF51:AF70" si="14">G51*R51</f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95</v>
      </c>
      <c r="B52" s="1" t="s">
        <v>36</v>
      </c>
      <c r="C52" s="1"/>
      <c r="D52" s="1">
        <v>176</v>
      </c>
      <c r="E52" s="1">
        <v>69</v>
      </c>
      <c r="F52" s="1">
        <v>111</v>
      </c>
      <c r="G52" s="8">
        <v>0.33</v>
      </c>
      <c r="H52" s="1">
        <v>45</v>
      </c>
      <c r="I52" s="1" t="s">
        <v>37</v>
      </c>
      <c r="J52" s="1"/>
      <c r="K52" s="1">
        <v>123</v>
      </c>
      <c r="L52" s="1">
        <f t="shared" si="10"/>
        <v>-54</v>
      </c>
      <c r="M52" s="1"/>
      <c r="N52" s="1"/>
      <c r="O52" s="1">
        <v>211</v>
      </c>
      <c r="P52" s="1">
        <v>171</v>
      </c>
      <c r="Q52" s="1">
        <f t="shared" si="11"/>
        <v>13.8</v>
      </c>
      <c r="R52" s="5"/>
      <c r="S52" s="5"/>
      <c r="T52" s="1"/>
      <c r="U52" s="1">
        <f t="shared" si="12"/>
        <v>35.724637681159422</v>
      </c>
      <c r="V52" s="1">
        <f t="shared" si="13"/>
        <v>35.724637681159422</v>
      </c>
      <c r="W52" s="1">
        <v>61.2</v>
      </c>
      <c r="X52" s="1">
        <v>35.200000000000003</v>
      </c>
      <c r="Y52" s="1">
        <v>16.2</v>
      </c>
      <c r="Z52" s="1">
        <v>55</v>
      </c>
      <c r="AA52" s="1">
        <v>27</v>
      </c>
      <c r="AB52" s="1">
        <v>31</v>
      </c>
      <c r="AC52" s="1">
        <v>28.2</v>
      </c>
      <c r="AD52" s="1">
        <v>25.8</v>
      </c>
      <c r="AE52" s="1" t="s">
        <v>38</v>
      </c>
      <c r="AF52" s="1">
        <f t="shared" si="14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96</v>
      </c>
      <c r="B53" s="1" t="s">
        <v>36</v>
      </c>
      <c r="C53" s="1">
        <v>5</v>
      </c>
      <c r="D53" s="1">
        <v>1</v>
      </c>
      <c r="E53" s="1">
        <v>-1</v>
      </c>
      <c r="F53" s="1">
        <v>3</v>
      </c>
      <c r="G53" s="8">
        <v>0.33</v>
      </c>
      <c r="H53" s="1">
        <v>45</v>
      </c>
      <c r="I53" s="1" t="s">
        <v>37</v>
      </c>
      <c r="J53" s="1"/>
      <c r="K53" s="1">
        <v>13</v>
      </c>
      <c r="L53" s="1">
        <f t="shared" si="10"/>
        <v>-14</v>
      </c>
      <c r="M53" s="1"/>
      <c r="N53" s="1"/>
      <c r="O53" s="1">
        <v>45</v>
      </c>
      <c r="P53" s="1">
        <v>36</v>
      </c>
      <c r="Q53" s="1">
        <f t="shared" si="11"/>
        <v>-0.2</v>
      </c>
      <c r="R53" s="5"/>
      <c r="S53" s="5"/>
      <c r="T53" s="1"/>
      <c r="U53" s="1">
        <f t="shared" si="12"/>
        <v>-420</v>
      </c>
      <c r="V53" s="1">
        <f t="shared" si="13"/>
        <v>-420</v>
      </c>
      <c r="W53" s="1">
        <v>16.399999999999999</v>
      </c>
      <c r="X53" s="1">
        <v>3.8</v>
      </c>
      <c r="Y53" s="1">
        <v>0.8</v>
      </c>
      <c r="Z53" s="1">
        <v>10.8</v>
      </c>
      <c r="AA53" s="1">
        <v>4</v>
      </c>
      <c r="AB53" s="1">
        <v>6.2</v>
      </c>
      <c r="AC53" s="1">
        <v>3.8</v>
      </c>
      <c r="AD53" s="1">
        <v>5</v>
      </c>
      <c r="AE53" s="1" t="s">
        <v>50</v>
      </c>
      <c r="AF53" s="1">
        <f t="shared" si="14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97</v>
      </c>
      <c r="B54" s="1" t="s">
        <v>40</v>
      </c>
      <c r="C54" s="1">
        <v>476.01900000000001</v>
      </c>
      <c r="D54" s="1">
        <v>198.84</v>
      </c>
      <c r="E54" s="1">
        <v>520.73299999999995</v>
      </c>
      <c r="F54" s="1">
        <v>194.31899999999999</v>
      </c>
      <c r="G54" s="8">
        <v>1</v>
      </c>
      <c r="H54" s="1">
        <v>45</v>
      </c>
      <c r="I54" s="1" t="s">
        <v>37</v>
      </c>
      <c r="J54" s="1"/>
      <c r="K54" s="1">
        <v>496.1</v>
      </c>
      <c r="L54" s="1">
        <f t="shared" si="10"/>
        <v>24.632999999999925</v>
      </c>
      <c r="M54" s="1"/>
      <c r="N54" s="1"/>
      <c r="O54" s="1">
        <v>96</v>
      </c>
      <c r="P54" s="1">
        <v>78</v>
      </c>
      <c r="Q54" s="1">
        <f t="shared" si="11"/>
        <v>104.14659999999999</v>
      </c>
      <c r="R54" s="5">
        <f>13*Q54-P54-O54-F54</f>
        <v>985.58680000000004</v>
      </c>
      <c r="S54" s="5"/>
      <c r="T54" s="1"/>
      <c r="U54" s="1">
        <f t="shared" si="12"/>
        <v>13.000000000000002</v>
      </c>
      <c r="V54" s="1">
        <f t="shared" si="13"/>
        <v>3.5365436797744718</v>
      </c>
      <c r="W54" s="1">
        <v>82.945000000000007</v>
      </c>
      <c r="X54" s="1">
        <v>96.178799999999995</v>
      </c>
      <c r="Y54" s="1">
        <v>105.8878</v>
      </c>
      <c r="Z54" s="1">
        <v>102.283</v>
      </c>
      <c r="AA54" s="1">
        <v>79.399199999999993</v>
      </c>
      <c r="AB54" s="1">
        <v>102.687</v>
      </c>
      <c r="AC54" s="1">
        <v>104.6752</v>
      </c>
      <c r="AD54" s="1">
        <v>99.838999999999999</v>
      </c>
      <c r="AE54" s="1"/>
      <c r="AF54" s="1">
        <f t="shared" si="14"/>
        <v>985.58680000000004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98</v>
      </c>
      <c r="B55" s="1" t="s">
        <v>40</v>
      </c>
      <c r="C55" s="1">
        <v>62.826000000000001</v>
      </c>
      <c r="D55" s="1">
        <v>38.317</v>
      </c>
      <c r="E55" s="1">
        <v>11.622</v>
      </c>
      <c r="F55" s="1">
        <v>89.521000000000001</v>
      </c>
      <c r="G55" s="8">
        <v>1</v>
      </c>
      <c r="H55" s="1">
        <v>30</v>
      </c>
      <c r="I55" s="1" t="s">
        <v>37</v>
      </c>
      <c r="J55" s="1"/>
      <c r="K55" s="1">
        <v>11</v>
      </c>
      <c r="L55" s="1">
        <f t="shared" si="10"/>
        <v>0.62199999999999989</v>
      </c>
      <c r="M55" s="1"/>
      <c r="N55" s="1"/>
      <c r="O55" s="1">
        <v>0</v>
      </c>
      <c r="P55" s="1"/>
      <c r="Q55" s="1">
        <f t="shared" si="11"/>
        <v>2.3243999999999998</v>
      </c>
      <c r="R55" s="5"/>
      <c r="S55" s="5"/>
      <c r="T55" s="1"/>
      <c r="U55" s="1">
        <f t="shared" si="12"/>
        <v>38.513594906212361</v>
      </c>
      <c r="V55" s="1">
        <f t="shared" si="13"/>
        <v>38.513594906212361</v>
      </c>
      <c r="W55" s="1">
        <v>3.9174000000000002</v>
      </c>
      <c r="X55" s="1">
        <v>12.4856</v>
      </c>
      <c r="Y55" s="1">
        <v>7.7566000000000006</v>
      </c>
      <c r="Z55" s="1">
        <v>1.6404000000000001</v>
      </c>
      <c r="AA55" s="1">
        <v>7.5049999999999999</v>
      </c>
      <c r="AB55" s="1">
        <v>4.556</v>
      </c>
      <c r="AC55" s="1">
        <v>3.9491999999999998</v>
      </c>
      <c r="AD55" s="1">
        <v>6.4672000000000001</v>
      </c>
      <c r="AE55" s="22" t="s">
        <v>41</v>
      </c>
      <c r="AF55" s="1">
        <f t="shared" si="14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99</v>
      </c>
      <c r="B56" s="1" t="s">
        <v>36</v>
      </c>
      <c r="C56" s="1">
        <v>35</v>
      </c>
      <c r="D56" s="1">
        <v>40</v>
      </c>
      <c r="E56" s="1">
        <v>22</v>
      </c>
      <c r="F56" s="1">
        <v>50</v>
      </c>
      <c r="G56" s="8">
        <v>0.1</v>
      </c>
      <c r="H56" s="1">
        <v>60</v>
      </c>
      <c r="I56" s="1" t="s">
        <v>37</v>
      </c>
      <c r="J56" s="1"/>
      <c r="K56" s="1">
        <v>25</v>
      </c>
      <c r="L56" s="1">
        <f t="shared" si="10"/>
        <v>-3</v>
      </c>
      <c r="M56" s="1"/>
      <c r="N56" s="1"/>
      <c r="O56" s="1">
        <v>0</v>
      </c>
      <c r="P56" s="1"/>
      <c r="Q56" s="1">
        <f t="shared" si="11"/>
        <v>4.4000000000000004</v>
      </c>
      <c r="R56" s="5">
        <f t="shared" si="9"/>
        <v>11.600000000000009</v>
      </c>
      <c r="S56" s="5"/>
      <c r="T56" s="1"/>
      <c r="U56" s="1">
        <f t="shared" si="12"/>
        <v>14</v>
      </c>
      <c r="V56" s="1">
        <f t="shared" si="13"/>
        <v>11.363636363636363</v>
      </c>
      <c r="W56" s="1">
        <v>5.6</v>
      </c>
      <c r="X56" s="1">
        <v>8.1999999999999993</v>
      </c>
      <c r="Y56" s="1">
        <v>3.8</v>
      </c>
      <c r="Z56" s="1">
        <v>6.6</v>
      </c>
      <c r="AA56" s="1">
        <v>4.8</v>
      </c>
      <c r="AB56" s="1">
        <v>2</v>
      </c>
      <c r="AC56" s="1">
        <v>3.2</v>
      </c>
      <c r="AD56" s="1">
        <v>5.4</v>
      </c>
      <c r="AE56" s="1"/>
      <c r="AF56" s="1">
        <f t="shared" si="14"/>
        <v>1.1600000000000008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100</v>
      </c>
      <c r="B57" s="1" t="s">
        <v>36</v>
      </c>
      <c r="C57" s="1">
        <v>20</v>
      </c>
      <c r="D57" s="1">
        <v>56</v>
      </c>
      <c r="E57" s="1">
        <v>26</v>
      </c>
      <c r="F57" s="1">
        <v>35</v>
      </c>
      <c r="G57" s="8">
        <v>0.4</v>
      </c>
      <c r="H57" s="1">
        <v>45</v>
      </c>
      <c r="I57" s="1" t="s">
        <v>37</v>
      </c>
      <c r="J57" s="1"/>
      <c r="K57" s="1">
        <v>53</v>
      </c>
      <c r="L57" s="1">
        <f t="shared" si="10"/>
        <v>-27</v>
      </c>
      <c r="M57" s="1"/>
      <c r="N57" s="1"/>
      <c r="O57" s="1">
        <v>45</v>
      </c>
      <c r="P57" s="1">
        <v>36</v>
      </c>
      <c r="Q57" s="1">
        <f t="shared" si="11"/>
        <v>5.2</v>
      </c>
      <c r="R57" s="5"/>
      <c r="S57" s="5"/>
      <c r="T57" s="1"/>
      <c r="U57" s="1">
        <f t="shared" si="12"/>
        <v>22.307692307692307</v>
      </c>
      <c r="V57" s="1">
        <f t="shared" si="13"/>
        <v>22.307692307692307</v>
      </c>
      <c r="W57" s="1">
        <v>13.4</v>
      </c>
      <c r="X57" s="1">
        <v>12.2</v>
      </c>
      <c r="Y57" s="1">
        <v>10.199999999999999</v>
      </c>
      <c r="Z57" s="1">
        <v>5.2</v>
      </c>
      <c r="AA57" s="1">
        <v>13</v>
      </c>
      <c r="AB57" s="1">
        <v>10.8</v>
      </c>
      <c r="AC57" s="1">
        <v>8.4</v>
      </c>
      <c r="AD57" s="1">
        <v>7.2</v>
      </c>
      <c r="AE57" s="1"/>
      <c r="AF57" s="1">
        <f t="shared" si="14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101</v>
      </c>
      <c r="B58" s="1" t="s">
        <v>40</v>
      </c>
      <c r="C58" s="1">
        <v>10.545</v>
      </c>
      <c r="D58" s="1"/>
      <c r="E58" s="1">
        <v>10.545</v>
      </c>
      <c r="F58" s="1"/>
      <c r="G58" s="8">
        <v>1</v>
      </c>
      <c r="H58" s="1">
        <v>60</v>
      </c>
      <c r="I58" s="1" t="s">
        <v>37</v>
      </c>
      <c r="J58" s="1"/>
      <c r="K58" s="1">
        <v>23.2</v>
      </c>
      <c r="L58" s="1">
        <f t="shared" si="10"/>
        <v>-12.654999999999999</v>
      </c>
      <c r="M58" s="1"/>
      <c r="N58" s="1"/>
      <c r="O58" s="1">
        <v>45</v>
      </c>
      <c r="P58" s="1"/>
      <c r="Q58" s="1">
        <f t="shared" si="11"/>
        <v>2.109</v>
      </c>
      <c r="R58" s="5">
        <v>5</v>
      </c>
      <c r="S58" s="5"/>
      <c r="T58" s="1"/>
      <c r="U58" s="1">
        <f t="shared" si="12"/>
        <v>23.707918444760551</v>
      </c>
      <c r="V58" s="1">
        <f t="shared" si="13"/>
        <v>21.337126600284495</v>
      </c>
      <c r="W58" s="1">
        <v>5.9859999999999998</v>
      </c>
      <c r="X58" s="1">
        <v>3.47</v>
      </c>
      <c r="Y58" s="1">
        <v>4.3890000000000002</v>
      </c>
      <c r="Z58" s="1">
        <v>5.3119999999999994</v>
      </c>
      <c r="AA58" s="1">
        <v>3.625</v>
      </c>
      <c r="AB58" s="1">
        <v>6.9370000000000003</v>
      </c>
      <c r="AC58" s="1">
        <v>4.5209999999999999</v>
      </c>
      <c r="AD58" s="1">
        <v>3.3410000000000002</v>
      </c>
      <c r="AE58" s="1"/>
      <c r="AF58" s="1">
        <f t="shared" si="14"/>
        <v>5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102</v>
      </c>
      <c r="B59" s="1" t="s">
        <v>36</v>
      </c>
      <c r="C59" s="1">
        <v>68</v>
      </c>
      <c r="D59" s="1">
        <v>64</v>
      </c>
      <c r="E59" s="1">
        <v>86</v>
      </c>
      <c r="F59" s="1">
        <v>55</v>
      </c>
      <c r="G59" s="8">
        <v>0.25</v>
      </c>
      <c r="H59" s="1">
        <v>120</v>
      </c>
      <c r="I59" s="1" t="s">
        <v>37</v>
      </c>
      <c r="J59" s="1"/>
      <c r="K59" s="1">
        <v>85.5</v>
      </c>
      <c r="L59" s="1">
        <f t="shared" si="10"/>
        <v>0.5</v>
      </c>
      <c r="M59" s="1"/>
      <c r="N59" s="1"/>
      <c r="O59" s="1">
        <v>6</v>
      </c>
      <c r="P59" s="1"/>
      <c r="Q59" s="1">
        <f t="shared" si="11"/>
        <v>17.2</v>
      </c>
      <c r="R59" s="5">
        <f>13*Q59-P59-O59-F59</f>
        <v>162.6</v>
      </c>
      <c r="S59" s="5"/>
      <c r="T59" s="1"/>
      <c r="U59" s="1">
        <f t="shared" si="12"/>
        <v>13</v>
      </c>
      <c r="V59" s="1">
        <f t="shared" si="13"/>
        <v>3.5465116279069768</v>
      </c>
      <c r="W59" s="1">
        <v>13</v>
      </c>
      <c r="X59" s="1">
        <v>15.4</v>
      </c>
      <c r="Y59" s="1">
        <v>9.8000000000000007</v>
      </c>
      <c r="Z59" s="1">
        <v>7</v>
      </c>
      <c r="AA59" s="1">
        <v>8.1999999999999993</v>
      </c>
      <c r="AB59" s="1">
        <v>7.2</v>
      </c>
      <c r="AC59" s="1">
        <v>5.4</v>
      </c>
      <c r="AD59" s="1">
        <v>7.6</v>
      </c>
      <c r="AE59" s="1"/>
      <c r="AF59" s="1">
        <f t="shared" si="14"/>
        <v>40.65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103</v>
      </c>
      <c r="B60" s="1" t="s">
        <v>40</v>
      </c>
      <c r="C60" s="1">
        <v>59.948</v>
      </c>
      <c r="D60" s="1">
        <v>1.0429999999999999</v>
      </c>
      <c r="E60" s="1">
        <v>14.725</v>
      </c>
      <c r="F60" s="1">
        <v>44.567999999999998</v>
      </c>
      <c r="G60" s="8">
        <v>1</v>
      </c>
      <c r="H60" s="1">
        <v>45</v>
      </c>
      <c r="I60" s="1" t="s">
        <v>37</v>
      </c>
      <c r="J60" s="1"/>
      <c r="K60" s="1">
        <v>23</v>
      </c>
      <c r="L60" s="1">
        <f t="shared" si="10"/>
        <v>-8.2750000000000004</v>
      </c>
      <c r="M60" s="1"/>
      <c r="N60" s="1"/>
      <c r="O60" s="1">
        <v>0</v>
      </c>
      <c r="P60" s="1"/>
      <c r="Q60" s="1">
        <f t="shared" si="11"/>
        <v>2.9449999999999998</v>
      </c>
      <c r="R60" s="5"/>
      <c r="S60" s="5"/>
      <c r="T60" s="1"/>
      <c r="U60" s="1">
        <f t="shared" si="12"/>
        <v>15.133446519524618</v>
      </c>
      <c r="V60" s="1">
        <f t="shared" si="13"/>
        <v>15.133446519524618</v>
      </c>
      <c r="W60" s="1">
        <v>4.2946</v>
      </c>
      <c r="X60" s="1">
        <v>3.7385999999999999</v>
      </c>
      <c r="Y60" s="1">
        <v>1.8577999999999999</v>
      </c>
      <c r="Z60" s="1">
        <v>11.2286</v>
      </c>
      <c r="AA60" s="1">
        <v>3.6217999999999999</v>
      </c>
      <c r="AB60" s="1">
        <v>5.2949999999999999</v>
      </c>
      <c r="AC60" s="1">
        <v>3.6503999999999999</v>
      </c>
      <c r="AD60" s="1">
        <v>4.4521999999999986</v>
      </c>
      <c r="AE60" s="1"/>
      <c r="AF60" s="1">
        <f t="shared" si="14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104</v>
      </c>
      <c r="B61" s="1" t="s">
        <v>36</v>
      </c>
      <c r="C61" s="1">
        <v>1150</v>
      </c>
      <c r="D61" s="1">
        <v>44</v>
      </c>
      <c r="E61" s="20">
        <f>835+E92</f>
        <v>836</v>
      </c>
      <c r="F61" s="20">
        <f>336+F92</f>
        <v>401</v>
      </c>
      <c r="G61" s="8">
        <v>0.41</v>
      </c>
      <c r="H61" s="1">
        <v>50</v>
      </c>
      <c r="I61" s="10" t="s">
        <v>43</v>
      </c>
      <c r="J61" s="1"/>
      <c r="K61" s="1">
        <v>846</v>
      </c>
      <c r="L61" s="1">
        <f t="shared" si="10"/>
        <v>-10</v>
      </c>
      <c r="M61" s="1"/>
      <c r="N61" s="1"/>
      <c r="O61" s="1">
        <v>420</v>
      </c>
      <c r="P61" s="1">
        <v>341</v>
      </c>
      <c r="Q61" s="1">
        <f t="shared" si="11"/>
        <v>167.2</v>
      </c>
      <c r="R61" s="5">
        <f t="shared" si="9"/>
        <v>1178.7999999999997</v>
      </c>
      <c r="S61" s="5"/>
      <c r="T61" s="1"/>
      <c r="U61" s="1">
        <f t="shared" si="12"/>
        <v>14</v>
      </c>
      <c r="V61" s="1">
        <f t="shared" si="13"/>
        <v>6.9497607655502396</v>
      </c>
      <c r="W61" s="1">
        <v>163.80000000000001</v>
      </c>
      <c r="X61" s="1">
        <v>139.80000000000001</v>
      </c>
      <c r="Y61" s="1">
        <v>272.60000000000002</v>
      </c>
      <c r="Z61" s="1">
        <v>151.6</v>
      </c>
      <c r="AA61" s="1">
        <v>337.8</v>
      </c>
      <c r="AB61" s="1">
        <v>183.90880000000001</v>
      </c>
      <c r="AC61" s="1">
        <v>155.80000000000001</v>
      </c>
      <c r="AD61" s="1">
        <v>177.6</v>
      </c>
      <c r="AE61" s="1" t="s">
        <v>50</v>
      </c>
      <c r="AF61" s="1">
        <f t="shared" si="14"/>
        <v>483.30799999999988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105</v>
      </c>
      <c r="B62" s="1" t="s">
        <v>40</v>
      </c>
      <c r="C62" s="1">
        <v>376.66199999999998</v>
      </c>
      <c r="D62" s="1">
        <v>170.071</v>
      </c>
      <c r="E62" s="20">
        <f>314.325+E93</f>
        <v>323.577</v>
      </c>
      <c r="F62" s="20">
        <f>263.308+F93</f>
        <v>317.64299999999997</v>
      </c>
      <c r="G62" s="8">
        <v>1</v>
      </c>
      <c r="H62" s="1">
        <v>50</v>
      </c>
      <c r="I62" s="1" t="s">
        <v>37</v>
      </c>
      <c r="J62" s="1"/>
      <c r="K62" s="1">
        <v>303.10000000000002</v>
      </c>
      <c r="L62" s="1">
        <f t="shared" si="10"/>
        <v>20.476999999999975</v>
      </c>
      <c r="M62" s="1"/>
      <c r="N62" s="1"/>
      <c r="O62" s="1">
        <v>41</v>
      </c>
      <c r="P62" s="1">
        <v>33</v>
      </c>
      <c r="Q62" s="1">
        <f t="shared" si="11"/>
        <v>64.715400000000002</v>
      </c>
      <c r="R62" s="5">
        <f t="shared" si="9"/>
        <v>514.37260000000015</v>
      </c>
      <c r="S62" s="5"/>
      <c r="T62" s="1"/>
      <c r="U62" s="1">
        <f t="shared" si="12"/>
        <v>14.000000000000002</v>
      </c>
      <c r="V62" s="1">
        <f t="shared" si="13"/>
        <v>6.0517743844587217</v>
      </c>
      <c r="W62" s="1">
        <v>59.761000000000003</v>
      </c>
      <c r="X62" s="1">
        <v>71.2864</v>
      </c>
      <c r="Y62" s="1">
        <v>79.345399999999998</v>
      </c>
      <c r="Z62" s="1">
        <v>80.272800000000004</v>
      </c>
      <c r="AA62" s="1">
        <v>51.307200000000002</v>
      </c>
      <c r="AB62" s="1">
        <v>75.458600000000004</v>
      </c>
      <c r="AC62" s="1">
        <v>74.871600000000001</v>
      </c>
      <c r="AD62" s="1">
        <v>71.828199999999995</v>
      </c>
      <c r="AE62" s="1"/>
      <c r="AF62" s="1">
        <f t="shared" si="14"/>
        <v>514.37260000000015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106</v>
      </c>
      <c r="B63" s="1" t="s">
        <v>36</v>
      </c>
      <c r="C63" s="1">
        <v>179</v>
      </c>
      <c r="D63" s="1">
        <v>8</v>
      </c>
      <c r="E63" s="1">
        <v>98</v>
      </c>
      <c r="F63" s="1">
        <v>60</v>
      </c>
      <c r="G63" s="8">
        <v>0.35</v>
      </c>
      <c r="H63" s="1">
        <v>50</v>
      </c>
      <c r="I63" s="1" t="s">
        <v>37</v>
      </c>
      <c r="J63" s="1"/>
      <c r="K63" s="1">
        <v>114</v>
      </c>
      <c r="L63" s="1">
        <f t="shared" si="10"/>
        <v>-16</v>
      </c>
      <c r="M63" s="1"/>
      <c r="N63" s="1"/>
      <c r="O63" s="1">
        <v>0</v>
      </c>
      <c r="P63" s="1"/>
      <c r="Q63" s="1">
        <f t="shared" si="11"/>
        <v>19.600000000000001</v>
      </c>
      <c r="R63" s="5">
        <f>12*Q63-P63-O63-F63</f>
        <v>175.20000000000002</v>
      </c>
      <c r="S63" s="5"/>
      <c r="T63" s="1"/>
      <c r="U63" s="1">
        <f t="shared" si="12"/>
        <v>12</v>
      </c>
      <c r="V63" s="1">
        <f t="shared" si="13"/>
        <v>3.0612244897959182</v>
      </c>
      <c r="W63" s="1">
        <v>10.6</v>
      </c>
      <c r="X63" s="1">
        <v>18.8</v>
      </c>
      <c r="Y63" s="1">
        <v>20.399999999999999</v>
      </c>
      <c r="Z63" s="1">
        <v>31.2</v>
      </c>
      <c r="AA63" s="1">
        <v>20.6</v>
      </c>
      <c r="AB63" s="1">
        <v>32.799999999999997</v>
      </c>
      <c r="AC63" s="1">
        <v>25</v>
      </c>
      <c r="AD63" s="1">
        <v>16.8</v>
      </c>
      <c r="AE63" s="1"/>
      <c r="AF63" s="1">
        <f t="shared" si="14"/>
        <v>61.32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107</v>
      </c>
      <c r="B64" s="1" t="s">
        <v>40</v>
      </c>
      <c r="C64" s="1">
        <v>12.212999999999999</v>
      </c>
      <c r="D64" s="1">
        <v>3.073</v>
      </c>
      <c r="E64" s="1"/>
      <c r="F64" s="1">
        <v>15.286</v>
      </c>
      <c r="G64" s="8">
        <v>1</v>
      </c>
      <c r="H64" s="1">
        <v>50</v>
      </c>
      <c r="I64" s="1" t="s">
        <v>37</v>
      </c>
      <c r="J64" s="1"/>
      <c r="K64" s="1"/>
      <c r="L64" s="1">
        <f t="shared" si="10"/>
        <v>0</v>
      </c>
      <c r="M64" s="1"/>
      <c r="N64" s="1"/>
      <c r="O64" s="1">
        <v>0</v>
      </c>
      <c r="P64" s="1"/>
      <c r="Q64" s="1">
        <f t="shared" si="11"/>
        <v>0</v>
      </c>
      <c r="R64" s="5"/>
      <c r="S64" s="5"/>
      <c r="T64" s="1"/>
      <c r="U64" s="1" t="e">
        <f t="shared" si="12"/>
        <v>#DIV/0!</v>
      </c>
      <c r="V64" s="1" t="e">
        <f t="shared" si="13"/>
        <v>#DIV/0!</v>
      </c>
      <c r="W64" s="1">
        <v>0.30940000000000001</v>
      </c>
      <c r="X64" s="1">
        <v>0</v>
      </c>
      <c r="Y64" s="1">
        <v>0.91780000000000006</v>
      </c>
      <c r="Z64" s="1">
        <v>0.92479999999999996</v>
      </c>
      <c r="AA64" s="1">
        <v>0.61780000000000002</v>
      </c>
      <c r="AB64" s="1">
        <v>1.4388000000000001</v>
      </c>
      <c r="AC64" s="1">
        <v>-3.3000000000000002E-2</v>
      </c>
      <c r="AD64" s="1">
        <v>1.8566</v>
      </c>
      <c r="AE64" s="21" t="s">
        <v>151</v>
      </c>
      <c r="AF64" s="1">
        <f t="shared" si="14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108</v>
      </c>
      <c r="B65" s="1" t="s">
        <v>36</v>
      </c>
      <c r="C65" s="1">
        <v>641</v>
      </c>
      <c r="D65" s="1">
        <v>294</v>
      </c>
      <c r="E65" s="1">
        <v>636</v>
      </c>
      <c r="F65" s="1">
        <v>276</v>
      </c>
      <c r="G65" s="8">
        <v>0.41</v>
      </c>
      <c r="H65" s="1">
        <v>50</v>
      </c>
      <c r="I65" s="1" t="s">
        <v>37</v>
      </c>
      <c r="J65" s="1"/>
      <c r="K65" s="1">
        <v>659</v>
      </c>
      <c r="L65" s="1">
        <f t="shared" si="10"/>
        <v>-23</v>
      </c>
      <c r="M65" s="1"/>
      <c r="N65" s="1"/>
      <c r="O65" s="1">
        <v>278</v>
      </c>
      <c r="P65" s="1">
        <v>225</v>
      </c>
      <c r="Q65" s="1">
        <f t="shared" si="11"/>
        <v>127.2</v>
      </c>
      <c r="R65" s="5">
        <f t="shared" si="9"/>
        <v>1001.8</v>
      </c>
      <c r="S65" s="5"/>
      <c r="T65" s="1"/>
      <c r="U65" s="1">
        <f t="shared" si="12"/>
        <v>14</v>
      </c>
      <c r="V65" s="1">
        <f t="shared" si="13"/>
        <v>6.1242138364779874</v>
      </c>
      <c r="W65" s="1">
        <v>121</v>
      </c>
      <c r="X65" s="1">
        <v>120.2</v>
      </c>
      <c r="Y65" s="1">
        <v>114.6</v>
      </c>
      <c r="Z65" s="1">
        <v>115</v>
      </c>
      <c r="AA65" s="1">
        <v>107.6</v>
      </c>
      <c r="AB65" s="1">
        <v>118.2</v>
      </c>
      <c r="AC65" s="1">
        <v>109.4</v>
      </c>
      <c r="AD65" s="1">
        <v>116.8</v>
      </c>
      <c r="AE65" s="1" t="s">
        <v>50</v>
      </c>
      <c r="AF65" s="1">
        <f t="shared" si="14"/>
        <v>410.73799999999994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109</v>
      </c>
      <c r="B66" s="1" t="s">
        <v>40</v>
      </c>
      <c r="C66" s="1">
        <v>352.72699999999998</v>
      </c>
      <c r="D66" s="1">
        <v>3.113</v>
      </c>
      <c r="E66" s="1">
        <v>186.30799999999999</v>
      </c>
      <c r="F66" s="1">
        <v>177.82900000000001</v>
      </c>
      <c r="G66" s="8">
        <v>1</v>
      </c>
      <c r="H66" s="1">
        <v>50</v>
      </c>
      <c r="I66" s="1" t="s">
        <v>37</v>
      </c>
      <c r="J66" s="1"/>
      <c r="K66" s="1">
        <v>180.8</v>
      </c>
      <c r="L66" s="1">
        <f t="shared" si="10"/>
        <v>5.5079999999999814</v>
      </c>
      <c r="M66" s="1"/>
      <c r="N66" s="1"/>
      <c r="O66" s="1">
        <v>0</v>
      </c>
      <c r="P66" s="1"/>
      <c r="Q66" s="1">
        <f t="shared" si="11"/>
        <v>37.261600000000001</v>
      </c>
      <c r="R66" s="5">
        <f t="shared" si="9"/>
        <v>343.83340000000004</v>
      </c>
      <c r="S66" s="5"/>
      <c r="T66" s="1"/>
      <c r="U66" s="1">
        <f t="shared" si="12"/>
        <v>14</v>
      </c>
      <c r="V66" s="1">
        <f t="shared" si="13"/>
        <v>4.7724467011615177</v>
      </c>
      <c r="W66" s="1">
        <v>28.802199999999999</v>
      </c>
      <c r="X66" s="1">
        <v>32.966999999999999</v>
      </c>
      <c r="Y66" s="1">
        <v>44.670200000000001</v>
      </c>
      <c r="Z66" s="1">
        <v>41.270200000000003</v>
      </c>
      <c r="AA66" s="1">
        <v>25.744800000000001</v>
      </c>
      <c r="AB66" s="1">
        <v>41.082799999999999</v>
      </c>
      <c r="AC66" s="1">
        <v>41.4758</v>
      </c>
      <c r="AD66" s="1">
        <v>34.020000000000003</v>
      </c>
      <c r="AE66" s="1"/>
      <c r="AF66" s="1">
        <f t="shared" si="14"/>
        <v>343.83340000000004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110</v>
      </c>
      <c r="B67" s="1" t="s">
        <v>36</v>
      </c>
      <c r="C67" s="1">
        <v>68</v>
      </c>
      <c r="D67" s="1">
        <v>92</v>
      </c>
      <c r="E67" s="1">
        <v>121</v>
      </c>
      <c r="F67" s="1">
        <v>32</v>
      </c>
      <c r="G67" s="8">
        <v>0.3</v>
      </c>
      <c r="H67" s="1">
        <v>50</v>
      </c>
      <c r="I67" s="1" t="s">
        <v>37</v>
      </c>
      <c r="J67" s="1"/>
      <c r="K67" s="1">
        <v>128</v>
      </c>
      <c r="L67" s="1">
        <f t="shared" si="10"/>
        <v>-7</v>
      </c>
      <c r="M67" s="1"/>
      <c r="N67" s="1"/>
      <c r="O67" s="1">
        <v>166</v>
      </c>
      <c r="P67" s="1">
        <v>135</v>
      </c>
      <c r="Q67" s="1">
        <f t="shared" si="11"/>
        <v>24.2</v>
      </c>
      <c r="R67" s="5">
        <f t="shared" si="9"/>
        <v>5.8000000000000114</v>
      </c>
      <c r="S67" s="5"/>
      <c r="T67" s="1"/>
      <c r="U67" s="1">
        <f t="shared" si="12"/>
        <v>14</v>
      </c>
      <c r="V67" s="1">
        <f t="shared" si="13"/>
        <v>13.760330578512397</v>
      </c>
      <c r="W67" s="1">
        <v>41.8</v>
      </c>
      <c r="X67" s="1">
        <v>33.200000000000003</v>
      </c>
      <c r="Y67" s="1">
        <v>29.2</v>
      </c>
      <c r="Z67" s="1">
        <v>21</v>
      </c>
      <c r="AA67" s="1">
        <v>14</v>
      </c>
      <c r="AB67" s="1">
        <v>31</v>
      </c>
      <c r="AC67" s="1">
        <v>14.6</v>
      </c>
      <c r="AD67" s="1">
        <v>15.6</v>
      </c>
      <c r="AE67" s="1"/>
      <c r="AF67" s="1">
        <f t="shared" si="14"/>
        <v>1.7400000000000033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111</v>
      </c>
      <c r="B68" s="1" t="s">
        <v>36</v>
      </c>
      <c r="C68" s="1">
        <v>29</v>
      </c>
      <c r="D68" s="1">
        <v>161</v>
      </c>
      <c r="E68" s="1">
        <v>192</v>
      </c>
      <c r="F68" s="1">
        <v>-2</v>
      </c>
      <c r="G68" s="8">
        <v>0.18</v>
      </c>
      <c r="H68" s="1">
        <v>50</v>
      </c>
      <c r="I68" s="1" t="s">
        <v>37</v>
      </c>
      <c r="J68" s="1"/>
      <c r="K68" s="1">
        <v>340</v>
      </c>
      <c r="L68" s="1">
        <f t="shared" si="10"/>
        <v>-148</v>
      </c>
      <c r="M68" s="1"/>
      <c r="N68" s="1"/>
      <c r="O68" s="1">
        <v>261</v>
      </c>
      <c r="P68" s="1">
        <v>212</v>
      </c>
      <c r="Q68" s="1">
        <f t="shared" si="11"/>
        <v>38.4</v>
      </c>
      <c r="R68" s="5">
        <f t="shared" si="9"/>
        <v>66.600000000000023</v>
      </c>
      <c r="S68" s="5"/>
      <c r="T68" s="1"/>
      <c r="U68" s="1">
        <f t="shared" si="12"/>
        <v>14.000000000000002</v>
      </c>
      <c r="V68" s="1">
        <f t="shared" si="13"/>
        <v>12.265625</v>
      </c>
      <c r="W68" s="1">
        <v>64.599999999999994</v>
      </c>
      <c r="X68" s="1">
        <v>54.6</v>
      </c>
      <c r="Y68" s="1">
        <v>45.6</v>
      </c>
      <c r="Z68" s="1">
        <v>35.6</v>
      </c>
      <c r="AA68" s="1">
        <v>37</v>
      </c>
      <c r="AB68" s="1">
        <v>34.799999999999997</v>
      </c>
      <c r="AC68" s="1">
        <v>37.200000000000003</v>
      </c>
      <c r="AD68" s="1">
        <v>33</v>
      </c>
      <c r="AE68" s="1" t="s">
        <v>50</v>
      </c>
      <c r="AF68" s="1">
        <f t="shared" si="14"/>
        <v>11.988000000000003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112</v>
      </c>
      <c r="B69" s="1" t="s">
        <v>40</v>
      </c>
      <c r="C69" s="1"/>
      <c r="D69" s="1">
        <v>10.135</v>
      </c>
      <c r="E69" s="1"/>
      <c r="F69" s="1">
        <v>10.135</v>
      </c>
      <c r="G69" s="8">
        <v>1</v>
      </c>
      <c r="H69" s="1">
        <v>45</v>
      </c>
      <c r="I69" s="1" t="s">
        <v>37</v>
      </c>
      <c r="J69" s="1"/>
      <c r="K69" s="1"/>
      <c r="L69" s="1">
        <f t="shared" si="10"/>
        <v>0</v>
      </c>
      <c r="M69" s="1"/>
      <c r="N69" s="1"/>
      <c r="O69" s="1">
        <v>4</v>
      </c>
      <c r="P69" s="1"/>
      <c r="Q69" s="1">
        <f t="shared" si="11"/>
        <v>0</v>
      </c>
      <c r="R69" s="5"/>
      <c r="S69" s="5"/>
      <c r="T69" s="1"/>
      <c r="U69" s="1" t="e">
        <f t="shared" si="12"/>
        <v>#DIV/0!</v>
      </c>
      <c r="V69" s="1" t="e">
        <f t="shared" si="13"/>
        <v>#DIV/0!</v>
      </c>
      <c r="W69" s="1">
        <v>1.0087999999999999</v>
      </c>
      <c r="X69" s="1">
        <v>0</v>
      </c>
      <c r="Y69" s="1">
        <v>1.8734</v>
      </c>
      <c r="Z69" s="1">
        <v>3.4047999999999998</v>
      </c>
      <c r="AA69" s="1">
        <v>1.1941999999999999</v>
      </c>
      <c r="AB69" s="1">
        <v>1.552</v>
      </c>
      <c r="AC69" s="1">
        <v>2.5649999999999999</v>
      </c>
      <c r="AD69" s="1">
        <v>0</v>
      </c>
      <c r="AE69" s="1"/>
      <c r="AF69" s="1">
        <f t="shared" si="14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113</v>
      </c>
      <c r="B70" s="1" t="s">
        <v>36</v>
      </c>
      <c r="C70" s="1">
        <v>50</v>
      </c>
      <c r="D70" s="1"/>
      <c r="E70" s="1">
        <v>21</v>
      </c>
      <c r="F70" s="1">
        <v>26</v>
      </c>
      <c r="G70" s="8">
        <v>0.22</v>
      </c>
      <c r="H70" s="1">
        <v>120</v>
      </c>
      <c r="I70" s="1" t="s">
        <v>37</v>
      </c>
      <c r="J70" s="1"/>
      <c r="K70" s="1">
        <v>24</v>
      </c>
      <c r="L70" s="1">
        <f t="shared" ref="L70:L101" si="15">E70-K70</f>
        <v>-3</v>
      </c>
      <c r="M70" s="1"/>
      <c r="N70" s="1"/>
      <c r="O70" s="1">
        <v>49</v>
      </c>
      <c r="P70" s="1"/>
      <c r="Q70" s="1">
        <f t="shared" ref="Q70:Q95" si="16">E70/5</f>
        <v>4.2</v>
      </c>
      <c r="R70" s="5"/>
      <c r="S70" s="5"/>
      <c r="T70" s="1"/>
      <c r="U70" s="1">
        <f t="shared" ref="U70:U95" si="17">(F70+O70+P70+R70)/Q70</f>
        <v>17.857142857142858</v>
      </c>
      <c r="V70" s="1">
        <f t="shared" ref="V70:V95" si="18">(F70+O70+P70)/Q70</f>
        <v>17.857142857142858</v>
      </c>
      <c r="W70" s="1">
        <v>7.8</v>
      </c>
      <c r="X70" s="1">
        <v>-0.2</v>
      </c>
      <c r="Y70" s="1">
        <v>0</v>
      </c>
      <c r="Z70" s="1">
        <v>-0.2</v>
      </c>
      <c r="AA70" s="1">
        <v>-0.2</v>
      </c>
      <c r="AB70" s="1">
        <v>1.2</v>
      </c>
      <c r="AC70" s="1">
        <v>2</v>
      </c>
      <c r="AD70" s="1">
        <v>1</v>
      </c>
      <c r="AE70" s="1"/>
      <c r="AF70" s="1">
        <f t="shared" si="14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5" t="s">
        <v>114</v>
      </c>
      <c r="B71" s="15" t="s">
        <v>36</v>
      </c>
      <c r="C71" s="15"/>
      <c r="D71" s="15"/>
      <c r="E71" s="15"/>
      <c r="F71" s="15"/>
      <c r="G71" s="16">
        <v>0</v>
      </c>
      <c r="H71" s="15">
        <v>50</v>
      </c>
      <c r="I71" s="15" t="s">
        <v>37</v>
      </c>
      <c r="J71" s="15"/>
      <c r="K71" s="15"/>
      <c r="L71" s="15">
        <f t="shared" si="15"/>
        <v>0</v>
      </c>
      <c r="M71" s="15"/>
      <c r="N71" s="15"/>
      <c r="O71" s="15">
        <v>0</v>
      </c>
      <c r="P71" s="15"/>
      <c r="Q71" s="15">
        <f t="shared" si="16"/>
        <v>0</v>
      </c>
      <c r="R71" s="17"/>
      <c r="S71" s="17"/>
      <c r="T71" s="15"/>
      <c r="U71" s="15" t="e">
        <f t="shared" si="17"/>
        <v>#DIV/0!</v>
      </c>
      <c r="V71" s="15" t="e">
        <f t="shared" si="18"/>
        <v>#DIV/0!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 t="s">
        <v>115</v>
      </c>
      <c r="AF71" s="15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116</v>
      </c>
      <c r="B72" s="1" t="s">
        <v>36</v>
      </c>
      <c r="C72" s="1">
        <v>449</v>
      </c>
      <c r="D72" s="1">
        <v>281</v>
      </c>
      <c r="E72" s="1">
        <v>458</v>
      </c>
      <c r="F72" s="1">
        <v>284</v>
      </c>
      <c r="G72" s="8">
        <v>0.35</v>
      </c>
      <c r="H72" s="1">
        <v>50</v>
      </c>
      <c r="I72" s="10" t="s">
        <v>43</v>
      </c>
      <c r="J72" s="1"/>
      <c r="K72" s="1">
        <v>468</v>
      </c>
      <c r="L72" s="1">
        <f t="shared" si="15"/>
        <v>-10</v>
      </c>
      <c r="M72" s="1"/>
      <c r="N72" s="1"/>
      <c r="O72" s="1">
        <v>256</v>
      </c>
      <c r="P72" s="1">
        <v>207</v>
      </c>
      <c r="Q72" s="1">
        <f t="shared" si="16"/>
        <v>91.6</v>
      </c>
      <c r="R72" s="5">
        <f t="shared" ref="R72:R73" si="19">14*Q72-P72-O72-F72</f>
        <v>535.39999999999986</v>
      </c>
      <c r="S72" s="5"/>
      <c r="T72" s="1"/>
      <c r="U72" s="1">
        <f t="shared" si="17"/>
        <v>14</v>
      </c>
      <c r="V72" s="1">
        <f t="shared" si="18"/>
        <v>8.1550218340611362</v>
      </c>
      <c r="W72" s="1">
        <v>109.2</v>
      </c>
      <c r="X72" s="1">
        <v>102.6</v>
      </c>
      <c r="Y72" s="1">
        <v>89.2</v>
      </c>
      <c r="Z72" s="1">
        <v>82.8</v>
      </c>
      <c r="AA72" s="1">
        <v>82</v>
      </c>
      <c r="AB72" s="1">
        <v>73.599999999999994</v>
      </c>
      <c r="AC72" s="1">
        <v>70.599999999999994</v>
      </c>
      <c r="AD72" s="1">
        <v>66.400000000000006</v>
      </c>
      <c r="AE72" s="1" t="s">
        <v>38</v>
      </c>
      <c r="AF72" s="1">
        <f>G72*R72</f>
        <v>187.38999999999993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117</v>
      </c>
      <c r="B73" s="1" t="s">
        <v>40</v>
      </c>
      <c r="C73" s="1">
        <v>5.6189999999999998</v>
      </c>
      <c r="D73" s="1">
        <v>68.328000000000003</v>
      </c>
      <c r="E73" s="1">
        <v>21.664000000000001</v>
      </c>
      <c r="F73" s="1">
        <v>39.06</v>
      </c>
      <c r="G73" s="8">
        <v>1</v>
      </c>
      <c r="H73" s="1">
        <v>50</v>
      </c>
      <c r="I73" s="1" t="s">
        <v>37</v>
      </c>
      <c r="J73" s="1"/>
      <c r="K73" s="1">
        <v>28.9</v>
      </c>
      <c r="L73" s="1">
        <f t="shared" si="15"/>
        <v>-7.2359999999999971</v>
      </c>
      <c r="M73" s="1"/>
      <c r="N73" s="1"/>
      <c r="O73" s="1">
        <v>76</v>
      </c>
      <c r="P73" s="1">
        <v>62</v>
      </c>
      <c r="Q73" s="1">
        <f t="shared" si="16"/>
        <v>4.3328000000000007</v>
      </c>
      <c r="R73" s="5"/>
      <c r="S73" s="5"/>
      <c r="T73" s="1"/>
      <c r="U73" s="1">
        <f t="shared" si="17"/>
        <v>40.865029542097481</v>
      </c>
      <c r="V73" s="1">
        <f t="shared" si="18"/>
        <v>40.865029542097481</v>
      </c>
      <c r="W73" s="1">
        <v>18.407599999999999</v>
      </c>
      <c r="X73" s="1">
        <v>3.2629999999999999</v>
      </c>
      <c r="Y73" s="1">
        <v>5.4391999999999996</v>
      </c>
      <c r="Z73" s="1">
        <v>8.0047999999999995</v>
      </c>
      <c r="AA73" s="1">
        <v>3.9350000000000001</v>
      </c>
      <c r="AB73" s="1">
        <v>1.6963999999999999</v>
      </c>
      <c r="AC73" s="1">
        <v>2.6665999999999999</v>
      </c>
      <c r="AD73" s="1">
        <v>5.9481999999999999</v>
      </c>
      <c r="AE73" s="1"/>
      <c r="AF73" s="1">
        <f>G73*R73</f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1" t="s">
        <v>118</v>
      </c>
      <c r="B74" s="11" t="s">
        <v>36</v>
      </c>
      <c r="C74" s="11">
        <v>14</v>
      </c>
      <c r="D74" s="11"/>
      <c r="E74" s="11"/>
      <c r="F74" s="11">
        <v>14</v>
      </c>
      <c r="G74" s="12">
        <v>0</v>
      </c>
      <c r="H74" s="11" t="e">
        <v>#N/A</v>
      </c>
      <c r="I74" s="11" t="s">
        <v>119</v>
      </c>
      <c r="J74" s="11"/>
      <c r="K74" s="11">
        <v>6</v>
      </c>
      <c r="L74" s="11">
        <f t="shared" si="15"/>
        <v>-6</v>
      </c>
      <c r="M74" s="11"/>
      <c r="N74" s="11"/>
      <c r="O74" s="11">
        <v>0</v>
      </c>
      <c r="P74" s="11"/>
      <c r="Q74" s="11">
        <f t="shared" si="16"/>
        <v>0</v>
      </c>
      <c r="R74" s="13"/>
      <c r="S74" s="13"/>
      <c r="T74" s="11"/>
      <c r="U74" s="11" t="e">
        <f t="shared" si="17"/>
        <v>#DIV/0!</v>
      </c>
      <c r="V74" s="11" t="e">
        <f t="shared" si="18"/>
        <v>#DIV/0!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 t="s">
        <v>120</v>
      </c>
      <c r="AF74" s="1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121</v>
      </c>
      <c r="B75" s="1" t="s">
        <v>40</v>
      </c>
      <c r="C75" s="1">
        <v>171.80799999999999</v>
      </c>
      <c r="D75" s="1">
        <v>191.017</v>
      </c>
      <c r="E75" s="1">
        <v>259.19799999999998</v>
      </c>
      <c r="F75" s="1">
        <v>40.128</v>
      </c>
      <c r="G75" s="8">
        <v>1</v>
      </c>
      <c r="H75" s="1">
        <v>50</v>
      </c>
      <c r="I75" s="1" t="s">
        <v>37</v>
      </c>
      <c r="J75" s="1"/>
      <c r="K75" s="1">
        <v>256.8</v>
      </c>
      <c r="L75" s="1">
        <f t="shared" si="15"/>
        <v>2.3979999999999677</v>
      </c>
      <c r="M75" s="1"/>
      <c r="N75" s="1"/>
      <c r="O75" s="1">
        <v>314</v>
      </c>
      <c r="P75" s="1">
        <v>254</v>
      </c>
      <c r="Q75" s="1">
        <f t="shared" si="16"/>
        <v>51.839599999999997</v>
      </c>
      <c r="R75" s="5">
        <f t="shared" ref="R75:R90" si="20">14*Q75-P75-O75-F75</f>
        <v>117.62639999999992</v>
      </c>
      <c r="S75" s="5"/>
      <c r="T75" s="1"/>
      <c r="U75" s="1">
        <f t="shared" si="17"/>
        <v>13.999999999999996</v>
      </c>
      <c r="V75" s="1">
        <f t="shared" si="18"/>
        <v>11.730954714156745</v>
      </c>
      <c r="W75" s="1">
        <v>78.079399999999993</v>
      </c>
      <c r="X75" s="1">
        <v>69.140599999999992</v>
      </c>
      <c r="Y75" s="1">
        <v>72.596000000000004</v>
      </c>
      <c r="Z75" s="1">
        <v>65.563599999999994</v>
      </c>
      <c r="AA75" s="1">
        <v>51.511800000000008</v>
      </c>
      <c r="AB75" s="1">
        <v>78.689599999999999</v>
      </c>
      <c r="AC75" s="1">
        <v>61.767200000000003</v>
      </c>
      <c r="AD75" s="1">
        <v>67.259</v>
      </c>
      <c r="AE75" s="1"/>
      <c r="AF75" s="1">
        <f t="shared" ref="AF75:AF91" si="21">G75*R75</f>
        <v>117.62639999999992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122</v>
      </c>
      <c r="B76" s="1" t="s">
        <v>36</v>
      </c>
      <c r="C76" s="1">
        <v>823</v>
      </c>
      <c r="D76" s="1">
        <v>697</v>
      </c>
      <c r="E76" s="1">
        <v>947</v>
      </c>
      <c r="F76" s="1">
        <v>566</v>
      </c>
      <c r="G76" s="8">
        <v>0.35</v>
      </c>
      <c r="H76" s="1">
        <v>50</v>
      </c>
      <c r="I76" s="10" t="s">
        <v>43</v>
      </c>
      <c r="J76" s="1"/>
      <c r="K76" s="1">
        <v>957</v>
      </c>
      <c r="L76" s="1">
        <f t="shared" si="15"/>
        <v>-10</v>
      </c>
      <c r="M76" s="1"/>
      <c r="N76" s="1"/>
      <c r="O76" s="1">
        <v>93</v>
      </c>
      <c r="P76" s="1">
        <v>75</v>
      </c>
      <c r="Q76" s="1">
        <f t="shared" si="16"/>
        <v>189.4</v>
      </c>
      <c r="R76" s="5">
        <f>12*Q76-P76-O76-F76</f>
        <v>1538.8000000000002</v>
      </c>
      <c r="S76" s="5"/>
      <c r="T76" s="1"/>
      <c r="U76" s="1">
        <f t="shared" si="17"/>
        <v>12</v>
      </c>
      <c r="V76" s="1">
        <f t="shared" si="18"/>
        <v>3.8753959873284054</v>
      </c>
      <c r="W76" s="1">
        <v>141.80000000000001</v>
      </c>
      <c r="X76" s="1">
        <v>180.8</v>
      </c>
      <c r="Y76" s="1">
        <v>137.4</v>
      </c>
      <c r="Z76" s="1">
        <v>141.6</v>
      </c>
      <c r="AA76" s="1">
        <v>249.4</v>
      </c>
      <c r="AB76" s="1">
        <v>137.4</v>
      </c>
      <c r="AC76" s="1">
        <v>136.80000000000001</v>
      </c>
      <c r="AD76" s="1">
        <v>158</v>
      </c>
      <c r="AE76" s="1"/>
      <c r="AF76" s="1">
        <f t="shared" si="21"/>
        <v>538.58000000000004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123</v>
      </c>
      <c r="B77" s="1" t="s">
        <v>36</v>
      </c>
      <c r="C77" s="1"/>
      <c r="D77" s="1">
        <v>18</v>
      </c>
      <c r="E77" s="1">
        <v>7</v>
      </c>
      <c r="F77" s="1">
        <v>10</v>
      </c>
      <c r="G77" s="8">
        <v>0.3</v>
      </c>
      <c r="H77" s="1">
        <v>50</v>
      </c>
      <c r="I77" s="1" t="s">
        <v>37</v>
      </c>
      <c r="J77" s="1"/>
      <c r="K77" s="1">
        <v>8</v>
      </c>
      <c r="L77" s="1">
        <f t="shared" si="15"/>
        <v>-1</v>
      </c>
      <c r="M77" s="1"/>
      <c r="N77" s="1"/>
      <c r="O77" s="1">
        <v>33</v>
      </c>
      <c r="P77" s="1"/>
      <c r="Q77" s="1">
        <f t="shared" si="16"/>
        <v>1.4</v>
      </c>
      <c r="R77" s="5"/>
      <c r="S77" s="5"/>
      <c r="T77" s="1"/>
      <c r="U77" s="1">
        <f t="shared" si="17"/>
        <v>30.714285714285715</v>
      </c>
      <c r="V77" s="1">
        <f t="shared" si="18"/>
        <v>30.714285714285715</v>
      </c>
      <c r="W77" s="1">
        <v>4.4000000000000004</v>
      </c>
      <c r="X77" s="1">
        <v>1.4</v>
      </c>
      <c r="Y77" s="1">
        <v>2.2000000000000002</v>
      </c>
      <c r="Z77" s="1">
        <v>2.2000000000000002</v>
      </c>
      <c r="AA77" s="1">
        <v>1.8</v>
      </c>
      <c r="AB77" s="1">
        <v>1.8</v>
      </c>
      <c r="AC77" s="1">
        <v>0.6</v>
      </c>
      <c r="AD77" s="1">
        <v>2</v>
      </c>
      <c r="AE77" s="1"/>
      <c r="AF77" s="1">
        <f t="shared" si="21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124</v>
      </c>
      <c r="B78" s="1" t="s">
        <v>36</v>
      </c>
      <c r="C78" s="1">
        <v>30</v>
      </c>
      <c r="D78" s="1">
        <v>24</v>
      </c>
      <c r="E78" s="1">
        <v>49</v>
      </c>
      <c r="F78" s="1">
        <v>5</v>
      </c>
      <c r="G78" s="8">
        <v>0.3</v>
      </c>
      <c r="H78" s="1">
        <v>60</v>
      </c>
      <c r="I78" s="1" t="s">
        <v>37</v>
      </c>
      <c r="J78" s="1"/>
      <c r="K78" s="1">
        <v>58</v>
      </c>
      <c r="L78" s="1">
        <f t="shared" si="15"/>
        <v>-9</v>
      </c>
      <c r="M78" s="1"/>
      <c r="N78" s="1"/>
      <c r="O78" s="1">
        <v>14</v>
      </c>
      <c r="P78" s="1"/>
      <c r="Q78" s="1">
        <f t="shared" si="16"/>
        <v>9.8000000000000007</v>
      </c>
      <c r="R78" s="5">
        <f>11*Q78-P78-O78-F78</f>
        <v>88.800000000000011</v>
      </c>
      <c r="S78" s="5"/>
      <c r="T78" s="1"/>
      <c r="U78" s="1">
        <f t="shared" si="17"/>
        <v>11</v>
      </c>
      <c r="V78" s="1">
        <f t="shared" si="18"/>
        <v>1.9387755102040816</v>
      </c>
      <c r="W78" s="1">
        <v>5.6</v>
      </c>
      <c r="X78" s="1">
        <v>7.2</v>
      </c>
      <c r="Y78" s="1">
        <v>4.8</v>
      </c>
      <c r="Z78" s="1">
        <v>6.4</v>
      </c>
      <c r="AA78" s="1">
        <v>7.6</v>
      </c>
      <c r="AB78" s="1">
        <v>5.4</v>
      </c>
      <c r="AC78" s="1">
        <v>3.4</v>
      </c>
      <c r="AD78" s="1">
        <v>7.6</v>
      </c>
      <c r="AE78" s="1"/>
      <c r="AF78" s="1">
        <f t="shared" si="21"/>
        <v>26.640000000000004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125</v>
      </c>
      <c r="B79" s="1" t="s">
        <v>36</v>
      </c>
      <c r="C79" s="1"/>
      <c r="D79" s="1">
        <v>40</v>
      </c>
      <c r="E79" s="1">
        <v>34</v>
      </c>
      <c r="F79" s="1">
        <v>1</v>
      </c>
      <c r="G79" s="8">
        <v>0.28000000000000003</v>
      </c>
      <c r="H79" s="1">
        <v>50</v>
      </c>
      <c r="I79" s="1" t="s">
        <v>37</v>
      </c>
      <c r="J79" s="1"/>
      <c r="K79" s="1">
        <v>52</v>
      </c>
      <c r="L79" s="1">
        <f t="shared" si="15"/>
        <v>-18</v>
      </c>
      <c r="M79" s="1"/>
      <c r="N79" s="1"/>
      <c r="O79" s="1">
        <v>177</v>
      </c>
      <c r="P79" s="1">
        <v>143</v>
      </c>
      <c r="Q79" s="1">
        <f t="shared" si="16"/>
        <v>6.8</v>
      </c>
      <c r="R79" s="5"/>
      <c r="S79" s="5"/>
      <c r="T79" s="1"/>
      <c r="U79" s="1">
        <f t="shared" si="17"/>
        <v>47.205882352941181</v>
      </c>
      <c r="V79" s="1">
        <f t="shared" si="18"/>
        <v>47.205882352941181</v>
      </c>
      <c r="W79" s="1">
        <v>43.4</v>
      </c>
      <c r="X79" s="1">
        <v>17.600000000000001</v>
      </c>
      <c r="Y79" s="1">
        <v>22.2</v>
      </c>
      <c r="Z79" s="1">
        <v>24.8</v>
      </c>
      <c r="AA79" s="1">
        <v>20.399999999999999</v>
      </c>
      <c r="AB79" s="1">
        <v>22.2</v>
      </c>
      <c r="AC79" s="1">
        <v>18.8</v>
      </c>
      <c r="AD79" s="1">
        <v>15.2</v>
      </c>
      <c r="AE79" s="1" t="s">
        <v>50</v>
      </c>
      <c r="AF79" s="1">
        <f t="shared" si="21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126</v>
      </c>
      <c r="B80" s="1" t="s">
        <v>36</v>
      </c>
      <c r="C80" s="1">
        <v>297</v>
      </c>
      <c r="D80" s="1">
        <v>6</v>
      </c>
      <c r="E80" s="1">
        <v>251</v>
      </c>
      <c r="F80" s="1">
        <v>29</v>
      </c>
      <c r="G80" s="8">
        <v>0.28000000000000003</v>
      </c>
      <c r="H80" s="1">
        <v>45</v>
      </c>
      <c r="I80" s="1" t="s">
        <v>37</v>
      </c>
      <c r="J80" s="1"/>
      <c r="K80" s="1">
        <v>295</v>
      </c>
      <c r="L80" s="1">
        <f t="shared" si="15"/>
        <v>-44</v>
      </c>
      <c r="M80" s="1"/>
      <c r="N80" s="1"/>
      <c r="O80" s="1">
        <v>281</v>
      </c>
      <c r="P80" s="1">
        <v>229</v>
      </c>
      <c r="Q80" s="1">
        <f t="shared" si="16"/>
        <v>50.2</v>
      </c>
      <c r="R80" s="5">
        <f t="shared" si="20"/>
        <v>163.80000000000007</v>
      </c>
      <c r="S80" s="5"/>
      <c r="T80" s="1"/>
      <c r="U80" s="1">
        <f t="shared" si="17"/>
        <v>14</v>
      </c>
      <c r="V80" s="1">
        <f t="shared" si="18"/>
        <v>10.737051792828685</v>
      </c>
      <c r="W80" s="1">
        <v>68.400000000000006</v>
      </c>
      <c r="X80" s="1">
        <v>41.8</v>
      </c>
      <c r="Y80" s="1">
        <v>61.4</v>
      </c>
      <c r="Z80" s="1">
        <v>63.4</v>
      </c>
      <c r="AA80" s="1">
        <v>45.2</v>
      </c>
      <c r="AB80" s="1">
        <v>47.2</v>
      </c>
      <c r="AC80" s="1">
        <v>49</v>
      </c>
      <c r="AD80" s="1">
        <v>46.8</v>
      </c>
      <c r="AE80" s="1" t="s">
        <v>50</v>
      </c>
      <c r="AF80" s="1">
        <f t="shared" si="21"/>
        <v>45.864000000000026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127</v>
      </c>
      <c r="B81" s="1" t="s">
        <v>36</v>
      </c>
      <c r="C81" s="1">
        <v>87</v>
      </c>
      <c r="D81" s="1">
        <v>49</v>
      </c>
      <c r="E81" s="1">
        <v>124</v>
      </c>
      <c r="F81" s="1">
        <v>11</v>
      </c>
      <c r="G81" s="8">
        <v>0.28000000000000003</v>
      </c>
      <c r="H81" s="1">
        <v>45</v>
      </c>
      <c r="I81" s="1" t="s">
        <v>37</v>
      </c>
      <c r="J81" s="1"/>
      <c r="K81" s="1">
        <v>131</v>
      </c>
      <c r="L81" s="1">
        <f t="shared" si="15"/>
        <v>-7</v>
      </c>
      <c r="M81" s="1"/>
      <c r="N81" s="1"/>
      <c r="O81" s="1">
        <v>193</v>
      </c>
      <c r="P81" s="1">
        <v>157</v>
      </c>
      <c r="Q81" s="1">
        <f t="shared" si="16"/>
        <v>24.8</v>
      </c>
      <c r="R81" s="5"/>
      <c r="S81" s="5"/>
      <c r="T81" s="1"/>
      <c r="U81" s="1">
        <f t="shared" si="17"/>
        <v>14.556451612903226</v>
      </c>
      <c r="V81" s="1">
        <f t="shared" si="18"/>
        <v>14.556451612903226</v>
      </c>
      <c r="W81" s="1">
        <v>54.6</v>
      </c>
      <c r="X81" s="1">
        <v>26</v>
      </c>
      <c r="Y81" s="1">
        <v>35.6</v>
      </c>
      <c r="Z81" s="1">
        <v>27.6</v>
      </c>
      <c r="AA81" s="1">
        <v>30.4</v>
      </c>
      <c r="AB81" s="1">
        <v>23</v>
      </c>
      <c r="AC81" s="1">
        <v>25.2</v>
      </c>
      <c r="AD81" s="1">
        <v>21.4</v>
      </c>
      <c r="AE81" s="1"/>
      <c r="AF81" s="1">
        <f t="shared" si="21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128</v>
      </c>
      <c r="B82" s="1" t="s">
        <v>36</v>
      </c>
      <c r="C82" s="1">
        <v>85</v>
      </c>
      <c r="D82" s="1">
        <v>74</v>
      </c>
      <c r="E82" s="1">
        <v>122</v>
      </c>
      <c r="F82" s="1">
        <v>31</v>
      </c>
      <c r="G82" s="8">
        <v>0.28000000000000003</v>
      </c>
      <c r="H82" s="1">
        <v>45</v>
      </c>
      <c r="I82" s="1" t="s">
        <v>37</v>
      </c>
      <c r="J82" s="1"/>
      <c r="K82" s="1">
        <v>130</v>
      </c>
      <c r="L82" s="1">
        <f t="shared" si="15"/>
        <v>-8</v>
      </c>
      <c r="M82" s="1"/>
      <c r="N82" s="1"/>
      <c r="O82" s="1">
        <v>109</v>
      </c>
      <c r="P82" s="1">
        <v>89</v>
      </c>
      <c r="Q82" s="1">
        <f t="shared" si="16"/>
        <v>24.4</v>
      </c>
      <c r="R82" s="5">
        <f t="shared" si="20"/>
        <v>112.59999999999997</v>
      </c>
      <c r="S82" s="5"/>
      <c r="T82" s="1"/>
      <c r="U82" s="1">
        <f t="shared" si="17"/>
        <v>14</v>
      </c>
      <c r="V82" s="1">
        <f t="shared" si="18"/>
        <v>9.3852459016393457</v>
      </c>
      <c r="W82" s="1">
        <v>34.200000000000003</v>
      </c>
      <c r="X82" s="1">
        <v>27.4</v>
      </c>
      <c r="Y82" s="1">
        <v>28.2</v>
      </c>
      <c r="Z82" s="1">
        <v>25.6</v>
      </c>
      <c r="AA82" s="1">
        <v>20.399999999999999</v>
      </c>
      <c r="AB82" s="1">
        <v>20.8</v>
      </c>
      <c r="AC82" s="1">
        <v>20.399999999999999</v>
      </c>
      <c r="AD82" s="1">
        <v>15.8</v>
      </c>
      <c r="AE82" s="1" t="s">
        <v>50</v>
      </c>
      <c r="AF82" s="1">
        <f t="shared" si="21"/>
        <v>31.527999999999995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129</v>
      </c>
      <c r="B83" s="1" t="s">
        <v>36</v>
      </c>
      <c r="C83" s="1">
        <v>177</v>
      </c>
      <c r="D83" s="1">
        <v>362</v>
      </c>
      <c r="E83" s="1">
        <v>388</v>
      </c>
      <c r="F83" s="1">
        <v>135</v>
      </c>
      <c r="G83" s="8">
        <v>0.4</v>
      </c>
      <c r="H83" s="1">
        <v>50</v>
      </c>
      <c r="I83" s="1" t="s">
        <v>37</v>
      </c>
      <c r="J83" s="1"/>
      <c r="K83" s="1">
        <v>497</v>
      </c>
      <c r="L83" s="1">
        <f t="shared" si="15"/>
        <v>-109</v>
      </c>
      <c r="M83" s="1"/>
      <c r="N83" s="1"/>
      <c r="O83" s="1">
        <v>109</v>
      </c>
      <c r="P83" s="1">
        <v>89</v>
      </c>
      <c r="Q83" s="1">
        <f t="shared" si="16"/>
        <v>77.599999999999994</v>
      </c>
      <c r="R83" s="5">
        <f>13*Q83-P83-O83-F83</f>
        <v>675.8</v>
      </c>
      <c r="S83" s="5"/>
      <c r="T83" s="1"/>
      <c r="U83" s="1">
        <f t="shared" si="17"/>
        <v>13</v>
      </c>
      <c r="V83" s="1">
        <f t="shared" si="18"/>
        <v>4.2912371134020626</v>
      </c>
      <c r="W83" s="1">
        <v>82.4</v>
      </c>
      <c r="X83" s="1">
        <v>94.6</v>
      </c>
      <c r="Y83" s="1">
        <v>73.2</v>
      </c>
      <c r="Z83" s="1">
        <v>70.400000000000006</v>
      </c>
      <c r="AA83" s="1">
        <v>74.2</v>
      </c>
      <c r="AB83" s="1">
        <v>80.2</v>
      </c>
      <c r="AC83" s="1">
        <v>55.6</v>
      </c>
      <c r="AD83" s="1">
        <v>22.2</v>
      </c>
      <c r="AE83" s="1" t="s">
        <v>130</v>
      </c>
      <c r="AF83" s="1">
        <f t="shared" si="21"/>
        <v>270.32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131</v>
      </c>
      <c r="B84" s="1" t="s">
        <v>36</v>
      </c>
      <c r="C84" s="1">
        <v>38</v>
      </c>
      <c r="D84" s="1"/>
      <c r="E84" s="1">
        <v>11</v>
      </c>
      <c r="F84" s="1">
        <v>27</v>
      </c>
      <c r="G84" s="8">
        <v>0.3</v>
      </c>
      <c r="H84" s="1">
        <v>50</v>
      </c>
      <c r="I84" s="1" t="s">
        <v>37</v>
      </c>
      <c r="J84" s="1"/>
      <c r="K84" s="1">
        <v>11</v>
      </c>
      <c r="L84" s="1">
        <f t="shared" si="15"/>
        <v>0</v>
      </c>
      <c r="M84" s="1"/>
      <c r="N84" s="1"/>
      <c r="O84" s="1">
        <v>8</v>
      </c>
      <c r="P84" s="1"/>
      <c r="Q84" s="1">
        <f t="shared" si="16"/>
        <v>2.2000000000000002</v>
      </c>
      <c r="R84" s="5"/>
      <c r="S84" s="5"/>
      <c r="T84" s="1"/>
      <c r="U84" s="1">
        <f t="shared" si="17"/>
        <v>15.909090909090908</v>
      </c>
      <c r="V84" s="1">
        <f t="shared" si="18"/>
        <v>15.909090909090908</v>
      </c>
      <c r="W84" s="1">
        <v>3.6</v>
      </c>
      <c r="X84" s="1">
        <v>2.4</v>
      </c>
      <c r="Y84" s="1">
        <v>4.8</v>
      </c>
      <c r="Z84" s="1">
        <v>5.6</v>
      </c>
      <c r="AA84" s="1">
        <v>3.8</v>
      </c>
      <c r="AB84" s="1">
        <v>4.5999999999999996</v>
      </c>
      <c r="AC84" s="1">
        <v>5</v>
      </c>
      <c r="AD84" s="1">
        <v>7.6</v>
      </c>
      <c r="AE84" s="1" t="s">
        <v>132</v>
      </c>
      <c r="AF84" s="1">
        <f t="shared" si="21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133</v>
      </c>
      <c r="B85" s="1" t="s">
        <v>36</v>
      </c>
      <c r="C85" s="1">
        <v>7</v>
      </c>
      <c r="D85" s="1">
        <v>18</v>
      </c>
      <c r="E85" s="1">
        <v>12</v>
      </c>
      <c r="F85" s="1">
        <v>9</v>
      </c>
      <c r="G85" s="8">
        <v>0.33</v>
      </c>
      <c r="H85" s="1">
        <v>30</v>
      </c>
      <c r="I85" s="1" t="s">
        <v>37</v>
      </c>
      <c r="J85" s="1"/>
      <c r="K85" s="1">
        <v>19</v>
      </c>
      <c r="L85" s="1">
        <f t="shared" si="15"/>
        <v>-7</v>
      </c>
      <c r="M85" s="1"/>
      <c r="N85" s="1"/>
      <c r="O85" s="1">
        <v>43</v>
      </c>
      <c r="P85" s="1"/>
      <c r="Q85" s="1">
        <f t="shared" si="16"/>
        <v>2.4</v>
      </c>
      <c r="R85" s="5"/>
      <c r="S85" s="5"/>
      <c r="T85" s="1"/>
      <c r="U85" s="1">
        <f t="shared" si="17"/>
        <v>21.666666666666668</v>
      </c>
      <c r="V85" s="1">
        <f t="shared" si="18"/>
        <v>21.666666666666668</v>
      </c>
      <c r="W85" s="1">
        <v>6.2</v>
      </c>
      <c r="X85" s="1">
        <v>4.2</v>
      </c>
      <c r="Y85" s="1">
        <v>6.4</v>
      </c>
      <c r="Z85" s="1">
        <v>1</v>
      </c>
      <c r="AA85" s="1">
        <v>6.2</v>
      </c>
      <c r="AB85" s="1">
        <v>3.2</v>
      </c>
      <c r="AC85" s="1">
        <v>4</v>
      </c>
      <c r="AD85" s="1">
        <v>4.4000000000000004</v>
      </c>
      <c r="AE85" s="1"/>
      <c r="AF85" s="1">
        <f t="shared" si="21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134</v>
      </c>
      <c r="B86" s="1" t="s">
        <v>40</v>
      </c>
      <c r="C86" s="1">
        <v>-0.35699999999999998</v>
      </c>
      <c r="D86" s="1">
        <v>0.35699999999999998</v>
      </c>
      <c r="E86" s="1">
        <v>-1.706</v>
      </c>
      <c r="F86" s="1"/>
      <c r="G86" s="8">
        <v>1</v>
      </c>
      <c r="H86" s="1">
        <v>30</v>
      </c>
      <c r="I86" s="1" t="s">
        <v>37</v>
      </c>
      <c r="J86" s="1"/>
      <c r="K86" s="1"/>
      <c r="L86" s="1">
        <f t="shared" si="15"/>
        <v>-1.706</v>
      </c>
      <c r="M86" s="1"/>
      <c r="N86" s="1"/>
      <c r="O86" s="1">
        <v>16</v>
      </c>
      <c r="P86" s="1"/>
      <c r="Q86" s="1">
        <f t="shared" si="16"/>
        <v>-0.3412</v>
      </c>
      <c r="R86" s="5">
        <v>8</v>
      </c>
      <c r="S86" s="5"/>
      <c r="T86" s="1"/>
      <c r="U86" s="1">
        <f t="shared" si="17"/>
        <v>-70.339976553341145</v>
      </c>
      <c r="V86" s="1">
        <f t="shared" si="18"/>
        <v>-46.893317702227435</v>
      </c>
      <c r="W86" s="1">
        <v>2.4624000000000001</v>
      </c>
      <c r="X86" s="1">
        <v>1.1184000000000001</v>
      </c>
      <c r="Y86" s="1">
        <v>3.2597999999999998</v>
      </c>
      <c r="Z86" s="1">
        <v>3.2038000000000002</v>
      </c>
      <c r="AA86" s="1">
        <v>3.2841999999999998</v>
      </c>
      <c r="AB86" s="1">
        <v>0.505</v>
      </c>
      <c r="AC86" s="1">
        <v>4.5098000000000003</v>
      </c>
      <c r="AD86" s="1">
        <v>5.5426000000000002</v>
      </c>
      <c r="AE86" s="1"/>
      <c r="AF86" s="1">
        <f t="shared" si="21"/>
        <v>8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135</v>
      </c>
      <c r="B87" s="1" t="s">
        <v>36</v>
      </c>
      <c r="C87" s="1">
        <v>12</v>
      </c>
      <c r="D87" s="1">
        <v>32</v>
      </c>
      <c r="E87" s="1">
        <v>21</v>
      </c>
      <c r="F87" s="1">
        <v>23</v>
      </c>
      <c r="G87" s="8">
        <v>0.28000000000000003</v>
      </c>
      <c r="H87" s="1">
        <v>50</v>
      </c>
      <c r="I87" s="1" t="s">
        <v>37</v>
      </c>
      <c r="J87" s="1"/>
      <c r="K87" s="1">
        <v>23</v>
      </c>
      <c r="L87" s="1">
        <f t="shared" si="15"/>
        <v>-2</v>
      </c>
      <c r="M87" s="1"/>
      <c r="N87" s="1"/>
      <c r="O87" s="1">
        <v>0</v>
      </c>
      <c r="P87" s="1"/>
      <c r="Q87" s="1">
        <f t="shared" si="16"/>
        <v>4.2</v>
      </c>
      <c r="R87" s="5">
        <f t="shared" si="20"/>
        <v>35.800000000000004</v>
      </c>
      <c r="S87" s="5"/>
      <c r="T87" s="1"/>
      <c r="U87" s="1">
        <f t="shared" si="17"/>
        <v>14</v>
      </c>
      <c r="V87" s="1">
        <f t="shared" si="18"/>
        <v>5.4761904761904763</v>
      </c>
      <c r="W87" s="1">
        <v>3.4</v>
      </c>
      <c r="X87" s="1">
        <v>2.4</v>
      </c>
      <c r="Y87" s="1">
        <v>1.4</v>
      </c>
      <c r="Z87" s="1">
        <v>1.2</v>
      </c>
      <c r="AA87" s="1">
        <v>1.6</v>
      </c>
      <c r="AB87" s="1">
        <v>0.8</v>
      </c>
      <c r="AC87" s="1">
        <v>1.6</v>
      </c>
      <c r="AD87" s="1">
        <v>1.4</v>
      </c>
      <c r="AE87" s="1"/>
      <c r="AF87" s="1">
        <f t="shared" si="21"/>
        <v>10.024000000000003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136</v>
      </c>
      <c r="B88" s="1" t="s">
        <v>36</v>
      </c>
      <c r="C88" s="1">
        <v>78</v>
      </c>
      <c r="D88" s="1"/>
      <c r="E88" s="1">
        <v>12</v>
      </c>
      <c r="F88" s="1">
        <v>66</v>
      </c>
      <c r="G88" s="8">
        <v>0.28000000000000003</v>
      </c>
      <c r="H88" s="1">
        <v>50</v>
      </c>
      <c r="I88" s="1" t="s">
        <v>37</v>
      </c>
      <c r="J88" s="1"/>
      <c r="K88" s="1">
        <v>12</v>
      </c>
      <c r="L88" s="1">
        <f t="shared" si="15"/>
        <v>0</v>
      </c>
      <c r="M88" s="1"/>
      <c r="N88" s="1"/>
      <c r="O88" s="1">
        <v>0</v>
      </c>
      <c r="P88" s="1"/>
      <c r="Q88" s="1">
        <f t="shared" si="16"/>
        <v>2.4</v>
      </c>
      <c r="R88" s="5"/>
      <c r="S88" s="5"/>
      <c r="T88" s="1"/>
      <c r="U88" s="1">
        <f t="shared" si="17"/>
        <v>27.5</v>
      </c>
      <c r="V88" s="1">
        <f t="shared" si="18"/>
        <v>27.5</v>
      </c>
      <c r="W88" s="1">
        <v>1</v>
      </c>
      <c r="X88" s="1">
        <v>1.6</v>
      </c>
      <c r="Y88" s="1">
        <v>0.8</v>
      </c>
      <c r="Z88" s="1">
        <v>0.6</v>
      </c>
      <c r="AA88" s="1">
        <v>3.8</v>
      </c>
      <c r="AB88" s="1">
        <v>0.6</v>
      </c>
      <c r="AC88" s="1">
        <v>0</v>
      </c>
      <c r="AD88" s="1">
        <v>0.6</v>
      </c>
      <c r="AE88" s="22" t="s">
        <v>41</v>
      </c>
      <c r="AF88" s="1">
        <f t="shared" si="21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137</v>
      </c>
      <c r="B89" s="1" t="s">
        <v>36</v>
      </c>
      <c r="C89" s="1">
        <v>24</v>
      </c>
      <c r="D89" s="1"/>
      <c r="E89" s="1">
        <v>7</v>
      </c>
      <c r="F89" s="1">
        <v>16</v>
      </c>
      <c r="G89" s="8">
        <v>0.4</v>
      </c>
      <c r="H89" s="1">
        <v>60</v>
      </c>
      <c r="I89" s="1" t="s">
        <v>37</v>
      </c>
      <c r="J89" s="1"/>
      <c r="K89" s="1">
        <v>8</v>
      </c>
      <c r="L89" s="1">
        <f t="shared" si="15"/>
        <v>-1</v>
      </c>
      <c r="M89" s="1"/>
      <c r="N89" s="1"/>
      <c r="O89" s="1">
        <v>0</v>
      </c>
      <c r="P89" s="1"/>
      <c r="Q89" s="1">
        <f t="shared" si="16"/>
        <v>1.4</v>
      </c>
      <c r="R89" s="5">
        <f t="shared" si="20"/>
        <v>3.5999999999999979</v>
      </c>
      <c r="S89" s="5"/>
      <c r="T89" s="1"/>
      <c r="U89" s="1">
        <f t="shared" si="17"/>
        <v>14</v>
      </c>
      <c r="V89" s="1">
        <f t="shared" si="18"/>
        <v>11.428571428571429</v>
      </c>
      <c r="W89" s="1">
        <v>1.4</v>
      </c>
      <c r="X89" s="1">
        <v>3</v>
      </c>
      <c r="Y89" s="1">
        <v>1.6</v>
      </c>
      <c r="Z89" s="1">
        <v>2</v>
      </c>
      <c r="AA89" s="1">
        <v>0.8</v>
      </c>
      <c r="AB89" s="1">
        <v>1.4</v>
      </c>
      <c r="AC89" s="1">
        <v>2</v>
      </c>
      <c r="AD89" s="1">
        <v>1.4</v>
      </c>
      <c r="AE89" s="1" t="s">
        <v>138</v>
      </c>
      <c r="AF89" s="1">
        <f t="shared" si="21"/>
        <v>1.4399999999999993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57</v>
      </c>
      <c r="B90" s="1" t="s">
        <v>36</v>
      </c>
      <c r="C90" s="1">
        <v>59</v>
      </c>
      <c r="D90" s="1">
        <v>520</v>
      </c>
      <c r="E90" s="20">
        <f>166+E18</f>
        <v>169</v>
      </c>
      <c r="F90" s="20">
        <f>416+F18</f>
        <v>413</v>
      </c>
      <c r="G90" s="8">
        <v>0.12</v>
      </c>
      <c r="H90" s="1">
        <v>60</v>
      </c>
      <c r="I90" s="1" t="s">
        <v>37</v>
      </c>
      <c r="J90" s="1"/>
      <c r="K90" s="1">
        <v>299</v>
      </c>
      <c r="L90" s="1">
        <f t="shared" si="15"/>
        <v>-130</v>
      </c>
      <c r="M90" s="1"/>
      <c r="N90" s="1"/>
      <c r="O90" s="1">
        <v>115</v>
      </c>
      <c r="P90" s="1">
        <v>94</v>
      </c>
      <c r="Q90" s="1">
        <f t="shared" si="16"/>
        <v>33.799999999999997</v>
      </c>
      <c r="R90" s="5"/>
      <c r="S90" s="5"/>
      <c r="T90" s="1"/>
      <c r="U90" s="1">
        <f t="shared" si="17"/>
        <v>18.402366863905328</v>
      </c>
      <c r="V90" s="1">
        <f t="shared" si="18"/>
        <v>18.402366863905328</v>
      </c>
      <c r="W90" s="1">
        <v>32</v>
      </c>
      <c r="X90" s="1">
        <v>22.4</v>
      </c>
      <c r="Y90" s="1">
        <v>22</v>
      </c>
      <c r="Z90" s="1">
        <v>13.4</v>
      </c>
      <c r="AA90" s="1">
        <v>0</v>
      </c>
      <c r="AB90" s="1">
        <v>0</v>
      </c>
      <c r="AC90" s="1">
        <v>0</v>
      </c>
      <c r="AD90" s="1">
        <v>0</v>
      </c>
      <c r="AE90" s="1" t="s">
        <v>139</v>
      </c>
      <c r="AF90" s="1">
        <f t="shared" si="21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0" t="s">
        <v>140</v>
      </c>
      <c r="B91" s="10" t="s">
        <v>36</v>
      </c>
      <c r="C91" s="10"/>
      <c r="D91" s="10"/>
      <c r="E91" s="10"/>
      <c r="F91" s="10"/>
      <c r="G91" s="18">
        <v>0.1</v>
      </c>
      <c r="H91" s="10">
        <v>60</v>
      </c>
      <c r="I91" s="10" t="s">
        <v>37</v>
      </c>
      <c r="J91" s="10"/>
      <c r="K91" s="10"/>
      <c r="L91" s="10">
        <f t="shared" si="15"/>
        <v>0</v>
      </c>
      <c r="M91" s="10"/>
      <c r="N91" s="10"/>
      <c r="O91" s="10">
        <v>0</v>
      </c>
      <c r="P91" s="10"/>
      <c r="Q91" s="10">
        <f t="shared" si="16"/>
        <v>0</v>
      </c>
      <c r="R91" s="19"/>
      <c r="S91" s="19"/>
      <c r="T91" s="10"/>
      <c r="U91" s="10" t="e">
        <f t="shared" si="17"/>
        <v>#DIV/0!</v>
      </c>
      <c r="V91" s="10" t="e">
        <f t="shared" si="18"/>
        <v>#DIV/0!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 t="s">
        <v>141</v>
      </c>
      <c r="AF91" s="10">
        <f t="shared" si="21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5" t="s">
        <v>142</v>
      </c>
      <c r="B92" s="15" t="s">
        <v>36</v>
      </c>
      <c r="C92" s="15">
        <v>64</v>
      </c>
      <c r="D92" s="15">
        <v>2</v>
      </c>
      <c r="E92" s="20">
        <v>1</v>
      </c>
      <c r="F92" s="20">
        <v>65</v>
      </c>
      <c r="G92" s="16">
        <v>0</v>
      </c>
      <c r="H92" s="15" t="e">
        <v>#N/A</v>
      </c>
      <c r="I92" s="15" t="s">
        <v>143</v>
      </c>
      <c r="J92" s="15" t="s">
        <v>104</v>
      </c>
      <c r="K92" s="15">
        <v>1</v>
      </c>
      <c r="L92" s="15">
        <f t="shared" si="15"/>
        <v>0</v>
      </c>
      <c r="M92" s="15"/>
      <c r="N92" s="15"/>
      <c r="O92" s="15">
        <v>0</v>
      </c>
      <c r="P92" s="15"/>
      <c r="Q92" s="15">
        <f t="shared" si="16"/>
        <v>0.2</v>
      </c>
      <c r="R92" s="17"/>
      <c r="S92" s="17"/>
      <c r="T92" s="15"/>
      <c r="U92" s="15">
        <f t="shared" si="17"/>
        <v>325</v>
      </c>
      <c r="V92" s="15">
        <f t="shared" si="18"/>
        <v>325</v>
      </c>
      <c r="W92" s="15">
        <v>6</v>
      </c>
      <c r="X92" s="15">
        <v>4.4000000000000004</v>
      </c>
      <c r="Y92" s="15">
        <v>17.2</v>
      </c>
      <c r="Z92" s="15">
        <v>21.6</v>
      </c>
      <c r="AA92" s="15">
        <v>4.5999999999999996</v>
      </c>
      <c r="AB92" s="15">
        <v>26.308800000000002</v>
      </c>
      <c r="AC92" s="15">
        <v>32.200000000000003</v>
      </c>
      <c r="AD92" s="15">
        <v>37.6</v>
      </c>
      <c r="AE92" s="15"/>
      <c r="AF92" s="15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5" t="s">
        <v>144</v>
      </c>
      <c r="B93" s="15" t="s">
        <v>40</v>
      </c>
      <c r="C93" s="15">
        <v>54.383000000000003</v>
      </c>
      <c r="D93" s="15">
        <v>15.439</v>
      </c>
      <c r="E93" s="20">
        <v>9.2520000000000007</v>
      </c>
      <c r="F93" s="20">
        <v>54.335000000000001</v>
      </c>
      <c r="G93" s="16">
        <v>0</v>
      </c>
      <c r="H93" s="15" t="e">
        <v>#N/A</v>
      </c>
      <c r="I93" s="15" t="s">
        <v>143</v>
      </c>
      <c r="J93" s="15" t="s">
        <v>105</v>
      </c>
      <c r="K93" s="15">
        <v>9</v>
      </c>
      <c r="L93" s="15">
        <f t="shared" si="15"/>
        <v>0.25200000000000067</v>
      </c>
      <c r="M93" s="15"/>
      <c r="N93" s="15"/>
      <c r="O93" s="15">
        <v>0</v>
      </c>
      <c r="P93" s="15"/>
      <c r="Q93" s="15">
        <f t="shared" si="16"/>
        <v>1.8504</v>
      </c>
      <c r="R93" s="17"/>
      <c r="S93" s="17"/>
      <c r="T93" s="15"/>
      <c r="U93" s="15">
        <f t="shared" si="17"/>
        <v>29.363921314310421</v>
      </c>
      <c r="V93" s="15">
        <f t="shared" si="18"/>
        <v>29.363921314310421</v>
      </c>
      <c r="W93" s="15">
        <v>13.654199999999999</v>
      </c>
      <c r="X93" s="15">
        <v>12.984</v>
      </c>
      <c r="Y93" s="15">
        <v>31.0916</v>
      </c>
      <c r="Z93" s="15">
        <v>32.273200000000003</v>
      </c>
      <c r="AA93" s="15">
        <v>3.7372000000000001</v>
      </c>
      <c r="AB93" s="15">
        <v>36.436199999999999</v>
      </c>
      <c r="AC93" s="15">
        <v>36.656799999999997</v>
      </c>
      <c r="AD93" s="15">
        <v>30.5578</v>
      </c>
      <c r="AE93" s="15"/>
      <c r="AF93" s="15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0" t="s">
        <v>145</v>
      </c>
      <c r="B94" s="10" t="s">
        <v>40</v>
      </c>
      <c r="C94" s="10"/>
      <c r="D94" s="10"/>
      <c r="E94" s="10"/>
      <c r="F94" s="10"/>
      <c r="G94" s="18">
        <v>1</v>
      </c>
      <c r="H94" s="10">
        <v>60</v>
      </c>
      <c r="I94" s="10" t="s">
        <v>37</v>
      </c>
      <c r="J94" s="10"/>
      <c r="K94" s="10"/>
      <c r="L94" s="10">
        <f t="shared" si="15"/>
        <v>0</v>
      </c>
      <c r="M94" s="10"/>
      <c r="N94" s="10"/>
      <c r="O94" s="10">
        <v>0</v>
      </c>
      <c r="P94" s="10"/>
      <c r="Q94" s="10">
        <f t="shared" si="16"/>
        <v>0</v>
      </c>
      <c r="R94" s="19"/>
      <c r="S94" s="19"/>
      <c r="T94" s="10"/>
      <c r="U94" s="10" t="e">
        <f t="shared" si="17"/>
        <v>#DIV/0!</v>
      </c>
      <c r="V94" s="10" t="e">
        <f t="shared" si="18"/>
        <v>#DIV/0!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 t="s">
        <v>141</v>
      </c>
      <c r="AF94" s="10">
        <f>G94*R94</f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1" t="s">
        <v>146</v>
      </c>
      <c r="B95" s="11" t="s">
        <v>36</v>
      </c>
      <c r="C95" s="11">
        <v>62</v>
      </c>
      <c r="D95" s="11"/>
      <c r="E95" s="11">
        <v>28</v>
      </c>
      <c r="F95" s="11">
        <v>34</v>
      </c>
      <c r="G95" s="12">
        <v>0</v>
      </c>
      <c r="H95" s="11" t="e">
        <v>#N/A</v>
      </c>
      <c r="I95" s="11" t="s">
        <v>119</v>
      </c>
      <c r="J95" s="11"/>
      <c r="K95" s="11">
        <v>28</v>
      </c>
      <c r="L95" s="11">
        <f t="shared" si="15"/>
        <v>0</v>
      </c>
      <c r="M95" s="11"/>
      <c r="N95" s="11"/>
      <c r="O95" s="11">
        <v>0</v>
      </c>
      <c r="P95" s="11"/>
      <c r="Q95" s="11">
        <f t="shared" si="16"/>
        <v>5.6</v>
      </c>
      <c r="R95" s="13"/>
      <c r="S95" s="13"/>
      <c r="T95" s="11"/>
      <c r="U95" s="11">
        <f t="shared" si="17"/>
        <v>6.0714285714285721</v>
      </c>
      <c r="V95" s="11">
        <f t="shared" si="18"/>
        <v>6.0714285714285721</v>
      </c>
      <c r="W95" s="11">
        <v>8.4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21" t="s">
        <v>147</v>
      </c>
      <c r="AF95" s="1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</sheetData>
  <autoFilter ref="A3:AF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2026-01-13T10:15:48Z</dcterms:created>
  <dcterms:modified xsi:type="dcterms:W3CDTF">2026-01-13T10:37:42Z</dcterms:modified>
</cp:coreProperties>
</file>