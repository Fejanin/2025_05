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B2BA74-4094-4FD5-A1A0-4EC0AEFF988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BN551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N527" i="2" s="1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Y525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Y469" i="2" s="1"/>
  <c r="P467" i="2"/>
  <c r="X464" i="2"/>
  <c r="X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P397" i="2"/>
  <c r="BO396" i="2"/>
  <c r="BM396" i="2"/>
  <c r="Y396" i="2"/>
  <c r="BP396" i="2" s="1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BP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P339" i="2" s="1"/>
  <c r="P339" i="2"/>
  <c r="X336" i="2"/>
  <c r="X335" i="2"/>
  <c r="BO334" i="2"/>
  <c r="BM334" i="2"/>
  <c r="Y334" i="2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P321" i="2"/>
  <c r="X318" i="2"/>
  <c r="X317" i="2"/>
  <c r="BO316" i="2"/>
  <c r="BM316" i="2"/>
  <c r="Y316" i="2"/>
  <c r="BN316" i="2" s="1"/>
  <c r="P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P313" i="2"/>
  <c r="X311" i="2"/>
  <c r="X310" i="2"/>
  <c r="BO309" i="2"/>
  <c r="BM309" i="2"/>
  <c r="Y309" i="2"/>
  <c r="P309" i="2"/>
  <c r="X307" i="2"/>
  <c r="X306" i="2"/>
  <c r="BO305" i="2"/>
  <c r="BM305" i="2"/>
  <c r="Y305" i="2"/>
  <c r="BP305" i="2" s="1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P275" i="2" s="1"/>
  <c r="P275" i="2"/>
  <c r="X273" i="2"/>
  <c r="X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P245" i="2"/>
  <c r="BO244" i="2"/>
  <c r="BM244" i="2"/>
  <c r="Y244" i="2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P235" i="2"/>
  <c r="X233" i="2"/>
  <c r="X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X168" i="2"/>
  <c r="X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8" i="2" s="1"/>
  <c r="P135" i="2"/>
  <c r="X132" i="2"/>
  <c r="X131" i="2"/>
  <c r="BO130" i="2"/>
  <c r="BM130" i="2"/>
  <c r="Y130" i="2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BN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P84" i="2" s="1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Z42" i="2" s="1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N26" i="2" s="1"/>
  <c r="P26" i="2"/>
  <c r="X24" i="2"/>
  <c r="X23" i="2"/>
  <c r="BO22" i="2"/>
  <c r="BM22" i="2"/>
  <c r="Y22" i="2"/>
  <c r="BP22" i="2" s="1"/>
  <c r="P22" i="2"/>
  <c r="H10" i="2"/>
  <c r="A9" i="2"/>
  <c r="F10" i="2" s="1"/>
  <c r="D7" i="2"/>
  <c r="Q6" i="2"/>
  <c r="P2" i="2"/>
  <c r="Z78" i="2" l="1"/>
  <c r="BP188" i="2"/>
  <c r="Z124" i="2"/>
  <c r="Z314" i="2"/>
  <c r="BN314" i="2"/>
  <c r="Z151" i="2"/>
  <c r="BP276" i="2"/>
  <c r="Z384" i="2"/>
  <c r="BN384" i="2"/>
  <c r="Z456" i="2"/>
  <c r="BP26" i="2"/>
  <c r="Z60" i="2"/>
  <c r="Z84" i="2"/>
  <c r="BN84" i="2"/>
  <c r="Z141" i="2"/>
  <c r="BP176" i="2"/>
  <c r="Y307" i="2"/>
  <c r="Z316" i="2"/>
  <c r="Z346" i="2"/>
  <c r="BN346" i="2"/>
  <c r="Z382" i="2"/>
  <c r="Z392" i="2"/>
  <c r="Z451" i="2"/>
  <c r="Y458" i="2"/>
  <c r="Z504" i="2"/>
  <c r="BN504" i="2"/>
  <c r="Z513" i="2"/>
  <c r="BN513" i="2"/>
  <c r="BN52" i="2"/>
  <c r="BP63" i="2"/>
  <c r="Z63" i="2"/>
  <c r="BN116" i="2"/>
  <c r="BN146" i="2"/>
  <c r="BN152" i="2"/>
  <c r="Z152" i="2"/>
  <c r="BN158" i="2"/>
  <c r="Z158" i="2"/>
  <c r="Z159" i="2" s="1"/>
  <c r="BP175" i="2"/>
  <c r="BN175" i="2"/>
  <c r="Z175" i="2"/>
  <c r="BN184" i="2"/>
  <c r="Y195" i="2"/>
  <c r="Y194" i="2"/>
  <c r="BN193" i="2"/>
  <c r="BP236" i="2"/>
  <c r="BN236" i="2"/>
  <c r="Z236" i="2"/>
  <c r="BN238" i="2"/>
  <c r="Y261" i="2"/>
  <c r="Z259" i="2"/>
  <c r="BN275" i="2"/>
  <c r="BN279" i="2"/>
  <c r="BN300" i="2"/>
  <c r="Y310" i="2"/>
  <c r="Y311" i="2"/>
  <c r="BN341" i="2"/>
  <c r="BN347" i="2"/>
  <c r="BP371" i="2"/>
  <c r="BN371" i="2"/>
  <c r="Z371" i="2"/>
  <c r="BN380" i="2"/>
  <c r="BN443" i="2"/>
  <c r="Z443" i="2"/>
  <c r="BP27" i="2"/>
  <c r="BN27" i="2"/>
  <c r="Z27" i="2"/>
  <c r="BN45" i="2"/>
  <c r="Z45" i="2"/>
  <c r="BN82" i="2"/>
  <c r="BP91" i="2"/>
  <c r="BN91" i="2"/>
  <c r="Z91" i="2"/>
  <c r="BN93" i="2"/>
  <c r="BN106" i="2"/>
  <c r="BP106" i="2"/>
  <c r="BN109" i="2"/>
  <c r="Z130" i="2"/>
  <c r="Z131" i="2" s="1"/>
  <c r="Y131" i="2"/>
  <c r="BN130" i="2"/>
  <c r="BN177" i="2"/>
  <c r="BN205" i="2"/>
  <c r="BN227" i="2"/>
  <c r="BP259" i="2"/>
  <c r="BN260" i="2"/>
  <c r="Y262" i="2"/>
  <c r="BN265" i="2"/>
  <c r="BN315" i="2"/>
  <c r="BP326" i="2"/>
  <c r="Z326" i="2"/>
  <c r="BP334" i="2"/>
  <c r="BN334" i="2"/>
  <c r="Z334" i="2"/>
  <c r="BN339" i="2"/>
  <c r="Z339" i="2"/>
  <c r="BN370" i="2"/>
  <c r="Z370" i="2"/>
  <c r="BN390" i="2"/>
  <c r="BP402" i="2"/>
  <c r="BN402" i="2"/>
  <c r="Z402" i="2"/>
  <c r="BN416" i="2"/>
  <c r="BN430" i="2"/>
  <c r="BP443" i="2"/>
  <c r="BP445" i="2"/>
  <c r="BN445" i="2"/>
  <c r="BN457" i="2"/>
  <c r="BN468" i="2"/>
  <c r="BN488" i="2"/>
  <c r="BN515" i="2"/>
  <c r="BN529" i="2"/>
  <c r="BN29" i="2"/>
  <c r="Y68" i="2"/>
  <c r="BP60" i="2"/>
  <c r="BN92" i="2"/>
  <c r="BN108" i="2"/>
  <c r="BN112" i="2"/>
  <c r="BP124" i="2"/>
  <c r="BN126" i="2"/>
  <c r="BN154" i="2"/>
  <c r="BN181" i="2"/>
  <c r="BN207" i="2"/>
  <c r="BN220" i="2"/>
  <c r="BN230" i="2"/>
  <c r="BN237" i="2"/>
  <c r="BN269" i="2"/>
  <c r="BN281" i="2"/>
  <c r="BN296" i="2"/>
  <c r="BP316" i="2"/>
  <c r="BN323" i="2"/>
  <c r="BN327" i="2"/>
  <c r="BN364" i="2"/>
  <c r="BN372" i="2"/>
  <c r="BP382" i="2"/>
  <c r="BP392" i="2"/>
  <c r="BN396" i="2"/>
  <c r="BN404" i="2"/>
  <c r="BN441" i="2"/>
  <c r="BP451" i="2"/>
  <c r="BN484" i="2"/>
  <c r="AA574" i="2"/>
  <c r="BN516" i="2"/>
  <c r="Z517" i="2"/>
  <c r="BN517" i="2"/>
  <c r="BN533" i="2"/>
  <c r="Z539" i="2"/>
  <c r="Z540" i="2" s="1"/>
  <c r="Y540" i="2"/>
  <c r="Z547" i="2"/>
  <c r="Z548" i="2" s="1"/>
  <c r="BN547" i="2"/>
  <c r="BP547" i="2"/>
  <c r="Y548" i="2"/>
  <c r="X565" i="2"/>
  <c r="Z29" i="2"/>
  <c r="BN42" i="2"/>
  <c r="Z52" i="2"/>
  <c r="Z77" i="2"/>
  <c r="Z79" i="2" s="1"/>
  <c r="BN78" i="2"/>
  <c r="Z83" i="2"/>
  <c r="Y85" i="2"/>
  <c r="Z89" i="2"/>
  <c r="Z93" i="2"/>
  <c r="BP111" i="2"/>
  <c r="BN111" i="2"/>
  <c r="Z119" i="2"/>
  <c r="BN119" i="2"/>
  <c r="Z228" i="2"/>
  <c r="BN228" i="2"/>
  <c r="BN283" i="2"/>
  <c r="BP283" i="2"/>
  <c r="Z283" i="2"/>
  <c r="BN325" i="2"/>
  <c r="BP325" i="2"/>
  <c r="Z325" i="2"/>
  <c r="BN374" i="2"/>
  <c r="BP374" i="2"/>
  <c r="Z374" i="2"/>
  <c r="Z424" i="2"/>
  <c r="BN424" i="2"/>
  <c r="BN431" i="2"/>
  <c r="BP431" i="2"/>
  <c r="Z431" i="2"/>
  <c r="BN455" i="2"/>
  <c r="BP455" i="2"/>
  <c r="Z455" i="2"/>
  <c r="BN503" i="2"/>
  <c r="BP503" i="2"/>
  <c r="Z503" i="2"/>
  <c r="H9" i="2"/>
  <c r="BN22" i="2"/>
  <c r="BP51" i="2"/>
  <c r="BP54" i="2"/>
  <c r="BN70" i="2"/>
  <c r="Y74" i="2"/>
  <c r="Z85" i="2"/>
  <c r="BP82" i="2"/>
  <c r="Z92" i="2"/>
  <c r="BP94" i="2"/>
  <c r="BN99" i="2"/>
  <c r="BP99" i="2"/>
  <c r="BP152" i="2"/>
  <c r="BP208" i="2"/>
  <c r="BN208" i="2"/>
  <c r="BN266" i="2"/>
  <c r="BP266" i="2"/>
  <c r="Y273" i="2"/>
  <c r="Y479" i="2"/>
  <c r="BN523" i="2"/>
  <c r="BP523" i="2"/>
  <c r="Z523" i="2"/>
  <c r="J9" i="2"/>
  <c r="BP42" i="2"/>
  <c r="BP66" i="2"/>
  <c r="BP100" i="2"/>
  <c r="BN100" i="2"/>
  <c r="BP136" i="2"/>
  <c r="Z136" i="2"/>
  <c r="BN171" i="2"/>
  <c r="BP171" i="2"/>
  <c r="Z171" i="2"/>
  <c r="BN178" i="2"/>
  <c r="BP178" i="2"/>
  <c r="Z231" i="2"/>
  <c r="BN231" i="2"/>
  <c r="BN271" i="2"/>
  <c r="BP271" i="2"/>
  <c r="Z271" i="2"/>
  <c r="Y407" i="2"/>
  <c r="BN405" i="2"/>
  <c r="Z405" i="2"/>
  <c r="BN478" i="2"/>
  <c r="BP478" i="2"/>
  <c r="Z478" i="2"/>
  <c r="A10" i="2"/>
  <c r="Z22" i="2"/>
  <c r="Z23" i="2" s="1"/>
  <c r="BN54" i="2"/>
  <c r="Z66" i="2"/>
  <c r="Z70" i="2"/>
  <c r="BP77" i="2"/>
  <c r="BP83" i="2"/>
  <c r="Z100" i="2"/>
  <c r="Z123" i="2"/>
  <c r="BN123" i="2"/>
  <c r="Z164" i="2"/>
  <c r="Y173" i="2"/>
  <c r="BP182" i="2"/>
  <c r="BN182" i="2"/>
  <c r="Y211" i="2"/>
  <c r="BN226" i="2"/>
  <c r="BP226" i="2"/>
  <c r="Z226" i="2"/>
  <c r="BP228" i="2"/>
  <c r="BN363" i="2"/>
  <c r="BP363" i="2"/>
  <c r="Z363" i="2"/>
  <c r="BN381" i="2"/>
  <c r="BP381" i="2"/>
  <c r="Z381" i="2"/>
  <c r="BN391" i="2"/>
  <c r="BP391" i="2"/>
  <c r="Z391" i="2"/>
  <c r="BP424" i="2"/>
  <c r="BN442" i="2"/>
  <c r="BP442" i="2"/>
  <c r="Z442" i="2"/>
  <c r="Y185" i="2"/>
  <c r="BP183" i="2"/>
  <c r="BP222" i="2"/>
  <c r="Y291" i="2"/>
  <c r="Y292" i="2"/>
  <c r="BP385" i="2"/>
  <c r="BP417" i="2"/>
  <c r="Y480" i="2"/>
  <c r="Y491" i="2"/>
  <c r="Y518" i="2"/>
  <c r="BP527" i="2"/>
  <c r="BP551" i="2"/>
  <c r="Y553" i="2"/>
  <c r="BP126" i="2"/>
  <c r="BP130" i="2"/>
  <c r="BN141" i="2"/>
  <c r="BP177" i="2"/>
  <c r="Z181" i="2"/>
  <c r="Z193" i="2"/>
  <c r="Z194" i="2" s="1"/>
  <c r="BP193" i="2"/>
  <c r="BP207" i="2"/>
  <c r="Y233" i="2"/>
  <c r="Z219" i="2"/>
  <c r="BP223" i="2"/>
  <c r="BN259" i="2"/>
  <c r="BP265" i="2"/>
  <c r="Z269" i="2"/>
  <c r="Z281" i="2"/>
  <c r="Z289" i="2"/>
  <c r="BP289" i="2"/>
  <c r="Y318" i="2"/>
  <c r="Z315" i="2"/>
  <c r="Y317" i="2"/>
  <c r="Z323" i="2"/>
  <c r="BN326" i="2"/>
  <c r="Z327" i="2"/>
  <c r="BP341" i="2"/>
  <c r="Z347" i="2"/>
  <c r="Z349" i="2" s="1"/>
  <c r="Y359" i="2"/>
  <c r="Z372" i="2"/>
  <c r="Z380" i="2"/>
  <c r="Z390" i="2"/>
  <c r="Y393" i="2"/>
  <c r="Z396" i="2"/>
  <c r="Z404" i="2"/>
  <c r="Y426" i="2"/>
  <c r="Z430" i="2"/>
  <c r="Z441" i="2"/>
  <c r="Z457" i="2"/>
  <c r="Z468" i="2"/>
  <c r="Z476" i="2"/>
  <c r="BP476" i="2"/>
  <c r="Z488" i="2"/>
  <c r="Y500" i="2"/>
  <c r="Z516" i="2"/>
  <c r="Z527" i="2"/>
  <c r="Z551" i="2"/>
  <c r="Z552" i="2" s="1"/>
  <c r="Y563" i="2"/>
  <c r="BP109" i="2"/>
  <c r="Z112" i="2"/>
  <c r="Y132" i="2"/>
  <c r="BP154" i="2"/>
  <c r="BN183" i="2"/>
  <c r="Y190" i="2"/>
  <c r="Z205" i="2"/>
  <c r="BN206" i="2"/>
  <c r="Z218" i="2"/>
  <c r="BP218" i="2"/>
  <c r="Z220" i="2"/>
  <c r="BN222" i="2"/>
  <c r="Z230" i="2"/>
  <c r="BP238" i="2"/>
  <c r="Y272" i="2"/>
  <c r="Z279" i="2"/>
  <c r="BP296" i="2"/>
  <c r="Z300" i="2"/>
  <c r="BP364" i="2"/>
  <c r="BN385" i="2"/>
  <c r="Z416" i="2"/>
  <c r="BN417" i="2"/>
  <c r="Z445" i="2"/>
  <c r="Y459" i="2"/>
  <c r="Y519" i="2"/>
  <c r="Z515" i="2"/>
  <c r="BP529" i="2"/>
  <c r="BN530" i="2"/>
  <c r="Z533" i="2"/>
  <c r="BP539" i="2"/>
  <c r="Y541" i="2"/>
  <c r="Y552" i="2"/>
  <c r="AC574" i="2"/>
  <c r="Z30" i="2"/>
  <c r="Z118" i="2"/>
  <c r="Y37" i="2"/>
  <c r="BP125" i="2"/>
  <c r="Z125" i="2"/>
  <c r="Y286" i="2"/>
  <c r="BP277" i="2"/>
  <c r="BN277" i="2"/>
  <c r="Z340" i="2"/>
  <c r="Y344" i="2"/>
  <c r="H574" i="2"/>
  <c r="Y120" i="2"/>
  <c r="Y199" i="2"/>
  <c r="Z209" i="2"/>
  <c r="Z239" i="2"/>
  <c r="Z254" i="2"/>
  <c r="Y257" i="2"/>
  <c r="Y256" i="2"/>
  <c r="M574" i="2"/>
  <c r="Z277" i="2"/>
  <c r="BP439" i="2"/>
  <c r="BN439" i="2"/>
  <c r="Z439" i="2"/>
  <c r="BP179" i="2"/>
  <c r="BN179" i="2"/>
  <c r="BP224" i="2"/>
  <c r="BN224" i="2"/>
  <c r="BN340" i="2"/>
  <c r="Z163" i="2"/>
  <c r="Y168" i="2"/>
  <c r="Y147" i="2"/>
  <c r="BP145" i="2"/>
  <c r="BN145" i="2"/>
  <c r="BP204" i="2"/>
  <c r="BN204" i="2"/>
  <c r="Z204" i="2"/>
  <c r="BP41" i="2"/>
  <c r="C574" i="2"/>
  <c r="Y47" i="2"/>
  <c r="Y46" i="2"/>
  <c r="BN34" i="2"/>
  <c r="BN41" i="2"/>
  <c r="BN44" i="2"/>
  <c r="BP61" i="2"/>
  <c r="Z61" i="2"/>
  <c r="Z64" i="2"/>
  <c r="BN72" i="2"/>
  <c r="Y86" i="2"/>
  <c r="Z94" i="2"/>
  <c r="G574" i="2"/>
  <c r="Z106" i="2"/>
  <c r="Y114" i="2"/>
  <c r="Y113" i="2"/>
  <c r="Y148" i="2"/>
  <c r="BN153" i="2"/>
  <c r="Z176" i="2"/>
  <c r="Z179" i="2"/>
  <c r="Y186" i="2"/>
  <c r="K574" i="2"/>
  <c r="BP203" i="2"/>
  <c r="BN203" i="2"/>
  <c r="BN209" i="2"/>
  <c r="Z221" i="2"/>
  <c r="Z224" i="2"/>
  <c r="BN239" i="2"/>
  <c r="BP245" i="2"/>
  <c r="BN245" i="2"/>
  <c r="Z245" i="2"/>
  <c r="BN254" i="2"/>
  <c r="Y366" i="2"/>
  <c r="T574" i="2"/>
  <c r="BP362" i="2"/>
  <c r="Y365" i="2"/>
  <c r="BN362" i="2"/>
  <c r="BP383" i="2"/>
  <c r="BN383" i="2"/>
  <c r="Z528" i="2"/>
  <c r="Y534" i="2"/>
  <c r="BP528" i="2"/>
  <c r="BN528" i="2"/>
  <c r="BP180" i="2"/>
  <c r="Z180" i="2"/>
  <c r="Z34" i="2"/>
  <c r="Z44" i="2"/>
  <c r="Y67" i="2"/>
  <c r="Z117" i="2"/>
  <c r="BN125" i="2"/>
  <c r="Z165" i="2"/>
  <c r="Y55" i="2"/>
  <c r="BN117" i="2"/>
  <c r="Y142" i="2"/>
  <c r="BN165" i="2"/>
  <c r="Z203" i="2"/>
  <c r="BN284" i="2"/>
  <c r="Z284" i="2"/>
  <c r="Y329" i="2"/>
  <c r="BP321" i="2"/>
  <c r="BN321" i="2"/>
  <c r="P574" i="2"/>
  <c r="BP340" i="2"/>
  <c r="Z362" i="2"/>
  <c r="Z365" i="2" s="1"/>
  <c r="Z383" i="2"/>
  <c r="Y419" i="2"/>
  <c r="BP415" i="2"/>
  <c r="Y418" i="2"/>
  <c r="BN415" i="2"/>
  <c r="X566" i="2"/>
  <c r="Z41" i="2"/>
  <c r="Z153" i="2"/>
  <c r="Y23" i="2"/>
  <c r="B574" i="2"/>
  <c r="BP34" i="2"/>
  <c r="BN64" i="2"/>
  <c r="BP72" i="2"/>
  <c r="F574" i="2"/>
  <c r="Y96" i="2"/>
  <c r="Y95" i="2"/>
  <c r="BN89" i="2"/>
  <c r="Y137" i="2"/>
  <c r="I574" i="2"/>
  <c r="Y156" i="2"/>
  <c r="Y155" i="2"/>
  <c r="BN151" i="2"/>
  <c r="BN221" i="2"/>
  <c r="BP254" i="2"/>
  <c r="BP278" i="2"/>
  <c r="BN278" i="2"/>
  <c r="Z278" i="2"/>
  <c r="Z321" i="2"/>
  <c r="BN353" i="2"/>
  <c r="Z353" i="2"/>
  <c r="Z354" i="2" s="1"/>
  <c r="S574" i="2"/>
  <c r="Y355" i="2"/>
  <c r="BN397" i="2"/>
  <c r="Z397" i="2"/>
  <c r="Y399" i="2"/>
  <c r="Z415" i="2"/>
  <c r="Y143" i="2"/>
  <c r="Y210" i="2"/>
  <c r="Y240" i="2"/>
  <c r="Y446" i="2"/>
  <c r="BP225" i="2"/>
  <c r="BN225" i="2"/>
  <c r="Z225" i="2"/>
  <c r="BN255" i="2"/>
  <c r="Z255" i="2"/>
  <c r="Y287" i="2"/>
  <c r="BP284" i="2"/>
  <c r="Y434" i="2"/>
  <c r="Y433" i="2"/>
  <c r="BP432" i="2"/>
  <c r="BN432" i="2"/>
  <c r="Y328" i="2"/>
  <c r="BP353" i="2"/>
  <c r="BN375" i="2"/>
  <c r="BP397" i="2"/>
  <c r="Z432" i="2"/>
  <c r="Y447" i="2"/>
  <c r="Y574" i="2"/>
  <c r="BP467" i="2"/>
  <c r="BN467" i="2"/>
  <c r="Y470" i="2"/>
  <c r="E574" i="2"/>
  <c r="Z59" i="2"/>
  <c r="BN163" i="2"/>
  <c r="BN166" i="2"/>
  <c r="BN180" i="2"/>
  <c r="BP231" i="2"/>
  <c r="Y241" i="2"/>
  <c r="Y247" i="2"/>
  <c r="BN285" i="2"/>
  <c r="Z285" i="2"/>
  <c r="BP322" i="2"/>
  <c r="BN322" i="2"/>
  <c r="Z322" i="2"/>
  <c r="Z467" i="2"/>
  <c r="BN59" i="2"/>
  <c r="Y216" i="2"/>
  <c r="BP214" i="2"/>
  <c r="BN214" i="2"/>
  <c r="L574" i="2"/>
  <c r="BP255" i="2"/>
  <c r="Z282" i="2"/>
  <c r="BP298" i="2"/>
  <c r="BN298" i="2"/>
  <c r="Y354" i="2"/>
  <c r="BP375" i="2"/>
  <c r="BP398" i="2"/>
  <c r="BN398" i="2"/>
  <c r="Z398" i="2"/>
  <c r="BP410" i="2"/>
  <c r="BN410" i="2"/>
  <c r="Y413" i="2"/>
  <c r="Y453" i="2"/>
  <c r="BP449" i="2"/>
  <c r="Y452" i="2"/>
  <c r="BN449" i="2"/>
  <c r="Z449" i="2"/>
  <c r="Z214" i="2"/>
  <c r="Z215" i="2" s="1"/>
  <c r="BP219" i="2"/>
  <c r="Y232" i="2"/>
  <c r="Y246" i="2"/>
  <c r="Y251" i="2"/>
  <c r="Y250" i="2"/>
  <c r="BN249" i="2"/>
  <c r="BP267" i="2"/>
  <c r="BN267" i="2"/>
  <c r="Y336" i="2"/>
  <c r="BP332" i="2"/>
  <c r="Y335" i="2"/>
  <c r="Q574" i="2"/>
  <c r="BN332" i="2"/>
  <c r="R574" i="2"/>
  <c r="Z410" i="2"/>
  <c r="BN423" i="2"/>
  <c r="W574" i="2"/>
  <c r="Z493" i="2"/>
  <c r="Z494" i="2" s="1"/>
  <c r="Y495" i="2"/>
  <c r="Y494" i="2"/>
  <c r="BP493" i="2"/>
  <c r="BN493" i="2"/>
  <c r="Z98" i="2"/>
  <c r="Y103" i="2"/>
  <c r="Y102" i="2"/>
  <c r="Z140" i="2"/>
  <c r="Z142" i="2" s="1"/>
  <c r="BP163" i="2"/>
  <c r="Z189" i="2"/>
  <c r="BP59" i="2"/>
  <c r="BP65" i="2"/>
  <c r="Y79" i="2"/>
  <c r="Z90" i="2"/>
  <c r="Z101" i="2"/>
  <c r="BN107" i="2"/>
  <c r="BN135" i="2"/>
  <c r="Z197" i="2"/>
  <c r="Z198" i="2" s="1"/>
  <c r="Z229" i="2"/>
  <c r="Z249" i="2"/>
  <c r="Z250" i="2" s="1"/>
  <c r="Z264" i="2"/>
  <c r="Z267" i="2"/>
  <c r="BN282" i="2"/>
  <c r="BP285" i="2"/>
  <c r="Z295" i="2"/>
  <c r="Y302" i="2"/>
  <c r="O574" i="2"/>
  <c r="Z332" i="2"/>
  <c r="BP373" i="2"/>
  <c r="BN373" i="2"/>
  <c r="BP444" i="2"/>
  <c r="BN444" i="2"/>
  <c r="Z73" i="2"/>
  <c r="Z135" i="2"/>
  <c r="Z137" i="2" s="1"/>
  <c r="BP30" i="2"/>
  <c r="BN98" i="2"/>
  <c r="BP110" i="2"/>
  <c r="Z116" i="2"/>
  <c r="Y121" i="2"/>
  <c r="BN140" i="2"/>
  <c r="Y167" i="2"/>
  <c r="Z184" i="2"/>
  <c r="Z208" i="2"/>
  <c r="Y303" i="2"/>
  <c r="Z373" i="2"/>
  <c r="BP423" i="2"/>
  <c r="Z444" i="2"/>
  <c r="Z35" i="2"/>
  <c r="Z145" i="2"/>
  <c r="Z147" i="2" s="1"/>
  <c r="BN65" i="2"/>
  <c r="BN73" i="2"/>
  <c r="Z107" i="2"/>
  <c r="BN118" i="2"/>
  <c r="Z53" i="2"/>
  <c r="Y24" i="2"/>
  <c r="BN28" i="2"/>
  <c r="Y36" i="2"/>
  <c r="BP71" i="2"/>
  <c r="Z71" i="2"/>
  <c r="Y80" i="2"/>
  <c r="BN90" i="2"/>
  <c r="BN101" i="2"/>
  <c r="Y128" i="2"/>
  <c r="BP135" i="2"/>
  <c r="BN197" i="2"/>
  <c r="BN229" i="2"/>
  <c r="BP235" i="2"/>
  <c r="BN235" i="2"/>
  <c r="Z235" i="2"/>
  <c r="BN264" i="2"/>
  <c r="BN295" i="2"/>
  <c r="BN438" i="2"/>
  <c r="Z438" i="2"/>
  <c r="X574" i="2"/>
  <c r="Y463" i="2"/>
  <c r="BP461" i="2"/>
  <c r="BN461" i="2"/>
  <c r="Y464" i="2"/>
  <c r="BP299" i="2"/>
  <c r="BN299" i="2"/>
  <c r="Z299" i="2"/>
  <c r="Z305" i="2"/>
  <c r="Z306" i="2" s="1"/>
  <c r="Y306" i="2"/>
  <c r="Z461" i="2"/>
  <c r="Z574" i="2"/>
  <c r="Z28" i="2"/>
  <c r="BP35" i="2"/>
  <c r="BP62" i="2"/>
  <c r="X564" i="2"/>
  <c r="Y31" i="2"/>
  <c r="Z43" i="2"/>
  <c r="BN53" i="2"/>
  <c r="BP98" i="2"/>
  <c r="Y215" i="2"/>
  <c r="Z51" i="2"/>
  <c r="D574" i="2"/>
  <c r="Y56" i="2"/>
  <c r="BN71" i="2"/>
  <c r="Y75" i="2"/>
  <c r="Z108" i="2"/>
  <c r="Z111" i="2"/>
  <c r="Y160" i="2"/>
  <c r="Y159" i="2"/>
  <c r="BP158" i="2"/>
  <c r="BN164" i="2"/>
  <c r="BP170" i="2"/>
  <c r="Z170" i="2"/>
  <c r="Z172" i="2" s="1"/>
  <c r="Y172" i="2"/>
  <c r="BP244" i="2"/>
  <c r="BN244" i="2"/>
  <c r="BP268" i="2"/>
  <c r="BN268" i="2"/>
  <c r="Z268" i="2"/>
  <c r="BP295" i="2"/>
  <c r="BP333" i="2"/>
  <c r="BN333" i="2"/>
  <c r="Z333" i="2"/>
  <c r="Y343" i="2"/>
  <c r="Y350" i="2"/>
  <c r="Y349" i="2"/>
  <c r="BP348" i="2"/>
  <c r="BN348" i="2"/>
  <c r="Y400" i="2"/>
  <c r="J574" i="2"/>
  <c r="BN62" i="2"/>
  <c r="Z110" i="2"/>
  <c r="Y191" i="2"/>
  <c r="BP189" i="2"/>
  <c r="BN189" i="2"/>
  <c r="X568" i="2"/>
  <c r="Y127" i="2"/>
  <c r="BP166" i="2"/>
  <c r="Y32" i="2"/>
  <c r="BP43" i="2"/>
  <c r="F9" i="2"/>
  <c r="Z26" i="2"/>
  <c r="BN63" i="2"/>
  <c r="BP146" i="2"/>
  <c r="Y198" i="2"/>
  <c r="Z244" i="2"/>
  <c r="BN305" i="2"/>
  <c r="BP438" i="2"/>
  <c r="Z486" i="2"/>
  <c r="Z511" i="2"/>
  <c r="Z521" i="2"/>
  <c r="Z531" i="2"/>
  <c r="Y558" i="2"/>
  <c r="Y427" i="2"/>
  <c r="Z472" i="2"/>
  <c r="Z473" i="2" s="1"/>
  <c r="BN486" i="2"/>
  <c r="BN511" i="2"/>
  <c r="BN521" i="2"/>
  <c r="Y524" i="2"/>
  <c r="BN531" i="2"/>
  <c r="Z543" i="2"/>
  <c r="Z544" i="2" s="1"/>
  <c r="Z555" i="2"/>
  <c r="Z182" i="2"/>
  <c r="Z206" i="2"/>
  <c r="Z227" i="2"/>
  <c r="Z237" i="2"/>
  <c r="Z260" i="2"/>
  <c r="Z261" i="2" s="1"/>
  <c r="Z270" i="2"/>
  <c r="Z280" i="2"/>
  <c r="Z290" i="2"/>
  <c r="Z301" i="2"/>
  <c r="Z313" i="2"/>
  <c r="Z324" i="2"/>
  <c r="Y376" i="2"/>
  <c r="Y386" i="2"/>
  <c r="Y394" i="2"/>
  <c r="Z403" i="2"/>
  <c r="Z406" i="2" s="1"/>
  <c r="BP405" i="2"/>
  <c r="BP456" i="2"/>
  <c r="Z477" i="2"/>
  <c r="Z489" i="2"/>
  <c r="Z502" i="2"/>
  <c r="Z514" i="2"/>
  <c r="Z561" i="2"/>
  <c r="Z562" i="2" s="1"/>
  <c r="Z275" i="2"/>
  <c r="BN472" i="2"/>
  <c r="Z484" i="2"/>
  <c r="BP521" i="2"/>
  <c r="BN543" i="2"/>
  <c r="BN555" i="2"/>
  <c r="BN270" i="2"/>
  <c r="BN280" i="2"/>
  <c r="BN290" i="2"/>
  <c r="BN301" i="2"/>
  <c r="BN313" i="2"/>
  <c r="BN324" i="2"/>
  <c r="BN403" i="2"/>
  <c r="Y406" i="2"/>
  <c r="BN477" i="2"/>
  <c r="BN489" i="2"/>
  <c r="BN502" i="2"/>
  <c r="Y505" i="2"/>
  <c r="BN514" i="2"/>
  <c r="Y535" i="2"/>
  <c r="BN561" i="2"/>
  <c r="Y377" i="2"/>
  <c r="Y387" i="2"/>
  <c r="BP472" i="2"/>
  <c r="BP543" i="2"/>
  <c r="BP555" i="2"/>
  <c r="U574" i="2"/>
  <c r="BP313" i="2"/>
  <c r="Z357" i="2"/>
  <c r="Z358" i="2" s="1"/>
  <c r="Z411" i="2"/>
  <c r="Z462" i="2"/>
  <c r="Z487" i="2"/>
  <c r="BP502" i="2"/>
  <c r="Z512" i="2"/>
  <c r="Z522" i="2"/>
  <c r="Z532" i="2"/>
  <c r="BP561" i="2"/>
  <c r="V574" i="2"/>
  <c r="Y473" i="2"/>
  <c r="Y506" i="2"/>
  <c r="Y544" i="2"/>
  <c r="Z309" i="2"/>
  <c r="Z310" i="2" s="1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Z178" i="2"/>
  <c r="Z188" i="2"/>
  <c r="Z223" i="2"/>
  <c r="Z243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Z485" i="2"/>
  <c r="BN498" i="2"/>
  <c r="Z510" i="2"/>
  <c r="Z530" i="2"/>
  <c r="BN556" i="2"/>
  <c r="BN243" i="2"/>
  <c r="BN297" i="2"/>
  <c r="BP309" i="2"/>
  <c r="BN342" i="2"/>
  <c r="BN409" i="2"/>
  <c r="Y412" i="2"/>
  <c r="BN425" i="2"/>
  <c r="BN485" i="2"/>
  <c r="BP498" i="2"/>
  <c r="BN510" i="2"/>
  <c r="AB574" i="2"/>
  <c r="BP510" i="2"/>
  <c r="Z155" i="2" l="1"/>
  <c r="Z412" i="2"/>
  <c r="Z190" i="2"/>
  <c r="Z399" i="2"/>
  <c r="Z469" i="2"/>
  <c r="Z505" i="2"/>
  <c r="Z291" i="2"/>
  <c r="Z120" i="2"/>
  <c r="Z95" i="2"/>
  <c r="Z433" i="2"/>
  <c r="Z418" i="2"/>
  <c r="Z127" i="2"/>
  <c r="X567" i="2"/>
  <c r="Z393" i="2"/>
  <c r="Z376" i="2"/>
  <c r="Z479" i="2"/>
  <c r="Z317" i="2"/>
  <c r="Z55" i="2"/>
  <c r="Z102" i="2"/>
  <c r="Z534" i="2"/>
  <c r="Y565" i="2"/>
  <c r="Z36" i="2"/>
  <c r="Z232" i="2"/>
  <c r="Z490" i="2"/>
  <c r="Z524" i="2"/>
  <c r="Z74" i="2"/>
  <c r="Z557" i="2"/>
  <c r="Y566" i="2"/>
  <c r="Z328" i="2"/>
  <c r="Z167" i="2"/>
  <c r="Z446" i="2"/>
  <c r="Z302" i="2"/>
  <c r="Z458" i="2"/>
  <c r="Z343" i="2"/>
  <c r="Y564" i="2"/>
  <c r="Z272" i="2"/>
  <c r="Z67" i="2"/>
  <c r="Z210" i="2"/>
  <c r="Z240" i="2"/>
  <c r="Y568" i="2"/>
  <c r="Z185" i="2"/>
  <c r="Z452" i="2"/>
  <c r="Z31" i="2"/>
  <c r="Z463" i="2"/>
  <c r="Z46" i="2"/>
  <c r="Z246" i="2"/>
  <c r="Z386" i="2"/>
  <c r="Z518" i="2"/>
  <c r="Z113" i="2"/>
  <c r="Z256" i="2"/>
  <c r="Z286" i="2"/>
  <c r="Z426" i="2"/>
  <c r="Z335" i="2"/>
  <c r="Y567" i="2" l="1"/>
  <c r="Z569" i="2"/>
</calcChain>
</file>

<file path=xl/sharedStrings.xml><?xml version="1.0" encoding="utf-8"?>
<sst xmlns="http://schemas.openxmlformats.org/spreadsheetml/2006/main" count="4287" uniqueCount="917">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</sst>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123" sqref="AA1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46314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/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0.41666666666666669</v>
      </c>
      <c r="R8" s="1005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6" t="str">
        <f>IF(AND($A$9="Тип доверенности/получателя при получении в адресе перегруза:",$D$9="Разовая доверенность"),"Введите ФИО","")</f>
        <v/>
      </c>
      <c r="I9" s="1006"/>
      <c r="J9" s="10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6"/>
      <c r="L9" s="1006"/>
      <c r="M9" s="1006"/>
      <c r="N9" s="70"/>
      <c r="P9" s="31" t="s">
        <v>15</v>
      </c>
      <c r="Q9" s="1007"/>
      <c r="R9" s="1007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1000</v>
      </c>
      <c r="Y123" s="55">
        <f>IFERROR(IF(X123="",0,CEILING((X123/$H123),1)*$H123),"")</f>
        <v>1004.4</v>
      </c>
      <c r="Z123" s="41">
        <f>IFERROR(IF(Y123=0,"",ROUNDUP(Y123/H123,0)*0.01898),"")</f>
        <v>2.3535200000000001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1060.2469135802469</v>
      </c>
      <c r="BN123" s="78">
        <f>IFERROR(Y123*I123/H123,"0")</f>
        <v>1064.9119999999998</v>
      </c>
      <c r="BO123" s="78">
        <f>IFERROR(1/J123*(X123/H123),"0")</f>
        <v>1.9290123456790125</v>
      </c>
      <c r="BP123" s="78">
        <f>IFERROR(1/J123*(Y123/H123),"0")</f>
        <v>1.9375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123.4567901234568</v>
      </c>
      <c r="Y127" s="43">
        <f>IFERROR(Y123/H123,"0")+IFERROR(Y124/H124,"0")+IFERROR(Y125/H125,"0")+IFERROR(Y126/H126,"0")</f>
        <v>124</v>
      </c>
      <c r="Z127" s="43">
        <f>IFERROR(IF(Z123="",0,Z123),"0")+IFERROR(IF(Z124="",0,Z124),"0")+IFERROR(IF(Z125="",0,Z125),"0")+IFERROR(IF(Z126="",0,Z126),"0")</f>
        <v>2.3535200000000001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1000</v>
      </c>
      <c r="Y128" s="43">
        <f>IFERROR(SUM(Y123:Y126),"0")</f>
        <v>1004.4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idden="1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idden="1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61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1031.3333333333333</v>
      </c>
      <c r="BN439" s="78">
        <f t="shared" si="63"/>
        <v>1036.49</v>
      </c>
      <c r="BO439" s="78">
        <f t="shared" si="64"/>
        <v>1.3888888888888888</v>
      </c>
      <c r="BP439" s="78">
        <f t="shared" si="65"/>
        <v>1.3958333333333333</v>
      </c>
    </row>
    <row r="440" spans="1:68" ht="27" hidden="1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66.666666666666671</v>
      </c>
      <c r="Y446" s="43">
        <f>IFERROR(Y438/H438,"0")+IFERROR(Y439/H439,"0")+IFERROR(Y440/H440,"0")+IFERROR(Y441/H441,"0")+IFERROR(Y442/H442,"0")+IFERROR(Y443/H443,"0")+IFERROR(Y444/H444,"0")+IFERROR(Y445/H445,"0")</f>
        <v>67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1.4572499999999999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1000</v>
      </c>
      <c r="Y447" s="43">
        <f>IFERROR(SUM(Y438:Y445),"0")</f>
        <v>1005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1000</v>
      </c>
      <c r="Y449" s="55">
        <f>IFERROR(IF(X449="",0,CEILING((X449/$H449),1)*$H449),"")</f>
        <v>1005</v>
      </c>
      <c r="Z449" s="41">
        <f>IFERROR(IF(Y449=0,"",ROUNDUP(Y449/H449,0)*0.02175),"")</f>
        <v>1.4572499999999999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1031.3333333333333</v>
      </c>
      <c r="BN449" s="78">
        <f>IFERROR(Y449*I449/H449,"0")</f>
        <v>1036.49</v>
      </c>
      <c r="BO449" s="78">
        <f>IFERROR(1/J449*(X449/H449),"0")</f>
        <v>1.3888888888888888</v>
      </c>
      <c r="BP449" s="78">
        <f>IFERROR(1/J449*(Y449/H449),"0")</f>
        <v>1.3958333333333333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66.666666666666671</v>
      </c>
      <c r="Y452" s="43">
        <f>IFERROR(Y449/H449,"0")+IFERROR(Y450/H450,"0")+IFERROR(Y451/H451,"0")</f>
        <v>67</v>
      </c>
      <c r="Z452" s="43">
        <f>IFERROR(IF(Z449="",0,Z449),"0")+IFERROR(IF(Z450="",0,Z450),"0")+IFERROR(IF(Z451="",0,Z451),"0")</f>
        <v>1.4572499999999999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1000</v>
      </c>
      <c r="Y453" s="43">
        <f>IFERROR(SUM(Y449:Y451),"0")</f>
        <v>1005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1000</v>
      </c>
      <c r="Y513" s="55">
        <f t="shared" si="71"/>
        <v>1003.2</v>
      </c>
      <c r="Z513" s="41">
        <f>IFERROR(IF(Y513=0,"",ROUNDUP(Y513/H513,0)*0.01196),"")</f>
        <v>2.2724000000000002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1066.2878787878788</v>
      </c>
      <c r="BN513" s="78">
        <f t="shared" si="73"/>
        <v>1069.7</v>
      </c>
      <c r="BO513" s="78">
        <f t="shared" si="74"/>
        <v>1.821095571095571</v>
      </c>
      <c r="BP513" s="78">
        <f t="shared" si="75"/>
        <v>1.8269230769230771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189.39393939393938</v>
      </c>
      <c r="Y518" s="43">
        <f>IFERROR(Y510/H510,"0")+IFERROR(Y511/H511,"0")+IFERROR(Y512/H512,"0")+IFERROR(Y513/H513,"0")+IFERROR(Y514/H514,"0")+IFERROR(Y515/H515,"0")+IFERROR(Y516/H516,"0")+IFERROR(Y517/H517,"0")</f>
        <v>190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2.2724000000000002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1000</v>
      </c>
      <c r="Y519" s="43">
        <f>IFERROR(SUM(Y510:Y517),"0")</f>
        <v>1003.2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1000</v>
      </c>
      <c r="Y521" s="55">
        <f>IFERROR(IF(X521="",0,CEILING((X521/$H521),1)*$H521),"")</f>
        <v>1003.2</v>
      </c>
      <c r="Z521" s="41">
        <f>IFERROR(IF(Y521=0,"",ROUNDUP(Y521/H521,0)*0.01196),"")</f>
        <v>2.2724000000000002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1066.2878787878788</v>
      </c>
      <c r="BN521" s="78">
        <f>IFERROR(Y521*I521/H521,"0")</f>
        <v>1069.7</v>
      </c>
      <c r="BO521" s="78">
        <f>IFERROR(1/J521*(X521/H521),"0")</f>
        <v>1.821095571095571</v>
      </c>
      <c r="BP521" s="78">
        <f>IFERROR(1/J521*(Y521/H521),"0")</f>
        <v>1.8269230769230771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189.39393939393938</v>
      </c>
      <c r="Y524" s="43">
        <f>IFERROR(Y521/H521,"0")+IFERROR(Y522/H522,"0")+IFERROR(Y523/H523,"0")</f>
        <v>190</v>
      </c>
      <c r="Z524" s="43">
        <f>IFERROR(IF(Z521="",0,Z521),"0")+IFERROR(IF(Z522="",0,Z522),"0")+IFERROR(IF(Z523="",0,Z523),"0")</f>
        <v>2.2724000000000002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1000</v>
      </c>
      <c r="Y525" s="43">
        <f>IFERROR(SUM(Y521:Y523),"0")</f>
        <v>1003.2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5000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5020.8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5255.4893378226716</v>
      </c>
      <c r="Y565" s="43">
        <f>IFERROR(SUM(BN22:BN561),"0")</f>
        <v>5277.2919999999995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9</v>
      </c>
      <c r="Y566" s="44">
        <f>ROUNDUP(SUM(BP22:BP561),0)</f>
        <v>9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5480.4893378226716</v>
      </c>
      <c r="Y567" s="43">
        <f>GrossWeightTotalR+PalletQtyTotalR*25</f>
        <v>5502.2919999999995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635.57800224466882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638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9.8128200000000003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1004.4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2010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2006.4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23,46"/>
        <filter val="189,39"/>
        <filter val="5 000,00"/>
        <filter val="5 255,49"/>
        <filter val="5 480,49"/>
        <filter val="635,58"/>
        <filter val="66,67"/>
        <filter val="9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9" spans="2:8" x14ac:dyDescent="0.2">
      <c r="B9" s="53" t="s">
        <v>884</v>
      </c>
      <c r="C9" s="53" t="s">
        <v>885</v>
      </c>
      <c r="D9" s="53" t="s">
        <v>886</v>
      </c>
      <c r="E9" s="53" t="s">
        <v>46</v>
      </c>
    </row>
    <row r="10" spans="2:8" x14ac:dyDescent="0.2">
      <c r="B10" s="53" t="s">
        <v>887</v>
      </c>
      <c r="C10" s="53" t="s">
        <v>888</v>
      </c>
      <c r="D10" s="53" t="s">
        <v>889</v>
      </c>
      <c r="E10" s="53" t="s">
        <v>46</v>
      </c>
    </row>
    <row r="11" spans="2:8" x14ac:dyDescent="0.2">
      <c r="B11" s="53" t="s">
        <v>890</v>
      </c>
      <c r="C11" s="53" t="s">
        <v>891</v>
      </c>
      <c r="D11" s="53" t="s">
        <v>892</v>
      </c>
      <c r="E11" s="53" t="s">
        <v>46</v>
      </c>
    </row>
    <row r="12" spans="2:8" x14ac:dyDescent="0.2">
      <c r="B12" s="53" t="s">
        <v>893</v>
      </c>
      <c r="C12" s="53" t="s">
        <v>894</v>
      </c>
      <c r="D12" s="53" t="s">
        <v>895</v>
      </c>
      <c r="E12" s="53" t="s">
        <v>46</v>
      </c>
    </row>
    <row r="13" spans="2:8" x14ac:dyDescent="0.2">
      <c r="B13" s="53" t="s">
        <v>896</v>
      </c>
      <c r="C13" s="53" t="s">
        <v>897</v>
      </c>
      <c r="D13" s="53" t="s">
        <v>135</v>
      </c>
      <c r="E13" s="53" t="s">
        <v>46</v>
      </c>
    </row>
    <row r="15" spans="2:8" x14ac:dyDescent="0.2">
      <c r="B15" s="53" t="s">
        <v>898</v>
      </c>
      <c r="C15" s="53" t="s">
        <v>876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879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882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885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888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891</v>
      </c>
      <c r="D25" s="53" t="s">
        <v>46</v>
      </c>
      <c r="E25" s="53" t="s">
        <v>46</v>
      </c>
    </row>
    <row r="27" spans="2:5" x14ac:dyDescent="0.2">
      <c r="B27" s="53" t="s">
        <v>904</v>
      </c>
      <c r="C27" s="53" t="s">
        <v>894</v>
      </c>
      <c r="D27" s="53" t="s">
        <v>46</v>
      </c>
      <c r="E27" s="53" t="s">
        <v>46</v>
      </c>
    </row>
    <row r="29" spans="2:5" x14ac:dyDescent="0.2">
      <c r="B29" s="53" t="s">
        <v>905</v>
      </c>
      <c r="C29" s="53" t="s">
        <v>897</v>
      </c>
      <c r="D29" s="53" t="s">
        <v>46</v>
      </c>
      <c r="E29" s="53" t="s">
        <v>46</v>
      </c>
    </row>
    <row r="31" spans="2:5" x14ac:dyDescent="0.2">
      <c r="B31" s="53" t="s">
        <v>906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913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914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915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916</v>
      </c>
      <c r="C41" s="53" t="s">
        <v>46</v>
      </c>
      <c r="D41" s="53" t="s">
        <v>46</v>
      </c>
      <c r="E41" s="53" t="s">
        <v>46</v>
      </c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2026-10-20T06:30:09Z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