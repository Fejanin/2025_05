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15CD7614-1464-4A4F-9748-06B30440E1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Лист2!$H$1:$H$36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L36" i="2"/>
  <c r="K36" i="2"/>
  <c r="I35" i="2" l="1"/>
  <c r="J20" i="2" l="1"/>
  <c r="I20" i="2"/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 l="1"/>
  <c r="I2" i="2" l="1"/>
  <c r="I3" i="2"/>
  <c r="I4" i="2"/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H36" i="2" l="1"/>
  <c r="I36" i="2" l="1"/>
</calcChain>
</file>

<file path=xl/sharedStrings.xml><?xml version="1.0" encoding="utf-8"?>
<sst xmlns="http://schemas.openxmlformats.org/spreadsheetml/2006/main" count="195" uniqueCount="195">
  <si>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</si>
  <si>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</si>
  <si>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</si>
  <si>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</si>
  <si>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Колбаса Докторская ГОСТ Дугушка, ВЕС, ТМ Стародворье ПОКОМ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</si>
  <si>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</si>
  <si>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</si>
  <si>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</si>
  <si>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</si>
  <si>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</si>
  <si>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</si>
  <si>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</si>
  <si>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</si>
  <si>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</si>
  <si>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Ветчина Нежная ТМ Особый рецепт, (2,5кг), ПОКОМ, кг</t>
  </si>
  <si>
    <t>Вес, кг</t>
  </si>
  <si>
    <t>ИТОГО:</t>
  </si>
  <si>
    <t>Сосиски Сочинки с сочной грудинкой, МГС 0.4кг,   ПОКОМ</t>
  </si>
  <si>
    <t>Европоддон (невозвратный)</t>
  </si>
  <si>
    <t>Колбаса Сервелат Мясорубский с мелкорубленным окороком в/у  ТМ Стародворье ВЕС   ПОКОМ</t>
  </si>
  <si>
    <t>Колбаса вареная Филейская ТМ Вязанка ТС Классическая ВЕС  ПОКОМ</t>
  </si>
  <si>
    <t>Колбаса вареная Филейская ТМ Вязанка ТС Классическая, 0,45 кг. ПОКОМ</t>
  </si>
  <si>
    <t>Колбаса вареная Молокуша 0,45кг ТМ Вязанка  ПОКОМ</t>
  </si>
  <si>
    <t>Колбаса Нежная ТМ Зареченские ВЕС  ПОКОМ</t>
  </si>
  <si>
    <t>Колбаса вареная Молокуша ТМ Вязанка ВЕС, ПОКОМ</t>
  </si>
  <si>
    <t>Колбаса Салями Филейбургская зернистая, оболочка фиброуз, ВЕС, ТМ Баварушка  ПОКОМ</t>
  </si>
  <si>
    <t>код 
завода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</si>
  <si>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</si>
  <si>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</si>
  <si>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</si>
  <si>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</si>
  <si>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Сосиски Сочинки Молочные ТМ Стародворье 0,4 кг ПОКОМ</t>
  </si>
  <si>
    <t>Сосиски Сочинки Молочные ТМ Стародворье, ВЕС ПОКОМ</t>
  </si>
  <si>
    <t xml:space="preserve"> Сосиски Сочинки Сливочные ТМ Стародворье ВЕС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</si>
  <si>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</si>
  <si>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</si>
  <si>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</si>
  <si>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</si>
  <si>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</si>
  <si>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</si>
  <si>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</si>
  <si>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</si>
  <si>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</si>
  <si>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</si>
  <si>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</si>
  <si>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</si>
  <si>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</si>
  <si>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</si>
  <si>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</si>
  <si>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</si>
  <si>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</si>
  <si>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</si>
  <si>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</si>
  <si>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</si>
  <si>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</si>
  <si>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</si>
  <si>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</si>
  <si>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</si>
  <si>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</si>
  <si>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</si>
  <si>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</si>
  <si>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</si>
  <si>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</si>
  <si>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</si>
  <si>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</si>
  <si>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</si>
  <si>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</si>
  <si>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</si>
  <si>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</si>
  <si>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</si>
  <si>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</si>
  <si>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</si>
  <si>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</si>
  <si>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</si>
  <si>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</si>
  <si>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</si>
  <si>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</si>
  <si>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</si>
  <si>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</si>
  <si>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</si>
  <si>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</si>
  <si>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</si>
  <si>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</si>
  <si>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</si>
  <si>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</si>
  <si>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</si>
  <si>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</si>
  <si>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</si>
  <si>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</si>
  <si>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</si>
  <si>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</si>
  <si>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</si>
  <si>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</si>
  <si>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</si>
  <si>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</si>
  <si>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</si>
  <si>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</si>
  <si>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</si>
  <si>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</si>
  <si>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</si>
  <si>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</si>
  <si>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</si>
  <si>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</si>
  <si>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</si>
  <si>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</si>
  <si>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</si>
  <si>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</si>
  <si>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</si>
  <si>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</si>
  <si>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</si>
  <si>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</si>
  <si>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</si>
  <si>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</si>
  <si>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</si>
  <si>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</si>
  <si>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</si>
  <si>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</si>
  <si>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</si>
  <si>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</si>
  <si>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</si>
  <si>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</si>
  <si>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</si>
  <si>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</si>
  <si>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</si>
  <si>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</si>
  <si>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</si>
  <si>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</si>
  <si>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</si>
  <si>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</si>
  <si>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</si>
  <si>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</si>
  <si>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</si>
  <si>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</si>
  <si>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</si>
  <si>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</si>
  <si>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</si>
  <si>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</si>
  <si>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</si>
  <si>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</si>
  <si>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</si>
  <si>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</si>
  <si>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</si>
  <si>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</si>
  <si>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</si>
  <si>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</si>
  <si>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</si>
  <si>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</si>
  <si>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</si>
  <si>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</si>
  <si>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</si>
  <si>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</si>
  <si>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</si>
  <si>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</si>
  <si>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</si>
  <si>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</si>
  <si>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</si>
  <si>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</si>
  <si>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</si>
  <si>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</si>
  <si>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</si>
  <si>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</si>
  <si>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</si>
  <si>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</si>
  <si>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</si>
  <si>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</si>
  <si>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</si>
  <si>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</si>
  <si>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</si>
  <si>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</si>
  <si>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</si>
  <si>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</si>
  <si>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</si>
  <si>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</si>
  <si>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</si>
  <si>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</si>
  <si>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</si>
  <si>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</si>
  <si>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</si>
  <si>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</si>
  <si>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</si>
  <si>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</si>
  <si>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</si>
  <si>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</si>
  <si>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</si>
  <si>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</si>
  <si>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</si>
  <si>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Филейная оригинальная ТМ Особый рецепт в оболочке полиамид. ВЕС. ПОКОМ</t>
  </si>
  <si>
    <t>Николаенко</t>
  </si>
  <si>
    <t>Сумма, руб Николаенко</t>
  </si>
  <si>
    <t>Сосиски Баварские с сыром ТМ Стародворье 0,35 кг. ПОКОМ</t>
  </si>
  <si>
    <t>Сосиски Баварские ТМ Стародворье 0,35 кг ПОКОМ</t>
  </si>
  <si>
    <t xml:space="preserve">ЗАКАЗ </t>
  </si>
  <si>
    <t>ЗАКАЗ  Нал</t>
  </si>
  <si>
    <t>ЗАКАЗ  Банк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</si>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</sst>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8" formatCode="#,##0.00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C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46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1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6" fillId="31" borderId="11" xfId="0" applyNumberFormat="1" applyFont="1" applyFill="1" applyBorder="1" applyAlignment="1">
      <alignment horizontal="right" vertical="top"/>
    </xf>
    <xf numFmtId="2" fontId="46" fillId="27" borderId="11" xfId="0" applyNumberFormat="1" applyFont="1" applyFill="1" applyBorder="1" applyAlignment="1">
      <alignment horizontal="right" vertical="top"/>
    </xf>
    <xf numFmtId="2" fontId="47" fillId="24" borderId="0" xfId="0" applyNumberFormat="1" applyFont="1" applyFill="1"/>
    <xf numFmtId="2" fontId="47" fillId="0" borderId="0" xfId="0" applyNumberFormat="1" applyFont="1"/>
    <xf numFmtId="0" fontId="0" fillId="0" borderId="0" xfId="0" applyFill="1"/>
    <xf numFmtId="4" fontId="0" fillId="0" borderId="0" xfId="0" applyNumberFormat="1" applyFill="1"/>
    <xf numFmtId="4" fontId="34" fillId="28" borderId="10" xfId="1953" applyNumberFormat="1" applyFont="1" applyFill="1" applyBorder="1" applyAlignment="1">
      <alignment horizontal="center" vertical="center" wrapText="1"/>
    </xf>
    <xf numFmtId="0" fontId="48" fillId="0" borderId="10" xfId="1952" applyFont="1" applyFill="1" applyBorder="1" applyAlignment="1">
      <alignment horizontal="left" vertical="top" wrapText="1"/>
    </xf>
    <xf numFmtId="0" fontId="48" fillId="0" borderId="10" xfId="0" applyFont="1" applyFill="1" applyBorder="1" applyAlignment="1">
      <alignment vertical="top" wrapText="1"/>
    </xf>
    <xf numFmtId="0" fontId="48" fillId="0" borderId="10" xfId="1952" applyNumberFormat="1" applyFont="1" applyFill="1" applyBorder="1" applyAlignment="1">
      <alignment horizontal="left" vertical="top" wrapText="1"/>
    </xf>
    <xf numFmtId="0" fontId="32" fillId="32" borderId="10" xfId="0" applyNumberFormat="1" applyFont="1" applyFill="1" applyBorder="1" applyAlignment="1">
      <alignment horizontal="center" vertical="center"/>
    </xf>
    <xf numFmtId="0" fontId="34" fillId="33" borderId="10" xfId="1953" applyNumberFormat="1" applyFont="1" applyFill="1" applyBorder="1" applyAlignment="1">
      <alignment horizontal="center" vertical="center" wrapText="1"/>
    </xf>
    <xf numFmtId="49" fontId="32" fillId="32" borderId="10" xfId="0" applyNumberFormat="1" applyFont="1" applyFill="1" applyBorder="1" applyAlignment="1">
      <alignment horizontal="center" vertical="center"/>
    </xf>
    <xf numFmtId="0" fontId="34" fillId="33" borderId="10" xfId="1953" applyFont="1" applyFill="1" applyBorder="1" applyAlignment="1">
      <alignment horizontal="center" vertical="center" wrapText="1"/>
    </xf>
    <xf numFmtId="4" fontId="49" fillId="0" borderId="10" xfId="1952" applyNumberFormat="1" applyFont="1" applyFill="1" applyBorder="1" applyAlignment="1">
      <alignment horizontal="center" vertical="center"/>
    </xf>
    <xf numFmtId="4" fontId="50" fillId="0" borderId="10" xfId="1952" applyNumberFormat="1" applyFont="1" applyFill="1" applyBorder="1" applyAlignment="1">
      <alignment horizontal="center" vertical="center"/>
    </xf>
    <xf numFmtId="4" fontId="48" fillId="0" borderId="10" xfId="0" applyNumberFormat="1" applyFont="1" applyFill="1" applyBorder="1" applyAlignment="1">
      <alignment horizontal="center" vertical="top"/>
    </xf>
    <xf numFmtId="4" fontId="37" fillId="24" borderId="10" xfId="1952" applyNumberFormat="1" applyFont="1" applyFill="1" applyBorder="1" applyAlignment="1">
      <alignment horizontal="center" vertical="center"/>
    </xf>
    <xf numFmtId="168" fontId="36" fillId="25" borderId="10" xfId="0" applyNumberFormat="1" applyFont="1" applyFill="1" applyBorder="1" applyAlignment="1">
      <alignment horizontal="center" vertical="center"/>
    </xf>
    <xf numFmtId="168" fontId="43" fillId="26" borderId="10" xfId="0" applyNumberFormat="1" applyFont="1" applyFill="1" applyBorder="1" applyAlignment="1">
      <alignment horizontal="center" vertical="center"/>
    </xf>
    <xf numFmtId="0" fontId="45" fillId="29" borderId="10" xfId="0" applyFont="1" applyFill="1" applyBorder="1" applyAlignment="1">
      <alignment horizontal="center" vertical="center" wrapText="1"/>
    </xf>
    <xf numFmtId="0" fontId="38" fillId="29" borderId="10" xfId="0" applyFont="1" applyFill="1" applyBorder="1" applyAlignment="1">
      <alignment horizontal="center" vertical="center"/>
    </xf>
    <xf numFmtId="49" fontId="33" fillId="29" borderId="10" xfId="0" applyNumberFormat="1" applyFont="1" applyFill="1" applyBorder="1" applyAlignment="1">
      <alignment horizontal="center" vertical="center" wrapText="1"/>
    </xf>
    <xf numFmtId="0" fontId="33" fillId="29" borderId="10" xfId="0" applyFont="1" applyFill="1" applyBorder="1" applyAlignment="1">
      <alignment horizontal="center" vertical="center" wrapText="1"/>
    </xf>
    <xf numFmtId="4" fontId="33" fillId="29" borderId="10" xfId="0" applyNumberFormat="1" applyFont="1" applyFill="1" applyBorder="1" applyAlignment="1">
      <alignment horizontal="center" vertical="center" wrapText="1"/>
    </xf>
    <xf numFmtId="0" fontId="33" fillId="29" borderId="10" xfId="0" applyNumberFormat="1" applyFont="1" applyFill="1" applyBorder="1" applyAlignment="1">
      <alignment horizontal="center" vertical="center" wrapText="1"/>
    </xf>
    <xf numFmtId="2" fontId="42" fillId="29" borderId="10" xfId="0" applyNumberFormat="1" applyFont="1" applyFill="1" applyBorder="1" applyAlignment="1">
      <alignment horizontal="center" vertical="center" wrapText="1"/>
    </xf>
    <xf numFmtId="44" fontId="42" fillId="29" borderId="10" xfId="0" applyNumberFormat="1" applyFont="1" applyFill="1" applyBorder="1" applyAlignment="1">
      <alignment horizontal="center" vertical="center" wrapText="1"/>
    </xf>
    <xf numFmtId="44" fontId="43" fillId="28" borderId="10" xfId="0" applyNumberFormat="1" applyFont="1" applyFill="1" applyBorder="1" applyAlignment="1">
      <alignment horizontal="center" vertical="center"/>
    </xf>
    <xf numFmtId="0" fontId="35" fillId="30" borderId="10" xfId="1953" applyNumberFormat="1" applyFont="1" applyFill="1" applyBorder="1" applyAlignment="1">
      <alignment horizontal="right" vertical="center" wrapText="1"/>
    </xf>
    <xf numFmtId="4" fontId="35" fillId="30" borderId="10" xfId="1953" applyNumberFormat="1" applyFont="1" applyFill="1" applyBorder="1" applyAlignment="1">
      <alignment horizontal="right" vertical="center" wrapText="1"/>
    </xf>
    <xf numFmtId="168" fontId="40" fillId="30" borderId="10" xfId="0" applyNumberFormat="1" applyFont="1" applyFill="1" applyBorder="1" applyAlignment="1">
      <alignment horizontal="center" vertical="center"/>
    </xf>
    <xf numFmtId="168" fontId="44" fillId="30" borderId="10" xfId="0" applyNumberFormat="1" applyFont="1" applyFill="1" applyBorder="1" applyAlignment="1">
      <alignment horizontal="center" vertical="center"/>
    </xf>
    <xf numFmtId="0" fontId="35" fillId="30" borderId="10" xfId="1953" applyNumberFormat="1" applyFont="1" applyFill="1" applyBorder="1" applyAlignment="1">
      <alignment horizontal="right" vertical="center" wrapText="1"/>
    </xf>
    <xf numFmtId="0" fontId="35" fillId="30" borderId="10" xfId="1953" applyNumberFormat="1" applyFont="1" applyFill="1" applyBorder="1" applyAlignment="1">
      <alignment horizontal="right" vertical="center" wrapText="1"/>
    </xf>
    <xf numFmtId="0" fontId="33" fillId="34" borderId="10" xfId="0" applyNumberFormat="1" applyFont="1" applyFill="1" applyBorder="1" applyAlignment="1">
      <alignment horizontal="center" vertical="center" wrapText="1"/>
    </xf>
    <xf numFmtId="0" fontId="33" fillId="35" borderId="10" xfId="0" applyNumberFormat="1" applyFont="1" applyFill="1" applyBorder="1" applyAlignment="1">
      <alignment horizontal="center" vertical="center" wrapText="1"/>
    </xf>
    <xf numFmtId="0" fontId="32" fillId="0" borderId="10" xfId="1952" applyNumberFormat="1" applyFont="1" applyFill="1" applyBorder="1" applyAlignment="1">
      <alignment horizontal="left" vertical="top" wrapText="1"/>
    </xf>
    <xf numFmtId="0" fontId="39" fillId="0" borderId="10" xfId="0" applyFont="1" applyBorder="1" applyAlignment="1">
      <alignment horizontal="center" vertical="center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9"/>
    </tableStyle>
    <tableStyle name="Стиль сводной таблицы 2" table="0" count="1" xr9:uid="{00000000-0011-0000-FFFF-FFFF01000000}">
      <tableStyleElement type="thirdSubtotalColumn" dxfId="8"/>
    </tableStyle>
    <tableStyle name="Стиль сводной таблицы 3" table="0" count="1" xr9:uid="{00000000-0011-0000-FFFF-FFFF02000000}">
      <tableStyleElement type="thirdColumnSubheading" dxfId="7"/>
    </tableStyle>
  </tableStyles>
  <colors>
    <mruColors>
      <color rgb="FFAEE8FC"/>
      <color rgb="FFFFE699"/>
      <color rgb="FFFFDF57"/>
      <color rgb="FFB8FEF7"/>
      <color rgb="FFD0FCD1"/>
      <color rgb="FFD29DFD"/>
      <color rgb="FFB968FC"/>
      <color rgb="FFADFA60"/>
      <color rgb="FFDFFED4"/>
      <color rgb="FF96B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6"/>
  <sheetViews>
    <sheetView tabSelected="1" zoomScale="70" zoomScaleNormal="70" workbookViewId="0">
      <pane ySplit="1" topLeftCell="A2" activePane="bottomLeft" state="frozen"/>
      <selection pane="bottomLeft" activeCell="V9" sqref="V9"/>
    </sheetView>
  </sheetViews>
  <sheetFormatPr defaultRowHeight="18.75" x14ac:dyDescent="0.25"/>
  <cols>
    <col min="1" max="2" width="14.28515625" customWidth="1"/>
    <col min="3" max="3" width="108.85546875" style="5" customWidth="1"/>
    <col min="4" max="4" width="10.42578125" style="3" customWidth="1"/>
    <col min="5" max="5" width="15.140625" style="6" customWidth="1"/>
    <col min="6" max="6" width="13" style="11" customWidth="1"/>
    <col min="7" max="7" width="19.7109375" style="12" hidden="1" customWidth="1"/>
    <col min="8" max="8" width="21.5703125" style="2" customWidth="1"/>
    <col min="9" max="9" width="21.5703125" style="4" customWidth="1"/>
    <col min="10" max="10" width="21.5703125" style="4" hidden="1" customWidth="1"/>
    <col min="11" max="12" width="21.5703125" style="2" hidden="1" customWidth="1"/>
  </cols>
  <sheetData>
    <row r="1" spans="2:12" ht="69.75" customHeight="1" x14ac:dyDescent="0.25">
      <c r="B1" s="28" t="s">
        <v>194</v>
      </c>
      <c r="C1" s="27" t="s">
        <v>8</v>
      </c>
      <c r="D1" s="28"/>
      <c r="E1" s="29" t="s">
        <v>9</v>
      </c>
      <c r="F1" s="30" t="s">
        <v>26</v>
      </c>
      <c r="G1" s="31" t="s">
        <v>187</v>
      </c>
      <c r="H1" s="32" t="s">
        <v>191</v>
      </c>
      <c r="I1" s="33" t="s">
        <v>15</v>
      </c>
      <c r="J1" s="34" t="s">
        <v>188</v>
      </c>
      <c r="K1" s="42" t="s">
        <v>192</v>
      </c>
      <c r="L1" s="43" t="s">
        <v>193</v>
      </c>
    </row>
    <row r="2" spans="2:12" ht="27" customHeight="1" x14ac:dyDescent="0.25">
      <c r="B2" s="45">
        <v>1</v>
      </c>
      <c r="C2" s="14" t="s">
        <v>186</v>
      </c>
      <c r="D2" s="21">
        <v>1</v>
      </c>
      <c r="E2" s="17">
        <v>465</v>
      </c>
      <c r="F2" s="18">
        <v>3425</v>
      </c>
      <c r="G2" s="13">
        <v>175</v>
      </c>
      <c r="H2" s="25">
        <f t="shared" ref="H2:H7" si="0">K2+L2</f>
        <v>50</v>
      </c>
      <c r="I2" s="26">
        <f>H2*D2</f>
        <v>50</v>
      </c>
      <c r="J2" s="35">
        <f>H2*G2</f>
        <v>8750</v>
      </c>
      <c r="K2" s="25">
        <v>40</v>
      </c>
      <c r="L2" s="25">
        <v>10</v>
      </c>
    </row>
    <row r="3" spans="2:12" ht="27" customHeight="1" x14ac:dyDescent="0.25">
      <c r="B3" s="45">
        <v>2</v>
      </c>
      <c r="C3" s="14" t="s">
        <v>185</v>
      </c>
      <c r="D3" s="21">
        <v>1</v>
      </c>
      <c r="E3" s="17">
        <v>456</v>
      </c>
      <c r="F3" s="18">
        <v>3420</v>
      </c>
      <c r="G3" s="13">
        <v>154</v>
      </c>
      <c r="H3" s="25">
        <f t="shared" si="0"/>
        <v>100</v>
      </c>
      <c r="I3" s="26">
        <f>H3*D3</f>
        <v>100</v>
      </c>
      <c r="J3" s="35">
        <f>H3*G3</f>
        <v>15400</v>
      </c>
      <c r="K3" s="25">
        <v>50</v>
      </c>
      <c r="L3" s="25">
        <v>50</v>
      </c>
    </row>
    <row r="4" spans="2:12" ht="27" customHeight="1" x14ac:dyDescent="0.25">
      <c r="B4" s="45">
        <v>3</v>
      </c>
      <c r="C4" s="14" t="s">
        <v>184</v>
      </c>
      <c r="D4" s="21">
        <v>1</v>
      </c>
      <c r="E4" s="17">
        <v>449</v>
      </c>
      <c r="F4" s="18">
        <v>2634</v>
      </c>
      <c r="G4" s="13">
        <v>215</v>
      </c>
      <c r="H4" s="25">
        <f t="shared" si="0"/>
        <v>150</v>
      </c>
      <c r="I4" s="26">
        <f>H4*D4</f>
        <v>150</v>
      </c>
      <c r="J4" s="35">
        <f>H4*G4</f>
        <v>32250</v>
      </c>
      <c r="K4" s="25">
        <v>50</v>
      </c>
      <c r="L4" s="25">
        <v>100</v>
      </c>
    </row>
    <row r="5" spans="2:12" ht="27" customHeight="1" x14ac:dyDescent="0.25">
      <c r="B5" s="45">
        <v>4</v>
      </c>
      <c r="C5" s="14" t="s">
        <v>24</v>
      </c>
      <c r="D5" s="21">
        <v>1</v>
      </c>
      <c r="E5" s="17">
        <v>315</v>
      </c>
      <c r="F5" s="18">
        <v>2830</v>
      </c>
      <c r="G5" s="13">
        <v>240</v>
      </c>
      <c r="H5" s="25">
        <f t="shared" si="0"/>
        <v>60</v>
      </c>
      <c r="I5" s="26">
        <f>H5*D5</f>
        <v>60</v>
      </c>
      <c r="J5" s="35">
        <f>H5*G5</f>
        <v>14400</v>
      </c>
      <c r="K5" s="25">
        <v>40</v>
      </c>
      <c r="L5" s="25">
        <v>20</v>
      </c>
    </row>
    <row r="6" spans="2:12" ht="27" customHeight="1" x14ac:dyDescent="0.25">
      <c r="B6" s="45">
        <v>5</v>
      </c>
      <c r="C6" s="14" t="s">
        <v>5</v>
      </c>
      <c r="D6" s="21">
        <v>1</v>
      </c>
      <c r="E6" s="17">
        <v>265</v>
      </c>
      <c r="F6" s="18">
        <v>2612</v>
      </c>
      <c r="G6" s="13">
        <v>308</v>
      </c>
      <c r="H6" s="25">
        <f t="shared" si="0"/>
        <v>30</v>
      </c>
      <c r="I6" s="26">
        <f>H6*D6</f>
        <v>30</v>
      </c>
      <c r="J6" s="35">
        <f>H6*G6</f>
        <v>9240</v>
      </c>
      <c r="K6" s="25">
        <v>25</v>
      </c>
      <c r="L6" s="25">
        <v>5</v>
      </c>
    </row>
    <row r="7" spans="2:12" ht="27" customHeight="1" x14ac:dyDescent="0.25">
      <c r="B7" s="45">
        <v>6</v>
      </c>
      <c r="C7" s="14" t="s">
        <v>11</v>
      </c>
      <c r="D7" s="21">
        <v>1</v>
      </c>
      <c r="E7" s="17">
        <v>5</v>
      </c>
      <c r="F7" s="18">
        <v>722</v>
      </c>
      <c r="G7" s="13">
        <v>280</v>
      </c>
      <c r="H7" s="25">
        <f t="shared" si="0"/>
        <v>30</v>
      </c>
      <c r="I7" s="26">
        <f>H7*D7</f>
        <v>30</v>
      </c>
      <c r="J7" s="35">
        <f>H7*G7</f>
        <v>8400</v>
      </c>
      <c r="K7" s="25">
        <v>30</v>
      </c>
      <c r="L7" s="25"/>
    </row>
    <row r="8" spans="2:12" ht="27" customHeight="1" x14ac:dyDescent="0.25">
      <c r="B8" s="45">
        <v>7</v>
      </c>
      <c r="C8" s="14" t="s">
        <v>25</v>
      </c>
      <c r="D8" s="21">
        <v>1</v>
      </c>
      <c r="E8" s="17">
        <v>267</v>
      </c>
      <c r="F8" s="18">
        <v>2614</v>
      </c>
      <c r="G8" s="13">
        <v>315</v>
      </c>
      <c r="H8" s="25">
        <f t="shared" ref="H8:H21" si="1">K8+L8</f>
        <v>30</v>
      </c>
      <c r="I8" s="26">
        <f>H8*D8</f>
        <v>30</v>
      </c>
      <c r="J8" s="35">
        <f>H8*G8</f>
        <v>9450</v>
      </c>
      <c r="K8" s="25">
        <v>25</v>
      </c>
      <c r="L8" s="25">
        <v>5</v>
      </c>
    </row>
    <row r="9" spans="2:12" ht="27" customHeight="1" x14ac:dyDescent="0.25">
      <c r="B9" s="45">
        <v>8</v>
      </c>
      <c r="C9" s="14" t="s">
        <v>13</v>
      </c>
      <c r="D9" s="21">
        <v>1</v>
      </c>
      <c r="E9" s="19">
        <v>243</v>
      </c>
      <c r="F9" s="18">
        <v>1820</v>
      </c>
      <c r="G9" s="13">
        <v>275</v>
      </c>
      <c r="H9" s="25">
        <f t="shared" si="1"/>
        <v>30</v>
      </c>
      <c r="I9" s="26">
        <f>H9*D9</f>
        <v>30</v>
      </c>
      <c r="J9" s="35">
        <f>H9*G9</f>
        <v>8250</v>
      </c>
      <c r="K9" s="25">
        <v>25</v>
      </c>
      <c r="L9" s="25">
        <v>5</v>
      </c>
    </row>
    <row r="10" spans="2:12" ht="27" customHeight="1" x14ac:dyDescent="0.25">
      <c r="B10" s="45">
        <v>9</v>
      </c>
      <c r="C10" s="14" t="s">
        <v>12</v>
      </c>
      <c r="D10" s="21">
        <v>1</v>
      </c>
      <c r="E10" s="19">
        <v>266</v>
      </c>
      <c r="F10" s="18">
        <v>2613</v>
      </c>
      <c r="G10" s="13">
        <v>298</v>
      </c>
      <c r="H10" s="25">
        <f t="shared" si="1"/>
        <v>25</v>
      </c>
      <c r="I10" s="26">
        <f>H10*D10</f>
        <v>25</v>
      </c>
      <c r="J10" s="35">
        <f>H10*G10</f>
        <v>7450</v>
      </c>
      <c r="K10" s="25">
        <v>20</v>
      </c>
      <c r="L10" s="25">
        <v>5</v>
      </c>
    </row>
    <row r="11" spans="2:12" ht="27" customHeight="1" x14ac:dyDescent="0.25">
      <c r="B11" s="45">
        <v>10</v>
      </c>
      <c r="C11" s="14" t="s">
        <v>27</v>
      </c>
      <c r="D11" s="22">
        <v>1</v>
      </c>
      <c r="E11" s="17">
        <v>344</v>
      </c>
      <c r="F11" s="20">
        <v>2941</v>
      </c>
      <c r="G11" s="13">
        <v>248</v>
      </c>
      <c r="H11" s="25">
        <f t="shared" si="1"/>
        <v>60</v>
      </c>
      <c r="I11" s="26">
        <f>H11*D11</f>
        <v>60</v>
      </c>
      <c r="J11" s="35">
        <f>H11*G11</f>
        <v>14880</v>
      </c>
      <c r="K11" s="25">
        <v>45</v>
      </c>
      <c r="L11" s="25">
        <v>15</v>
      </c>
    </row>
    <row r="12" spans="2:12" ht="27" customHeight="1" x14ac:dyDescent="0.25">
      <c r="B12" s="45">
        <v>11</v>
      </c>
      <c r="C12" s="14" t="s">
        <v>28</v>
      </c>
      <c r="D12" s="22">
        <v>1</v>
      </c>
      <c r="E12" s="17">
        <v>345</v>
      </c>
      <c r="F12" s="20">
        <v>2943</v>
      </c>
      <c r="G12" s="13">
        <v>260</v>
      </c>
      <c r="H12" s="25">
        <f t="shared" si="1"/>
        <v>20</v>
      </c>
      <c r="I12" s="26">
        <f>H12*D12</f>
        <v>20</v>
      </c>
      <c r="J12" s="35">
        <f>H12*G12</f>
        <v>5200</v>
      </c>
      <c r="K12" s="25">
        <v>15</v>
      </c>
      <c r="L12" s="25">
        <v>5</v>
      </c>
    </row>
    <row r="13" spans="2:12" ht="27" customHeight="1" x14ac:dyDescent="0.25">
      <c r="B13" s="45">
        <v>12</v>
      </c>
      <c r="C13" s="14" t="s">
        <v>29</v>
      </c>
      <c r="D13" s="22">
        <v>1</v>
      </c>
      <c r="E13" s="17">
        <v>346</v>
      </c>
      <c r="F13" s="20">
        <v>2945</v>
      </c>
      <c r="G13" s="13">
        <v>240</v>
      </c>
      <c r="H13" s="25">
        <f t="shared" si="1"/>
        <v>60</v>
      </c>
      <c r="I13" s="26">
        <f>H13*D13</f>
        <v>60</v>
      </c>
      <c r="J13" s="35">
        <f>H13*G13</f>
        <v>14400</v>
      </c>
      <c r="K13" s="25">
        <v>45</v>
      </c>
      <c r="L13" s="25">
        <v>15</v>
      </c>
    </row>
    <row r="14" spans="2:12" ht="27" customHeight="1" x14ac:dyDescent="0.25">
      <c r="B14" s="45">
        <v>13</v>
      </c>
      <c r="C14" s="14" t="s">
        <v>30</v>
      </c>
      <c r="D14" s="22">
        <v>1</v>
      </c>
      <c r="E14" s="17">
        <v>347</v>
      </c>
      <c r="F14" s="20">
        <v>2947</v>
      </c>
      <c r="G14" s="13">
        <v>244</v>
      </c>
      <c r="H14" s="25">
        <f t="shared" si="1"/>
        <v>70</v>
      </c>
      <c r="I14" s="26">
        <f>H14*D14</f>
        <v>70</v>
      </c>
      <c r="J14" s="35">
        <f>H14*G14</f>
        <v>17080</v>
      </c>
      <c r="K14" s="25">
        <v>45</v>
      </c>
      <c r="L14" s="25">
        <v>25</v>
      </c>
    </row>
    <row r="15" spans="2:12" ht="27" customHeight="1" x14ac:dyDescent="0.25">
      <c r="B15" s="45">
        <v>14</v>
      </c>
      <c r="C15" s="14" t="s">
        <v>6</v>
      </c>
      <c r="D15" s="21">
        <v>1</v>
      </c>
      <c r="E15" s="17">
        <v>17</v>
      </c>
      <c r="F15" s="18">
        <v>1721</v>
      </c>
      <c r="G15" s="13">
        <v>268</v>
      </c>
      <c r="H15" s="25">
        <f t="shared" si="1"/>
        <v>200</v>
      </c>
      <c r="I15" s="26">
        <f>H15*D15</f>
        <v>200</v>
      </c>
      <c r="J15" s="35">
        <f>H15*G15</f>
        <v>53600</v>
      </c>
      <c r="K15" s="25">
        <v>150</v>
      </c>
      <c r="L15" s="25">
        <v>50</v>
      </c>
    </row>
    <row r="16" spans="2:12" ht="27" customHeight="1" x14ac:dyDescent="0.25">
      <c r="B16" s="45">
        <v>15</v>
      </c>
      <c r="C16" s="16" t="s">
        <v>0</v>
      </c>
      <c r="D16" s="21">
        <v>1</v>
      </c>
      <c r="E16" s="17">
        <v>200</v>
      </c>
      <c r="F16" s="18">
        <v>2035</v>
      </c>
      <c r="G16" s="13">
        <v>247</v>
      </c>
      <c r="H16" s="25">
        <f t="shared" si="1"/>
        <v>70</v>
      </c>
      <c r="I16" s="26">
        <f>H16*D16</f>
        <v>70</v>
      </c>
      <c r="J16" s="35">
        <f>H16*G16</f>
        <v>17290</v>
      </c>
      <c r="K16" s="25">
        <v>50</v>
      </c>
      <c r="L16" s="25">
        <v>20</v>
      </c>
    </row>
    <row r="17" spans="2:12" ht="27" customHeight="1" x14ac:dyDescent="0.25">
      <c r="B17" s="45">
        <v>16</v>
      </c>
      <c r="C17" s="14" t="s">
        <v>20</v>
      </c>
      <c r="D17" s="21">
        <v>1</v>
      </c>
      <c r="E17" s="17">
        <v>330</v>
      </c>
      <c r="F17" s="18">
        <v>2829</v>
      </c>
      <c r="G17" s="13">
        <v>243</v>
      </c>
      <c r="H17" s="25">
        <f t="shared" si="1"/>
        <v>100</v>
      </c>
      <c r="I17" s="26">
        <f>H17*D17</f>
        <v>100</v>
      </c>
      <c r="J17" s="35">
        <f>H17*G17</f>
        <v>24300</v>
      </c>
      <c r="K17" s="25">
        <v>70</v>
      </c>
      <c r="L17" s="25">
        <v>30</v>
      </c>
    </row>
    <row r="18" spans="2:12" ht="27" customHeight="1" x14ac:dyDescent="0.25">
      <c r="B18" s="45">
        <v>17</v>
      </c>
      <c r="C18" s="14" t="s">
        <v>7</v>
      </c>
      <c r="D18" s="21">
        <v>1</v>
      </c>
      <c r="E18" s="17">
        <v>16</v>
      </c>
      <c r="F18" s="18">
        <v>1523</v>
      </c>
      <c r="G18" s="13">
        <v>254</v>
      </c>
      <c r="H18" s="25">
        <f t="shared" si="1"/>
        <v>40</v>
      </c>
      <c r="I18" s="26">
        <f>H18*D18</f>
        <v>40</v>
      </c>
      <c r="J18" s="35">
        <f>H18*G18</f>
        <v>10160</v>
      </c>
      <c r="K18" s="25">
        <v>30</v>
      </c>
      <c r="L18" s="25">
        <v>10</v>
      </c>
    </row>
    <row r="19" spans="2:12" ht="27" customHeight="1" x14ac:dyDescent="0.25">
      <c r="B19" s="45">
        <v>18</v>
      </c>
      <c r="C19" s="14" t="s">
        <v>14</v>
      </c>
      <c r="D19" s="21">
        <v>1</v>
      </c>
      <c r="E19" s="19">
        <v>201</v>
      </c>
      <c r="F19" s="18">
        <v>126</v>
      </c>
      <c r="G19" s="13">
        <v>218</v>
      </c>
      <c r="H19" s="25">
        <f t="shared" si="1"/>
        <v>150</v>
      </c>
      <c r="I19" s="26">
        <f>H19*D19</f>
        <v>150</v>
      </c>
      <c r="J19" s="35">
        <f>H19*G19</f>
        <v>32700</v>
      </c>
      <c r="K19" s="25">
        <v>100</v>
      </c>
      <c r="L19" s="25">
        <v>50</v>
      </c>
    </row>
    <row r="20" spans="2:12" ht="27" customHeight="1" x14ac:dyDescent="0.25">
      <c r="B20" s="45">
        <v>19</v>
      </c>
      <c r="C20" s="14" t="s">
        <v>22</v>
      </c>
      <c r="D20" s="21">
        <v>0.45</v>
      </c>
      <c r="E20" s="17">
        <v>322</v>
      </c>
      <c r="F20" s="18">
        <v>2816</v>
      </c>
      <c r="G20" s="13">
        <v>127</v>
      </c>
      <c r="H20" s="25">
        <f t="shared" si="1"/>
        <v>70</v>
      </c>
      <c r="I20" s="26">
        <f>H20*D20</f>
        <v>31.5</v>
      </c>
      <c r="J20" s="35">
        <f>H20*G20</f>
        <v>8890</v>
      </c>
      <c r="K20" s="25">
        <v>50</v>
      </c>
      <c r="L20" s="25">
        <v>20</v>
      </c>
    </row>
    <row r="21" spans="2:12" ht="27" customHeight="1" x14ac:dyDescent="0.25">
      <c r="B21" s="45">
        <v>20</v>
      </c>
      <c r="C21" s="14" t="s">
        <v>21</v>
      </c>
      <c r="D21" s="21">
        <v>0.45</v>
      </c>
      <c r="E21" s="17">
        <v>319</v>
      </c>
      <c r="F21" s="18">
        <v>2815</v>
      </c>
      <c r="G21" s="13">
        <v>127</v>
      </c>
      <c r="H21" s="25">
        <f t="shared" si="1"/>
        <v>70</v>
      </c>
      <c r="I21" s="26">
        <f>H21*D21</f>
        <v>31.5</v>
      </c>
      <c r="J21" s="35">
        <f>H21*G21</f>
        <v>8890</v>
      </c>
      <c r="K21" s="25">
        <v>50</v>
      </c>
      <c r="L21" s="25">
        <v>20</v>
      </c>
    </row>
    <row r="22" spans="2:12" ht="27" customHeight="1" x14ac:dyDescent="0.25">
      <c r="B22" s="45">
        <v>21</v>
      </c>
      <c r="C22" s="16" t="s">
        <v>4</v>
      </c>
      <c r="D22" s="21">
        <v>1</v>
      </c>
      <c r="E22" s="17">
        <v>215</v>
      </c>
      <c r="F22" s="18">
        <v>2011</v>
      </c>
      <c r="G22" s="13">
        <v>276</v>
      </c>
      <c r="H22" s="25">
        <f t="shared" ref="H22:H26" si="2">K22+L22</f>
        <v>40</v>
      </c>
      <c r="I22" s="26">
        <f>H22*D22</f>
        <v>40</v>
      </c>
      <c r="J22" s="35">
        <f>H22*G22</f>
        <v>11040</v>
      </c>
      <c r="K22" s="25">
        <v>30</v>
      </c>
      <c r="L22" s="25">
        <v>10</v>
      </c>
    </row>
    <row r="23" spans="2:12" ht="27" customHeight="1" x14ac:dyDescent="0.25">
      <c r="B23" s="45">
        <v>22</v>
      </c>
      <c r="C23" s="16" t="s">
        <v>1</v>
      </c>
      <c r="D23" s="21">
        <v>1</v>
      </c>
      <c r="E23" s="17">
        <v>229</v>
      </c>
      <c r="F23" s="18">
        <v>2010</v>
      </c>
      <c r="G23" s="13">
        <v>214</v>
      </c>
      <c r="H23" s="25">
        <f t="shared" si="2"/>
        <v>150</v>
      </c>
      <c r="I23" s="26">
        <f>H23*D23</f>
        <v>150</v>
      </c>
      <c r="J23" s="35">
        <f>H23*G23</f>
        <v>32100</v>
      </c>
      <c r="K23" s="25">
        <v>50</v>
      </c>
      <c r="L23" s="25">
        <v>100</v>
      </c>
    </row>
    <row r="24" spans="2:12" s="1" customFormat="1" ht="27" customHeight="1" x14ac:dyDescent="0.25">
      <c r="B24" s="45">
        <v>23</v>
      </c>
      <c r="C24" s="16" t="s">
        <v>23</v>
      </c>
      <c r="D24" s="21">
        <v>1</v>
      </c>
      <c r="E24" s="17">
        <v>316</v>
      </c>
      <c r="F24" s="18">
        <v>2808</v>
      </c>
      <c r="G24" s="13">
        <v>154</v>
      </c>
      <c r="H24" s="25">
        <f t="shared" si="2"/>
        <v>40</v>
      </c>
      <c r="I24" s="26">
        <f>H24*D24</f>
        <v>40</v>
      </c>
      <c r="J24" s="35">
        <f>H24*G24</f>
        <v>6160</v>
      </c>
      <c r="K24" s="25">
        <v>30</v>
      </c>
      <c r="L24" s="25">
        <v>10</v>
      </c>
    </row>
    <row r="25" spans="2:12" ht="27" customHeight="1" x14ac:dyDescent="0.25">
      <c r="B25" s="45">
        <v>24</v>
      </c>
      <c r="C25" s="16" t="s">
        <v>2</v>
      </c>
      <c r="D25" s="21">
        <v>1</v>
      </c>
      <c r="E25" s="17">
        <v>242</v>
      </c>
      <c r="F25" s="18">
        <v>2151</v>
      </c>
      <c r="G25" s="13">
        <v>266</v>
      </c>
      <c r="H25" s="25">
        <f t="shared" si="2"/>
        <v>60</v>
      </c>
      <c r="I25" s="26">
        <f>H25*D25</f>
        <v>60</v>
      </c>
      <c r="J25" s="35">
        <f>H25*G25</f>
        <v>15960</v>
      </c>
      <c r="K25" s="25">
        <v>45</v>
      </c>
      <c r="L25" s="25">
        <v>15</v>
      </c>
    </row>
    <row r="26" spans="2:12" ht="27" customHeight="1" x14ac:dyDescent="0.25">
      <c r="B26" s="45">
        <v>25</v>
      </c>
      <c r="C26" s="14" t="s">
        <v>19</v>
      </c>
      <c r="D26" s="22">
        <v>1</v>
      </c>
      <c r="E26" s="17">
        <v>305</v>
      </c>
      <c r="F26" s="18">
        <v>2847</v>
      </c>
      <c r="G26" s="13">
        <v>281</v>
      </c>
      <c r="H26" s="25">
        <f t="shared" si="2"/>
        <v>25</v>
      </c>
      <c r="I26" s="26">
        <f>H26*D26</f>
        <v>25</v>
      </c>
      <c r="J26" s="35">
        <f>H26*G26</f>
        <v>7025</v>
      </c>
      <c r="K26" s="25">
        <v>20</v>
      </c>
      <c r="L26" s="25">
        <v>5</v>
      </c>
    </row>
    <row r="27" spans="2:12" s="1" customFormat="1" ht="27" customHeight="1" x14ac:dyDescent="0.25">
      <c r="B27" s="45">
        <v>26</v>
      </c>
      <c r="C27" s="16" t="s">
        <v>3</v>
      </c>
      <c r="D27" s="21">
        <v>1</v>
      </c>
      <c r="E27" s="17">
        <v>250</v>
      </c>
      <c r="F27" s="18">
        <v>227</v>
      </c>
      <c r="G27" s="13">
        <v>219</v>
      </c>
      <c r="H27" s="25">
        <f t="shared" ref="H27:H32" si="3">K27+L27</f>
        <v>60</v>
      </c>
      <c r="I27" s="26">
        <f>H27*D27</f>
        <v>60</v>
      </c>
      <c r="J27" s="35">
        <f>H27*G27</f>
        <v>13140</v>
      </c>
      <c r="K27" s="25">
        <v>40</v>
      </c>
      <c r="L27" s="25">
        <v>20</v>
      </c>
    </row>
    <row r="28" spans="2:12" s="1" customFormat="1" ht="27" customHeight="1" x14ac:dyDescent="0.25">
      <c r="B28" s="45">
        <v>27</v>
      </c>
      <c r="C28" s="14" t="s">
        <v>10</v>
      </c>
      <c r="D28" s="21">
        <v>0.45</v>
      </c>
      <c r="E28" s="17">
        <v>32</v>
      </c>
      <c r="F28" s="18">
        <v>1720</v>
      </c>
      <c r="G28" s="13">
        <v>136</v>
      </c>
      <c r="H28" s="25">
        <f t="shared" si="3"/>
        <v>30</v>
      </c>
      <c r="I28" s="26">
        <f>H28*D28</f>
        <v>13.5</v>
      </c>
      <c r="J28" s="35">
        <f>H28*G28</f>
        <v>4080</v>
      </c>
      <c r="K28" s="25">
        <v>24</v>
      </c>
      <c r="L28" s="25">
        <v>6</v>
      </c>
    </row>
    <row r="29" spans="2:12" ht="27" customHeight="1" x14ac:dyDescent="0.25">
      <c r="B29" s="45">
        <v>28</v>
      </c>
      <c r="C29" s="16" t="s">
        <v>33</v>
      </c>
      <c r="D29" s="21">
        <v>1</v>
      </c>
      <c r="E29" s="17">
        <v>341</v>
      </c>
      <c r="F29" s="18">
        <v>2845</v>
      </c>
      <c r="G29" s="13">
        <v>220</v>
      </c>
      <c r="H29" s="25">
        <f t="shared" si="3"/>
        <v>25</v>
      </c>
      <c r="I29" s="26">
        <f>H29*D29</f>
        <v>25</v>
      </c>
      <c r="J29" s="35">
        <f>H29*G29</f>
        <v>5500</v>
      </c>
      <c r="K29" s="25">
        <v>15</v>
      </c>
      <c r="L29" s="25">
        <v>10</v>
      </c>
    </row>
    <row r="30" spans="2:12" ht="27" customHeight="1" x14ac:dyDescent="0.25">
      <c r="B30" s="45">
        <v>29</v>
      </c>
      <c r="C30" s="16" t="s">
        <v>32</v>
      </c>
      <c r="D30" s="21">
        <v>1</v>
      </c>
      <c r="E30" s="17">
        <v>340</v>
      </c>
      <c r="F30" s="18">
        <v>2843</v>
      </c>
      <c r="G30" s="13">
        <v>217</v>
      </c>
      <c r="H30" s="25">
        <f t="shared" si="3"/>
        <v>30</v>
      </c>
      <c r="I30" s="26">
        <f>H30*D30</f>
        <v>30</v>
      </c>
      <c r="J30" s="35">
        <f>H30*G30</f>
        <v>6510</v>
      </c>
      <c r="K30" s="25">
        <v>20</v>
      </c>
      <c r="L30" s="25">
        <v>10</v>
      </c>
    </row>
    <row r="31" spans="2:12" ht="27" customHeight="1" x14ac:dyDescent="0.25">
      <c r="B31" s="45">
        <v>30</v>
      </c>
      <c r="C31" s="16" t="s">
        <v>31</v>
      </c>
      <c r="D31" s="21">
        <v>0.4</v>
      </c>
      <c r="E31" s="17">
        <v>342</v>
      </c>
      <c r="F31" s="18">
        <v>2842</v>
      </c>
      <c r="G31" s="13">
        <v>90</v>
      </c>
      <c r="H31" s="25">
        <f t="shared" si="3"/>
        <v>18</v>
      </c>
      <c r="I31" s="26">
        <f>H31*D31</f>
        <v>7.2</v>
      </c>
      <c r="J31" s="35">
        <f>H31*G31</f>
        <v>1620</v>
      </c>
      <c r="K31" s="25">
        <v>12</v>
      </c>
      <c r="L31" s="25">
        <v>6</v>
      </c>
    </row>
    <row r="32" spans="2:12" ht="27" customHeight="1" x14ac:dyDescent="0.25">
      <c r="B32" s="45">
        <v>31</v>
      </c>
      <c r="C32" s="14" t="s">
        <v>17</v>
      </c>
      <c r="D32" s="21">
        <v>0.4</v>
      </c>
      <c r="E32" s="17">
        <v>273</v>
      </c>
      <c r="F32" s="18">
        <v>2618</v>
      </c>
      <c r="G32" s="13">
        <v>94</v>
      </c>
      <c r="H32" s="25">
        <f t="shared" si="3"/>
        <v>30</v>
      </c>
      <c r="I32" s="26">
        <f>H32*D32</f>
        <v>12</v>
      </c>
      <c r="J32" s="35">
        <f>H32*G32</f>
        <v>2820</v>
      </c>
      <c r="K32" s="25">
        <v>24</v>
      </c>
      <c r="L32" s="25">
        <v>6</v>
      </c>
    </row>
    <row r="33" spans="2:12" s="1" customFormat="1" ht="27" customHeight="1" x14ac:dyDescent="0.25">
      <c r="B33" s="45">
        <v>32</v>
      </c>
      <c r="C33" s="15" t="s">
        <v>189</v>
      </c>
      <c r="D33" s="23">
        <v>0.35</v>
      </c>
      <c r="E33" s="17">
        <v>410</v>
      </c>
      <c r="F33" s="18">
        <v>3168</v>
      </c>
      <c r="G33" s="13">
        <v>82</v>
      </c>
      <c r="H33" s="25">
        <f t="shared" ref="H33:H34" si="4">K33+L33</f>
        <v>12</v>
      </c>
      <c r="I33" s="26">
        <f>H33*D33</f>
        <v>4.1999999999999993</v>
      </c>
      <c r="J33" s="35">
        <f>H33*G33</f>
        <v>984</v>
      </c>
      <c r="K33" s="25">
        <v>6</v>
      </c>
      <c r="L33" s="25">
        <v>6</v>
      </c>
    </row>
    <row r="34" spans="2:12" s="1" customFormat="1" ht="27" customHeight="1" x14ac:dyDescent="0.25">
      <c r="B34" s="45">
        <v>33</v>
      </c>
      <c r="C34" s="15" t="s">
        <v>190</v>
      </c>
      <c r="D34" s="21">
        <v>0.35</v>
      </c>
      <c r="E34" s="17">
        <v>412</v>
      </c>
      <c r="F34" s="18">
        <v>3167</v>
      </c>
      <c r="G34" s="13">
        <v>77</v>
      </c>
      <c r="H34" s="25">
        <f t="shared" si="4"/>
        <v>30</v>
      </c>
      <c r="I34" s="26">
        <f>H34*D34</f>
        <v>10.5</v>
      </c>
      <c r="J34" s="35">
        <f>H34*G34</f>
        <v>2310</v>
      </c>
      <c r="K34" s="25">
        <v>24</v>
      </c>
      <c r="L34" s="25">
        <v>6</v>
      </c>
    </row>
    <row r="35" spans="2:12" s="1" customFormat="1" ht="27" customHeight="1" x14ac:dyDescent="0.25">
      <c r="B35" s="45">
        <v>34</v>
      </c>
      <c r="C35" s="44" t="s">
        <v>18</v>
      </c>
      <c r="D35" s="24"/>
      <c r="E35" s="19"/>
      <c r="F35" s="18"/>
      <c r="G35" s="13">
        <v>151</v>
      </c>
      <c r="H35" s="25">
        <v>0</v>
      </c>
      <c r="I35" s="26">
        <f>H35*D35</f>
        <v>0</v>
      </c>
      <c r="J35" s="35">
        <f>H35*G35</f>
        <v>0</v>
      </c>
      <c r="K35" s="25"/>
      <c r="L35" s="25"/>
    </row>
    <row r="36" spans="2:12" ht="24.75" customHeight="1" x14ac:dyDescent="0.25">
      <c r="B36" s="40"/>
      <c r="C36" s="41" t="s">
        <v>16</v>
      </c>
      <c r="D36" s="41"/>
      <c r="E36" s="36"/>
      <c r="F36" s="36"/>
      <c r="G36" s="37"/>
      <c r="H36" s="38">
        <f>SUM(H2:H35)</f>
        <v>1965</v>
      </c>
      <c r="I36" s="39">
        <f>SUM(I2:I35)</f>
        <v>1815.4</v>
      </c>
      <c r="J36" s="39">
        <f>SUM(J2:J35)</f>
        <v>430229</v>
      </c>
      <c r="K36" s="38">
        <f>SUM(K2:K35)</f>
        <v>1295</v>
      </c>
      <c r="L36" s="38">
        <f>SUM(L2:L35)</f>
        <v>670</v>
      </c>
    </row>
  </sheetData>
  <sortState xmlns:xlrd2="http://schemas.microsoft.com/office/spreadsheetml/2017/richdata2" ref="C19:J32">
    <sortCondition ref="C20:C32"/>
  </sortState>
  <mergeCells count="1">
    <mergeCell ref="C36:D36"/>
  </mergeCells>
  <conditionalFormatting sqref="E20">
    <cfRule type="duplicateValues" dxfId="6" priority="82"/>
  </conditionalFormatting>
  <conditionalFormatting sqref="E1:E1048576">
    <cfRule type="duplicateValues" dxfId="5" priority="5"/>
    <cfRule type="duplicateValues" dxfId="4" priority="83"/>
  </conditionalFormatting>
  <conditionalFormatting sqref="E21:E1048576 E1:E19">
    <cfRule type="duplicateValues" dxfId="3" priority="98"/>
  </conditionalFormatting>
  <conditionalFormatting sqref="B36">
    <cfRule type="duplicateValues" dxfId="2" priority="1"/>
    <cfRule type="duplicateValues" dxfId="1" priority="2"/>
  </conditionalFormatting>
  <conditionalFormatting sqref="B36">
    <cfRule type="duplicateValues" dxfId="0" priority="3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45</v>
      </c>
      <c r="C1" s="9" t="s">
        <v>183</v>
      </c>
    </row>
    <row r="2" spans="2:3" x14ac:dyDescent="0.25">
      <c r="B2" s="7"/>
      <c r="C2" s="10">
        <v>29.74</v>
      </c>
    </row>
    <row r="3" spans="2:3" x14ac:dyDescent="0.25">
      <c r="B3" s="7" t="s">
        <v>34</v>
      </c>
      <c r="C3" s="10">
        <v>39.15</v>
      </c>
    </row>
    <row r="4" spans="2:3" x14ac:dyDescent="0.25">
      <c r="B4" s="7" t="s">
        <v>46</v>
      </c>
      <c r="C4" s="10">
        <v>37.840000000000003</v>
      </c>
    </row>
    <row r="5" spans="2:3" x14ac:dyDescent="0.25">
      <c r="B5" s="7" t="s">
        <v>47</v>
      </c>
      <c r="C5" s="10">
        <v>37.840000000000003</v>
      </c>
    </row>
    <row r="6" spans="2:3" x14ac:dyDescent="0.25">
      <c r="B6" s="7" t="s">
        <v>48</v>
      </c>
      <c r="C6" s="10">
        <v>64.59</v>
      </c>
    </row>
    <row r="7" spans="2:3" x14ac:dyDescent="0.25">
      <c r="B7" s="7" t="s">
        <v>49</v>
      </c>
      <c r="C7" s="10">
        <v>64.59</v>
      </c>
    </row>
    <row r="8" spans="2:3" x14ac:dyDescent="0.25">
      <c r="B8" s="7" t="s">
        <v>50</v>
      </c>
      <c r="C8" s="10">
        <v>88.926327000000001</v>
      </c>
    </row>
    <row r="9" spans="2:3" x14ac:dyDescent="0.25">
      <c r="B9" s="7" t="s">
        <v>51</v>
      </c>
      <c r="C9" s="10">
        <v>86.952600000000004</v>
      </c>
    </row>
    <row r="10" spans="2:3" x14ac:dyDescent="0.25">
      <c r="B10" s="7" t="s">
        <v>52</v>
      </c>
      <c r="C10" s="9">
        <v>96.315538000000004</v>
      </c>
    </row>
    <row r="11" spans="2:3" x14ac:dyDescent="0.25">
      <c r="B11" s="7" t="s">
        <v>53</v>
      </c>
      <c r="C11" s="10">
        <v>94.258780000000002</v>
      </c>
    </row>
    <row r="12" spans="2:3" x14ac:dyDescent="0.25">
      <c r="B12" s="7" t="s">
        <v>54</v>
      </c>
      <c r="C12" s="10">
        <v>94.258780000000002</v>
      </c>
    </row>
    <row r="13" spans="2:3" x14ac:dyDescent="0.25">
      <c r="B13" s="7" t="s">
        <v>55</v>
      </c>
      <c r="C13" s="10">
        <v>91.247700000000009</v>
      </c>
    </row>
    <row r="14" spans="2:3" x14ac:dyDescent="0.25">
      <c r="B14" s="7" t="s">
        <v>56</v>
      </c>
      <c r="C14" s="10">
        <v>100.83150000000001</v>
      </c>
    </row>
    <row r="15" spans="2:3" x14ac:dyDescent="0.25">
      <c r="B15" s="7" t="s">
        <v>57</v>
      </c>
      <c r="C15" s="10">
        <v>95.813640000000007</v>
      </c>
    </row>
    <row r="16" spans="2:3" x14ac:dyDescent="0.25">
      <c r="B16" s="7" t="s">
        <v>58</v>
      </c>
      <c r="C16" s="10">
        <v>99.239184000000009</v>
      </c>
    </row>
    <row r="17" spans="2:3" x14ac:dyDescent="0.25">
      <c r="B17" s="7" t="s">
        <v>59</v>
      </c>
      <c r="C17" s="10">
        <v>97.996499999999997</v>
      </c>
    </row>
    <row r="18" spans="2:3" x14ac:dyDescent="0.25">
      <c r="B18" s="7" t="s">
        <v>60</v>
      </c>
      <c r="C18" s="10">
        <v>97.996499999999997</v>
      </c>
    </row>
    <row r="19" spans="2:3" x14ac:dyDescent="0.25">
      <c r="B19" s="7" t="s">
        <v>61</v>
      </c>
      <c r="C19" s="10">
        <v>107.03700000000001</v>
      </c>
    </row>
    <row r="20" spans="2:3" x14ac:dyDescent="0.25">
      <c r="B20" s="7" t="s">
        <v>37</v>
      </c>
      <c r="C20" s="10">
        <v>100.905</v>
      </c>
    </row>
    <row r="21" spans="2:3" x14ac:dyDescent="0.25">
      <c r="B21" s="7" t="s">
        <v>62</v>
      </c>
      <c r="C21" s="10">
        <v>102.312</v>
      </c>
    </row>
    <row r="22" spans="2:3" x14ac:dyDescent="0.25">
      <c r="B22" s="7" t="s">
        <v>63</v>
      </c>
      <c r="C22" s="10">
        <v>102.83770500000001</v>
      </c>
    </row>
    <row r="23" spans="2:3" x14ac:dyDescent="0.25">
      <c r="B23" s="7" t="s">
        <v>64</v>
      </c>
      <c r="C23" s="9">
        <v>90.76</v>
      </c>
    </row>
    <row r="24" spans="2:3" x14ac:dyDescent="0.25">
      <c r="B24" s="7" t="s">
        <v>65</v>
      </c>
      <c r="C24" s="10">
        <v>106.44383400000001</v>
      </c>
    </row>
    <row r="25" spans="2:3" x14ac:dyDescent="0.25">
      <c r="B25" s="7" t="s">
        <v>66</v>
      </c>
      <c r="C25" s="10">
        <v>110.0085</v>
      </c>
    </row>
    <row r="26" spans="2:3" x14ac:dyDescent="0.25">
      <c r="B26" s="7" t="s">
        <v>67</v>
      </c>
      <c r="C26" s="10">
        <v>111.91</v>
      </c>
    </row>
    <row r="27" spans="2:3" x14ac:dyDescent="0.25">
      <c r="B27" s="7" t="s">
        <v>68</v>
      </c>
      <c r="C27" s="10">
        <v>113.9632</v>
      </c>
    </row>
    <row r="28" spans="2:3" x14ac:dyDescent="0.25">
      <c r="B28" s="7" t="s">
        <v>69</v>
      </c>
      <c r="C28" s="10">
        <v>115.8338</v>
      </c>
    </row>
    <row r="29" spans="2:3" x14ac:dyDescent="0.25">
      <c r="B29" s="7" t="s">
        <v>70</v>
      </c>
      <c r="C29" s="10">
        <v>124.46700000000001</v>
      </c>
    </row>
    <row r="30" spans="2:3" x14ac:dyDescent="0.25">
      <c r="B30" s="7" t="s">
        <v>71</v>
      </c>
      <c r="C30" s="10">
        <v>119.61040000000001</v>
      </c>
    </row>
    <row r="31" spans="2:3" x14ac:dyDescent="0.25">
      <c r="B31" s="7" t="s">
        <v>72</v>
      </c>
      <c r="C31" s="10">
        <v>121.64880000000001</v>
      </c>
    </row>
    <row r="32" spans="2:3" x14ac:dyDescent="0.25">
      <c r="B32" s="7" t="s">
        <v>73</v>
      </c>
      <c r="C32" s="10">
        <v>117.61</v>
      </c>
    </row>
    <row r="33" spans="2:3" x14ac:dyDescent="0.25">
      <c r="B33" s="7" t="s">
        <v>74</v>
      </c>
      <c r="C33" s="9">
        <v>108.42</v>
      </c>
    </row>
    <row r="34" spans="2:3" x14ac:dyDescent="0.25">
      <c r="B34" s="7" t="s">
        <v>75</v>
      </c>
      <c r="C34" s="10">
        <v>133.93800000000002</v>
      </c>
    </row>
    <row r="35" spans="2:3" x14ac:dyDescent="0.25">
      <c r="B35" s="7" t="s">
        <v>76</v>
      </c>
      <c r="C35" s="10">
        <v>129.20959999999999</v>
      </c>
    </row>
    <row r="36" spans="2:3" x14ac:dyDescent="0.25">
      <c r="B36" s="7" t="s">
        <v>77</v>
      </c>
      <c r="C36" s="10">
        <v>129.62559999999999</v>
      </c>
    </row>
    <row r="37" spans="2:3" x14ac:dyDescent="0.25">
      <c r="B37" s="7" t="s">
        <v>78</v>
      </c>
      <c r="C37" s="10">
        <v>132.767</v>
      </c>
    </row>
    <row r="38" spans="2:3" x14ac:dyDescent="0.25">
      <c r="B38" s="7" t="s">
        <v>79</v>
      </c>
      <c r="C38" s="10">
        <v>134.8776</v>
      </c>
    </row>
    <row r="39" spans="2:3" x14ac:dyDescent="0.25">
      <c r="B39" s="7" t="s">
        <v>80</v>
      </c>
      <c r="C39" s="10">
        <v>135.26240000000001</v>
      </c>
    </row>
    <row r="40" spans="2:3" x14ac:dyDescent="0.25">
      <c r="B40" s="7" t="s">
        <v>81</v>
      </c>
      <c r="C40" s="10">
        <v>138.29817</v>
      </c>
    </row>
    <row r="41" spans="2:3" x14ac:dyDescent="0.25">
      <c r="B41" s="7" t="s">
        <v>40</v>
      </c>
      <c r="C41" s="10">
        <v>140.00700000000001</v>
      </c>
    </row>
    <row r="42" spans="2:3" x14ac:dyDescent="0.25">
      <c r="B42" s="7" t="s">
        <v>43</v>
      </c>
      <c r="C42" s="10">
        <v>140.00700000000001</v>
      </c>
    </row>
    <row r="43" spans="2:3" x14ac:dyDescent="0.25">
      <c r="B43" s="7" t="s">
        <v>82</v>
      </c>
      <c r="C43" s="10">
        <v>150.41249999999999</v>
      </c>
    </row>
    <row r="44" spans="2:3" x14ac:dyDescent="0.25">
      <c r="B44" s="7" t="s">
        <v>83</v>
      </c>
      <c r="C44" s="10">
        <v>136.16999999999999</v>
      </c>
    </row>
    <row r="45" spans="2:3" x14ac:dyDescent="0.25">
      <c r="B45" s="8" t="s">
        <v>84</v>
      </c>
      <c r="C45" s="10">
        <v>136.63999999999999</v>
      </c>
    </row>
    <row r="46" spans="2:3" x14ac:dyDescent="0.25">
      <c r="B46" s="7" t="s">
        <v>85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86</v>
      </c>
      <c r="C48" s="10">
        <v>138.66999999999999</v>
      </c>
    </row>
    <row r="49" spans="2:3" x14ac:dyDescent="0.25">
      <c r="B49" s="7" t="s">
        <v>87</v>
      </c>
      <c r="C49" s="10">
        <v>150.8312</v>
      </c>
    </row>
    <row r="50" spans="2:3" x14ac:dyDescent="0.25">
      <c r="B50" s="7" t="s">
        <v>88</v>
      </c>
      <c r="C50" s="10">
        <v>151.5488</v>
      </c>
    </row>
    <row r="51" spans="2:3" x14ac:dyDescent="0.25">
      <c r="B51" s="7" t="s">
        <v>44</v>
      </c>
      <c r="C51" s="10">
        <v>152.34960000000001</v>
      </c>
    </row>
    <row r="52" spans="2:3" x14ac:dyDescent="0.25">
      <c r="B52" s="7" t="s">
        <v>89</v>
      </c>
      <c r="C52" s="10">
        <v>156.53505000000001</v>
      </c>
    </row>
    <row r="53" spans="2:3" x14ac:dyDescent="0.25">
      <c r="B53" s="7" t="s">
        <v>90</v>
      </c>
      <c r="C53" s="10">
        <v>150.88</v>
      </c>
    </row>
    <row r="54" spans="2:3" x14ac:dyDescent="0.25">
      <c r="B54" s="7" t="s">
        <v>91</v>
      </c>
      <c r="C54" s="10">
        <v>170.77776299999999</v>
      </c>
    </row>
    <row r="55" spans="2:3" x14ac:dyDescent="0.25">
      <c r="B55" s="7" t="s">
        <v>92</v>
      </c>
      <c r="C55" s="10">
        <v>170.77776299999999</v>
      </c>
    </row>
    <row r="56" spans="2:3" x14ac:dyDescent="0.25">
      <c r="B56" s="7" t="s">
        <v>93</v>
      </c>
      <c r="C56" s="10">
        <v>161.70000000000002</v>
      </c>
    </row>
    <row r="57" spans="2:3" x14ac:dyDescent="0.25">
      <c r="B57" s="7" t="s">
        <v>94</v>
      </c>
      <c r="C57" s="10">
        <v>161.70000000000002</v>
      </c>
    </row>
    <row r="58" spans="2:3" x14ac:dyDescent="0.25">
      <c r="B58" s="7" t="s">
        <v>95</v>
      </c>
      <c r="C58" s="10">
        <v>162.10480000000001</v>
      </c>
    </row>
    <row r="59" spans="2:3" x14ac:dyDescent="0.25">
      <c r="B59" s="7" t="s">
        <v>96</v>
      </c>
      <c r="C59" s="10">
        <v>162.11519999999999</v>
      </c>
    </row>
    <row r="60" spans="2:3" x14ac:dyDescent="0.25">
      <c r="B60" s="7" t="s">
        <v>97</v>
      </c>
      <c r="C60" s="10">
        <v>162.11519999999999</v>
      </c>
    </row>
    <row r="61" spans="2:3" x14ac:dyDescent="0.25">
      <c r="B61" s="7" t="s">
        <v>98</v>
      </c>
      <c r="C61" s="10">
        <v>156.21</v>
      </c>
    </row>
    <row r="62" spans="2:3" x14ac:dyDescent="0.25">
      <c r="B62" s="7" t="s">
        <v>99</v>
      </c>
      <c r="C62" s="10">
        <v>162.708</v>
      </c>
    </row>
    <row r="63" spans="2:3" x14ac:dyDescent="0.25">
      <c r="B63" s="7" t="s">
        <v>100</v>
      </c>
      <c r="C63" s="10">
        <v>165.22480000000002</v>
      </c>
    </row>
    <row r="64" spans="2:3" x14ac:dyDescent="0.25">
      <c r="B64" s="7" t="s">
        <v>101</v>
      </c>
      <c r="C64" s="10">
        <v>166.90960000000001</v>
      </c>
    </row>
    <row r="65" spans="2:3" x14ac:dyDescent="0.25">
      <c r="B65" s="7" t="s">
        <v>102</v>
      </c>
      <c r="C65" s="10">
        <v>166.90960000000001</v>
      </c>
    </row>
    <row r="66" spans="2:3" x14ac:dyDescent="0.25">
      <c r="B66" s="7" t="s">
        <v>103</v>
      </c>
      <c r="C66" s="10">
        <v>166.98240000000001</v>
      </c>
    </row>
    <row r="67" spans="2:3" x14ac:dyDescent="0.25">
      <c r="B67" s="7" t="s">
        <v>104</v>
      </c>
      <c r="C67" s="10">
        <v>167.81440000000001</v>
      </c>
    </row>
    <row r="68" spans="2:3" x14ac:dyDescent="0.25">
      <c r="B68" s="7" t="s">
        <v>105</v>
      </c>
      <c r="C68" s="10">
        <v>172.02</v>
      </c>
    </row>
    <row r="69" spans="2:3" x14ac:dyDescent="0.25">
      <c r="B69" s="7" t="s">
        <v>106</v>
      </c>
      <c r="C69" s="10">
        <v>165.35</v>
      </c>
    </row>
    <row r="70" spans="2:3" x14ac:dyDescent="0.25">
      <c r="B70" s="7" t="s">
        <v>107</v>
      </c>
      <c r="C70" s="10">
        <v>185.95200000000003</v>
      </c>
    </row>
    <row r="71" spans="2:3" x14ac:dyDescent="0.25">
      <c r="B71" s="8" t="s">
        <v>108</v>
      </c>
      <c r="C71" s="10">
        <v>179.34000000000003</v>
      </c>
    </row>
    <row r="72" spans="2:3" x14ac:dyDescent="0.25">
      <c r="B72" s="7" t="s">
        <v>109</v>
      </c>
      <c r="C72" s="10">
        <v>180.68400000000003</v>
      </c>
    </row>
    <row r="73" spans="2:3" x14ac:dyDescent="0.25">
      <c r="B73" s="7" t="s">
        <v>110</v>
      </c>
      <c r="C73" s="10">
        <v>174.94</v>
      </c>
    </row>
    <row r="74" spans="2:3" x14ac:dyDescent="0.25">
      <c r="B74" s="7" t="s">
        <v>42</v>
      </c>
      <c r="C74" s="10">
        <v>186.21200000000002</v>
      </c>
    </row>
    <row r="75" spans="2:3" x14ac:dyDescent="0.25">
      <c r="B75" s="7" t="s">
        <v>111</v>
      </c>
      <c r="C75" s="10">
        <v>189.11360000000002</v>
      </c>
    </row>
    <row r="76" spans="2:3" x14ac:dyDescent="0.25">
      <c r="B76" s="7" t="s">
        <v>112</v>
      </c>
      <c r="C76" s="10">
        <v>192.22</v>
      </c>
    </row>
    <row r="77" spans="2:3" x14ac:dyDescent="0.25">
      <c r="B77" s="7" t="s">
        <v>35</v>
      </c>
      <c r="C77" s="10">
        <v>200.35600000000002</v>
      </c>
    </row>
    <row r="78" spans="2:3" x14ac:dyDescent="0.25">
      <c r="B78" s="7" t="s">
        <v>113</v>
      </c>
      <c r="C78" s="10">
        <v>200.7824</v>
      </c>
    </row>
    <row r="79" spans="2:3" x14ac:dyDescent="0.25">
      <c r="B79" s="7" t="s">
        <v>114</v>
      </c>
      <c r="C79" s="10">
        <v>200.83440000000002</v>
      </c>
    </row>
    <row r="80" spans="2:3" x14ac:dyDescent="0.25">
      <c r="B80" s="7" t="s">
        <v>115</v>
      </c>
      <c r="C80" s="10">
        <v>201.82240000000002</v>
      </c>
    </row>
    <row r="81" spans="2:3" x14ac:dyDescent="0.25">
      <c r="B81" s="7" t="s">
        <v>116</v>
      </c>
      <c r="C81" s="10">
        <v>202.16559999999998</v>
      </c>
    </row>
    <row r="82" spans="2:3" x14ac:dyDescent="0.25">
      <c r="B82" s="7" t="s">
        <v>117</v>
      </c>
      <c r="C82" s="10">
        <v>204.45360000000002</v>
      </c>
    </row>
    <row r="83" spans="2:3" x14ac:dyDescent="0.25">
      <c r="B83" s="7" t="s">
        <v>118</v>
      </c>
      <c r="C83" s="10">
        <v>210.22980000000001</v>
      </c>
    </row>
    <row r="84" spans="2:3" x14ac:dyDescent="0.25">
      <c r="B84" s="7" t="s">
        <v>119</v>
      </c>
      <c r="C84" s="10">
        <v>208</v>
      </c>
    </row>
    <row r="85" spans="2:3" x14ac:dyDescent="0.25">
      <c r="B85" s="7" t="s">
        <v>120</v>
      </c>
      <c r="C85" s="10">
        <v>226.89450000000002</v>
      </c>
    </row>
    <row r="86" spans="2:3" x14ac:dyDescent="0.25">
      <c r="B86" s="7" t="s">
        <v>121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122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123</v>
      </c>
      <c r="C90" s="10">
        <v>229.37200000000001</v>
      </c>
    </row>
    <row r="91" spans="2:3" x14ac:dyDescent="0.25">
      <c r="B91" s="7" t="s">
        <v>124</v>
      </c>
      <c r="C91" s="10">
        <v>229.37200000000001</v>
      </c>
    </row>
    <row r="92" spans="2:3" x14ac:dyDescent="0.25">
      <c r="B92" s="7" t="s">
        <v>125</v>
      </c>
      <c r="C92" s="10">
        <v>219.27360000000002</v>
      </c>
    </row>
    <row r="93" spans="2:3" x14ac:dyDescent="0.25">
      <c r="B93" s="7" t="s">
        <v>126</v>
      </c>
      <c r="C93" s="10">
        <v>222.1695</v>
      </c>
    </row>
    <row r="94" spans="2:3" x14ac:dyDescent="0.25">
      <c r="B94" s="7" t="s">
        <v>127</v>
      </c>
      <c r="C94" s="10">
        <v>221.55120000000002</v>
      </c>
    </row>
    <row r="95" spans="2:3" x14ac:dyDescent="0.25">
      <c r="B95" s="7" t="s">
        <v>128</v>
      </c>
      <c r="C95" s="10">
        <v>221.9152</v>
      </c>
    </row>
    <row r="96" spans="2:3" x14ac:dyDescent="0.25">
      <c r="B96" s="7" t="s">
        <v>129</v>
      </c>
      <c r="C96" s="10">
        <v>226.32750000000001</v>
      </c>
    </row>
    <row r="97" spans="2:3" x14ac:dyDescent="0.25">
      <c r="B97" s="7" t="s">
        <v>130</v>
      </c>
      <c r="C97" s="10">
        <v>226.92600000000002</v>
      </c>
    </row>
    <row r="98" spans="2:3" x14ac:dyDescent="0.25">
      <c r="B98" s="7" t="s">
        <v>131</v>
      </c>
      <c r="C98" s="9">
        <v>202.61</v>
      </c>
    </row>
    <row r="99" spans="2:3" x14ac:dyDescent="0.25">
      <c r="B99" s="7" t="s">
        <v>132</v>
      </c>
      <c r="C99" s="10">
        <v>227.1568</v>
      </c>
    </row>
    <row r="100" spans="2:3" x14ac:dyDescent="0.25">
      <c r="B100" s="7" t="s">
        <v>133</v>
      </c>
      <c r="C100" s="10">
        <v>229.79338300000003</v>
      </c>
    </row>
    <row r="101" spans="2:3" x14ac:dyDescent="0.25">
      <c r="B101" s="7" t="s">
        <v>134</v>
      </c>
      <c r="C101" s="10">
        <v>229.43440000000001</v>
      </c>
    </row>
    <row r="102" spans="2:3" x14ac:dyDescent="0.25">
      <c r="B102" s="7" t="s">
        <v>135</v>
      </c>
      <c r="C102" s="10">
        <v>229.43440000000001</v>
      </c>
    </row>
    <row r="103" spans="2:3" x14ac:dyDescent="0.25">
      <c r="B103" s="7" t="s">
        <v>136</v>
      </c>
      <c r="C103" s="10">
        <v>227.26950000000002</v>
      </c>
    </row>
    <row r="104" spans="2:3" x14ac:dyDescent="0.25">
      <c r="B104" s="7" t="s">
        <v>137</v>
      </c>
      <c r="C104" s="10">
        <v>231.4624</v>
      </c>
    </row>
    <row r="105" spans="2:3" x14ac:dyDescent="0.25">
      <c r="B105" s="7" t="s">
        <v>138</v>
      </c>
      <c r="C105" s="10">
        <v>233.3552</v>
      </c>
    </row>
    <row r="106" spans="2:3" x14ac:dyDescent="0.25">
      <c r="B106" s="7" t="s">
        <v>139</v>
      </c>
      <c r="C106" s="10">
        <v>240.09729999999999</v>
      </c>
    </row>
    <row r="107" spans="2:3" x14ac:dyDescent="0.25">
      <c r="B107" s="7" t="s">
        <v>140</v>
      </c>
      <c r="C107" s="10">
        <v>235.58080000000001</v>
      </c>
    </row>
    <row r="108" spans="2:3" x14ac:dyDescent="0.25">
      <c r="B108" s="7" t="s">
        <v>141</v>
      </c>
      <c r="C108" s="9">
        <v>218.26</v>
      </c>
    </row>
    <row r="109" spans="2:3" x14ac:dyDescent="0.25">
      <c r="B109" s="7" t="s">
        <v>142</v>
      </c>
      <c r="C109" s="10">
        <v>239.30620800000003</v>
      </c>
    </row>
    <row r="110" spans="2:3" x14ac:dyDescent="0.25">
      <c r="B110" s="7" t="s">
        <v>143</v>
      </c>
      <c r="C110" s="10">
        <v>245.48248800000002</v>
      </c>
    </row>
    <row r="111" spans="2:3" x14ac:dyDescent="0.25">
      <c r="B111" s="7" t="s">
        <v>144</v>
      </c>
      <c r="C111" s="9">
        <v>222.1</v>
      </c>
    </row>
    <row r="112" spans="2:3" x14ac:dyDescent="0.25">
      <c r="B112" s="7" t="s">
        <v>145</v>
      </c>
      <c r="C112" s="10">
        <v>251.787948</v>
      </c>
    </row>
    <row r="113" spans="2:3" x14ac:dyDescent="0.25">
      <c r="B113" s="7" t="s">
        <v>146</v>
      </c>
      <c r="C113" s="10">
        <v>247.59139999999999</v>
      </c>
    </row>
    <row r="114" spans="2:3" x14ac:dyDescent="0.25">
      <c r="B114" s="7" t="s">
        <v>147</v>
      </c>
      <c r="C114" s="10">
        <v>258.64608599999997</v>
      </c>
    </row>
    <row r="115" spans="2:3" x14ac:dyDescent="0.25">
      <c r="B115" s="7" t="s">
        <v>41</v>
      </c>
      <c r="C115" s="10">
        <v>263.38440000000003</v>
      </c>
    </row>
    <row r="116" spans="2:3" x14ac:dyDescent="0.25">
      <c r="B116" s="7" t="s">
        <v>148</v>
      </c>
      <c r="C116" s="10">
        <v>274.33350000000002</v>
      </c>
    </row>
    <row r="117" spans="2:3" x14ac:dyDescent="0.25">
      <c r="B117" s="7" t="s">
        <v>149</v>
      </c>
      <c r="C117" s="10">
        <v>258.7312</v>
      </c>
    </row>
    <row r="118" spans="2:3" x14ac:dyDescent="0.25">
      <c r="B118" s="7" t="s">
        <v>38</v>
      </c>
      <c r="C118" s="10">
        <v>258.97039999999998</v>
      </c>
    </row>
    <row r="119" spans="2:3" x14ac:dyDescent="0.25">
      <c r="B119" s="7" t="s">
        <v>39</v>
      </c>
      <c r="C119" s="10">
        <v>279.25</v>
      </c>
    </row>
    <row r="120" spans="2:3" x14ac:dyDescent="0.25">
      <c r="B120" s="7" t="s">
        <v>150</v>
      </c>
      <c r="C120" s="10">
        <v>303.39999999999998</v>
      </c>
    </row>
    <row r="121" spans="2:3" x14ac:dyDescent="0.25">
      <c r="B121" s="7" t="s">
        <v>151</v>
      </c>
      <c r="C121" s="10">
        <v>262.5376</v>
      </c>
    </row>
    <row r="122" spans="2:3" x14ac:dyDescent="0.25">
      <c r="B122" s="7" t="s">
        <v>152</v>
      </c>
      <c r="C122" s="10">
        <v>265.76550000000003</v>
      </c>
    </row>
    <row r="123" spans="2:3" x14ac:dyDescent="0.25">
      <c r="B123" s="7" t="s">
        <v>153</v>
      </c>
      <c r="C123" s="10">
        <v>273.377994</v>
      </c>
    </row>
    <row r="124" spans="2:3" x14ac:dyDescent="0.25">
      <c r="B124" s="7" t="s">
        <v>154</v>
      </c>
      <c r="C124" s="10">
        <v>273.377994</v>
      </c>
    </row>
    <row r="125" spans="2:3" x14ac:dyDescent="0.25">
      <c r="B125" s="7" t="s">
        <v>155</v>
      </c>
      <c r="C125" s="10">
        <v>269.048</v>
      </c>
    </row>
    <row r="126" spans="2:3" x14ac:dyDescent="0.25">
      <c r="B126" s="7" t="s">
        <v>156</v>
      </c>
      <c r="C126" s="10">
        <v>270.63920000000002</v>
      </c>
    </row>
    <row r="127" spans="2:3" x14ac:dyDescent="0.25">
      <c r="B127" s="7" t="s">
        <v>157</v>
      </c>
      <c r="C127" s="10">
        <v>277.04788300000001</v>
      </c>
    </row>
    <row r="128" spans="2:3" x14ac:dyDescent="0.25">
      <c r="B128" s="7" t="s">
        <v>158</v>
      </c>
      <c r="C128" s="10">
        <v>283.02628800000002</v>
      </c>
    </row>
    <row r="129" spans="2:3" x14ac:dyDescent="0.25">
      <c r="B129" s="7" t="s">
        <v>159</v>
      </c>
      <c r="C129" s="10">
        <v>273.20749999999998</v>
      </c>
    </row>
    <row r="130" spans="2:3" x14ac:dyDescent="0.25">
      <c r="B130" s="7" t="s">
        <v>160</v>
      </c>
      <c r="C130" s="10">
        <v>279.77249999999998</v>
      </c>
    </row>
    <row r="131" spans="2:3" x14ac:dyDescent="0.25">
      <c r="B131" s="7" t="s">
        <v>161</v>
      </c>
      <c r="C131" s="10">
        <v>266.61</v>
      </c>
    </row>
    <row r="132" spans="2:3" x14ac:dyDescent="0.25">
      <c r="B132" s="7" t="s">
        <v>162</v>
      </c>
      <c r="C132" s="10">
        <v>284.41958500000004</v>
      </c>
    </row>
    <row r="133" spans="2:3" x14ac:dyDescent="0.25">
      <c r="B133" s="7" t="s">
        <v>163</v>
      </c>
      <c r="C133" s="10">
        <v>271.89999999999998</v>
      </c>
    </row>
    <row r="134" spans="2:3" x14ac:dyDescent="0.25">
      <c r="B134" s="7" t="s">
        <v>164</v>
      </c>
      <c r="C134" s="10">
        <v>275.79059999999998</v>
      </c>
    </row>
    <row r="135" spans="2:3" x14ac:dyDescent="0.25">
      <c r="B135" s="7" t="s">
        <v>165</v>
      </c>
      <c r="C135" s="10">
        <v>278.44690000000003</v>
      </c>
    </row>
    <row r="136" spans="2:3" x14ac:dyDescent="0.25">
      <c r="B136" s="7" t="s">
        <v>166</v>
      </c>
      <c r="C136" s="10">
        <v>285.17610000000002</v>
      </c>
    </row>
    <row r="137" spans="2:3" x14ac:dyDescent="0.25">
      <c r="B137" s="7" t="s">
        <v>167</v>
      </c>
      <c r="C137" s="10">
        <v>293.49599999999998</v>
      </c>
    </row>
    <row r="138" spans="2:3" x14ac:dyDescent="0.25">
      <c r="B138" s="7" t="s">
        <v>168</v>
      </c>
      <c r="C138" s="10">
        <v>288.89440000000002</v>
      </c>
    </row>
    <row r="139" spans="2:3" x14ac:dyDescent="0.25">
      <c r="B139" s="7" t="s">
        <v>169</v>
      </c>
      <c r="C139" s="9">
        <v>260.47000000000003</v>
      </c>
    </row>
    <row r="140" spans="2:3" x14ac:dyDescent="0.25">
      <c r="B140" s="7" t="s">
        <v>170</v>
      </c>
      <c r="C140" s="10">
        <v>285.49</v>
      </c>
    </row>
    <row r="141" spans="2:3" x14ac:dyDescent="0.25">
      <c r="B141" s="7" t="s">
        <v>171</v>
      </c>
      <c r="C141" s="10">
        <v>285.58</v>
      </c>
    </row>
    <row r="142" spans="2:3" x14ac:dyDescent="0.25">
      <c r="B142" s="7" t="s">
        <v>172</v>
      </c>
      <c r="C142" s="10">
        <v>307.209</v>
      </c>
    </row>
    <row r="143" spans="2:3" x14ac:dyDescent="0.25">
      <c r="B143" s="7" t="s">
        <v>173</v>
      </c>
      <c r="C143" s="10">
        <v>316.54480000000001</v>
      </c>
    </row>
    <row r="144" spans="2:3" x14ac:dyDescent="0.25">
      <c r="B144" s="7" t="s">
        <v>174</v>
      </c>
      <c r="C144" s="10">
        <v>310.32249999999999</v>
      </c>
    </row>
    <row r="145" spans="2:3" x14ac:dyDescent="0.25">
      <c r="B145" s="7" t="s">
        <v>175</v>
      </c>
      <c r="C145" s="10">
        <v>314.09989999999999</v>
      </c>
    </row>
    <row r="146" spans="2:3" x14ac:dyDescent="0.25">
      <c r="B146" s="7" t="s">
        <v>176</v>
      </c>
      <c r="C146" s="10">
        <v>317.87730000000005</v>
      </c>
    </row>
    <row r="147" spans="2:3" x14ac:dyDescent="0.25">
      <c r="B147" s="7" t="s">
        <v>36</v>
      </c>
      <c r="C147" s="10">
        <v>320.8467</v>
      </c>
    </row>
    <row r="148" spans="2:3" x14ac:dyDescent="0.25">
      <c r="B148" s="7" t="s">
        <v>177</v>
      </c>
      <c r="C148" s="10">
        <v>328.54</v>
      </c>
    </row>
    <row r="149" spans="2:3" x14ac:dyDescent="0.25">
      <c r="B149" s="7" t="s">
        <v>178</v>
      </c>
      <c r="C149" s="10">
        <v>356.83</v>
      </c>
    </row>
    <row r="150" spans="2:3" x14ac:dyDescent="0.25">
      <c r="B150" s="7" t="s">
        <v>179</v>
      </c>
      <c r="C150" s="10">
        <v>390.37</v>
      </c>
    </row>
    <row r="151" spans="2:3" x14ac:dyDescent="0.25">
      <c r="B151" s="7" t="s">
        <v>180</v>
      </c>
      <c r="C151" s="10">
        <v>409.37</v>
      </c>
    </row>
    <row r="152" spans="2:3" x14ac:dyDescent="0.25">
      <c r="B152" s="7" t="s">
        <v>181</v>
      </c>
      <c r="C152" s="10">
        <v>437.35019999999997</v>
      </c>
    </row>
    <row r="153" spans="2:3" x14ac:dyDescent="0.25">
      <c r="B153" s="7" t="s">
        <v>182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2026-01-20T07:18:52Z</dcterms:modified>
</cp:coreProperties>
</file>