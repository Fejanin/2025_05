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E28071F-EF65-4F54-8364-3373F59322D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BP66" i="2" l="1"/>
  <c r="Z183" i="2"/>
  <c r="Z372" i="2"/>
  <c r="Z439" i="2"/>
  <c r="BP120" i="2"/>
  <c r="Z283" i="2"/>
  <c r="BP341" i="2"/>
  <c r="Z393" i="2"/>
  <c r="BN393" i="2"/>
  <c r="Y398" i="2"/>
  <c r="Z433" i="2"/>
  <c r="Z461" i="2"/>
  <c r="Z462" i="2" s="1"/>
  <c r="BP100" i="2"/>
  <c r="Z124" i="2"/>
  <c r="Z125" i="2" s="1"/>
  <c r="Z152" i="2"/>
  <c r="Z210" i="2"/>
  <c r="Z284" i="2"/>
  <c r="Z328" i="2"/>
  <c r="Z355" i="2"/>
  <c r="Z375" i="2"/>
  <c r="Z406" i="2"/>
  <c r="Z430" i="2"/>
  <c r="Z434" i="2"/>
  <c r="BN434" i="2"/>
  <c r="Z440" i="2"/>
  <c r="Z519" i="2"/>
  <c r="BN23" i="2"/>
  <c r="BN48" i="2"/>
  <c r="BN59" i="2"/>
  <c r="BN131" i="2"/>
  <c r="BN165" i="2"/>
  <c r="BN175" i="2"/>
  <c r="BN185" i="2"/>
  <c r="BN195" i="2"/>
  <c r="BN273" i="2"/>
  <c r="BN287" i="2"/>
  <c r="BN304" i="2"/>
  <c r="BN333" i="2"/>
  <c r="BN344" i="2"/>
  <c r="BP356" i="2"/>
  <c r="BN444" i="2"/>
  <c r="Y452" i="2"/>
  <c r="Y489" i="2"/>
  <c r="BN514" i="2"/>
  <c r="BN524" i="2"/>
  <c r="BN41" i="2"/>
  <c r="BN74" i="2"/>
  <c r="BN93" i="2"/>
  <c r="BN113" i="2"/>
  <c r="Z118" i="2"/>
  <c r="BN118" i="2"/>
  <c r="Y122" i="2"/>
  <c r="BP124" i="2"/>
  <c r="BN136" i="2"/>
  <c r="Z149" i="2"/>
  <c r="BP152" i="2"/>
  <c r="BN153" i="2"/>
  <c r="Z159" i="2"/>
  <c r="Z160" i="2" s="1"/>
  <c r="Y160" i="2"/>
  <c r="BN190" i="2"/>
  <c r="BP222" i="2"/>
  <c r="BN225" i="2"/>
  <c r="Z230" i="2"/>
  <c r="BN230" i="2"/>
  <c r="BN240" i="2"/>
  <c r="Y253" i="2"/>
  <c r="BP283" i="2"/>
  <c r="BN289" i="2"/>
  <c r="Z293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Z415" i="2" s="1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X558" i="2" s="1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Z357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Z422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Z435" i="2" s="1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Z95" i="2" s="1"/>
  <c r="Y32" i="2"/>
  <c r="BN47" i="2"/>
  <c r="X559" i="2"/>
  <c r="BP37" i="2"/>
  <c r="Y70" i="2"/>
  <c r="Y25" i="2"/>
  <c r="Y24" i="2"/>
  <c r="B565" i="2"/>
  <c r="BN22" i="2"/>
  <c r="Z22" i="2"/>
  <c r="Z24" i="2" s="1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Z447" i="2" s="1"/>
  <c r="BP461" i="2"/>
  <c r="Z494" i="2"/>
  <c r="Z506" i="2"/>
  <c r="BN530" i="2"/>
  <c r="BN542" i="2"/>
  <c r="Z100" i="2"/>
  <c r="Z110" i="2"/>
  <c r="Z114" i="2" s="1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259" i="2" l="1"/>
  <c r="Z377" i="2"/>
  <c r="Z329" i="2"/>
  <c r="Z484" i="2"/>
  <c r="Z384" i="2"/>
  <c r="Z515" i="2"/>
  <c r="Z350" i="2"/>
  <c r="Z290" i="2"/>
  <c r="Z197" i="2"/>
  <c r="Z88" i="2"/>
  <c r="Z367" i="2"/>
  <c r="Z167" i="2"/>
  <c r="Z264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<sst xmlns="http://schemas.openxmlformats.org/spreadsheetml/2006/main" count="4244" uniqueCount="900">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</sst>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topLeftCell="A430" zoomScaleNormal="100" zoomScaleSheetLayoutView="100" workbookViewId="0">
      <selection activeCell="AA561" sqref="AA5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/>
      <c r="I5" s="1003"/>
      <c r="J5" s="1003"/>
      <c r="K5" s="1003"/>
      <c r="L5" s="1003"/>
      <c r="M5" s="1003"/>
      <c r="N5" s="72"/>
      <c r="P5" s="27" t="s">
        <v>4</v>
      </c>
      <c r="Q5" s="1005">
        <v>46247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0.41666666666666669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60</v>
      </c>
      <c r="Y47" s="55">
        <f>IFERROR(IF(X47="",0,CEILING((X47/$H47),1)*$H47),"")</f>
        <v>64.800000000000011</v>
      </c>
      <c r="Z47" s="41">
        <f>IFERROR(IF(Y47=0,"",ROUNDUP(Y47/H47,0)*0.01898),"")</f>
        <v>0.11388000000000001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62.277777777777779</v>
      </c>
      <c r="BN47" s="78">
        <f>IFERROR(Y47*I47/H47,"0")</f>
        <v>67.260000000000005</v>
      </c>
      <c r="BO47" s="78">
        <f>IFERROR(1/J47*(X47/H47),"0")</f>
        <v>8.6805555555555552E-2</v>
      </c>
      <c r="BP47" s="78">
        <f>IFERROR(1/J47*(Y47/H47),"0")</f>
        <v>9.3750000000000014E-2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5.5555555555555554</v>
      </c>
      <c r="Y51" s="43">
        <f>IFERROR(Y47/H47,"0")+IFERROR(Y48/H48,"0")+IFERROR(Y49/H49,"0")+IFERROR(Y50/H50,"0")</f>
        <v>6.0000000000000009</v>
      </c>
      <c r="Z51" s="43">
        <f>IFERROR(IF(Z47="",0,Z47),"0")+IFERROR(IF(Z48="",0,Z48),"0")+IFERROR(IF(Z49="",0,Z49),"0")+IFERROR(IF(Z50="",0,Z50),"0")</f>
        <v>0.11388000000000001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60</v>
      </c>
      <c r="Y52" s="43">
        <f>IFERROR(SUM(Y47:Y50),"0")</f>
        <v>64.800000000000011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70</v>
      </c>
      <c r="Y117" s="55">
        <f>IFERROR(IF(X117="",0,CEILING((X117/$H117),1)*$H117),"")</f>
        <v>72.899999999999991</v>
      </c>
      <c r="Z117" s="41">
        <f>IFERROR(IF(Y117=0,"",ROUNDUP(Y117/H117,0)*0.01898),"")</f>
        <v>0.17082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74.217283950617286</v>
      </c>
      <c r="BN117" s="78">
        <f>IFERROR(Y117*I117/H117,"0")</f>
        <v>77.291999999999987</v>
      </c>
      <c r="BO117" s="78">
        <f>IFERROR(1/J117*(X117/H117),"0")</f>
        <v>0.13503086419753088</v>
      </c>
      <c r="BP117" s="78">
        <f>IFERROR(1/J117*(Y117/H117),"0")</f>
        <v>0.140625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8.6419753086419764</v>
      </c>
      <c r="Y121" s="43">
        <f>IFERROR(Y117/H117,"0")+IFERROR(Y118/H118,"0")+IFERROR(Y119/H119,"0")+IFERROR(Y120/H120,"0")</f>
        <v>9</v>
      </c>
      <c r="Z121" s="43">
        <f>IFERROR(IF(Z117="",0,Z117),"0")+IFERROR(IF(Z118="",0,Z118),"0")+IFERROR(IF(Z119="",0,Z119),"0")+IFERROR(IF(Z120="",0,Z120),"0")</f>
        <v>0.17082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70</v>
      </c>
      <c r="Y122" s="43">
        <f>IFERROR(SUM(Y117:Y120),"0")</f>
        <v>72.899999999999991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100</v>
      </c>
      <c r="Y269" s="55">
        <f t="shared" si="33"/>
        <v>102.60000000000001</v>
      </c>
      <c r="Z269" s="41">
        <f>IFERROR(IF(Y269=0,"",ROUNDUP(Y269/H269,0)*0.00902),"")</f>
        <v>0.17138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103.5185185185185</v>
      </c>
      <c r="BN269" s="78">
        <f t="shared" si="35"/>
        <v>106.21</v>
      </c>
      <c r="BO269" s="78">
        <f t="shared" si="36"/>
        <v>0.14029180695847362</v>
      </c>
      <c r="BP269" s="78">
        <f t="shared" si="37"/>
        <v>0.14393939393939395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18.518518518518519</v>
      </c>
      <c r="Y275" s="43">
        <f>IFERROR(Y267/H267,"0")+IFERROR(Y268/H268,"0")+IFERROR(Y269/H269,"0")+IFERROR(Y270/H270,"0")+IFERROR(Y271/H271,"0")+IFERROR(Y272/H272,"0")+IFERROR(Y273/H273,"0")+IFERROR(Y274/H274,"0")</f>
        <v>19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0.17138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100</v>
      </c>
      <c r="Y276" s="43">
        <f>IFERROR(SUM(Y267:Y274),"0")</f>
        <v>102.60000000000001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50</v>
      </c>
      <c r="Y388" s="55">
        <f>IFERROR(IF(X388="",0,CEILING((X388/$H388),1)*$H388),"")</f>
        <v>54.6</v>
      </c>
      <c r="Z388" s="41">
        <f>IFERROR(IF(Y388=0,"",ROUNDUP(Y388/H388,0)*0.01898),"")</f>
        <v>0.13286000000000001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53.166666666666671</v>
      </c>
      <c r="BN388" s="78">
        <f>IFERROR(Y388*I388/H388,"0")</f>
        <v>58.058000000000007</v>
      </c>
      <c r="BO388" s="78">
        <f>IFERROR(1/J388*(X388/H388),"0")</f>
        <v>0.10016025641025642</v>
      </c>
      <c r="BP388" s="78">
        <f>IFERROR(1/J388*(Y388/H388),"0")</f>
        <v>0.109375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6.4102564102564106</v>
      </c>
      <c r="Y390" s="43">
        <f>IFERROR(Y387/H387,"0")+IFERROR(Y388/H388,"0")+IFERROR(Y389/H389,"0")</f>
        <v>7</v>
      </c>
      <c r="Z390" s="43">
        <f>IFERROR(IF(Z387="",0,Z387),"0")+IFERROR(IF(Z388="",0,Z388),"0")+IFERROR(IF(Z389="",0,Z389),"0")</f>
        <v>0.13286000000000001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50</v>
      </c>
      <c r="Y391" s="43">
        <f>IFERROR(SUM(Y387:Y389),"0")</f>
        <v>54.6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60</v>
      </c>
      <c r="Y419" s="55">
        <f>IFERROR(IF(X419="",0,CEILING((X419/$H419),1)*$H419),"")</f>
        <v>64.8</v>
      </c>
      <c r="Z419" s="41">
        <f>IFERROR(IF(Y419=0,"",ROUNDUP(Y419/H419,0)*0.01898),"")</f>
        <v>0.15184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63.659259259259258</v>
      </c>
      <c r="BN419" s="78">
        <f>IFERROR(Y419*I419/H419,"0")</f>
        <v>68.751999999999995</v>
      </c>
      <c r="BO419" s="78">
        <f>IFERROR(1/J419*(X419/H419),"0")</f>
        <v>0.11574074074074074</v>
      </c>
      <c r="BP419" s="78">
        <f>IFERROR(1/J419*(Y419/H419),"0")</f>
        <v>0.125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7.4074074074074074</v>
      </c>
      <c r="Y422" s="43">
        <f>IFERROR(Y419/H419,"0")+IFERROR(Y420/H420,"0")+IFERROR(Y421/H421,"0")</f>
        <v>8</v>
      </c>
      <c r="Z422" s="43">
        <f>IFERROR(IF(Z419="",0,Z419),"0")+IFERROR(IF(Z420="",0,Z420),"0")+IFERROR(IF(Z421="",0,Z421),"0")</f>
        <v>0.15184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60</v>
      </c>
      <c r="Y423" s="43">
        <f>IFERROR(SUM(Y419:Y421),"0")</f>
        <v>64.8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120</v>
      </c>
      <c r="Y428" s="55">
        <f t="shared" si="58"/>
        <v>120</v>
      </c>
      <c r="Z428" s="41">
        <f>IFERROR(IF(Y428=0,"",ROUNDUP(Y428/H428,0)*0.02175),"")</f>
        <v>0.17399999999999999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123.76</v>
      </c>
      <c r="BN428" s="78">
        <f t="shared" si="60"/>
        <v>123.76</v>
      </c>
      <c r="BO428" s="78">
        <f t="shared" si="61"/>
        <v>0.16666666666666666</v>
      </c>
      <c r="BP428" s="78">
        <f t="shared" si="62"/>
        <v>0.16666666666666666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150</v>
      </c>
      <c r="Y430" s="55">
        <f t="shared" si="58"/>
        <v>150</v>
      </c>
      <c r="Z430" s="41">
        <f>IFERROR(IF(Y430=0,"",ROUNDUP(Y430/H430,0)*0.02175),"")</f>
        <v>0.21749999999999997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154.69999999999999</v>
      </c>
      <c r="BN430" s="78">
        <f t="shared" si="60"/>
        <v>154.69999999999999</v>
      </c>
      <c r="BO430" s="78">
        <f t="shared" si="61"/>
        <v>0.20833333333333331</v>
      </c>
      <c r="BP430" s="78">
        <f t="shared" si="62"/>
        <v>0.20833333333333331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18</v>
      </c>
      <c r="Y435" s="43">
        <f>IFERROR(Y427/H427,"0")+IFERROR(Y428/H428,"0")+IFERROR(Y429/H429,"0")+IFERROR(Y430/H430,"0")+IFERROR(Y431/H431,"0")+IFERROR(Y432/H432,"0")+IFERROR(Y433/H433,"0")+IFERROR(Y434/H434,"0")</f>
        <v>18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0.39149999999999996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270</v>
      </c>
      <c r="Y436" s="43">
        <f>IFERROR(SUM(Y427:Y434),"0")</f>
        <v>270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200</v>
      </c>
      <c r="Y438" s="55">
        <f>IFERROR(IF(X438="",0,CEILING((X438/$H438),1)*$H438),"")</f>
        <v>210</v>
      </c>
      <c r="Z438" s="41">
        <f>IFERROR(IF(Y438=0,"",ROUNDUP(Y438/H438,0)*0.02175),"")</f>
        <v>0.30449999999999999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206.26666666666668</v>
      </c>
      <c r="BN438" s="78">
        <f>IFERROR(Y438*I438/H438,"0")</f>
        <v>216.58</v>
      </c>
      <c r="BO438" s="78">
        <f>IFERROR(1/J438*(X438/H438),"0")</f>
        <v>0.27777777777777779</v>
      </c>
      <c r="BP438" s="78">
        <f>IFERROR(1/J438*(Y438/H438),"0")</f>
        <v>0.29166666666666663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13.333333333333334</v>
      </c>
      <c r="Y441" s="43">
        <f>IFERROR(Y438/H438,"0")+IFERROR(Y439/H439,"0")+IFERROR(Y440/H440,"0")</f>
        <v>14</v>
      </c>
      <c r="Z441" s="43">
        <f>IFERROR(IF(Z438="",0,Z438),"0")+IFERROR(IF(Z439="",0,Z439),"0")+IFERROR(IF(Z440="",0,Z440),"0")</f>
        <v>0.30449999999999999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200</v>
      </c>
      <c r="Y442" s="43">
        <f>IFERROR(SUM(Y438:Y440),"0")</f>
        <v>210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100</v>
      </c>
      <c r="Y465" s="55">
        <f>IFERROR(IF(X465="",0,CEILING((X465/$H465),1)*$H465),"")</f>
        <v>108</v>
      </c>
      <c r="Z465" s="41">
        <f>IFERROR(IF(Y465=0,"",ROUNDUP(Y465/H465,0)*0.01898),"")</f>
        <v>0.22776000000000002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105.48888888888888</v>
      </c>
      <c r="BN465" s="78">
        <f>IFERROR(Y465*I465/H465,"0")</f>
        <v>113.92799999999998</v>
      </c>
      <c r="BO465" s="78">
        <f>IFERROR(1/J465*(X465/H465),"0")</f>
        <v>0.1736111111111111</v>
      </c>
      <c r="BP465" s="78">
        <f>IFERROR(1/J465*(Y465/H465),"0")</f>
        <v>0.1875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11.111111111111111</v>
      </c>
      <c r="Y468" s="43">
        <f>IFERROR(Y465/H465,"0")+IFERROR(Y466/H466,"0")+IFERROR(Y467/H467,"0")</f>
        <v>12</v>
      </c>
      <c r="Z468" s="43">
        <f>IFERROR(IF(Z465="",0,Z465),"0")+IFERROR(IF(Z466="",0,Z466),"0")+IFERROR(IF(Z467="",0,Z467),"0")</f>
        <v>0.22776000000000002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100</v>
      </c>
      <c r="Y469" s="43">
        <f>IFERROR(SUM(Y465:Y467),"0")</f>
        <v>108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50</v>
      </c>
      <c r="Y503" s="55">
        <f t="shared" si="68"/>
        <v>52.800000000000004</v>
      </c>
      <c r="Z503" s="41">
        <f t="shared" si="69"/>
        <v>0.1196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53.314393939393938</v>
      </c>
      <c r="BN503" s="78">
        <f t="shared" si="71"/>
        <v>56.3</v>
      </c>
      <c r="BO503" s="78">
        <f t="shared" si="72"/>
        <v>9.1054778554778545E-2</v>
      </c>
      <c r="BP503" s="78">
        <f t="shared" si="73"/>
        <v>9.6153846153846159E-2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9.4696969696969688</v>
      </c>
      <c r="Y509" s="43">
        <f>IFERROR(Y500/H500,"0")+IFERROR(Y501/H501,"0")+IFERROR(Y502/H502,"0")+IFERROR(Y503/H503,"0")+IFERROR(Y504/H504,"0")+IFERROR(Y505/H505,"0")+IFERROR(Y506/H506,"0")+IFERROR(Y507/H507,"0")+IFERROR(Y508/H508,"0")</f>
        <v>10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0.1196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50</v>
      </c>
      <c r="Y510" s="43">
        <f>IFERROR(SUM(Y500:Y508),"0")</f>
        <v>52.800000000000004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100</v>
      </c>
      <c r="Y512" s="55">
        <f>IFERROR(IF(X512="",0,CEILING((X512/$H512),1)*$H512),"")</f>
        <v>100.32000000000001</v>
      </c>
      <c r="Z512" s="41">
        <f>IFERROR(IF(Y512=0,"",ROUNDUP(Y512/H512,0)*0.01196),"")</f>
        <v>0.22724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106.62878787878788</v>
      </c>
      <c r="BN512" s="78">
        <f>IFERROR(Y512*I512/H512,"0")</f>
        <v>106.97</v>
      </c>
      <c r="BO512" s="78">
        <f>IFERROR(1/J512*(X512/H512),"0")</f>
        <v>0.18210955710955709</v>
      </c>
      <c r="BP512" s="78">
        <f>IFERROR(1/J512*(Y512/H512),"0")</f>
        <v>0.18269230769230771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18.939393939393938</v>
      </c>
      <c r="Y515" s="43">
        <f>IFERROR(Y512/H512,"0")+IFERROR(Y513/H513,"0")+IFERROR(Y514/H514,"0")</f>
        <v>19</v>
      </c>
      <c r="Z515" s="43">
        <f>IFERROR(IF(Z512="",0,Z512),"0")+IFERROR(IF(Z513="",0,Z513),"0")+IFERROR(IF(Z514="",0,Z514),"0")</f>
        <v>0.22724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100</v>
      </c>
      <c r="Y516" s="43">
        <f>IFERROR(SUM(Y512:Y514),"0")</f>
        <v>100.32000000000001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15</v>
      </c>
      <c r="Y518" s="55">
        <f t="shared" ref="Y518:Y524" si="74">IFERROR(IF(X518="",0,CEILING((X518/$H518),1)*$H518),"")</f>
        <v>15.84</v>
      </c>
      <c r="Z518" s="41">
        <f>IFERROR(IF(Y518=0,"",ROUNDUP(Y518/H518,0)*0.01196),"")</f>
        <v>3.5880000000000002E-2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15.994318181818182</v>
      </c>
      <c r="BN518" s="78">
        <f t="shared" ref="BN518:BN524" si="76">IFERROR(Y518*I518/H518,"0")</f>
        <v>16.889999999999997</v>
      </c>
      <c r="BO518" s="78">
        <f t="shared" ref="BO518:BO524" si="77">IFERROR(1/J518*(X518/H518),"0")</f>
        <v>2.7316433566433568E-2</v>
      </c>
      <c r="BP518" s="78">
        <f t="shared" ref="BP518:BP524" si="78">IFERROR(1/J518*(Y518/H518),"0")</f>
        <v>2.8846153846153848E-2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100</v>
      </c>
      <c r="Y519" s="55">
        <f t="shared" si="74"/>
        <v>100.32000000000001</v>
      </c>
      <c r="Z519" s="41">
        <f>IFERROR(IF(Y519=0,"",ROUNDUP(Y519/H519,0)*0.01196),"")</f>
        <v>0.22724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106.62878787878788</v>
      </c>
      <c r="BN519" s="78">
        <f t="shared" si="76"/>
        <v>106.97</v>
      </c>
      <c r="BO519" s="78">
        <f t="shared" si="77"/>
        <v>0.18210955710955709</v>
      </c>
      <c r="BP519" s="78">
        <f t="shared" si="78"/>
        <v>0.18269230769230771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100</v>
      </c>
      <c r="Y520" s="55">
        <f t="shared" si="74"/>
        <v>100.32000000000001</v>
      </c>
      <c r="Z520" s="41">
        <f>IFERROR(IF(Y520=0,"",ROUNDUP(Y520/H520,0)*0.01196),"")</f>
        <v>0.22724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106.62878787878788</v>
      </c>
      <c r="BN520" s="78">
        <f t="shared" si="76"/>
        <v>106.97</v>
      </c>
      <c r="BO520" s="78">
        <f t="shared" si="77"/>
        <v>0.18210955710955709</v>
      </c>
      <c r="BP520" s="78">
        <f t="shared" si="78"/>
        <v>0.18269230769230771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40.719696969696969</v>
      </c>
      <c r="Y525" s="43">
        <f>IFERROR(Y518/H518,"0")+IFERROR(Y519/H519,"0")+IFERROR(Y520/H520,"0")+IFERROR(Y521/H521,"0")+IFERROR(Y522/H522,"0")+IFERROR(Y523/H523,"0")+IFERROR(Y524/H524,"0")</f>
        <v>41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0.49036000000000002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215</v>
      </c>
      <c r="Y526" s="43">
        <f>IFERROR(SUM(Y518:Y524),"0")</f>
        <v>216.48000000000002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70</v>
      </c>
      <c r="Y538" s="55">
        <f>IFERROR(IF(X538="",0,CEILING((X538/$H538),1)*$H538),"")</f>
        <v>71.400000000000006</v>
      </c>
      <c r="Z538" s="41">
        <f>IFERROR(IF(Y538=0,"",ROUNDUP(Y538/H538,0)*0.00902),"")</f>
        <v>0.15334</v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74.166666666666657</v>
      </c>
      <c r="BN538" s="78">
        <f>IFERROR(Y538*I538/H538,"0")</f>
        <v>75.650000000000006</v>
      </c>
      <c r="BO538" s="78">
        <f>IFERROR(1/J538*(X538/H538),"0")</f>
        <v>0.12626262626262624</v>
      </c>
      <c r="BP538" s="78">
        <f>IFERROR(1/J538*(Y538/H538),"0")</f>
        <v>0.12878787878787878</v>
      </c>
    </row>
    <row r="539" spans="1:68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16.666666666666664</v>
      </c>
      <c r="Y539" s="43">
        <f>IFERROR(Y538/H538,"0")</f>
        <v>17</v>
      </c>
      <c r="Z539" s="43">
        <f>IFERROR(IF(Z538="",0,Z538),"0")</f>
        <v>0.15334</v>
      </c>
      <c r="AA539" s="67"/>
      <c r="AB539" s="67"/>
      <c r="AC539" s="67"/>
    </row>
    <row r="540" spans="1:68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70</v>
      </c>
      <c r="Y540" s="43">
        <f>IFERROR(SUM(Y538:Y538),"0")</f>
        <v>71.400000000000006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1345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1388.7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1410.4168041526375</v>
      </c>
      <c r="Y556" s="43">
        <f>IFERROR(SUM(BN22:BN552),"0")</f>
        <v>1456.2900000000002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3</v>
      </c>
      <c r="Y557" s="44">
        <f>ROUNDUP(SUM(BP22:BP552),0)</f>
        <v>3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1485.4168041526375</v>
      </c>
      <c r="Y558" s="43">
        <f>GrossWeightTotalR+PalletQtyTotalR*25</f>
        <v>1531.2900000000002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174.77361219027884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180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2.6550799999999999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64.800000000000011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72.899999999999991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102.60000000000001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54.6</v>
      </c>
      <c r="U565" s="52">
        <f>IFERROR(Y413*1,"0")+IFERROR(Y414*1,"0")</f>
        <v>0</v>
      </c>
      <c r="V565" s="52">
        <f>IFERROR(Y419*1,"0")+IFERROR(Y420*1,"0")+IFERROR(Y421*1,"0")</f>
        <v>64.8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480</v>
      </c>
      <c r="X565" s="52">
        <f>IFERROR(Y456*1,"0")+IFERROR(Y457*1,"0")+IFERROR(Y461*1,"0")+IFERROR(Y465*1,"0")+IFERROR(Y466*1,"0")+IFERROR(Y467*1,"0")</f>
        <v>108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369.6</v>
      </c>
      <c r="AB565" s="52">
        <f>IFERROR(Y530*1,"0")+IFERROR(Y534*1,"0")+IFERROR(Y538*1,"0")+IFERROR(Y542*1,"0")+IFERROR(Y546*1,"0")+IFERROR(Y547*1,"0")</f>
        <v>71.400000000000006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45,00"/>
        <filter val="1 410,42"/>
        <filter val="1 485,42"/>
        <filter val="100,00"/>
        <filter val="11,11"/>
        <filter val="120,00"/>
        <filter val="13,33"/>
        <filter val="15,00"/>
        <filter val="150,00"/>
        <filter val="16,67"/>
        <filter val="174,77"/>
        <filter val="18,00"/>
        <filter val="18,52"/>
        <filter val="18,94"/>
        <filter val="200,00"/>
        <filter val="215,00"/>
        <filter val="270,00"/>
        <filter val="3"/>
        <filter val="40,72"/>
        <filter val="5,56"/>
        <filter val="50,00"/>
        <filter val="6,41"/>
        <filter val="60,00"/>
        <filter val="7,41"/>
        <filter val="70,00"/>
        <filter val="8,64"/>
        <filter val="9,47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2026-08-18T08:03:37Z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