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00A0F7F8-6EE5-42C8-A2E5-DA698C5B0F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331" i="2" l="1"/>
  <c r="Z72" i="2"/>
  <c r="Z232" i="2"/>
  <c r="Z427" i="2"/>
  <c r="Z41" i="2"/>
  <c r="BN41" i="2"/>
  <c r="Z141" i="2"/>
  <c r="Z191" i="2"/>
  <c r="Z272" i="2"/>
  <c r="Z330" i="2"/>
  <c r="Z469" i="2"/>
  <c r="Z53" i="2"/>
  <c r="BN53" i="2"/>
  <c r="Z95" i="2"/>
  <c r="Z149" i="2"/>
  <c r="Z184" i="2"/>
  <c r="Z282" i="2"/>
  <c r="Z319" i="2"/>
  <c r="Z344" i="2"/>
  <c r="BN344" i="2"/>
  <c r="Z377" i="2"/>
  <c r="Z416" i="2"/>
  <c r="Z434" i="2"/>
  <c r="BP484" i="2"/>
  <c r="Y85" i="2"/>
  <c r="Y163" i="2"/>
  <c r="Y203" i="2"/>
  <c r="Y204" i="2"/>
  <c r="Z64" i="2"/>
  <c r="BN64" i="2"/>
  <c r="Z83" i="2"/>
  <c r="BP90" i="2"/>
  <c r="Z139" i="2"/>
  <c r="Z142" i="2"/>
  <c r="BN142" i="2"/>
  <c r="Z161" i="2"/>
  <c r="Z162" i="2" s="1"/>
  <c r="Z187" i="2"/>
  <c r="Z230" i="2"/>
  <c r="BN230" i="2"/>
  <c r="Z242" i="2"/>
  <c r="Z265" i="2"/>
  <c r="Z275" i="2"/>
  <c r="Z306" i="2"/>
  <c r="Z329" i="2"/>
  <c r="Z337" i="2"/>
  <c r="Z372" i="2"/>
  <c r="BP391" i="2"/>
  <c r="Z409" i="2"/>
  <c r="Z411" i="2" s="1"/>
  <c r="Z425" i="2"/>
  <c r="Z457" i="2"/>
  <c r="Z458" i="2" s="1"/>
  <c r="Z478" i="2"/>
  <c r="BN478" i="2"/>
  <c r="Z538" i="2"/>
  <c r="Z539" i="2" s="1"/>
  <c r="BN30" i="2"/>
  <c r="BN42" i="2"/>
  <c r="BN52" i="2"/>
  <c r="BN54" i="2"/>
  <c r="BN65" i="2"/>
  <c r="BN77" i="2"/>
  <c r="BP98" i="2"/>
  <c r="Z121" i="2"/>
  <c r="BN121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BP423" i="2"/>
  <c r="BN423" i="2"/>
  <c r="Z423" i="2"/>
  <c r="BN428" i="2"/>
  <c r="Z428" i="2"/>
  <c r="BP441" i="2"/>
  <c r="BN453" i="2"/>
  <c r="BN470" i="2"/>
  <c r="BN479" i="2"/>
  <c r="BN489" i="2"/>
  <c r="BP501" i="2"/>
  <c r="BN515" i="2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Z501" i="2"/>
  <c r="Z503" i="2"/>
  <c r="BN503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7" i="2" l="1"/>
  <c r="Z418" i="2"/>
  <c r="Z480" i="2"/>
  <c r="Z338" i="2"/>
  <c r="Z251" i="2"/>
  <c r="Z143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<sst xmlns="http://schemas.openxmlformats.org/spreadsheetml/2006/main" count="4201" uniqueCount="895">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</sst>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7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46233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108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112.1</v>
      </c>
      <c r="BN70" s="78">
        <f>IFERROR(Y70*I70/H70,"0")</f>
        <v>112.1</v>
      </c>
      <c r="BO70" s="78">
        <f>IFERROR(1/J70*(X70/H70),"0")</f>
        <v>0.15625</v>
      </c>
      <c r="BP70" s="78">
        <f>IFERROR(1/J70*(Y70/H70),"0")</f>
        <v>0.15625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0.1898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108</v>
      </c>
      <c r="Y75" s="43">
        <f>IFERROR(SUM(Y70:Y73),"0")</f>
        <v>108</v>
      </c>
      <c r="Z75" s="42"/>
      <c r="AA75" s="67"/>
      <c r="AB75" s="67"/>
      <c r="AC75" s="67"/>
    </row>
    <row r="76" spans="1:68" ht="14.25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0.1898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81</v>
      </c>
      <c r="Y100" s="43">
        <f>IFERROR(SUM(Y95:Y98),"0")</f>
        <v>81</v>
      </c>
      <c r="Z100" s="42"/>
      <c r="AA100" s="67"/>
      <c r="AB100" s="67"/>
      <c r="AC100" s="67"/>
    </row>
    <row r="101" spans="1:68" ht="16.5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10</v>
      </c>
      <c r="Y124" s="43">
        <f>IFERROR(Y120/H120,"0")+IFERROR(Y121/H121,"0")+IFERROR(Y122/H122,"0")+IFERROR(Y123/H123,"0")</f>
        <v>10</v>
      </c>
      <c r="Z124" s="43">
        <f>IFERROR(IF(Z120="",0,Z120),"0")+IFERROR(IF(Z121="",0,Z121),"0")+IFERROR(IF(Z122="",0,Z122),"0")+IFERROR(IF(Z123="",0,Z123),"0")</f>
        <v>0.1898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81</v>
      </c>
      <c r="Y125" s="43">
        <f>IFERROR(SUM(Y120:Y123),"0")</f>
        <v>81</v>
      </c>
      <c r="Z125" s="42"/>
      <c r="AA125" s="67"/>
      <c r="AB125" s="67"/>
      <c r="AC125" s="67"/>
    </row>
    <row r="126" spans="1:68" ht="14.25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90</v>
      </c>
      <c r="Y178" s="55">
        <f t="shared" si="10"/>
        <v>91</v>
      </c>
      <c r="Z178" s="41">
        <f>IFERROR(IF(Y178=0,"",ROUNDUP(Y178/H178,0)*0.00902),"")</f>
        <v>0.23452000000000001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96.814285714285717</v>
      </c>
      <c r="BN178" s="78">
        <f t="shared" si="12"/>
        <v>97.89</v>
      </c>
      <c r="BO178" s="78">
        <f t="shared" si="13"/>
        <v>0.19480519480519481</v>
      </c>
      <c r="BP178" s="78">
        <f t="shared" si="14"/>
        <v>0.19696969696969696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25.714285714285715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26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0.23452000000000001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90</v>
      </c>
      <c r="Y189" s="43">
        <f>IFERROR(SUM(Y177:Y187),"0")</f>
        <v>91</v>
      </c>
      <c r="Z189" s="42"/>
      <c r="AA189" s="67"/>
      <c r="AB189" s="67"/>
      <c r="AC189" s="67"/>
    </row>
    <row r="190" spans="1:68" ht="14.25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10</v>
      </c>
      <c r="Y331" s="43">
        <f>IFERROR(Y326/H326,"0")+IFERROR(Y327/H327,"0")+IFERROR(Y328/H328,"0")+IFERROR(Y329/H329,"0")+IFERROR(Y330/H330,"0")</f>
        <v>10</v>
      </c>
      <c r="Z331" s="43">
        <f>IFERROR(IF(Z326="",0,Z326),"0")+IFERROR(IF(Z327="",0,Z327),"0")+IFERROR(IF(Z328="",0,Z328),"0")+IFERROR(IF(Z329="",0,Z329),"0")+IFERROR(IF(Z330="",0,Z330),"0")</f>
        <v>0.1898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108</v>
      </c>
      <c r="Y332" s="43">
        <f>IFERROR(SUM(Y326:Y330),"0")</f>
        <v>108</v>
      </c>
      <c r="Z332" s="42"/>
      <c r="AA332" s="67"/>
      <c r="AB332" s="67"/>
      <c r="AC332" s="67"/>
    </row>
    <row r="333" spans="1:68" ht="16.5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518.4</v>
      </c>
      <c r="Y363" s="55">
        <f t="shared" ref="Y363:Y368" si="42">IFERROR(IF(X363="",0,CEILING((X363/$H363),1)*$H363),"")</f>
        <v>518.40000000000009</v>
      </c>
      <c r="Z363" s="41">
        <f>IFERROR(IF(Y363=0,"",ROUNDUP(Y363/H363,0)*0.01898),"")</f>
        <v>0.91104000000000007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538.07999999999993</v>
      </c>
      <c r="BN363" s="78">
        <f t="shared" ref="BN363:BN368" si="44">IFERROR(Y363*I363/H363,"0")</f>
        <v>538.08000000000004</v>
      </c>
      <c r="BO363" s="78">
        <f t="shared" ref="BO363:BO368" si="45">IFERROR(1/J363*(X363/H363),"0")</f>
        <v>0.74999999999999989</v>
      </c>
      <c r="BP363" s="78">
        <f t="shared" ref="BP363:BP368" si="46">IFERROR(1/J363*(Y363/H363),"0")</f>
        <v>0.75000000000000011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57.999999999999993</v>
      </c>
      <c r="Y369" s="43">
        <f>IFERROR(Y363/H363,"0")+IFERROR(Y364/H364,"0")+IFERROR(Y365/H365,"0")+IFERROR(Y366/H366,"0")+IFERROR(Y367/H367,"0")+IFERROR(Y368/H368,"0")</f>
        <v>58.000000000000007</v>
      </c>
      <c r="Z369" s="43">
        <f>IFERROR(IF(Z363="",0,Z363),"0")+IFERROR(IF(Z364="",0,Z364),"0")+IFERROR(IF(Z365="",0,Z365),"0")+IFERROR(IF(Z366="",0,Z366),"0")+IFERROR(IF(Z367="",0,Z367),"0")+IFERROR(IF(Z368="",0,Z368),"0")</f>
        <v>1.10084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626.4</v>
      </c>
      <c r="Y370" s="43">
        <f>IFERROR(SUM(Y363:Y368),"0")</f>
        <v>626.40000000000009</v>
      </c>
      <c r="Z370" s="42"/>
      <c r="AA370" s="67"/>
      <c r="AB370" s="67"/>
      <c r="AC370" s="67"/>
    </row>
    <row r="371" spans="1:68" ht="14.25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20</v>
      </c>
      <c r="Y379" s="43">
        <f>IFERROR(Y372/H372,"0")+IFERROR(Y373/H373,"0")+IFERROR(Y374/H374,"0")+IFERROR(Y375/H375,"0")+IFERROR(Y376/H376,"0")+IFERROR(Y377/H377,"0")+IFERROR(Y378/H378,"0")</f>
        <v>20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0.1804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84</v>
      </c>
      <c r="Y380" s="43">
        <f>IFERROR(SUM(Y372:Y378),"0")</f>
        <v>84</v>
      </c>
      <c r="Z380" s="42"/>
      <c r="AA380" s="67"/>
      <c r="AB380" s="67"/>
      <c r="AC380" s="67"/>
    </row>
    <row r="381" spans="1:68" ht="14.25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195</v>
      </c>
      <c r="Y390" s="55">
        <f>IFERROR(IF(X390="",0,CEILING((X390/$H390),1)*$H390),"")</f>
        <v>195</v>
      </c>
      <c r="Z390" s="41">
        <f>IFERROR(IF(Y390=0,"",ROUNDUP(Y390/H390,0)*0.01898),"")</f>
        <v>0.47450000000000003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207.35000000000002</v>
      </c>
      <c r="BN390" s="78">
        <f>IFERROR(Y390*I390/H390,"0")</f>
        <v>207.35000000000002</v>
      </c>
      <c r="BO390" s="78">
        <f>IFERROR(1/J390*(X390/H390),"0")</f>
        <v>0.390625</v>
      </c>
      <c r="BP390" s="78">
        <f>IFERROR(1/J390*(Y390/H390),"0")</f>
        <v>0.390625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35</v>
      </c>
      <c r="Y392" s="43">
        <f>IFERROR(Y389/H389,"0")+IFERROR(Y390/H390,"0")+IFERROR(Y391/H391,"0")</f>
        <v>35</v>
      </c>
      <c r="Z392" s="43">
        <f>IFERROR(IF(Z389="",0,Z389),"0")+IFERROR(IF(Z390="",0,Z390),"0")+IFERROR(IF(Z391="",0,Z391),"0")</f>
        <v>0.6643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279</v>
      </c>
      <c r="Y393" s="43">
        <f>IFERROR(SUM(Y389:Y391),"0")</f>
        <v>279</v>
      </c>
      <c r="Z393" s="42"/>
      <c r="AA393" s="67"/>
      <c r="AB393" s="67"/>
      <c r="AC393" s="67"/>
    </row>
    <row r="394" spans="1:68" ht="14.25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10</v>
      </c>
      <c r="Y418" s="43">
        <f>IFERROR(Y415/H415,"0")+IFERROR(Y416/H416,"0")+IFERROR(Y417/H417,"0")</f>
        <v>10</v>
      </c>
      <c r="Z418" s="43">
        <f>IFERROR(IF(Z415="",0,Z415),"0")+IFERROR(IF(Z416="",0,Z416),"0")+IFERROR(IF(Z417="",0,Z417),"0")</f>
        <v>0.1898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81</v>
      </c>
      <c r="Y419" s="43">
        <f>IFERROR(SUM(Y415:Y417),"0")</f>
        <v>81</v>
      </c>
      <c r="Z419" s="42"/>
      <c r="AA419" s="67"/>
      <c r="AB419" s="67"/>
      <c r="AC419" s="67"/>
    </row>
    <row r="420" spans="1:68" ht="27.75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1440</v>
      </c>
      <c r="Y426" s="55">
        <f t="shared" si="52"/>
        <v>1440</v>
      </c>
      <c r="Z426" s="41">
        <f>IFERROR(IF(Y426=0,"",ROUNDUP(Y426/H426,0)*0.02175),"")</f>
        <v>2.0880000000000001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1485.12</v>
      </c>
      <c r="BN426" s="78">
        <f t="shared" si="54"/>
        <v>1485.12</v>
      </c>
      <c r="BO426" s="78">
        <f t="shared" si="55"/>
        <v>2</v>
      </c>
      <c r="BP426" s="78">
        <f t="shared" si="56"/>
        <v>2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96</v>
      </c>
      <c r="Y431" s="43">
        <f>IFERROR(Y423/H423,"0")+IFERROR(Y424/H424,"0")+IFERROR(Y425/H425,"0")+IFERROR(Y426/H426,"0")+IFERROR(Y427/H427,"0")+IFERROR(Y428/H428,"0")+IFERROR(Y429/H429,"0")+IFERROR(Y430/H430,"0")</f>
        <v>96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2.0880000000000001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1440</v>
      </c>
      <c r="Y432" s="43">
        <f>IFERROR(SUM(Y423:Y430),"0")</f>
        <v>1440</v>
      </c>
      <c r="Z432" s="42"/>
      <c r="AA432" s="67"/>
      <c r="AB432" s="67"/>
      <c r="AC432" s="67"/>
    </row>
    <row r="433" spans="1:68" ht="14.25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1440</v>
      </c>
      <c r="Y434" s="55">
        <f>IFERROR(IF(X434="",0,CEILING((X434/$H434),1)*$H434),"")</f>
        <v>1440</v>
      </c>
      <c r="Z434" s="41">
        <f>IFERROR(IF(Y434=0,"",ROUNDUP(Y434/H434,0)*0.02175),"")</f>
        <v>2.0880000000000001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1485.12</v>
      </c>
      <c r="BN434" s="78">
        <f>IFERROR(Y434*I434/H434,"0")</f>
        <v>1485.12</v>
      </c>
      <c r="BO434" s="78">
        <f>IFERROR(1/J434*(X434/H434),"0")</f>
        <v>2</v>
      </c>
      <c r="BP434" s="78">
        <f>IFERROR(1/J434*(Y434/H434),"0")</f>
        <v>2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96</v>
      </c>
      <c r="Y437" s="43">
        <f>IFERROR(Y434/H434,"0")+IFERROR(Y435/H435,"0")+IFERROR(Y436/H436,"0")</f>
        <v>96</v>
      </c>
      <c r="Z437" s="43">
        <f>IFERROR(IF(Z434="",0,Z434),"0")+IFERROR(IF(Z435="",0,Z435),"0")+IFERROR(IF(Z436="",0,Z436),"0")</f>
        <v>2.0880000000000001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1440</v>
      </c>
      <c r="Y438" s="43">
        <f>IFERROR(SUM(Y434:Y436),"0")</f>
        <v>1440</v>
      </c>
      <c r="Z438" s="42"/>
      <c r="AA438" s="67"/>
      <c r="AB438" s="67"/>
      <c r="AC438" s="67"/>
    </row>
    <row r="439" spans="1:68" ht="14.25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90</v>
      </c>
      <c r="Y440" s="55">
        <f>IFERROR(IF(X440="",0,CEILING((X440/$H440),1)*$H440),"")</f>
        <v>90</v>
      </c>
      <c r="Z440" s="41">
        <f>IFERROR(IF(Y440=0,"",ROUNDUP(Y440/H440,0)*0.01898),"")</f>
        <v>0.1898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95</v>
      </c>
      <c r="BN440" s="78">
        <f>IFERROR(Y440*I440/H440,"0")</f>
        <v>95</v>
      </c>
      <c r="BO440" s="78">
        <f>IFERROR(1/J440*(X440/H440),"0")</f>
        <v>0.15625</v>
      </c>
      <c r="BP440" s="78">
        <f>IFERROR(1/J440*(Y440/H440),"0")</f>
        <v>0.15625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10</v>
      </c>
      <c r="Y443" s="43">
        <f>IFERROR(Y440/H440,"0")+IFERROR(Y441/H441,"0")+IFERROR(Y442/H442,"0")</f>
        <v>10</v>
      </c>
      <c r="Z443" s="43">
        <f>IFERROR(IF(Z440="",0,Z440),"0")+IFERROR(IF(Z441="",0,Z441),"0")+IFERROR(IF(Z442="",0,Z442),"0")</f>
        <v>0.1898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90</v>
      </c>
      <c r="Y444" s="43">
        <f>IFERROR(SUM(Y440:Y442),"0")</f>
        <v>90</v>
      </c>
      <c r="Z444" s="42"/>
      <c r="AA444" s="67"/>
      <c r="AB444" s="67"/>
      <c r="AC444" s="67"/>
    </row>
    <row r="445" spans="1:68" ht="14.25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79.2</v>
      </c>
      <c r="Y499" s="55">
        <f t="shared" si="62"/>
        <v>79.2</v>
      </c>
      <c r="Z499" s="41">
        <f t="shared" si="63"/>
        <v>0.1794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84.45</v>
      </c>
      <c r="BN499" s="78">
        <f t="shared" si="65"/>
        <v>84.45</v>
      </c>
      <c r="BO499" s="78">
        <f t="shared" si="66"/>
        <v>0.14423076923076925</v>
      </c>
      <c r="BP499" s="78">
        <f t="shared" si="67"/>
        <v>0.14423076923076925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105.6</v>
      </c>
      <c r="Y501" s="55">
        <f t="shared" si="62"/>
        <v>105.60000000000001</v>
      </c>
      <c r="Z501" s="41">
        <f t="shared" si="63"/>
        <v>0.2392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112.59999999999998</v>
      </c>
      <c r="BN501" s="78">
        <f t="shared" si="65"/>
        <v>112.6</v>
      </c>
      <c r="BO501" s="78">
        <f t="shared" si="66"/>
        <v>0.19230769230769229</v>
      </c>
      <c r="BP501" s="78">
        <f t="shared" si="67"/>
        <v>0.19230769230769232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35</v>
      </c>
      <c r="Y505" s="43">
        <f>IFERROR(Y496/H496,"0")+IFERROR(Y497/H497,"0")+IFERROR(Y498/H498,"0")+IFERROR(Y499/H499,"0")+IFERROR(Y500/H500,"0")+IFERROR(Y501/H501,"0")+IFERROR(Y502/H502,"0")+IFERROR(Y503/H503,"0")+IFERROR(Y504/H504,"0")</f>
        <v>35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0.41859999999999997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184.8</v>
      </c>
      <c r="Y506" s="43">
        <f>IFERROR(SUM(Y496:Y504),"0")</f>
        <v>184.8</v>
      </c>
      <c r="Z506" s="42"/>
      <c r="AA506" s="67"/>
      <c r="AB506" s="67"/>
      <c r="AC506" s="67"/>
    </row>
    <row r="507" spans="1:68" ht="14.25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79.2</v>
      </c>
      <c r="Y508" s="55">
        <f>IFERROR(IF(X508="",0,CEILING((X508/$H508),1)*$H508),"")</f>
        <v>79.2</v>
      </c>
      <c r="Z508" s="41">
        <f>IFERROR(IF(Y508=0,"",ROUNDUP(Y508/H508,0)*0.01196),"")</f>
        <v>0.1794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84.45</v>
      </c>
      <c r="BN508" s="78">
        <f>IFERROR(Y508*I508/H508,"0")</f>
        <v>84.45</v>
      </c>
      <c r="BO508" s="78">
        <f>IFERROR(1/J508*(X508/H508),"0")</f>
        <v>0.14423076923076925</v>
      </c>
      <c r="BP508" s="78">
        <f>IFERROR(1/J508*(Y508/H508),"0")</f>
        <v>0.14423076923076925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15</v>
      </c>
      <c r="Y511" s="43">
        <f>IFERROR(Y508/H508,"0")+IFERROR(Y509/H509,"0")+IFERROR(Y510/H510,"0")</f>
        <v>15</v>
      </c>
      <c r="Z511" s="43">
        <f>IFERROR(IF(Z508="",0,Z508),"0")+IFERROR(IF(Z509="",0,Z509),"0")+IFERROR(IF(Z510="",0,Z510),"0")</f>
        <v>0.1794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79.2</v>
      </c>
      <c r="Y512" s="43">
        <f>IFERROR(SUM(Y508:Y510),"0")</f>
        <v>79.2</v>
      </c>
      <c r="Z512" s="42"/>
      <c r="AA512" s="67"/>
      <c r="AB512" s="67"/>
      <c r="AC512" s="67"/>
    </row>
    <row r="513" spans="1:68" ht="14.25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52.8</v>
      </c>
      <c r="Y514" s="55">
        <f t="shared" ref="Y514:Y520" si="68">IFERROR(IF(X514="",0,CEILING((X514/$H514),1)*$H514),"")</f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56.29999999999999</v>
      </c>
      <c r="BN514" s="78">
        <f t="shared" ref="BN514:BN520" si="70">IFERROR(Y514*I514/H514,"0")</f>
        <v>56.3</v>
      </c>
      <c r="BO514" s="78">
        <f t="shared" ref="BO514:BO520" si="71">IFERROR(1/J514*(X514/H514),"0")</f>
        <v>9.6153846153846145E-2</v>
      </c>
      <c r="BP514" s="78">
        <f t="shared" ref="BP514:BP520" si="72">IFERROR(1/J514*(Y514/H514),"0")</f>
        <v>9.6153846153846159E-2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79.2</v>
      </c>
      <c r="Y515" s="55">
        <f t="shared" si="68"/>
        <v>79.2</v>
      </c>
      <c r="Z515" s="41">
        <f>IFERROR(IF(Y515=0,"",ROUNDUP(Y515/H515,0)*0.01196),"")</f>
        <v>0.1794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84.45</v>
      </c>
      <c r="BN515" s="78">
        <f t="shared" si="70"/>
        <v>84.45</v>
      </c>
      <c r="BO515" s="78">
        <f t="shared" si="71"/>
        <v>0.14423076923076925</v>
      </c>
      <c r="BP515" s="78">
        <f t="shared" si="72"/>
        <v>0.14423076923076925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105.6</v>
      </c>
      <c r="Y516" s="55">
        <f t="shared" si="68"/>
        <v>105.60000000000001</v>
      </c>
      <c r="Z516" s="41">
        <f>IFERROR(IF(Y516=0,"",ROUNDUP(Y516/H516,0)*0.01196),"")</f>
        <v>0.2392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112.59999999999998</v>
      </c>
      <c r="BN516" s="78">
        <f t="shared" si="70"/>
        <v>112.6</v>
      </c>
      <c r="BO516" s="78">
        <f t="shared" si="71"/>
        <v>0.19230769230769229</v>
      </c>
      <c r="BP516" s="78">
        <f t="shared" si="72"/>
        <v>0.19230769230769232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45</v>
      </c>
      <c r="Y521" s="43">
        <f>IFERROR(Y514/H514,"0")+IFERROR(Y515/H515,"0")+IFERROR(Y516/H516,"0")+IFERROR(Y517/H517,"0")+IFERROR(Y518/H518,"0")+IFERROR(Y519/H519,"0")+IFERROR(Y520/H520,"0")</f>
        <v>45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0.53820000000000001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237.6</v>
      </c>
      <c r="Y522" s="43">
        <f>IFERROR(SUM(Y514:Y520),"0")</f>
        <v>237.60000000000002</v>
      </c>
      <c r="Z522" s="42"/>
      <c r="AA522" s="67"/>
      <c r="AB522" s="67"/>
      <c r="AC522" s="67"/>
    </row>
    <row r="523" spans="1:68" ht="27.75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48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50.857142857142861</v>
      </c>
      <c r="BN534" s="78">
        <f>IFERROR(Y534*I534/H534,"0")</f>
        <v>53.400000000000006</v>
      </c>
      <c r="BO534" s="78">
        <f>IFERROR(1/J534*(X534/H534),"0")</f>
        <v>8.658008658008659E-2</v>
      </c>
      <c r="BP534" s="78">
        <f>IFERROR(1/J534*(Y534/H534),"0")</f>
        <v>9.0909090909090912E-2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11.428571428571429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48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5058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5061.3999999999996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5265.1914285714283</v>
      </c>
      <c r="Y552" s="43">
        <f>IFERROR(SUM(BN22:BN548),"0")</f>
        <v>5268.8099999999995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5465.1914285714283</v>
      </c>
      <c r="Y554" s="43">
        <f>GrossWeightTotalR+PalletQtyTotalR*25</f>
        <v>5468.8099999999995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497.14285714285717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498</v>
      </c>
      <c r="Z555" s="42"/>
      <c r="AA555" s="67"/>
      <c r="AB555" s="67"/>
      <c r="AC555" s="67"/>
    </row>
    <row r="556" spans="1:68" ht="14.25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8.7393000000000001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108</v>
      </c>
      <c r="F561" s="52">
        <f>IFERROR(Y88*1,"0")+IFERROR(Y89*1,"0")+IFERROR(Y90*1,"0")+IFERROR(Y91*1,"0")+IFERROR(Y95*1,"0")+IFERROR(Y96*1,"0")+IFERROR(Y97*1,"0")+IFERROR(Y98*1,"0")</f>
        <v>81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91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108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989.40000000000009</v>
      </c>
      <c r="U561" s="52">
        <f>IFERROR(Y415*1,"0")+IFERROR(Y416*1,"0")+IFERROR(Y417*1,"0")</f>
        <v>81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2970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501.6</v>
      </c>
      <c r="AA561" s="52">
        <f>IFERROR(Y526*1,"0")+IFERROR(Y530*1,"0")+IFERROR(Y534*1,"0")+IFERROR(Y538*1,"0")+IFERROR(Y542*1,"0")+IFERROR(Y543*1,"0")</f>
        <v>50.400000000000006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2026-08-05T12:12:13Z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