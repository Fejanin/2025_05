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A6983F39-9BC9-4153-ADA6-E2B3A36D9E28}" xr6:coauthVersionLast="45" xr6:coauthVersionMax="45" xr10:uidLastSave="{00000000-0000-0000-0000-000000000000}"/>
  <bookViews>
    <workbookView xWindow="1860" yWindow="195" windowWidth="14160" windowHeight="15120" xr2:uid="{00000000-000D-0000-FFFF-FFFF00000000}"/>
  </bookViews>
  <sheets>
    <sheet name="Заказ" sheetId="102" r:id="rId1"/>
  </sheets>
  <definedNames>
    <definedName name="_xlnm._FilterDatabase" localSheetId="0" hidden="1">Заказ!$F$1:$F$401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2" i="102" l="1"/>
  <c r="G393" i="102"/>
  <c r="G394" i="102"/>
  <c r="F395" i="102" l="1"/>
  <c r="G400" i="102"/>
  <c r="G399" i="102"/>
  <c r="G398" i="102"/>
  <c r="G397" i="102"/>
  <c r="G396" i="102"/>
  <c r="G395" i="102" l="1"/>
  <c r="G5" i="102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360" i="102" l="1"/>
  <c r="F350" i="102"/>
  <c r="F401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390" i="102"/>
  <c r="G391" i="102"/>
  <c r="G4" i="102"/>
  <c r="G3" i="102" l="1"/>
  <c r="G356" i="102"/>
  <c r="G321" i="102"/>
  <c r="G266" i="102"/>
  <c r="G181" i="102"/>
  <c r="G343" i="102"/>
  <c r="G360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0" i="102"/>
  <c r="AC391" i="102"/>
  <c r="AC394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4" i="102"/>
  <c r="AE391" i="102"/>
  <c r="AE390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401" i="102" l="1"/>
  <c r="AE356" i="102"/>
  <c r="AE343" i="102"/>
  <c r="AE181" i="102"/>
  <c r="AE321" i="102"/>
  <c r="AC350" i="102"/>
  <c r="AC321" i="102"/>
  <c r="AE350" i="102"/>
  <c r="AC360" i="102"/>
  <c r="AC356" i="102"/>
  <c r="AC343" i="102"/>
  <c r="AC266" i="102"/>
  <c r="AC3" i="102"/>
  <c r="AE266" i="102"/>
  <c r="AE360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<sst xmlns="http://schemas.openxmlformats.org/spreadsheetml/2006/main" count="694" uniqueCount="686">
  <si>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</si>
  <si>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</si>
  <si>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</si>
  <si>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</si>
  <si>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</si>
  <si>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</si>
  <si>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</si>
  <si>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</si>
  <si>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</si>
  <si>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</si>
  <si>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</si>
  <si>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</si>
  <si>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</si>
  <si>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</si>
  <si>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</si>
  <si>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</si>
  <si>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</si>
  <si>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</si>
  <si>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</si>
  <si>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</si>
  <si>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</si>
  <si>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</si>
  <si>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</si>
  <si>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</si>
  <si>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</si>
  <si>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</si>
  <si>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</si>
  <si>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</si>
  <si>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</si>
  <si>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</si>
  <si>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</si>
  <si>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</si>
  <si>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</si>
  <si>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</si>
  <si>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</si>
  <si>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</si>
  <si>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</si>
  <si>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</si>
  <si>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</si>
  <si>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</si>
  <si>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</si>
  <si>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</si>
  <si>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</si>
  <si>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</si>
  <si>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</si>
  <si>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</si>
  <si>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</si>
  <si>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</si>
  <si>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</si>
  <si>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</si>
  <si>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</si>
  <si>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</si>
  <si>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</si>
  <si>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</si>
  <si>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</si>
  <si>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</si>
  <si>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</si>
  <si>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</si>
  <si>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</si>
  <si>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</si>
  <si>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</si>
  <si>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</si>
  <si>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</si>
  <si>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</si>
  <si>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</si>
  <si>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</si>
  <si>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</si>
  <si>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</si>
  <si>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</si>
  <si>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</si>
  <si>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</si>
  <si>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</si>
  <si>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</si>
  <si>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</si>
  <si>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</si>
  <si>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</si>
  <si>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</si>
  <si>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</si>
  <si>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</si>
  <si>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</si>
  <si>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</si>
  <si>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</si>
  <si>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</si>
  <si>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</si>
  <si>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</si>
  <si>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</si>
  <si>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</si>
  <si>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</si>
  <si>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</si>
  <si>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</si>
  <si>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</si>
  <si>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</si>
  <si>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</si>
  <si>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</si>
  <si>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</si>
  <si>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</si>
  <si>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</si>
  <si>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</si>
  <si>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</si>
  <si>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</si>
  <si>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</si>
  <si>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</si>
  <si>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</si>
  <si>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</si>
  <si>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</si>
  <si>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</si>
  <si>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</si>
  <si>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</si>
  <si>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</si>
  <si>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</si>
  <si>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</si>
  <si>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</si>
  <si>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</si>
  <si>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</si>
  <si>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</si>
  <si>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</si>
  <si>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</si>
  <si>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</si>
  <si>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</si>
  <si>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</si>
  <si>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</si>
  <si>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</si>
  <si>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</si>
  <si>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</si>
  <si>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</si>
  <si>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</si>
  <si>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</si>
  <si>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</si>
  <si>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</si>
  <si>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</si>
  <si>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</si>
  <si>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</si>
  <si>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</si>
  <si>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</si>
  <si>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</si>
  <si>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</si>
  <si>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</si>
  <si>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</si>
  <si>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</si>
  <si>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</si>
  <si>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</si>
  <si>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</si>
  <si>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</si>
  <si>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</si>
  <si>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</si>
  <si>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</si>
  <si>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</si>
  <si>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</si>
  <si>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</si>
  <si>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</si>
  <si>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</si>
  <si>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</si>
  <si>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</si>
  <si>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</si>
  <si>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</si>
  <si>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</si>
  <si>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</si>
  <si>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</si>
  <si>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</si>
  <si>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</si>
  <si>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</si>
  <si>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</si>
  <si>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</si>
  <si>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</si>
  <si>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</si>
  <si>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</si>
  <si>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</si>
  <si>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</si>
  <si>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</si>
  <si>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</si>
  <si>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</si>
  <si>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</si>
  <si>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</si>
  <si>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</si>
  <si>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</si>
  <si>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</si>
  <si>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</si>
  <si>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</si>
  <si>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</si>
  <si>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</si>
  <si>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</si>
  <si>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</si>
  <si>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</si>
  <si>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</si>
  <si>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</si>
  <si>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</si>
  <si>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</si>
  <si>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</si>
  <si>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</si>
  <si>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</si>
  <si>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</si>
  <si>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</si>
  <si>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</si>
  <si>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</si>
  <si>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</si>
  <si>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</si>
  <si>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</si>
  <si>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</si>
  <si>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</si>
  <si>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</si>
  <si>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</si>
  <si>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</si>
  <si>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</si>
  <si>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</si>
  <si>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</si>
  <si>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</si>
  <si>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</si>
  <si>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</si>
  <si>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</si>
  <si>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</si>
  <si>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</si>
  <si>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</si>
  <si>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</si>
  <si>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</si>
  <si>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</si>
  <si>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</si>
  <si>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</si>
  <si>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</si>
  <si>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</si>
  <si>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</si>
  <si>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</si>
  <si>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</si>
  <si>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</si>
  <si>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</si>
  <si>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</si>
  <si>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</si>
  <si>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</si>
  <si>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</si>
  <si>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</si>
  <si>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</si>
  <si>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</si>
  <si>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</si>
  <si>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</si>
  <si>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</si>
  <si>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</si>
  <si>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</si>
  <si>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</si>
  <si>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</si>
  <si>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</si>
  <si>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</si>
  <si>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</si>
  <si>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</si>
  <si>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</si>
  <si>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</si>
  <si>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</si>
  <si>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</si>
  <si>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</si>
  <si>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</si>
  <si>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</si>
  <si>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</si>
  <si>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</si>
  <si>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</si>
  <si>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</si>
  <si>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</si>
  <si>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</si>
  <si>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</si>
  <si>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</si>
  <si>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</si>
  <si>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</si>
  <si>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</si>
  <si>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</si>
  <si>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</si>
  <si>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</si>
  <si>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</si>
  <si>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</si>
  <si>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</si>
  <si>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</si>
  <si>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</si>
  <si>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</si>
  <si>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</si>
  <si>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</si>
  <si>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</si>
  <si>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</si>
  <si>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</si>
  <si>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</si>
  <si>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</si>
  <si>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</si>
  <si>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</si>
  <si>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</si>
  <si>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</si>
  <si>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</si>
  <si>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</si>
  <si>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</si>
  <si>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</si>
  <si>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</si>
  <si>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</si>
  <si>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</si>
  <si>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</si>
  <si>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</si>
  <si>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</si>
  <si>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</si>
  <si>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</si>
  <si>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</si>
  <si>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</si>
  <si>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</si>
  <si>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</si>
  <si>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</si>
  <si>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</si>
  <si>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</si>
  <si>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</si>
  <si>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</si>
  <si>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</si>
  <si>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</si>
  <si>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</si>
  <si>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</si>
  <si>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</si>
  <si>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</si>
  <si>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</si>
  <si>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</si>
  <si>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</si>
  <si>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</si>
  <si>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</si>
  <si>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</si>
  <si>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</si>
  <si>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</si>
  <si>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</si>
  <si>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</si>
  <si>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</si>
  <si>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</si>
  <si>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</si>
  <si>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</si>
  <si>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</si>
  <si>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</si>
  <si>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</si>
  <si>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</si>
  <si>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</si>
  <si>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</si>
  <si>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</si>
  <si>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</si>
  <si>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</si>
  <si>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</si>
  <si>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</si>
  <si>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</si>
  <si>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</si>
  <si>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</si>
  <si>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</si>
  <si>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</si>
  <si>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</si>
  <si>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</si>
  <si>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</si>
  <si>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</si>
  <si>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</si>
  <si>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</si>
  <si>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</si>
  <si>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</si>
  <si>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</si>
  <si>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</si>
  <si>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</si>
  <si>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</si>
  <si>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</si>
  <si>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</si>
  <si>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</si>
  <si>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</si>
  <si>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</si>
  <si>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</si>
  <si>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</si>
  <si>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</si>
  <si>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</si>
  <si>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</si>
  <si>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</si>
  <si>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</si>
  <si>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</si>
  <si>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</si>
  <si>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</si>
  <si>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</si>
  <si>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</si>
  <si>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</si>
  <si>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</si>
  <si>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</si>
  <si>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</si>
  <si>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</si>
  <si>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</si>
  <si>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</si>
  <si>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</si>
  <si>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</si>
  <si>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</si>
  <si>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</si>
  <si>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</si>
  <si>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</si>
  <si>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</si>
  <si>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</si>
  <si>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</si>
  <si>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</si>
  <si>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</si>
  <si>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</si>
  <si>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</si>
  <si>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</si>
  <si>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</si>
  <si>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</si>
  <si>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</si>
  <si>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</si>
  <si>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</si>
  <si>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</si>
  <si>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</si>
  <si>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</si>
  <si>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</si>
  <si>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</si>
  <si>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</si>
  <si>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</si>
  <si>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</si>
  <si>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</si>
  <si>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</si>
  <si>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</si>
  <si>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</si>
  <si>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</si>
  <si>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</si>
  <si>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</si>
  <si>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</si>
  <si>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</si>
  <si>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</si>
  <si>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</si>
  <si>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</si>
  <si>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</si>
  <si>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</si>
  <si>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</si>
  <si>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</si>
  <si>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</si>
  <si>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</si>
  <si>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</si>
  <si>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</si>
  <si>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</si>
  <si>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</si>
  <si>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</si>
  <si>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</si>
  <si>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</si>
  <si>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</si>
  <si>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</si>
  <si>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</si>
  <si>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</si>
  <si>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</si>
  <si>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</si>
  <si>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</si>
  <si>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</si>
  <si>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</si>
  <si>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</si>
  <si>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</si>
  <si>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</si>
  <si>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</si>
  <si>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</si>
  <si>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</si>
  <si>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</si>
  <si>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</si>
  <si>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</si>
  <si>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</si>
  <si>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</si>
  <si>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</si>
  <si>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</si>
  <si>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</si>
  <si>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</si>
  <si>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</si>
  <si>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</si>
  <si>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</si>
  <si>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</si>
  <si>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</si>
  <si>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</si>
  <si>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</si>
  <si>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</si>
  <si>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</si>
  <si>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</si>
  <si>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</si>
  <si>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</si>
  <si>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</si>
  <si>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</si>
  <si>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</si>
  <si>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</si>
  <si>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</si>
  <si>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</si>
  <si>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</si>
  <si>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</si>
  <si>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</si>
  <si>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</si>
  <si>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</si>
  <si>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</si>
  <si>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</si>
  <si>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</si>
  <si>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</si>
  <si>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</si>
  <si>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</si>
  <si>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</si>
  <si>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</si>
  <si>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</si>
  <si>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</si>
  <si>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</si>
  <si>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</si>
  <si>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</si>
  <si>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</si>
  <si>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</si>
  <si>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</si>
  <si>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</si>
  <si>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</si>
  <si>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</si>
  <si>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</si>
  <si>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</si>
  <si>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</si>
  <si>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</si>
  <si>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</si>
  <si>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</si>
  <si>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</si>
  <si>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</si>
  <si>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</si>
  <si>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</si>
  <si>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</si>
  <si>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</si>
  <si>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</si>
  <si>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</si>
  <si>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</si>
  <si>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</si>
  <si>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</si>
  <si>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</si>
  <si>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</si>
  <si>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</si>
  <si>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</si>
  <si>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</si>
  <si>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</si>
  <si>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</si>
  <si>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</si>
  <si>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</si>
  <si>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</si>
  <si>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</si>
  <si>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</si>
  <si>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</si>
  <si>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</si>
  <si>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</si>
  <si>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</si>
  <si>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</si>
  <si>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</si>
  <si>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</si>
  <si>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</si>
  <si>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</si>
  <si>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</si>
  <si>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</si>
  <si>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</si>
  <si>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</si>
  <si>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</si>
  <si>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</si>
  <si>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</si>
  <si>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</si>
  <si>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</si>
  <si>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</si>
  <si>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</si>
  <si>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</si>
  <si>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</si>
  <si>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</si>
  <si>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</si>
  <si>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</si>
  <si>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</si>
  <si>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</si>
  <si>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</si>
  <si>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</si>
  <si>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</si>
  <si>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</si>
  <si>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</si>
  <si>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</si>
  <si>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</si>
  <si>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</si>
  <si>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</si>
  <si>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</si>
  <si>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</si>
  <si>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</si>
  <si>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</si>
  <si>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</si>
  <si>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</si>
  <si>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</si>
  <si>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</si>
  <si>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</si>
  <si>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</si>
  <si>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</si>
  <si>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</si>
  <si>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</si>
  <si>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</si>
  <si>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</si>
  <si>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</si>
  <si>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</si>
  <si>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</si>
  <si>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</si>
  <si>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</si>
  <si>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</si>
  <si>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</si>
  <si>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</si>
  <si>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</si>
  <si>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</si>
  <si>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</si>
  <si>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</si>
  <si>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</si>
  <si>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</si>
  <si>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</si>
  <si>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</si>
  <si>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</si>
  <si>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</si>
  <si>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</si>
  <si>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</si>
  <si>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</si>
  <si>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</si>
  <si>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</si>
  <si>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</si>
  <si>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</si>
  <si>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</si>
  <si>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</si>
  <si>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</si>
  <si>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</si>
  <si>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</si>
  <si>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</si>
  <si>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</si>
  <si>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</si>
  <si>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</si>
  <si>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</si>
  <si>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</si>
  <si>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</si>
  <si>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</si>
  <si>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</si>
  <si>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</si>
  <si>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</si>
  <si>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</si>
  <si>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</si>
  <si>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</si>
  <si>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</si>
  <si>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</si>
  <si>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</si>
  <si>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</si>
  <si>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</si>
  <si>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</si>
  <si>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</si>
  <si>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</si>
  <si>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</si>
  <si>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</si>
  <si>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</si>
  <si>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</si>
  <si>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</si>
  <si>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</si>
  <si>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</si>
  <si>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</si>
  <si>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</si>
  <si>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</si>
  <si>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</si>
  <si>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</si>
  <si>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</si>
  <si>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</si>
  <si>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</si>
  <si>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</si>
  <si>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</si>
  <si>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</si>
  <si>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</si>
  <si>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</si>
  <si>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</si>
  <si>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</si>
  <si>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</si>
  <si>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</si>
  <si>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</si>
  <si>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</si>
  <si>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</si>
  <si>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</si>
  <si>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</si>
  <si>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</si>
  <si>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</si>
  <si>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</si>
  <si>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</si>
  <si>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</si>
  <si>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</si>
  <si>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</si>
  <si>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</si>
  <si>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</si>
  <si>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</si>
  <si>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</si>
  <si>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</si>
  <si>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</si>
  <si>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</si>
  <si>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</si>
  <si>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</si>
  <si>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</si>
  <si>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</si>
  <si>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</si>
  <si>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</si>
  <si>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</si>
  <si>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</si>
  <si>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</si>
  <si>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</si>
  <si>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</si>
  <si>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</si>
  <si>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</si>
  <si>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</si>
  <si>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</si>
  <si>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</si>
  <si>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</si>
  <si>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</si>
  <si>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</si>
  <si>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24.11.25.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</si>
</sst>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401"/>
  <sheetViews>
    <sheetView tabSelected="1" zoomScale="80" zoomScaleNormal="80" workbookViewId="0">
      <selection activeCell="C1" sqref="C1:E1048576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685</v>
      </c>
    </row>
    <row r="2" spans="1:31" ht="32.25" thickBot="1" x14ac:dyDescent="0.3">
      <c r="C2" s="34"/>
      <c r="D2" s="64" t="s">
        <v>613</v>
      </c>
      <c r="E2" s="37"/>
      <c r="F2" s="37" t="s">
        <v>0</v>
      </c>
      <c r="G2" s="38" t="s">
        <v>321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190</v>
      </c>
      <c r="AD2" s="20"/>
      <c r="AE2" s="26" t="s">
        <v>191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SUM(F4:F180)</f>
        <v>17512</v>
      </c>
      <c r="G3" s="27">
        <f>SUM(G4:G180)</f>
        <v>16565.2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SUM(AC4:AC180)</f>
        <v>88.149499999999989</v>
      </c>
      <c r="AD3" s="21"/>
      <c r="AE3" s="19" t="e">
        <f>SUM(AE4:AE180)</f>
        <v>#REF!</v>
      </c>
    </row>
    <row r="4" spans="1:31" ht="18.75" hidden="1" customHeight="1" outlineLevel="1" x14ac:dyDescent="0.25">
      <c r="B4" s="71" t="s">
        <v>343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hidden="1" customHeight="1" outlineLevel="1" x14ac:dyDescent="0.25">
      <c r="B5" s="71" t="s">
        <v>684</v>
      </c>
      <c r="C5" s="65" t="s">
        <v>683</v>
      </c>
      <c r="D5" s="65">
        <v>2928</v>
      </c>
      <c r="E5" s="14">
        <v>1</v>
      </c>
      <c r="F5" s="14"/>
      <c r="G5" s="22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627</v>
      </c>
      <c r="C6" s="65" t="s">
        <v>626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625</v>
      </c>
      <c r="C7" s="76" t="s">
        <v>624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622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623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614</v>
      </c>
      <c r="B10" s="71" t="s">
        <v>344</v>
      </c>
      <c r="C10" s="30" t="s">
        <v>615</v>
      </c>
      <c r="D10" s="65">
        <v>2634</v>
      </c>
      <c r="E10" s="14">
        <v>1</v>
      </c>
      <c r="F10" s="14">
        <v>200</v>
      </c>
      <c r="G10" s="22">
        <f t="shared" ref="G10:G12" si="1">F10*E10</f>
        <v>200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341</v>
      </c>
      <c r="B11" s="71" t="s">
        <v>345</v>
      </c>
      <c r="C11" s="75" t="s">
        <v>340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346</v>
      </c>
      <c r="C12" s="74" t="s">
        <v>322</v>
      </c>
      <c r="D12" s="65">
        <v>3423</v>
      </c>
      <c r="E12" s="14">
        <v>1</v>
      </c>
      <c r="F12" s="14">
        <v>1500</v>
      </c>
      <c r="G12" s="22">
        <f t="shared" si="1"/>
        <v>1500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347</v>
      </c>
      <c r="C13" s="57" t="s">
        <v>323</v>
      </c>
      <c r="D13" s="65">
        <v>3422</v>
      </c>
      <c r="E13" s="14">
        <v>1</v>
      </c>
      <c r="F13" s="14">
        <v>4000</v>
      </c>
      <c r="G13" s="22">
        <f t="shared" ref="G13:G23" si="2">F13*E13</f>
        <v>4000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348</v>
      </c>
      <c r="C14" s="57" t="s">
        <v>324</v>
      </c>
      <c r="D14" s="65">
        <v>3420</v>
      </c>
      <c r="E14" s="14">
        <v>1</v>
      </c>
      <c r="F14" s="14">
        <v>3000</v>
      </c>
      <c r="G14" s="22">
        <f t="shared" si="2"/>
        <v>3000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620</v>
      </c>
      <c r="B15" s="71" t="s">
        <v>349</v>
      </c>
      <c r="C15" s="62" t="s">
        <v>337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464</v>
      </c>
      <c r="C16" s="57" t="s">
        <v>325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617</v>
      </c>
      <c r="B17" s="71" t="s">
        <v>465</v>
      </c>
      <c r="C17" s="62" t="s">
        <v>326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621</v>
      </c>
      <c r="B18" s="71" t="s">
        <v>350</v>
      </c>
      <c r="C18" s="62" t="s">
        <v>342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618</v>
      </c>
      <c r="B19" s="71" t="s">
        <v>466</v>
      </c>
      <c r="C19" s="57" t="s">
        <v>327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329</v>
      </c>
      <c r="B20" s="71" t="s">
        <v>351</v>
      </c>
      <c r="C20" s="62" t="s">
        <v>328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619</v>
      </c>
      <c r="B21" s="71" t="s">
        <v>352</v>
      </c>
      <c r="C21" s="62" t="s">
        <v>330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616</v>
      </c>
      <c r="B22" s="71" t="s">
        <v>353</v>
      </c>
      <c r="C22" s="61" t="s">
        <v>331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hidden="1" customHeight="1" outlineLevel="1" x14ac:dyDescent="0.25">
      <c r="B23" s="71" t="s">
        <v>354</v>
      </c>
      <c r="C23" s="57" t="s">
        <v>332</v>
      </c>
      <c r="D23" s="65">
        <v>2615</v>
      </c>
      <c r="E23" s="14">
        <v>1</v>
      </c>
      <c r="F23" s="14"/>
      <c r="G23" s="22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355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customHeight="1" outlineLevel="1" x14ac:dyDescent="0.25">
      <c r="B25" s="71" t="s">
        <v>356</v>
      </c>
      <c r="C25" s="35" t="s">
        <v>5</v>
      </c>
      <c r="D25" s="65">
        <v>722</v>
      </c>
      <c r="E25" s="40">
        <v>1</v>
      </c>
      <c r="F25" s="14">
        <v>30</v>
      </c>
      <c r="G25" s="22">
        <f t="shared" si="3"/>
        <v>30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357</v>
      </c>
      <c r="C26" s="35" t="s">
        <v>243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358</v>
      </c>
      <c r="C27" s="35" t="s">
        <v>242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359</v>
      </c>
      <c r="C28" s="35" t="s">
        <v>240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360</v>
      </c>
      <c r="C29" s="35" t="s">
        <v>312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360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hidden="1" customHeight="1" outlineLevel="1" x14ac:dyDescent="0.25">
      <c r="B31" s="71" t="s">
        <v>361</v>
      </c>
      <c r="C31" s="35" t="s">
        <v>192</v>
      </c>
      <c r="D31" s="65">
        <v>1523</v>
      </c>
      <c r="E31" s="40">
        <v>1</v>
      </c>
      <c r="F31" s="14"/>
      <c r="G31" s="22">
        <f t="shared" si="3"/>
        <v>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362</v>
      </c>
      <c r="C32" s="35" t="s">
        <v>193</v>
      </c>
      <c r="D32" s="65">
        <v>1721</v>
      </c>
      <c r="E32" s="40">
        <v>1</v>
      </c>
      <c r="F32" s="14">
        <v>100</v>
      </c>
      <c r="G32" s="22">
        <f t="shared" si="3"/>
        <v>100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363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463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467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468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469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470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471</v>
      </c>
      <c r="C39" s="35" t="s">
        <v>248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472</v>
      </c>
      <c r="C40" s="35" t="s">
        <v>247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473</v>
      </c>
      <c r="C41" s="35" t="s">
        <v>246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474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hidden="1" customHeight="1" outlineLevel="1" x14ac:dyDescent="0.25">
      <c r="B43" s="71" t="s">
        <v>475</v>
      </c>
      <c r="C43" s="35" t="s">
        <v>14</v>
      </c>
      <c r="D43" s="65">
        <v>1718</v>
      </c>
      <c r="E43" s="40">
        <v>0.45</v>
      </c>
      <c r="F43" s="14"/>
      <c r="G43" s="22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hidden="1" customHeight="1" outlineLevel="1" x14ac:dyDescent="0.25">
      <c r="B44" s="71" t="s">
        <v>476</v>
      </c>
      <c r="C44" s="35" t="s">
        <v>15</v>
      </c>
      <c r="D44" s="65">
        <v>1720</v>
      </c>
      <c r="E44" s="40">
        <v>0.45</v>
      </c>
      <c r="F44" s="14"/>
      <c r="G44" s="22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477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478</v>
      </c>
      <c r="C46" s="35" t="s">
        <v>249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479</v>
      </c>
      <c r="C47" s="35" t="s">
        <v>250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480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481</v>
      </c>
      <c r="C49" s="35" t="s">
        <v>280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482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483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484</v>
      </c>
      <c r="C52" s="35" t="s">
        <v>285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485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486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487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488</v>
      </c>
      <c r="C56" s="73" t="s">
        <v>276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489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490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491</v>
      </c>
      <c r="C59" s="73" t="s">
        <v>277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492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493</v>
      </c>
      <c r="C61" s="35" t="s">
        <v>282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494</v>
      </c>
      <c r="C62" s="35" t="s">
        <v>274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495</v>
      </c>
      <c r="C63" s="35" t="s">
        <v>278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496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497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498</v>
      </c>
      <c r="C66" s="35" t="s">
        <v>286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499</v>
      </c>
      <c r="C67" s="35" t="s">
        <v>281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500</v>
      </c>
      <c r="C68" s="35" t="s">
        <v>279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501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502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503</v>
      </c>
      <c r="C71" s="35" t="s">
        <v>315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504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505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506</v>
      </c>
      <c r="C74" s="35" t="s">
        <v>317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507</v>
      </c>
      <c r="C75" s="35" t="s">
        <v>283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508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509</v>
      </c>
      <c r="C77" s="35" t="s">
        <v>275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510</v>
      </c>
      <c r="C78" s="35" t="s">
        <v>284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511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512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513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customHeight="1" outlineLevel="1" x14ac:dyDescent="0.25">
      <c r="B82" s="71" t="s">
        <v>514</v>
      </c>
      <c r="C82" s="35" t="s">
        <v>36</v>
      </c>
      <c r="D82" s="65">
        <v>2602</v>
      </c>
      <c r="E82" s="40">
        <v>0.35</v>
      </c>
      <c r="F82" s="14">
        <v>36</v>
      </c>
      <c r="G82" s="22">
        <f t="shared" si="3"/>
        <v>12.6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515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364</v>
      </c>
      <c r="C84" s="61" t="s">
        <v>38</v>
      </c>
      <c r="D84" s="65">
        <v>2035</v>
      </c>
      <c r="E84" s="40">
        <v>1</v>
      </c>
      <c r="F84" s="14">
        <v>200</v>
      </c>
      <c r="G84" s="22">
        <f t="shared" si="3"/>
        <v>200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516</v>
      </c>
      <c r="C85" s="35" t="s">
        <v>39</v>
      </c>
      <c r="D85" s="65">
        <v>126</v>
      </c>
      <c r="E85" s="40">
        <v>1</v>
      </c>
      <c r="F85" s="14">
        <v>3500</v>
      </c>
      <c r="G85" s="22">
        <f t="shared" si="3"/>
        <v>3500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365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366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367</v>
      </c>
      <c r="C88" s="35" t="s">
        <v>42</v>
      </c>
      <c r="D88" s="65" t="s">
        <v>604</v>
      </c>
      <c r="E88" s="40">
        <v>1</v>
      </c>
      <c r="F88" s="14"/>
      <c r="G88" s="22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368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369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370</v>
      </c>
      <c r="C91" s="35" t="s">
        <v>255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371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372</v>
      </c>
      <c r="C93" s="73" t="s">
        <v>260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customHeight="1" outlineLevel="1" x14ac:dyDescent="0.25">
      <c r="B94" s="71" t="s">
        <v>373</v>
      </c>
      <c r="C94" s="35" t="s">
        <v>46</v>
      </c>
      <c r="D94" s="65">
        <v>2182</v>
      </c>
      <c r="E94" s="40">
        <v>1</v>
      </c>
      <c r="F94" s="14">
        <v>100</v>
      </c>
      <c r="G94" s="22">
        <f t="shared" si="6"/>
        <v>100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374</v>
      </c>
      <c r="C95" s="35" t="s">
        <v>258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375</v>
      </c>
      <c r="C96" s="61" t="s">
        <v>47</v>
      </c>
      <c r="D96" s="65">
        <v>2010</v>
      </c>
      <c r="E96" s="40">
        <v>1</v>
      </c>
      <c r="F96" s="14">
        <v>300</v>
      </c>
      <c r="G96" s="22">
        <f t="shared" si="6"/>
        <v>300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376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377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378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customHeight="1" outlineLevel="1" x14ac:dyDescent="0.25">
      <c r="B100" s="71" t="s">
        <v>379</v>
      </c>
      <c r="C100" s="61" t="s">
        <v>51</v>
      </c>
      <c r="D100" s="65">
        <v>2150</v>
      </c>
      <c r="E100" s="40">
        <v>1</v>
      </c>
      <c r="F100" s="14">
        <v>100</v>
      </c>
      <c r="G100" s="22">
        <f t="shared" si="6"/>
        <v>100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380</v>
      </c>
      <c r="C101" s="73" t="s">
        <v>254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71" t="s">
        <v>381</v>
      </c>
      <c r="C102" s="61" t="s">
        <v>52</v>
      </c>
      <c r="D102" s="65">
        <v>2158</v>
      </c>
      <c r="E102" s="40">
        <v>1</v>
      </c>
      <c r="F102" s="14">
        <v>100</v>
      </c>
      <c r="G102" s="22">
        <f t="shared" si="6"/>
        <v>100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382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71" t="s">
        <v>383</v>
      </c>
      <c r="C104" s="61" t="s">
        <v>54</v>
      </c>
      <c r="D104" s="65">
        <v>2151</v>
      </c>
      <c r="E104" s="40">
        <v>1</v>
      </c>
      <c r="F104" s="14">
        <v>100</v>
      </c>
      <c r="G104" s="22">
        <f t="shared" si="6"/>
        <v>100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hidden="1" customHeight="1" outlineLevel="1" x14ac:dyDescent="0.25">
      <c r="B105" s="71" t="s">
        <v>384</v>
      </c>
      <c r="C105" s="62" t="s">
        <v>55</v>
      </c>
      <c r="D105" s="65">
        <v>1820</v>
      </c>
      <c r="E105" s="40">
        <v>1</v>
      </c>
      <c r="F105" s="14"/>
      <c r="G105" s="22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385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386</v>
      </c>
      <c r="C107" s="35" t="s">
        <v>256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387</v>
      </c>
      <c r="C108" s="35" t="s">
        <v>257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388</v>
      </c>
      <c r="C109" s="35" t="s">
        <v>57</v>
      </c>
      <c r="D109" s="65">
        <v>1051</v>
      </c>
      <c r="E109" s="40">
        <v>1</v>
      </c>
      <c r="F109" s="14">
        <v>100</v>
      </c>
      <c r="G109" s="22">
        <f t="shared" si="6"/>
        <v>100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389</v>
      </c>
      <c r="C110" s="35" t="s">
        <v>58</v>
      </c>
      <c r="D110" s="65">
        <v>2287</v>
      </c>
      <c r="E110" s="40">
        <v>1</v>
      </c>
      <c r="F110" s="14">
        <v>300</v>
      </c>
      <c r="G110" s="22">
        <f t="shared" si="6"/>
        <v>300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71" t="s">
        <v>390</v>
      </c>
      <c r="C111" s="62" t="s">
        <v>59</v>
      </c>
      <c r="D111" s="65">
        <v>227</v>
      </c>
      <c r="E111" s="40">
        <v>1</v>
      </c>
      <c r="F111" s="14">
        <v>200</v>
      </c>
      <c r="G111" s="22">
        <f t="shared" si="6"/>
        <v>200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391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392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393</v>
      </c>
      <c r="C114" s="35" t="s">
        <v>62</v>
      </c>
      <c r="D114" s="65">
        <v>2074</v>
      </c>
      <c r="E114" s="40">
        <v>1</v>
      </c>
      <c r="F114" s="14">
        <v>100</v>
      </c>
      <c r="G114" s="22">
        <f t="shared" si="6"/>
        <v>100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394</v>
      </c>
      <c r="C115" s="62" t="s">
        <v>63</v>
      </c>
      <c r="D115" s="65">
        <v>246</v>
      </c>
      <c r="E115" s="40">
        <v>1</v>
      </c>
      <c r="F115" s="14">
        <v>100</v>
      </c>
      <c r="G115" s="22">
        <f t="shared" si="6"/>
        <v>100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395</v>
      </c>
      <c r="C116" s="35" t="s">
        <v>259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396</v>
      </c>
      <c r="C117" s="35" t="s">
        <v>262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397</v>
      </c>
      <c r="C118" s="35" t="s">
        <v>253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hidden="1" customHeight="1" outlineLevel="1" x14ac:dyDescent="0.25">
      <c r="B119" s="71" t="s">
        <v>398</v>
      </c>
      <c r="C119" s="35" t="s">
        <v>64</v>
      </c>
      <c r="D119" s="65">
        <v>1430</v>
      </c>
      <c r="E119" s="40">
        <v>1</v>
      </c>
      <c r="F119" s="14"/>
      <c r="G119" s="22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399</v>
      </c>
      <c r="C120" s="35" t="s">
        <v>194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hidden="1" customHeight="1" outlineLevel="1" x14ac:dyDescent="0.25">
      <c r="B121" s="71" t="s">
        <v>400</v>
      </c>
      <c r="C121" s="35" t="s">
        <v>65</v>
      </c>
      <c r="D121" s="65">
        <v>2612</v>
      </c>
      <c r="E121" s="40">
        <v>1</v>
      </c>
      <c r="F121" s="14"/>
      <c r="G121" s="22">
        <f t="shared" si="6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customHeight="1" outlineLevel="1" x14ac:dyDescent="0.25">
      <c r="B122" s="71" t="s">
        <v>401</v>
      </c>
      <c r="C122" s="35" t="s">
        <v>66</v>
      </c>
      <c r="D122" s="65">
        <v>2613</v>
      </c>
      <c r="E122" s="40">
        <v>1</v>
      </c>
      <c r="F122" s="14">
        <v>200</v>
      </c>
      <c r="G122" s="22">
        <f t="shared" si="6"/>
        <v>200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71" t="s">
        <v>401</v>
      </c>
      <c r="C123" s="35" t="s">
        <v>332</v>
      </c>
      <c r="D123" s="65">
        <v>2615</v>
      </c>
      <c r="E123" s="40">
        <v>1</v>
      </c>
      <c r="F123" s="14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/>
      <c r="AB123" s="9"/>
      <c r="AC123" s="15"/>
      <c r="AD123" s="9"/>
      <c r="AE123" s="15"/>
    </row>
    <row r="124" spans="1:31" ht="16.5" hidden="1" customHeight="1" outlineLevel="1" x14ac:dyDescent="0.25">
      <c r="B124" s="71" t="s">
        <v>402</v>
      </c>
      <c r="C124" s="35" t="s">
        <v>67</v>
      </c>
      <c r="D124" s="65">
        <v>2614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ref="AC124:AC157" si="8">AA124*E124</f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403</v>
      </c>
      <c r="C125" s="35" t="s">
        <v>68</v>
      </c>
      <c r="D125" s="65">
        <v>2448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401</v>
      </c>
      <c r="C126" s="35" t="s">
        <v>608</v>
      </c>
      <c r="D126" s="65">
        <v>2614</v>
      </c>
      <c r="E126" s="40">
        <v>1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1</v>
      </c>
      <c r="AB126" s="9"/>
      <c r="AC126" s="15">
        <f t="shared" si="8"/>
        <v>1</v>
      </c>
      <c r="AD126" s="9"/>
      <c r="AE126" s="15" t="e">
        <f>AA126*#REF!</f>
        <v>#REF!</v>
      </c>
    </row>
    <row r="127" spans="1:31" ht="16.5" hidden="1" customHeight="1" outlineLevel="1" x14ac:dyDescent="0.25">
      <c r="B127" s="71" t="s">
        <v>404</v>
      </c>
      <c r="C127" s="35" t="s">
        <v>69</v>
      </c>
      <c r="D127" s="65">
        <v>2360</v>
      </c>
      <c r="E127" s="40">
        <v>1</v>
      </c>
      <c r="F127" s="14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1</v>
      </c>
      <c r="AB127" s="9"/>
      <c r="AC127" s="15">
        <f t="shared" si="8"/>
        <v>1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287</v>
      </c>
      <c r="D128" s="65">
        <v>2617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333</v>
      </c>
      <c r="D129" s="65">
        <v>2618</v>
      </c>
      <c r="E129" s="40">
        <v>0.4</v>
      </c>
      <c r="F129" s="14">
        <v>420</v>
      </c>
      <c r="G129" s="22">
        <f t="shared" si="6"/>
        <v>168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291</v>
      </c>
      <c r="D130" s="65">
        <v>0</v>
      </c>
      <c r="E130" s="40">
        <v>0.35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0.35</v>
      </c>
      <c r="AB130" s="9"/>
      <c r="AC130" s="15">
        <f t="shared" si="8"/>
        <v>0.12249999999999998</v>
      </c>
      <c r="AD130" s="9"/>
      <c r="AE130" s="15" t="e">
        <f>AA130*#REF!</f>
        <v>#REF!</v>
      </c>
    </row>
    <row r="131" spans="2:31" ht="16.5" customHeight="1" outlineLevel="1" x14ac:dyDescent="0.25">
      <c r="B131" s="71" t="s">
        <v>520</v>
      </c>
      <c r="C131" s="35" t="s">
        <v>292</v>
      </c>
      <c r="D131" s="65">
        <v>2621</v>
      </c>
      <c r="E131" s="40">
        <v>0.4</v>
      </c>
      <c r="F131" s="14">
        <v>360</v>
      </c>
      <c r="G131" s="22">
        <f t="shared" si="6"/>
        <v>144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0.4</v>
      </c>
      <c r="AB131" s="9"/>
      <c r="AC131" s="15">
        <f t="shared" si="8"/>
        <v>0.16000000000000003</v>
      </c>
      <c r="AD131" s="9"/>
      <c r="AE131" s="15" t="e">
        <f>AA131*#REF!</f>
        <v>#REF!</v>
      </c>
    </row>
    <row r="132" spans="2:31" ht="16.5" hidden="1" customHeight="1" outlineLevel="1" x14ac:dyDescent="0.25">
      <c r="B132" s="71" t="s">
        <v>521</v>
      </c>
      <c r="C132" s="35" t="s">
        <v>289</v>
      </c>
      <c r="D132" s="65">
        <v>2205</v>
      </c>
      <c r="E132" s="40">
        <v>0.4</v>
      </c>
      <c r="F132" s="14"/>
      <c r="G132" s="22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0.4</v>
      </c>
      <c r="AB132" s="9"/>
      <c r="AC132" s="15">
        <f t="shared" si="8"/>
        <v>0.16000000000000003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522</v>
      </c>
      <c r="C133" s="35" t="s">
        <v>293</v>
      </c>
      <c r="D133" s="65">
        <v>2545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71" t="s">
        <v>405</v>
      </c>
      <c r="C134" s="35" t="s">
        <v>263</v>
      </c>
      <c r="D134" s="65">
        <v>2725</v>
      </c>
      <c r="E134" s="40">
        <v>1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1</v>
      </c>
      <c r="AB134" s="9"/>
      <c r="AC134" s="15">
        <f t="shared" si="8"/>
        <v>1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523</v>
      </c>
      <c r="C135" s="35" t="s">
        <v>294</v>
      </c>
      <c r="D135" s="65">
        <v>2361</v>
      </c>
      <c r="E135" s="40">
        <v>0.35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0.35</v>
      </c>
      <c r="AB135" s="9"/>
      <c r="AC135" s="15">
        <f t="shared" si="8"/>
        <v>0.12249999999999998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524</v>
      </c>
      <c r="C136" s="35" t="s">
        <v>290</v>
      </c>
      <c r="D136" s="65">
        <v>2462</v>
      </c>
      <c r="E136" s="40">
        <v>0.4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0.4</v>
      </c>
      <c r="AB136" s="9"/>
      <c r="AC136" s="15">
        <f t="shared" si="8"/>
        <v>0.16000000000000003</v>
      </c>
      <c r="AD136" s="9"/>
      <c r="AE136" s="15" t="e">
        <f>AA136*#REF!</f>
        <v>#REF!</v>
      </c>
    </row>
    <row r="137" spans="2:31" ht="16.5" hidden="1" customHeight="1" outlineLevel="1" x14ac:dyDescent="0.25">
      <c r="B137" s="71" t="s">
        <v>406</v>
      </c>
      <c r="C137" s="35" t="s">
        <v>261</v>
      </c>
      <c r="D137" s="65"/>
      <c r="E137" s="40">
        <v>1</v>
      </c>
      <c r="F137" s="14"/>
      <c r="G137" s="22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1</v>
      </c>
      <c r="AB137" s="9"/>
      <c r="AC137" s="15">
        <f t="shared" si="8"/>
        <v>1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525</v>
      </c>
      <c r="C138" s="35" t="s">
        <v>288</v>
      </c>
      <c r="D138" s="65">
        <v>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customHeight="1" outlineLevel="1" x14ac:dyDescent="0.25">
      <c r="B139" s="71" t="s">
        <v>407</v>
      </c>
      <c r="C139" s="35" t="s">
        <v>316</v>
      </c>
      <c r="D139" s="65">
        <v>2858</v>
      </c>
      <c r="E139" s="40">
        <v>1</v>
      </c>
      <c r="F139" s="14">
        <v>30</v>
      </c>
      <c r="G139" s="22">
        <f t="shared" si="6"/>
        <v>30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0.35</v>
      </c>
      <c r="AB139" s="9"/>
      <c r="AC139" s="15">
        <f t="shared" si="8"/>
        <v>0.35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526</v>
      </c>
      <c r="C140" s="35" t="s">
        <v>295</v>
      </c>
      <c r="D140" s="65">
        <v>2660</v>
      </c>
      <c r="E140" s="40">
        <v>0.35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0.35</v>
      </c>
      <c r="AB140" s="9"/>
      <c r="AC140" s="15">
        <f t="shared" si="8"/>
        <v>0.12249999999999998</v>
      </c>
      <c r="AD140" s="9"/>
      <c r="AE140" s="15" t="e">
        <f>AA140*#REF!</f>
        <v>#REF!</v>
      </c>
    </row>
    <row r="141" spans="2:31" ht="16.5" hidden="1" customHeight="1" outlineLevel="1" x14ac:dyDescent="0.25">
      <c r="B141" s="71" t="s">
        <v>408</v>
      </c>
      <c r="C141" s="35" t="s">
        <v>265</v>
      </c>
      <c r="D141" s="65">
        <v>2756</v>
      </c>
      <c r="E141" s="40">
        <v>1</v>
      </c>
      <c r="F141" s="14"/>
      <c r="G141" s="22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1</v>
      </c>
      <c r="AB141" s="9"/>
      <c r="AC141" s="15">
        <f t="shared" si="8"/>
        <v>1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296</v>
      </c>
      <c r="D142" s="65">
        <v>2801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71" t="s">
        <v>528</v>
      </c>
      <c r="C143" s="35" t="s">
        <v>297</v>
      </c>
      <c r="D143" s="65">
        <v>2799</v>
      </c>
      <c r="E143" s="40">
        <v>0.4</v>
      </c>
      <c r="F143" s="14"/>
      <c r="G143" s="22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0.4</v>
      </c>
      <c r="AB143" s="9"/>
      <c r="AC143" s="15">
        <f t="shared" si="8"/>
        <v>0.16000000000000003</v>
      </c>
      <c r="AD143" s="9"/>
      <c r="AE143" s="15" t="e">
        <f>AA143*#REF!</f>
        <v>#REF!</v>
      </c>
    </row>
    <row r="144" spans="2:31" ht="16.5" hidden="1" customHeight="1" outlineLevel="1" x14ac:dyDescent="0.25">
      <c r="B144" s="71" t="s">
        <v>529</v>
      </c>
      <c r="C144" s="35" t="s">
        <v>298</v>
      </c>
      <c r="D144" s="65">
        <v>2826</v>
      </c>
      <c r="E144" s="40">
        <v>0.4</v>
      </c>
      <c r="F144" s="14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0.4</v>
      </c>
      <c r="AB144" s="9"/>
      <c r="AC144" s="15">
        <f t="shared" si="8"/>
        <v>0.16000000000000003</v>
      </c>
      <c r="AD144" s="9"/>
      <c r="AE144" s="15" t="e">
        <f>AA144*#REF!</f>
        <v>#REF!</v>
      </c>
    </row>
    <row r="145" spans="2:31" ht="16.5" customHeight="1" outlineLevel="1" x14ac:dyDescent="0.25">
      <c r="B145" s="71" t="s">
        <v>409</v>
      </c>
      <c r="C145" s="35" t="s">
        <v>266</v>
      </c>
      <c r="D145" s="65">
        <v>2876</v>
      </c>
      <c r="E145" s="40">
        <v>1</v>
      </c>
      <c r="F145" s="14">
        <v>50</v>
      </c>
      <c r="G145" s="22">
        <f t="shared" si="6"/>
        <v>50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8"/>
        <v>1</v>
      </c>
      <c r="AD145" s="9"/>
      <c r="AE145" s="15" t="e">
        <f>AA145*#REF!</f>
        <v>#REF!</v>
      </c>
    </row>
    <row r="146" spans="2:31" ht="16.5" customHeight="1" outlineLevel="1" x14ac:dyDescent="0.25">
      <c r="B146" s="71" t="s">
        <v>410</v>
      </c>
      <c r="C146" s="35" t="s">
        <v>267</v>
      </c>
      <c r="D146" s="65">
        <v>2847</v>
      </c>
      <c r="E146" s="40">
        <v>1</v>
      </c>
      <c r="F146" s="14">
        <v>50</v>
      </c>
      <c r="G146" s="22">
        <f t="shared" si="6"/>
        <v>50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8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71" t="s">
        <v>530</v>
      </c>
      <c r="C147" s="35" t="s">
        <v>299</v>
      </c>
      <c r="D147" s="65">
        <v>2877</v>
      </c>
      <c r="E147" s="40">
        <v>0.35</v>
      </c>
      <c r="F147" s="14"/>
      <c r="G147" s="22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0.35</v>
      </c>
      <c r="AB147" s="9"/>
      <c r="AC147" s="15">
        <f t="shared" si="8"/>
        <v>0.12249999999999998</v>
      </c>
      <c r="AD147" s="9"/>
      <c r="AE147" s="15" t="e">
        <f>AA147*#REF!</f>
        <v>#REF!</v>
      </c>
    </row>
    <row r="148" spans="2:31" ht="16.5" customHeight="1" outlineLevel="1" x14ac:dyDescent="0.25">
      <c r="B148" s="71" t="s">
        <v>531</v>
      </c>
      <c r="C148" s="35" t="s">
        <v>635</v>
      </c>
      <c r="D148" s="65">
        <v>2848</v>
      </c>
      <c r="E148" s="40">
        <v>0.35</v>
      </c>
      <c r="F148" s="14">
        <v>36</v>
      </c>
      <c r="G148" s="22">
        <f t="shared" si="6"/>
        <v>12.6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0.35</v>
      </c>
      <c r="AB148" s="9"/>
      <c r="AC148" s="15">
        <f t="shared" si="8"/>
        <v>0.12249999999999998</v>
      </c>
      <c r="AD148" s="9"/>
      <c r="AE148" s="15" t="e">
        <f>AA148*#REF!</f>
        <v>#REF!</v>
      </c>
    </row>
    <row r="149" spans="2:31" ht="16.5" customHeight="1" outlineLevel="1" x14ac:dyDescent="0.25">
      <c r="B149" s="71" t="s">
        <v>532</v>
      </c>
      <c r="C149" s="35" t="s">
        <v>300</v>
      </c>
      <c r="D149" s="65">
        <v>2686</v>
      </c>
      <c r="E149" s="40">
        <v>0.4</v>
      </c>
      <c r="F149" s="14">
        <v>360</v>
      </c>
      <c r="G149" s="22">
        <f t="shared" si="6"/>
        <v>144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0.4</v>
      </c>
      <c r="AB149" s="9"/>
      <c r="AC149" s="15">
        <f t="shared" si="8"/>
        <v>0.16000000000000003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61" t="s">
        <v>244</v>
      </c>
      <c r="D150" s="65">
        <v>2828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hidden="1" customHeight="1" outlineLevel="1" x14ac:dyDescent="0.25">
      <c r="B151" s="71" t="s">
        <v>412</v>
      </c>
      <c r="C151" s="62" t="s">
        <v>682</v>
      </c>
      <c r="D151" s="65">
        <v>2830</v>
      </c>
      <c r="E151" s="40">
        <v>1</v>
      </c>
      <c r="F151" s="14"/>
      <c r="G151" s="22">
        <f t="shared" si="6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hidden="1" customHeight="1" outlineLevel="1" x14ac:dyDescent="0.25">
      <c r="B152" s="71" t="s">
        <v>413</v>
      </c>
      <c r="C152" s="35" t="s">
        <v>268</v>
      </c>
      <c r="D152" s="65">
        <v>2808</v>
      </c>
      <c r="E152" s="40">
        <v>1</v>
      </c>
      <c r="F152" s="14"/>
      <c r="G152" s="22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414</v>
      </c>
      <c r="C153" s="35" t="s">
        <v>245</v>
      </c>
      <c r="D153" s="65" t="s">
        <v>605</v>
      </c>
      <c r="E153" s="40">
        <v>1</v>
      </c>
      <c r="F153" s="14"/>
      <c r="G153" s="22">
        <f t="shared" ref="G153:G219" si="9">F153*E153</f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8"/>
        <v>1</v>
      </c>
      <c r="AD153" s="9"/>
      <c r="AE153" s="15" t="e">
        <f>AA153*#REF!</f>
        <v>#REF!</v>
      </c>
    </row>
    <row r="154" spans="2:31" ht="16.5" customHeight="1" outlineLevel="1" x14ac:dyDescent="0.25">
      <c r="B154" s="71" t="s">
        <v>415</v>
      </c>
      <c r="C154" s="35" t="s">
        <v>239</v>
      </c>
      <c r="D154" s="65" t="s">
        <v>606</v>
      </c>
      <c r="E154" s="40">
        <v>1</v>
      </c>
      <c r="F154" s="14">
        <v>1000</v>
      </c>
      <c r="G154" s="22">
        <f t="shared" si="9"/>
        <v>1000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71" t="s">
        <v>533</v>
      </c>
      <c r="C155" s="61" t="s">
        <v>251</v>
      </c>
      <c r="D155" s="65">
        <v>2815</v>
      </c>
      <c r="E155" s="40">
        <v>0.45</v>
      </c>
      <c r="F155" s="14"/>
      <c r="G155" s="22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0.45</v>
      </c>
      <c r="AB155" s="9"/>
      <c r="AC155" s="15">
        <f t="shared" si="8"/>
        <v>0.20250000000000001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416</v>
      </c>
      <c r="C156" s="35" t="s">
        <v>269</v>
      </c>
      <c r="D156" s="65">
        <v>2811</v>
      </c>
      <c r="E156" s="40">
        <v>1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1</v>
      </c>
      <c r="AB156" s="9"/>
      <c r="AC156" s="15">
        <f t="shared" si="8"/>
        <v>1</v>
      </c>
      <c r="AD156" s="9"/>
      <c r="AE156" s="15" t="e">
        <f>AA156*#REF!</f>
        <v>#REF!</v>
      </c>
    </row>
    <row r="157" spans="2:31" ht="16.5" customHeight="1" outlineLevel="1" x14ac:dyDescent="0.25">
      <c r="B157" s="71" t="s">
        <v>417</v>
      </c>
      <c r="C157" s="62" t="s">
        <v>270</v>
      </c>
      <c r="D157" s="65">
        <v>2805</v>
      </c>
      <c r="E157" s="40">
        <v>1</v>
      </c>
      <c r="F157" s="14">
        <v>100</v>
      </c>
      <c r="G157" s="22">
        <f t="shared" si="9"/>
        <v>100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8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2" t="s">
        <v>339</v>
      </c>
      <c r="D158" s="65" t="s">
        <v>607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/>
      <c r="AB158" s="9"/>
      <c r="AC158" s="15"/>
      <c r="AD158" s="9"/>
      <c r="AE158" s="15"/>
    </row>
    <row r="159" spans="2:31" ht="16.5" hidden="1" customHeight="1" outlineLevel="1" x14ac:dyDescent="0.25">
      <c r="B159" s="71" t="s">
        <v>535</v>
      </c>
      <c r="C159" s="35" t="s">
        <v>338</v>
      </c>
      <c r="D159" s="65">
        <v>2823</v>
      </c>
      <c r="E159" s="40">
        <v>0.45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ref="AC159:AC167" si="10">AA159*E159</f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536</v>
      </c>
      <c r="C160" s="61" t="s">
        <v>252</v>
      </c>
      <c r="D160" s="65">
        <v>2814</v>
      </c>
      <c r="E160" s="40">
        <v>0.45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0.45</v>
      </c>
      <c r="AB160" s="9"/>
      <c r="AC160" s="15">
        <f t="shared" si="10"/>
        <v>0.20250000000000001</v>
      </c>
      <c r="AD160" s="9"/>
      <c r="AE160" s="15" t="e">
        <f>AA160*#REF!</f>
        <v>#REF!</v>
      </c>
    </row>
    <row r="161" spans="2:31" ht="16.5" hidden="1" customHeight="1" outlineLevel="1" x14ac:dyDescent="0.25">
      <c r="B161" s="71" t="s">
        <v>407</v>
      </c>
      <c r="C161" s="35" t="s">
        <v>271</v>
      </c>
      <c r="D161" s="65">
        <v>2858</v>
      </c>
      <c r="E161" s="40">
        <v>1</v>
      </c>
      <c r="F161" s="14"/>
      <c r="G161" s="22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1</v>
      </c>
      <c r="AB161" s="9"/>
      <c r="AC161" s="15">
        <f t="shared" si="10"/>
        <v>1</v>
      </c>
      <c r="AD161" s="9"/>
      <c r="AE161" s="15" t="e">
        <f>AA161*#REF!</f>
        <v>#REF!</v>
      </c>
    </row>
    <row r="162" spans="2:31" ht="16.5" hidden="1" customHeight="1" outlineLevel="1" x14ac:dyDescent="0.25">
      <c r="B162" s="71" t="s">
        <v>418</v>
      </c>
      <c r="C162" s="35" t="s">
        <v>272</v>
      </c>
      <c r="D162" s="65">
        <v>2795</v>
      </c>
      <c r="E162" s="40">
        <v>1</v>
      </c>
      <c r="F162" s="14"/>
      <c r="G162" s="22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1</v>
      </c>
      <c r="AB162" s="9"/>
      <c r="AC162" s="15">
        <f t="shared" si="10"/>
        <v>1</v>
      </c>
      <c r="AD162" s="9"/>
      <c r="AE162" s="15" t="e">
        <f>AA162*#REF!</f>
        <v>#REF!</v>
      </c>
    </row>
    <row r="163" spans="2:31" ht="16.5" hidden="1" customHeight="1" outlineLevel="1" x14ac:dyDescent="0.25">
      <c r="B163" s="71" t="s">
        <v>537</v>
      </c>
      <c r="C163" s="35" t="s">
        <v>301</v>
      </c>
      <c r="D163" s="65">
        <v>2758</v>
      </c>
      <c r="E163" s="40">
        <v>0.4</v>
      </c>
      <c r="F163" s="14"/>
      <c r="G163" s="22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0.4</v>
      </c>
      <c r="AB163" s="9"/>
      <c r="AC163" s="15">
        <f t="shared" si="10"/>
        <v>0.16000000000000003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538</v>
      </c>
      <c r="C164" s="35" t="s">
        <v>302</v>
      </c>
      <c r="D164" s="65">
        <v>2759</v>
      </c>
      <c r="E164" s="40">
        <v>0.4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0.4</v>
      </c>
      <c r="AB164" s="9"/>
      <c r="AC164" s="15">
        <f t="shared" si="10"/>
        <v>0.16000000000000003</v>
      </c>
      <c r="AD164" s="9"/>
      <c r="AE164" s="15" t="e">
        <f>AA164*#REF!</f>
        <v>#REF!</v>
      </c>
    </row>
    <row r="165" spans="2:31" ht="16.5" customHeight="1" outlineLevel="1" x14ac:dyDescent="0.25">
      <c r="B165" s="71" t="s">
        <v>419</v>
      </c>
      <c r="C165" s="61" t="s">
        <v>681</v>
      </c>
      <c r="D165" s="65">
        <v>2829</v>
      </c>
      <c r="E165" s="40">
        <v>1</v>
      </c>
      <c r="F165" s="14">
        <v>30</v>
      </c>
      <c r="G165" s="22">
        <f t="shared" si="9"/>
        <v>30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35" t="s">
        <v>273</v>
      </c>
      <c r="D166" s="65">
        <v>2857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1</v>
      </c>
      <c r="AB166" s="9"/>
      <c r="AC166" s="15">
        <f t="shared" si="10"/>
        <v>1</v>
      </c>
      <c r="AD166" s="9"/>
      <c r="AE166" s="15" t="e">
        <f>AA166*#REF!</f>
        <v>#REF!</v>
      </c>
    </row>
    <row r="167" spans="2:31" ht="16.5" hidden="1" customHeight="1" outlineLevel="1" x14ac:dyDescent="0.25">
      <c r="B167" s="71" t="s">
        <v>421</v>
      </c>
      <c r="C167" s="35" t="s">
        <v>241</v>
      </c>
      <c r="D167" s="65">
        <v>64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0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71" t="s">
        <v>422</v>
      </c>
      <c r="C168" s="62" t="s">
        <v>336</v>
      </c>
      <c r="D168" s="65">
        <v>2833</v>
      </c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/>
      <c r="AB168" s="9"/>
      <c r="AC168" s="15"/>
      <c r="AD168" s="9"/>
      <c r="AE168" s="15"/>
    </row>
    <row r="169" spans="2:31" ht="16.5" customHeight="1" outlineLevel="1" x14ac:dyDescent="0.25">
      <c r="B169" s="71" t="s">
        <v>423</v>
      </c>
      <c r="C169" s="62" t="s">
        <v>314</v>
      </c>
      <c r="D169" s="65">
        <v>2947</v>
      </c>
      <c r="E169" s="40">
        <v>1</v>
      </c>
      <c r="F169" s="14">
        <v>150</v>
      </c>
      <c r="G169" s="22">
        <f t="shared" si="9"/>
        <v>150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/>
      <c r="AB169" s="9"/>
      <c r="AC169" s="15"/>
      <c r="AD169" s="9"/>
      <c r="AE169" s="15"/>
    </row>
    <row r="170" spans="2:31" ht="16.5" hidden="1" customHeight="1" outlineLevel="1" x14ac:dyDescent="0.25">
      <c r="B170" s="71" t="s">
        <v>676</v>
      </c>
      <c r="C170" s="35" t="s">
        <v>609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ref="AC170:AC176" si="11">AA170*E170</f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631</v>
      </c>
      <c r="C171" s="58" t="s">
        <v>632</v>
      </c>
      <c r="D171" s="65">
        <v>2844</v>
      </c>
      <c r="E171" s="40">
        <v>0.4</v>
      </c>
      <c r="F171" s="14">
        <v>360</v>
      </c>
      <c r="G171" s="22">
        <f t="shared" si="9"/>
        <v>144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0.5</v>
      </c>
      <c r="AB171" s="9"/>
      <c r="AC171" s="15">
        <f t="shared" si="11"/>
        <v>0.2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424</v>
      </c>
      <c r="C172" s="35" t="s">
        <v>264</v>
      </c>
      <c r="D172" s="65"/>
      <c r="E172" s="40">
        <v>1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1</v>
      </c>
      <c r="AB172" s="9"/>
      <c r="AC172" s="15">
        <f t="shared" si="11"/>
        <v>1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633</v>
      </c>
      <c r="C173" s="58" t="s">
        <v>634</v>
      </c>
      <c r="D173" s="65">
        <v>2842</v>
      </c>
      <c r="E173" s="40">
        <v>0.4</v>
      </c>
      <c r="F173" s="14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si="11"/>
        <v>0.4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677</v>
      </c>
      <c r="C174" s="35" t="s">
        <v>610</v>
      </c>
      <c r="D174" s="65">
        <v>665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hidden="1" customHeight="1" outlineLevel="1" x14ac:dyDescent="0.25">
      <c r="B175" s="71" t="s">
        <v>531</v>
      </c>
      <c r="C175" s="35" t="s">
        <v>611</v>
      </c>
      <c r="D175" s="65">
        <v>2848</v>
      </c>
      <c r="E175" s="40">
        <v>0.35</v>
      </c>
      <c r="F175" s="14"/>
      <c r="G175" s="22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0.35</v>
      </c>
      <c r="AB175" s="9"/>
      <c r="AC175" s="15">
        <f t="shared" si="11"/>
        <v>0.12249999999999998</v>
      </c>
      <c r="AD175" s="9"/>
      <c r="AE175" s="15" t="e">
        <f>AA175*#REF!</f>
        <v>#REF!</v>
      </c>
    </row>
    <row r="176" spans="2:31" ht="16.5" hidden="1" customHeight="1" outlineLevel="1" x14ac:dyDescent="0.25">
      <c r="B176" s="71" t="s">
        <v>678</v>
      </c>
      <c r="C176" s="35" t="s">
        <v>612</v>
      </c>
      <c r="D176" s="65">
        <v>2603</v>
      </c>
      <c r="E176" s="40">
        <v>0.35</v>
      </c>
      <c r="F176" s="14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0.35</v>
      </c>
      <c r="AB176" s="9"/>
      <c r="AC176" s="15">
        <f t="shared" si="11"/>
        <v>0.12249999999999998</v>
      </c>
      <c r="AD176" s="9"/>
      <c r="AE176" s="15" t="e">
        <f>AA176*#REF!</f>
        <v>#REF!</v>
      </c>
    </row>
    <row r="177" spans="2:31" ht="16.5" customHeight="1" outlineLevel="1" x14ac:dyDescent="0.25">
      <c r="B177" s="71" t="s">
        <v>425</v>
      </c>
      <c r="C177" s="62" t="s">
        <v>630</v>
      </c>
      <c r="D177" s="65">
        <v>2941</v>
      </c>
      <c r="E177" s="40">
        <v>1</v>
      </c>
      <c r="F177" s="14">
        <v>200</v>
      </c>
      <c r="G177" s="22">
        <f t="shared" si="9"/>
        <v>200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/>
      <c r="AB177" s="9"/>
      <c r="AC177" s="15"/>
      <c r="AD177" s="9"/>
      <c r="AE177" s="15"/>
    </row>
    <row r="178" spans="2:31" ht="16.5" hidden="1" customHeight="1" outlineLevel="1" x14ac:dyDescent="0.25">
      <c r="B178" s="71" t="s">
        <v>629</v>
      </c>
      <c r="C178" s="35" t="s">
        <v>628</v>
      </c>
      <c r="D178" s="65">
        <v>2943</v>
      </c>
      <c r="E178" s="40">
        <v>1</v>
      </c>
      <c r="F178" s="14"/>
      <c r="G178" s="22">
        <f t="shared" si="9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/>
      <c r="AB178" s="9"/>
      <c r="AC178" s="15"/>
      <c r="AD178" s="9"/>
      <c r="AE178" s="15"/>
    </row>
    <row r="179" spans="2:31" ht="16.5" hidden="1" customHeight="1" outlineLevel="1" x14ac:dyDescent="0.25">
      <c r="B179" s="71" t="s">
        <v>424</v>
      </c>
      <c r="C179" s="35"/>
      <c r="D179" s="65"/>
      <c r="E179" s="40">
        <v>1</v>
      </c>
      <c r="F179" s="14"/>
      <c r="G179" s="22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1</v>
      </c>
      <c r="AB179" s="9"/>
      <c r="AC179" s="15">
        <f>AA179*E179</f>
        <v>1</v>
      </c>
      <c r="AD179" s="9"/>
      <c r="AE179" s="15" t="e">
        <f>AA179*#REF!</f>
        <v>#REF!</v>
      </c>
    </row>
    <row r="180" spans="2:31" ht="16.5" customHeight="1" outlineLevel="1" thickBot="1" x14ac:dyDescent="0.3">
      <c r="B180" s="71" t="s">
        <v>426</v>
      </c>
      <c r="C180" s="63" t="s">
        <v>636</v>
      </c>
      <c r="D180" s="65">
        <v>2945</v>
      </c>
      <c r="E180" s="40">
        <v>1</v>
      </c>
      <c r="F180" s="14">
        <v>100</v>
      </c>
      <c r="G180" s="29">
        <f t="shared" si="9"/>
        <v>100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1</v>
      </c>
      <c r="AB180" s="9"/>
      <c r="AC180" s="15">
        <f>AA180*E180</f>
        <v>1</v>
      </c>
      <c r="AD180" s="9"/>
      <c r="AE180" s="15" t="e">
        <f>AA180*#REF!</f>
        <v>#REF!</v>
      </c>
    </row>
    <row r="181" spans="2:31" s="4" customFormat="1" ht="19.5" hidden="1" collapsed="1" thickBot="1" x14ac:dyDescent="0.3">
      <c r="B181" s="71"/>
      <c r="C181" s="33" t="s">
        <v>189</v>
      </c>
      <c r="D181" s="66"/>
      <c r="E181" s="39"/>
      <c r="F181" s="23">
        <f>SUM(F182:F265)</f>
        <v>860</v>
      </c>
      <c r="G181" s="47">
        <f>SUM(G182:G265)</f>
        <v>608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18"/>
      <c r="AB181" s="21"/>
      <c r="AC181" s="19">
        <f>SUM(AC182:AC265)</f>
        <v>38.277825000000021</v>
      </c>
      <c r="AD181" s="21"/>
      <c r="AE181" s="19" t="e">
        <f>SUM(AE182:AE265)</f>
        <v>#REF!</v>
      </c>
    </row>
    <row r="182" spans="2:31" ht="16.5" hidden="1" customHeight="1" outlineLevel="1" x14ac:dyDescent="0.25">
      <c r="B182" s="71" t="s">
        <v>539</v>
      </c>
      <c r="C182" s="41" t="s">
        <v>99</v>
      </c>
      <c r="D182" s="104"/>
      <c r="E182" s="44">
        <v>0.3</v>
      </c>
      <c r="F182" s="48"/>
      <c r="G182" s="28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2">
        <v>0.3</v>
      </c>
      <c r="AB182" s="13"/>
      <c r="AC182" s="12">
        <f t="shared" ref="AC182:AC213" si="12">AA182*E182</f>
        <v>0.09</v>
      </c>
      <c r="AD182" s="13"/>
      <c r="AE182" s="12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100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428</v>
      </c>
      <c r="C184" s="35" t="s">
        <v>101</v>
      </c>
      <c r="D184" s="105"/>
      <c r="E184" s="45">
        <v>1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1</v>
      </c>
      <c r="AB184" s="9"/>
      <c r="AC184" s="15">
        <f t="shared" si="12"/>
        <v>1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429</v>
      </c>
      <c r="C185" s="35" t="s">
        <v>102</v>
      </c>
      <c r="D185" s="105"/>
      <c r="E185" s="45">
        <v>1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2"/>
        <v>1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103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541</v>
      </c>
      <c r="C187" s="35" t="s">
        <v>104</v>
      </c>
      <c r="D187" s="105"/>
      <c r="E187" s="45">
        <v>0.3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0.3</v>
      </c>
      <c r="AB187" s="9"/>
      <c r="AC187" s="15">
        <f t="shared" si="12"/>
        <v>0.09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542</v>
      </c>
      <c r="C188" s="35" t="s">
        <v>105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430</v>
      </c>
      <c r="C189" s="35" t="s">
        <v>106</v>
      </c>
      <c r="D189" s="105"/>
      <c r="E189" s="45">
        <v>1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2"/>
        <v>1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195</v>
      </c>
      <c r="D190" s="105"/>
      <c r="E190" s="45">
        <v>0.35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0.35</v>
      </c>
      <c r="AB190" s="9"/>
      <c r="AC190" s="15">
        <f t="shared" si="12"/>
        <v>0.12249999999999998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165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166</v>
      </c>
      <c r="D192" s="105"/>
      <c r="E192" s="45">
        <v>9.5000000000000001E-2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9.5000000000000001E-2</v>
      </c>
      <c r="AB192" s="9"/>
      <c r="AC192" s="15">
        <f t="shared" si="12"/>
        <v>9.025E-3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546</v>
      </c>
      <c r="C193" s="35" t="s">
        <v>167</v>
      </c>
      <c r="D193" s="105"/>
      <c r="E193" s="45">
        <v>9.5000000000000001E-2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9.5000000000000001E-2</v>
      </c>
      <c r="AB193" s="9"/>
      <c r="AC193" s="15">
        <f t="shared" si="12"/>
        <v>9.025E-3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547</v>
      </c>
      <c r="C194" s="35" t="s">
        <v>196</v>
      </c>
      <c r="D194" s="105"/>
      <c r="E194" s="45">
        <v>0.2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0.2</v>
      </c>
      <c r="AB194" s="9"/>
      <c r="AC194" s="15">
        <f t="shared" si="12"/>
        <v>4.0000000000000008E-2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431</v>
      </c>
      <c r="C195" s="35" t="s">
        <v>174</v>
      </c>
      <c r="D195" s="105"/>
      <c r="E195" s="45">
        <v>1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1</v>
      </c>
      <c r="AB195" s="9"/>
      <c r="AC195" s="15">
        <f t="shared" si="12"/>
        <v>1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432</v>
      </c>
      <c r="C196" s="35" t="s">
        <v>175</v>
      </c>
      <c r="D196" s="105"/>
      <c r="E196" s="45">
        <v>1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1</v>
      </c>
      <c r="AB196" s="9"/>
      <c r="AC196" s="15">
        <f t="shared" si="12"/>
        <v>1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176</v>
      </c>
      <c r="D197" s="105"/>
      <c r="E197" s="45">
        <v>0.3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0.3</v>
      </c>
      <c r="AB197" s="9"/>
      <c r="AC197" s="15">
        <f t="shared" si="12"/>
        <v>0.09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177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178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179</v>
      </c>
      <c r="D200" s="105"/>
      <c r="E200" s="45">
        <v>0.2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</v>
      </c>
      <c r="AB200" s="9"/>
      <c r="AC200" s="15">
        <f t="shared" si="12"/>
        <v>4.0000000000000008E-2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552</v>
      </c>
      <c r="C201" s="35" t="s">
        <v>180</v>
      </c>
      <c r="D201" s="105"/>
      <c r="E201" s="45">
        <v>0.2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0.2</v>
      </c>
      <c r="AB201" s="9"/>
      <c r="AC201" s="15">
        <f t="shared" si="12"/>
        <v>4.0000000000000008E-2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553</v>
      </c>
      <c r="C202" s="35" t="s">
        <v>181</v>
      </c>
      <c r="D202" s="105"/>
      <c r="E202" s="45">
        <v>0.25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0.25</v>
      </c>
      <c r="AB202" s="9"/>
      <c r="AC202" s="15">
        <f t="shared" si="12"/>
        <v>6.25E-2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433</v>
      </c>
      <c r="C203" s="35" t="s">
        <v>168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554</v>
      </c>
      <c r="C204" s="35" t="s">
        <v>169</v>
      </c>
      <c r="D204" s="105"/>
      <c r="E204" s="45">
        <v>0.3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0.3</v>
      </c>
      <c r="AB204" s="9"/>
      <c r="AC204" s="15">
        <f t="shared" si="12"/>
        <v>0.09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434</v>
      </c>
      <c r="C205" s="35" t="s">
        <v>182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555</v>
      </c>
      <c r="C206" s="35" t="s">
        <v>170</v>
      </c>
      <c r="D206" s="105"/>
      <c r="E206" s="45">
        <v>1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2"/>
        <v>1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435</v>
      </c>
      <c r="C207" s="35" t="s">
        <v>107</v>
      </c>
      <c r="D207" s="105"/>
      <c r="E207" s="45">
        <v>1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2"/>
        <v>1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556</v>
      </c>
      <c r="C208" s="35" t="s">
        <v>108</v>
      </c>
      <c r="D208" s="105"/>
      <c r="E208" s="45">
        <v>0.15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0.15</v>
      </c>
      <c r="AB208" s="9"/>
      <c r="AC208" s="15">
        <f t="shared" si="12"/>
        <v>2.2499999999999999E-2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557</v>
      </c>
      <c r="C209" s="35" t="s">
        <v>109</v>
      </c>
      <c r="D209" s="105"/>
      <c r="E209" s="45">
        <v>0.35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0.35</v>
      </c>
      <c r="AB209" s="9"/>
      <c r="AC209" s="15">
        <f t="shared" si="12"/>
        <v>0.12249999999999998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436</v>
      </c>
      <c r="C210" s="35" t="s">
        <v>110</v>
      </c>
      <c r="D210" s="105"/>
      <c r="E210" s="45">
        <v>1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2"/>
        <v>1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437</v>
      </c>
      <c r="C211" s="35" t="s">
        <v>111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558</v>
      </c>
      <c r="C212" s="35" t="s">
        <v>112</v>
      </c>
      <c r="D212" s="105"/>
      <c r="E212" s="45">
        <v>0.35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0.35</v>
      </c>
      <c r="AB212" s="9"/>
      <c r="AC212" s="15">
        <f t="shared" si="12"/>
        <v>0.12249999999999998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438</v>
      </c>
      <c r="C213" s="35" t="s">
        <v>320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2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559</v>
      </c>
      <c r="C214" s="35" t="s">
        <v>113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ref="AC214:AC245" si="13">AA214*E214</f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114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439</v>
      </c>
      <c r="C216" s="35" t="s">
        <v>115</v>
      </c>
      <c r="D216" s="105"/>
      <c r="E216" s="45">
        <v>1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1</v>
      </c>
      <c r="AB216" s="9"/>
      <c r="AC216" s="15">
        <f t="shared" si="13"/>
        <v>1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440</v>
      </c>
      <c r="C217" s="35" t="s">
        <v>116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560</v>
      </c>
      <c r="C218" s="35" t="s">
        <v>117</v>
      </c>
      <c r="D218" s="105"/>
      <c r="E218" s="45">
        <v>0.35</v>
      </c>
      <c r="F218" s="49"/>
      <c r="G218" s="22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0.35</v>
      </c>
      <c r="AB218" s="9"/>
      <c r="AC218" s="15">
        <f t="shared" si="13"/>
        <v>0.12249999999999998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441</v>
      </c>
      <c r="C219" s="35" t="s">
        <v>118</v>
      </c>
      <c r="D219" s="105"/>
      <c r="E219" s="45">
        <v>1</v>
      </c>
      <c r="F219" s="49"/>
      <c r="G219" s="22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442</v>
      </c>
      <c r="C220" s="35" t="s">
        <v>119</v>
      </c>
      <c r="D220" s="105"/>
      <c r="E220" s="45">
        <v>1</v>
      </c>
      <c r="F220" s="49"/>
      <c r="G220" s="22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120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121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122</v>
      </c>
      <c r="D223" s="105"/>
      <c r="E223" s="45">
        <v>1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1</v>
      </c>
      <c r="AB223" s="9"/>
      <c r="AC223" s="15">
        <f t="shared" si="13"/>
        <v>1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564</v>
      </c>
      <c r="C224" s="35" t="s">
        <v>123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565</v>
      </c>
      <c r="C225" s="35" t="s">
        <v>124</v>
      </c>
      <c r="D225" s="105"/>
      <c r="E225" s="45">
        <v>0.25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0.25</v>
      </c>
      <c r="AB225" s="9"/>
      <c r="AC225" s="15">
        <f t="shared" si="13"/>
        <v>6.25E-2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125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126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127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128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B230" s="71" t="s">
        <v>447</v>
      </c>
      <c r="C230" s="35" t="s">
        <v>129</v>
      </c>
      <c r="D230" s="105"/>
      <c r="E230" s="45">
        <v>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1</v>
      </c>
      <c r="AD230" s="9"/>
      <c r="AE230" s="15" t="e">
        <f>AA230*#REF!</f>
        <v>#REF!</v>
      </c>
    </row>
    <row r="231" spans="2:31" ht="16.5" hidden="1" customHeight="1" outlineLevel="1" x14ac:dyDescent="0.25">
      <c r="B231" s="71" t="s">
        <v>448</v>
      </c>
      <c r="C231" s="35" t="s">
        <v>130</v>
      </c>
      <c r="D231" s="105"/>
      <c r="E231" s="45">
        <v>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1</v>
      </c>
      <c r="AD231" s="9"/>
      <c r="AE231" s="15" t="e">
        <f>AA231*#REF!</f>
        <v>#REF!</v>
      </c>
    </row>
    <row r="232" spans="2:31" ht="16.5" hidden="1" customHeight="1" outlineLevel="1" x14ac:dyDescent="0.25">
      <c r="C232" s="59" t="s">
        <v>318</v>
      </c>
      <c r="D232" s="106"/>
      <c r="E232" s="45">
        <v>0.1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0.1</v>
      </c>
      <c r="AD232" s="9"/>
      <c r="AE232" s="15" t="e">
        <f>AA232*#REF!</f>
        <v>#REF!</v>
      </c>
    </row>
    <row r="233" spans="2:31" ht="16.5" hidden="1" customHeight="1" outlineLevel="1" x14ac:dyDescent="0.25">
      <c r="C233" s="59" t="s">
        <v>319</v>
      </c>
      <c r="D233" s="106"/>
      <c r="E233" s="45">
        <v>0.1</v>
      </c>
      <c r="F233" s="49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1</v>
      </c>
      <c r="AB233" s="9"/>
      <c r="AC233" s="15">
        <f t="shared" si="13"/>
        <v>0.1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1</v>
      </c>
      <c r="F234" s="49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1</v>
      </c>
      <c r="AB234" s="9"/>
      <c r="AC234" s="15">
        <f t="shared" si="13"/>
        <v>1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185</v>
      </c>
      <c r="D235" s="105"/>
      <c r="E235" s="45">
        <v>0.6</v>
      </c>
      <c r="F235" s="49">
        <v>300</v>
      </c>
      <c r="G235" s="22">
        <f t="shared" si="14"/>
        <v>180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0.6</v>
      </c>
      <c r="AB235" s="9"/>
      <c r="AC235" s="15">
        <f t="shared" si="13"/>
        <v>0.36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187</v>
      </c>
      <c r="D236" s="105"/>
      <c r="E236" s="45">
        <v>0.6</v>
      </c>
      <c r="F236" s="49">
        <v>300</v>
      </c>
      <c r="G236" s="22">
        <f t="shared" si="14"/>
        <v>180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0.6</v>
      </c>
      <c r="AB236" s="9"/>
      <c r="AC236" s="15">
        <f t="shared" si="13"/>
        <v>0.36</v>
      </c>
      <c r="AD236" s="9"/>
      <c r="AE236" s="15" t="e">
        <f>AA236*#REF!</f>
        <v>#REF!</v>
      </c>
    </row>
    <row r="237" spans="2:31" ht="16.5" hidden="1" customHeight="1" outlineLevel="1" x14ac:dyDescent="0.25">
      <c r="C237" s="35" t="s">
        <v>188</v>
      </c>
      <c r="D237" s="105"/>
      <c r="E237" s="45">
        <v>1</v>
      </c>
      <c r="F237" s="49">
        <v>100</v>
      </c>
      <c r="G237" s="22">
        <f t="shared" si="14"/>
        <v>100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si="13"/>
        <v>1</v>
      </c>
      <c r="AD237" s="9"/>
      <c r="AE237" s="15" t="e">
        <f>AA237*#REF!</f>
        <v>#REF!</v>
      </c>
    </row>
    <row r="238" spans="2:31" ht="16.5" hidden="1" customHeight="1" outlineLevel="1" x14ac:dyDescent="0.25">
      <c r="C238" s="35" t="s">
        <v>184</v>
      </c>
      <c r="D238" s="105"/>
      <c r="E238" s="45">
        <v>1</v>
      </c>
      <c r="F238" s="49">
        <v>100</v>
      </c>
      <c r="G238" s="22">
        <f t="shared" si="14"/>
        <v>100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13"/>
        <v>1</v>
      </c>
      <c r="AD238" s="9"/>
      <c r="AE238" s="15" t="e">
        <f>AA238*#REF!</f>
        <v>#REF!</v>
      </c>
    </row>
    <row r="239" spans="2:31" ht="16.5" hidden="1" customHeight="1" outlineLevel="1" x14ac:dyDescent="0.25">
      <c r="B239" s="71" t="s">
        <v>566</v>
      </c>
      <c r="C239" s="35" t="s">
        <v>334</v>
      </c>
      <c r="D239" s="105"/>
      <c r="E239" s="45">
        <v>0.8</v>
      </c>
      <c r="F239" s="49">
        <v>30</v>
      </c>
      <c r="G239" s="22">
        <f t="shared" si="14"/>
        <v>24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9.5000000000000001E-2</v>
      </c>
      <c r="AB239" s="9"/>
      <c r="AC239" s="15">
        <f t="shared" si="13"/>
        <v>7.6000000000000012E-2</v>
      </c>
      <c r="AD239" s="9"/>
      <c r="AE239" s="15" t="e">
        <f>AA239*#REF!</f>
        <v>#REF!</v>
      </c>
    </row>
    <row r="240" spans="2:31" ht="16.5" hidden="1" customHeight="1" outlineLevel="1" thickBot="1" x14ac:dyDescent="0.3">
      <c r="B240" s="71" t="s">
        <v>567</v>
      </c>
      <c r="C240" s="35" t="s">
        <v>335</v>
      </c>
      <c r="D240" s="105"/>
      <c r="E240" s="45">
        <v>0.8</v>
      </c>
      <c r="F240" s="49">
        <v>30</v>
      </c>
      <c r="G240" s="22">
        <f t="shared" si="14"/>
        <v>24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9.5000000000000001E-2</v>
      </c>
      <c r="AB240" s="9"/>
      <c r="AC240" s="15">
        <f t="shared" si="13"/>
        <v>7.6000000000000012E-2</v>
      </c>
      <c r="AD240" s="9"/>
      <c r="AE240" s="15" t="e">
        <f>AA240*#REF!</f>
        <v>#REF!</v>
      </c>
    </row>
    <row r="241" spans="3:31" ht="16.5" hidden="1" customHeight="1" outlineLevel="1" x14ac:dyDescent="0.3">
      <c r="C241" s="35" t="s">
        <v>218</v>
      </c>
      <c r="D241" s="105"/>
      <c r="E241" s="45">
        <v>0.4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0.4</v>
      </c>
      <c r="AB241" s="9"/>
      <c r="AC241" s="15">
        <f t="shared" si="13"/>
        <v>0.16000000000000003</v>
      </c>
      <c r="AD241" s="9"/>
      <c r="AE241" s="15" t="e">
        <f>AA241*#REF!</f>
        <v>#REF!</v>
      </c>
    </row>
    <row r="242" spans="3:31" ht="16.5" hidden="1" customHeight="1" outlineLevel="1" x14ac:dyDescent="0.3">
      <c r="C242" s="35" t="s">
        <v>219</v>
      </c>
      <c r="D242" s="105"/>
      <c r="E242" s="45">
        <v>0.4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0.4</v>
      </c>
      <c r="AB242" s="9"/>
      <c r="AC242" s="15">
        <f t="shared" si="13"/>
        <v>0.16000000000000003</v>
      </c>
      <c r="AD242" s="9"/>
      <c r="AE242" s="15" t="e">
        <f>AA242*#REF!</f>
        <v>#REF!</v>
      </c>
    </row>
    <row r="243" spans="3:31" ht="16.5" hidden="1" customHeight="1" outlineLevel="1" x14ac:dyDescent="0.3">
      <c r="C243" s="35" t="s">
        <v>220</v>
      </c>
      <c r="D243" s="105"/>
      <c r="E243" s="45">
        <v>8.5000000000000006E-2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8.5000000000000006E-2</v>
      </c>
      <c r="AB243" s="9"/>
      <c r="AC243" s="15">
        <f t="shared" si="13"/>
        <v>7.2250000000000014E-3</v>
      </c>
      <c r="AD243" s="9"/>
      <c r="AE243" s="15" t="e">
        <f>AA243*#REF!</f>
        <v>#REF!</v>
      </c>
    </row>
    <row r="244" spans="3:31" ht="16.5" hidden="1" customHeight="1" outlineLevel="1" x14ac:dyDescent="0.3">
      <c r="C244" s="35" t="s">
        <v>221</v>
      </c>
      <c r="D244" s="105"/>
      <c r="E244" s="45">
        <v>0.3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0.3</v>
      </c>
      <c r="AB244" s="9"/>
      <c r="AC244" s="15">
        <f t="shared" si="13"/>
        <v>0.09</v>
      </c>
      <c r="AD244" s="9"/>
      <c r="AE244" s="15" t="e">
        <f>AA244*#REF!</f>
        <v>#REF!</v>
      </c>
    </row>
    <row r="245" spans="3:31" ht="16.5" hidden="1" customHeight="1" outlineLevel="1" x14ac:dyDescent="0.3">
      <c r="C245" s="35" t="s">
        <v>222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3"/>
        <v>0.09</v>
      </c>
      <c r="AD245" s="9"/>
      <c r="AE245" s="15" t="e">
        <f>AA245*#REF!</f>
        <v>#REF!</v>
      </c>
    </row>
    <row r="246" spans="3:31" ht="16.5" hidden="1" customHeight="1" outlineLevel="1" x14ac:dyDescent="0.3">
      <c r="C246" s="35" t="s">
        <v>213</v>
      </c>
      <c r="D246" s="105"/>
      <c r="E246" s="45">
        <v>0.28000000000000003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0.28000000000000003</v>
      </c>
      <c r="AB246" s="9"/>
      <c r="AC246" s="15">
        <f t="shared" ref="AC246:AC265" si="15">AA246*E246</f>
        <v>7.8400000000000011E-2</v>
      </c>
      <c r="AD246" s="9"/>
      <c r="AE246" s="15" t="e">
        <f>AA246*#REF!</f>
        <v>#REF!</v>
      </c>
    </row>
    <row r="247" spans="3:31" ht="16.5" hidden="1" customHeight="1" outlineLevel="1" x14ac:dyDescent="0.3">
      <c r="C247" s="35" t="s">
        <v>214</v>
      </c>
      <c r="D247" s="105"/>
      <c r="E247" s="45">
        <v>0.3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0.3</v>
      </c>
      <c r="AB247" s="9"/>
      <c r="AC247" s="15">
        <f t="shared" si="15"/>
        <v>0.09</v>
      </c>
      <c r="AD247" s="9"/>
      <c r="AE247" s="15" t="e">
        <f>AA247*#REF!</f>
        <v>#REF!</v>
      </c>
    </row>
    <row r="248" spans="3:31" ht="16.5" hidden="1" customHeight="1" outlineLevel="1" x14ac:dyDescent="0.3">
      <c r="C248" s="35" t="s">
        <v>215</v>
      </c>
      <c r="D248" s="105"/>
      <c r="E248" s="45">
        <v>0.21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0.21</v>
      </c>
      <c r="AB248" s="9"/>
      <c r="AC248" s="15">
        <f t="shared" si="15"/>
        <v>4.4099999999999993E-2</v>
      </c>
      <c r="AD248" s="9"/>
      <c r="AE248" s="15" t="e">
        <f>AA248*#REF!</f>
        <v>#REF!</v>
      </c>
    </row>
    <row r="249" spans="3:31" ht="16.5" hidden="1" customHeight="1" outlineLevel="1" x14ac:dyDescent="0.3">
      <c r="C249" s="35" t="s">
        <v>223</v>
      </c>
      <c r="D249" s="105"/>
      <c r="E249" s="45">
        <v>0.4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0.4</v>
      </c>
      <c r="AB249" s="9"/>
      <c r="AC249" s="15">
        <f t="shared" si="15"/>
        <v>0.16000000000000003</v>
      </c>
      <c r="AD249" s="9"/>
      <c r="AE249" s="15" t="e">
        <f>AA249*#REF!</f>
        <v>#REF!</v>
      </c>
    </row>
    <row r="250" spans="3:31" ht="16.5" hidden="1" customHeight="1" outlineLevel="1" x14ac:dyDescent="0.3">
      <c r="C250" s="35" t="s">
        <v>224</v>
      </c>
      <c r="D250" s="105"/>
      <c r="E250" s="45">
        <v>1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1</v>
      </c>
      <c r="AB250" s="9"/>
      <c r="AC250" s="15">
        <f t="shared" si="15"/>
        <v>1</v>
      </c>
      <c r="AD250" s="9"/>
      <c r="AE250" s="15" t="e">
        <f>AA250*#REF!</f>
        <v>#REF!</v>
      </c>
    </row>
    <row r="251" spans="3:31" ht="16.5" hidden="1" customHeight="1" outlineLevel="1" x14ac:dyDescent="0.3">
      <c r="C251" s="35" t="s">
        <v>225</v>
      </c>
      <c r="D251" s="105"/>
      <c r="E251" s="45">
        <v>0.3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0.3</v>
      </c>
      <c r="AB251" s="9"/>
      <c r="AC251" s="15">
        <f t="shared" si="15"/>
        <v>0.09</v>
      </c>
      <c r="AD251" s="9"/>
      <c r="AE251" s="15" t="e">
        <f>AA251*#REF!</f>
        <v>#REF!</v>
      </c>
    </row>
    <row r="252" spans="3:31" ht="16.5" hidden="1" customHeight="1" outlineLevel="1" x14ac:dyDescent="0.3">
      <c r="C252" s="35" t="s">
        <v>226</v>
      </c>
      <c r="D252" s="105"/>
      <c r="E252" s="45">
        <v>8.5000000000000006E-2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8.5000000000000006E-2</v>
      </c>
      <c r="AB252" s="9"/>
      <c r="AC252" s="15">
        <f t="shared" si="15"/>
        <v>7.2250000000000014E-3</v>
      </c>
      <c r="AD252" s="9"/>
      <c r="AE252" s="15" t="e">
        <f>AA252*#REF!</f>
        <v>#REF!</v>
      </c>
    </row>
    <row r="253" spans="3:31" ht="16.5" hidden="1" customHeight="1" outlineLevel="1" x14ac:dyDescent="0.3">
      <c r="C253" s="35" t="s">
        <v>227</v>
      </c>
      <c r="D253" s="105"/>
      <c r="E253" s="45">
        <v>0.28000000000000003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0.28000000000000003</v>
      </c>
      <c r="AB253" s="9"/>
      <c r="AC253" s="15">
        <f t="shared" si="15"/>
        <v>7.8400000000000011E-2</v>
      </c>
      <c r="AD253" s="9"/>
      <c r="AE253" s="15" t="e">
        <f>AA253*#REF!</f>
        <v>#REF!</v>
      </c>
    </row>
    <row r="254" spans="3:31" ht="16.5" hidden="1" customHeight="1" outlineLevel="1" x14ac:dyDescent="0.3">
      <c r="C254" s="35" t="s">
        <v>228</v>
      </c>
      <c r="D254" s="105"/>
      <c r="E254" s="45">
        <v>0.3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0.3</v>
      </c>
      <c r="AB254" s="9"/>
      <c r="AC254" s="15">
        <f t="shared" si="15"/>
        <v>0.09</v>
      </c>
      <c r="AD254" s="9"/>
      <c r="AE254" s="15" t="e">
        <f>AA254*#REF!</f>
        <v>#REF!</v>
      </c>
    </row>
    <row r="255" spans="3:31" ht="16.5" hidden="1" customHeight="1" outlineLevel="1" x14ac:dyDescent="0.3">
      <c r="C255" s="35" t="s">
        <v>216</v>
      </c>
      <c r="D255" s="105"/>
      <c r="E255" s="45">
        <v>0.21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0.21</v>
      </c>
      <c r="AB255" s="9"/>
      <c r="AC255" s="15">
        <f t="shared" si="15"/>
        <v>4.4099999999999993E-2</v>
      </c>
      <c r="AD255" s="9"/>
      <c r="AE255" s="15" t="e">
        <f>AA255*#REF!</f>
        <v>#REF!</v>
      </c>
    </row>
    <row r="256" spans="3:31" ht="16.5" hidden="1" customHeight="1" outlineLevel="1" x14ac:dyDescent="0.3">
      <c r="C256" s="35" t="s">
        <v>229</v>
      </c>
      <c r="D256" s="105"/>
      <c r="E256" s="45">
        <v>1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15"/>
        <v>1</v>
      </c>
      <c r="AD256" s="9"/>
      <c r="AE256" s="15" t="e">
        <f>AA256*#REF!</f>
        <v>#REF!</v>
      </c>
    </row>
    <row r="257" spans="2:31" ht="16.5" hidden="1" customHeight="1" outlineLevel="1" x14ac:dyDescent="0.3">
      <c r="C257" s="30" t="s">
        <v>217</v>
      </c>
      <c r="D257" s="107"/>
      <c r="E257" s="45">
        <v>0.28000000000000003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0.28000000000000003</v>
      </c>
      <c r="AB257" s="9"/>
      <c r="AC257" s="15">
        <f t="shared" si="15"/>
        <v>7.8400000000000011E-2</v>
      </c>
      <c r="AD257" s="9"/>
      <c r="AE257" s="15" t="e">
        <f>AA257*#REF!</f>
        <v>#REF!</v>
      </c>
    </row>
    <row r="258" spans="2:31" ht="16.5" hidden="1" customHeight="1" outlineLevel="1" x14ac:dyDescent="0.3">
      <c r="C258" s="30" t="s">
        <v>212</v>
      </c>
      <c r="D258" s="107"/>
      <c r="E258" s="45">
        <v>0.3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0.3</v>
      </c>
      <c r="AB258" s="9"/>
      <c r="AC258" s="15">
        <f t="shared" si="15"/>
        <v>0.09</v>
      </c>
      <c r="AD258" s="9"/>
      <c r="AE258" s="15" t="e">
        <f>AA258*#REF!</f>
        <v>#REF!</v>
      </c>
    </row>
    <row r="259" spans="2:31" ht="16.5" hidden="1" customHeight="1" outlineLevel="1" x14ac:dyDescent="0.3">
      <c r="C259" s="30" t="s">
        <v>230</v>
      </c>
      <c r="D259" s="107"/>
      <c r="E259" s="45">
        <v>8.5000000000000006E-2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8.5000000000000006E-2</v>
      </c>
      <c r="AB259" s="9"/>
      <c r="AC259" s="15">
        <f t="shared" si="15"/>
        <v>7.2250000000000014E-3</v>
      </c>
      <c r="AD259" s="9"/>
      <c r="AE259" s="15" t="e">
        <f>AA259*#REF!</f>
        <v>#REF!</v>
      </c>
    </row>
    <row r="260" spans="2:31" ht="16.5" hidden="1" customHeight="1" outlineLevel="1" x14ac:dyDescent="0.3">
      <c r="C260" s="30" t="s">
        <v>231</v>
      </c>
      <c r="D260" s="107"/>
      <c r="E260" s="45">
        <v>8.5000000000000006E-2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8.5000000000000006E-2</v>
      </c>
      <c r="AB260" s="9"/>
      <c r="AC260" s="15">
        <f t="shared" si="15"/>
        <v>7.2250000000000014E-3</v>
      </c>
      <c r="AD260" s="9"/>
      <c r="AE260" s="15" t="e">
        <f>AA260*#REF!</f>
        <v>#REF!</v>
      </c>
    </row>
    <row r="261" spans="2:31" ht="16.5" hidden="1" customHeight="1" outlineLevel="1" x14ac:dyDescent="0.3">
      <c r="C261" s="30" t="s">
        <v>232</v>
      </c>
      <c r="D261" s="107"/>
      <c r="E261" s="45">
        <v>9.5000000000000001E-2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9.5000000000000001E-2</v>
      </c>
      <c r="AB261" s="9"/>
      <c r="AC261" s="15">
        <f t="shared" si="15"/>
        <v>9.025E-3</v>
      </c>
      <c r="AD261" s="9"/>
      <c r="AE261" s="15" t="e">
        <f>AA261*#REF!</f>
        <v>#REF!</v>
      </c>
    </row>
    <row r="262" spans="2:31" ht="16.5" hidden="1" customHeight="1" outlineLevel="1" x14ac:dyDescent="0.3">
      <c r="C262" s="30" t="s">
        <v>233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x14ac:dyDescent="0.3">
      <c r="C263" s="30" t="s">
        <v>234</v>
      </c>
      <c r="D263" s="107"/>
      <c r="E263" s="45">
        <v>0.47</v>
      </c>
      <c r="F263" s="49"/>
      <c r="G263" s="22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0.47</v>
      </c>
      <c r="AB263" s="9"/>
      <c r="AC263" s="15">
        <f t="shared" si="15"/>
        <v>0.22089999999999999</v>
      </c>
      <c r="AD263" s="9"/>
      <c r="AE263" s="15" t="e">
        <f>AA263*#REF!</f>
        <v>#REF!</v>
      </c>
    </row>
    <row r="264" spans="2:31" ht="16.5" hidden="1" customHeight="1" outlineLevel="1" x14ac:dyDescent="0.3">
      <c r="C264" s="30" t="s">
        <v>235</v>
      </c>
      <c r="D264" s="107"/>
      <c r="E264" s="45">
        <v>0.25</v>
      </c>
      <c r="F264" s="49"/>
      <c r="G264" s="22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0.25</v>
      </c>
      <c r="AB264" s="9"/>
      <c r="AC264" s="15">
        <f t="shared" si="15"/>
        <v>6.25E-2</v>
      </c>
      <c r="AD264" s="9"/>
      <c r="AE264" s="15" t="e">
        <f>AA264*#REF!</f>
        <v>#REF!</v>
      </c>
    </row>
    <row r="265" spans="2:31" ht="16.5" hidden="1" customHeight="1" outlineLevel="1" thickBot="1" x14ac:dyDescent="0.3">
      <c r="C265" s="32" t="s">
        <v>236</v>
      </c>
      <c r="D265" s="108"/>
      <c r="E265" s="46">
        <v>9.5000000000000001E-2</v>
      </c>
      <c r="F265" s="50"/>
      <c r="G265" s="29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9.5000000000000001E-2</v>
      </c>
      <c r="AB265" s="9"/>
      <c r="AC265" s="15">
        <f t="shared" si="15"/>
        <v>9.025E-3</v>
      </c>
      <c r="AD265" s="9"/>
      <c r="AE265" s="15" t="e">
        <f>AA265*#REF!</f>
        <v>#REF!</v>
      </c>
    </row>
    <row r="266" spans="2:31" s="4" customFormat="1" ht="19.5" hidden="1" collapsed="1" thickBot="1" x14ac:dyDescent="0.3">
      <c r="B266" s="71"/>
      <c r="C266" s="33" t="s">
        <v>70</v>
      </c>
      <c r="D266" s="109"/>
      <c r="E266" s="23"/>
      <c r="F266" s="23">
        <f>SUM(F267:F320)</f>
        <v>0</v>
      </c>
      <c r="G266" s="47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18"/>
      <c r="AB266" s="21"/>
      <c r="AC266" s="19">
        <f>SUM(AC267:AC316)</f>
        <v>27.049099999999996</v>
      </c>
      <c r="AD266" s="21"/>
      <c r="AE266" s="19" t="e">
        <f>SUM(AE267:AE316)</f>
        <v>#REF!</v>
      </c>
    </row>
    <row r="267" spans="2:31" ht="16.5" hidden="1" customHeight="1" outlineLevel="1" x14ac:dyDescent="0.3">
      <c r="B267" s="71" t="s">
        <v>568</v>
      </c>
      <c r="C267" s="41" t="s">
        <v>197</v>
      </c>
      <c r="D267" s="110"/>
      <c r="E267" s="51">
        <v>1</v>
      </c>
      <c r="F267" s="54"/>
      <c r="G267" s="53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2">
        <v>1</v>
      </c>
      <c r="AB267" s="9"/>
      <c r="AC267" s="12">
        <f t="shared" ref="AC267:AC298" si="16">AA267*E267</f>
        <v>1</v>
      </c>
      <c r="AD267" s="9"/>
      <c r="AE267" s="12" t="e">
        <f>AA267*#REF!</f>
        <v>#REF!</v>
      </c>
    </row>
    <row r="268" spans="2:31" ht="16.5" hidden="1" customHeight="1" outlineLevel="1" x14ac:dyDescent="0.3">
      <c r="B268" s="71" t="s">
        <v>569</v>
      </c>
      <c r="C268" s="35" t="s">
        <v>198</v>
      </c>
      <c r="D268" s="110"/>
      <c r="E268" s="51">
        <v>0.4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0.4</v>
      </c>
      <c r="AB268" s="9"/>
      <c r="AC268" s="15">
        <f t="shared" si="16"/>
        <v>0.16000000000000003</v>
      </c>
      <c r="AD268" s="9"/>
      <c r="AE268" s="15" t="e">
        <f>AA268*#REF!</f>
        <v>#REF!</v>
      </c>
    </row>
    <row r="269" spans="2:31" ht="16.5" hidden="1" customHeight="1" outlineLevel="1" x14ac:dyDescent="0.3">
      <c r="B269" s="71" t="s">
        <v>449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3">
      <c r="B270" s="71" t="s">
        <v>450</v>
      </c>
      <c r="C270" s="35" t="s">
        <v>199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3">
      <c r="B271" s="71" t="s">
        <v>570</v>
      </c>
      <c r="C271" s="35" t="s">
        <v>72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3">
      <c r="B272" s="71" t="s">
        <v>571</v>
      </c>
      <c r="C272" s="35" t="s">
        <v>73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3">
      <c r="B273" s="71" t="s">
        <v>451</v>
      </c>
      <c r="C273" s="35" t="s">
        <v>74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3">
      <c r="B274" s="71" t="s">
        <v>452</v>
      </c>
      <c r="C274" s="35" t="s">
        <v>75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3">
      <c r="B275" s="71" t="s">
        <v>453</v>
      </c>
      <c r="C275" s="35" t="s">
        <v>76</v>
      </c>
      <c r="D275" s="110"/>
      <c r="E275" s="51">
        <v>1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1</v>
      </c>
      <c r="AB275" s="9"/>
      <c r="AC275" s="15">
        <f t="shared" si="16"/>
        <v>1</v>
      </c>
      <c r="AD275" s="9"/>
      <c r="AE275" s="15" t="e">
        <f>AA275*#REF!</f>
        <v>#REF!</v>
      </c>
    </row>
    <row r="276" spans="2:31" ht="16.5" hidden="1" customHeight="1" outlineLevel="1" x14ac:dyDescent="0.3">
      <c r="B276" s="71" t="s">
        <v>454</v>
      </c>
      <c r="C276" s="35" t="s">
        <v>77</v>
      </c>
      <c r="D276" s="110"/>
      <c r="E276" s="51">
        <v>1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1</v>
      </c>
      <c r="AB276" s="9"/>
      <c r="AC276" s="15">
        <f t="shared" si="16"/>
        <v>1</v>
      </c>
      <c r="AD276" s="9"/>
      <c r="AE276" s="15" t="e">
        <f>AA276*#REF!</f>
        <v>#REF!</v>
      </c>
    </row>
    <row r="277" spans="2:31" ht="16.5" hidden="1" customHeight="1" outlineLevel="1" x14ac:dyDescent="0.3">
      <c r="B277" s="71" t="s">
        <v>572</v>
      </c>
      <c r="C277" s="35" t="s">
        <v>200</v>
      </c>
      <c r="D277" s="110"/>
      <c r="E277" s="51">
        <v>0.25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0.25</v>
      </c>
      <c r="AB277" s="9"/>
      <c r="AC277" s="15">
        <f t="shared" si="16"/>
        <v>6.25E-2</v>
      </c>
      <c r="AD277" s="9"/>
      <c r="AE277" s="15" t="e">
        <f>AA277*#REF!</f>
        <v>#REF!</v>
      </c>
    </row>
    <row r="278" spans="2:31" ht="16.5" hidden="1" customHeight="1" outlineLevel="1" x14ac:dyDescent="0.3">
      <c r="B278" s="71" t="s">
        <v>573</v>
      </c>
      <c r="C278" s="35" t="s">
        <v>78</v>
      </c>
      <c r="D278" s="110"/>
      <c r="E278" s="51">
        <v>0.15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0.15</v>
      </c>
      <c r="AB278" s="9"/>
      <c r="AC278" s="15">
        <f t="shared" si="16"/>
        <v>2.2499999999999999E-2</v>
      </c>
      <c r="AD278" s="9"/>
      <c r="AE278" s="15" t="e">
        <f>AA278*#REF!</f>
        <v>#REF!</v>
      </c>
    </row>
    <row r="279" spans="2:31" ht="16.5" hidden="1" customHeight="1" outlineLevel="1" x14ac:dyDescent="0.3">
      <c r="B279" s="71" t="s">
        <v>574</v>
      </c>
      <c r="C279" s="35" t="s">
        <v>201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3">
      <c r="B280" s="71" t="s">
        <v>455</v>
      </c>
      <c r="C280" s="35" t="s">
        <v>79</v>
      </c>
      <c r="D280" s="110"/>
      <c r="E280" s="51">
        <v>1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1</v>
      </c>
      <c r="AB280" s="9"/>
      <c r="AC280" s="15">
        <f t="shared" si="16"/>
        <v>1</v>
      </c>
      <c r="AD280" s="9"/>
      <c r="AE280" s="15" t="e">
        <f>AA280*#REF!</f>
        <v>#REF!</v>
      </c>
    </row>
    <row r="281" spans="2:31" ht="16.5" hidden="1" customHeight="1" outlineLevel="1" x14ac:dyDescent="0.3">
      <c r="B281" s="71" t="s">
        <v>456</v>
      </c>
      <c r="C281" s="35" t="s">
        <v>173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3">
      <c r="B282" s="71" t="s">
        <v>575</v>
      </c>
      <c r="C282" s="35" t="s">
        <v>80</v>
      </c>
      <c r="D282" s="110"/>
      <c r="E282" s="51">
        <v>0.45</v>
      </c>
      <c r="F282" s="11"/>
      <c r="G282" s="52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0.45</v>
      </c>
      <c r="AB282" s="9"/>
      <c r="AC282" s="15">
        <f t="shared" si="16"/>
        <v>0.20250000000000001</v>
      </c>
      <c r="AD282" s="9"/>
      <c r="AE282" s="15" t="e">
        <f>AA282*#REF!</f>
        <v>#REF!</v>
      </c>
    </row>
    <row r="283" spans="2:31" ht="16.5" hidden="1" customHeight="1" outlineLevel="1" x14ac:dyDescent="0.3">
      <c r="B283" s="71" t="s">
        <v>457</v>
      </c>
      <c r="C283" s="35" t="s">
        <v>81</v>
      </c>
      <c r="D283" s="110"/>
      <c r="E283" s="51">
        <v>1</v>
      </c>
      <c r="F283" s="11"/>
      <c r="G283" s="52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1</v>
      </c>
      <c r="AB283" s="9"/>
      <c r="AC283" s="15">
        <f t="shared" si="16"/>
        <v>1</v>
      </c>
      <c r="AD283" s="9"/>
      <c r="AE283" s="15" t="e">
        <f>AA283*#REF!</f>
        <v>#REF!</v>
      </c>
    </row>
    <row r="284" spans="2:31" ht="16.5" hidden="1" customHeight="1" outlineLevel="1" x14ac:dyDescent="0.3">
      <c r="B284" s="71" t="s">
        <v>576</v>
      </c>
      <c r="C284" s="35" t="s">
        <v>82</v>
      </c>
      <c r="D284" s="110"/>
      <c r="E284" s="51">
        <v>0.25</v>
      </c>
      <c r="F284" s="11"/>
      <c r="G284" s="52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0.25</v>
      </c>
      <c r="AB284" s="9"/>
      <c r="AC284" s="15">
        <f t="shared" si="16"/>
        <v>6.25E-2</v>
      </c>
      <c r="AD284" s="9"/>
      <c r="AE284" s="15" t="e">
        <f>AA284*#REF!</f>
        <v>#REF!</v>
      </c>
    </row>
    <row r="285" spans="2:31" ht="16.5" hidden="1" customHeight="1" outlineLevel="1" x14ac:dyDescent="0.3">
      <c r="B285" s="71" t="s">
        <v>577</v>
      </c>
      <c r="C285" s="35" t="s">
        <v>202</v>
      </c>
      <c r="D285" s="110"/>
      <c r="E285" s="51">
        <v>0.45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0.45</v>
      </c>
      <c r="AB285" s="9"/>
      <c r="AC285" s="15">
        <f t="shared" si="16"/>
        <v>0.20250000000000001</v>
      </c>
      <c r="AD285" s="9"/>
      <c r="AE285" s="15" t="e">
        <f>AA285*#REF!</f>
        <v>#REF!</v>
      </c>
    </row>
    <row r="286" spans="2:31" ht="16.5" hidden="1" customHeight="1" outlineLevel="1" x14ac:dyDescent="0.3">
      <c r="B286" s="71" t="s">
        <v>578</v>
      </c>
      <c r="C286" s="35" t="s">
        <v>83</v>
      </c>
      <c r="D286" s="110"/>
      <c r="E286" s="51">
        <v>1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1</v>
      </c>
      <c r="AB286" s="9"/>
      <c r="AC286" s="15">
        <f t="shared" si="16"/>
        <v>1</v>
      </c>
      <c r="AD286" s="9"/>
      <c r="AE286" s="15" t="e">
        <f>AA286*#REF!</f>
        <v>#REF!</v>
      </c>
    </row>
    <row r="287" spans="2:31" ht="16.5" hidden="1" customHeight="1" outlineLevel="1" x14ac:dyDescent="0.3">
      <c r="B287" s="71" t="s">
        <v>579</v>
      </c>
      <c r="C287" s="35" t="s">
        <v>203</v>
      </c>
      <c r="D287" s="110"/>
      <c r="E287" s="51">
        <v>0.12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0.12</v>
      </c>
      <c r="AB287" s="9"/>
      <c r="AC287" s="15">
        <f t="shared" si="16"/>
        <v>1.44E-2</v>
      </c>
      <c r="AD287" s="9"/>
      <c r="AE287" s="15" t="e">
        <f>AA287*#REF!</f>
        <v>#REF!</v>
      </c>
    </row>
    <row r="288" spans="2:31" ht="16.5" hidden="1" customHeight="1" outlineLevel="1" x14ac:dyDescent="0.3">
      <c r="B288" s="71" t="s">
        <v>580</v>
      </c>
      <c r="C288" s="35" t="s">
        <v>84</v>
      </c>
      <c r="D288" s="110"/>
      <c r="E288" s="51">
        <v>0.25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0.25</v>
      </c>
      <c r="AB288" s="9"/>
      <c r="AC288" s="15">
        <f t="shared" si="16"/>
        <v>6.25E-2</v>
      </c>
      <c r="AD288" s="9"/>
      <c r="AE288" s="15" t="e">
        <f>AA288*#REF!</f>
        <v>#REF!</v>
      </c>
    </row>
    <row r="289" spans="2:31" ht="16.5" hidden="1" customHeight="1" outlineLevel="1" x14ac:dyDescent="0.3">
      <c r="B289" s="71" t="s">
        <v>458</v>
      </c>
      <c r="C289" s="35" t="s">
        <v>204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3">
      <c r="B290" s="71" t="s">
        <v>581</v>
      </c>
      <c r="C290" s="35" t="s">
        <v>85</v>
      </c>
      <c r="D290" s="110"/>
      <c r="E290" s="51">
        <v>0.1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0.1</v>
      </c>
      <c r="AB290" s="9"/>
      <c r="AC290" s="15">
        <f t="shared" si="16"/>
        <v>1.0000000000000002E-2</v>
      </c>
      <c r="AD290" s="9"/>
      <c r="AE290" s="15" t="e">
        <f>AA290*#REF!</f>
        <v>#REF!</v>
      </c>
    </row>
    <row r="291" spans="2:31" ht="16.5" hidden="1" customHeight="1" outlineLevel="1" x14ac:dyDescent="0.3">
      <c r="B291" s="71" t="s">
        <v>582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3">
      <c r="B292" s="71" t="s">
        <v>583</v>
      </c>
      <c r="C292" s="35" t="s">
        <v>205</v>
      </c>
      <c r="D292" s="110"/>
      <c r="E292" s="51">
        <v>0.45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0.45</v>
      </c>
      <c r="AB292" s="9"/>
      <c r="AC292" s="15">
        <f t="shared" si="16"/>
        <v>0.20250000000000001</v>
      </c>
      <c r="AD292" s="9"/>
      <c r="AE292" s="15" t="e">
        <f>AA292*#REF!</f>
        <v>#REF!</v>
      </c>
    </row>
    <row r="293" spans="2:31" ht="16.5" hidden="1" customHeight="1" outlineLevel="1" x14ac:dyDescent="0.3">
      <c r="B293" s="71" t="s">
        <v>459</v>
      </c>
      <c r="C293" s="35" t="s">
        <v>87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3">
      <c r="B294" s="71" t="s">
        <v>584</v>
      </c>
      <c r="C294" s="35" t="s">
        <v>206</v>
      </c>
      <c r="D294" s="110"/>
      <c r="E294" s="51">
        <v>0.1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0.1</v>
      </c>
      <c r="AB294" s="9"/>
      <c r="AC294" s="15">
        <f t="shared" si="16"/>
        <v>1.0000000000000002E-2</v>
      </c>
      <c r="AD294" s="9"/>
      <c r="AE294" s="15" t="e">
        <f>AA294*#REF!</f>
        <v>#REF!</v>
      </c>
    </row>
    <row r="295" spans="2:31" ht="16.5" hidden="1" customHeight="1" outlineLevel="1" x14ac:dyDescent="0.3">
      <c r="B295" s="71" t="s">
        <v>585</v>
      </c>
      <c r="C295" s="35" t="s">
        <v>183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3">
      <c r="B296" s="71" t="s">
        <v>460</v>
      </c>
      <c r="C296" s="35" t="s">
        <v>207</v>
      </c>
      <c r="D296" s="110"/>
      <c r="E296" s="51">
        <v>1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1</v>
      </c>
      <c r="AB296" s="9"/>
      <c r="AC296" s="15">
        <f t="shared" si="16"/>
        <v>1</v>
      </c>
      <c r="AD296" s="9"/>
      <c r="AE296" s="15" t="e">
        <f>AA296*#REF!</f>
        <v>#REF!</v>
      </c>
    </row>
    <row r="297" spans="2:31" ht="16.5" hidden="1" customHeight="1" outlineLevel="1" x14ac:dyDescent="0.3">
      <c r="B297" s="71" t="s">
        <v>461</v>
      </c>
      <c r="C297" s="35" t="s">
        <v>208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si="16"/>
        <v>1</v>
      </c>
      <c r="AD297" s="9"/>
      <c r="AE297" s="15" t="e">
        <f>AA297*#REF!</f>
        <v>#REF!</v>
      </c>
    </row>
    <row r="298" spans="2:31" ht="16.5" hidden="1" customHeight="1" outlineLevel="1" x14ac:dyDescent="0.3">
      <c r="B298" s="71" t="s">
        <v>586</v>
      </c>
      <c r="C298" s="35" t="s">
        <v>209</v>
      </c>
      <c r="D298" s="110"/>
      <c r="E298" s="51">
        <v>0.4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0.4</v>
      </c>
      <c r="AB298" s="9"/>
      <c r="AC298" s="15">
        <f t="shared" si="16"/>
        <v>0.16000000000000003</v>
      </c>
      <c r="AD298" s="9"/>
      <c r="AE298" s="15" t="e">
        <f>AA298*#REF!</f>
        <v>#REF!</v>
      </c>
    </row>
    <row r="299" spans="2:31" ht="16.5" hidden="1" customHeight="1" outlineLevel="1" x14ac:dyDescent="0.3">
      <c r="B299" s="71" t="s">
        <v>587</v>
      </c>
      <c r="C299" s="35" t="s">
        <v>88</v>
      </c>
      <c r="D299" s="110"/>
      <c r="E299" s="51">
        <v>1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1</v>
      </c>
      <c r="AB299" s="9"/>
      <c r="AC299" s="15">
        <f t="shared" ref="AC299:AC316" si="18">AA299*E299</f>
        <v>1</v>
      </c>
      <c r="AD299" s="9"/>
      <c r="AE299" s="15" t="e">
        <f>AA299*#REF!</f>
        <v>#REF!</v>
      </c>
    </row>
    <row r="300" spans="2:31" ht="16.5" hidden="1" customHeight="1" outlineLevel="1" x14ac:dyDescent="0.3">
      <c r="B300" s="71" t="s">
        <v>588</v>
      </c>
      <c r="C300" s="35" t="s">
        <v>89</v>
      </c>
      <c r="D300" s="110"/>
      <c r="E300" s="51">
        <v>1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1</v>
      </c>
      <c r="AB300" s="9"/>
      <c r="AC300" s="15">
        <f t="shared" si="18"/>
        <v>1</v>
      </c>
      <c r="AD300" s="9"/>
      <c r="AE300" s="15" t="e">
        <f>AA300*#REF!</f>
        <v>#REF!</v>
      </c>
    </row>
    <row r="301" spans="2:31" ht="16.5" hidden="1" customHeight="1" outlineLevel="1" x14ac:dyDescent="0.3">
      <c r="B301" s="71" t="s">
        <v>589</v>
      </c>
      <c r="C301" s="35" t="s">
        <v>90</v>
      </c>
      <c r="D301" s="110"/>
      <c r="E301" s="51">
        <v>0.3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0.3</v>
      </c>
      <c r="AB301" s="9"/>
      <c r="AC301" s="15">
        <f t="shared" si="18"/>
        <v>0.09</v>
      </c>
      <c r="AD301" s="9"/>
      <c r="AE301" s="15" t="e">
        <f>AA301*#REF!</f>
        <v>#REF!</v>
      </c>
    </row>
    <row r="302" spans="2:31" ht="16.5" hidden="1" customHeight="1" outlineLevel="1" x14ac:dyDescent="0.3">
      <c r="B302" s="71" t="s">
        <v>590</v>
      </c>
      <c r="C302" s="35" t="s">
        <v>91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3">
      <c r="B303" s="71" t="s">
        <v>591</v>
      </c>
      <c r="C303" s="35" t="s">
        <v>92</v>
      </c>
      <c r="D303" s="110"/>
      <c r="E303" s="51">
        <v>0.4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0.4</v>
      </c>
      <c r="AB303" s="9"/>
      <c r="AC303" s="15">
        <f t="shared" si="18"/>
        <v>0.16000000000000003</v>
      </c>
      <c r="AD303" s="9"/>
      <c r="AE303" s="15" t="e">
        <f>AA303*#REF!</f>
        <v>#REF!</v>
      </c>
    </row>
    <row r="304" spans="2:31" ht="16.5" hidden="1" customHeight="1" outlineLevel="1" x14ac:dyDescent="0.3">
      <c r="B304" s="71" t="s">
        <v>592</v>
      </c>
      <c r="C304" s="35" t="s">
        <v>93</v>
      </c>
      <c r="D304" s="110"/>
      <c r="E304" s="51">
        <v>0.4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0.4</v>
      </c>
      <c r="AB304" s="9"/>
      <c r="AC304" s="15">
        <f t="shared" si="18"/>
        <v>0.16000000000000003</v>
      </c>
      <c r="AD304" s="9"/>
      <c r="AE304" s="15" t="e">
        <f>AA304*#REF!</f>
        <v>#REF!</v>
      </c>
    </row>
    <row r="305" spans="2:31" ht="16.5" hidden="1" customHeight="1" outlineLevel="1" x14ac:dyDescent="0.3">
      <c r="B305" s="71" t="s">
        <v>593</v>
      </c>
      <c r="C305" s="35" t="s">
        <v>94</v>
      </c>
      <c r="D305" s="110"/>
      <c r="E305" s="51">
        <v>0.31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0.31</v>
      </c>
      <c r="AB305" s="9"/>
      <c r="AC305" s="15">
        <f t="shared" si="18"/>
        <v>9.6100000000000005E-2</v>
      </c>
      <c r="AD305" s="9"/>
      <c r="AE305" s="15" t="e">
        <f>AA305*#REF!</f>
        <v>#REF!</v>
      </c>
    </row>
    <row r="306" spans="2:31" ht="16.5" hidden="1" customHeight="1" outlineLevel="1" x14ac:dyDescent="0.3">
      <c r="B306" s="71" t="s">
        <v>594</v>
      </c>
      <c r="C306" s="35" t="s">
        <v>95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3">
      <c r="B307" s="71" t="s">
        <v>595</v>
      </c>
      <c r="C307" s="35" t="s">
        <v>96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3">
      <c r="B308" s="71" t="s">
        <v>596</v>
      </c>
      <c r="C308" s="35" t="s">
        <v>97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3">
      <c r="B309" s="71" t="s">
        <v>597</v>
      </c>
      <c r="C309" s="35" t="s">
        <v>98</v>
      </c>
      <c r="D309" s="110"/>
      <c r="E309" s="51">
        <v>0.28000000000000003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0.28000000000000003</v>
      </c>
      <c r="AB309" s="9"/>
      <c r="AC309" s="15">
        <f t="shared" si="18"/>
        <v>7.8400000000000011E-2</v>
      </c>
      <c r="AD309" s="9"/>
      <c r="AE309" s="15" t="e">
        <f>AA309*#REF!</f>
        <v>#REF!</v>
      </c>
    </row>
    <row r="310" spans="2:31" ht="16.5" hidden="1" customHeight="1" outlineLevel="1" x14ac:dyDescent="0.3">
      <c r="B310" s="71" t="s">
        <v>598</v>
      </c>
      <c r="C310" s="35" t="s">
        <v>237</v>
      </c>
      <c r="D310" s="110"/>
      <c r="E310" s="51">
        <v>0.35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0.35</v>
      </c>
      <c r="AB310" s="9"/>
      <c r="AC310" s="15">
        <f t="shared" si="18"/>
        <v>0.12249999999999998</v>
      </c>
      <c r="AD310" s="9"/>
      <c r="AE310" s="15" t="e">
        <f>AA310*#REF!</f>
        <v>#REF!</v>
      </c>
    </row>
    <row r="311" spans="2:31" ht="16.5" hidden="1" customHeight="1" outlineLevel="1" x14ac:dyDescent="0.3">
      <c r="B311" s="71" t="s">
        <v>462</v>
      </c>
      <c r="C311" s="35" t="s">
        <v>210</v>
      </c>
      <c r="D311" s="110"/>
      <c r="E311" s="51">
        <v>1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1</v>
      </c>
      <c r="AB311" s="9"/>
      <c r="AC311" s="15">
        <f t="shared" si="18"/>
        <v>1</v>
      </c>
      <c r="AD311" s="9"/>
      <c r="AE311" s="15" t="e">
        <f>AA311*#REF!</f>
        <v>#REF!</v>
      </c>
    </row>
    <row r="312" spans="2:31" ht="16.5" hidden="1" customHeight="1" outlineLevel="1" x14ac:dyDescent="0.3">
      <c r="B312" s="71" t="s">
        <v>599</v>
      </c>
      <c r="C312" s="35" t="s">
        <v>171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0.28000000000000003</v>
      </c>
      <c r="AB312" s="9"/>
      <c r="AC312" s="15">
        <f t="shared" si="18"/>
        <v>7.8400000000000011E-2</v>
      </c>
      <c r="AD312" s="9"/>
      <c r="AE312" s="15" t="e">
        <f>AA312*#REF!</f>
        <v>#REF!</v>
      </c>
    </row>
    <row r="313" spans="2:31" ht="16.5" hidden="1" customHeight="1" outlineLevel="1" x14ac:dyDescent="0.3">
      <c r="B313" s="71" t="s">
        <v>600</v>
      </c>
      <c r="C313" s="35" t="s">
        <v>172</v>
      </c>
      <c r="D313" s="110"/>
      <c r="E313" s="51">
        <v>0.28000000000000003</v>
      </c>
      <c r="F313" s="11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0.28000000000000003</v>
      </c>
      <c r="AB313" s="9"/>
      <c r="AC313" s="15">
        <f t="shared" si="18"/>
        <v>7.8400000000000011E-2</v>
      </c>
      <c r="AD313" s="9"/>
      <c r="AE313" s="15" t="e">
        <f>AA313*#REF!</f>
        <v>#REF!</v>
      </c>
    </row>
    <row r="314" spans="2:31" ht="16.5" hidden="1" customHeight="1" outlineLevel="1" x14ac:dyDescent="0.3">
      <c r="B314" s="71" t="s">
        <v>601</v>
      </c>
      <c r="C314" s="35" t="s">
        <v>311</v>
      </c>
      <c r="D314" s="110"/>
      <c r="E314" s="51">
        <v>0.28000000000000003</v>
      </c>
      <c r="F314" s="11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0.28000000000000003</v>
      </c>
      <c r="AD314" s="9"/>
      <c r="AE314" s="15" t="e">
        <f>AA314*#REF!</f>
        <v>#REF!</v>
      </c>
    </row>
    <row r="315" spans="2:31" ht="16.5" hidden="1" customHeight="1" outlineLevel="1" x14ac:dyDescent="0.3">
      <c r="B315" s="71" t="s">
        <v>602</v>
      </c>
      <c r="C315" s="35" t="s">
        <v>310</v>
      </c>
      <c r="D315" s="110"/>
      <c r="E315" s="51">
        <v>0.25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5">
        <v>1</v>
      </c>
      <c r="AB315" s="9"/>
      <c r="AC315" s="15">
        <f t="shared" si="18"/>
        <v>0.25</v>
      </c>
      <c r="AD315" s="9"/>
      <c r="AE315" s="15" t="e">
        <f>AA315*#REF!</f>
        <v>#REF!</v>
      </c>
    </row>
    <row r="316" spans="2:31" ht="16.5" hidden="1" customHeight="1" outlineLevel="1" x14ac:dyDescent="0.3">
      <c r="B316" s="71" t="s">
        <v>603</v>
      </c>
      <c r="C316" s="35" t="s">
        <v>238</v>
      </c>
      <c r="D316" s="110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5">
        <v>1</v>
      </c>
      <c r="AB316" s="9"/>
      <c r="AC316" s="15">
        <f t="shared" si="18"/>
        <v>1</v>
      </c>
      <c r="AD316" s="9"/>
      <c r="AE316" s="15" t="e">
        <f>AA316*#REF!</f>
        <v>#REF!</v>
      </c>
    </row>
    <row r="317" spans="2:31" ht="16.5" hidden="1" customHeight="1" outlineLevel="1" x14ac:dyDescent="0.3">
      <c r="C317" s="112" t="s">
        <v>306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x14ac:dyDescent="0.3">
      <c r="C318" s="112" t="s">
        <v>307</v>
      </c>
      <c r="D318" s="68"/>
      <c r="E318" s="51">
        <v>1</v>
      </c>
      <c r="F318" s="14"/>
      <c r="G318" s="52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ht="16.5" hidden="1" customHeight="1" outlineLevel="1" x14ac:dyDescent="0.3">
      <c r="C319" s="112" t="s">
        <v>308</v>
      </c>
      <c r="D319" s="68"/>
      <c r="E319" s="51">
        <v>1</v>
      </c>
      <c r="F319" s="14"/>
      <c r="G319" s="52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36"/>
      <c r="AB319" s="9"/>
      <c r="AC319" s="15"/>
      <c r="AD319" s="9"/>
      <c r="AE319" s="15"/>
    </row>
    <row r="320" spans="2:31" ht="16.5" hidden="1" customHeight="1" outlineLevel="1" thickBot="1" x14ac:dyDescent="0.3">
      <c r="C320" s="113" t="s">
        <v>303</v>
      </c>
      <c r="D320" s="111"/>
      <c r="E320" s="36">
        <v>1</v>
      </c>
      <c r="F320" s="55"/>
      <c r="G320" s="56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36"/>
      <c r="AB320" s="9"/>
      <c r="AC320" s="15"/>
      <c r="AD320" s="9"/>
      <c r="AE320" s="15"/>
    </row>
    <row r="321" spans="2:31" s="4" customFormat="1" ht="19.5" hidden="1" collapsed="1" thickBot="1" x14ac:dyDescent="0.3">
      <c r="B321" s="71"/>
      <c r="C321" s="33" t="s">
        <v>131</v>
      </c>
      <c r="D321" s="33"/>
      <c r="E321" s="23"/>
      <c r="F321" s="23">
        <f>SUM(F322:F342)</f>
        <v>0</v>
      </c>
      <c r="G321" s="47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18"/>
      <c r="AB321" s="21"/>
      <c r="AC321" s="19">
        <f>SUM(AC322:AC342)</f>
        <v>10.666250000000002</v>
      </c>
      <c r="AD321" s="21"/>
      <c r="AE321" s="19" t="e">
        <f>SUM(AE322:AE342)</f>
        <v>#REF!</v>
      </c>
    </row>
    <row r="322" spans="2:31" ht="16.5" hidden="1" customHeight="1" outlineLevel="1" x14ac:dyDescent="0.3">
      <c r="C322" s="31" t="s">
        <v>132</v>
      </c>
      <c r="D322" s="65"/>
      <c r="E322" s="11">
        <v>0.75</v>
      </c>
      <c r="F322" s="11"/>
      <c r="G322" s="28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2">
        <v>0.75</v>
      </c>
      <c r="AB322" s="9"/>
      <c r="AC322" s="12">
        <f t="shared" ref="AC322:AC339" si="19">AA322*E322</f>
        <v>0.5625</v>
      </c>
      <c r="AD322" s="9"/>
      <c r="AE322" s="12" t="e">
        <f>AA322*#REF!</f>
        <v>#REF!</v>
      </c>
    </row>
    <row r="323" spans="2:31" ht="16.5" hidden="1" customHeight="1" outlineLevel="1" x14ac:dyDescent="0.3">
      <c r="C323" s="30" t="s">
        <v>133</v>
      </c>
      <c r="D323" s="30"/>
      <c r="E323" s="14">
        <v>0.1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0.1</v>
      </c>
      <c r="AB323" s="9"/>
      <c r="AC323" s="15">
        <f t="shared" si="19"/>
        <v>1.0000000000000002E-2</v>
      </c>
      <c r="AD323" s="9"/>
      <c r="AE323" s="15" t="e">
        <f>AA323*#REF!</f>
        <v>#REF!</v>
      </c>
    </row>
    <row r="324" spans="2:31" ht="16.5" hidden="1" customHeight="1" outlineLevel="1" x14ac:dyDescent="0.3">
      <c r="C324" s="35" t="s">
        <v>134</v>
      </c>
      <c r="D324" s="35"/>
      <c r="E324" s="14">
        <v>1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1</v>
      </c>
      <c r="AB324" s="9"/>
      <c r="AC324" s="15">
        <f t="shared" si="19"/>
        <v>1</v>
      </c>
      <c r="AD324" s="9"/>
      <c r="AE324" s="15" t="e">
        <f>AA324*#REF!</f>
        <v>#REF!</v>
      </c>
    </row>
    <row r="325" spans="2:31" ht="16.5" hidden="1" customHeight="1" outlineLevel="1" x14ac:dyDescent="0.3">
      <c r="C325" s="35" t="s">
        <v>135</v>
      </c>
      <c r="D325" s="35"/>
      <c r="E325" s="14">
        <v>1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1</v>
      </c>
      <c r="AB325" s="9"/>
      <c r="AC325" s="15">
        <f t="shared" si="19"/>
        <v>1</v>
      </c>
      <c r="AD325" s="9"/>
      <c r="AE325" s="15" t="e">
        <f>AA325*#REF!</f>
        <v>#REF!</v>
      </c>
    </row>
    <row r="326" spans="2:31" ht="16.5" hidden="1" customHeight="1" outlineLevel="1" x14ac:dyDescent="0.3">
      <c r="C326" s="35" t="s">
        <v>136</v>
      </c>
      <c r="D326" s="35"/>
      <c r="E326" s="14">
        <v>0.56000000000000005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0.56000000000000005</v>
      </c>
      <c r="AB326" s="9"/>
      <c r="AC326" s="15">
        <f t="shared" si="19"/>
        <v>0.31360000000000005</v>
      </c>
      <c r="AD326" s="9"/>
      <c r="AE326" s="15" t="e">
        <f>AA326*#REF!</f>
        <v>#REF!</v>
      </c>
    </row>
    <row r="327" spans="2:31" ht="16.5" hidden="1" customHeight="1" outlineLevel="1" x14ac:dyDescent="0.3">
      <c r="C327" s="35" t="s">
        <v>140</v>
      </c>
      <c r="D327" s="35"/>
      <c r="E327" s="14">
        <v>0.56000000000000005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0.56000000000000005</v>
      </c>
      <c r="AB327" s="9"/>
      <c r="AC327" s="15">
        <f t="shared" si="19"/>
        <v>0.31360000000000005</v>
      </c>
      <c r="AD327" s="9"/>
      <c r="AE327" s="15" t="e">
        <f>AA327*#REF!</f>
        <v>#REF!</v>
      </c>
    </row>
    <row r="328" spans="2:31" ht="16.5" hidden="1" customHeight="1" outlineLevel="1" x14ac:dyDescent="0.3">
      <c r="C328" s="35" t="s">
        <v>137</v>
      </c>
      <c r="D328" s="35"/>
      <c r="E328" s="14">
        <v>1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1</v>
      </c>
      <c r="AB328" s="9"/>
      <c r="AC328" s="15">
        <f t="shared" si="19"/>
        <v>1</v>
      </c>
      <c r="AD328" s="9"/>
      <c r="AE328" s="15" t="e">
        <f>AA328*#REF!</f>
        <v>#REF!</v>
      </c>
    </row>
    <row r="329" spans="2:31" ht="16.5" hidden="1" customHeight="1" outlineLevel="1" x14ac:dyDescent="0.3">
      <c r="C329" s="35" t="s">
        <v>138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2:31" ht="16.5" hidden="1" customHeight="1" outlineLevel="1" x14ac:dyDescent="0.3">
      <c r="C330" s="35" t="s">
        <v>139</v>
      </c>
      <c r="D330" s="35"/>
      <c r="E330" s="14">
        <v>0.56000000000000005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0.56000000000000005</v>
      </c>
      <c r="AB330" s="9"/>
      <c r="AC330" s="15">
        <f t="shared" si="19"/>
        <v>0.31360000000000005</v>
      </c>
      <c r="AD330" s="9"/>
      <c r="AE330" s="15" t="e">
        <f>AA330*#REF!</f>
        <v>#REF!</v>
      </c>
    </row>
    <row r="331" spans="2:31" ht="16.5" hidden="1" customHeight="1" outlineLevel="1" x14ac:dyDescent="0.3">
      <c r="C331" s="35" t="s">
        <v>141</v>
      </c>
      <c r="D331" s="35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2:31" ht="16.5" hidden="1" customHeight="1" outlineLevel="1" x14ac:dyDescent="0.3">
      <c r="C332" s="35" t="s">
        <v>142</v>
      </c>
      <c r="D332" s="35"/>
      <c r="E332" s="14">
        <v>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1</v>
      </c>
      <c r="AB332" s="9"/>
      <c r="AC332" s="15">
        <f t="shared" si="19"/>
        <v>1</v>
      </c>
      <c r="AD332" s="9"/>
      <c r="AE332" s="15" t="e">
        <f>AA332*#REF!</f>
        <v>#REF!</v>
      </c>
    </row>
    <row r="333" spans="2:31" ht="16.5" hidden="1" customHeight="1" outlineLevel="1" x14ac:dyDescent="0.3">
      <c r="C333" s="42" t="s">
        <v>313</v>
      </c>
      <c r="D333" s="69"/>
      <c r="E333" s="14">
        <v>1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1</v>
      </c>
      <c r="AB333" s="9"/>
      <c r="AC333" s="15">
        <f t="shared" si="19"/>
        <v>1</v>
      </c>
      <c r="AD333" s="9"/>
      <c r="AE333" s="15" t="e">
        <f>AA333*#REF!</f>
        <v>#REF!</v>
      </c>
    </row>
    <row r="334" spans="2:31" ht="16.5" hidden="1" customHeight="1" outlineLevel="1" x14ac:dyDescent="0.3">
      <c r="C334" s="35" t="s">
        <v>143</v>
      </c>
      <c r="D334" s="35"/>
      <c r="E334" s="14">
        <v>0.1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0.1</v>
      </c>
      <c r="AB334" s="9"/>
      <c r="AC334" s="15">
        <f t="shared" si="19"/>
        <v>1.0000000000000002E-2</v>
      </c>
      <c r="AD334" s="9"/>
      <c r="AE334" s="15" t="e">
        <f>AA334*#REF!</f>
        <v>#REF!</v>
      </c>
    </row>
    <row r="335" spans="2:31" ht="16.5" hidden="1" customHeight="1" outlineLevel="1" x14ac:dyDescent="0.3">
      <c r="C335" s="35" t="s">
        <v>211</v>
      </c>
      <c r="D335" s="35"/>
      <c r="E335" s="14">
        <v>0.23499999999999999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0.23499999999999999</v>
      </c>
      <c r="AB335" s="9"/>
      <c r="AC335" s="15">
        <f t="shared" si="19"/>
        <v>5.5224999999999996E-2</v>
      </c>
      <c r="AD335" s="9"/>
      <c r="AE335" s="15" t="e">
        <f>AA335*#REF!</f>
        <v>#REF!</v>
      </c>
    </row>
    <row r="336" spans="2:31" ht="16.5" hidden="1" customHeight="1" outlineLevel="1" x14ac:dyDescent="0.3">
      <c r="C336" s="35" t="s">
        <v>144</v>
      </c>
      <c r="D336" s="35"/>
      <c r="E336" s="14">
        <v>1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1</v>
      </c>
      <c r="AB336" s="9"/>
      <c r="AC336" s="15">
        <f t="shared" si="19"/>
        <v>1</v>
      </c>
      <c r="AD336" s="9"/>
      <c r="AE336" s="15" t="e">
        <f>AA336*#REF!</f>
        <v>#REF!</v>
      </c>
    </row>
    <row r="337" spans="2:31" ht="16.5" hidden="1" customHeight="1" outlineLevel="1" x14ac:dyDescent="0.3">
      <c r="C337" s="35" t="s">
        <v>145</v>
      </c>
      <c r="D337" s="35"/>
      <c r="E337" s="14">
        <v>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1</v>
      </c>
      <c r="AB337" s="9"/>
      <c r="AC337" s="15">
        <f t="shared" si="19"/>
        <v>1</v>
      </c>
      <c r="AD337" s="9"/>
      <c r="AE337" s="15" t="e">
        <f>AA337*#REF!</f>
        <v>#REF!</v>
      </c>
    </row>
    <row r="338" spans="2:31" ht="16.5" hidden="1" customHeight="1" outlineLevel="1" x14ac:dyDescent="0.3">
      <c r="C338" s="35" t="s">
        <v>146</v>
      </c>
      <c r="D338" s="35"/>
      <c r="E338" s="14">
        <v>0.15</v>
      </c>
      <c r="F338" s="14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>
        <v>0.15</v>
      </c>
      <c r="AB338" s="9"/>
      <c r="AC338" s="15">
        <f t="shared" si="19"/>
        <v>2.2499999999999999E-2</v>
      </c>
      <c r="AD338" s="9"/>
      <c r="AE338" s="15" t="e">
        <f>AA338*#REF!</f>
        <v>#REF!</v>
      </c>
    </row>
    <row r="339" spans="2:31" ht="16.5" hidden="1" customHeight="1" outlineLevel="1" x14ac:dyDescent="0.3">
      <c r="C339" s="35" t="s">
        <v>147</v>
      </c>
      <c r="D339" s="35"/>
      <c r="E339" s="14">
        <v>0.1</v>
      </c>
      <c r="F339" s="14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>
        <v>0.1</v>
      </c>
      <c r="AB339" s="9"/>
      <c r="AC339" s="15">
        <f t="shared" si="19"/>
        <v>1.0000000000000002E-2</v>
      </c>
      <c r="AD339" s="9"/>
      <c r="AE339" s="15" t="e">
        <f>AA339*#REF!</f>
        <v>#REF!</v>
      </c>
    </row>
    <row r="340" spans="2:31" ht="16.5" hidden="1" customHeight="1" outlineLevel="1" x14ac:dyDescent="0.3">
      <c r="C340" s="42" t="s">
        <v>304</v>
      </c>
      <c r="D340" s="69"/>
      <c r="E340" s="14">
        <v>0.14000000000000001</v>
      </c>
      <c r="F340" s="16"/>
      <c r="G340" s="22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5"/>
      <c r="AB340" s="9"/>
      <c r="AC340" s="15"/>
      <c r="AD340" s="9"/>
      <c r="AE340" s="15"/>
    </row>
    <row r="341" spans="2:31" ht="16.5" hidden="1" customHeight="1" outlineLevel="1" x14ac:dyDescent="0.3">
      <c r="C341" s="43" t="s">
        <v>305</v>
      </c>
      <c r="D341" s="43"/>
      <c r="E341" s="14">
        <v>0.14000000000000001</v>
      </c>
      <c r="F341" s="16"/>
      <c r="G341" s="22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5"/>
      <c r="AB341" s="9"/>
      <c r="AC341" s="15"/>
      <c r="AD341" s="9"/>
      <c r="AE341" s="15"/>
    </row>
    <row r="342" spans="2:31" ht="16.5" hidden="1" customHeight="1" outlineLevel="1" thickBot="1" x14ac:dyDescent="0.3">
      <c r="C342" s="32" t="s">
        <v>148</v>
      </c>
      <c r="D342" s="67"/>
      <c r="E342" s="16">
        <v>0.23499999999999999</v>
      </c>
      <c r="F342" s="16"/>
      <c r="G342" s="29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7">
        <v>0.23499999999999999</v>
      </c>
      <c r="AB342" s="9"/>
      <c r="AC342" s="17">
        <f>AA342*E342</f>
        <v>5.5224999999999996E-2</v>
      </c>
      <c r="AD342" s="9"/>
      <c r="AE342" s="17" t="e">
        <f>AA342*#REF!</f>
        <v>#REF!</v>
      </c>
    </row>
    <row r="343" spans="2:31" s="4" customFormat="1" ht="19.5" hidden="1" collapsed="1" thickBot="1" x14ac:dyDescent="0.3">
      <c r="B343" s="71"/>
      <c r="C343" s="33" t="s">
        <v>158</v>
      </c>
      <c r="D343" s="33"/>
      <c r="E343" s="23"/>
      <c r="F343" s="23">
        <f>SUM(F344:F349)</f>
        <v>0</v>
      </c>
      <c r="G343" s="47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18"/>
      <c r="AB343" s="21"/>
      <c r="AC343" s="19">
        <f>SUM(AC344:AC349)</f>
        <v>2.9400000000000006E-2</v>
      </c>
      <c r="AD343" s="21"/>
      <c r="AE343" s="19" t="e">
        <f>SUM(AE344:AE349)</f>
        <v>#REF!</v>
      </c>
    </row>
    <row r="344" spans="2:31" ht="16.5" hidden="1" customHeight="1" outlineLevel="1" x14ac:dyDescent="0.3">
      <c r="C344" s="31" t="s">
        <v>159</v>
      </c>
      <c r="D344" s="65"/>
      <c r="E344" s="11">
        <v>7.0000000000000007E-2</v>
      </c>
      <c r="F344" s="11"/>
      <c r="G344" s="28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2">
        <v>7.0000000000000007E-2</v>
      </c>
      <c r="AB344" s="9"/>
      <c r="AC344" s="12">
        <f t="shared" ref="AC344:AC349" si="20">AA344*E344</f>
        <v>4.9000000000000007E-3</v>
      </c>
      <c r="AD344" s="9"/>
      <c r="AE344" s="12" t="e">
        <f>AA344*#REF!</f>
        <v>#REF!</v>
      </c>
    </row>
    <row r="345" spans="2:31" ht="16.5" hidden="1" customHeight="1" outlineLevel="1" x14ac:dyDescent="0.3">
      <c r="C345" s="30" t="s">
        <v>160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3">
      <c r="C346" s="30" t="s">
        <v>161</v>
      </c>
      <c r="D346" s="30"/>
      <c r="E346" s="14">
        <v>7.0000000000000007E-2</v>
      </c>
      <c r="F346" s="14"/>
      <c r="G346" s="22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x14ac:dyDescent="0.3">
      <c r="C347" s="30" t="s">
        <v>163</v>
      </c>
      <c r="D347" s="30"/>
      <c r="E347" s="14">
        <v>7.0000000000000007E-2</v>
      </c>
      <c r="F347" s="14"/>
      <c r="G347" s="22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5">
        <v>7.0000000000000007E-2</v>
      </c>
      <c r="AB347" s="9"/>
      <c r="AC347" s="15">
        <f t="shared" si="20"/>
        <v>4.9000000000000007E-3</v>
      </c>
      <c r="AD347" s="9"/>
      <c r="AE347" s="15" t="e">
        <f>AA347*#REF!</f>
        <v>#REF!</v>
      </c>
    </row>
    <row r="348" spans="2:31" ht="16.5" hidden="1" customHeight="1" outlineLevel="1" x14ac:dyDescent="0.3">
      <c r="C348" s="30" t="s">
        <v>162</v>
      </c>
      <c r="D348" s="30"/>
      <c r="E348" s="14">
        <v>7.0000000000000007E-2</v>
      </c>
      <c r="F348" s="14"/>
      <c r="G348" s="22">
        <f t="shared" ref="G348:G381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5">
        <v>7.0000000000000007E-2</v>
      </c>
      <c r="AB348" s="9"/>
      <c r="AC348" s="15">
        <f t="shared" si="20"/>
        <v>4.9000000000000007E-3</v>
      </c>
      <c r="AD348" s="9"/>
      <c r="AE348" s="15" t="e">
        <f>AA348*#REF!</f>
        <v>#REF!</v>
      </c>
    </row>
    <row r="349" spans="2:31" ht="16.5" hidden="1" customHeight="1" outlineLevel="1" thickBot="1" x14ac:dyDescent="0.3">
      <c r="C349" s="32" t="s">
        <v>164</v>
      </c>
      <c r="D349" s="67"/>
      <c r="E349" s="14">
        <v>7.0000000000000007E-2</v>
      </c>
      <c r="F349" s="16"/>
      <c r="G349" s="29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7">
        <v>7.0000000000000007E-2</v>
      </c>
      <c r="AB349" s="9"/>
      <c r="AC349" s="17">
        <f t="shared" si="20"/>
        <v>4.9000000000000007E-3</v>
      </c>
      <c r="AD349" s="9"/>
      <c r="AE349" s="17" t="e">
        <f>AA349*#REF!</f>
        <v>#REF!</v>
      </c>
    </row>
    <row r="350" spans="2:31" s="4" customFormat="1" ht="19.5" hidden="1" collapsed="1" thickBot="1" x14ac:dyDescent="0.3">
      <c r="B350" s="71"/>
      <c r="C350" s="33" t="s">
        <v>149</v>
      </c>
      <c r="D350" s="33"/>
      <c r="E350" s="23"/>
      <c r="F350" s="23">
        <f>SUM(F351:F355)</f>
        <v>0</v>
      </c>
      <c r="G350" s="47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18"/>
      <c r="AB350" s="21"/>
      <c r="AC350" s="19">
        <f>SUM(AC351:AC355)</f>
        <v>4.25</v>
      </c>
      <c r="AD350" s="21"/>
      <c r="AE350" s="19" t="e">
        <f>SUM(AE351:AE355)</f>
        <v>#REF!</v>
      </c>
    </row>
    <row r="351" spans="2:31" ht="16.5" hidden="1" customHeight="1" outlineLevel="1" x14ac:dyDescent="0.3">
      <c r="C351" s="31" t="s">
        <v>150</v>
      </c>
      <c r="D351" s="65"/>
      <c r="E351" s="11">
        <v>0.5</v>
      </c>
      <c r="F351" s="11"/>
      <c r="G351" s="28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2">
        <v>0.5</v>
      </c>
      <c r="AB351" s="9"/>
      <c r="AC351" s="12">
        <f>AA351*E351</f>
        <v>0.25</v>
      </c>
      <c r="AD351" s="9"/>
      <c r="AE351" s="12" t="e">
        <f>AA351*#REF!</f>
        <v>#REF!</v>
      </c>
    </row>
    <row r="352" spans="2:31" ht="16.5" hidden="1" customHeight="1" outlineLevel="1" x14ac:dyDescent="0.3">
      <c r="C352" s="30" t="s">
        <v>151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x14ac:dyDescent="0.3">
      <c r="C353" s="30" t="s">
        <v>152</v>
      </c>
      <c r="D353" s="30"/>
      <c r="E353" s="14">
        <v>1</v>
      </c>
      <c r="F353" s="14"/>
      <c r="G353" s="22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5">
        <v>1</v>
      </c>
      <c r="AB353" s="9"/>
      <c r="AC353" s="15">
        <f>AA353*E353</f>
        <v>1</v>
      </c>
      <c r="AD353" s="9"/>
      <c r="AE353" s="15" t="e">
        <f>AA353*#REF!</f>
        <v>#REF!</v>
      </c>
    </row>
    <row r="354" spans="2:31" ht="16.5" hidden="1" customHeight="1" outlineLevel="1" x14ac:dyDescent="0.3">
      <c r="C354" s="30" t="s">
        <v>153</v>
      </c>
      <c r="D354" s="30"/>
      <c r="E354" s="14">
        <v>1</v>
      </c>
      <c r="F354" s="14"/>
      <c r="G354" s="22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5">
        <v>1</v>
      </c>
      <c r="AB354" s="9"/>
      <c r="AC354" s="15">
        <f>AA354*E354</f>
        <v>1</v>
      </c>
      <c r="AD354" s="9"/>
      <c r="AE354" s="15" t="e">
        <f>AA354*#REF!</f>
        <v>#REF!</v>
      </c>
    </row>
    <row r="355" spans="2:31" ht="16.5" hidden="1" customHeight="1" outlineLevel="1" thickBot="1" x14ac:dyDescent="0.3">
      <c r="C355" s="32" t="s">
        <v>154</v>
      </c>
      <c r="D355" s="67"/>
      <c r="E355" s="16">
        <v>1</v>
      </c>
      <c r="F355" s="16"/>
      <c r="G355" s="29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7">
        <v>1</v>
      </c>
      <c r="AB355" s="9"/>
      <c r="AC355" s="17">
        <f>AA355*E355</f>
        <v>1</v>
      </c>
      <c r="AD355" s="9"/>
      <c r="AE355" s="17" t="e">
        <f>AA355*#REF!</f>
        <v>#REF!</v>
      </c>
    </row>
    <row r="356" spans="2:31" s="4" customFormat="1" ht="19.5" hidden="1" collapsed="1" thickBot="1" x14ac:dyDescent="0.3">
      <c r="B356" s="71"/>
      <c r="C356" s="33" t="s">
        <v>155</v>
      </c>
      <c r="D356" s="33"/>
      <c r="E356" s="23"/>
      <c r="F356" s="23">
        <f>SUM(F357:F359)</f>
        <v>1640</v>
      </c>
      <c r="G356" s="47">
        <f>SUM(G357:G359)</f>
        <v>1119.2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18"/>
      <c r="AB356" s="21"/>
      <c r="AC356" s="19">
        <f>SUM(AC357:AC358)</f>
        <v>1.1444000000000001</v>
      </c>
      <c r="AD356" s="21"/>
      <c r="AE356" s="19" t="e">
        <f>SUM(AE357:AE358)</f>
        <v>#REF!</v>
      </c>
    </row>
    <row r="357" spans="2:31" ht="16.5" hidden="1" customHeight="1" outlineLevel="1" x14ac:dyDescent="0.25">
      <c r="C357" s="31" t="s">
        <v>156</v>
      </c>
      <c r="D357" s="65"/>
      <c r="E357" s="11">
        <v>0.38</v>
      </c>
      <c r="F357" s="54">
        <v>840</v>
      </c>
      <c r="G357" s="28">
        <f t="shared" si="21"/>
        <v>319.2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2">
        <v>0.38</v>
      </c>
      <c r="AB357" s="9"/>
      <c r="AC357" s="12">
        <f>AA357*E357</f>
        <v>0.1444</v>
      </c>
      <c r="AD357" s="9"/>
      <c r="AE357" s="12" t="e">
        <f>AA357*#REF!</f>
        <v>#REF!</v>
      </c>
    </row>
    <row r="358" spans="2:31" ht="16.5" hidden="1" customHeight="1" outlineLevel="1" thickBot="1" x14ac:dyDescent="0.3">
      <c r="C358" s="30" t="s">
        <v>157</v>
      </c>
      <c r="D358" s="65"/>
      <c r="E358" s="11">
        <v>1</v>
      </c>
      <c r="F358" s="11">
        <v>800</v>
      </c>
      <c r="G358" s="22">
        <f t="shared" si="21"/>
        <v>800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5">
        <v>1</v>
      </c>
      <c r="AB358" s="9"/>
      <c r="AC358" s="15">
        <f>AA358*E358</f>
        <v>1</v>
      </c>
      <c r="AD358" s="9"/>
      <c r="AE358" s="15" t="e">
        <f>AA358*#REF!</f>
        <v>#REF!</v>
      </c>
    </row>
    <row r="359" spans="2:31" ht="16.5" hidden="1" customHeight="1" outlineLevel="1" thickBot="1" x14ac:dyDescent="0.3">
      <c r="C359" s="60" t="s">
        <v>309</v>
      </c>
      <c r="D359" s="70"/>
      <c r="E359" s="15">
        <v>0.95</v>
      </c>
      <c r="F359" s="15"/>
      <c r="G359" s="29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36"/>
      <c r="AB359" s="9"/>
      <c r="AC359" s="15"/>
      <c r="AD359" s="9"/>
      <c r="AE359" s="15"/>
    </row>
    <row r="360" spans="2:31" s="4" customFormat="1" ht="19.5" hidden="1" collapsed="1" thickBot="1" x14ac:dyDescent="0.3">
      <c r="B360" s="71"/>
      <c r="C360" s="66" t="s">
        <v>637</v>
      </c>
      <c r="D360" s="66"/>
      <c r="E360" s="23"/>
      <c r="F360" s="23">
        <f>SUM(F361:F394)</f>
        <v>0</v>
      </c>
      <c r="G360" s="47">
        <f>SUM(G361:G394)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18"/>
      <c r="AB360" s="21"/>
      <c r="AC360" s="19">
        <f>SUM(AC361:AC394)</f>
        <v>15.371749999999999</v>
      </c>
      <c r="AD360" s="21"/>
      <c r="AE360" s="19" t="e">
        <f>SUM(AE361:AE394)</f>
        <v>#REF!</v>
      </c>
    </row>
    <row r="361" spans="2:31" ht="16.5" hidden="1" customHeight="1" outlineLevel="1" x14ac:dyDescent="0.3">
      <c r="C361" s="77" t="s">
        <v>638</v>
      </c>
      <c r="D361" s="82">
        <v>8695</v>
      </c>
      <c r="E361" s="80">
        <v>0.25</v>
      </c>
      <c r="F361" s="11"/>
      <c r="G361" s="28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2">
        <v>1</v>
      </c>
      <c r="AB361" s="9"/>
      <c r="AC361" s="12">
        <f>AA361*E361</f>
        <v>0.25</v>
      </c>
      <c r="AD361" s="9"/>
      <c r="AE361" s="12" t="e">
        <f>AA361*#REF!</f>
        <v>#REF!</v>
      </c>
    </row>
    <row r="362" spans="2:31" ht="16.5" hidden="1" customHeight="1" outlineLevel="1" x14ac:dyDescent="0.3">
      <c r="C362" s="78" t="s">
        <v>639</v>
      </c>
      <c r="D362" s="83">
        <v>8487</v>
      </c>
      <c r="E362" s="80">
        <v>1</v>
      </c>
      <c r="F362" s="11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/>
      <c r="AB362" s="9"/>
      <c r="AC362" s="15"/>
      <c r="AD362" s="9"/>
      <c r="AE362" s="15"/>
    </row>
    <row r="363" spans="2:31" ht="16.5" hidden="1" customHeight="1" outlineLevel="1" x14ac:dyDescent="0.3">
      <c r="C363" s="78" t="s">
        <v>640</v>
      </c>
      <c r="D363" s="83">
        <v>7889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ref="AC363:AC394" si="22">AA363*E363</f>
        <v>0.4</v>
      </c>
      <c r="AD363" s="9"/>
      <c r="AE363" s="15" t="e">
        <f>AA363*#REF!</f>
        <v>#REF!</v>
      </c>
    </row>
    <row r="364" spans="2:31" ht="16.5" hidden="1" customHeight="1" outlineLevel="1" x14ac:dyDescent="0.3">
      <c r="C364" s="78" t="s">
        <v>641</v>
      </c>
      <c r="D364" s="83">
        <v>7323</v>
      </c>
      <c r="E364" s="80">
        <v>0.4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0.4</v>
      </c>
      <c r="AD364" s="9"/>
      <c r="AE364" s="15" t="e">
        <f>AA364*#REF!</f>
        <v>#REF!</v>
      </c>
    </row>
    <row r="365" spans="2:31" ht="16.5" hidden="1" customHeight="1" outlineLevel="1" x14ac:dyDescent="0.3">
      <c r="C365" s="78" t="s">
        <v>642</v>
      </c>
      <c r="D365" s="83">
        <v>8704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3">
      <c r="C366" s="78" t="s">
        <v>643</v>
      </c>
      <c r="D366" s="83">
        <v>7325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3">
      <c r="C367" s="78" t="s">
        <v>644</v>
      </c>
      <c r="D367" s="83">
        <v>7844</v>
      </c>
      <c r="E367" s="80">
        <v>0.4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0.4</v>
      </c>
      <c r="AD367" s="9"/>
      <c r="AE367" s="15" t="e">
        <f>AA367*#REF!</f>
        <v>#REF!</v>
      </c>
    </row>
    <row r="368" spans="2:31" ht="16.5" hidden="1" customHeight="1" outlineLevel="1" x14ac:dyDescent="0.3">
      <c r="C368" s="78" t="s">
        <v>645</v>
      </c>
      <c r="D368" s="83">
        <v>4267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3">
      <c r="C369" s="78" t="s">
        <v>646</v>
      </c>
      <c r="D369" s="83">
        <v>7930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1</v>
      </c>
      <c r="AB369" s="9"/>
      <c r="AC369" s="15">
        <f t="shared" si="22"/>
        <v>1</v>
      </c>
      <c r="AD369" s="9"/>
      <c r="AE369" s="15" t="e">
        <f>AA369*#REF!</f>
        <v>#REF!</v>
      </c>
    </row>
    <row r="370" spans="3:31" ht="16.5" hidden="1" customHeight="1" outlineLevel="1" x14ac:dyDescent="0.3">
      <c r="C370" s="78" t="s">
        <v>647</v>
      </c>
      <c r="D370" s="83">
        <v>7902</v>
      </c>
      <c r="E370" s="80">
        <v>1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1</v>
      </c>
      <c r="AB370" s="9"/>
      <c r="AC370" s="15">
        <f t="shared" si="22"/>
        <v>1</v>
      </c>
      <c r="AD370" s="9"/>
      <c r="AE370" s="15" t="e">
        <f>AA370*#REF!</f>
        <v>#REF!</v>
      </c>
    </row>
    <row r="371" spans="3:31" ht="16.5" hidden="1" customHeight="1" outlineLevel="1" x14ac:dyDescent="0.3">
      <c r="C371" s="78" t="s">
        <v>648</v>
      </c>
      <c r="D371" s="83">
        <v>7903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2.9000000000000001E-2</v>
      </c>
      <c r="AB371" s="9"/>
      <c r="AC371" s="15">
        <f t="shared" si="22"/>
        <v>2.9000000000000001E-2</v>
      </c>
      <c r="AD371" s="9"/>
      <c r="AE371" s="15" t="e">
        <f>AA371*#REF!</f>
        <v>#REF!</v>
      </c>
    </row>
    <row r="372" spans="3:31" ht="16.5" hidden="1" customHeight="1" outlineLevel="1" x14ac:dyDescent="0.3">
      <c r="C372" s="78" t="s">
        <v>649</v>
      </c>
      <c r="D372" s="83">
        <v>7667</v>
      </c>
      <c r="E372" s="80">
        <v>0.3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0.05</v>
      </c>
      <c r="AB372" s="9"/>
      <c r="AC372" s="15">
        <f t="shared" si="22"/>
        <v>1.4999999999999999E-2</v>
      </c>
      <c r="AD372" s="9"/>
      <c r="AE372" s="15" t="e">
        <f>AA372*#REF!</f>
        <v>#REF!</v>
      </c>
    </row>
    <row r="373" spans="3:31" ht="16.5" hidden="1" customHeight="1" outlineLevel="1" x14ac:dyDescent="0.3">
      <c r="C373" s="78" t="s">
        <v>650</v>
      </c>
      <c r="D373" s="83">
        <v>7365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0.03</v>
      </c>
      <c r="AB373" s="9"/>
      <c r="AC373" s="15">
        <f t="shared" si="22"/>
        <v>0.03</v>
      </c>
      <c r="AD373" s="9"/>
      <c r="AE373" s="15" t="e">
        <f>AA373*#REF!</f>
        <v>#REF!</v>
      </c>
    </row>
    <row r="374" spans="3:31" ht="16.5" hidden="1" customHeight="1" outlineLevel="1" x14ac:dyDescent="0.3">
      <c r="C374" s="78" t="s">
        <v>651</v>
      </c>
      <c r="D374" s="83">
        <v>7551</v>
      </c>
      <c r="E374" s="80">
        <v>0.68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1</v>
      </c>
      <c r="AB374" s="9"/>
      <c r="AC374" s="15">
        <f t="shared" si="22"/>
        <v>0.68</v>
      </c>
      <c r="AD374" s="9"/>
      <c r="AE374" s="15" t="e">
        <f>AA374*#REF!</f>
        <v>#REF!</v>
      </c>
    </row>
    <row r="375" spans="3:31" ht="16.5" hidden="1" customHeight="1" outlineLevel="1" x14ac:dyDescent="0.3">
      <c r="C375" s="78" t="s">
        <v>652</v>
      </c>
      <c r="D375" s="83">
        <v>4671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1</v>
      </c>
      <c r="AB375" s="9"/>
      <c r="AC375" s="15">
        <f t="shared" si="22"/>
        <v>1</v>
      </c>
      <c r="AD375" s="9"/>
      <c r="AE375" s="15" t="e">
        <f>AA375*#REF!</f>
        <v>#REF!</v>
      </c>
    </row>
    <row r="376" spans="3:31" ht="16.5" hidden="1" customHeight="1" outlineLevel="1" x14ac:dyDescent="0.3">
      <c r="C376" s="78" t="s">
        <v>653</v>
      </c>
      <c r="D376" s="83">
        <v>8685</v>
      </c>
      <c r="E376" s="80">
        <v>0.25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0.23499999999999999</v>
      </c>
      <c r="AB376" s="9"/>
      <c r="AC376" s="15">
        <f t="shared" si="22"/>
        <v>5.8749999999999997E-2</v>
      </c>
      <c r="AD376" s="9"/>
      <c r="AE376" s="15" t="e">
        <f>AA376*#REF!</f>
        <v>#REF!</v>
      </c>
    </row>
    <row r="377" spans="3:31" ht="16.5" hidden="1" customHeight="1" outlineLevel="1" x14ac:dyDescent="0.3">
      <c r="C377" s="78" t="s">
        <v>654</v>
      </c>
      <c r="D377" s="83">
        <v>8469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0.23200000000000001</v>
      </c>
      <c r="AB377" s="9"/>
      <c r="AC377" s="15">
        <f t="shared" si="22"/>
        <v>0.23200000000000001</v>
      </c>
      <c r="AD377" s="9"/>
      <c r="AE377" s="15" t="e">
        <f>AA377*#REF!</f>
        <v>#REF!</v>
      </c>
    </row>
    <row r="378" spans="3:31" ht="16.5" hidden="1" customHeight="1" outlineLevel="1" x14ac:dyDescent="0.3">
      <c r="C378" s="78" t="s">
        <v>655</v>
      </c>
      <c r="D378" s="83">
        <v>8701</v>
      </c>
      <c r="E378" s="80">
        <v>0.2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0.2</v>
      </c>
      <c r="AD378" s="9"/>
      <c r="AE378" s="15" t="e">
        <f>AA378*#REF!</f>
        <v>#REF!</v>
      </c>
    </row>
    <row r="379" spans="3:31" ht="16.5" hidden="1" customHeight="1" outlineLevel="1" x14ac:dyDescent="0.3">
      <c r="C379" s="78" t="s">
        <v>656</v>
      </c>
      <c r="D379" s="83">
        <v>8694</v>
      </c>
      <c r="E379" s="80">
        <v>1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1</v>
      </c>
      <c r="AD379" s="9"/>
      <c r="AE379" s="15" t="e">
        <f>AA379*#REF!</f>
        <v>#REF!</v>
      </c>
    </row>
    <row r="380" spans="3:31" ht="16.5" hidden="1" customHeight="1" outlineLevel="1" x14ac:dyDescent="0.3">
      <c r="C380" s="78" t="s">
        <v>657</v>
      </c>
      <c r="D380" s="83">
        <v>8686</v>
      </c>
      <c r="E380" s="80">
        <v>1</v>
      </c>
      <c r="F380" s="14"/>
      <c r="G380" s="22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1</v>
      </c>
      <c r="AD380" s="9"/>
      <c r="AE380" s="15" t="e">
        <f>AA380*#REF!</f>
        <v>#REF!</v>
      </c>
    </row>
    <row r="381" spans="3:31" ht="16.5" hidden="1" customHeight="1" outlineLevel="1" x14ac:dyDescent="0.3">
      <c r="C381" s="78" t="s">
        <v>658</v>
      </c>
      <c r="D381" s="83">
        <v>8598</v>
      </c>
      <c r="E381" s="80">
        <v>0.25</v>
      </c>
      <c r="F381" s="14"/>
      <c r="G381" s="22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0.25</v>
      </c>
      <c r="AD381" s="9"/>
      <c r="AE381" s="15" t="e">
        <f>AA381*#REF!</f>
        <v>#REF!</v>
      </c>
    </row>
    <row r="382" spans="3:31" ht="16.5" hidden="1" customHeight="1" outlineLevel="1" x14ac:dyDescent="0.3">
      <c r="C382" s="78" t="s">
        <v>659</v>
      </c>
      <c r="D382" s="83">
        <v>8599</v>
      </c>
      <c r="E382" s="80">
        <v>0.25</v>
      </c>
      <c r="F382" s="14"/>
      <c r="G382" s="22">
        <f t="shared" ref="G382:G394" si="23">F382*E382</f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3">
      <c r="C383" s="78" t="s">
        <v>660</v>
      </c>
      <c r="D383" s="83">
        <v>5352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1</v>
      </c>
      <c r="AB383" s="9"/>
      <c r="AC383" s="15">
        <f t="shared" si="22"/>
        <v>1</v>
      </c>
      <c r="AD383" s="9"/>
      <c r="AE383" s="15" t="e">
        <f>AA383*#REF!</f>
        <v>#REF!</v>
      </c>
    </row>
    <row r="384" spans="3:31" ht="16.5" hidden="1" customHeight="1" outlineLevel="1" x14ac:dyDescent="0.3">
      <c r="C384" s="78" t="s">
        <v>661</v>
      </c>
      <c r="D384" s="83">
        <v>5411</v>
      </c>
      <c r="E384" s="80">
        <v>0.25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1</v>
      </c>
      <c r="AB384" s="9"/>
      <c r="AC384" s="15">
        <f t="shared" si="22"/>
        <v>0.25</v>
      </c>
      <c r="AD384" s="9"/>
      <c r="AE384" s="15" t="e">
        <f>AA384*#REF!</f>
        <v>#REF!</v>
      </c>
    </row>
    <row r="385" spans="2:31" ht="16.5" hidden="1" customHeight="1" outlineLevel="1" x14ac:dyDescent="0.3">
      <c r="C385" s="78" t="s">
        <v>662</v>
      </c>
      <c r="D385" s="83">
        <v>5388</v>
      </c>
      <c r="E385" s="80">
        <v>1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0.4</v>
      </c>
      <c r="AB385" s="9"/>
      <c r="AC385" s="15">
        <f t="shared" si="22"/>
        <v>0.4</v>
      </c>
      <c r="AD385" s="9"/>
      <c r="AE385" s="15" t="e">
        <f>AA385*#REF!</f>
        <v>#REF!</v>
      </c>
    </row>
    <row r="386" spans="2:31" ht="16.5" hidden="1" customHeight="1" outlineLevel="1" x14ac:dyDescent="0.3">
      <c r="C386" s="78" t="s">
        <v>663</v>
      </c>
      <c r="D386" s="83">
        <v>5389</v>
      </c>
      <c r="E386" s="80">
        <v>0.28000000000000003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0.7</v>
      </c>
      <c r="AB386" s="9"/>
      <c r="AC386" s="15">
        <f t="shared" si="22"/>
        <v>0.19600000000000001</v>
      </c>
      <c r="AD386" s="9"/>
      <c r="AE386" s="15" t="e">
        <f>AA386*#REF!</f>
        <v>#REF!</v>
      </c>
    </row>
    <row r="387" spans="2:31" ht="16.5" hidden="1" customHeight="1" outlineLevel="1" x14ac:dyDescent="0.3">
      <c r="C387" s="78" t="s">
        <v>664</v>
      </c>
      <c r="D387" s="83">
        <v>5453</v>
      </c>
      <c r="E387" s="80">
        <v>0.33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0.7</v>
      </c>
      <c r="AB387" s="9"/>
      <c r="AC387" s="15">
        <f t="shared" si="22"/>
        <v>0.23099999999999998</v>
      </c>
      <c r="AD387" s="9"/>
      <c r="AE387" s="15" t="e">
        <f>AA387*#REF!</f>
        <v>#REF!</v>
      </c>
    </row>
    <row r="388" spans="2:31" ht="16.5" hidden="1" customHeight="1" outlineLevel="1" x14ac:dyDescent="0.3">
      <c r="C388" s="78" t="s">
        <v>665</v>
      </c>
      <c r="D388" s="83">
        <v>7865</v>
      </c>
      <c r="E388" s="80">
        <v>0.4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0.2</v>
      </c>
      <c r="AD388" s="9"/>
      <c r="AE388" s="15" t="e">
        <f>AA388*#REF!</f>
        <v>#REF!</v>
      </c>
    </row>
    <row r="389" spans="2:31" ht="16.5" hidden="1" customHeight="1" outlineLevel="1" x14ac:dyDescent="0.3">
      <c r="C389" s="78" t="s">
        <v>666</v>
      </c>
      <c r="D389" s="83">
        <v>4587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3">
      <c r="C390" s="78" t="s">
        <v>667</v>
      </c>
      <c r="D390" s="83">
        <v>7164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>
        <v>0.5</v>
      </c>
      <c r="AB390" s="9"/>
      <c r="AC390" s="15">
        <f t="shared" si="22"/>
        <v>0.5</v>
      </c>
      <c r="AD390" s="9"/>
      <c r="AE390" s="15" t="e">
        <f>AA390*#REF!</f>
        <v>#REF!</v>
      </c>
    </row>
    <row r="391" spans="2:31" ht="16.5" hidden="1" customHeight="1" outlineLevel="1" x14ac:dyDescent="0.3">
      <c r="C391" s="78" t="s">
        <v>668</v>
      </c>
      <c r="D391" s="83">
        <v>4955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>
        <v>0.5</v>
      </c>
      <c r="AB391" s="9"/>
      <c r="AC391" s="15">
        <f t="shared" si="22"/>
        <v>0.5</v>
      </c>
      <c r="AD391" s="9"/>
      <c r="AE391" s="15" t="e">
        <f>AA391*#REF!</f>
        <v>#REF!</v>
      </c>
    </row>
    <row r="392" spans="2:31" ht="16.5" hidden="1" customHeight="1" outlineLevel="1" x14ac:dyDescent="0.3">
      <c r="C392" s="115" t="s">
        <v>679</v>
      </c>
      <c r="D392" s="116">
        <v>5428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/>
      <c r="AB392" s="9"/>
      <c r="AC392" s="15"/>
      <c r="AD392" s="9"/>
      <c r="AE392" s="15"/>
    </row>
    <row r="393" spans="2:31" ht="16.5" hidden="1" customHeight="1" outlineLevel="1" x14ac:dyDescent="0.3">
      <c r="C393" s="78" t="s">
        <v>680</v>
      </c>
      <c r="D393" s="83">
        <v>8245</v>
      </c>
      <c r="E393" s="80">
        <v>1</v>
      </c>
      <c r="F393" s="14"/>
      <c r="G393" s="22">
        <f t="shared" si="23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5"/>
      <c r="AB393" s="9"/>
      <c r="AC393" s="15"/>
      <c r="AD393" s="9"/>
      <c r="AE393" s="15"/>
    </row>
    <row r="394" spans="2:31" ht="16.5" hidden="1" customHeight="1" outlineLevel="1" thickBot="1" x14ac:dyDescent="0.3">
      <c r="C394" s="79" t="s">
        <v>669</v>
      </c>
      <c r="D394" s="84">
        <v>4956</v>
      </c>
      <c r="E394" s="80">
        <v>1</v>
      </c>
      <c r="F394" s="14"/>
      <c r="G394" s="22">
        <f t="shared" si="23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5">
        <v>1</v>
      </c>
      <c r="AB394" s="9"/>
      <c r="AC394" s="15">
        <f t="shared" si="22"/>
        <v>1</v>
      </c>
      <c r="AD394" s="9"/>
      <c r="AE394" s="15" t="e">
        <f>AA394*#REF!</f>
        <v>#REF!</v>
      </c>
    </row>
    <row r="395" spans="2:31" s="4" customFormat="1" ht="19.5" hidden="1" collapsed="1" thickBot="1" x14ac:dyDescent="0.3">
      <c r="B395" s="72"/>
      <c r="C395" s="23" t="s">
        <v>670</v>
      </c>
      <c r="D395" s="23"/>
      <c r="E395" s="23"/>
      <c r="F395" s="23">
        <f>SUM(F396:F400)</f>
        <v>0</v>
      </c>
      <c r="G395" s="27">
        <f>SUM(G396:G400)</f>
        <v>0</v>
      </c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3"/>
      <c r="Y395" s="103"/>
      <c r="Z395" s="102"/>
      <c r="AA395" s="102"/>
      <c r="AB395" s="102"/>
      <c r="AC395" s="102"/>
      <c r="AD395" s="102"/>
      <c r="AE395" s="102"/>
    </row>
    <row r="396" spans="2:31" ht="16.5" hidden="1" customHeight="1" outlineLevel="1" x14ac:dyDescent="0.3">
      <c r="C396" s="85" t="s">
        <v>671</v>
      </c>
      <c r="D396" s="88"/>
      <c r="E396" s="97">
        <v>0.25</v>
      </c>
      <c r="F396" s="93"/>
      <c r="G396" s="100">
        <f>F396*E396</f>
        <v>0</v>
      </c>
    </row>
    <row r="397" spans="2:31" ht="16.5" hidden="1" customHeight="1" outlineLevel="1" x14ac:dyDescent="0.3">
      <c r="C397" s="86" t="s">
        <v>672</v>
      </c>
      <c r="D397" s="89"/>
      <c r="E397" s="98">
        <v>0.3</v>
      </c>
      <c r="F397" s="94"/>
      <c r="G397" s="22">
        <f t="shared" ref="G397:G400" si="24">F397*E397</f>
        <v>0</v>
      </c>
    </row>
    <row r="398" spans="2:31" ht="16.5" hidden="1" customHeight="1" outlineLevel="1" x14ac:dyDescent="0.3">
      <c r="C398" s="86" t="s">
        <v>673</v>
      </c>
      <c r="D398" s="89"/>
      <c r="E398" s="98">
        <v>0.25</v>
      </c>
      <c r="F398" s="94"/>
      <c r="G398" s="22">
        <f t="shared" si="24"/>
        <v>0</v>
      </c>
    </row>
    <row r="399" spans="2:31" ht="16.5" hidden="1" customHeight="1" outlineLevel="1" x14ac:dyDescent="0.3">
      <c r="C399" s="86" t="s">
        <v>674</v>
      </c>
      <c r="D399" s="89"/>
      <c r="E399" s="98">
        <v>0.25</v>
      </c>
      <c r="F399" s="94"/>
      <c r="G399" s="22">
        <f t="shared" si="24"/>
        <v>0</v>
      </c>
    </row>
    <row r="400" spans="2:31" ht="16.5" hidden="1" customHeight="1" outlineLevel="1" thickBot="1" x14ac:dyDescent="0.3">
      <c r="C400" s="87" t="s">
        <v>675</v>
      </c>
      <c r="D400" s="90"/>
      <c r="E400" s="99">
        <v>0.25</v>
      </c>
      <c r="F400" s="95"/>
      <c r="G400" s="101">
        <f t="shared" si="24"/>
        <v>0</v>
      </c>
    </row>
    <row r="401" spans="3:31" ht="19.5" hidden="1" thickBot="1" x14ac:dyDescent="0.3">
      <c r="C401" s="96"/>
      <c r="D401" s="81"/>
      <c r="E401" s="91"/>
      <c r="F401" s="92">
        <f>F395+F360+F356+F350+F343+F321+F266+F181+F3</f>
        <v>20012</v>
      </c>
      <c r="G401" s="91">
        <f>G395+G360+G356+G350+G343+G321+G266+G181+G3</f>
        <v>18292.400000000001</v>
      </c>
      <c r="AA401" s="24"/>
      <c r="AB401" s="24"/>
      <c r="AC401" s="24"/>
      <c r="AD401" s="24"/>
      <c r="AE401" s="24"/>
    </row>
  </sheetData>
  <autoFilter ref="F1:F401" xr:uid="{2D226B7F-8AE4-43FC-99A3-3BD4226AFFAE}">
    <filterColumn colId="0">
      <filters>
        <filter val="100"/>
        <filter val="1000"/>
        <filter val="150"/>
        <filter val="1500"/>
        <filter val="1640"/>
        <filter val="17512"/>
        <filter val="200"/>
        <filter val="20012"/>
        <filter val="30"/>
        <filter val="300"/>
        <filter val="3000"/>
        <filter val="3500"/>
        <filter val="36"/>
        <filter val="360"/>
        <filter val="4000"/>
        <filter val="420"/>
        <filter val="50"/>
        <filter val="800"/>
        <filter val="840"/>
        <filter val="86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2025-11-24T10:36:45Z</dcterms:modified>
</cp:coreProperties>
</file>