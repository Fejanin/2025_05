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0CE8DC-93EA-473E-B19D-31988758C33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P490" i="2"/>
  <c r="BO489" i="2"/>
  <c r="BM489" i="2"/>
  <c r="Y489" i="2"/>
  <c r="P489" i="2"/>
  <c r="X487" i="2"/>
  <c r="X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Y389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Y376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BO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Y140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D537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509" i="2" l="1"/>
  <c r="Y502" i="2"/>
  <c r="Z501" i="2"/>
  <c r="Z502" i="2" s="1"/>
  <c r="Z495" i="2"/>
  <c r="BN494" i="2"/>
  <c r="BN491" i="2"/>
  <c r="BP490" i="2"/>
  <c r="BN489" i="2"/>
  <c r="BN485" i="2"/>
  <c r="Z485" i="2"/>
  <c r="BN484" i="2"/>
  <c r="BP479" i="2"/>
  <c r="Z479" i="2"/>
  <c r="BN474" i="2"/>
  <c r="BN463" i="2"/>
  <c r="BP453" i="2"/>
  <c r="Z453" i="2"/>
  <c r="Z449" i="2"/>
  <c r="BN446" i="2"/>
  <c r="BP381" i="2"/>
  <c r="BN304" i="2"/>
  <c r="BP444" i="2"/>
  <c r="BN444" i="2"/>
  <c r="Z444" i="2"/>
  <c r="BN438" i="2"/>
  <c r="Z437" i="2"/>
  <c r="BN436" i="2"/>
  <c r="Y434" i="2"/>
  <c r="Y433" i="2"/>
  <c r="BN432" i="2"/>
  <c r="BN427" i="2"/>
  <c r="Z412" i="2"/>
  <c r="BN407" i="2"/>
  <c r="BP406" i="2"/>
  <c r="Z406" i="2"/>
  <c r="BN404" i="2"/>
  <c r="Z402" i="2"/>
  <c r="Y395" i="2"/>
  <c r="BN394" i="2"/>
  <c r="BP392" i="2"/>
  <c r="Z365" i="2"/>
  <c r="BN361" i="2"/>
  <c r="BP360" i="2"/>
  <c r="BN360" i="2"/>
  <c r="Z360" i="2"/>
  <c r="BP359" i="2"/>
  <c r="Z359" i="2"/>
  <c r="Z358" i="2"/>
  <c r="BN355" i="2"/>
  <c r="BN351" i="2"/>
  <c r="BP350" i="2"/>
  <c r="BN350" i="2"/>
  <c r="Z350" i="2"/>
  <c r="BP349" i="2"/>
  <c r="Z349" i="2"/>
  <c r="Z348" i="2"/>
  <c r="BP347" i="2"/>
  <c r="BN340" i="2"/>
  <c r="BP339" i="2"/>
  <c r="BN339" i="2"/>
  <c r="Z339" i="2"/>
  <c r="BN334" i="2"/>
  <c r="BN326" i="2"/>
  <c r="Z325" i="2"/>
  <c r="BN319" i="2"/>
  <c r="Z312" i="2"/>
  <c r="BP304" i="2"/>
  <c r="Y295" i="2"/>
  <c r="BP288" i="2"/>
  <c r="Z283" i="2"/>
  <c r="Z277" i="2"/>
  <c r="Z273" i="2"/>
  <c r="BN272" i="2"/>
  <c r="BP271" i="2"/>
  <c r="Z271" i="2"/>
  <c r="BP270" i="2"/>
  <c r="Z270" i="2"/>
  <c r="Z268" i="2"/>
  <c r="Z267" i="2"/>
  <c r="Z265" i="2"/>
  <c r="Z262" i="2"/>
  <c r="Z257" i="2"/>
  <c r="BN255" i="2"/>
  <c r="Z255" i="2"/>
  <c r="BP254" i="2"/>
  <c r="Z254" i="2"/>
  <c r="Z252" i="2"/>
  <c r="Z247" i="2"/>
  <c r="BP241" i="2"/>
  <c r="BN241" i="2"/>
  <c r="Z241" i="2"/>
  <c r="BP231" i="2"/>
  <c r="BN231" i="2"/>
  <c r="Z231" i="2"/>
  <c r="Z380" i="2"/>
  <c r="BN379" i="2"/>
  <c r="BP303" i="2"/>
  <c r="Z220" i="2"/>
  <c r="BN219" i="2"/>
  <c r="BP218" i="2"/>
  <c r="BN218" i="2"/>
  <c r="Z218" i="2"/>
  <c r="BP217" i="2"/>
  <c r="Z217" i="2"/>
  <c r="Z214" i="2"/>
  <c r="BN211" i="2"/>
  <c r="Z208" i="2"/>
  <c r="BN198" i="2"/>
  <c r="BP186" i="2"/>
  <c r="BN186" i="2"/>
  <c r="Z186" i="2"/>
  <c r="BN181" i="2"/>
  <c r="Z179" i="2"/>
  <c r="Z175" i="2"/>
  <c r="BN174" i="2"/>
  <c r="BP173" i="2"/>
  <c r="Z173" i="2"/>
  <c r="Z169" i="2"/>
  <c r="BN167" i="2"/>
  <c r="BN166" i="2"/>
  <c r="Y164" i="2"/>
  <c r="Y163" i="2"/>
  <c r="BN162" i="2"/>
  <c r="BN158" i="2"/>
  <c r="Z108" i="2"/>
  <c r="BN107" i="2"/>
  <c r="Z106" i="2"/>
  <c r="BN104" i="2"/>
  <c r="Z102" i="2"/>
  <c r="Z95" i="2"/>
  <c r="Z82" i="2"/>
  <c r="BP374" i="2"/>
  <c r="Z374" i="2"/>
  <c r="Z372" i="2"/>
  <c r="Z303" i="2"/>
  <c r="Z151" i="2"/>
  <c r="BN149" i="2"/>
  <c r="Z149" i="2"/>
  <c r="BN143" i="2"/>
  <c r="Z143" i="2"/>
  <c r="Z145" i="2" s="1"/>
  <c r="BN138" i="2"/>
  <c r="BN134" i="2"/>
  <c r="BN128" i="2"/>
  <c r="BN124" i="2"/>
  <c r="Z122" i="2"/>
  <c r="BN116" i="2"/>
  <c r="Z116" i="2"/>
  <c r="BP115" i="2"/>
  <c r="Z115" i="2"/>
  <c r="Z112" i="2"/>
  <c r="Z97" i="2"/>
  <c r="BN96" i="2"/>
  <c r="Z368" i="2"/>
  <c r="BP77" i="2"/>
  <c r="Z72" i="2"/>
  <c r="BN70" i="2"/>
  <c r="BN65" i="2"/>
  <c r="Z64" i="2"/>
  <c r="BN63" i="2"/>
  <c r="Z62" i="2"/>
  <c r="BN60" i="2"/>
  <c r="BN54" i="2"/>
  <c r="Z53" i="2"/>
  <c r="BN52" i="2"/>
  <c r="Z51" i="2"/>
  <c r="BN44" i="2"/>
  <c r="Z44" i="2"/>
  <c r="BN42" i="2"/>
  <c r="Z36" i="2"/>
  <c r="Z37" i="2" s="1"/>
  <c r="Z31" i="2"/>
  <c r="BP30" i="2"/>
  <c r="BN28" i="2"/>
  <c r="BP23" i="2"/>
  <c r="Z23" i="2"/>
  <c r="X528" i="2"/>
  <c r="BN471" i="2"/>
  <c r="Y466" i="2"/>
  <c r="Z465" i="2"/>
  <c r="Y455" i="2"/>
  <c r="BN454" i="2"/>
  <c r="Y456" i="2"/>
  <c r="BN453" i="2"/>
  <c r="BN449" i="2"/>
  <c r="BN393" i="2"/>
  <c r="Z392" i="2"/>
  <c r="BN386" i="2"/>
  <c r="Z304" i="2"/>
  <c r="Z301" i="2"/>
  <c r="Y298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Z135" i="2" s="1"/>
  <c r="Y146" i="2"/>
  <c r="Z157" i="2"/>
  <c r="BN179" i="2"/>
  <c r="BN204" i="2"/>
  <c r="Y227" i="2"/>
  <c r="BP236" i="2"/>
  <c r="Y314" i="2"/>
  <c r="Z333" i="2"/>
  <c r="Z335" i="2" s="1"/>
  <c r="Z387" i="2"/>
  <c r="Z388" i="2" s="1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187" i="2" s="1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24" i="2" l="1"/>
  <c r="Z176" i="2"/>
  <c r="Z227" i="2"/>
  <c r="Z182" i="2"/>
  <c r="Z222" i="2"/>
  <c r="Z274" i="2"/>
  <c r="Z290" i="2"/>
  <c r="X530" i="2"/>
  <c r="Z466" i="2"/>
  <c r="Z520" i="2"/>
  <c r="Z153" i="2"/>
  <c r="Z419" i="2"/>
  <c r="Z83" i="2"/>
  <c r="Z140" i="2"/>
  <c r="Z408" i="2"/>
  <c r="Z305" i="2"/>
  <c r="Z330" i="2"/>
  <c r="Z375" i="2"/>
  <c r="Z382" i="2"/>
  <c r="Z369" i="2"/>
  <c r="Z429" i="2"/>
  <c r="Z439" i="2"/>
  <c r="Z450" i="2"/>
  <c r="Z248" i="2"/>
  <c r="Z279" i="2"/>
  <c r="Z395" i="2"/>
  <c r="Z414" i="2"/>
  <c r="Z455" i="2"/>
  <c r="Z511" i="2"/>
  <c r="Z91" i="2"/>
  <c r="Z55" i="2"/>
  <c r="Z98" i="2"/>
  <c r="Z200" i="2"/>
  <c r="Z243" i="2"/>
  <c r="Z496" i="2"/>
  <c r="Z159" i="2"/>
  <c r="Z362" i="2"/>
  <c r="Z66" i="2"/>
  <c r="Z10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<sst xmlns="http://schemas.openxmlformats.org/spreadsheetml/2006/main" count="3956" uniqueCount="844">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</sst>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A510" zoomScale="82" zoomScaleNormal="82" zoomScaleSheetLayoutView="100" workbookViewId="0">
      <selection activeCell="AC533" sqref="AC5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/>
      <c r="I5" s="935"/>
      <c r="J5" s="935"/>
      <c r="K5" s="935"/>
      <c r="L5" s="935"/>
      <c r="M5" s="935"/>
      <c r="N5" s="69"/>
      <c r="P5" s="26" t="s">
        <v>4</v>
      </c>
      <c r="Q5" s="937">
        <v>46205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827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Четверг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3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0.41666666666666669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0</v>
      </c>
      <c r="Y408" s="41">
        <f>IFERROR(Y400/H400,"0")+IFERROR(Y401/H401,"0")+IFERROR(Y402/H402,"0")+IFERROR(Y403/H403,"0")+IFERROR(Y404/H404,"0")+IFERROR(Y405/H405,"0")+IFERROR(Y406/H406,"0")+IFERROR(Y407/H407,"0")</f>
        <v>0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0</v>
      </c>
      <c r="Y409" s="41">
        <f>IFERROR(SUM(Y400:Y407),"0")</f>
        <v>0</v>
      </c>
      <c r="Z409" s="40"/>
      <c r="AA409" s="64"/>
      <c r="AB409" s="64"/>
      <c r="AC409" s="64"/>
    </row>
    <row r="410" spans="1:68" ht="14.25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4.25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3500</v>
      </c>
      <c r="Y436" s="53">
        <f>IFERROR(IF(X436="",0,CEILING((X436/$H436),1)*$H436),"")</f>
        <v>3501</v>
      </c>
      <c r="Z436" s="39">
        <f>IFERROR(IF(Y436=0,"",ROUNDUP(Y436/H436,0)*0.01898),"")</f>
        <v>7.3832200000000006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3692.1111111111113</v>
      </c>
      <c r="BN436" s="75">
        <f>IFERROR(Y436*I436/H436,"0")</f>
        <v>3693.1659999999997</v>
      </c>
      <c r="BO436" s="75">
        <f>IFERROR(1/J436*(X436/H436),"0")</f>
        <v>6.0763888888888893</v>
      </c>
      <c r="BP436" s="75">
        <f>IFERROR(1/J436*(Y436/H436),"0")</f>
        <v>6.078125</v>
      </c>
    </row>
    <row r="437" spans="1:68" ht="27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388.88888888888891</v>
      </c>
      <c r="Y439" s="41">
        <f>IFERROR(Y436/H436,"0")+IFERROR(Y437/H437,"0")+IFERROR(Y438/H438,"0")</f>
        <v>389</v>
      </c>
      <c r="Z439" s="41">
        <f>IFERROR(IF(Z436="",0,Z436),"0")+IFERROR(IF(Z437="",0,Z437),"0")+IFERROR(IF(Z438="",0,Z438),"0")</f>
        <v>7.3832200000000006</v>
      </c>
      <c r="AA439" s="64"/>
      <c r="AB439" s="64"/>
      <c r="AC439" s="64"/>
    </row>
    <row r="440" spans="1:68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3500</v>
      </c>
      <c r="Y440" s="41">
        <f>IFERROR(SUM(Y436:Y438),"0")</f>
        <v>3501</v>
      </c>
      <c r="Z440" s="40"/>
      <c r="AA440" s="64"/>
      <c r="AB440" s="64"/>
      <c r="AC440" s="64"/>
    </row>
    <row r="441" spans="1:68" ht="27.75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1200</v>
      </c>
      <c r="Y474" s="53">
        <f t="shared" si="67"/>
        <v>1203.8400000000001</v>
      </c>
      <c r="Z474" s="39">
        <f t="shared" si="68"/>
        <v>2.72688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1279.5454545454545</v>
      </c>
      <c r="BN474" s="75">
        <f t="shared" si="70"/>
        <v>1283.6400000000001</v>
      </c>
      <c r="BO474" s="75">
        <f t="shared" si="71"/>
        <v>2.1853146853146854</v>
      </c>
      <c r="BP474" s="75">
        <f t="shared" si="72"/>
        <v>2.1923076923076925</v>
      </c>
    </row>
    <row r="475" spans="1:68" ht="16.5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1500</v>
      </c>
      <c r="Y476" s="53">
        <f t="shared" si="67"/>
        <v>1504.8000000000002</v>
      </c>
      <c r="Z476" s="39">
        <f t="shared" si="68"/>
        <v>3.4085999999999999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1599.431818181818</v>
      </c>
      <c r="BN476" s="75">
        <f t="shared" si="70"/>
        <v>1604.5500000000002</v>
      </c>
      <c r="BO476" s="75">
        <f t="shared" si="71"/>
        <v>2.7316433566433567</v>
      </c>
      <c r="BP476" s="75">
        <f t="shared" si="72"/>
        <v>2.7403846153846154</v>
      </c>
    </row>
    <row r="477" spans="1:68" ht="27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511.36363636363632</v>
      </c>
      <c r="Y480" s="41">
        <f>IFERROR(Y471/H471,"0")+IFERROR(Y472/H472,"0")+IFERROR(Y473/H473,"0")+IFERROR(Y474/H474,"0")+IFERROR(Y475/H475,"0")+IFERROR(Y476/H476,"0")+IFERROR(Y477/H477,"0")+IFERROR(Y478/H478,"0")+IFERROR(Y479/H479,"0")</f>
        <v>513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6.1354799999999994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2700</v>
      </c>
      <c r="Y481" s="41">
        <f>IFERROR(SUM(Y471:Y479),"0")</f>
        <v>2708.6400000000003</v>
      </c>
      <c r="Z481" s="40"/>
      <c r="AA481" s="64"/>
      <c r="AB481" s="64"/>
      <c r="AC481" s="64"/>
    </row>
    <row r="482" spans="1:68" ht="14.25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6200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6209.64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6571.0883838383834</v>
      </c>
      <c r="Y528" s="41">
        <f>IFERROR(SUM(BN22:BN524),"0")</f>
        <v>6581.3559999999998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11</v>
      </c>
      <c r="Y529" s="42">
        <f>ROUNDUP(SUM(BP22:BP524),0)</f>
        <v>12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6846.0883838383834</v>
      </c>
      <c r="Y530" s="41">
        <f>GrossWeightTotalR+PalletQtyTotalR*25</f>
        <v>6881.3559999999998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900.25252525252517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902</v>
      </c>
      <c r="Z531" s="40"/>
      <c r="AA531" s="64"/>
      <c r="AB531" s="64"/>
      <c r="AC531" s="64"/>
    </row>
    <row r="532" spans="1:32" ht="14.25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13.518699999999999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0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0</v>
      </c>
      <c r="W537" s="50">
        <f>IFERROR(Y427*1,"0")+IFERROR(Y428*1,"0")+IFERROR(Y432*1,"0")+IFERROR(Y436*1,"0")+IFERROR(Y437*1,"0")+IFERROR(Y438*1,"0")</f>
        <v>3501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2708.6400000000003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2026-06-27T06:25:32Z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