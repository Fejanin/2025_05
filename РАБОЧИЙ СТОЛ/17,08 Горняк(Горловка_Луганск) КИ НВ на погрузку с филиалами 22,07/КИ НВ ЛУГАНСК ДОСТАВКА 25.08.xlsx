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BDFFDF7-26CC-4D3F-8160-B8744667521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<sst xmlns="http://schemas.openxmlformats.org/spreadsheetml/2006/main" count="3643" uniqueCount="787">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</sst>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64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/>
      <c r="I5" s="554"/>
      <c r="J5" s="554"/>
      <c r="K5" s="554"/>
      <c r="L5" s="554"/>
      <c r="M5" s="554"/>
      <c r="N5" s="69"/>
      <c r="P5" s="26" t="s">
        <v>4</v>
      </c>
      <c r="Q5" s="556"/>
      <c r="R5" s="556"/>
      <c r="T5" s="557" t="s">
        <v>3</v>
      </c>
      <c r="U5" s="558"/>
      <c r="V5" s="559" t="s">
        <v>750</v>
      </c>
      <c r="W5" s="560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70"/>
      <c r="P6" s="26" t="s">
        <v>27</v>
      </c>
      <c r="Q6" s="562" t="str">
        <f>IF(Q5=0," ",CHOOSE(WEEKDAY(Q5,2),"Понедельник","Вторник","Среда","Четверг","Пятница","Суббота","Воскресенье"))</f>
        <v xml:space="preserve"> </v>
      </c>
      <c r="R6" s="562"/>
      <c r="T6" s="563" t="s">
        <v>5</v>
      </c>
      <c r="U6" s="564"/>
      <c r="V6" s="565" t="s">
        <v>69</v>
      </c>
      <c r="W6" s="5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1">
        <f>IFERROR(VLOOKUP(DeliveryAddress,Table,3,0),1)</f>
        <v>1</v>
      </c>
      <c r="E7" s="572"/>
      <c r="F7" s="572"/>
      <c r="G7" s="572"/>
      <c r="H7" s="572"/>
      <c r="I7" s="572"/>
      <c r="J7" s="572"/>
      <c r="K7" s="572"/>
      <c r="L7" s="572"/>
      <c r="M7" s="573"/>
      <c r="N7" s="71"/>
      <c r="P7" s="26"/>
      <c r="Q7" s="46"/>
      <c r="R7" s="46"/>
      <c r="T7" s="563"/>
      <c r="U7" s="564"/>
      <c r="V7" s="567"/>
      <c r="W7" s="568"/>
      <c r="AB7" s="57"/>
      <c r="AC7" s="57"/>
      <c r="AD7" s="57"/>
      <c r="AE7" s="57"/>
    </row>
    <row r="8" spans="1:32" s="17" customFormat="1" ht="25.5" customHeight="1" x14ac:dyDescent="0.2">
      <c r="A8" s="574" t="s">
        <v>57</v>
      </c>
      <c r="B8" s="574"/>
      <c r="C8" s="574"/>
      <c r="D8" s="575"/>
      <c r="E8" s="575"/>
      <c r="F8" s="575"/>
      <c r="G8" s="575"/>
      <c r="H8" s="575"/>
      <c r="I8" s="575"/>
      <c r="J8" s="575"/>
      <c r="K8" s="575"/>
      <c r="L8" s="575"/>
      <c r="M8" s="575"/>
      <c r="N8" s="72"/>
      <c r="P8" s="26" t="s">
        <v>11</v>
      </c>
      <c r="Q8" s="576"/>
      <c r="R8" s="576"/>
      <c r="T8" s="563"/>
      <c r="U8" s="564"/>
      <c r="V8" s="567"/>
      <c r="W8" s="568"/>
      <c r="AB8" s="57"/>
      <c r="AC8" s="57"/>
      <c r="AD8" s="57"/>
      <c r="AE8" s="57"/>
    </row>
    <row r="9" spans="1:32" s="17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7"/>
      <c r="C9" s="577"/>
      <c r="D9" s="578" t="s">
        <v>45</v>
      </c>
      <c r="E9" s="579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7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0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0"/>
      <c r="L9" s="580"/>
      <c r="M9" s="580"/>
      <c r="N9" s="67"/>
      <c r="P9" s="29" t="s">
        <v>15</v>
      </c>
      <c r="Q9" s="581">
        <v>46259</v>
      </c>
      <c r="R9" s="581"/>
      <c r="T9" s="563"/>
      <c r="U9" s="564"/>
      <c r="V9" s="569"/>
      <c r="W9" s="5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7"/>
      <c r="C10" s="577"/>
      <c r="D10" s="578"/>
      <c r="E10" s="579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7"/>
      <c r="H10" s="582" t="str">
        <f>IFERROR(VLOOKUP($D$10,Proxy,2,FALSE),"")</f>
        <v/>
      </c>
      <c r="I10" s="582"/>
      <c r="J10" s="582"/>
      <c r="K10" s="582"/>
      <c r="L10" s="582"/>
      <c r="M10" s="582"/>
      <c r="N10" s="68"/>
      <c r="P10" s="29" t="s">
        <v>32</v>
      </c>
      <c r="Q10" s="583">
        <v>0.54166666666666663</v>
      </c>
      <c r="R10" s="583"/>
      <c r="U10" s="26" t="s">
        <v>12</v>
      </c>
      <c r="V10" s="584" t="s">
        <v>70</v>
      </c>
      <c r="W10" s="5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6"/>
      <c r="R11" s="586"/>
      <c r="U11" s="26" t="s">
        <v>28</v>
      </c>
      <c r="V11" s="587" t="s">
        <v>54</v>
      </c>
      <c r="W11" s="5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8" t="s">
        <v>71</v>
      </c>
      <c r="B12" s="588"/>
      <c r="C12" s="588"/>
      <c r="D12" s="588"/>
      <c r="E12" s="588"/>
      <c r="F12" s="588"/>
      <c r="G12" s="588"/>
      <c r="H12" s="588"/>
      <c r="I12" s="588"/>
      <c r="J12" s="588"/>
      <c r="K12" s="588"/>
      <c r="L12" s="588"/>
      <c r="M12" s="588"/>
      <c r="N12" s="73"/>
      <c r="P12" s="26" t="s">
        <v>30</v>
      </c>
      <c r="Q12" s="576"/>
      <c r="R12" s="576"/>
      <c r="S12" s="27"/>
      <c r="T12"/>
      <c r="U12" s="26" t="s">
        <v>45</v>
      </c>
      <c r="V12" s="589"/>
      <c r="W12" s="589"/>
      <c r="X12"/>
      <c r="AB12" s="57"/>
      <c r="AC12" s="57"/>
      <c r="AD12" s="57"/>
      <c r="AE12" s="57"/>
    </row>
    <row r="13" spans="1:32" s="17" customFormat="1" ht="23.25" customHeight="1" x14ac:dyDescent="0.2">
      <c r="A13" s="588" t="s">
        <v>72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73"/>
      <c r="O13" s="29"/>
      <c r="P13" s="29" t="s">
        <v>31</v>
      </c>
      <c r="Q13" s="587"/>
      <c r="R13" s="5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8" t="s">
        <v>73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0" t="s">
        <v>74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74"/>
      <c r="O15"/>
      <c r="P15" s="591" t="s">
        <v>60</v>
      </c>
      <c r="Q15" s="591"/>
      <c r="R15" s="591"/>
      <c r="S15" s="591"/>
      <c r="T15" s="5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2"/>
      <c r="Q16" s="592"/>
      <c r="R16" s="592"/>
      <c r="S16" s="592"/>
      <c r="T16" s="5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5" t="s">
        <v>58</v>
      </c>
      <c r="B17" s="595" t="s">
        <v>48</v>
      </c>
      <c r="C17" s="597" t="s">
        <v>47</v>
      </c>
      <c r="D17" s="599" t="s">
        <v>49</v>
      </c>
      <c r="E17" s="600"/>
      <c r="F17" s="595" t="s">
        <v>21</v>
      </c>
      <c r="G17" s="595" t="s">
        <v>24</v>
      </c>
      <c r="H17" s="595" t="s">
        <v>22</v>
      </c>
      <c r="I17" s="595" t="s">
        <v>23</v>
      </c>
      <c r="J17" s="595" t="s">
        <v>16</v>
      </c>
      <c r="K17" s="595" t="s">
        <v>65</v>
      </c>
      <c r="L17" s="595" t="s">
        <v>63</v>
      </c>
      <c r="M17" s="595" t="s">
        <v>2</v>
      </c>
      <c r="N17" s="595" t="s">
        <v>62</v>
      </c>
      <c r="O17" s="595" t="s">
        <v>25</v>
      </c>
      <c r="P17" s="599" t="s">
        <v>17</v>
      </c>
      <c r="Q17" s="603"/>
      <c r="R17" s="603"/>
      <c r="S17" s="603"/>
      <c r="T17" s="600"/>
      <c r="U17" s="593" t="s">
        <v>55</v>
      </c>
      <c r="V17" s="594"/>
      <c r="W17" s="595" t="s">
        <v>6</v>
      </c>
      <c r="X17" s="595" t="s">
        <v>41</v>
      </c>
      <c r="Y17" s="605" t="s">
        <v>53</v>
      </c>
      <c r="Z17" s="607" t="s">
        <v>18</v>
      </c>
      <c r="AA17" s="609" t="s">
        <v>59</v>
      </c>
      <c r="AB17" s="609" t="s">
        <v>19</v>
      </c>
      <c r="AC17" s="609" t="s">
        <v>64</v>
      </c>
      <c r="AD17" s="611" t="s">
        <v>56</v>
      </c>
      <c r="AE17" s="612"/>
      <c r="AF17" s="613"/>
      <c r="AG17" s="77"/>
      <c r="BD17" s="76" t="s">
        <v>61</v>
      </c>
    </row>
    <row r="18" spans="1:68" ht="14.25" customHeight="1" x14ac:dyDescent="0.2">
      <c r="A18" s="596"/>
      <c r="B18" s="596"/>
      <c r="C18" s="598"/>
      <c r="D18" s="601"/>
      <c r="E18" s="602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01"/>
      <c r="Q18" s="604"/>
      <c r="R18" s="604"/>
      <c r="S18" s="604"/>
      <c r="T18" s="602"/>
      <c r="U18" s="78" t="s">
        <v>44</v>
      </c>
      <c r="V18" s="78" t="s">
        <v>43</v>
      </c>
      <c r="W18" s="596"/>
      <c r="X18" s="596"/>
      <c r="Y18" s="606"/>
      <c r="Z18" s="608"/>
      <c r="AA18" s="610"/>
      <c r="AB18" s="610"/>
      <c r="AC18" s="610"/>
      <c r="AD18" s="614"/>
      <c r="AE18" s="615"/>
      <c r="AF18" s="616"/>
      <c r="AG18" s="77"/>
      <c r="BD18" s="76"/>
    </row>
    <row r="19" spans="1:68" ht="27.75" customHeight="1" x14ac:dyDescent="0.2">
      <c r="A19" s="617" t="s">
        <v>75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customHeight="1" x14ac:dyDescent="0.25">
      <c r="A20" s="618" t="s">
        <v>75</v>
      </c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618"/>
      <c r="V20" s="618"/>
      <c r="W20" s="618"/>
      <c r="X20" s="618"/>
      <c r="Y20" s="618"/>
      <c r="Z20" s="618"/>
      <c r="AA20" s="62"/>
      <c r="AB20" s="62"/>
      <c r="AC20" s="62"/>
    </row>
    <row r="21" spans="1:68" ht="14.25" customHeight="1" x14ac:dyDescent="0.25">
      <c r="A21" s="619" t="s">
        <v>76</v>
      </c>
      <c r="B21" s="619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620">
        <v>4680115887510</v>
      </c>
      <c r="E22" s="62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2"/>
      <c r="R22" s="622"/>
      <c r="S22" s="622"/>
      <c r="T22" s="62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620">
        <v>4680115886643</v>
      </c>
      <c r="E23" s="62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2"/>
      <c r="R23" s="622"/>
      <c r="S23" s="622"/>
      <c r="T23" s="62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19" t="s">
        <v>86</v>
      </c>
      <c r="B26" s="619"/>
      <c r="C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20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620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620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620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620">
        <v>4680115887657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2"/>
      <c r="R31" s="622"/>
      <c r="S31" s="622"/>
      <c r="T31" s="623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620">
        <v>4680115887619</v>
      </c>
      <c r="E32" s="62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2"/>
      <c r="R32" s="622"/>
      <c r="S32" s="622"/>
      <c r="T32" s="623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19" t="s">
        <v>106</v>
      </c>
      <c r="B35" s="619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620">
        <v>4607091388503</v>
      </c>
      <c r="E36" s="62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2"/>
      <c r="R36" s="622"/>
      <c r="S36" s="622"/>
      <c r="T36" s="623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17" t="s">
        <v>112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52"/>
      <c r="AB39" s="52"/>
      <c r="AC39" s="52"/>
    </row>
    <row r="40" spans="1:68" ht="16.5" customHeight="1" x14ac:dyDescent="0.25">
      <c r="A40" s="618" t="s">
        <v>113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2"/>
      <c r="AB40" s="62"/>
      <c r="AC40" s="62"/>
    </row>
    <row r="41" spans="1:68" ht="14.25" customHeight="1" x14ac:dyDescent="0.25">
      <c r="A41" s="619" t="s">
        <v>114</v>
      </c>
      <c r="B41" s="619"/>
      <c r="C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0">
        <v>4607091385670</v>
      </c>
      <c r="E42" s="620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2"/>
      <c r="R42" s="622"/>
      <c r="S42" s="622"/>
      <c r="T42" s="623"/>
      <c r="U42" s="37" t="s">
        <v>45</v>
      </c>
      <c r="V42" s="37" t="s">
        <v>45</v>
      </c>
      <c r="W42" s="38" t="s">
        <v>0</v>
      </c>
      <c r="X42" s="56">
        <v>691.2</v>
      </c>
      <c r="Y42" s="53">
        <f>IFERROR(IF(X42="",0,CEILING((X42/$H42),1)*$H42),"")</f>
        <v>691.2</v>
      </c>
      <c r="Z42" s="39">
        <f>IFERROR(IF(Y42=0,"",ROUNDUP(Y42/H42,0)*0.01898),"")</f>
        <v>1.21472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717.44</v>
      </c>
      <c r="BN42" s="75">
        <f>IFERROR(Y42*I42/H42,"0")</f>
        <v>717.44</v>
      </c>
      <c r="BO42" s="75">
        <f>IFERROR(1/J42*(X42/H42),"0")</f>
        <v>1</v>
      </c>
      <c r="BP42" s="75">
        <f>IFERROR(1/J42*(Y42/H42),"0")</f>
        <v>1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620">
        <v>4680115882539</v>
      </c>
      <c r="E43" s="62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2"/>
      <c r="R43" s="622"/>
      <c r="S43" s="622"/>
      <c r="T43" s="623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620">
        <v>4607091385687</v>
      </c>
      <c r="E44" s="620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2"/>
      <c r="R44" s="622"/>
      <c r="S44" s="622"/>
      <c r="T44" s="62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28"/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8"/>
      <c r="N45" s="628"/>
      <c r="O45" s="629"/>
      <c r="P45" s="625" t="s">
        <v>40</v>
      </c>
      <c r="Q45" s="626"/>
      <c r="R45" s="626"/>
      <c r="S45" s="626"/>
      <c r="T45" s="626"/>
      <c r="U45" s="626"/>
      <c r="V45" s="627"/>
      <c r="W45" s="40" t="s">
        <v>39</v>
      </c>
      <c r="X45" s="41">
        <f>IFERROR(X42/H42,"0")+IFERROR(X43/H43,"0")+IFERROR(X44/H44,"0")</f>
        <v>64</v>
      </c>
      <c r="Y45" s="41">
        <f>IFERROR(Y42/H42,"0")+IFERROR(Y43/H43,"0")+IFERROR(Y44/H44,"0")</f>
        <v>64</v>
      </c>
      <c r="Z45" s="41">
        <f>IFERROR(IF(Z42="",0,Z42),"0")+IFERROR(IF(Z43="",0,Z43),"0")+IFERROR(IF(Z44="",0,Z44),"0")</f>
        <v>1.21472</v>
      </c>
      <c r="AA45" s="64"/>
      <c r="AB45" s="64"/>
      <c r="AC45" s="64"/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0" t="s">
        <v>0</v>
      </c>
      <c r="X46" s="41">
        <f>IFERROR(SUM(X42:X44),"0")</f>
        <v>691.2</v>
      </c>
      <c r="Y46" s="41">
        <f>IFERROR(SUM(Y42:Y44),"0")</f>
        <v>691.2</v>
      </c>
      <c r="Z46" s="40"/>
      <c r="AA46" s="64"/>
      <c r="AB46" s="64"/>
      <c r="AC46" s="64"/>
    </row>
    <row r="47" spans="1:68" ht="14.25" customHeight="1" x14ac:dyDescent="0.25">
      <c r="A47" s="619" t="s">
        <v>86</v>
      </c>
      <c r="B47" s="619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620">
        <v>4680115884915</v>
      </c>
      <c r="E48" s="620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2"/>
      <c r="R48" s="622"/>
      <c r="S48" s="622"/>
      <c r="T48" s="623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628"/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9"/>
      <c r="P49" s="625" t="s">
        <v>40</v>
      </c>
      <c r="Q49" s="626"/>
      <c r="R49" s="626"/>
      <c r="S49" s="626"/>
      <c r="T49" s="626"/>
      <c r="U49" s="626"/>
      <c r="V49" s="627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618" t="s">
        <v>128</v>
      </c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2"/>
      <c r="AB51" s="62"/>
      <c r="AC51" s="62"/>
    </row>
    <row r="52" spans="1:68" ht="14.25" customHeight="1" x14ac:dyDescent="0.25">
      <c r="A52" s="619" t="s">
        <v>114</v>
      </c>
      <c r="B52" s="619"/>
      <c r="C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0">
        <v>4680115885882</v>
      </c>
      <c r="E53" s="620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2"/>
      <c r="R53" s="622"/>
      <c r="S53" s="622"/>
      <c r="T53" s="623"/>
      <c r="U53" s="37" t="s">
        <v>45</v>
      </c>
      <c r="V53" s="37" t="s">
        <v>45</v>
      </c>
      <c r="W53" s="38" t="s">
        <v>0</v>
      </c>
      <c r="X53" s="56">
        <v>268.8</v>
      </c>
      <c r="Y53" s="53">
        <f t="shared" ref="Y53:Y58" si="6">IFERROR(IF(X53="",0,CEILING((X53/$H53),1)*$H53),"")</f>
        <v>268.79999999999995</v>
      </c>
      <c r="Z53" s="39">
        <f>IFERROR(IF(Y53=0,"",ROUNDUP(Y53/H53,0)*0.01898),"")</f>
        <v>0.45552000000000004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278.64000000000004</v>
      </c>
      <c r="BN53" s="75">
        <f t="shared" ref="BN53:BN58" si="8">IFERROR(Y53*I53/H53,"0")</f>
        <v>278.63999999999993</v>
      </c>
      <c r="BO53" s="75">
        <f t="shared" ref="BO53:BO58" si="9">IFERROR(1/J53*(X53/H53),"0")</f>
        <v>0.37500000000000006</v>
      </c>
      <c r="BP53" s="75">
        <f t="shared" ref="BP53:BP58" si="10">IFERROR(1/J53*(Y53/H53),"0")</f>
        <v>0.37499999999999994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0">
        <v>4680115881426</v>
      </c>
      <c r="E54" s="620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2"/>
      <c r="R54" s="622"/>
      <c r="S54" s="622"/>
      <c r="T54" s="623"/>
      <c r="U54" s="37" t="s">
        <v>45</v>
      </c>
      <c r="V54" s="37" t="s">
        <v>45</v>
      </c>
      <c r="W54" s="38" t="s">
        <v>0</v>
      </c>
      <c r="X54" s="56">
        <v>518.4</v>
      </c>
      <c r="Y54" s="53">
        <f t="shared" si="6"/>
        <v>518.40000000000009</v>
      </c>
      <c r="Z54" s="39">
        <f>IFERROR(IF(Y54=0,"",ROUNDUP(Y54/H54,0)*0.01898),"")</f>
        <v>0.91104000000000007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538.07999999999993</v>
      </c>
      <c r="BN54" s="75">
        <f t="shared" si="8"/>
        <v>538.08000000000004</v>
      </c>
      <c r="BO54" s="75">
        <f t="shared" si="9"/>
        <v>0.74999999999999989</v>
      </c>
      <c r="BP54" s="75">
        <f t="shared" si="10"/>
        <v>0.75000000000000011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620">
        <v>4680115880283</v>
      </c>
      <c r="E55" s="620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2"/>
      <c r="R55" s="622"/>
      <c r="S55" s="622"/>
      <c r="T55" s="62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620">
        <v>4680115881525</v>
      </c>
      <c r="E56" s="620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2"/>
      <c r="R56" s="622"/>
      <c r="S56" s="622"/>
      <c r="T56" s="62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620">
        <v>4680115885899</v>
      </c>
      <c r="E57" s="620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2"/>
      <c r="R57" s="622"/>
      <c r="S57" s="622"/>
      <c r="T57" s="623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620">
        <v>4680115881419</v>
      </c>
      <c r="E58" s="620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2"/>
      <c r="R58" s="622"/>
      <c r="S58" s="622"/>
      <c r="T58" s="623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28"/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9"/>
      <c r="P59" s="625" t="s">
        <v>40</v>
      </c>
      <c r="Q59" s="626"/>
      <c r="R59" s="626"/>
      <c r="S59" s="626"/>
      <c r="T59" s="626"/>
      <c r="U59" s="626"/>
      <c r="V59" s="627"/>
      <c r="W59" s="40" t="s">
        <v>39</v>
      </c>
      <c r="X59" s="41">
        <f>IFERROR(X53/H53,"0")+IFERROR(X54/H54,"0")+IFERROR(X55/H55,"0")+IFERROR(X56/H56,"0")+IFERROR(X57/H57,"0")+IFERROR(X58/H58,"0")</f>
        <v>72</v>
      </c>
      <c r="Y59" s="41">
        <f>IFERROR(Y53/H53,"0")+IFERROR(Y54/H54,"0")+IFERROR(Y55/H55,"0")+IFERROR(Y56/H56,"0")+IFERROR(Y57/H57,"0")+IFERROR(Y58/H58,"0")</f>
        <v>72</v>
      </c>
      <c r="Z59" s="41">
        <f>IFERROR(IF(Z53="",0,Z53),"0")+IFERROR(IF(Z54="",0,Z54),"0")+IFERROR(IF(Z55="",0,Z55),"0")+IFERROR(IF(Z56="",0,Z56),"0")+IFERROR(IF(Z57="",0,Z57),"0")+IFERROR(IF(Z58="",0,Z58),"0")</f>
        <v>1.3665600000000002</v>
      </c>
      <c r="AA59" s="64"/>
      <c r="AB59" s="64"/>
      <c r="AC59" s="64"/>
    </row>
    <row r="60" spans="1:68" x14ac:dyDescent="0.2">
      <c r="A60" s="628"/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9"/>
      <c r="P60" s="625" t="s">
        <v>40</v>
      </c>
      <c r="Q60" s="626"/>
      <c r="R60" s="626"/>
      <c r="S60" s="626"/>
      <c r="T60" s="626"/>
      <c r="U60" s="626"/>
      <c r="V60" s="627"/>
      <c r="W60" s="40" t="s">
        <v>0</v>
      </c>
      <c r="X60" s="41">
        <f>IFERROR(SUM(X53:X58),"0")</f>
        <v>787.2</v>
      </c>
      <c r="Y60" s="41">
        <f>IFERROR(SUM(Y53:Y58),"0")</f>
        <v>787.2</v>
      </c>
      <c r="Z60" s="40"/>
      <c r="AA60" s="64"/>
      <c r="AB60" s="64"/>
      <c r="AC60" s="64"/>
    </row>
    <row r="61" spans="1:68" ht="14.25" customHeight="1" x14ac:dyDescent="0.25">
      <c r="A61" s="619" t="s">
        <v>147</v>
      </c>
      <c r="B61" s="619"/>
      <c r="C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9"/>
      <c r="W61" s="619"/>
      <c r="X61" s="619"/>
      <c r="Y61" s="619"/>
      <c r="Z61" s="619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0">
        <v>4680115881440</v>
      </c>
      <c r="E62" s="620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2"/>
      <c r="R62" s="622"/>
      <c r="S62" s="622"/>
      <c r="T62" s="623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620">
        <v>4680115885950</v>
      </c>
      <c r="E63" s="620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2"/>
      <c r="R63" s="622"/>
      <c r="S63" s="622"/>
      <c r="T63" s="623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620">
        <v>4680115887688</v>
      </c>
      <c r="E64" s="620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2"/>
      <c r="R64" s="622"/>
      <c r="S64" s="622"/>
      <c r="T64" s="62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620">
        <v>4680115881433</v>
      </c>
      <c r="E65" s="620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2"/>
      <c r="R65" s="622"/>
      <c r="S65" s="622"/>
      <c r="T65" s="62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28"/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9"/>
      <c r="P66" s="625" t="s">
        <v>40</v>
      </c>
      <c r="Q66" s="626"/>
      <c r="R66" s="626"/>
      <c r="S66" s="626"/>
      <c r="T66" s="626"/>
      <c r="U66" s="626"/>
      <c r="V66" s="627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customHeight="1" x14ac:dyDescent="0.25">
      <c r="A68" s="619" t="s">
        <v>76</v>
      </c>
      <c r="B68" s="619"/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620">
        <v>4680115885097</v>
      </c>
      <c r="E69" s="62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2"/>
      <c r="R69" s="622"/>
      <c r="S69" s="622"/>
      <c r="T69" s="623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628"/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9"/>
      <c r="P71" s="625" t="s">
        <v>40</v>
      </c>
      <c r="Q71" s="626"/>
      <c r="R71" s="626"/>
      <c r="S71" s="626"/>
      <c r="T71" s="626"/>
      <c r="U71" s="626"/>
      <c r="V71" s="627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619" t="s">
        <v>86</v>
      </c>
      <c r="B72" s="619"/>
      <c r="C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620">
        <v>4680115885769</v>
      </c>
      <c r="E73" s="62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2"/>
      <c r="R73" s="622"/>
      <c r="S73" s="622"/>
      <c r="T73" s="62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620">
        <v>4680115884311</v>
      </c>
      <c r="E74" s="62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2"/>
      <c r="R74" s="622"/>
      <c r="S74" s="622"/>
      <c r="T74" s="62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620">
        <v>4680115885929</v>
      </c>
      <c r="E75" s="62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2"/>
      <c r="R75" s="622"/>
      <c r="S75" s="622"/>
      <c r="T75" s="62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620">
        <v>4680115884403</v>
      </c>
      <c r="E76" s="62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2"/>
      <c r="R76" s="622"/>
      <c r="S76" s="622"/>
      <c r="T76" s="62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9"/>
      <c r="P78" s="625" t="s">
        <v>40</v>
      </c>
      <c r="Q78" s="626"/>
      <c r="R78" s="626"/>
      <c r="S78" s="626"/>
      <c r="T78" s="626"/>
      <c r="U78" s="626"/>
      <c r="V78" s="627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619" t="s">
        <v>173</v>
      </c>
      <c r="B79" s="619"/>
      <c r="C79" s="619"/>
      <c r="D79" s="619"/>
      <c r="E79" s="619"/>
      <c r="F79" s="619"/>
      <c r="G79" s="619"/>
      <c r="H79" s="619"/>
      <c r="I79" s="619"/>
      <c r="J79" s="619"/>
      <c r="K79" s="619"/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620">
        <v>4680115881532</v>
      </c>
      <c r="E80" s="62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2"/>
      <c r="R80" s="622"/>
      <c r="S80" s="622"/>
      <c r="T80" s="623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131.36000000000001</v>
      </c>
      <c r="BN80" s="75">
        <f>IFERROR(Y80*I80/H80,"0")</f>
        <v>131.36000000000001</v>
      </c>
      <c r="BO80" s="75">
        <f>IFERROR(1/J80*(X80/H80),"0")</f>
        <v>0.25</v>
      </c>
      <c r="BP80" s="75">
        <f>IFERROR(1/J80*(Y80/H80),"0")</f>
        <v>0.25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620">
        <v>4680115881464</v>
      </c>
      <c r="E81" s="62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2"/>
      <c r="R81" s="622"/>
      <c r="S81" s="622"/>
      <c r="T81" s="62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9"/>
      <c r="P83" s="625" t="s">
        <v>40</v>
      </c>
      <c r="Q83" s="626"/>
      <c r="R83" s="626"/>
      <c r="S83" s="626"/>
      <c r="T83" s="626"/>
      <c r="U83" s="626"/>
      <c r="V83" s="627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customHeight="1" x14ac:dyDescent="0.25">
      <c r="A84" s="618" t="s">
        <v>180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2"/>
      <c r="AB84" s="62"/>
      <c r="AC84" s="62"/>
    </row>
    <row r="85" spans="1:68" ht="14.25" customHeight="1" x14ac:dyDescent="0.25">
      <c r="A85" s="619" t="s">
        <v>114</v>
      </c>
      <c r="B85" s="619"/>
      <c r="C85" s="619"/>
      <c r="D85" s="619"/>
      <c r="E85" s="619"/>
      <c r="F85" s="619"/>
      <c r="G85" s="619"/>
      <c r="H85" s="619"/>
      <c r="I85" s="619"/>
      <c r="J85" s="619"/>
      <c r="K85" s="619"/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0">
        <v>4680115881327</v>
      </c>
      <c r="E86" s="62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2"/>
      <c r="R86" s="622"/>
      <c r="S86" s="622"/>
      <c r="T86" s="623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448.4</v>
      </c>
      <c r="BN86" s="75">
        <f>IFERROR(Y86*I86/H86,"0")</f>
        <v>448.4</v>
      </c>
      <c r="BO86" s="75">
        <f>IFERROR(1/J86*(X86/H86),"0")</f>
        <v>0.625</v>
      </c>
      <c r="BP86" s="75">
        <f>IFERROR(1/J86*(Y86/H86),"0")</f>
        <v>0.625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620">
        <v>4680115887732</v>
      </c>
      <c r="E87" s="620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2"/>
      <c r="R87" s="622"/>
      <c r="S87" s="622"/>
      <c r="T87" s="62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620">
        <v>4680115881518</v>
      </c>
      <c r="E88" s="6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2"/>
      <c r="R88" s="622"/>
      <c r="S88" s="622"/>
      <c r="T88" s="62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620">
        <v>4680115881303</v>
      </c>
      <c r="E89" s="6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2"/>
      <c r="R89" s="622"/>
      <c r="S89" s="622"/>
      <c r="T89" s="62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IFERROR(X86/H86,"0")+IFERROR(X87/H87,"0")+IFERROR(X88/H88,"0")+IFERROR(X89/H89,"0")</f>
        <v>40</v>
      </c>
      <c r="Y90" s="41">
        <f>IFERROR(Y86/H86,"0")+IFERROR(Y87/H87,"0")+IFERROR(Y88/H88,"0")+IFERROR(Y89/H89,"0")</f>
        <v>40</v>
      </c>
      <c r="Z90" s="41">
        <f>IFERROR(IF(Z86="",0,Z86),"0")+IFERROR(IF(Z87="",0,Z87),"0")+IFERROR(IF(Z88="",0,Z88),"0")+IFERROR(IF(Z89="",0,Z89),"0")</f>
        <v>0.75919999999999999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IFERROR(SUM(X86:X89),"0")</f>
        <v>432</v>
      </c>
      <c r="Y91" s="41">
        <f>IFERROR(SUM(Y86:Y89),"0")</f>
        <v>432</v>
      </c>
      <c r="Z91" s="40"/>
      <c r="AA91" s="64"/>
      <c r="AB91" s="64"/>
      <c r="AC91" s="64"/>
    </row>
    <row r="92" spans="1:68" ht="14.25" customHeight="1" x14ac:dyDescent="0.25">
      <c r="A92" s="619" t="s">
        <v>86</v>
      </c>
      <c r="B92" s="619"/>
      <c r="C92" s="619"/>
      <c r="D92" s="619"/>
      <c r="E92" s="619"/>
      <c r="F92" s="619"/>
      <c r="G92" s="619"/>
      <c r="H92" s="619"/>
      <c r="I92" s="619"/>
      <c r="J92" s="619"/>
      <c r="K92" s="619"/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0">
        <v>4607091386967</v>
      </c>
      <c r="E93" s="6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2"/>
      <c r="R93" s="622"/>
      <c r="S93" s="622"/>
      <c r="T93" s="623"/>
      <c r="U93" s="37" t="s">
        <v>45</v>
      </c>
      <c r="V93" s="37" t="s">
        <v>45</v>
      </c>
      <c r="W93" s="38" t="s">
        <v>0</v>
      </c>
      <c r="X93" s="56">
        <v>259.2</v>
      </c>
      <c r="Y93" s="53">
        <f>IFERROR(IF(X93="",0,CEILING((X93/$H93),1)*$H93),"")</f>
        <v>259.2</v>
      </c>
      <c r="Z93" s="39">
        <f>IFERROR(IF(Y93=0,"",ROUNDUP(Y93/H93,0)*0.01898),"")</f>
        <v>0.60736000000000001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275.00799999999998</v>
      </c>
      <c r="BN93" s="75">
        <f>IFERROR(Y93*I93/H93,"0")</f>
        <v>275.00799999999998</v>
      </c>
      <c r="BO93" s="75">
        <f>IFERROR(1/J93*(X93/H93),"0")</f>
        <v>0.5</v>
      </c>
      <c r="BP93" s="75">
        <f>IFERROR(1/J93*(Y93/H93),"0")</f>
        <v>0.5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620">
        <v>4680115884953</v>
      </c>
      <c r="E94" s="620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0">
        <v>4607091385731</v>
      </c>
      <c r="E95" s="620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2"/>
      <c r="R95" s="622"/>
      <c r="S95" s="622"/>
      <c r="T95" s="623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620">
        <v>4680115880894</v>
      </c>
      <c r="E96" s="620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2"/>
      <c r="R96" s="622"/>
      <c r="S96" s="622"/>
      <c r="T96" s="623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60</v>
      </c>
      <c r="Y97" s="41">
        <f>IFERROR(Y93/H93,"0")+IFERROR(Y94/H94,"0")+IFERROR(Y95/H95,"0")+IFERROR(Y96/H96,"0")</f>
        <v>60</v>
      </c>
      <c r="Z97" s="41">
        <f>IFERROR(IF(Z93="",0,Z93),"0")+IFERROR(IF(Z94="",0,Z94),"0")+IFERROR(IF(Z95="",0,Z95),"0")+IFERROR(IF(Z96="",0,Z96),"0")</f>
        <v>0.78964000000000001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334.79999999999995</v>
      </c>
      <c r="Y98" s="41">
        <f>IFERROR(SUM(Y93:Y96),"0")</f>
        <v>334.8</v>
      </c>
      <c r="Z98" s="40"/>
      <c r="AA98" s="64"/>
      <c r="AB98" s="64"/>
      <c r="AC98" s="64"/>
    </row>
    <row r="99" spans="1:68" ht="16.5" customHeight="1" x14ac:dyDescent="0.25">
      <c r="A99" s="618" t="s">
        <v>201</v>
      </c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618"/>
      <c r="U99" s="618"/>
      <c r="V99" s="618"/>
      <c r="W99" s="618"/>
      <c r="X99" s="618"/>
      <c r="Y99" s="618"/>
      <c r="Z99" s="618"/>
      <c r="AA99" s="62"/>
      <c r="AB99" s="62"/>
      <c r="AC99" s="62"/>
    </row>
    <row r="100" spans="1:68" ht="14.25" customHeight="1" x14ac:dyDescent="0.25">
      <c r="A100" s="619" t="s">
        <v>114</v>
      </c>
      <c r="B100" s="619"/>
      <c r="C100" s="619"/>
      <c r="D100" s="619"/>
      <c r="E100" s="619"/>
      <c r="F100" s="619"/>
      <c r="G100" s="619"/>
      <c r="H100" s="619"/>
      <c r="I100" s="619"/>
      <c r="J100" s="619"/>
      <c r="K100" s="619"/>
      <c r="L100" s="619"/>
      <c r="M100" s="619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0">
        <v>4680115882133</v>
      </c>
      <c r="E101" s="620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7" t="s">
        <v>45</v>
      </c>
      <c r="V101" s="37" t="s">
        <v>45</v>
      </c>
      <c r="W101" s="38" t="s">
        <v>0</v>
      </c>
      <c r="X101" s="56">
        <v>691.2</v>
      </c>
      <c r="Y101" s="53">
        <f>IFERROR(IF(X101="",0,CEILING((X101/$H101),1)*$H101),"")</f>
        <v>691.2</v>
      </c>
      <c r="Z101" s="39">
        <f>IFERROR(IF(Y101=0,"",ROUNDUP(Y101/H101,0)*0.01898),"")</f>
        <v>1.21472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717.44</v>
      </c>
      <c r="BN101" s="75">
        <f>IFERROR(Y101*I101/H101,"0")</f>
        <v>717.44</v>
      </c>
      <c r="BO101" s="75">
        <f>IFERROR(1/J101*(X101/H101),"0")</f>
        <v>1</v>
      </c>
      <c r="BP101" s="75">
        <f>IFERROR(1/J101*(Y101/H101),"0")</f>
        <v>1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620">
        <v>4680115887718</v>
      </c>
      <c r="E102" s="620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2"/>
      <c r="R102" s="622"/>
      <c r="S102" s="622"/>
      <c r="T102" s="62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620">
        <v>4680115880269</v>
      </c>
      <c r="E103" s="62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2"/>
      <c r="R103" s="622"/>
      <c r="S103" s="622"/>
      <c r="T103" s="62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620">
        <v>4680115880429</v>
      </c>
      <c r="E104" s="62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2"/>
      <c r="R104" s="622"/>
      <c r="S104" s="622"/>
      <c r="T104" s="623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620">
        <v>4680115881457</v>
      </c>
      <c r="E105" s="62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2"/>
      <c r="R105" s="622"/>
      <c r="S105" s="622"/>
      <c r="T105" s="62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28"/>
      <c r="B106" s="628"/>
      <c r="C106" s="628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9"/>
      <c r="P106" s="625" t="s">
        <v>40</v>
      </c>
      <c r="Q106" s="626"/>
      <c r="R106" s="626"/>
      <c r="S106" s="626"/>
      <c r="T106" s="626"/>
      <c r="U106" s="626"/>
      <c r="V106" s="627"/>
      <c r="W106" s="40" t="s">
        <v>39</v>
      </c>
      <c r="X106" s="41">
        <f>IFERROR(X101/H101,"0")+IFERROR(X102/H102,"0")+IFERROR(X103/H103,"0")+IFERROR(X104/H104,"0")+IFERROR(X105/H105,"0")</f>
        <v>64</v>
      </c>
      <c r="Y106" s="41">
        <f>IFERROR(Y101/H101,"0")+IFERROR(Y102/H102,"0")+IFERROR(Y103/H103,"0")+IFERROR(Y104/H104,"0")+IFERROR(Y105/H105,"0")</f>
        <v>64</v>
      </c>
      <c r="Z106" s="41">
        <f>IFERROR(IF(Z101="",0,Z101),"0")+IFERROR(IF(Z102="",0,Z102),"0")+IFERROR(IF(Z103="",0,Z103),"0")+IFERROR(IF(Z104="",0,Z104),"0")+IFERROR(IF(Z105="",0,Z105),"0")</f>
        <v>1.21472</v>
      </c>
      <c r="AA106" s="64"/>
      <c r="AB106" s="64"/>
      <c r="AC106" s="64"/>
    </row>
    <row r="107" spans="1:68" x14ac:dyDescent="0.2">
      <c r="A107" s="628"/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9"/>
      <c r="P107" s="625" t="s">
        <v>40</v>
      </c>
      <c r="Q107" s="626"/>
      <c r="R107" s="626"/>
      <c r="S107" s="626"/>
      <c r="T107" s="626"/>
      <c r="U107" s="626"/>
      <c r="V107" s="627"/>
      <c r="W107" s="40" t="s">
        <v>0</v>
      </c>
      <c r="X107" s="41">
        <f>IFERROR(SUM(X101:X105),"0")</f>
        <v>691.2</v>
      </c>
      <c r="Y107" s="41">
        <f>IFERROR(SUM(Y101:Y105),"0")</f>
        <v>691.2</v>
      </c>
      <c r="Z107" s="40"/>
      <c r="AA107" s="64"/>
      <c r="AB107" s="64"/>
      <c r="AC107" s="64"/>
    </row>
    <row r="108" spans="1:68" ht="14.25" customHeight="1" x14ac:dyDescent="0.25">
      <c r="A108" s="619" t="s">
        <v>147</v>
      </c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/>
      <c r="X108" s="619"/>
      <c r="Y108" s="619"/>
      <c r="Z108" s="619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620">
        <v>4680115881488</v>
      </c>
      <c r="E109" s="62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2"/>
      <c r="R109" s="622"/>
      <c r="S109" s="622"/>
      <c r="T109" s="62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620">
        <v>4680115887664</v>
      </c>
      <c r="E110" s="62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2"/>
      <c r="R110" s="622"/>
      <c r="S110" s="622"/>
      <c r="T110" s="623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620">
        <v>4680115882775</v>
      </c>
      <c r="E111" s="620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2"/>
      <c r="R111" s="622"/>
      <c r="S111" s="622"/>
      <c r="T111" s="623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620">
        <v>4680115880658</v>
      </c>
      <c r="E112" s="62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2"/>
      <c r="R112" s="622"/>
      <c r="S112" s="622"/>
      <c r="T112" s="62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628"/>
      <c r="B113" s="628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9"/>
      <c r="P113" s="625" t="s">
        <v>40</v>
      </c>
      <c r="Q113" s="626"/>
      <c r="R113" s="626"/>
      <c r="S113" s="626"/>
      <c r="T113" s="626"/>
      <c r="U113" s="626"/>
      <c r="V113" s="627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628"/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9"/>
      <c r="P114" s="625" t="s">
        <v>40</v>
      </c>
      <c r="Q114" s="626"/>
      <c r="R114" s="626"/>
      <c r="S114" s="626"/>
      <c r="T114" s="626"/>
      <c r="U114" s="626"/>
      <c r="V114" s="627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619" t="s">
        <v>86</v>
      </c>
      <c r="B115" s="619"/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19"/>
      <c r="S115" s="619"/>
      <c r="T115" s="619"/>
      <c r="U115" s="619"/>
      <c r="V115" s="619"/>
      <c r="W115" s="619"/>
      <c r="X115" s="619"/>
      <c r="Y115" s="619"/>
      <c r="Z115" s="619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0">
        <v>4607091385168</v>
      </c>
      <c r="E116" s="620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2"/>
      <c r="R116" s="622"/>
      <c r="S116" s="622"/>
      <c r="T116" s="623"/>
      <c r="U116" s="37" t="s">
        <v>45</v>
      </c>
      <c r="V116" s="37" t="s">
        <v>45</v>
      </c>
      <c r="W116" s="38" t="s">
        <v>0</v>
      </c>
      <c r="X116" s="56">
        <v>324</v>
      </c>
      <c r="Y116" s="53">
        <f>IFERROR(IF(X116="",0,CEILING((X116/$H116),1)*$H116),"")</f>
        <v>324</v>
      </c>
      <c r="Z116" s="39">
        <f>IFERROR(IF(Y116=0,"",ROUNDUP(Y116/H116,0)*0.01898),"")</f>
        <v>0.75919999999999999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343.52</v>
      </c>
      <c r="BN116" s="75">
        <f>IFERROR(Y116*I116/H116,"0")</f>
        <v>343.52</v>
      </c>
      <c r="BO116" s="75">
        <f>IFERROR(1/J116*(X116/H116),"0")</f>
        <v>0.625</v>
      </c>
      <c r="BP116" s="75">
        <f>IFERROR(1/J116*(Y116/H116),"0")</f>
        <v>0.625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620">
        <v>4607091383256</v>
      </c>
      <c r="E117" s="620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2"/>
      <c r="R117" s="622"/>
      <c r="S117" s="622"/>
      <c r="T117" s="623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0">
        <v>4607091385748</v>
      </c>
      <c r="E118" s="620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2"/>
      <c r="R118" s="622"/>
      <c r="S118" s="622"/>
      <c r="T118" s="623"/>
      <c r="U118" s="37" t="s">
        <v>45</v>
      </c>
      <c r="V118" s="37" t="s">
        <v>45</v>
      </c>
      <c r="W118" s="38" t="s">
        <v>0</v>
      </c>
      <c r="X118" s="56">
        <v>97.2</v>
      </c>
      <c r="Y118" s="53">
        <f>IFERROR(IF(X118="",0,CEILING((X118/$H118),1)*$H118),"")</f>
        <v>97.2</v>
      </c>
      <c r="Z118" s="39">
        <f>IFERROR(IF(Y118=0,"",ROUNDUP(Y118/H118,0)*0.00651),"")</f>
        <v>0.23436000000000001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106.27199999999999</v>
      </c>
      <c r="BN118" s="75">
        <f>IFERROR(Y118*I118/H118,"0")</f>
        <v>106.27199999999999</v>
      </c>
      <c r="BO118" s="75">
        <f>IFERROR(1/J118*(X118/H118),"0")</f>
        <v>0.19780219780219782</v>
      </c>
      <c r="BP118" s="75">
        <f>IFERROR(1/J118*(Y118/H118),"0")</f>
        <v>0.19780219780219782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620">
        <v>4680115884533</v>
      </c>
      <c r="E119" s="620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2"/>
      <c r="R119" s="622"/>
      <c r="S119" s="622"/>
      <c r="T119" s="623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0" t="s">
        <v>39</v>
      </c>
      <c r="X120" s="41">
        <f>IFERROR(X116/H116,"0")+IFERROR(X117/H117,"0")+IFERROR(X118/H118,"0")+IFERROR(X119/H119,"0")</f>
        <v>76</v>
      </c>
      <c r="Y120" s="41">
        <f>IFERROR(Y116/H116,"0")+IFERROR(Y117/H117,"0")+IFERROR(Y118/H118,"0")+IFERROR(Y119/H119,"0")</f>
        <v>76</v>
      </c>
      <c r="Z120" s="41">
        <f>IFERROR(IF(Z116="",0,Z116),"0")+IFERROR(IF(Z117="",0,Z117),"0")+IFERROR(IF(Z118="",0,Z118),"0")+IFERROR(IF(Z119="",0,Z119),"0")</f>
        <v>0.99356</v>
      </c>
      <c r="AA120" s="64"/>
      <c r="AB120" s="64"/>
      <c r="AC120" s="64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0" t="s">
        <v>0</v>
      </c>
      <c r="X121" s="41">
        <f>IFERROR(SUM(X116:X119),"0")</f>
        <v>421.2</v>
      </c>
      <c r="Y121" s="41">
        <f>IFERROR(SUM(Y116:Y119),"0")</f>
        <v>421.2</v>
      </c>
      <c r="Z121" s="40"/>
      <c r="AA121" s="64"/>
      <c r="AB121" s="64"/>
      <c r="AC121" s="64"/>
    </row>
    <row r="122" spans="1:68" ht="14.25" customHeight="1" x14ac:dyDescent="0.25">
      <c r="A122" s="619" t="s">
        <v>173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620">
        <v>4680115880238</v>
      </c>
      <c r="E123" s="620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2"/>
      <c r="R123" s="622"/>
      <c r="S123" s="622"/>
      <c r="T123" s="623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628"/>
      <c r="B125" s="628"/>
      <c r="C125" s="628"/>
      <c r="D125" s="628"/>
      <c r="E125" s="628"/>
      <c r="F125" s="628"/>
      <c r="G125" s="628"/>
      <c r="H125" s="628"/>
      <c r="I125" s="628"/>
      <c r="J125" s="628"/>
      <c r="K125" s="628"/>
      <c r="L125" s="628"/>
      <c r="M125" s="628"/>
      <c r="N125" s="628"/>
      <c r="O125" s="629"/>
      <c r="P125" s="625" t="s">
        <v>40</v>
      </c>
      <c r="Q125" s="626"/>
      <c r="R125" s="626"/>
      <c r="S125" s="626"/>
      <c r="T125" s="626"/>
      <c r="U125" s="626"/>
      <c r="V125" s="627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618" t="s">
        <v>238</v>
      </c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  <c r="Q126" s="618"/>
      <c r="R126" s="618"/>
      <c r="S126" s="618"/>
      <c r="T126" s="618"/>
      <c r="U126" s="618"/>
      <c r="V126" s="618"/>
      <c r="W126" s="618"/>
      <c r="X126" s="618"/>
      <c r="Y126" s="618"/>
      <c r="Z126" s="618"/>
      <c r="AA126" s="62"/>
      <c r="AB126" s="62"/>
      <c r="AC126" s="62"/>
    </row>
    <row r="127" spans="1:68" ht="14.25" customHeight="1" x14ac:dyDescent="0.25">
      <c r="A127" s="619" t="s">
        <v>114</v>
      </c>
      <c r="B127" s="619"/>
      <c r="C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  <c r="N127" s="619"/>
      <c r="O127" s="619"/>
      <c r="P127" s="619"/>
      <c r="Q127" s="619"/>
      <c r="R127" s="619"/>
      <c r="S127" s="619"/>
      <c r="T127" s="619"/>
      <c r="U127" s="619"/>
      <c r="V127" s="619"/>
      <c r="W127" s="619"/>
      <c r="X127" s="619"/>
      <c r="Y127" s="619"/>
      <c r="Z127" s="619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620">
        <v>4680115882577</v>
      </c>
      <c r="E128" s="620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2"/>
      <c r="R128" s="622"/>
      <c r="S128" s="622"/>
      <c r="T128" s="623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620">
        <v>4680115882577</v>
      </c>
      <c r="E129" s="620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2"/>
      <c r="R129" s="622"/>
      <c r="S129" s="622"/>
      <c r="T129" s="623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619" t="s">
        <v>76</v>
      </c>
      <c r="B132" s="619"/>
      <c r="C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620">
        <v>4680115883444</v>
      </c>
      <c r="E133" s="620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2"/>
      <c r="R133" s="622"/>
      <c r="S133" s="622"/>
      <c r="T133" s="623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620">
        <v>4680115883444</v>
      </c>
      <c r="E134" s="620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2"/>
      <c r="R134" s="622"/>
      <c r="S134" s="622"/>
      <c r="T134" s="623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28"/>
      <c r="B135" s="628"/>
      <c r="C135" s="628"/>
      <c r="D135" s="628"/>
      <c r="E135" s="628"/>
      <c r="F135" s="628"/>
      <c r="G135" s="628"/>
      <c r="H135" s="628"/>
      <c r="I135" s="628"/>
      <c r="J135" s="628"/>
      <c r="K135" s="628"/>
      <c r="L135" s="628"/>
      <c r="M135" s="628"/>
      <c r="N135" s="628"/>
      <c r="O135" s="629"/>
      <c r="P135" s="625" t="s">
        <v>40</v>
      </c>
      <c r="Q135" s="626"/>
      <c r="R135" s="626"/>
      <c r="S135" s="626"/>
      <c r="T135" s="626"/>
      <c r="U135" s="626"/>
      <c r="V135" s="627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19" t="s">
        <v>86</v>
      </c>
      <c r="B137" s="619"/>
      <c r="C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620">
        <v>4680115882584</v>
      </c>
      <c r="E138" s="620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2"/>
      <c r="R138" s="622"/>
      <c r="S138" s="622"/>
      <c r="T138" s="62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620">
        <v>4680115882584</v>
      </c>
      <c r="E139" s="620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2"/>
      <c r="R139" s="622"/>
      <c r="S139" s="622"/>
      <c r="T139" s="623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28"/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9"/>
      <c r="P140" s="625" t="s">
        <v>40</v>
      </c>
      <c r="Q140" s="626"/>
      <c r="R140" s="626"/>
      <c r="S140" s="626"/>
      <c r="T140" s="626"/>
      <c r="U140" s="626"/>
      <c r="V140" s="6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618" t="s">
        <v>112</v>
      </c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  <c r="Q142" s="618"/>
      <c r="R142" s="618"/>
      <c r="S142" s="618"/>
      <c r="T142" s="618"/>
      <c r="U142" s="618"/>
      <c r="V142" s="618"/>
      <c r="W142" s="618"/>
      <c r="X142" s="618"/>
      <c r="Y142" s="618"/>
      <c r="Z142" s="618"/>
      <c r="AA142" s="62"/>
      <c r="AB142" s="62"/>
      <c r="AC142" s="62"/>
    </row>
    <row r="143" spans="1:68" ht="14.25" customHeight="1" x14ac:dyDescent="0.25">
      <c r="A143" s="619" t="s">
        <v>114</v>
      </c>
      <c r="B143" s="619"/>
      <c r="C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19"/>
      <c r="S143" s="619"/>
      <c r="T143" s="619"/>
      <c r="U143" s="619"/>
      <c r="V143" s="619"/>
      <c r="W143" s="619"/>
      <c r="X143" s="619"/>
      <c r="Y143" s="619"/>
      <c r="Z143" s="619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620">
        <v>4680115887374</v>
      </c>
      <c r="E144" s="620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2"/>
      <c r="R144" s="622"/>
      <c r="S144" s="622"/>
      <c r="T144" s="623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620">
        <v>4607091384604</v>
      </c>
      <c r="E145" s="620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2"/>
      <c r="R145" s="622"/>
      <c r="S145" s="622"/>
      <c r="T145" s="623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619" t="s">
        <v>76</v>
      </c>
      <c r="B148" s="619"/>
      <c r="C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  <c r="N148" s="619"/>
      <c r="O148" s="619"/>
      <c r="P148" s="619"/>
      <c r="Q148" s="619"/>
      <c r="R148" s="619"/>
      <c r="S148" s="619"/>
      <c r="T148" s="619"/>
      <c r="U148" s="619"/>
      <c r="V148" s="619"/>
      <c r="W148" s="619"/>
      <c r="X148" s="619"/>
      <c r="Y148" s="619"/>
      <c r="Z148" s="619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620">
        <v>4680115887428</v>
      </c>
      <c r="E149" s="620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2"/>
      <c r="R149" s="622"/>
      <c r="S149" s="622"/>
      <c r="T149" s="62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620">
        <v>4680115887336</v>
      </c>
      <c r="E150" s="620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8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2"/>
      <c r="R150" s="622"/>
      <c r="S150" s="622"/>
      <c r="T150" s="623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620">
        <v>4607091382426</v>
      </c>
      <c r="E151" s="620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2"/>
      <c r="R151" s="622"/>
      <c r="S151" s="622"/>
      <c r="T151" s="623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620">
        <v>4680115887398</v>
      </c>
      <c r="E152" s="620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2"/>
      <c r="R152" s="622"/>
      <c r="S152" s="622"/>
      <c r="T152" s="62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620">
        <v>4680115887763</v>
      </c>
      <c r="E153" s="620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2" t="s">
        <v>270</v>
      </c>
      <c r="Q153" s="622"/>
      <c r="R153" s="622"/>
      <c r="S153" s="622"/>
      <c r="T153" s="62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619" t="s">
        <v>86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620">
        <v>4680115887459</v>
      </c>
      <c r="E157" s="620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2"/>
      <c r="R157" s="622"/>
      <c r="S157" s="622"/>
      <c r="T157" s="62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617" t="s">
        <v>275</v>
      </c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52"/>
      <c r="AB160" s="52"/>
      <c r="AC160" s="52"/>
    </row>
    <row r="161" spans="1:68" ht="16.5" customHeight="1" x14ac:dyDescent="0.25">
      <c r="A161" s="618" t="s">
        <v>276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2"/>
      <c r="AB161" s="62"/>
      <c r="AC161" s="62"/>
    </row>
    <row r="162" spans="1:68" ht="14.25" customHeight="1" x14ac:dyDescent="0.25">
      <c r="A162" s="619" t="s">
        <v>147</v>
      </c>
      <c r="B162" s="619"/>
      <c r="C162" s="619"/>
      <c r="D162" s="619"/>
      <c r="E162" s="619"/>
      <c r="F162" s="619"/>
      <c r="G162" s="619"/>
      <c r="H162" s="619"/>
      <c r="I162" s="619"/>
      <c r="J162" s="619"/>
      <c r="K162" s="619"/>
      <c r="L162" s="619"/>
      <c r="M162" s="619"/>
      <c r="N162" s="619"/>
      <c r="O162" s="619"/>
      <c r="P162" s="619"/>
      <c r="Q162" s="619"/>
      <c r="R162" s="619"/>
      <c r="S162" s="619"/>
      <c r="T162" s="619"/>
      <c r="U162" s="619"/>
      <c r="V162" s="619"/>
      <c r="W162" s="619"/>
      <c r="X162" s="619"/>
      <c r="Y162" s="619"/>
      <c r="Z162" s="619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620">
        <v>4680115886223</v>
      </c>
      <c r="E163" s="620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2"/>
      <c r="R163" s="622"/>
      <c r="S163" s="622"/>
      <c r="T163" s="62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619" t="s">
        <v>76</v>
      </c>
      <c r="B166" s="619"/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0">
        <v>4680115880993</v>
      </c>
      <c r="E167" s="620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2"/>
      <c r="R167" s="622"/>
      <c r="S167" s="622"/>
      <c r="T167" s="623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620">
        <v>4680115881761</v>
      </c>
      <c r="E168" s="620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2"/>
      <c r="R168" s="622"/>
      <c r="S168" s="622"/>
      <c r="T168" s="62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0">
        <v>4680115881563</v>
      </c>
      <c r="E169" s="620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2"/>
      <c r="R169" s="622"/>
      <c r="S169" s="622"/>
      <c r="T169" s="623"/>
      <c r="U169" s="37" t="s">
        <v>45</v>
      </c>
      <c r="V169" s="37" t="s">
        <v>45</v>
      </c>
      <c r="W169" s="38" t="s">
        <v>0</v>
      </c>
      <c r="X169" s="56">
        <v>100.8</v>
      </c>
      <c r="Y169" s="53">
        <f t="shared" si="11"/>
        <v>100.80000000000001</v>
      </c>
      <c r="Z169" s="39">
        <f>IFERROR(IF(Y169=0,"",ROUNDUP(Y169/H169,0)*0.00902),"")</f>
        <v>0.21648000000000001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105.35999999999999</v>
      </c>
      <c r="BN169" s="75">
        <f t="shared" si="13"/>
        <v>105.36</v>
      </c>
      <c r="BO169" s="75">
        <f t="shared" si="14"/>
        <v>0.18181818181818182</v>
      </c>
      <c r="BP169" s="75">
        <f t="shared" si="15"/>
        <v>0.18181818181818182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620">
        <v>4680115887565</v>
      </c>
      <c r="E170" s="620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2"/>
      <c r="R170" s="622"/>
      <c r="S170" s="622"/>
      <c r="T170" s="62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0">
        <v>4680115880986</v>
      </c>
      <c r="E171" s="620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2"/>
      <c r="R171" s="622"/>
      <c r="S171" s="622"/>
      <c r="T171" s="623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620">
        <v>4680115887213</v>
      </c>
      <c r="E172" s="620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2"/>
      <c r="R172" s="622"/>
      <c r="S172" s="622"/>
      <c r="T172" s="623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620">
        <v>4680115881785</v>
      </c>
      <c r="E173" s="620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2"/>
      <c r="R173" s="622"/>
      <c r="S173" s="622"/>
      <c r="T173" s="623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620">
        <v>4680115887824</v>
      </c>
      <c r="E174" s="620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2"/>
      <c r="R174" s="622"/>
      <c r="S174" s="622"/>
      <c r="T174" s="62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620">
        <v>4680115887701</v>
      </c>
      <c r="E175" s="620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2"/>
      <c r="R175" s="622"/>
      <c r="S175" s="622"/>
      <c r="T175" s="62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620">
        <v>4680115888104</v>
      </c>
      <c r="E176" s="620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4" t="s">
        <v>307</v>
      </c>
      <c r="Q176" s="622"/>
      <c r="R176" s="622"/>
      <c r="S176" s="622"/>
      <c r="T176" s="62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620">
        <v>4680115886537</v>
      </c>
      <c r="E177" s="620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2"/>
      <c r="R177" s="622"/>
      <c r="S177" s="622"/>
      <c r="T177" s="62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620">
        <v>4680115887596</v>
      </c>
      <c r="E178" s="620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2"/>
      <c r="R178" s="622"/>
      <c r="S178" s="622"/>
      <c r="T178" s="62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0">
        <v>4680115881679</v>
      </c>
      <c r="E179" s="620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2"/>
      <c r="R179" s="622"/>
      <c r="S179" s="622"/>
      <c r="T179" s="623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620">
        <v>4680115880191</v>
      </c>
      <c r="E180" s="620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2"/>
      <c r="R180" s="622"/>
      <c r="S180" s="622"/>
      <c r="T180" s="62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620">
        <v>4680115883963</v>
      </c>
      <c r="E181" s="620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2"/>
      <c r="R181" s="622"/>
      <c r="S181" s="622"/>
      <c r="T181" s="62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72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72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0.50544</v>
      </c>
      <c r="AA182" s="64"/>
      <c r="AB182" s="64"/>
      <c r="AC182" s="64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0" t="s">
        <v>0</v>
      </c>
      <c r="X183" s="41">
        <f>IFERROR(SUM(X167:X181),"0")</f>
        <v>226.8</v>
      </c>
      <c r="Y183" s="41">
        <f>IFERROR(SUM(Y167:Y181),"0")</f>
        <v>226.80000000000004</v>
      </c>
      <c r="Z183" s="40"/>
      <c r="AA183" s="64"/>
      <c r="AB183" s="64"/>
      <c r="AC183" s="64"/>
    </row>
    <row r="184" spans="1:68" ht="14.25" customHeight="1" x14ac:dyDescent="0.25">
      <c r="A184" s="619" t="s">
        <v>106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620">
        <v>4680115886780</v>
      </c>
      <c r="E185" s="620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2"/>
      <c r="R185" s="622"/>
      <c r="S185" s="622"/>
      <c r="T185" s="623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620">
        <v>4680115886742</v>
      </c>
      <c r="E186" s="62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2"/>
      <c r="R186" s="622"/>
      <c r="S186" s="622"/>
      <c r="T186" s="62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620">
        <v>4680115886766</v>
      </c>
      <c r="E187" s="620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2"/>
      <c r="R187" s="622"/>
      <c r="S187" s="622"/>
      <c r="T187" s="62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619" t="s">
        <v>331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620">
        <v>4680115886797</v>
      </c>
      <c r="E191" s="620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2"/>
      <c r="R191" s="622"/>
      <c r="S191" s="622"/>
      <c r="T191" s="62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618" t="s">
        <v>334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2"/>
      <c r="AB194" s="62"/>
      <c r="AC194" s="62"/>
    </row>
    <row r="195" spans="1:68" ht="14.25" customHeight="1" x14ac:dyDescent="0.25">
      <c r="A195" s="619" t="s">
        <v>114</v>
      </c>
      <c r="B195" s="619"/>
      <c r="C195" s="619"/>
      <c r="D195" s="619"/>
      <c r="E195" s="619"/>
      <c r="F195" s="619"/>
      <c r="G195" s="619"/>
      <c r="H195" s="619"/>
      <c r="I195" s="619"/>
      <c r="J195" s="619"/>
      <c r="K195" s="619"/>
      <c r="L195" s="619"/>
      <c r="M195" s="619"/>
      <c r="N195" s="619"/>
      <c r="O195" s="619"/>
      <c r="P195" s="619"/>
      <c r="Q195" s="619"/>
      <c r="R195" s="619"/>
      <c r="S195" s="619"/>
      <c r="T195" s="619"/>
      <c r="U195" s="619"/>
      <c r="V195" s="619"/>
      <c r="W195" s="619"/>
      <c r="X195" s="619"/>
      <c r="Y195" s="619"/>
      <c r="Z195" s="619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620">
        <v>4680115881402</v>
      </c>
      <c r="E196" s="620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2"/>
      <c r="R196" s="622"/>
      <c r="S196" s="622"/>
      <c r="T196" s="62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620">
        <v>4680115881396</v>
      </c>
      <c r="E197" s="620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2"/>
      <c r="R197" s="622"/>
      <c r="S197" s="622"/>
      <c r="T197" s="62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28"/>
      <c r="B198" s="628"/>
      <c r="C198" s="628"/>
      <c r="D198" s="628"/>
      <c r="E198" s="628"/>
      <c r="F198" s="628"/>
      <c r="G198" s="628"/>
      <c r="H198" s="628"/>
      <c r="I198" s="628"/>
      <c r="J198" s="628"/>
      <c r="K198" s="628"/>
      <c r="L198" s="628"/>
      <c r="M198" s="628"/>
      <c r="N198" s="628"/>
      <c r="O198" s="629"/>
      <c r="P198" s="625" t="s">
        <v>40</v>
      </c>
      <c r="Q198" s="626"/>
      <c r="R198" s="626"/>
      <c r="S198" s="626"/>
      <c r="T198" s="626"/>
      <c r="U198" s="626"/>
      <c r="V198" s="62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28"/>
      <c r="B199" s="628"/>
      <c r="C199" s="628"/>
      <c r="D199" s="628"/>
      <c r="E199" s="628"/>
      <c r="F199" s="628"/>
      <c r="G199" s="628"/>
      <c r="H199" s="628"/>
      <c r="I199" s="628"/>
      <c r="J199" s="628"/>
      <c r="K199" s="628"/>
      <c r="L199" s="628"/>
      <c r="M199" s="628"/>
      <c r="N199" s="628"/>
      <c r="O199" s="629"/>
      <c r="P199" s="625" t="s">
        <v>40</v>
      </c>
      <c r="Q199" s="626"/>
      <c r="R199" s="626"/>
      <c r="S199" s="626"/>
      <c r="T199" s="626"/>
      <c r="U199" s="626"/>
      <c r="V199" s="62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19" t="s">
        <v>147</v>
      </c>
      <c r="B200" s="619"/>
      <c r="C200" s="619"/>
      <c r="D200" s="619"/>
      <c r="E200" s="619"/>
      <c r="F200" s="619"/>
      <c r="G200" s="619"/>
      <c r="H200" s="619"/>
      <c r="I200" s="619"/>
      <c r="J200" s="619"/>
      <c r="K200" s="619"/>
      <c r="L200" s="619"/>
      <c r="M200" s="619"/>
      <c r="N200" s="619"/>
      <c r="O200" s="619"/>
      <c r="P200" s="619"/>
      <c r="Q200" s="619"/>
      <c r="R200" s="619"/>
      <c r="S200" s="619"/>
      <c r="T200" s="619"/>
      <c r="U200" s="619"/>
      <c r="V200" s="619"/>
      <c r="W200" s="619"/>
      <c r="X200" s="619"/>
      <c r="Y200" s="619"/>
      <c r="Z200" s="619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620">
        <v>4680115882935</v>
      </c>
      <c r="E201" s="620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2"/>
      <c r="R201" s="622"/>
      <c r="S201" s="622"/>
      <c r="T201" s="623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620">
        <v>4680115880764</v>
      </c>
      <c r="E202" s="620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2"/>
      <c r="R202" s="622"/>
      <c r="S202" s="622"/>
      <c r="T202" s="623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619" t="s">
        <v>76</v>
      </c>
      <c r="B205" s="619"/>
      <c r="C205" s="619"/>
      <c r="D205" s="619"/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0">
        <v>4680115882683</v>
      </c>
      <c r="E206" s="620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2"/>
      <c r="R206" s="622"/>
      <c r="S206" s="622"/>
      <c r="T206" s="623"/>
      <c r="U206" s="37" t="s">
        <v>45</v>
      </c>
      <c r="V206" s="37" t="s">
        <v>45</v>
      </c>
      <c r="W206" s="38" t="s">
        <v>0</v>
      </c>
      <c r="X206" s="56">
        <v>324</v>
      </c>
      <c r="Y206" s="53">
        <f t="shared" ref="Y206:Y213" si="16">IFERROR(IF(X206="",0,CEILING((X206/$H206),1)*$H206),"")</f>
        <v>324</v>
      </c>
      <c r="Z206" s="39">
        <f>IFERROR(IF(Y206=0,"",ROUNDUP(Y206/H206,0)*0.00902),"")</f>
        <v>0.54120000000000001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335.4</v>
      </c>
      <c r="BN206" s="75">
        <f t="shared" ref="BN206:BN213" si="18">IFERROR(Y206*I206/H206,"0")</f>
        <v>335.4</v>
      </c>
      <c r="BO206" s="75">
        <f t="shared" ref="BO206:BO213" si="19">IFERROR(1/J206*(X206/H206),"0")</f>
        <v>0.45454545454545453</v>
      </c>
      <c r="BP206" s="75">
        <f t="shared" ref="BP206:BP213" si="20">IFERROR(1/J206*(Y206/H206),"0")</f>
        <v>0.45454545454545453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0">
        <v>4680115882690</v>
      </c>
      <c r="E207" s="620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2"/>
      <c r="R207" s="622"/>
      <c r="S207" s="622"/>
      <c r="T207" s="623"/>
      <c r="U207" s="37" t="s">
        <v>45</v>
      </c>
      <c r="V207" s="37" t="s">
        <v>45</v>
      </c>
      <c r="W207" s="38" t="s">
        <v>0</v>
      </c>
      <c r="X207" s="56">
        <v>194.4</v>
      </c>
      <c r="Y207" s="53">
        <f t="shared" si="16"/>
        <v>194.4</v>
      </c>
      <c r="Z207" s="39">
        <f>IFERROR(IF(Y207=0,"",ROUNDUP(Y207/H207,0)*0.00902),"")</f>
        <v>0.32472000000000001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201.23999999999998</v>
      </c>
      <c r="BN207" s="75">
        <f t="shared" si="18"/>
        <v>201.23999999999998</v>
      </c>
      <c r="BO207" s="75">
        <f t="shared" si="19"/>
        <v>0.27272727272727271</v>
      </c>
      <c r="BP207" s="75">
        <f t="shared" si="20"/>
        <v>0.27272727272727271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0">
        <v>4680115882669</v>
      </c>
      <c r="E208" s="620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2"/>
      <c r="R208" s="622"/>
      <c r="S208" s="622"/>
      <c r="T208" s="623"/>
      <c r="U208" s="37" t="s">
        <v>45</v>
      </c>
      <c r="V208" s="37" t="s">
        <v>45</v>
      </c>
      <c r="W208" s="38" t="s">
        <v>0</v>
      </c>
      <c r="X208" s="56">
        <v>259.2</v>
      </c>
      <c r="Y208" s="53">
        <f t="shared" si="16"/>
        <v>259.20000000000005</v>
      </c>
      <c r="Z208" s="39">
        <f>IFERROR(IF(Y208=0,"",ROUNDUP(Y208/H208,0)*0.00902),"")</f>
        <v>0.43296000000000001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268.31999999999994</v>
      </c>
      <c r="BN208" s="75">
        <f t="shared" si="18"/>
        <v>268.32</v>
      </c>
      <c r="BO208" s="75">
        <f t="shared" si="19"/>
        <v>0.36363636363636359</v>
      </c>
      <c r="BP208" s="75">
        <f t="shared" si="20"/>
        <v>0.3636363636363637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0">
        <v>4680115882676</v>
      </c>
      <c r="E209" s="620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2"/>
      <c r="R209" s="622"/>
      <c r="S209" s="622"/>
      <c r="T209" s="623"/>
      <c r="U209" s="37" t="s">
        <v>45</v>
      </c>
      <c r="V209" s="37" t="s">
        <v>45</v>
      </c>
      <c r="W209" s="38" t="s">
        <v>0</v>
      </c>
      <c r="X209" s="56">
        <v>129.6</v>
      </c>
      <c r="Y209" s="53">
        <f t="shared" si="16"/>
        <v>129.60000000000002</v>
      </c>
      <c r="Z209" s="39">
        <f>IFERROR(IF(Y209=0,"",ROUNDUP(Y209/H209,0)*0.00902),"")</f>
        <v>0.21648000000000001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134.15999999999997</v>
      </c>
      <c r="BN209" s="75">
        <f t="shared" si="18"/>
        <v>134.16</v>
      </c>
      <c r="BO209" s="75">
        <f t="shared" si="19"/>
        <v>0.1818181818181818</v>
      </c>
      <c r="BP209" s="75">
        <f t="shared" si="20"/>
        <v>0.18181818181818185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620">
        <v>4680115884014</v>
      </c>
      <c r="E210" s="620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2"/>
      <c r="R210" s="622"/>
      <c r="S210" s="622"/>
      <c r="T210" s="623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620">
        <v>4680115884007</v>
      </c>
      <c r="E211" s="620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2"/>
      <c r="R211" s="622"/>
      <c r="S211" s="622"/>
      <c r="T211" s="62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620">
        <v>4680115884038</v>
      </c>
      <c r="E212" s="620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2"/>
      <c r="R212" s="622"/>
      <c r="S212" s="622"/>
      <c r="T212" s="62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620">
        <v>4680115884021</v>
      </c>
      <c r="E213" s="62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2"/>
      <c r="R213" s="622"/>
      <c r="S213" s="622"/>
      <c r="T213" s="62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28"/>
      <c r="B214" s="628"/>
      <c r="C214" s="628"/>
      <c r="D214" s="628"/>
      <c r="E214" s="628"/>
      <c r="F214" s="628"/>
      <c r="G214" s="628"/>
      <c r="H214" s="628"/>
      <c r="I214" s="628"/>
      <c r="J214" s="628"/>
      <c r="K214" s="628"/>
      <c r="L214" s="628"/>
      <c r="M214" s="628"/>
      <c r="N214" s="628"/>
      <c r="O214" s="629"/>
      <c r="P214" s="625" t="s">
        <v>40</v>
      </c>
      <c r="Q214" s="626"/>
      <c r="R214" s="626"/>
      <c r="S214" s="626"/>
      <c r="T214" s="626"/>
      <c r="U214" s="626"/>
      <c r="V214" s="627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168</v>
      </c>
      <c r="Y214" s="41">
        <f>IFERROR(Y206/H206,"0")+IFERROR(Y207/H207,"0")+IFERROR(Y208/H208,"0")+IFERROR(Y209/H209,"0")+IFERROR(Y210/H210,"0")+IFERROR(Y211/H211,"0")+IFERROR(Y212/H212,"0")+IFERROR(Y213/H213,"0")</f>
        <v>168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1.51536</v>
      </c>
      <c r="AA214" s="64"/>
      <c r="AB214" s="64"/>
      <c r="AC214" s="64"/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0" t="s">
        <v>0</v>
      </c>
      <c r="X215" s="41">
        <f>IFERROR(SUM(X206:X213),"0")</f>
        <v>907.19999999999993</v>
      </c>
      <c r="Y215" s="41">
        <f>IFERROR(SUM(Y206:Y213),"0")</f>
        <v>907.2</v>
      </c>
      <c r="Z215" s="40"/>
      <c r="AA215" s="64"/>
      <c r="AB215" s="64"/>
      <c r="AC215" s="64"/>
    </row>
    <row r="216" spans="1:68" ht="14.25" customHeight="1" x14ac:dyDescent="0.25">
      <c r="A216" s="619" t="s">
        <v>86</v>
      </c>
      <c r="B216" s="619"/>
      <c r="C216" s="619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  <c r="S216" s="619"/>
      <c r="T216" s="619"/>
      <c r="U216" s="619"/>
      <c r="V216" s="619"/>
      <c r="W216" s="619"/>
      <c r="X216" s="619"/>
      <c r="Y216" s="619"/>
      <c r="Z216" s="619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620">
        <v>4680115881594</v>
      </c>
      <c r="E217" s="620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2"/>
      <c r="R217" s="622"/>
      <c r="S217" s="622"/>
      <c r="T217" s="62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620">
        <v>4680115881617</v>
      </c>
      <c r="E218" s="620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2"/>
      <c r="R218" s="622"/>
      <c r="S218" s="622"/>
      <c r="T218" s="62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0">
        <v>4680115880573</v>
      </c>
      <c r="E219" s="620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2"/>
      <c r="R219" s="622"/>
      <c r="S219" s="622"/>
      <c r="T219" s="623"/>
      <c r="U219" s="37" t="s">
        <v>45</v>
      </c>
      <c r="V219" s="37" t="s">
        <v>45</v>
      </c>
      <c r="W219" s="38" t="s">
        <v>0</v>
      </c>
      <c r="X219" s="56">
        <v>348</v>
      </c>
      <c r="Y219" s="53">
        <f t="shared" si="21"/>
        <v>348</v>
      </c>
      <c r="Z219" s="39">
        <f>IFERROR(IF(Y219=0,"",ROUNDUP(Y219/H219,0)*0.01898),"")</f>
        <v>0.75919999999999999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367.76000000000005</v>
      </c>
      <c r="BN219" s="75">
        <f t="shared" si="23"/>
        <v>367.76000000000005</v>
      </c>
      <c r="BO219" s="75">
        <f t="shared" si="24"/>
        <v>0.625</v>
      </c>
      <c r="BP219" s="75">
        <f t="shared" si="25"/>
        <v>0.625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0">
        <v>4680115882195</v>
      </c>
      <c r="E220" s="620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2"/>
      <c r="R220" s="622"/>
      <c r="S220" s="622"/>
      <c r="T220" s="623"/>
      <c r="U220" s="37" t="s">
        <v>45</v>
      </c>
      <c r="V220" s="37" t="s">
        <v>45</v>
      </c>
      <c r="W220" s="38" t="s">
        <v>0</v>
      </c>
      <c r="X220" s="56">
        <v>115.2</v>
      </c>
      <c r="Y220" s="53">
        <f t="shared" si="21"/>
        <v>115.19999999999999</v>
      </c>
      <c r="Z220" s="39">
        <f t="shared" ref="Z220:Z225" si="26">IFERROR(IF(Y220=0,"",ROUNDUP(Y220/H220,0)*0.00651),"")</f>
        <v>0.31247999999999998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128.16</v>
      </c>
      <c r="BN220" s="75">
        <f t="shared" si="23"/>
        <v>128.15999999999997</v>
      </c>
      <c r="BO220" s="75">
        <f t="shared" si="24"/>
        <v>0.26373626373626374</v>
      </c>
      <c r="BP220" s="75">
        <f t="shared" si="25"/>
        <v>0.26373626373626374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620">
        <v>4680115882607</v>
      </c>
      <c r="E221" s="620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2"/>
      <c r="R221" s="622"/>
      <c r="S221" s="622"/>
      <c r="T221" s="623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0">
        <v>4680115880092</v>
      </c>
      <c r="E222" s="620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2"/>
      <c r="R222" s="622"/>
      <c r="S222" s="622"/>
      <c r="T222" s="623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0">
        <v>4680115880221</v>
      </c>
      <c r="E223" s="620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2"/>
      <c r="R223" s="622"/>
      <c r="S223" s="622"/>
      <c r="T223" s="623"/>
      <c r="U223" s="37" t="s">
        <v>45</v>
      </c>
      <c r="V223" s="37" t="s">
        <v>45</v>
      </c>
      <c r="W223" s="38" t="s">
        <v>0</v>
      </c>
      <c r="X223" s="56">
        <v>57.6</v>
      </c>
      <c r="Y223" s="53">
        <f t="shared" si="21"/>
        <v>57.599999999999994</v>
      </c>
      <c r="Z223" s="39">
        <f t="shared" si="26"/>
        <v>0.15623999999999999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63.648000000000003</v>
      </c>
      <c r="BN223" s="75">
        <f t="shared" si="23"/>
        <v>63.648000000000003</v>
      </c>
      <c r="BO223" s="75">
        <f t="shared" si="24"/>
        <v>0.13186813186813187</v>
      </c>
      <c r="BP223" s="75">
        <f t="shared" si="25"/>
        <v>0.13186813186813187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620">
        <v>4680115880504</v>
      </c>
      <c r="E224" s="62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2"/>
      <c r="R224" s="622"/>
      <c r="S224" s="622"/>
      <c r="T224" s="623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0">
        <v>4680115882164</v>
      </c>
      <c r="E225" s="620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2"/>
      <c r="R225" s="622"/>
      <c r="S225" s="622"/>
      <c r="T225" s="623"/>
      <c r="U225" s="37" t="s">
        <v>45</v>
      </c>
      <c r="V225" s="37" t="s">
        <v>45</v>
      </c>
      <c r="W225" s="38" t="s">
        <v>0</v>
      </c>
      <c r="X225" s="56">
        <v>28.8</v>
      </c>
      <c r="Y225" s="53">
        <f t="shared" si="21"/>
        <v>28.799999999999997</v>
      </c>
      <c r="Z225" s="39">
        <f t="shared" si="26"/>
        <v>7.8119999999999995E-2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31.896000000000001</v>
      </c>
      <c r="BN225" s="75">
        <f t="shared" si="23"/>
        <v>31.896000000000001</v>
      </c>
      <c r="BO225" s="75">
        <f t="shared" si="24"/>
        <v>6.5934065934065936E-2</v>
      </c>
      <c r="BP225" s="75">
        <f t="shared" si="25"/>
        <v>6.5934065934065936E-2</v>
      </c>
    </row>
    <row r="226" spans="1:68" x14ac:dyDescent="0.2">
      <c r="A226" s="628"/>
      <c r="B226" s="628"/>
      <c r="C226" s="628"/>
      <c r="D226" s="628"/>
      <c r="E226" s="628"/>
      <c r="F226" s="628"/>
      <c r="G226" s="628"/>
      <c r="H226" s="628"/>
      <c r="I226" s="628"/>
      <c r="J226" s="628"/>
      <c r="K226" s="628"/>
      <c r="L226" s="628"/>
      <c r="M226" s="628"/>
      <c r="N226" s="628"/>
      <c r="O226" s="629"/>
      <c r="P226" s="625" t="s">
        <v>40</v>
      </c>
      <c r="Q226" s="626"/>
      <c r="R226" s="626"/>
      <c r="S226" s="626"/>
      <c r="T226" s="626"/>
      <c r="U226" s="626"/>
      <c r="V226" s="627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160</v>
      </c>
      <c r="Y226" s="41">
        <f>IFERROR(Y217/H217,"0")+IFERROR(Y218/H218,"0")+IFERROR(Y219/H219,"0")+IFERROR(Y220/H220,"0")+IFERROR(Y221/H221,"0")+IFERROR(Y222/H222,"0")+IFERROR(Y223/H223,"0")+IFERROR(Y224/H224,"0")+IFERROR(Y225/H225,"0")</f>
        <v>160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1.5403999999999998</v>
      </c>
      <c r="AA226" s="64"/>
      <c r="AB226" s="64"/>
      <c r="AC226" s="64"/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0</v>
      </c>
      <c r="X227" s="41">
        <f>IFERROR(SUM(X217:X225),"0")</f>
        <v>636</v>
      </c>
      <c r="Y227" s="41">
        <f>IFERROR(SUM(Y217:Y225),"0")</f>
        <v>636</v>
      </c>
      <c r="Z227" s="40"/>
      <c r="AA227" s="64"/>
      <c r="AB227" s="64"/>
      <c r="AC227" s="64"/>
    </row>
    <row r="228" spans="1:68" ht="14.25" customHeight="1" x14ac:dyDescent="0.25">
      <c r="A228" s="619" t="s">
        <v>173</v>
      </c>
      <c r="B228" s="619"/>
      <c r="C228" s="619"/>
      <c r="D228" s="619"/>
      <c r="E228" s="619"/>
      <c r="F228" s="619"/>
      <c r="G228" s="619"/>
      <c r="H228" s="619"/>
      <c r="I228" s="619"/>
      <c r="J228" s="619"/>
      <c r="K228" s="619"/>
      <c r="L228" s="619"/>
      <c r="M228" s="619"/>
      <c r="N228" s="619"/>
      <c r="O228" s="619"/>
      <c r="P228" s="619"/>
      <c r="Q228" s="619"/>
      <c r="R228" s="619"/>
      <c r="S228" s="619"/>
      <c r="T228" s="619"/>
      <c r="U228" s="619"/>
      <c r="V228" s="619"/>
      <c r="W228" s="619"/>
      <c r="X228" s="619"/>
      <c r="Y228" s="619"/>
      <c r="Z228" s="619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620">
        <v>4680115880818</v>
      </c>
      <c r="E229" s="620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2"/>
      <c r="R229" s="622"/>
      <c r="S229" s="622"/>
      <c r="T229" s="623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620">
        <v>4680115880801</v>
      </c>
      <c r="E230" s="620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2"/>
      <c r="R230" s="622"/>
      <c r="S230" s="622"/>
      <c r="T230" s="623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628"/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9"/>
      <c r="P231" s="625" t="s">
        <v>40</v>
      </c>
      <c r="Q231" s="626"/>
      <c r="R231" s="626"/>
      <c r="S231" s="626"/>
      <c r="T231" s="626"/>
      <c r="U231" s="626"/>
      <c r="V231" s="627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628"/>
      <c r="B232" s="628"/>
      <c r="C232" s="628"/>
      <c r="D232" s="628"/>
      <c r="E232" s="628"/>
      <c r="F232" s="628"/>
      <c r="G232" s="628"/>
      <c r="H232" s="628"/>
      <c r="I232" s="628"/>
      <c r="J232" s="628"/>
      <c r="K232" s="628"/>
      <c r="L232" s="628"/>
      <c r="M232" s="628"/>
      <c r="N232" s="628"/>
      <c r="O232" s="629"/>
      <c r="P232" s="625" t="s">
        <v>40</v>
      </c>
      <c r="Q232" s="626"/>
      <c r="R232" s="626"/>
      <c r="S232" s="626"/>
      <c r="T232" s="626"/>
      <c r="U232" s="626"/>
      <c r="V232" s="627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618" t="s">
        <v>393</v>
      </c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  <c r="R233" s="618"/>
      <c r="S233" s="618"/>
      <c r="T233" s="618"/>
      <c r="U233" s="618"/>
      <c r="V233" s="618"/>
      <c r="W233" s="618"/>
      <c r="X233" s="618"/>
      <c r="Y233" s="618"/>
      <c r="Z233" s="618"/>
      <c r="AA233" s="62"/>
      <c r="AB233" s="62"/>
      <c r="AC233" s="62"/>
    </row>
    <row r="234" spans="1:68" ht="14.25" customHeight="1" x14ac:dyDescent="0.25">
      <c r="A234" s="619" t="s">
        <v>114</v>
      </c>
      <c r="B234" s="619"/>
      <c r="C234" s="619"/>
      <c r="D234" s="619"/>
      <c r="E234" s="619"/>
      <c r="F234" s="619"/>
      <c r="G234" s="619"/>
      <c r="H234" s="619"/>
      <c r="I234" s="619"/>
      <c r="J234" s="619"/>
      <c r="K234" s="619"/>
      <c r="L234" s="619"/>
      <c r="M234" s="619"/>
      <c r="N234" s="619"/>
      <c r="O234" s="619"/>
      <c r="P234" s="619"/>
      <c r="Q234" s="619"/>
      <c r="R234" s="619"/>
      <c r="S234" s="619"/>
      <c r="T234" s="619"/>
      <c r="U234" s="619"/>
      <c r="V234" s="619"/>
      <c r="W234" s="619"/>
      <c r="X234" s="619"/>
      <c r="Y234" s="619"/>
      <c r="Z234" s="619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620">
        <v>4680115884137</v>
      </c>
      <c r="E235" s="620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2"/>
      <c r="R235" s="622"/>
      <c r="S235" s="622"/>
      <c r="T235" s="62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620">
        <v>4680115884236</v>
      </c>
      <c r="E236" s="620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2"/>
      <c r="R236" s="622"/>
      <c r="S236" s="622"/>
      <c r="T236" s="62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620">
        <v>4680115884175</v>
      </c>
      <c r="E237" s="620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2"/>
      <c r="R237" s="622"/>
      <c r="S237" s="622"/>
      <c r="T237" s="62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620">
        <v>4680115884144</v>
      </c>
      <c r="E238" s="620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2"/>
      <c r="R238" s="622"/>
      <c r="S238" s="622"/>
      <c r="T238" s="623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620">
        <v>4680115886551</v>
      </c>
      <c r="E239" s="620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2"/>
      <c r="R239" s="622"/>
      <c r="S239" s="622"/>
      <c r="T239" s="623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620">
        <v>4680115887282</v>
      </c>
      <c r="E240" s="620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2"/>
      <c r="R240" s="622"/>
      <c r="S240" s="622"/>
      <c r="T240" s="623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620">
        <v>4680115884205</v>
      </c>
      <c r="E241" s="620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2"/>
      <c r="R241" s="622"/>
      <c r="S241" s="622"/>
      <c r="T241" s="623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619" t="s">
        <v>147</v>
      </c>
      <c r="B244" s="619"/>
      <c r="C244" s="619"/>
      <c r="D244" s="619"/>
      <c r="E244" s="619"/>
      <c r="F244" s="619"/>
      <c r="G244" s="619"/>
      <c r="H244" s="619"/>
      <c r="I244" s="619"/>
      <c r="J244" s="619"/>
      <c r="K244" s="619"/>
      <c r="L244" s="619"/>
      <c r="M244" s="619"/>
      <c r="N244" s="619"/>
      <c r="O244" s="619"/>
      <c r="P244" s="619"/>
      <c r="Q244" s="619"/>
      <c r="R244" s="619"/>
      <c r="S244" s="619"/>
      <c r="T244" s="619"/>
      <c r="U244" s="619"/>
      <c r="V244" s="619"/>
      <c r="W244" s="619"/>
      <c r="X244" s="619"/>
      <c r="Y244" s="619"/>
      <c r="Z244" s="619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620">
        <v>4680115885981</v>
      </c>
      <c r="E245" s="620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2"/>
      <c r="R245" s="622"/>
      <c r="S245" s="622"/>
      <c r="T245" s="623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628"/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9"/>
      <c r="P247" s="625" t="s">
        <v>40</v>
      </c>
      <c r="Q247" s="626"/>
      <c r="R247" s="626"/>
      <c r="S247" s="626"/>
      <c r="T247" s="626"/>
      <c r="U247" s="626"/>
      <c r="V247" s="627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619" t="s">
        <v>416</v>
      </c>
      <c r="B248" s="619"/>
      <c r="C248" s="619"/>
      <c r="D248" s="619"/>
      <c r="E248" s="619"/>
      <c r="F248" s="619"/>
      <c r="G248" s="619"/>
      <c r="H248" s="619"/>
      <c r="I248" s="619"/>
      <c r="J248" s="619"/>
      <c r="K248" s="619"/>
      <c r="L248" s="619"/>
      <c r="M248" s="619"/>
      <c r="N248" s="619"/>
      <c r="O248" s="619"/>
      <c r="P248" s="619"/>
      <c r="Q248" s="619"/>
      <c r="R248" s="619"/>
      <c r="S248" s="619"/>
      <c r="T248" s="619"/>
      <c r="U248" s="619"/>
      <c r="V248" s="619"/>
      <c r="W248" s="619"/>
      <c r="X248" s="619"/>
      <c r="Y248" s="619"/>
      <c r="Z248" s="619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620">
        <v>4680115886803</v>
      </c>
      <c r="E249" s="620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2"/>
      <c r="R249" s="622"/>
      <c r="S249" s="622"/>
      <c r="T249" s="62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619" t="s">
        <v>420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620">
        <v>4680115886704</v>
      </c>
      <c r="E253" s="620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2"/>
      <c r="R253" s="622"/>
      <c r="S253" s="622"/>
      <c r="T253" s="623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620">
        <v>4680115886681</v>
      </c>
      <c r="E254" s="620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2"/>
      <c r="R254" s="622"/>
      <c r="S254" s="622"/>
      <c r="T254" s="623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620">
        <v>4680115886735</v>
      </c>
      <c r="E255" s="620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2"/>
      <c r="R255" s="622"/>
      <c r="S255" s="622"/>
      <c r="T255" s="62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620">
        <v>4680115886728</v>
      </c>
      <c r="E256" s="620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2"/>
      <c r="R256" s="622"/>
      <c r="S256" s="622"/>
      <c r="T256" s="62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620">
        <v>4680115886711</v>
      </c>
      <c r="E257" s="620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2"/>
      <c r="R257" s="622"/>
      <c r="S257" s="622"/>
      <c r="T257" s="62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628"/>
      <c r="B258" s="628"/>
      <c r="C258" s="628"/>
      <c r="D258" s="628"/>
      <c r="E258" s="628"/>
      <c r="F258" s="628"/>
      <c r="G258" s="628"/>
      <c r="H258" s="628"/>
      <c r="I258" s="628"/>
      <c r="J258" s="628"/>
      <c r="K258" s="628"/>
      <c r="L258" s="628"/>
      <c r="M258" s="628"/>
      <c r="N258" s="628"/>
      <c r="O258" s="629"/>
      <c r="P258" s="625" t="s">
        <v>40</v>
      </c>
      <c r="Q258" s="626"/>
      <c r="R258" s="626"/>
      <c r="S258" s="626"/>
      <c r="T258" s="626"/>
      <c r="U258" s="626"/>
      <c r="V258" s="62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618" t="s">
        <v>432</v>
      </c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  <c r="P260" s="618"/>
      <c r="Q260" s="618"/>
      <c r="R260" s="618"/>
      <c r="S260" s="618"/>
      <c r="T260" s="618"/>
      <c r="U260" s="618"/>
      <c r="V260" s="618"/>
      <c r="W260" s="618"/>
      <c r="X260" s="618"/>
      <c r="Y260" s="618"/>
      <c r="Z260" s="618"/>
      <c r="AA260" s="62"/>
      <c r="AB260" s="62"/>
      <c r="AC260" s="62"/>
    </row>
    <row r="261" spans="1:68" ht="14.25" customHeight="1" x14ac:dyDescent="0.25">
      <c r="A261" s="619" t="s">
        <v>114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620">
        <v>4680115885837</v>
      </c>
      <c r="E262" s="6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2"/>
      <c r="R262" s="622"/>
      <c r="S262" s="622"/>
      <c r="T262" s="623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620">
        <v>4680115885851</v>
      </c>
      <c r="E263" s="620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2"/>
      <c r="R263" s="622"/>
      <c r="S263" s="622"/>
      <c r="T263" s="623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620">
        <v>4680115885806</v>
      </c>
      <c r="E264" s="620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2"/>
      <c r="R264" s="622"/>
      <c r="S264" s="622"/>
      <c r="T264" s="62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620">
        <v>4680115885844</v>
      </c>
      <c r="E265" s="620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2"/>
      <c r="R265" s="622"/>
      <c r="S265" s="622"/>
      <c r="T265" s="62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620">
        <v>4680115885820</v>
      </c>
      <c r="E266" s="620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2"/>
      <c r="R266" s="622"/>
      <c r="S266" s="622"/>
      <c r="T266" s="62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618" t="s">
        <v>448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2"/>
      <c r="AB269" s="62"/>
      <c r="AC269" s="62"/>
    </row>
    <row r="270" spans="1:68" ht="14.25" customHeight="1" x14ac:dyDescent="0.25">
      <c r="A270" s="619" t="s">
        <v>114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620">
        <v>4607091383423</v>
      </c>
      <c r="E271" s="620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2"/>
      <c r="R271" s="622"/>
      <c r="S271" s="622"/>
      <c r="T271" s="62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620">
        <v>4680115886957</v>
      </c>
      <c r="E272" s="620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2"/>
      <c r="R272" s="622"/>
      <c r="S272" s="622"/>
      <c r="T272" s="62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620">
        <v>4680115885660</v>
      </c>
      <c r="E273" s="620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2"/>
      <c r="R273" s="622"/>
      <c r="S273" s="622"/>
      <c r="T273" s="623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620">
        <v>4680115886773</v>
      </c>
      <c r="E274" s="620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5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2"/>
      <c r="R274" s="622"/>
      <c r="S274" s="622"/>
      <c r="T274" s="623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618" t="s">
        <v>459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2"/>
      <c r="AB277" s="62"/>
      <c r="AC277" s="62"/>
    </row>
    <row r="278" spans="1:68" ht="14.25" customHeight="1" x14ac:dyDescent="0.25">
      <c r="A278" s="619" t="s">
        <v>86</v>
      </c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19"/>
      <c r="N278" s="619"/>
      <c r="O278" s="619"/>
      <c r="P278" s="619"/>
      <c r="Q278" s="619"/>
      <c r="R278" s="619"/>
      <c r="S278" s="619"/>
      <c r="T278" s="619"/>
      <c r="U278" s="619"/>
      <c r="V278" s="619"/>
      <c r="W278" s="619"/>
      <c r="X278" s="619"/>
      <c r="Y278" s="619"/>
      <c r="Z278" s="619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620">
        <v>4680115886186</v>
      </c>
      <c r="E279" s="620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2"/>
      <c r="R279" s="622"/>
      <c r="S279" s="622"/>
      <c r="T279" s="62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0">
        <v>4680115881228</v>
      </c>
      <c r="E280" s="620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2"/>
      <c r="R280" s="622"/>
      <c r="S280" s="622"/>
      <c r="T280" s="623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0">
        <v>4680115881211</v>
      </c>
      <c r="E281" s="620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2"/>
      <c r="R281" s="622"/>
      <c r="S281" s="622"/>
      <c r="T281" s="623"/>
      <c r="U281" s="37" t="s">
        <v>45</v>
      </c>
      <c r="V281" s="37" t="s">
        <v>45</v>
      </c>
      <c r="W281" s="38" t="s">
        <v>0</v>
      </c>
      <c r="X281" s="56">
        <v>28.8</v>
      </c>
      <c r="Y281" s="53">
        <f>IFERROR(IF(X281="",0,CEILING((X281/$H281),1)*$H281),"")</f>
        <v>28.799999999999997</v>
      </c>
      <c r="Z281" s="39">
        <f>IFERROR(IF(Y281=0,"",ROUNDUP(Y281/H281,0)*0.00651),"")</f>
        <v>7.8119999999999995E-2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30.96</v>
      </c>
      <c r="BN281" s="75">
        <f>IFERROR(Y281*I281/H281,"0")</f>
        <v>30.959999999999997</v>
      </c>
      <c r="BO281" s="75">
        <f>IFERROR(1/J281*(X281/H281),"0")</f>
        <v>6.5934065934065936E-2</v>
      </c>
      <c r="BP281" s="75">
        <f>IFERROR(1/J281*(Y281/H281),"0")</f>
        <v>6.5934065934065936E-2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IFERROR(X279/H279,"0")+IFERROR(X280/H280,"0")+IFERROR(X281/H281,"0")</f>
        <v>24</v>
      </c>
      <c r="Y282" s="41">
        <f>IFERROR(Y279/H279,"0")+IFERROR(Y280/H280,"0")+IFERROR(Y281/H281,"0")</f>
        <v>24</v>
      </c>
      <c r="Z282" s="41">
        <f>IFERROR(IF(Z279="",0,Z279),"0")+IFERROR(IF(Z280="",0,Z280),"0")+IFERROR(IF(Z281="",0,Z281),"0")</f>
        <v>0.15623999999999999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IFERROR(SUM(X279:X281),"0")</f>
        <v>57.6</v>
      </c>
      <c r="Y283" s="41">
        <f>IFERROR(SUM(Y279:Y281),"0")</f>
        <v>57.599999999999994</v>
      </c>
      <c r="Z283" s="40"/>
      <c r="AA283" s="64"/>
      <c r="AB283" s="64"/>
      <c r="AC283" s="64"/>
    </row>
    <row r="284" spans="1:68" ht="16.5" customHeight="1" x14ac:dyDescent="0.25">
      <c r="A284" s="618" t="s">
        <v>468</v>
      </c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  <c r="P284" s="618"/>
      <c r="Q284" s="618"/>
      <c r="R284" s="618"/>
      <c r="S284" s="618"/>
      <c r="T284" s="618"/>
      <c r="U284" s="618"/>
      <c r="V284" s="618"/>
      <c r="W284" s="618"/>
      <c r="X284" s="618"/>
      <c r="Y284" s="618"/>
      <c r="Z284" s="618"/>
      <c r="AA284" s="62"/>
      <c r="AB284" s="62"/>
      <c r="AC284" s="62"/>
    </row>
    <row r="285" spans="1:68" ht="14.25" customHeight="1" x14ac:dyDescent="0.25">
      <c r="A285" s="619" t="s">
        <v>76</v>
      </c>
      <c r="B285" s="619"/>
      <c r="C285" s="619"/>
      <c r="D285" s="619"/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620">
        <v>4680115880344</v>
      </c>
      <c r="E286" s="620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2"/>
      <c r="R286" s="622"/>
      <c r="S286" s="622"/>
      <c r="T286" s="62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620">
        <v>4680115886919</v>
      </c>
      <c r="E287" s="620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2"/>
      <c r="R287" s="622"/>
      <c r="S287" s="622"/>
      <c r="T287" s="623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628"/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9"/>
      <c r="P289" s="625" t="s">
        <v>40</v>
      </c>
      <c r="Q289" s="626"/>
      <c r="R289" s="626"/>
      <c r="S289" s="626"/>
      <c r="T289" s="626"/>
      <c r="U289" s="626"/>
      <c r="V289" s="627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619" t="s">
        <v>86</v>
      </c>
      <c r="B290" s="619"/>
      <c r="C290" s="619"/>
      <c r="D290" s="619"/>
      <c r="E290" s="619"/>
      <c r="F290" s="619"/>
      <c r="G290" s="619"/>
      <c r="H290" s="619"/>
      <c r="I290" s="619"/>
      <c r="J290" s="619"/>
      <c r="K290" s="619"/>
      <c r="L290" s="619"/>
      <c r="M290" s="619"/>
      <c r="N290" s="619"/>
      <c r="O290" s="619"/>
      <c r="P290" s="619"/>
      <c r="Q290" s="619"/>
      <c r="R290" s="619"/>
      <c r="S290" s="619"/>
      <c r="T290" s="619"/>
      <c r="U290" s="619"/>
      <c r="V290" s="619"/>
      <c r="W290" s="619"/>
      <c r="X290" s="619"/>
      <c r="Y290" s="619"/>
      <c r="Z290" s="619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620">
        <v>4680115884618</v>
      </c>
      <c r="E291" s="620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2"/>
      <c r="R291" s="622"/>
      <c r="S291" s="622"/>
      <c r="T291" s="62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620">
        <v>4680115887114</v>
      </c>
      <c r="E292" s="620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2"/>
      <c r="R292" s="622"/>
      <c r="S292" s="622"/>
      <c r="T292" s="62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628"/>
      <c r="B293" s="628"/>
      <c r="C293" s="628"/>
      <c r="D293" s="628"/>
      <c r="E293" s="628"/>
      <c r="F293" s="628"/>
      <c r="G293" s="628"/>
      <c r="H293" s="628"/>
      <c r="I293" s="628"/>
      <c r="J293" s="628"/>
      <c r="K293" s="628"/>
      <c r="L293" s="628"/>
      <c r="M293" s="628"/>
      <c r="N293" s="628"/>
      <c r="O293" s="629"/>
      <c r="P293" s="625" t="s">
        <v>40</v>
      </c>
      <c r="Q293" s="626"/>
      <c r="R293" s="626"/>
      <c r="S293" s="626"/>
      <c r="T293" s="626"/>
      <c r="U293" s="626"/>
      <c r="V293" s="627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618" t="s">
        <v>481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2"/>
      <c r="AB295" s="62"/>
      <c r="AC295" s="62"/>
    </row>
    <row r="296" spans="1:68" ht="14.25" customHeight="1" x14ac:dyDescent="0.25">
      <c r="A296" s="619" t="s">
        <v>114</v>
      </c>
      <c r="B296" s="619"/>
      <c r="C296" s="619"/>
      <c r="D296" s="619"/>
      <c r="E296" s="619"/>
      <c r="F296" s="619"/>
      <c r="G296" s="619"/>
      <c r="H296" s="619"/>
      <c r="I296" s="619"/>
      <c r="J296" s="619"/>
      <c r="K296" s="619"/>
      <c r="L296" s="619"/>
      <c r="M296" s="619"/>
      <c r="N296" s="619"/>
      <c r="O296" s="619"/>
      <c r="P296" s="619"/>
      <c r="Q296" s="619"/>
      <c r="R296" s="619"/>
      <c r="S296" s="619"/>
      <c r="T296" s="619"/>
      <c r="U296" s="619"/>
      <c r="V296" s="619"/>
      <c r="W296" s="619"/>
      <c r="X296" s="619"/>
      <c r="Y296" s="619"/>
      <c r="Z296" s="619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620">
        <v>4680115885615</v>
      </c>
      <c r="E297" s="620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2"/>
      <c r="R297" s="622"/>
      <c r="S297" s="622"/>
      <c r="T297" s="623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620">
        <v>4680115885646</v>
      </c>
      <c r="E298" s="620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2"/>
      <c r="R298" s="622"/>
      <c r="S298" s="622"/>
      <c r="T298" s="623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620">
        <v>4680115885554</v>
      </c>
      <c r="E299" s="620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2"/>
      <c r="R299" s="622"/>
      <c r="S299" s="622"/>
      <c r="T299" s="62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620">
        <v>4680115885622</v>
      </c>
      <c r="E300" s="620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2"/>
      <c r="R300" s="622"/>
      <c r="S300" s="622"/>
      <c r="T300" s="623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620">
        <v>4680115885608</v>
      </c>
      <c r="E301" s="620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2"/>
      <c r="R301" s="622"/>
      <c r="S301" s="622"/>
      <c r="T301" s="623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619" t="s">
        <v>76</v>
      </c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620">
        <v>4607091387193</v>
      </c>
      <c r="E305" s="620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2"/>
      <c r="R305" s="622"/>
      <c r="S305" s="622"/>
      <c r="T305" s="623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620">
        <v>4607091387230</v>
      </c>
      <c r="E306" s="620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2"/>
      <c r="R306" s="622"/>
      <c r="S306" s="622"/>
      <c r="T306" s="623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620">
        <v>4607091387292</v>
      </c>
      <c r="E307" s="620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2"/>
      <c r="R307" s="622"/>
      <c r="S307" s="622"/>
      <c r="T307" s="623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620">
        <v>4607091387285</v>
      </c>
      <c r="E308" s="620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2"/>
      <c r="R308" s="622"/>
      <c r="S308" s="622"/>
      <c r="T308" s="623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620">
        <v>4607091389845</v>
      </c>
      <c r="E309" s="620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2"/>
      <c r="R309" s="622"/>
      <c r="S309" s="622"/>
      <c r="T309" s="623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620">
        <v>4680115887442</v>
      </c>
      <c r="E310" s="620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7" t="s">
        <v>512</v>
      </c>
      <c r="Q310" s="622"/>
      <c r="R310" s="622"/>
      <c r="S310" s="622"/>
      <c r="T310" s="623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620">
        <v>4607091383836</v>
      </c>
      <c r="E311" s="620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2"/>
      <c r="R311" s="622"/>
      <c r="S311" s="622"/>
      <c r="T311" s="623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619" t="s">
        <v>86</v>
      </c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620">
        <v>4607091387766</v>
      </c>
      <c r="E315" s="620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2"/>
      <c r="R315" s="622"/>
      <c r="S315" s="622"/>
      <c r="T315" s="623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620">
        <v>4607091387957</v>
      </c>
      <c r="E316" s="62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2"/>
      <c r="R316" s="622"/>
      <c r="S316" s="622"/>
      <c r="T316" s="623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620">
        <v>4607091387964</v>
      </c>
      <c r="E317" s="620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2"/>
      <c r="R317" s="622"/>
      <c r="S317" s="622"/>
      <c r="T317" s="623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620">
        <v>4680115884588</v>
      </c>
      <c r="E318" s="620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2"/>
      <c r="R318" s="622"/>
      <c r="S318" s="622"/>
      <c r="T318" s="623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628"/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9"/>
      <c r="P320" s="625" t="s">
        <v>40</v>
      </c>
      <c r="Q320" s="626"/>
      <c r="R320" s="626"/>
      <c r="S320" s="626"/>
      <c r="T320" s="626"/>
      <c r="U320" s="626"/>
      <c r="V320" s="627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619" t="s">
        <v>173</v>
      </c>
      <c r="B321" s="619"/>
      <c r="C321" s="619"/>
      <c r="D321" s="619"/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0">
        <v>4607091380880</v>
      </c>
      <c r="E322" s="620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2"/>
      <c r="R322" s="622"/>
      <c r="S322" s="622"/>
      <c r="T322" s="623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0">
        <v>4607091384482</v>
      </c>
      <c r="E323" s="620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2"/>
      <c r="R323" s="622"/>
      <c r="S323" s="622"/>
      <c r="T323" s="623"/>
      <c r="U323" s="37" t="s">
        <v>45</v>
      </c>
      <c r="V323" s="37" t="s">
        <v>45</v>
      </c>
      <c r="W323" s="38" t="s">
        <v>0</v>
      </c>
      <c r="X323" s="56">
        <v>187.2</v>
      </c>
      <c r="Y323" s="53">
        <f>IFERROR(IF(X323="",0,CEILING((X323/$H323),1)*$H323),"")</f>
        <v>187.2</v>
      </c>
      <c r="Z323" s="39">
        <f>IFERROR(IF(Y323=0,"",ROUNDUP(Y323/H323,0)*0.01898),"")</f>
        <v>0.45552000000000004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199.05600000000001</v>
      </c>
      <c r="BN323" s="75">
        <f>IFERROR(Y323*I323/H323,"0")</f>
        <v>199.05600000000001</v>
      </c>
      <c r="BO323" s="75">
        <f>IFERROR(1/J323*(X323/H323),"0")</f>
        <v>0.375</v>
      </c>
      <c r="BP323" s="75">
        <f>IFERROR(1/J323*(Y323/H323),"0")</f>
        <v>0.375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0">
        <v>4607091380897</v>
      </c>
      <c r="E324" s="620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2"/>
      <c r="R324" s="622"/>
      <c r="S324" s="622"/>
      <c r="T324" s="623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0" t="s">
        <v>39</v>
      </c>
      <c r="X325" s="41">
        <f>IFERROR(X322/H322,"0")+IFERROR(X323/H323,"0")+IFERROR(X324/H324,"0")</f>
        <v>72</v>
      </c>
      <c r="Y325" s="41">
        <f>IFERROR(Y322/H322,"0")+IFERROR(Y323/H323,"0")+IFERROR(Y324/H324,"0")</f>
        <v>72</v>
      </c>
      <c r="Z325" s="41">
        <f>IFERROR(IF(Z322="",0,Z322),"0")+IFERROR(IF(Z323="",0,Z323),"0")+IFERROR(IF(Z324="",0,Z324),"0")</f>
        <v>1.36656</v>
      </c>
      <c r="AA325" s="64"/>
      <c r="AB325" s="64"/>
      <c r="AC325" s="64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0" t="s">
        <v>0</v>
      </c>
      <c r="X326" s="41">
        <f>IFERROR(SUM(X322:X324),"0")</f>
        <v>590.4</v>
      </c>
      <c r="Y326" s="41">
        <f>IFERROR(SUM(Y322:Y324),"0")</f>
        <v>590.4</v>
      </c>
      <c r="Z326" s="40"/>
      <c r="AA326" s="64"/>
      <c r="AB326" s="64"/>
      <c r="AC326" s="64"/>
    </row>
    <row r="327" spans="1:68" ht="14.25" customHeight="1" x14ac:dyDescent="0.25">
      <c r="A327" s="619" t="s">
        <v>106</v>
      </c>
      <c r="B327" s="619"/>
      <c r="C327" s="619"/>
      <c r="D327" s="619"/>
      <c r="E327" s="619"/>
      <c r="F327" s="619"/>
      <c r="G327" s="619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  <c r="S327" s="619"/>
      <c r="T327" s="619"/>
      <c r="U327" s="619"/>
      <c r="V327" s="619"/>
      <c r="W327" s="619"/>
      <c r="X327" s="619"/>
      <c r="Y327" s="619"/>
      <c r="Z327" s="619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620">
        <v>4607091388381</v>
      </c>
      <c r="E328" s="620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2"/>
      <c r="R328" s="622"/>
      <c r="S328" s="622"/>
      <c r="T328" s="62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620">
        <v>4607091388374</v>
      </c>
      <c r="E329" s="620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2"/>
      <c r="R329" s="622"/>
      <c r="S329" s="622"/>
      <c r="T329" s="62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620">
        <v>4607091383102</v>
      </c>
      <c r="E330" s="620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2"/>
      <c r="R330" s="622"/>
      <c r="S330" s="622"/>
      <c r="T330" s="62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620">
        <v>4607091388404</v>
      </c>
      <c r="E331" s="620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2"/>
      <c r="R331" s="622"/>
      <c r="S331" s="622"/>
      <c r="T331" s="62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628"/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9"/>
      <c r="P333" s="625" t="s">
        <v>40</v>
      </c>
      <c r="Q333" s="626"/>
      <c r="R333" s="626"/>
      <c r="S333" s="626"/>
      <c r="T333" s="626"/>
      <c r="U333" s="626"/>
      <c r="V333" s="627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619" t="s">
        <v>546</v>
      </c>
      <c r="B334" s="619"/>
      <c r="C334" s="619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620">
        <v>4680115881808</v>
      </c>
      <c r="E335" s="620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2"/>
      <c r="R335" s="622"/>
      <c r="S335" s="622"/>
      <c r="T335" s="62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620">
        <v>4680115881822</v>
      </c>
      <c r="E336" s="620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2"/>
      <c r="R336" s="622"/>
      <c r="S336" s="622"/>
      <c r="T336" s="62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620">
        <v>4680115880016</v>
      </c>
      <c r="E337" s="620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2"/>
      <c r="R337" s="622"/>
      <c r="S337" s="622"/>
      <c r="T337" s="62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18" t="s">
        <v>555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62"/>
      <c r="AB340" s="62"/>
      <c r="AC340" s="62"/>
    </row>
    <row r="341" spans="1:68" ht="14.25" customHeight="1" x14ac:dyDescent="0.25">
      <c r="A341" s="619" t="s">
        <v>86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0">
        <v>4607091387919</v>
      </c>
      <c r="E342" s="620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2"/>
      <c r="R342" s="622"/>
      <c r="S342" s="622"/>
      <c r="T342" s="623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620">
        <v>4680115883604</v>
      </c>
      <c r="E343" s="620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2"/>
      <c r="R343" s="622"/>
      <c r="S343" s="622"/>
      <c r="T343" s="62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620">
        <v>4680115883567</v>
      </c>
      <c r="E344" s="620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2"/>
      <c r="R344" s="622"/>
      <c r="S344" s="622"/>
      <c r="T344" s="62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28"/>
      <c r="B345" s="628"/>
      <c r="C345" s="628"/>
      <c r="D345" s="628"/>
      <c r="E345" s="628"/>
      <c r="F345" s="628"/>
      <c r="G345" s="628"/>
      <c r="H345" s="628"/>
      <c r="I345" s="628"/>
      <c r="J345" s="628"/>
      <c r="K345" s="628"/>
      <c r="L345" s="628"/>
      <c r="M345" s="628"/>
      <c r="N345" s="628"/>
      <c r="O345" s="629"/>
      <c r="P345" s="625" t="s">
        <v>40</v>
      </c>
      <c r="Q345" s="626"/>
      <c r="R345" s="626"/>
      <c r="S345" s="626"/>
      <c r="T345" s="626"/>
      <c r="U345" s="626"/>
      <c r="V345" s="627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628"/>
      <c r="B346" s="628"/>
      <c r="C346" s="628"/>
      <c r="D346" s="628"/>
      <c r="E346" s="628"/>
      <c r="F346" s="628"/>
      <c r="G346" s="628"/>
      <c r="H346" s="628"/>
      <c r="I346" s="628"/>
      <c r="J346" s="628"/>
      <c r="K346" s="628"/>
      <c r="L346" s="628"/>
      <c r="M346" s="628"/>
      <c r="N346" s="628"/>
      <c r="O346" s="629"/>
      <c r="P346" s="625" t="s">
        <v>40</v>
      </c>
      <c r="Q346" s="626"/>
      <c r="R346" s="626"/>
      <c r="S346" s="626"/>
      <c r="T346" s="626"/>
      <c r="U346" s="626"/>
      <c r="V346" s="627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customHeight="1" x14ac:dyDescent="0.2">
      <c r="A347" s="617" t="s">
        <v>565</v>
      </c>
      <c r="B347" s="617"/>
      <c r="C347" s="617"/>
      <c r="D347" s="617"/>
      <c r="E347" s="617"/>
      <c r="F347" s="617"/>
      <c r="G347" s="617"/>
      <c r="H347" s="617"/>
      <c r="I347" s="617"/>
      <c r="J347" s="617"/>
      <c r="K347" s="617"/>
      <c r="L347" s="617"/>
      <c r="M347" s="617"/>
      <c r="N347" s="617"/>
      <c r="O347" s="617"/>
      <c r="P347" s="617"/>
      <c r="Q347" s="617"/>
      <c r="R347" s="617"/>
      <c r="S347" s="617"/>
      <c r="T347" s="617"/>
      <c r="U347" s="617"/>
      <c r="V347" s="617"/>
      <c r="W347" s="617"/>
      <c r="X347" s="617"/>
      <c r="Y347" s="617"/>
      <c r="Z347" s="617"/>
      <c r="AA347" s="52"/>
      <c r="AB347" s="52"/>
      <c r="AC347" s="52"/>
    </row>
    <row r="348" spans="1:68" ht="16.5" customHeight="1" x14ac:dyDescent="0.25">
      <c r="A348" s="618" t="s">
        <v>566</v>
      </c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8"/>
      <c r="U348" s="618"/>
      <c r="V348" s="618"/>
      <c r="W348" s="618"/>
      <c r="X348" s="618"/>
      <c r="Y348" s="618"/>
      <c r="Z348" s="618"/>
      <c r="AA348" s="62"/>
      <c r="AB348" s="62"/>
      <c r="AC348" s="62"/>
    </row>
    <row r="349" spans="1:68" ht="14.25" customHeight="1" x14ac:dyDescent="0.25">
      <c r="A349" s="619" t="s">
        <v>114</v>
      </c>
      <c r="B349" s="619"/>
      <c r="C349" s="619"/>
      <c r="D349" s="619"/>
      <c r="E349" s="619"/>
      <c r="F349" s="619"/>
      <c r="G349" s="619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0">
        <v>4680115884847</v>
      </c>
      <c r="E350" s="620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2"/>
      <c r="R350" s="622"/>
      <c r="S350" s="622"/>
      <c r="T350" s="623"/>
      <c r="U350" s="37" t="s">
        <v>45</v>
      </c>
      <c r="V350" s="37" t="s">
        <v>45</v>
      </c>
      <c r="W350" s="38" t="s">
        <v>0</v>
      </c>
      <c r="X350" s="56">
        <v>720</v>
      </c>
      <c r="Y350" s="53">
        <f t="shared" ref="Y350:Y356" si="37">IFERROR(IF(X350="",0,CEILING((X350/$H350),1)*$H350),"")</f>
        <v>720</v>
      </c>
      <c r="Z350" s="39">
        <f>IFERROR(IF(Y350=0,"",ROUNDUP(Y350/H350,0)*0.02175),"")</f>
        <v>1.044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742.56</v>
      </c>
      <c r="BN350" s="75">
        <f t="shared" ref="BN350:BN356" si="39">IFERROR(Y350*I350/H350,"0")</f>
        <v>742.56</v>
      </c>
      <c r="BO350" s="75">
        <f t="shared" ref="BO350:BO356" si="40">IFERROR(1/J350*(X350/H350),"0")</f>
        <v>1</v>
      </c>
      <c r="BP350" s="75">
        <f t="shared" ref="BP350:BP356" si="41">IFERROR(1/J350*(Y350/H350),"0")</f>
        <v>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0">
        <v>4680115884854</v>
      </c>
      <c r="E351" s="620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2"/>
      <c r="R351" s="622"/>
      <c r="S351" s="622"/>
      <c r="T351" s="623"/>
      <c r="U351" s="37" t="s">
        <v>45</v>
      </c>
      <c r="V351" s="37" t="s">
        <v>45</v>
      </c>
      <c r="W351" s="38" t="s">
        <v>0</v>
      </c>
      <c r="X351" s="56">
        <v>360</v>
      </c>
      <c r="Y351" s="53">
        <f t="shared" si="37"/>
        <v>360</v>
      </c>
      <c r="Z351" s="39">
        <f>IFERROR(IF(Y351=0,"",ROUNDUP(Y351/H351,0)*0.02175),"")</f>
        <v>0.52200000000000002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371.28</v>
      </c>
      <c r="BN351" s="75">
        <f t="shared" si="39"/>
        <v>371.28</v>
      </c>
      <c r="BO351" s="75">
        <f t="shared" si="40"/>
        <v>0.5</v>
      </c>
      <c r="BP351" s="75">
        <f t="shared" si="41"/>
        <v>0.5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0">
        <v>4680115884830</v>
      </c>
      <c r="E352" s="620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2"/>
      <c r="R352" s="622"/>
      <c r="S352" s="622"/>
      <c r="T352" s="623"/>
      <c r="U352" s="37" t="s">
        <v>45</v>
      </c>
      <c r="V352" s="37" t="s">
        <v>45</v>
      </c>
      <c r="W352" s="38" t="s">
        <v>0</v>
      </c>
      <c r="X352" s="56">
        <v>540</v>
      </c>
      <c r="Y352" s="53">
        <f t="shared" si="37"/>
        <v>540</v>
      </c>
      <c r="Z352" s="39">
        <f>IFERROR(IF(Y352=0,"",ROUNDUP(Y352/H352,0)*0.02175),"")</f>
        <v>0.78299999999999992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556.92000000000007</v>
      </c>
      <c r="BN352" s="75">
        <f t="shared" si="39"/>
        <v>556.92000000000007</v>
      </c>
      <c r="BO352" s="75">
        <f t="shared" si="40"/>
        <v>0.75</v>
      </c>
      <c r="BP352" s="75">
        <f t="shared" si="41"/>
        <v>0.75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620">
        <v>4680115887046</v>
      </c>
      <c r="E353" s="62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2"/>
      <c r="R353" s="622"/>
      <c r="S353" s="622"/>
      <c r="T353" s="623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620">
        <v>4680115882638</v>
      </c>
      <c r="E354" s="62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2"/>
      <c r="R354" s="622"/>
      <c r="S354" s="622"/>
      <c r="T354" s="623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620">
        <v>4680115884922</v>
      </c>
      <c r="E355" s="620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2"/>
      <c r="R355" s="622"/>
      <c r="S355" s="622"/>
      <c r="T355" s="623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620">
        <v>4680115884861</v>
      </c>
      <c r="E356" s="620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2"/>
      <c r="R356" s="622"/>
      <c r="S356" s="622"/>
      <c r="T356" s="623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28"/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9"/>
      <c r="P357" s="625" t="s">
        <v>40</v>
      </c>
      <c r="Q357" s="626"/>
      <c r="R357" s="626"/>
      <c r="S357" s="626"/>
      <c r="T357" s="626"/>
      <c r="U357" s="626"/>
      <c r="V357" s="627"/>
      <c r="W357" s="40" t="s">
        <v>39</v>
      </c>
      <c r="X357" s="41">
        <f>IFERROR(X350/H350,"0")+IFERROR(X351/H351,"0")+IFERROR(X352/H352,"0")+IFERROR(X353/H353,"0")+IFERROR(X354/H354,"0")+IFERROR(X355/H355,"0")+IFERROR(X356/H356,"0")</f>
        <v>108</v>
      </c>
      <c r="Y357" s="41">
        <f>IFERROR(Y350/H350,"0")+IFERROR(Y351/H351,"0")+IFERROR(Y352/H352,"0")+IFERROR(Y353/H353,"0")+IFERROR(Y354/H354,"0")+IFERROR(Y355/H355,"0")+IFERROR(Y356/H356,"0")</f>
        <v>108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2.3490000000000002</v>
      </c>
      <c r="AA357" s="64"/>
      <c r="AB357" s="64"/>
      <c r="AC357" s="64"/>
    </row>
    <row r="358" spans="1:68" x14ac:dyDescent="0.2">
      <c r="A358" s="628"/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9"/>
      <c r="P358" s="625" t="s">
        <v>40</v>
      </c>
      <c r="Q358" s="626"/>
      <c r="R358" s="626"/>
      <c r="S358" s="626"/>
      <c r="T358" s="626"/>
      <c r="U358" s="626"/>
      <c r="V358" s="627"/>
      <c r="W358" s="40" t="s">
        <v>0</v>
      </c>
      <c r="X358" s="41">
        <f>IFERROR(SUM(X350:X356),"0")</f>
        <v>1620</v>
      </c>
      <c r="Y358" s="41">
        <f>IFERROR(SUM(Y350:Y356),"0")</f>
        <v>1620</v>
      </c>
      <c r="Z358" s="40"/>
      <c r="AA358" s="64"/>
      <c r="AB358" s="64"/>
      <c r="AC358" s="64"/>
    </row>
    <row r="359" spans="1:68" ht="14.25" customHeight="1" x14ac:dyDescent="0.25">
      <c r="A359" s="619" t="s">
        <v>147</v>
      </c>
      <c r="B359" s="619"/>
      <c r="C359" s="619"/>
      <c r="D359" s="619"/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0">
        <v>4607091383980</v>
      </c>
      <c r="E360" s="620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2"/>
      <c r="R360" s="622"/>
      <c r="S360" s="622"/>
      <c r="T360" s="623"/>
      <c r="U360" s="37" t="s">
        <v>45</v>
      </c>
      <c r="V360" s="37" t="s">
        <v>45</v>
      </c>
      <c r="W360" s="38" t="s">
        <v>0</v>
      </c>
      <c r="X360" s="56">
        <v>480</v>
      </c>
      <c r="Y360" s="53">
        <f>IFERROR(IF(X360="",0,CEILING((X360/$H360),1)*$H360),"")</f>
        <v>480</v>
      </c>
      <c r="Z360" s="39">
        <f>IFERROR(IF(Y360=0,"",ROUNDUP(Y360/H360,0)*0.02175),"")</f>
        <v>0.69599999999999995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495.04</v>
      </c>
      <c r="BN360" s="75">
        <f>IFERROR(Y360*I360/H360,"0")</f>
        <v>495.04</v>
      </c>
      <c r="BO360" s="75">
        <f>IFERROR(1/J360*(X360/H360),"0")</f>
        <v>0.66666666666666663</v>
      </c>
      <c r="BP360" s="75">
        <f>IFERROR(1/J360*(Y360/H360),"0")</f>
        <v>0.66666666666666663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620">
        <v>4607091384178</v>
      </c>
      <c r="E361" s="620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2"/>
      <c r="R361" s="622"/>
      <c r="S361" s="622"/>
      <c r="T361" s="623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28"/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9"/>
      <c r="P362" s="625" t="s">
        <v>40</v>
      </c>
      <c r="Q362" s="626"/>
      <c r="R362" s="626"/>
      <c r="S362" s="626"/>
      <c r="T362" s="626"/>
      <c r="U362" s="626"/>
      <c r="V362" s="627"/>
      <c r="W362" s="40" t="s">
        <v>39</v>
      </c>
      <c r="X362" s="41">
        <f>IFERROR(X360/H360,"0")+IFERROR(X361/H361,"0")</f>
        <v>32</v>
      </c>
      <c r="Y362" s="41">
        <f>IFERROR(Y360/H360,"0")+IFERROR(Y361/H361,"0")</f>
        <v>32</v>
      </c>
      <c r="Z362" s="41">
        <f>IFERROR(IF(Z360="",0,Z360),"0")+IFERROR(IF(Z361="",0,Z361),"0")</f>
        <v>0.69599999999999995</v>
      </c>
      <c r="AA362" s="64"/>
      <c r="AB362" s="64"/>
      <c r="AC362" s="64"/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0" t="s">
        <v>0</v>
      </c>
      <c r="X363" s="41">
        <f>IFERROR(SUM(X360:X361),"0")</f>
        <v>480</v>
      </c>
      <c r="Y363" s="41">
        <f>IFERROR(SUM(Y360:Y361),"0")</f>
        <v>480</v>
      </c>
      <c r="Z363" s="40"/>
      <c r="AA363" s="64"/>
      <c r="AB363" s="64"/>
      <c r="AC363" s="64"/>
    </row>
    <row r="364" spans="1:68" ht="14.25" customHeight="1" x14ac:dyDescent="0.25">
      <c r="A364" s="619" t="s">
        <v>86</v>
      </c>
      <c r="B364" s="619"/>
      <c r="C364" s="619"/>
      <c r="D364" s="619"/>
      <c r="E364" s="619"/>
      <c r="F364" s="619"/>
      <c r="G364" s="619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619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620">
        <v>4607091383928</v>
      </c>
      <c r="E365" s="620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2"/>
      <c r="R365" s="622"/>
      <c r="S365" s="622"/>
      <c r="T365" s="623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620">
        <v>4607091384260</v>
      </c>
      <c r="E366" s="620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2"/>
      <c r="R366" s="622"/>
      <c r="S366" s="622"/>
      <c r="T366" s="623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628"/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9"/>
      <c r="P367" s="625" t="s">
        <v>40</v>
      </c>
      <c r="Q367" s="626"/>
      <c r="R367" s="626"/>
      <c r="S367" s="626"/>
      <c r="T367" s="626"/>
      <c r="U367" s="626"/>
      <c r="V367" s="627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628"/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9"/>
      <c r="P368" s="625" t="s">
        <v>40</v>
      </c>
      <c r="Q368" s="626"/>
      <c r="R368" s="626"/>
      <c r="S368" s="626"/>
      <c r="T368" s="626"/>
      <c r="U368" s="626"/>
      <c r="V368" s="627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619" t="s">
        <v>173</v>
      </c>
      <c r="B369" s="619"/>
      <c r="C369" s="619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0">
        <v>4607091384673</v>
      </c>
      <c r="E370" s="620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2"/>
      <c r="R370" s="622"/>
      <c r="S370" s="622"/>
      <c r="T370" s="623"/>
      <c r="U370" s="37" t="s">
        <v>45</v>
      </c>
      <c r="V370" s="37" t="s">
        <v>45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IFERROR(IF(Y370=0,"",ROUNDUP(Y370/H370,0)*0.01898),"")</f>
        <v/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39</v>
      </c>
      <c r="X371" s="41">
        <f>IFERROR(X370/H370,"0")</f>
        <v>0</v>
      </c>
      <c r="Y371" s="41">
        <f>IFERROR(Y370/H370,"0")</f>
        <v>0</v>
      </c>
      <c r="Z371" s="41">
        <f>IFERROR(IF(Z370="",0,Z370),"0")</f>
        <v>0</v>
      </c>
      <c r="AA371" s="64"/>
      <c r="AB371" s="64"/>
      <c r="AC371" s="64"/>
    </row>
    <row r="372" spans="1:68" x14ac:dyDescent="0.2">
      <c r="A372" s="628"/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9"/>
      <c r="P372" s="625" t="s">
        <v>40</v>
      </c>
      <c r="Q372" s="626"/>
      <c r="R372" s="626"/>
      <c r="S372" s="626"/>
      <c r="T372" s="626"/>
      <c r="U372" s="626"/>
      <c r="V372" s="627"/>
      <c r="W372" s="40" t="s">
        <v>0</v>
      </c>
      <c r="X372" s="41">
        <f>IFERROR(SUM(X370:X370),"0")</f>
        <v>0</v>
      </c>
      <c r="Y372" s="41">
        <f>IFERROR(SUM(Y370:Y370),"0")</f>
        <v>0</v>
      </c>
      <c r="Z372" s="40"/>
      <c r="AA372" s="64"/>
      <c r="AB372" s="64"/>
      <c r="AC372" s="64"/>
    </row>
    <row r="373" spans="1:68" ht="16.5" customHeight="1" x14ac:dyDescent="0.25">
      <c r="A373" s="618" t="s">
        <v>602</v>
      </c>
      <c r="B373" s="618"/>
      <c r="C373" s="618"/>
      <c r="D373" s="618"/>
      <c r="E373" s="618"/>
      <c r="F373" s="618"/>
      <c r="G373" s="618"/>
      <c r="H373" s="618"/>
      <c r="I373" s="618"/>
      <c r="J373" s="618"/>
      <c r="K373" s="618"/>
      <c r="L373" s="618"/>
      <c r="M373" s="618"/>
      <c r="N373" s="618"/>
      <c r="O373" s="618"/>
      <c r="P373" s="618"/>
      <c r="Q373" s="618"/>
      <c r="R373" s="618"/>
      <c r="S373" s="618"/>
      <c r="T373" s="618"/>
      <c r="U373" s="618"/>
      <c r="V373" s="618"/>
      <c r="W373" s="618"/>
      <c r="X373" s="618"/>
      <c r="Y373" s="618"/>
      <c r="Z373" s="618"/>
      <c r="AA373" s="62"/>
      <c r="AB373" s="62"/>
      <c r="AC373" s="62"/>
    </row>
    <row r="374" spans="1:68" ht="14.25" customHeight="1" x14ac:dyDescent="0.25">
      <c r="A374" s="619" t="s">
        <v>114</v>
      </c>
      <c r="B374" s="619"/>
      <c r="C374" s="619"/>
      <c r="D374" s="619"/>
      <c r="E374" s="619"/>
      <c r="F374" s="619"/>
      <c r="G374" s="619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619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620">
        <v>4680115884885</v>
      </c>
      <c r="E375" s="620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2"/>
      <c r="R375" s="622"/>
      <c r="S375" s="622"/>
      <c r="T375" s="623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620">
        <v>4680115884908</v>
      </c>
      <c r="E376" s="620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2"/>
      <c r="R376" s="622"/>
      <c r="S376" s="622"/>
      <c r="T376" s="623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619" t="s">
        <v>76</v>
      </c>
      <c r="B379" s="619"/>
      <c r="C379" s="619"/>
      <c r="D379" s="619"/>
      <c r="E379" s="619"/>
      <c r="F379" s="619"/>
      <c r="G379" s="619"/>
      <c r="H379" s="619"/>
      <c r="I379" s="619"/>
      <c r="J379" s="619"/>
      <c r="K379" s="619"/>
      <c r="L379" s="619"/>
      <c r="M379" s="619"/>
      <c r="N379" s="619"/>
      <c r="O379" s="619"/>
      <c r="P379" s="619"/>
      <c r="Q379" s="619"/>
      <c r="R379" s="619"/>
      <c r="S379" s="619"/>
      <c r="T379" s="619"/>
      <c r="U379" s="619"/>
      <c r="V379" s="619"/>
      <c r="W379" s="619"/>
      <c r="X379" s="619"/>
      <c r="Y379" s="619"/>
      <c r="Z379" s="619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620">
        <v>4607091384802</v>
      </c>
      <c r="E380" s="620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2"/>
      <c r="R380" s="622"/>
      <c r="S380" s="622"/>
      <c r="T380" s="623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619" t="s">
        <v>86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0">
        <v>4607091384246</v>
      </c>
      <c r="E384" s="620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2"/>
      <c r="R384" s="622"/>
      <c r="S384" s="622"/>
      <c r="T384" s="623"/>
      <c r="U384" s="37" t="s">
        <v>45</v>
      </c>
      <c r="V384" s="37" t="s">
        <v>45</v>
      </c>
      <c r="W384" s="38" t="s">
        <v>0</v>
      </c>
      <c r="X384" s="56">
        <v>216</v>
      </c>
      <c r="Y384" s="53">
        <f>IFERROR(IF(X384="",0,CEILING((X384/$H384),1)*$H384),"")</f>
        <v>216</v>
      </c>
      <c r="Z384" s="39">
        <f>IFERROR(IF(Y384=0,"",ROUNDUP(Y384/H384,0)*0.01898),"")</f>
        <v>0.45552000000000004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227.85599999999997</v>
      </c>
      <c r="BN384" s="75">
        <f>IFERROR(Y384*I384/H384,"0")</f>
        <v>227.85599999999997</v>
      </c>
      <c r="BO384" s="75">
        <f>IFERROR(1/J384*(X384/H384),"0")</f>
        <v>0.375</v>
      </c>
      <c r="BP384" s="75">
        <f>IFERROR(1/J384*(Y384/H384),"0")</f>
        <v>0.375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0">
        <v>4607091384253</v>
      </c>
      <c r="E385" s="620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2"/>
      <c r="R385" s="622"/>
      <c r="S385" s="622"/>
      <c r="T385" s="623"/>
      <c r="U385" s="37" t="s">
        <v>45</v>
      </c>
      <c r="V385" s="37" t="s">
        <v>45</v>
      </c>
      <c r="W385" s="38" t="s">
        <v>0</v>
      </c>
      <c r="X385" s="56">
        <v>57.6</v>
      </c>
      <c r="Y385" s="53">
        <f>IFERROR(IF(X385="",0,CEILING((X385/$H385),1)*$H385),"")</f>
        <v>57.599999999999994</v>
      </c>
      <c r="Z385" s="39">
        <f>IFERROR(IF(Y385=0,"",ROUNDUP(Y385/H385,0)*0.00651),"")</f>
        <v>0.15623999999999999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63.936000000000007</v>
      </c>
      <c r="BN385" s="75">
        <f>IFERROR(Y385*I385/H385,"0")</f>
        <v>63.935999999999993</v>
      </c>
      <c r="BO385" s="75">
        <f>IFERROR(1/J385*(X385/H385),"0")</f>
        <v>0.13186813186813187</v>
      </c>
      <c r="BP385" s="75">
        <f>IFERROR(1/J385*(Y385/H385),"0")</f>
        <v>0.13186813186813187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620">
        <v>4607091384253</v>
      </c>
      <c r="E386" s="620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2"/>
      <c r="R386" s="622"/>
      <c r="S386" s="622"/>
      <c r="T386" s="623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28"/>
      <c r="B387" s="628"/>
      <c r="C387" s="628"/>
      <c r="D387" s="628"/>
      <c r="E387" s="628"/>
      <c r="F387" s="628"/>
      <c r="G387" s="628"/>
      <c r="H387" s="628"/>
      <c r="I387" s="628"/>
      <c r="J387" s="628"/>
      <c r="K387" s="628"/>
      <c r="L387" s="628"/>
      <c r="M387" s="628"/>
      <c r="N387" s="628"/>
      <c r="O387" s="629"/>
      <c r="P387" s="625" t="s">
        <v>40</v>
      </c>
      <c r="Q387" s="626"/>
      <c r="R387" s="626"/>
      <c r="S387" s="626"/>
      <c r="T387" s="626"/>
      <c r="U387" s="626"/>
      <c r="V387" s="627"/>
      <c r="W387" s="40" t="s">
        <v>39</v>
      </c>
      <c r="X387" s="41">
        <f>IFERROR(X384/H384,"0")+IFERROR(X385/H385,"0")+IFERROR(X386/H386,"0")</f>
        <v>48</v>
      </c>
      <c r="Y387" s="41">
        <f>IFERROR(Y384/H384,"0")+IFERROR(Y385/H385,"0")+IFERROR(Y386/H386,"0")</f>
        <v>48</v>
      </c>
      <c r="Z387" s="41">
        <f>IFERROR(IF(Z384="",0,Z384),"0")+IFERROR(IF(Z385="",0,Z385),"0")+IFERROR(IF(Z386="",0,Z386),"0")</f>
        <v>0.61176000000000008</v>
      </c>
      <c r="AA387" s="64"/>
      <c r="AB387" s="64"/>
      <c r="AC387" s="64"/>
    </row>
    <row r="388" spans="1:68" x14ac:dyDescent="0.2">
      <c r="A388" s="628"/>
      <c r="B388" s="628"/>
      <c r="C388" s="628"/>
      <c r="D388" s="628"/>
      <c r="E388" s="628"/>
      <c r="F388" s="628"/>
      <c r="G388" s="628"/>
      <c r="H388" s="628"/>
      <c r="I388" s="628"/>
      <c r="J388" s="628"/>
      <c r="K388" s="628"/>
      <c r="L388" s="628"/>
      <c r="M388" s="628"/>
      <c r="N388" s="628"/>
      <c r="O388" s="629"/>
      <c r="P388" s="625" t="s">
        <v>40</v>
      </c>
      <c r="Q388" s="626"/>
      <c r="R388" s="626"/>
      <c r="S388" s="626"/>
      <c r="T388" s="626"/>
      <c r="U388" s="626"/>
      <c r="V388" s="627"/>
      <c r="W388" s="40" t="s">
        <v>0</v>
      </c>
      <c r="X388" s="41">
        <f>IFERROR(SUM(X384:X386),"0")</f>
        <v>273.60000000000002</v>
      </c>
      <c r="Y388" s="41">
        <f>IFERROR(SUM(Y384:Y386),"0")</f>
        <v>273.60000000000002</v>
      </c>
      <c r="Z388" s="40"/>
      <c r="AA388" s="64"/>
      <c r="AB388" s="64"/>
      <c r="AC388" s="64"/>
    </row>
    <row r="389" spans="1:68" ht="27.75" customHeight="1" x14ac:dyDescent="0.2">
      <c r="A389" s="617" t="s">
        <v>618</v>
      </c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617"/>
      <c r="Q389" s="617"/>
      <c r="R389" s="617"/>
      <c r="S389" s="617"/>
      <c r="T389" s="617"/>
      <c r="U389" s="617"/>
      <c r="V389" s="617"/>
      <c r="W389" s="617"/>
      <c r="X389" s="617"/>
      <c r="Y389" s="617"/>
      <c r="Z389" s="617"/>
      <c r="AA389" s="52"/>
      <c r="AB389" s="52"/>
      <c r="AC389" s="52"/>
    </row>
    <row r="390" spans="1:68" ht="16.5" customHeight="1" x14ac:dyDescent="0.25">
      <c r="A390" s="618" t="s">
        <v>619</v>
      </c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8"/>
      <c r="P390" s="618"/>
      <c r="Q390" s="618"/>
      <c r="R390" s="618"/>
      <c r="S390" s="618"/>
      <c r="T390" s="618"/>
      <c r="U390" s="618"/>
      <c r="V390" s="618"/>
      <c r="W390" s="618"/>
      <c r="X390" s="618"/>
      <c r="Y390" s="618"/>
      <c r="Z390" s="618"/>
      <c r="AA390" s="62"/>
      <c r="AB390" s="62"/>
      <c r="AC390" s="62"/>
    </row>
    <row r="391" spans="1:68" ht="14.25" customHeight="1" x14ac:dyDescent="0.25">
      <c r="A391" s="619" t="s">
        <v>76</v>
      </c>
      <c r="B391" s="619"/>
      <c r="C391" s="619"/>
      <c r="D391" s="619"/>
      <c r="E391" s="619"/>
      <c r="F391" s="619"/>
      <c r="G391" s="619"/>
      <c r="H391" s="619"/>
      <c r="I391" s="619"/>
      <c r="J391" s="619"/>
      <c r="K391" s="619"/>
      <c r="L391" s="619"/>
      <c r="M391" s="619"/>
      <c r="N391" s="619"/>
      <c r="O391" s="619"/>
      <c r="P391" s="619"/>
      <c r="Q391" s="619"/>
      <c r="R391" s="619"/>
      <c r="S391" s="619"/>
      <c r="T391" s="619"/>
      <c r="U391" s="619"/>
      <c r="V391" s="619"/>
      <c r="W391" s="619"/>
      <c r="X391" s="619"/>
      <c r="Y391" s="619"/>
      <c r="Z391" s="619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620">
        <v>4680115886100</v>
      </c>
      <c r="E392" s="620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2"/>
      <c r="R392" s="622"/>
      <c r="S392" s="622"/>
      <c r="T392" s="62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620">
        <v>4680115886117</v>
      </c>
      <c r="E393" s="620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2"/>
      <c r="R393" s="622"/>
      <c r="S393" s="622"/>
      <c r="T393" s="62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620">
        <v>4680115886124</v>
      </c>
      <c r="E394" s="620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2"/>
      <c r="R394" s="622"/>
      <c r="S394" s="622"/>
      <c r="T394" s="623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620">
        <v>4680115883147</v>
      </c>
      <c r="E395" s="620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2"/>
      <c r="R395" s="622"/>
      <c r="S395" s="622"/>
      <c r="T395" s="623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620">
        <v>4607091384338</v>
      </c>
      <c r="E396" s="620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2"/>
      <c r="R396" s="622"/>
      <c r="S396" s="622"/>
      <c r="T396" s="623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620">
        <v>4607091389524</v>
      </c>
      <c r="E397" s="620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1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2"/>
      <c r="R397" s="622"/>
      <c r="S397" s="622"/>
      <c r="T397" s="623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620">
        <v>4680115883161</v>
      </c>
      <c r="E398" s="620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2"/>
      <c r="R398" s="622"/>
      <c r="S398" s="622"/>
      <c r="T398" s="623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620">
        <v>4607091389531</v>
      </c>
      <c r="E399" s="620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2"/>
      <c r="R399" s="622"/>
      <c r="S399" s="622"/>
      <c r="T399" s="623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620">
        <v>4607091384345</v>
      </c>
      <c r="E400" s="620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2"/>
      <c r="R400" s="622"/>
      <c r="S400" s="622"/>
      <c r="T400" s="623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628"/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9"/>
      <c r="P401" s="625" t="s">
        <v>40</v>
      </c>
      <c r="Q401" s="626"/>
      <c r="R401" s="626"/>
      <c r="S401" s="626"/>
      <c r="T401" s="626"/>
      <c r="U401" s="626"/>
      <c r="V401" s="627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619" t="s">
        <v>86</v>
      </c>
      <c r="B403" s="619"/>
      <c r="C403" s="619"/>
      <c r="D403" s="619"/>
      <c r="E403" s="619"/>
      <c r="F403" s="619"/>
      <c r="G403" s="619"/>
      <c r="H403" s="619"/>
      <c r="I403" s="619"/>
      <c r="J403" s="619"/>
      <c r="K403" s="619"/>
      <c r="L403" s="619"/>
      <c r="M403" s="619"/>
      <c r="N403" s="619"/>
      <c r="O403" s="619"/>
      <c r="P403" s="619"/>
      <c r="Q403" s="619"/>
      <c r="R403" s="619"/>
      <c r="S403" s="619"/>
      <c r="T403" s="619"/>
      <c r="U403" s="619"/>
      <c r="V403" s="619"/>
      <c r="W403" s="619"/>
      <c r="X403" s="619"/>
      <c r="Y403" s="619"/>
      <c r="Z403" s="619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620">
        <v>4607091384352</v>
      </c>
      <c r="E404" s="620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2"/>
      <c r="R404" s="622"/>
      <c r="S404" s="622"/>
      <c r="T404" s="62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620">
        <v>4607091389654</v>
      </c>
      <c r="E405" s="620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2"/>
      <c r="R405" s="622"/>
      <c r="S405" s="622"/>
      <c r="T405" s="62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628"/>
      <c r="B406" s="628"/>
      <c r="C406" s="628"/>
      <c r="D406" s="628"/>
      <c r="E406" s="628"/>
      <c r="F406" s="628"/>
      <c r="G406" s="628"/>
      <c r="H406" s="628"/>
      <c r="I406" s="628"/>
      <c r="J406" s="628"/>
      <c r="K406" s="628"/>
      <c r="L406" s="628"/>
      <c r="M406" s="628"/>
      <c r="N406" s="628"/>
      <c r="O406" s="629"/>
      <c r="P406" s="625" t="s">
        <v>40</v>
      </c>
      <c r="Q406" s="626"/>
      <c r="R406" s="626"/>
      <c r="S406" s="626"/>
      <c r="T406" s="626"/>
      <c r="U406" s="626"/>
      <c r="V406" s="627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628"/>
      <c r="B407" s="628"/>
      <c r="C407" s="628"/>
      <c r="D407" s="628"/>
      <c r="E407" s="628"/>
      <c r="F407" s="628"/>
      <c r="G407" s="628"/>
      <c r="H407" s="628"/>
      <c r="I407" s="628"/>
      <c r="J407" s="628"/>
      <c r="K407" s="628"/>
      <c r="L407" s="628"/>
      <c r="M407" s="628"/>
      <c r="N407" s="628"/>
      <c r="O407" s="629"/>
      <c r="P407" s="625" t="s">
        <v>40</v>
      </c>
      <c r="Q407" s="626"/>
      <c r="R407" s="626"/>
      <c r="S407" s="626"/>
      <c r="T407" s="626"/>
      <c r="U407" s="626"/>
      <c r="V407" s="627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618" t="s">
        <v>650</v>
      </c>
      <c r="B408" s="618"/>
      <c r="C408" s="618"/>
      <c r="D408" s="618"/>
      <c r="E408" s="618"/>
      <c r="F408" s="618"/>
      <c r="G408" s="618"/>
      <c r="H408" s="618"/>
      <c r="I408" s="618"/>
      <c r="J408" s="618"/>
      <c r="K408" s="618"/>
      <c r="L408" s="618"/>
      <c r="M408" s="618"/>
      <c r="N408" s="618"/>
      <c r="O408" s="618"/>
      <c r="P408" s="618"/>
      <c r="Q408" s="618"/>
      <c r="R408" s="618"/>
      <c r="S408" s="618"/>
      <c r="T408" s="618"/>
      <c r="U408" s="618"/>
      <c r="V408" s="618"/>
      <c r="W408" s="618"/>
      <c r="X408" s="618"/>
      <c r="Y408" s="618"/>
      <c r="Z408" s="618"/>
      <c r="AA408" s="62"/>
      <c r="AB408" s="62"/>
      <c r="AC408" s="62"/>
    </row>
    <row r="409" spans="1:68" ht="14.25" customHeight="1" x14ac:dyDescent="0.25">
      <c r="A409" s="619" t="s">
        <v>147</v>
      </c>
      <c r="B409" s="619"/>
      <c r="C409" s="619"/>
      <c r="D409" s="619"/>
      <c r="E409" s="619"/>
      <c r="F409" s="619"/>
      <c r="G409" s="619"/>
      <c r="H409" s="619"/>
      <c r="I409" s="619"/>
      <c r="J409" s="619"/>
      <c r="K409" s="619"/>
      <c r="L409" s="619"/>
      <c r="M409" s="619"/>
      <c r="N409" s="619"/>
      <c r="O409" s="619"/>
      <c r="P409" s="619"/>
      <c r="Q409" s="619"/>
      <c r="R409" s="619"/>
      <c r="S409" s="619"/>
      <c r="T409" s="619"/>
      <c r="U409" s="619"/>
      <c r="V409" s="619"/>
      <c r="W409" s="619"/>
      <c r="X409" s="619"/>
      <c r="Y409" s="619"/>
      <c r="Z409" s="619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620">
        <v>4680115885240</v>
      </c>
      <c r="E410" s="620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2"/>
      <c r="R410" s="622"/>
      <c r="S410" s="622"/>
      <c r="T410" s="62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619" t="s">
        <v>76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620">
        <v>4680115886094</v>
      </c>
      <c r="E414" s="620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2"/>
      <c r="R414" s="622"/>
      <c r="S414" s="622"/>
      <c r="T414" s="623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620">
        <v>4680115880771</v>
      </c>
      <c r="E415" s="620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2"/>
      <c r="R415" s="622"/>
      <c r="S415" s="622"/>
      <c r="T415" s="62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620">
        <v>4607091389500</v>
      </c>
      <c r="E416" s="620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2"/>
      <c r="R416" s="622"/>
      <c r="S416" s="622"/>
      <c r="T416" s="62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28"/>
      <c r="B418" s="628"/>
      <c r="C418" s="628"/>
      <c r="D418" s="628"/>
      <c r="E418" s="628"/>
      <c r="F418" s="628"/>
      <c r="G418" s="628"/>
      <c r="H418" s="628"/>
      <c r="I418" s="628"/>
      <c r="J418" s="628"/>
      <c r="K418" s="628"/>
      <c r="L418" s="628"/>
      <c r="M418" s="628"/>
      <c r="N418" s="628"/>
      <c r="O418" s="629"/>
      <c r="P418" s="625" t="s">
        <v>40</v>
      </c>
      <c r="Q418" s="626"/>
      <c r="R418" s="626"/>
      <c r="S418" s="626"/>
      <c r="T418" s="626"/>
      <c r="U418" s="626"/>
      <c r="V418" s="62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618" t="s">
        <v>662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2"/>
      <c r="AB419" s="62"/>
      <c r="AC419" s="62"/>
    </row>
    <row r="420" spans="1:68" ht="14.25" customHeight="1" x14ac:dyDescent="0.25">
      <c r="A420" s="619" t="s">
        <v>76</v>
      </c>
      <c r="B420" s="619"/>
      <c r="C420" s="619"/>
      <c r="D420" s="619"/>
      <c r="E420" s="619"/>
      <c r="F420" s="619"/>
      <c r="G420" s="619"/>
      <c r="H420" s="619"/>
      <c r="I420" s="619"/>
      <c r="J420" s="619"/>
      <c r="K420" s="619"/>
      <c r="L420" s="619"/>
      <c r="M420" s="619"/>
      <c r="N420" s="619"/>
      <c r="O420" s="619"/>
      <c r="P420" s="619"/>
      <c r="Q420" s="619"/>
      <c r="R420" s="619"/>
      <c r="S420" s="619"/>
      <c r="T420" s="619"/>
      <c r="U420" s="619"/>
      <c r="V420" s="619"/>
      <c r="W420" s="619"/>
      <c r="X420" s="619"/>
      <c r="Y420" s="619"/>
      <c r="Z420" s="619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620">
        <v>4680115885110</v>
      </c>
      <c r="E421" s="620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2"/>
      <c r="R421" s="622"/>
      <c r="S421" s="622"/>
      <c r="T421" s="62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28"/>
      <c r="B423" s="628"/>
      <c r="C423" s="628"/>
      <c r="D423" s="628"/>
      <c r="E423" s="628"/>
      <c r="F423" s="628"/>
      <c r="G423" s="628"/>
      <c r="H423" s="628"/>
      <c r="I423" s="628"/>
      <c r="J423" s="628"/>
      <c r="K423" s="628"/>
      <c r="L423" s="628"/>
      <c r="M423" s="628"/>
      <c r="N423" s="628"/>
      <c r="O423" s="629"/>
      <c r="P423" s="625" t="s">
        <v>40</v>
      </c>
      <c r="Q423" s="626"/>
      <c r="R423" s="626"/>
      <c r="S423" s="626"/>
      <c r="T423" s="626"/>
      <c r="U423" s="626"/>
      <c r="V423" s="627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617" t="s">
        <v>666</v>
      </c>
      <c r="B424" s="617"/>
      <c r="C424" s="617"/>
      <c r="D424" s="617"/>
      <c r="E424" s="617"/>
      <c r="F424" s="617"/>
      <c r="G424" s="617"/>
      <c r="H424" s="617"/>
      <c r="I424" s="617"/>
      <c r="J424" s="617"/>
      <c r="K424" s="617"/>
      <c r="L424" s="617"/>
      <c r="M424" s="617"/>
      <c r="N424" s="617"/>
      <c r="O424" s="617"/>
      <c r="P424" s="617"/>
      <c r="Q424" s="617"/>
      <c r="R424" s="617"/>
      <c r="S424" s="617"/>
      <c r="T424" s="617"/>
      <c r="U424" s="617"/>
      <c r="V424" s="617"/>
      <c r="W424" s="617"/>
      <c r="X424" s="617"/>
      <c r="Y424" s="617"/>
      <c r="Z424" s="617"/>
      <c r="AA424" s="52"/>
      <c r="AB424" s="52"/>
      <c r="AC424" s="52"/>
    </row>
    <row r="425" spans="1:68" ht="16.5" customHeight="1" x14ac:dyDescent="0.25">
      <c r="A425" s="618" t="s">
        <v>666</v>
      </c>
      <c r="B425" s="618"/>
      <c r="C425" s="618"/>
      <c r="D425" s="618"/>
      <c r="E425" s="618"/>
      <c r="F425" s="618"/>
      <c r="G425" s="618"/>
      <c r="H425" s="618"/>
      <c r="I425" s="618"/>
      <c r="J425" s="618"/>
      <c r="K425" s="618"/>
      <c r="L425" s="618"/>
      <c r="M425" s="618"/>
      <c r="N425" s="618"/>
      <c r="O425" s="618"/>
      <c r="P425" s="618"/>
      <c r="Q425" s="618"/>
      <c r="R425" s="618"/>
      <c r="S425" s="618"/>
      <c r="T425" s="618"/>
      <c r="U425" s="618"/>
      <c r="V425" s="618"/>
      <c r="W425" s="618"/>
      <c r="X425" s="618"/>
      <c r="Y425" s="618"/>
      <c r="Z425" s="618"/>
      <c r="AA425" s="62"/>
      <c r="AB425" s="62"/>
      <c r="AC425" s="62"/>
    </row>
    <row r="426" spans="1:68" ht="14.25" customHeight="1" x14ac:dyDescent="0.25">
      <c r="A426" s="619" t="s">
        <v>114</v>
      </c>
      <c r="B426" s="619"/>
      <c r="C426" s="619"/>
      <c r="D426" s="619"/>
      <c r="E426" s="619"/>
      <c r="F426" s="619"/>
      <c r="G426" s="619"/>
      <c r="H426" s="619"/>
      <c r="I426" s="619"/>
      <c r="J426" s="619"/>
      <c r="K426" s="619"/>
      <c r="L426" s="619"/>
      <c r="M426" s="619"/>
      <c r="N426" s="619"/>
      <c r="O426" s="619"/>
      <c r="P426" s="619"/>
      <c r="Q426" s="619"/>
      <c r="R426" s="619"/>
      <c r="S426" s="619"/>
      <c r="T426" s="619"/>
      <c r="U426" s="619"/>
      <c r="V426" s="619"/>
      <c r="W426" s="619"/>
      <c r="X426" s="619"/>
      <c r="Y426" s="619"/>
      <c r="Z426" s="619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620">
        <v>4607091389067</v>
      </c>
      <c r="E427" s="62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2"/>
      <c r="R427" s="622"/>
      <c r="S427" s="622"/>
      <c r="T427" s="62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620">
        <v>4607091383522</v>
      </c>
      <c r="E428" s="62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2"/>
      <c r="R428" s="622"/>
      <c r="S428" s="622"/>
      <c r="T428" s="62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620">
        <v>4607091383522</v>
      </c>
      <c r="E429" s="620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2"/>
      <c r="R429" s="622"/>
      <c r="S429" s="622"/>
      <c r="T429" s="62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620">
        <v>4680115885271</v>
      </c>
      <c r="E430" s="620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2"/>
      <c r="R430" s="622"/>
      <c r="S430" s="622"/>
      <c r="T430" s="62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0">
        <v>4680115885226</v>
      </c>
      <c r="E431" s="620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2"/>
      <c r="R431" s="622"/>
      <c r="S431" s="622"/>
      <c r="T431" s="623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620">
        <v>4680115884502</v>
      </c>
      <c r="E432" s="620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2"/>
      <c r="R432" s="622"/>
      <c r="S432" s="622"/>
      <c r="T432" s="62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0">
        <v>4607091389104</v>
      </c>
      <c r="E433" s="620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2"/>
      <c r="R433" s="622"/>
      <c r="S433" s="622"/>
      <c r="T433" s="623"/>
      <c r="U433" s="37" t="s">
        <v>45</v>
      </c>
      <c r="V433" s="37" t="s">
        <v>45</v>
      </c>
      <c r="W433" s="38" t="s">
        <v>0</v>
      </c>
      <c r="X433" s="56">
        <v>295.68</v>
      </c>
      <c r="Y433" s="53">
        <f t="shared" si="48"/>
        <v>295.68</v>
      </c>
      <c r="Z433" s="39">
        <f t="shared" si="49"/>
        <v>0.66976000000000002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315.27999999999997</v>
      </c>
      <c r="BN433" s="75">
        <f t="shared" si="51"/>
        <v>315.27999999999997</v>
      </c>
      <c r="BO433" s="75">
        <f t="shared" si="52"/>
        <v>0.53846153846153855</v>
      </c>
      <c r="BP433" s="75">
        <f t="shared" si="53"/>
        <v>0.53846153846153855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620">
        <v>4680115886391</v>
      </c>
      <c r="E434" s="620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2"/>
      <c r="R434" s="622"/>
      <c r="S434" s="622"/>
      <c r="T434" s="62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620">
        <v>4680115880603</v>
      </c>
      <c r="E435" s="620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2"/>
      <c r="R435" s="622"/>
      <c r="S435" s="622"/>
      <c r="T435" s="62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620">
        <v>4680115882782</v>
      </c>
      <c r="E436" s="620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2"/>
      <c r="R436" s="622"/>
      <c r="S436" s="622"/>
      <c r="T436" s="62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620">
        <v>4680115885479</v>
      </c>
      <c r="E437" s="620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2"/>
      <c r="R437" s="622"/>
      <c r="S437" s="622"/>
      <c r="T437" s="62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620">
        <v>4607091389982</v>
      </c>
      <c r="E438" s="620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2"/>
      <c r="R438" s="622"/>
      <c r="S438" s="622"/>
      <c r="T438" s="62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72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72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0.86112</v>
      </c>
      <c r="AA439" s="64"/>
      <c r="AB439" s="64"/>
      <c r="AC439" s="64"/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0</v>
      </c>
      <c r="X440" s="41">
        <f>IFERROR(SUM(X427:X438),"0")</f>
        <v>380.16</v>
      </c>
      <c r="Y440" s="41">
        <f>IFERROR(SUM(Y427:Y438),"0")</f>
        <v>380.16</v>
      </c>
      <c r="Z440" s="40"/>
      <c r="AA440" s="64"/>
      <c r="AB440" s="64"/>
      <c r="AC440" s="64"/>
    </row>
    <row r="441" spans="1:68" ht="14.25" customHeight="1" x14ac:dyDescent="0.25">
      <c r="A441" s="619" t="s">
        <v>147</v>
      </c>
      <c r="B441" s="619"/>
      <c r="C441" s="619"/>
      <c r="D441" s="619"/>
      <c r="E441" s="619"/>
      <c r="F441" s="619"/>
      <c r="G441" s="619"/>
      <c r="H441" s="619"/>
      <c r="I441" s="619"/>
      <c r="J441" s="619"/>
      <c r="K441" s="619"/>
      <c r="L441" s="619"/>
      <c r="M441" s="619"/>
      <c r="N441" s="619"/>
      <c r="O441" s="619"/>
      <c r="P441" s="619"/>
      <c r="Q441" s="619"/>
      <c r="R441" s="619"/>
      <c r="S441" s="619"/>
      <c r="T441" s="619"/>
      <c r="U441" s="619"/>
      <c r="V441" s="619"/>
      <c r="W441" s="619"/>
      <c r="X441" s="619"/>
      <c r="Y441" s="619"/>
      <c r="Z441" s="619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620">
        <v>4607091388930</v>
      </c>
      <c r="E442" s="620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2"/>
      <c r="R442" s="622"/>
      <c r="S442" s="622"/>
      <c r="T442" s="623"/>
      <c r="U442" s="37" t="s">
        <v>45</v>
      </c>
      <c r="V442" s="37" t="s">
        <v>45</v>
      </c>
      <c r="W442" s="38" t="s">
        <v>0</v>
      </c>
      <c r="X442" s="56">
        <v>42.24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45.04</v>
      </c>
      <c r="BN442" s="75">
        <f>IFERROR(Y442*I442/H442,"0")</f>
        <v>45.04</v>
      </c>
      <c r="BO442" s="75">
        <f>IFERROR(1/J442*(X442/H442),"0")</f>
        <v>7.6923076923076927E-2</v>
      </c>
      <c r="BP442" s="75">
        <f>IFERROR(1/J442*(Y442/H442),"0")</f>
        <v>7.6923076923076927E-2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620">
        <v>4680115886407</v>
      </c>
      <c r="E443" s="620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2"/>
      <c r="R443" s="622"/>
      <c r="S443" s="622"/>
      <c r="T443" s="623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620">
        <v>4680115880054</v>
      </c>
      <c r="E444" s="620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2"/>
      <c r="R444" s="622"/>
      <c r="S444" s="622"/>
      <c r="T444" s="623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IFERROR(X442/H442,"0")+IFERROR(X443/H443,"0")+IFERROR(X444/H444,"0")</f>
        <v>8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IFERROR(SUM(X442:X444),"0")</f>
        <v>42.24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customHeight="1" x14ac:dyDescent="0.25">
      <c r="A447" s="619" t="s">
        <v>76</v>
      </c>
      <c r="B447" s="619"/>
      <c r="C447" s="619"/>
      <c r="D447" s="619"/>
      <c r="E447" s="619"/>
      <c r="F447" s="619"/>
      <c r="G447" s="619"/>
      <c r="H447" s="619"/>
      <c r="I447" s="619"/>
      <c r="J447" s="619"/>
      <c r="K447" s="619"/>
      <c r="L447" s="619"/>
      <c r="M447" s="619"/>
      <c r="N447" s="619"/>
      <c r="O447" s="619"/>
      <c r="P447" s="619"/>
      <c r="Q447" s="619"/>
      <c r="R447" s="619"/>
      <c r="S447" s="619"/>
      <c r="T447" s="619"/>
      <c r="U447" s="619"/>
      <c r="V447" s="619"/>
      <c r="W447" s="619"/>
      <c r="X447" s="619"/>
      <c r="Y447" s="619"/>
      <c r="Z447" s="619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0">
        <v>4680115883116</v>
      </c>
      <c r="E448" s="620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2"/>
      <c r="R448" s="622"/>
      <c r="S448" s="622"/>
      <c r="T448" s="623"/>
      <c r="U448" s="37" t="s">
        <v>45</v>
      </c>
      <c r="V448" s="37" t="s">
        <v>45</v>
      </c>
      <c r="W448" s="38" t="s">
        <v>0</v>
      </c>
      <c r="X448" s="56">
        <v>42.24</v>
      </c>
      <c r="Y448" s="53">
        <f t="shared" ref="Y448:Y454" si="54">IFERROR(IF(X448="",0,CEILING((X448/$H448),1)*$H448),"")</f>
        <v>42.24</v>
      </c>
      <c r="Z448" s="39">
        <f>IFERROR(IF(Y448=0,"",ROUNDUP(Y448/H448,0)*0.01196),"")</f>
        <v>9.5680000000000001E-2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45.04</v>
      </c>
      <c r="BN448" s="75">
        <f t="shared" ref="BN448:BN454" si="56">IFERROR(Y448*I448/H448,"0")</f>
        <v>45.04</v>
      </c>
      <c r="BO448" s="75">
        <f t="shared" ref="BO448:BO454" si="57">IFERROR(1/J448*(X448/H448),"0")</f>
        <v>7.6923076923076927E-2</v>
      </c>
      <c r="BP448" s="75">
        <f t="shared" ref="BP448:BP454" si="58">IFERROR(1/J448*(Y448/H448),"0")</f>
        <v>7.6923076923076927E-2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0">
        <v>4680115883093</v>
      </c>
      <c r="E449" s="620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2"/>
      <c r="R449" s="622"/>
      <c r="S449" s="622"/>
      <c r="T449" s="623"/>
      <c r="U449" s="37" t="s">
        <v>45</v>
      </c>
      <c r="V449" s="37" t="s">
        <v>45</v>
      </c>
      <c r="W449" s="38" t="s">
        <v>0</v>
      </c>
      <c r="X449" s="56">
        <v>0</v>
      </c>
      <c r="Y449" s="53">
        <f t="shared" si="54"/>
        <v>0</v>
      </c>
      <c r="Z449" s="39" t="str">
        <f>IFERROR(IF(Y449=0,"",ROUNDUP(Y449/H449,0)*0.01196),"")</f>
        <v/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0</v>
      </c>
      <c r="BN449" s="75">
        <f t="shared" si="56"/>
        <v>0</v>
      </c>
      <c r="BO449" s="75">
        <f t="shared" si="57"/>
        <v>0</v>
      </c>
      <c r="BP449" s="75">
        <f t="shared" si="58"/>
        <v>0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0">
        <v>4680115883109</v>
      </c>
      <c r="E450" s="620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2"/>
      <c r="R450" s="622"/>
      <c r="S450" s="622"/>
      <c r="T450" s="623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620">
        <v>4680115882072</v>
      </c>
      <c r="E451" s="620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2"/>
      <c r="R451" s="622"/>
      <c r="S451" s="622"/>
      <c r="T451" s="623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620">
        <v>4680115882102</v>
      </c>
      <c r="E452" s="620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49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2"/>
      <c r="R452" s="622"/>
      <c r="S452" s="622"/>
      <c r="T452" s="623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620">
        <v>4680115882102</v>
      </c>
      <c r="E453" s="620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2"/>
      <c r="R453" s="622"/>
      <c r="S453" s="622"/>
      <c r="T453" s="623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620">
        <v>4680115882096</v>
      </c>
      <c r="E454" s="620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2"/>
      <c r="R454" s="622"/>
      <c r="S454" s="622"/>
      <c r="T454" s="623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IFERROR(X448/H448,"0")+IFERROR(X449/H449,"0")+IFERROR(X450/H450,"0")+IFERROR(X451/H451,"0")+IFERROR(X452/H452,"0")+IFERROR(X453/H453,"0")+IFERROR(X454/H454,"0")</f>
        <v>16</v>
      </c>
      <c r="Y455" s="41">
        <f>IFERROR(Y448/H448,"0")+IFERROR(Y449/H449,"0")+IFERROR(Y450/H450,"0")+IFERROR(Y451/H451,"0")+IFERROR(Y452/H452,"0")+IFERROR(Y453/H453,"0")+IFERROR(Y454/H454,"0")</f>
        <v>16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0.19136</v>
      </c>
      <c r="AA455" s="64"/>
      <c r="AB455" s="64"/>
      <c r="AC455" s="64"/>
    </row>
    <row r="456" spans="1:68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IFERROR(SUM(X448:X454),"0")</f>
        <v>84.48</v>
      </c>
      <c r="Y456" s="41">
        <f>IFERROR(SUM(Y448:Y454),"0")</f>
        <v>84.48</v>
      </c>
      <c r="Z456" s="40"/>
      <c r="AA456" s="64"/>
      <c r="AB456" s="64"/>
      <c r="AC456" s="64"/>
    </row>
    <row r="457" spans="1:68" ht="27.75" customHeight="1" x14ac:dyDescent="0.2">
      <c r="A457" s="617" t="s">
        <v>718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52"/>
      <c r="AB457" s="52"/>
      <c r="AC457" s="52"/>
    </row>
    <row r="458" spans="1:68" ht="16.5" customHeight="1" x14ac:dyDescent="0.25">
      <c r="A458" s="618" t="s">
        <v>718</v>
      </c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8"/>
      <c r="P458" s="618"/>
      <c r="Q458" s="618"/>
      <c r="R458" s="618"/>
      <c r="S458" s="618"/>
      <c r="T458" s="618"/>
      <c r="U458" s="618"/>
      <c r="V458" s="618"/>
      <c r="W458" s="618"/>
      <c r="X458" s="618"/>
      <c r="Y458" s="618"/>
      <c r="Z458" s="618"/>
      <c r="AA458" s="62"/>
      <c r="AB458" s="62"/>
      <c r="AC458" s="62"/>
    </row>
    <row r="459" spans="1:68" ht="14.25" customHeight="1" x14ac:dyDescent="0.25">
      <c r="A459" s="619" t="s">
        <v>114</v>
      </c>
      <c r="B459" s="619"/>
      <c r="C459" s="619"/>
      <c r="D459" s="619"/>
      <c r="E459" s="619"/>
      <c r="F459" s="619"/>
      <c r="G459" s="619"/>
      <c r="H459" s="619"/>
      <c r="I459" s="619"/>
      <c r="J459" s="619"/>
      <c r="K459" s="619"/>
      <c r="L459" s="619"/>
      <c r="M459" s="619"/>
      <c r="N459" s="619"/>
      <c r="O459" s="619"/>
      <c r="P459" s="619"/>
      <c r="Q459" s="619"/>
      <c r="R459" s="619"/>
      <c r="S459" s="619"/>
      <c r="T459" s="619"/>
      <c r="U459" s="619"/>
      <c r="V459" s="619"/>
      <c r="W459" s="619"/>
      <c r="X459" s="619"/>
      <c r="Y459" s="619"/>
      <c r="Z459" s="619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620">
        <v>4640242181011</v>
      </c>
      <c r="E460" s="62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2"/>
      <c r="R460" s="622"/>
      <c r="S460" s="622"/>
      <c r="T460" s="62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620">
        <v>4640242180441</v>
      </c>
      <c r="E461" s="62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2"/>
      <c r="R461" s="622"/>
      <c r="S461" s="622"/>
      <c r="T461" s="62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620">
        <v>4640242180564</v>
      </c>
      <c r="E462" s="62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2"/>
      <c r="R462" s="622"/>
      <c r="S462" s="622"/>
      <c r="T462" s="623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620">
        <v>4640242181189</v>
      </c>
      <c r="E463" s="62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2"/>
      <c r="R463" s="622"/>
      <c r="S463" s="622"/>
      <c r="T463" s="623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628"/>
      <c r="B464" s="628"/>
      <c r="C464" s="628"/>
      <c r="D464" s="628"/>
      <c r="E464" s="628"/>
      <c r="F464" s="628"/>
      <c r="G464" s="628"/>
      <c r="H464" s="628"/>
      <c r="I464" s="628"/>
      <c r="J464" s="628"/>
      <c r="K464" s="628"/>
      <c r="L464" s="628"/>
      <c r="M464" s="628"/>
      <c r="N464" s="628"/>
      <c r="O464" s="629"/>
      <c r="P464" s="625" t="s">
        <v>40</v>
      </c>
      <c r="Q464" s="626"/>
      <c r="R464" s="626"/>
      <c r="S464" s="626"/>
      <c r="T464" s="626"/>
      <c r="U464" s="626"/>
      <c r="V464" s="627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628"/>
      <c r="B465" s="628"/>
      <c r="C465" s="628"/>
      <c r="D465" s="628"/>
      <c r="E465" s="628"/>
      <c r="F465" s="628"/>
      <c r="G465" s="628"/>
      <c r="H465" s="628"/>
      <c r="I465" s="628"/>
      <c r="J465" s="628"/>
      <c r="K465" s="628"/>
      <c r="L465" s="628"/>
      <c r="M465" s="628"/>
      <c r="N465" s="628"/>
      <c r="O465" s="629"/>
      <c r="P465" s="625" t="s">
        <v>40</v>
      </c>
      <c r="Q465" s="626"/>
      <c r="R465" s="626"/>
      <c r="S465" s="626"/>
      <c r="T465" s="626"/>
      <c r="U465" s="626"/>
      <c r="V465" s="627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619" t="s">
        <v>147</v>
      </c>
      <c r="B466" s="619"/>
      <c r="C466" s="619"/>
      <c r="D466" s="619"/>
      <c r="E466" s="619"/>
      <c r="F466" s="619"/>
      <c r="G466" s="619"/>
      <c r="H466" s="619"/>
      <c r="I466" s="619"/>
      <c r="J466" s="619"/>
      <c r="K466" s="619"/>
      <c r="L466" s="619"/>
      <c r="M466" s="619"/>
      <c r="N466" s="619"/>
      <c r="O466" s="619"/>
      <c r="P466" s="619"/>
      <c r="Q466" s="619"/>
      <c r="R466" s="619"/>
      <c r="S466" s="619"/>
      <c r="T466" s="619"/>
      <c r="U466" s="619"/>
      <c r="V466" s="619"/>
      <c r="W466" s="619"/>
      <c r="X466" s="619"/>
      <c r="Y466" s="619"/>
      <c r="Z466" s="619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620">
        <v>4640242180519</v>
      </c>
      <c r="E467" s="62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2"/>
      <c r="R467" s="622"/>
      <c r="S467" s="622"/>
      <c r="T467" s="62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619" t="s">
        <v>76</v>
      </c>
      <c r="B470" s="619"/>
      <c r="C470" s="619"/>
      <c r="D470" s="619"/>
      <c r="E470" s="619"/>
      <c r="F470" s="619"/>
      <c r="G470" s="619"/>
      <c r="H470" s="619"/>
      <c r="I470" s="619"/>
      <c r="J470" s="619"/>
      <c r="K470" s="619"/>
      <c r="L470" s="619"/>
      <c r="M470" s="619"/>
      <c r="N470" s="619"/>
      <c r="O470" s="619"/>
      <c r="P470" s="619"/>
      <c r="Q470" s="619"/>
      <c r="R470" s="619"/>
      <c r="S470" s="619"/>
      <c r="T470" s="619"/>
      <c r="U470" s="619"/>
      <c r="V470" s="619"/>
      <c r="W470" s="619"/>
      <c r="X470" s="619"/>
      <c r="Y470" s="619"/>
      <c r="Z470" s="619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620">
        <v>4640242180595</v>
      </c>
      <c r="E471" s="620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2"/>
      <c r="R471" s="622"/>
      <c r="S471" s="622"/>
      <c r="T471" s="62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619" t="s">
        <v>86</v>
      </c>
      <c r="B474" s="619"/>
      <c r="C474" s="619"/>
      <c r="D474" s="619"/>
      <c r="E474" s="619"/>
      <c r="F474" s="619"/>
      <c r="G474" s="619"/>
      <c r="H474" s="619"/>
      <c r="I474" s="619"/>
      <c r="J474" s="619"/>
      <c r="K474" s="619"/>
      <c r="L474" s="619"/>
      <c r="M474" s="619"/>
      <c r="N474" s="619"/>
      <c r="O474" s="619"/>
      <c r="P474" s="619"/>
      <c r="Q474" s="619"/>
      <c r="R474" s="619"/>
      <c r="S474" s="619"/>
      <c r="T474" s="619"/>
      <c r="U474" s="619"/>
      <c r="V474" s="619"/>
      <c r="W474" s="619"/>
      <c r="X474" s="619"/>
      <c r="Y474" s="619"/>
      <c r="Z474" s="619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620">
        <v>4640242180533</v>
      </c>
      <c r="E475" s="620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2"/>
      <c r="R475" s="622"/>
      <c r="S475" s="622"/>
      <c r="T475" s="62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619" t="s">
        <v>173</v>
      </c>
      <c r="B478" s="619"/>
      <c r="C478" s="619"/>
      <c r="D478" s="619"/>
      <c r="E478" s="619"/>
      <c r="F478" s="619"/>
      <c r="G478" s="619"/>
      <c r="H478" s="619"/>
      <c r="I478" s="619"/>
      <c r="J478" s="619"/>
      <c r="K478" s="619"/>
      <c r="L478" s="619"/>
      <c r="M478" s="619"/>
      <c r="N478" s="619"/>
      <c r="O478" s="619"/>
      <c r="P478" s="619"/>
      <c r="Q478" s="619"/>
      <c r="R478" s="619"/>
      <c r="S478" s="619"/>
      <c r="T478" s="619"/>
      <c r="U478" s="619"/>
      <c r="V478" s="619"/>
      <c r="W478" s="619"/>
      <c r="X478" s="619"/>
      <c r="Y478" s="619"/>
      <c r="Z478" s="619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620">
        <v>4640242180120</v>
      </c>
      <c r="E479" s="620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2"/>
      <c r="R479" s="622"/>
      <c r="S479" s="622"/>
      <c r="T479" s="623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620">
        <v>4640242180137</v>
      </c>
      <c r="E480" s="620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2"/>
      <c r="R480" s="622"/>
      <c r="S480" s="622"/>
      <c r="T480" s="62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618" t="s">
        <v>745</v>
      </c>
      <c r="B483" s="618"/>
      <c r="C483" s="618"/>
      <c r="D483" s="618"/>
      <c r="E483" s="618"/>
      <c r="F483" s="618"/>
      <c r="G483" s="618"/>
      <c r="H483" s="618"/>
      <c r="I483" s="618"/>
      <c r="J483" s="618"/>
      <c r="K483" s="618"/>
      <c r="L483" s="618"/>
      <c r="M483" s="618"/>
      <c r="N483" s="618"/>
      <c r="O483" s="618"/>
      <c r="P483" s="618"/>
      <c r="Q483" s="618"/>
      <c r="R483" s="618"/>
      <c r="S483" s="618"/>
      <c r="T483" s="618"/>
      <c r="U483" s="618"/>
      <c r="V483" s="618"/>
      <c r="W483" s="618"/>
      <c r="X483" s="618"/>
      <c r="Y483" s="618"/>
      <c r="Z483" s="618"/>
      <c r="AA483" s="62"/>
      <c r="AB483" s="62"/>
      <c r="AC483" s="62"/>
    </row>
    <row r="484" spans="1:68" ht="14.25" customHeight="1" x14ac:dyDescent="0.25">
      <c r="A484" s="619" t="s">
        <v>147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620">
        <v>4640242180090</v>
      </c>
      <c r="E485" s="620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2"/>
      <c r="R485" s="622"/>
      <c r="S485" s="622"/>
      <c r="T485" s="623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28"/>
      <c r="B486" s="628"/>
      <c r="C486" s="628"/>
      <c r="D486" s="628"/>
      <c r="E486" s="628"/>
      <c r="F486" s="628"/>
      <c r="G486" s="628"/>
      <c r="H486" s="628"/>
      <c r="I486" s="628"/>
      <c r="J486" s="628"/>
      <c r="K486" s="628"/>
      <c r="L486" s="628"/>
      <c r="M486" s="628"/>
      <c r="N486" s="628"/>
      <c r="O486" s="629"/>
      <c r="P486" s="625" t="s">
        <v>40</v>
      </c>
      <c r="Q486" s="626"/>
      <c r="R486" s="626"/>
      <c r="S486" s="626"/>
      <c r="T486" s="626"/>
      <c r="U486" s="626"/>
      <c r="V486" s="627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865"/>
      <c r="P488" s="862" t="s">
        <v>33</v>
      </c>
      <c r="Q488" s="863"/>
      <c r="R488" s="863"/>
      <c r="S488" s="863"/>
      <c r="T488" s="863"/>
      <c r="U488" s="863"/>
      <c r="V488" s="864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9104.8799999999992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9104.880000000001</v>
      </c>
      <c r="Z488" s="40"/>
      <c r="AA488" s="64"/>
      <c r="AB488" s="64"/>
      <c r="AC488" s="64"/>
    </row>
    <row r="489" spans="1:68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5"/>
      <c r="P489" s="862" t="s">
        <v>34</v>
      </c>
      <c r="Q489" s="863"/>
      <c r="R489" s="863"/>
      <c r="S489" s="863"/>
      <c r="T489" s="863"/>
      <c r="U489" s="863"/>
      <c r="V489" s="864"/>
      <c r="W489" s="40" t="s">
        <v>0</v>
      </c>
      <c r="X489" s="41">
        <f>IFERROR(SUM(BM22:BM485),"0")</f>
        <v>9527.988000000003</v>
      </c>
      <c r="Y489" s="41">
        <f>IFERROR(SUM(BN22:BN485),"0")</f>
        <v>9527.988000000003</v>
      </c>
      <c r="Z489" s="40"/>
      <c r="AA489" s="64"/>
      <c r="AB489" s="64"/>
      <c r="AC489" s="64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5"/>
      <c r="P490" s="862" t="s">
        <v>35</v>
      </c>
      <c r="Q490" s="863"/>
      <c r="R490" s="863"/>
      <c r="S490" s="863"/>
      <c r="T490" s="863"/>
      <c r="U490" s="863"/>
      <c r="V490" s="864"/>
      <c r="W490" s="40" t="s">
        <v>20</v>
      </c>
      <c r="X490" s="42">
        <f>ROUNDUP(SUM(BO22:BO485),0)</f>
        <v>15</v>
      </c>
      <c r="Y490" s="42">
        <f>ROUNDUP(SUM(BP22:BP485),0)</f>
        <v>15</v>
      </c>
      <c r="Z490" s="40"/>
      <c r="AA490" s="64"/>
      <c r="AB490" s="64"/>
      <c r="AC490" s="64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5"/>
      <c r="P491" s="862" t="s">
        <v>36</v>
      </c>
      <c r="Q491" s="863"/>
      <c r="R491" s="863"/>
      <c r="S491" s="863"/>
      <c r="T491" s="863"/>
      <c r="U491" s="863"/>
      <c r="V491" s="864"/>
      <c r="W491" s="40" t="s">
        <v>0</v>
      </c>
      <c r="X491" s="41">
        <f>GrossWeightTotal+PalletQtyTotal*25</f>
        <v>9902.988000000003</v>
      </c>
      <c r="Y491" s="41">
        <f>GrossWeightTotalR+PalletQtyTotalR*25</f>
        <v>9902.988000000003</v>
      </c>
      <c r="Z491" s="40"/>
      <c r="AA491" s="64"/>
      <c r="AB491" s="64"/>
      <c r="AC491" s="64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5"/>
      <c r="P492" s="862" t="s">
        <v>37</v>
      </c>
      <c r="Q492" s="863"/>
      <c r="R492" s="863"/>
      <c r="S492" s="863"/>
      <c r="T492" s="863"/>
      <c r="U492" s="863"/>
      <c r="V492" s="864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1204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1204</v>
      </c>
      <c r="Z492" s="40"/>
      <c r="AA492" s="64"/>
      <c r="AB492" s="64"/>
      <c r="AC492" s="64"/>
    </row>
    <row r="493" spans="1:68" ht="14.25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5"/>
      <c r="P493" s="862" t="s">
        <v>38</v>
      </c>
      <c r="Q493" s="863"/>
      <c r="R493" s="863"/>
      <c r="S493" s="863"/>
      <c r="T493" s="863"/>
      <c r="U493" s="863"/>
      <c r="V493" s="864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17.138360000000002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68" t="s">
        <v>112</v>
      </c>
      <c r="D495" s="868" t="s">
        <v>112</v>
      </c>
      <c r="E495" s="868" t="s">
        <v>112</v>
      </c>
      <c r="F495" s="868" t="s">
        <v>112</v>
      </c>
      <c r="G495" s="868" t="s">
        <v>112</v>
      </c>
      <c r="H495" s="868" t="s">
        <v>112</v>
      </c>
      <c r="I495" s="868" t="s">
        <v>275</v>
      </c>
      <c r="J495" s="868" t="s">
        <v>275</v>
      </c>
      <c r="K495" s="868" t="s">
        <v>275</v>
      </c>
      <c r="L495" s="868" t="s">
        <v>275</v>
      </c>
      <c r="M495" s="868" t="s">
        <v>275</v>
      </c>
      <c r="N495" s="869"/>
      <c r="O495" s="868" t="s">
        <v>275</v>
      </c>
      <c r="P495" s="868" t="s">
        <v>275</v>
      </c>
      <c r="Q495" s="868" t="s">
        <v>275</v>
      </c>
      <c r="R495" s="868" t="s">
        <v>275</v>
      </c>
      <c r="S495" s="868" t="s">
        <v>565</v>
      </c>
      <c r="T495" s="868" t="s">
        <v>565</v>
      </c>
      <c r="U495" s="868" t="s">
        <v>618</v>
      </c>
      <c r="V495" s="868" t="s">
        <v>618</v>
      </c>
      <c r="W495" s="868" t="s">
        <v>618</v>
      </c>
      <c r="X495" s="80" t="s">
        <v>666</v>
      </c>
      <c r="Y495" s="868" t="s">
        <v>718</v>
      </c>
      <c r="Z495" s="868" t="s">
        <v>718</v>
      </c>
      <c r="AB495" s="9"/>
      <c r="AC495" s="9"/>
      <c r="AF495" s="1"/>
    </row>
    <row r="496" spans="1:68" ht="14.25" customHeight="1" thickTop="1" x14ac:dyDescent="0.2">
      <c r="A496" s="866" t="s">
        <v>10</v>
      </c>
      <c r="B496" s="868" t="s">
        <v>75</v>
      </c>
      <c r="C496" s="868" t="s">
        <v>113</v>
      </c>
      <c r="D496" s="868" t="s">
        <v>128</v>
      </c>
      <c r="E496" s="868" t="s">
        <v>180</v>
      </c>
      <c r="F496" s="868" t="s">
        <v>201</v>
      </c>
      <c r="G496" s="868" t="s">
        <v>238</v>
      </c>
      <c r="H496" s="868" t="s">
        <v>112</v>
      </c>
      <c r="I496" s="868" t="s">
        <v>276</v>
      </c>
      <c r="J496" s="868" t="s">
        <v>334</v>
      </c>
      <c r="K496" s="868" t="s">
        <v>393</v>
      </c>
      <c r="L496" s="868" t="s">
        <v>432</v>
      </c>
      <c r="M496" s="868" t="s">
        <v>448</v>
      </c>
      <c r="N496" s="1"/>
      <c r="O496" s="868" t="s">
        <v>459</v>
      </c>
      <c r="P496" s="868" t="s">
        <v>468</v>
      </c>
      <c r="Q496" s="868" t="s">
        <v>481</v>
      </c>
      <c r="R496" s="868" t="s">
        <v>555</v>
      </c>
      <c r="S496" s="868" t="s">
        <v>566</v>
      </c>
      <c r="T496" s="868" t="s">
        <v>602</v>
      </c>
      <c r="U496" s="868" t="s">
        <v>619</v>
      </c>
      <c r="V496" s="868" t="s">
        <v>650</v>
      </c>
      <c r="W496" s="868" t="s">
        <v>662</v>
      </c>
      <c r="X496" s="868" t="s">
        <v>666</v>
      </c>
      <c r="Y496" s="868" t="s">
        <v>718</v>
      </c>
      <c r="Z496" s="868" t="s">
        <v>745</v>
      </c>
      <c r="AB496" s="9"/>
      <c r="AC496" s="9"/>
      <c r="AF496" s="1"/>
    </row>
    <row r="497" spans="1:32" ht="13.5" thickBot="1" x14ac:dyDescent="0.25">
      <c r="A497" s="867"/>
      <c r="B497" s="868"/>
      <c r="C497" s="868"/>
      <c r="D497" s="868"/>
      <c r="E497" s="868"/>
      <c r="F497" s="868"/>
      <c r="G497" s="868"/>
      <c r="H497" s="868"/>
      <c r="I497" s="868"/>
      <c r="J497" s="868"/>
      <c r="K497" s="868"/>
      <c r="L497" s="868"/>
      <c r="M497" s="868"/>
      <c r="N497" s="1"/>
      <c r="O497" s="868"/>
      <c r="P497" s="868"/>
      <c r="Q497" s="868"/>
      <c r="R497" s="868"/>
      <c r="S497" s="868"/>
      <c r="T497" s="868"/>
      <c r="U497" s="868"/>
      <c r="V497" s="868"/>
      <c r="W497" s="868"/>
      <c r="X497" s="868"/>
      <c r="Y497" s="868"/>
      <c r="Z497" s="868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691.2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1171.2</v>
      </c>
      <c r="E498" s="50">
        <f>IFERROR(Y86*1,"0")+IFERROR(Y87*1,"0")+IFERROR(Y88*1,"0")+IFERROR(Y89*1,"0")+IFERROR(Y93*1,"0")+IFERROR(Y94*1,"0")+IFERROR(Y95*1,"0")+IFERROR(Y96*1,"0")</f>
        <v>766.80000000000007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1112.4000000000001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226.80000000000004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1543.2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57.599999999999994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590.4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2100</v>
      </c>
      <c r="T498" s="50">
        <f>IFERROR(Y375*1,"0")+IFERROR(Y376*1,"0")+IFERROR(Y380*1,"0")+IFERROR(Y384*1,"0")+IFERROR(Y385*1,"0")+IFERROR(Y386*1,"0")</f>
        <v>273.60000000000002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506.88000000000005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2026-08-17T11:39:57Z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